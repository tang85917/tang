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tang8\pyworks\Routine\data\"/>
    </mc:Choice>
  </mc:AlternateContent>
  <xr:revisionPtr revIDLastSave="0" documentId="13_ncr:1_{D184FB57-0C83-473F-BB51-A1953F427818}" xr6:coauthVersionLast="47" xr6:coauthVersionMax="47" xr10:uidLastSave="{00000000-0000-0000-0000-000000000000}"/>
  <bookViews>
    <workbookView xWindow="-28920" yWindow="-165" windowWidth="29040" windowHeight="15720" activeTab="2" xr2:uid="{468CBBC4-4BE1-423A-819A-B1CCB3F102C1}"/>
  </bookViews>
  <sheets>
    <sheet name="SOP" sheetId="9" r:id="rId1"/>
    <sheet name="Routine Board（-1）" sheetId="29" state="hidden" r:id="rId2"/>
    <sheet name="Routine Board" sheetId="30" r:id="rId3"/>
    <sheet name="Duplo" sheetId="20" r:id="rId4"/>
    <sheet name="Large, MiniDS LINK" sheetId="15" r:id="rId5"/>
    <sheet name="Shinka LINK" sheetId="12" r:id="rId6"/>
    <sheet name="SIM SOP" sheetId="28" r:id="rId7"/>
    <sheet name="SIM Link" sheetId="14" r:id="rId8"/>
    <sheet name="DS ID" sheetId="27" state="hidden" r:id="rId9"/>
  </sheets>
  <externalReferences>
    <externalReference r:id="rId10"/>
  </externalReferences>
  <definedNames>
    <definedName name="_13_00までにORM_Chimeに入室_9632515745" localSheetId="8">#REF!</definedName>
    <definedName name="_13_00までにORM_Chimeに入室_9632515745" localSheetId="3">#REF!</definedName>
    <definedName name="_13_00までにORM_Chimeに入室_9632515745" localSheetId="4">#REF!</definedName>
    <definedName name="_13_00までにORM_Chimeに入室_9632515745" localSheetId="1">#REF!</definedName>
    <definedName name="_13_00までにORM_Chimeに入室_9632515745">#REF!</definedName>
    <definedName name="_xlnm._FilterDatabase" localSheetId="8" hidden="1">'DS ID'!$A$1:$D$263</definedName>
    <definedName name="_xlnm._FilterDatabase" localSheetId="3" hidden="1">Duplo!$B$6:$B$170</definedName>
    <definedName name="_xlnm._FilterDatabase" localSheetId="4" hidden="1">'Large, MiniDS LINK'!$1:$1</definedName>
    <definedName name="_xlnm._FilterDatabase" localSheetId="5" hidden="1">'Shinka LINK'!$A$1:$N$171</definedName>
    <definedName name="_xlpm.a" hidden="1" xlm="1">#NAME?</definedName>
    <definedName name="_xlpm.b" hidden="1" xlm="1">#NAME?</definedName>
    <definedName name="_xlpm.c" hidden="1" xlm="1">#NAME?</definedName>
    <definedName name="_xlpm.d" hidden="1" xlm="1">#NAME?</definedName>
    <definedName name="_xlpm.e" hidden="1" xlm="1">#NAME?</definedName>
    <definedName name="_xlpm.f" hidden="1" xlm="1">#NAME?</definedName>
    <definedName name="_xlpm.g" hidden="1" xlm="1">#NAME?</definedName>
    <definedName name="_xlpm.h" hidden="1" xlm="1">#NAME?</definedName>
    <definedName name="_xlpm.i" hidden="1" xlm="1">#NAME?</definedName>
    <definedName name="_xlpm.j" hidden="1" xlm="1">#NAME?</definedName>
    <definedName name="_xlpm.k" hidden="1" xlm="1">#NAME?</definedName>
    <definedName name="_xlpm.l" hidden="1" xlm="1">#NAME?</definedName>
    <definedName name="_xlpm.m" hidden="1" xlm="1">#NAME?</definedName>
    <definedName name="_xlpm.n" hidden="1" xlm="1">#NAME?</definedName>
    <definedName name="_xlpm.o" hidden="1" xlm="1">#NAME?</definedName>
    <definedName name="_xlpm.p" hidden="1" xlm="1">#NAME?</definedName>
    <definedName name="_xlpm.post_sp①" hidden="1" xlm="1">#NAME?</definedName>
    <definedName name="_xlpm.post_sp②" hidden="1" xlm="1">#NAME?</definedName>
    <definedName name="_xlpm.post_sp③" hidden="1" xlm="1">#NAME?</definedName>
    <definedName name="_xlpm.post_sp④" hidden="1" xlm="1">#NAME?</definedName>
    <definedName name="_xlpm.pre_sp①" hidden="1" xlm="1">#NAME?</definedName>
    <definedName name="_xlpm.pre_sp②" hidden="1" xlm="1">#NAME?</definedName>
    <definedName name="_xlpm.pre_sp③" hidden="1" xlm="1">#NAME?</definedName>
    <definedName name="_xlpm.pre_sp④" hidden="1" xlm="1">#NAME?</definedName>
    <definedName name="_xlpm.q" hidden="1" xlm="1">#NAME?</definedName>
    <definedName name="_xlpm.seq①" hidden="1" xlm="1">#NAME?</definedName>
    <definedName name="_xlpm.seq②" hidden="1" xlm="1">#NAME?</definedName>
    <definedName name="_xlpm.seq③" hidden="1" xlm="1">#NAME?</definedName>
    <definedName name="_xlpm.seq④" hidden="1" xlm="1">#NAME?</definedName>
    <definedName name="_xlpm.txt①" hidden="1" xlm="1">#NAME?</definedName>
    <definedName name="_xlpm.txt②" hidden="1" xlm="1">#NAME?</definedName>
    <definedName name="_xlpm.txt③" hidden="1" xlm="1">#NAME?</definedName>
    <definedName name="_xlpm.txt④" hidden="1" xlm="1">#NAME?</definedName>
    <definedName name="_xlpm.シフト判定" hidden="1" xlm="1">#NAME?</definedName>
    <definedName name="_xlpm.区切り①" hidden="1" xlm="1">#NAME?</definedName>
    <definedName name="_xlpm.区切り②" hidden="1" xlm="1">#NAME?</definedName>
    <definedName name="_xlpm.区切り③" hidden="1" xlm="1">#NAME?</definedName>
    <definedName name="_xlpm.区切り④" hidden="1" xlm="1">#NAME?</definedName>
    <definedName name="_xlpm.対象範囲①" hidden="1" xlm="1">#NAME?</definedName>
    <definedName name="B" localSheetId="8">#REF!</definedName>
    <definedName name="B" localSheetId="3">#REF!</definedName>
    <definedName name="B" localSheetId="4">#REF!</definedName>
    <definedName name="B" localSheetId="1">#REF!</definedName>
    <definedName name="B">#REF!</definedName>
    <definedName name="CC" localSheetId="8">#REF!</definedName>
    <definedName name="CC" localSheetId="4">#REF!</definedName>
    <definedName name="CC">#REF!</definedName>
    <definedName name="DD" localSheetId="8">#REF!</definedName>
    <definedName name="DD" localSheetId="4">#REF!</definedName>
    <definedName name="DD">#REF!</definedName>
    <definedName name="EE">#REF!</definedName>
    <definedName name="FF">#REF!</definedName>
    <definedName name="GG">#REF!</definedName>
    <definedName name="HH">#REF!</definedName>
    <definedName name="II">#REF!</definedName>
    <definedName name="JJ">#REF!</definedName>
    <definedName name="KK">#REF!</definedName>
    <definedName name="LL">#REF!</definedName>
    <definedName name="MM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40" i="27" l="1"/>
  <c r="G166" i="15"/>
  <c r="G167" i="15"/>
  <c r="G170" i="15"/>
  <c r="G171" i="15"/>
  <c r="G172" i="15"/>
  <c r="G177" i="15"/>
  <c r="G179" i="15"/>
  <c r="G183" i="15"/>
  <c r="G186" i="15"/>
  <c r="G197" i="15"/>
  <c r="G202" i="15"/>
  <c r="G205" i="15"/>
  <c r="G210" i="15"/>
  <c r="G212" i="15"/>
  <c r="G213" i="15"/>
  <c r="G214" i="15"/>
  <c r="G215" i="15"/>
  <c r="G221" i="15"/>
  <c r="G224" i="15"/>
  <c r="G225" i="15"/>
  <c r="G226" i="15"/>
  <c r="G228" i="15"/>
  <c r="G229" i="15"/>
  <c r="G230" i="15"/>
  <c r="G231" i="15"/>
  <c r="G232" i="15"/>
  <c r="G233" i="15"/>
  <c r="G236" i="15"/>
  <c r="G238" i="15"/>
  <c r="G240" i="15"/>
  <c r="G241" i="15"/>
  <c r="G242" i="15"/>
  <c r="G243" i="15"/>
  <c r="G248" i="15"/>
  <c r="G249" i="15"/>
  <c r="G274" i="15"/>
  <c r="G275" i="15"/>
  <c r="I166" i="15"/>
  <c r="I167" i="15"/>
  <c r="I170" i="15"/>
  <c r="I171" i="15"/>
  <c r="I172" i="15"/>
  <c r="I177" i="15"/>
  <c r="I179" i="15"/>
  <c r="I183" i="15"/>
  <c r="I186" i="15"/>
  <c r="I197" i="15"/>
  <c r="I202" i="15"/>
  <c r="I205" i="15"/>
  <c r="I210" i="15"/>
  <c r="I212" i="15"/>
  <c r="I213" i="15"/>
  <c r="I214" i="15"/>
  <c r="I215" i="15"/>
  <c r="I221" i="15"/>
  <c r="I224" i="15"/>
  <c r="I225" i="15"/>
  <c r="I226" i="15"/>
  <c r="I228" i="15"/>
  <c r="I229" i="15"/>
  <c r="I230" i="15"/>
  <c r="I231" i="15"/>
  <c r="I232" i="15"/>
  <c r="I233" i="15"/>
  <c r="I236" i="15"/>
  <c r="I238" i="15"/>
  <c r="I240" i="15"/>
  <c r="I241" i="15"/>
  <c r="I242" i="15"/>
  <c r="I243" i="15"/>
  <c r="I248" i="15"/>
  <c r="I249" i="15"/>
  <c r="I274" i="15"/>
  <c r="I275" i="15"/>
  <c r="H166" i="15"/>
  <c r="H167" i="15"/>
  <c r="H170" i="15"/>
  <c r="H171" i="15"/>
  <c r="H172" i="15"/>
  <c r="H177" i="15"/>
  <c r="H179" i="15"/>
  <c r="H183" i="15"/>
  <c r="H186" i="15"/>
  <c r="H197" i="15"/>
  <c r="H202" i="15"/>
  <c r="H205" i="15"/>
  <c r="H210" i="15"/>
  <c r="H212" i="15"/>
  <c r="H213" i="15"/>
  <c r="H214" i="15"/>
  <c r="H215" i="15"/>
  <c r="H221" i="15"/>
  <c r="H224" i="15"/>
  <c r="H225" i="15"/>
  <c r="H226" i="15"/>
  <c r="H228" i="15"/>
  <c r="H229" i="15"/>
  <c r="H230" i="15"/>
  <c r="H231" i="15"/>
  <c r="H232" i="15"/>
  <c r="H233" i="15"/>
  <c r="H236" i="15"/>
  <c r="H238" i="15"/>
  <c r="H240" i="15"/>
  <c r="H241" i="15"/>
  <c r="H242" i="15"/>
  <c r="H243" i="15"/>
  <c r="H248" i="15"/>
  <c r="H249" i="15"/>
  <c r="H274" i="15"/>
  <c r="H275" i="15"/>
  <c r="I162" i="15"/>
  <c r="H162" i="15"/>
  <c r="G162" i="15"/>
  <c r="BV1" i="30"/>
  <c r="BO1" i="30"/>
  <c r="BO1" i="29"/>
  <c r="C342" i="27"/>
  <c r="G142" i="15" s="1"/>
  <c r="C339" i="27"/>
  <c r="I69" i="15" s="1"/>
  <c r="C341" i="27"/>
  <c r="H134" i="15" s="1"/>
  <c r="I134" i="15"/>
  <c r="I171" i="12"/>
  <c r="H171" i="12"/>
  <c r="G171" i="12"/>
  <c r="I170" i="12"/>
  <c r="H170" i="12"/>
  <c r="G170" i="12"/>
  <c r="I169" i="12"/>
  <c r="H169" i="12"/>
  <c r="G169" i="12"/>
  <c r="I168" i="12"/>
  <c r="H168" i="12"/>
  <c r="G168" i="12"/>
  <c r="I167" i="12"/>
  <c r="H167" i="12"/>
  <c r="G167" i="12"/>
  <c r="I166" i="12"/>
  <c r="H166" i="12"/>
  <c r="G166" i="12"/>
  <c r="I165" i="12"/>
  <c r="H165" i="12"/>
  <c r="G165" i="12"/>
  <c r="I164" i="12"/>
  <c r="H164" i="12"/>
  <c r="G164" i="12"/>
  <c r="I163" i="12"/>
  <c r="H163" i="12"/>
  <c r="G163" i="12"/>
  <c r="I162" i="12"/>
  <c r="H162" i="12"/>
  <c r="G162" i="12"/>
  <c r="I161" i="12"/>
  <c r="H161" i="12"/>
  <c r="G161" i="12"/>
  <c r="I160" i="12"/>
  <c r="H160" i="12"/>
  <c r="G160" i="12"/>
  <c r="I159" i="12"/>
  <c r="H159" i="12"/>
  <c r="G159" i="12"/>
  <c r="I158" i="12"/>
  <c r="H158" i="12"/>
  <c r="G158" i="12"/>
  <c r="I157" i="12"/>
  <c r="H157" i="12"/>
  <c r="G157" i="12"/>
  <c r="I156" i="12"/>
  <c r="H156" i="12"/>
  <c r="G156" i="12"/>
  <c r="I155" i="12"/>
  <c r="H155" i="12"/>
  <c r="G155" i="12"/>
  <c r="I154" i="12"/>
  <c r="H154" i="12"/>
  <c r="G154" i="12"/>
  <c r="I153" i="12"/>
  <c r="H153" i="12"/>
  <c r="G153" i="12"/>
  <c r="I152" i="12"/>
  <c r="H152" i="12"/>
  <c r="G152" i="12"/>
  <c r="I151" i="12"/>
  <c r="H151" i="12"/>
  <c r="G151" i="12"/>
  <c r="I150" i="12"/>
  <c r="H150" i="12"/>
  <c r="G150" i="12"/>
  <c r="I149" i="12"/>
  <c r="H149" i="12"/>
  <c r="G149" i="12"/>
  <c r="I148" i="12"/>
  <c r="H148" i="12"/>
  <c r="G148" i="12"/>
  <c r="I147" i="12"/>
  <c r="H147" i="12"/>
  <c r="G147" i="12"/>
  <c r="I146" i="12"/>
  <c r="H146" i="12"/>
  <c r="G146" i="12"/>
  <c r="I145" i="12"/>
  <c r="H145" i="12"/>
  <c r="G145" i="12"/>
  <c r="I144" i="12"/>
  <c r="H144" i="12"/>
  <c r="G144" i="12"/>
  <c r="I143" i="12"/>
  <c r="H143" i="12"/>
  <c r="G143" i="12"/>
  <c r="I142" i="12"/>
  <c r="H142" i="12"/>
  <c r="G142" i="12"/>
  <c r="I141" i="12"/>
  <c r="H141" i="12"/>
  <c r="G141" i="12"/>
  <c r="I140" i="12"/>
  <c r="H140" i="12"/>
  <c r="G140" i="12"/>
  <c r="I139" i="12"/>
  <c r="H139" i="12"/>
  <c r="G139" i="12"/>
  <c r="I138" i="12"/>
  <c r="H138" i="12"/>
  <c r="G138" i="12"/>
  <c r="I137" i="12"/>
  <c r="H137" i="12"/>
  <c r="G137" i="12"/>
  <c r="I136" i="12"/>
  <c r="H136" i="12"/>
  <c r="G136" i="12"/>
  <c r="I135" i="12"/>
  <c r="H135" i="12"/>
  <c r="G135" i="12"/>
  <c r="I134" i="12"/>
  <c r="H134" i="12"/>
  <c r="G134" i="12"/>
  <c r="I133" i="12"/>
  <c r="H133" i="12"/>
  <c r="G133" i="12"/>
  <c r="I132" i="12"/>
  <c r="H132" i="12"/>
  <c r="G132" i="12"/>
  <c r="I131" i="12"/>
  <c r="H131" i="12"/>
  <c r="G131" i="12"/>
  <c r="I130" i="12"/>
  <c r="H130" i="12"/>
  <c r="G130" i="12"/>
  <c r="I129" i="12"/>
  <c r="H129" i="12"/>
  <c r="G129" i="12"/>
  <c r="I128" i="12"/>
  <c r="H128" i="12"/>
  <c r="G128" i="12"/>
  <c r="I127" i="12"/>
  <c r="H127" i="12"/>
  <c r="G127" i="12"/>
  <c r="I126" i="12"/>
  <c r="H126" i="12"/>
  <c r="G126" i="12"/>
  <c r="I125" i="12"/>
  <c r="H125" i="12"/>
  <c r="G125" i="12"/>
  <c r="I124" i="12"/>
  <c r="H124" i="12"/>
  <c r="G124" i="12"/>
  <c r="I123" i="12"/>
  <c r="H123" i="12"/>
  <c r="G123" i="12"/>
  <c r="I122" i="12"/>
  <c r="H122" i="12"/>
  <c r="G122" i="12"/>
  <c r="I121" i="12"/>
  <c r="H121" i="12"/>
  <c r="G121" i="12"/>
  <c r="I120" i="12"/>
  <c r="H120" i="12"/>
  <c r="G120" i="12"/>
  <c r="I119" i="12"/>
  <c r="H119" i="12"/>
  <c r="G119" i="12"/>
  <c r="I118" i="12"/>
  <c r="H118" i="12"/>
  <c r="G118" i="12"/>
  <c r="I117" i="12"/>
  <c r="H117" i="12"/>
  <c r="G117" i="12"/>
  <c r="I116" i="12"/>
  <c r="H116" i="12"/>
  <c r="G116" i="12"/>
  <c r="I115" i="12"/>
  <c r="H115" i="12"/>
  <c r="G115" i="12"/>
  <c r="I114" i="12"/>
  <c r="H114" i="12"/>
  <c r="G114" i="12"/>
  <c r="I113" i="12"/>
  <c r="H113" i="12"/>
  <c r="G113" i="12"/>
  <c r="I112" i="12"/>
  <c r="H112" i="12"/>
  <c r="G112" i="12"/>
  <c r="I111" i="12"/>
  <c r="H111" i="12"/>
  <c r="G111" i="12"/>
  <c r="I110" i="12"/>
  <c r="H110" i="12"/>
  <c r="G110" i="12"/>
  <c r="I109" i="12"/>
  <c r="H109" i="12"/>
  <c r="G109" i="12"/>
  <c r="I108" i="12"/>
  <c r="H108" i="12"/>
  <c r="G108" i="12"/>
  <c r="I107" i="12"/>
  <c r="H107" i="12"/>
  <c r="G107" i="12"/>
  <c r="I106" i="12"/>
  <c r="H106" i="12"/>
  <c r="G106" i="12"/>
  <c r="I105" i="12"/>
  <c r="H105" i="12"/>
  <c r="G105" i="12"/>
  <c r="I104" i="12"/>
  <c r="H104" i="12"/>
  <c r="G104" i="12"/>
  <c r="I103" i="12"/>
  <c r="H103" i="12"/>
  <c r="G103" i="12"/>
  <c r="I102" i="12"/>
  <c r="H102" i="12"/>
  <c r="G102" i="12"/>
  <c r="I101" i="12"/>
  <c r="H101" i="12"/>
  <c r="G101" i="12"/>
  <c r="I100" i="12"/>
  <c r="H100" i="12"/>
  <c r="G100" i="12"/>
  <c r="I99" i="12"/>
  <c r="H99" i="12"/>
  <c r="G99" i="12"/>
  <c r="I98" i="12"/>
  <c r="H98" i="12"/>
  <c r="G98" i="12"/>
  <c r="I97" i="12"/>
  <c r="H97" i="12"/>
  <c r="G97" i="12"/>
  <c r="I96" i="12"/>
  <c r="H96" i="12"/>
  <c r="G96" i="12"/>
  <c r="I95" i="12"/>
  <c r="H95" i="12"/>
  <c r="G95" i="12"/>
  <c r="I94" i="12"/>
  <c r="H94" i="12"/>
  <c r="G94" i="12"/>
  <c r="I93" i="12"/>
  <c r="H93" i="12"/>
  <c r="G93" i="12"/>
  <c r="I92" i="12"/>
  <c r="H92" i="12"/>
  <c r="G92" i="12"/>
  <c r="I91" i="12"/>
  <c r="H91" i="12"/>
  <c r="G91" i="12"/>
  <c r="I90" i="12"/>
  <c r="H90" i="12"/>
  <c r="G90" i="12"/>
  <c r="I89" i="12"/>
  <c r="H89" i="12"/>
  <c r="G89" i="12"/>
  <c r="I88" i="12"/>
  <c r="H88" i="12"/>
  <c r="G88" i="12"/>
  <c r="I87" i="12"/>
  <c r="H87" i="12"/>
  <c r="G87" i="12"/>
  <c r="I86" i="12"/>
  <c r="H86" i="12"/>
  <c r="G86" i="12"/>
  <c r="I85" i="12"/>
  <c r="H85" i="12"/>
  <c r="G85" i="12"/>
  <c r="I84" i="12"/>
  <c r="H84" i="12"/>
  <c r="G84" i="12"/>
  <c r="I83" i="12"/>
  <c r="H83" i="12"/>
  <c r="G83" i="12"/>
  <c r="I82" i="12"/>
  <c r="H82" i="12"/>
  <c r="G82" i="12"/>
  <c r="I81" i="12"/>
  <c r="H81" i="12"/>
  <c r="G81" i="12"/>
  <c r="I80" i="12"/>
  <c r="H80" i="12"/>
  <c r="G80" i="12"/>
  <c r="I79" i="12"/>
  <c r="H79" i="12"/>
  <c r="G79" i="12"/>
  <c r="I78" i="12"/>
  <c r="H78" i="12"/>
  <c r="G78" i="12"/>
  <c r="I77" i="12"/>
  <c r="H77" i="12"/>
  <c r="G77" i="12"/>
  <c r="I76" i="12"/>
  <c r="H76" i="12"/>
  <c r="G76" i="12"/>
  <c r="I75" i="12"/>
  <c r="H75" i="12"/>
  <c r="G75" i="12"/>
  <c r="I74" i="12"/>
  <c r="H74" i="12"/>
  <c r="G74" i="12"/>
  <c r="I73" i="12"/>
  <c r="H73" i="12"/>
  <c r="G73" i="12"/>
  <c r="I72" i="12"/>
  <c r="H72" i="12"/>
  <c r="G72" i="12"/>
  <c r="I71" i="12"/>
  <c r="H71" i="12"/>
  <c r="G71" i="12"/>
  <c r="I70" i="12"/>
  <c r="H70" i="12"/>
  <c r="G70" i="12"/>
  <c r="I69" i="12"/>
  <c r="H69" i="12"/>
  <c r="G69" i="12"/>
  <c r="I68" i="12"/>
  <c r="H68" i="12"/>
  <c r="G68" i="12"/>
  <c r="I67" i="12"/>
  <c r="H67" i="12"/>
  <c r="G67" i="12"/>
  <c r="I66" i="12"/>
  <c r="H66" i="12"/>
  <c r="G66" i="12"/>
  <c r="I65" i="12"/>
  <c r="H65" i="12"/>
  <c r="G65" i="12"/>
  <c r="I64" i="12"/>
  <c r="H64" i="12"/>
  <c r="G64" i="12"/>
  <c r="C774" i="27"/>
  <c r="C773" i="27"/>
  <c r="C772" i="27"/>
  <c r="C771" i="27"/>
  <c r="C770" i="27"/>
  <c r="C769" i="27"/>
  <c r="C768" i="27"/>
  <c r="C767" i="27"/>
  <c r="C766" i="27"/>
  <c r="C765" i="27"/>
  <c r="C764" i="27"/>
  <c r="C763" i="27"/>
  <c r="C762" i="27"/>
  <c r="C761" i="27"/>
  <c r="C760" i="27"/>
  <c r="C759" i="27"/>
  <c r="C758" i="27"/>
  <c r="C757" i="27"/>
  <c r="C756" i="27"/>
  <c r="C755" i="27"/>
  <c r="C754" i="27"/>
  <c r="C753" i="27"/>
  <c r="C752" i="27"/>
  <c r="C751" i="27"/>
  <c r="C750" i="27"/>
  <c r="C749" i="27"/>
  <c r="C748" i="27"/>
  <c r="C747" i="27"/>
  <c r="C746" i="27"/>
  <c r="C745" i="27"/>
  <c r="C744" i="27"/>
  <c r="C743" i="27"/>
  <c r="C742" i="27"/>
  <c r="C741" i="27"/>
  <c r="C740" i="27"/>
  <c r="C739" i="27"/>
  <c r="C738" i="27"/>
  <c r="C737" i="27"/>
  <c r="C736" i="27"/>
  <c r="C735" i="27"/>
  <c r="C734" i="27"/>
  <c r="C733" i="27"/>
  <c r="C732" i="27"/>
  <c r="C731" i="27"/>
  <c r="C730" i="27"/>
  <c r="C729" i="27"/>
  <c r="C728" i="27"/>
  <c r="C727" i="27"/>
  <c r="C726" i="27"/>
  <c r="C725" i="27"/>
  <c r="C724" i="27"/>
  <c r="C723" i="27"/>
  <c r="C722" i="27"/>
  <c r="C721" i="27"/>
  <c r="C720" i="27"/>
  <c r="C719" i="27"/>
  <c r="C718" i="27"/>
  <c r="C717" i="27"/>
  <c r="C716" i="27"/>
  <c r="C715" i="27"/>
  <c r="C714" i="27"/>
  <c r="C713" i="27"/>
  <c r="C712" i="27"/>
  <c r="C711" i="27"/>
  <c r="C710" i="27"/>
  <c r="C709" i="27"/>
  <c r="C708" i="27"/>
  <c r="C707" i="27"/>
  <c r="C706" i="27"/>
  <c r="C705" i="27"/>
  <c r="C704" i="27"/>
  <c r="C703" i="27"/>
  <c r="C702" i="27"/>
  <c r="C701" i="27"/>
  <c r="C700" i="27"/>
  <c r="C699" i="27"/>
  <c r="C698" i="27"/>
  <c r="C697" i="27"/>
  <c r="C696" i="27"/>
  <c r="C695" i="27"/>
  <c r="C694" i="27"/>
  <c r="C693" i="27"/>
  <c r="C692" i="27"/>
  <c r="C691" i="27"/>
  <c r="C690" i="27"/>
  <c r="C689" i="27"/>
  <c r="C688" i="27"/>
  <c r="C687" i="27"/>
  <c r="C686" i="27"/>
  <c r="C685" i="27"/>
  <c r="C684" i="27"/>
  <c r="C683" i="27"/>
  <c r="C682" i="27"/>
  <c r="C681" i="27"/>
  <c r="C680" i="27"/>
  <c r="C679" i="27"/>
  <c r="C678" i="27"/>
  <c r="C677" i="27"/>
  <c r="C676" i="27"/>
  <c r="C675" i="27"/>
  <c r="C674" i="27"/>
  <c r="C673" i="27"/>
  <c r="C672" i="27"/>
  <c r="C671" i="27"/>
  <c r="C670" i="27"/>
  <c r="C669" i="27"/>
  <c r="C668" i="27"/>
  <c r="C667" i="27"/>
  <c r="C666" i="27"/>
  <c r="C665" i="27"/>
  <c r="C664" i="27"/>
  <c r="C663" i="27"/>
  <c r="C662" i="27"/>
  <c r="C661" i="27"/>
  <c r="C660" i="27"/>
  <c r="C659" i="27"/>
  <c r="C658" i="27"/>
  <c r="C657" i="27"/>
  <c r="C656" i="27"/>
  <c r="C655" i="27"/>
  <c r="C654" i="27"/>
  <c r="C653" i="27"/>
  <c r="C652" i="27"/>
  <c r="C651" i="27"/>
  <c r="C650" i="27"/>
  <c r="C649" i="27"/>
  <c r="C648" i="27"/>
  <c r="C647" i="27"/>
  <c r="C646" i="27"/>
  <c r="C645" i="27"/>
  <c r="C644" i="27"/>
  <c r="C643" i="27"/>
  <c r="C642" i="27"/>
  <c r="C641" i="27"/>
  <c r="C640" i="27"/>
  <c r="C639" i="27"/>
  <c r="C638" i="27"/>
  <c r="C637" i="27"/>
  <c r="C636" i="27"/>
  <c r="C635" i="27"/>
  <c r="C634" i="27"/>
  <c r="C633" i="27"/>
  <c r="C632" i="27"/>
  <c r="C631" i="27"/>
  <c r="C630" i="27"/>
  <c r="C629" i="27"/>
  <c r="C628" i="27"/>
  <c r="C627" i="27"/>
  <c r="C626" i="27"/>
  <c r="C625" i="27"/>
  <c r="C624" i="27"/>
  <c r="C623" i="27"/>
  <c r="C622" i="27"/>
  <c r="C621" i="27"/>
  <c r="C620" i="27"/>
  <c r="C619" i="27"/>
  <c r="C618" i="27"/>
  <c r="C617" i="27"/>
  <c r="C616" i="27"/>
  <c r="C615" i="27"/>
  <c r="C614" i="27"/>
  <c r="C613" i="27"/>
  <c r="C612" i="27"/>
  <c r="C611" i="27"/>
  <c r="C610" i="27"/>
  <c r="C609" i="27"/>
  <c r="C608" i="27"/>
  <c r="C607" i="27"/>
  <c r="C606" i="27"/>
  <c r="C605" i="27"/>
  <c r="C604" i="27"/>
  <c r="C603" i="27"/>
  <c r="C602" i="27"/>
  <c r="C601" i="27"/>
  <c r="C600" i="27"/>
  <c r="C599" i="27"/>
  <c r="C598" i="27"/>
  <c r="C597" i="27"/>
  <c r="C596" i="27"/>
  <c r="C595" i="27"/>
  <c r="C594" i="27"/>
  <c r="C593" i="27"/>
  <c r="C592" i="27"/>
  <c r="C591" i="27"/>
  <c r="C590" i="27"/>
  <c r="C589" i="27"/>
  <c r="C588" i="27"/>
  <c r="C587" i="27"/>
  <c r="C586" i="27"/>
  <c r="C585" i="27"/>
  <c r="C584" i="27"/>
  <c r="C583" i="27"/>
  <c r="C582" i="27"/>
  <c r="C581" i="27"/>
  <c r="C580" i="27"/>
  <c r="C579" i="27"/>
  <c r="C578" i="27"/>
  <c r="C577" i="27"/>
  <c r="C576" i="27"/>
  <c r="C575" i="27"/>
  <c r="C574" i="27"/>
  <c r="C573" i="27"/>
  <c r="C572" i="27"/>
  <c r="C571" i="27"/>
  <c r="C570" i="27"/>
  <c r="C569" i="27"/>
  <c r="C568" i="27"/>
  <c r="C567" i="27"/>
  <c r="C566" i="27"/>
  <c r="C565" i="27"/>
  <c r="C564" i="27"/>
  <c r="C563" i="27"/>
  <c r="C562" i="27"/>
  <c r="C561" i="27"/>
  <c r="C560" i="27"/>
  <c r="C559" i="27"/>
  <c r="C558" i="27"/>
  <c r="C557" i="27"/>
  <c r="C556" i="27"/>
  <c r="C555" i="27"/>
  <c r="C554" i="27"/>
  <c r="C553" i="27"/>
  <c r="C552" i="27"/>
  <c r="C551" i="27"/>
  <c r="C550" i="27"/>
  <c r="C549" i="27"/>
  <c r="C548" i="27"/>
  <c r="C547" i="27"/>
  <c r="C546" i="27"/>
  <c r="C545" i="27"/>
  <c r="C544" i="27"/>
  <c r="C543" i="27"/>
  <c r="C542" i="27"/>
  <c r="C541" i="27"/>
  <c r="C540" i="27"/>
  <c r="C539" i="27"/>
  <c r="C538" i="27"/>
  <c r="C537" i="27"/>
  <c r="C536" i="27"/>
  <c r="C535" i="27"/>
  <c r="C534" i="27"/>
  <c r="C533" i="27"/>
  <c r="C532" i="27"/>
  <c r="C531" i="27"/>
  <c r="C530" i="27"/>
  <c r="C529" i="27"/>
  <c r="C528" i="27"/>
  <c r="C527" i="27"/>
  <c r="C526" i="27"/>
  <c r="C525" i="27"/>
  <c r="C524" i="27"/>
  <c r="C523" i="27"/>
  <c r="C522" i="27"/>
  <c r="C521" i="27"/>
  <c r="C520" i="27"/>
  <c r="C519" i="27"/>
  <c r="C518" i="27"/>
  <c r="C517" i="27"/>
  <c r="C516" i="27"/>
  <c r="C515" i="27"/>
  <c r="C514" i="27"/>
  <c r="C513" i="27"/>
  <c r="C512" i="27"/>
  <c r="C511" i="27"/>
  <c r="C510" i="27"/>
  <c r="C509" i="27"/>
  <c r="C508" i="27"/>
  <c r="C507" i="27"/>
  <c r="C506" i="27"/>
  <c r="C505" i="27"/>
  <c r="C504" i="27"/>
  <c r="C503" i="27"/>
  <c r="C502" i="27"/>
  <c r="C501" i="27"/>
  <c r="C500" i="27"/>
  <c r="C499" i="27"/>
  <c r="C498" i="27"/>
  <c r="C497" i="27"/>
  <c r="C496" i="27"/>
  <c r="C495" i="27"/>
  <c r="C494" i="27"/>
  <c r="C493" i="27"/>
  <c r="C492" i="27"/>
  <c r="C491" i="27"/>
  <c r="C490" i="27"/>
  <c r="C489" i="27"/>
  <c r="C488" i="27"/>
  <c r="C487" i="27"/>
  <c r="C486" i="27"/>
  <c r="C485" i="27"/>
  <c r="C484" i="27"/>
  <c r="C483" i="27"/>
  <c r="C482" i="27"/>
  <c r="C481" i="27"/>
  <c r="C480" i="27"/>
  <c r="C479" i="27"/>
  <c r="C478" i="27"/>
  <c r="C477" i="27"/>
  <c r="C476" i="27"/>
  <c r="C475" i="27"/>
  <c r="C474" i="27"/>
  <c r="C473" i="27"/>
  <c r="C472" i="27"/>
  <c r="C471" i="27"/>
  <c r="C470" i="27"/>
  <c r="C469" i="27"/>
  <c r="C468" i="27"/>
  <c r="C467" i="27"/>
  <c r="C466" i="27"/>
  <c r="C465" i="27"/>
  <c r="C464" i="27"/>
  <c r="C463" i="27"/>
  <c r="C462" i="27"/>
  <c r="C461" i="27"/>
  <c r="C460" i="27"/>
  <c r="C459" i="27"/>
  <c r="C458" i="27"/>
  <c r="C457" i="27"/>
  <c r="C456" i="27"/>
  <c r="C455" i="27"/>
  <c r="C454" i="27"/>
  <c r="C453" i="27"/>
  <c r="C452" i="27"/>
  <c r="C451" i="27"/>
  <c r="C450" i="27"/>
  <c r="C449" i="27"/>
  <c r="C448" i="27"/>
  <c r="C447" i="27"/>
  <c r="C446" i="27"/>
  <c r="C445" i="27"/>
  <c r="C444" i="27"/>
  <c r="C443" i="27"/>
  <c r="C442" i="27"/>
  <c r="C441" i="27"/>
  <c r="C440" i="27"/>
  <c r="C439" i="27"/>
  <c r="C438" i="27"/>
  <c r="C437" i="27"/>
  <c r="C436" i="27"/>
  <c r="C435" i="27"/>
  <c r="C434" i="27"/>
  <c r="C433" i="27"/>
  <c r="C432" i="27"/>
  <c r="C431" i="27"/>
  <c r="C430" i="27"/>
  <c r="C429" i="27"/>
  <c r="C428" i="27"/>
  <c r="C427" i="27"/>
  <c r="C426" i="27"/>
  <c r="C425" i="27"/>
  <c r="C424" i="27"/>
  <c r="C423" i="27"/>
  <c r="C422" i="27"/>
  <c r="C421" i="27"/>
  <c r="C420" i="27"/>
  <c r="C419" i="27"/>
  <c r="C418" i="27"/>
  <c r="C417" i="27"/>
  <c r="C416" i="27"/>
  <c r="C415" i="27"/>
  <c r="C414" i="27"/>
  <c r="C413" i="27"/>
  <c r="C412" i="27"/>
  <c r="C411" i="27"/>
  <c r="C410" i="27"/>
  <c r="C409" i="27"/>
  <c r="C408" i="27"/>
  <c r="C407" i="27"/>
  <c r="C406" i="27"/>
  <c r="C405" i="27"/>
  <c r="C404" i="27"/>
  <c r="C403" i="27"/>
  <c r="C402" i="27"/>
  <c r="C401" i="27"/>
  <c r="C400" i="27"/>
  <c r="C399" i="27"/>
  <c r="C398" i="27"/>
  <c r="C397" i="27"/>
  <c r="C396" i="27"/>
  <c r="C395" i="27"/>
  <c r="C394" i="27"/>
  <c r="C393" i="27"/>
  <c r="C392" i="27"/>
  <c r="C391" i="27"/>
  <c r="C390" i="27"/>
  <c r="C389" i="27"/>
  <c r="C388" i="27"/>
  <c r="C387" i="27"/>
  <c r="C386" i="27"/>
  <c r="C385" i="27"/>
  <c r="C384" i="27"/>
  <c r="C383" i="27"/>
  <c r="C382" i="27"/>
  <c r="C381" i="27"/>
  <c r="C380" i="27"/>
  <c r="C379" i="27"/>
  <c r="C378" i="27"/>
  <c r="C377" i="27"/>
  <c r="C376" i="27"/>
  <c r="C375" i="27"/>
  <c r="C374" i="27"/>
  <c r="C373" i="27"/>
  <c r="C372" i="27"/>
  <c r="C371" i="27"/>
  <c r="C370" i="27"/>
  <c r="C369" i="27"/>
  <c r="C368" i="27"/>
  <c r="C367" i="27"/>
  <c r="C366" i="27"/>
  <c r="C365" i="27"/>
  <c r="C364" i="27"/>
  <c r="C363" i="27"/>
  <c r="C362" i="27"/>
  <c r="C361" i="27"/>
  <c r="C360" i="27"/>
  <c r="C359" i="27"/>
  <c r="C358" i="27"/>
  <c r="C357" i="27"/>
  <c r="C356" i="27"/>
  <c r="C355" i="27"/>
  <c r="C354" i="27"/>
  <c r="C353" i="27"/>
  <c r="C352" i="27"/>
  <c r="C351" i="27"/>
  <c r="C350" i="27"/>
  <c r="C349" i="27"/>
  <c r="C348" i="27"/>
  <c r="C347" i="27"/>
  <c r="C346" i="27"/>
  <c r="C345" i="27"/>
  <c r="C344" i="27"/>
  <c r="I132" i="15" s="1"/>
  <c r="C343" i="27"/>
  <c r="H19" i="15"/>
  <c r="C338" i="27"/>
  <c r="G141" i="15"/>
  <c r="C337" i="27"/>
  <c r="H140" i="15" s="1"/>
  <c r="C336" i="27"/>
  <c r="I26" i="12" s="1"/>
  <c r="C335" i="27"/>
  <c r="I25" i="12" s="1"/>
  <c r="C334" i="27"/>
  <c r="G58" i="12" s="1"/>
  <c r="C333" i="27"/>
  <c r="I61" i="15" s="1"/>
  <c r="C332" i="27"/>
  <c r="G60" i="15" s="1"/>
  <c r="C331" i="27"/>
  <c r="H59" i="15" s="1"/>
  <c r="C330" i="27"/>
  <c r="I37" i="12" s="1"/>
  <c r="C329" i="27"/>
  <c r="I13" i="15" s="1"/>
  <c r="C328" i="27"/>
  <c r="H20" i="15" s="1"/>
  <c r="C327" i="27"/>
  <c r="H17" i="15"/>
  <c r="C326" i="27"/>
  <c r="I14" i="12"/>
  <c r="C325" i="27"/>
  <c r="C324" i="27"/>
  <c r="G156" i="15" s="1"/>
  <c r="C323" i="27"/>
  <c r="H18" i="15" s="1"/>
  <c r="C322" i="27"/>
  <c r="H16" i="15" s="1"/>
  <c r="C321" i="27"/>
  <c r="I28" i="12" s="1"/>
  <c r="C320" i="27"/>
  <c r="G153" i="15" s="1"/>
  <c r="C319" i="27"/>
  <c r="I12" i="15" s="1"/>
  <c r="C318" i="27"/>
  <c r="I14" i="15" s="1"/>
  <c r="C317" i="27"/>
  <c r="I9" i="12"/>
  <c r="C316" i="27"/>
  <c r="I33" i="12" s="1"/>
  <c r="C315" i="27"/>
  <c r="G95" i="15" s="1"/>
  <c r="C314" i="27"/>
  <c r="G94" i="15" s="1"/>
  <c r="C313" i="27"/>
  <c r="I85" i="15" s="1"/>
  <c r="C312" i="27"/>
  <c r="I86" i="15" s="1"/>
  <c r="C311" i="27"/>
  <c r="G84" i="15" s="1"/>
  <c r="C310" i="27"/>
  <c r="H150" i="15" s="1"/>
  <c r="C309" i="27"/>
  <c r="I7" i="12" s="1"/>
  <c r="C308" i="27"/>
  <c r="I13" i="12" s="1"/>
  <c r="C307" i="27"/>
  <c r="I15" i="15"/>
  <c r="C306" i="27"/>
  <c r="G24" i="12" s="1"/>
  <c r="C305" i="27"/>
  <c r="I12" i="12" s="1"/>
  <c r="C304" i="27"/>
  <c r="H23" i="12" s="1"/>
  <c r="C303" i="27"/>
  <c r="H59" i="12" s="1"/>
  <c r="C302" i="27"/>
  <c r="I42" i="12" s="1"/>
  <c r="C301" i="27"/>
  <c r="I41" i="12" s="1"/>
  <c r="C300" i="27"/>
  <c r="G35" i="12" s="1"/>
  <c r="C299" i="27"/>
  <c r="I32" i="12" s="1"/>
  <c r="C298" i="27"/>
  <c r="G22" i="12" s="1"/>
  <c r="C297" i="27"/>
  <c r="I21" i="12" s="1"/>
  <c r="C296" i="27"/>
  <c r="I20" i="12" s="1"/>
  <c r="C295" i="27"/>
  <c r="I19" i="12" s="1"/>
  <c r="C294" i="27"/>
  <c r="I48" i="12" s="1"/>
  <c r="C293" i="27"/>
  <c r="H47" i="12" s="1"/>
  <c r="C292" i="27"/>
  <c r="I60" i="12" s="1"/>
  <c r="C291" i="27"/>
  <c r="C290" i="27"/>
  <c r="I57" i="12"/>
  <c r="C289" i="27"/>
  <c r="I55" i="12" s="1"/>
  <c r="C288" i="27"/>
  <c r="G11" i="15" s="1"/>
  <c r="C287" i="27"/>
  <c r="G10" i="15" s="1"/>
  <c r="C286" i="27"/>
  <c r="G9" i="15" s="1"/>
  <c r="C285" i="27"/>
  <c r="H7" i="15" s="1"/>
  <c r="C284" i="27"/>
  <c r="G8" i="15"/>
  <c r="C283" i="27"/>
  <c r="H6" i="15" s="1"/>
  <c r="C282" i="27"/>
  <c r="I56" i="12" s="1"/>
  <c r="C281" i="27"/>
  <c r="I40" i="12" s="1"/>
  <c r="C280" i="27"/>
  <c r="C279" i="27"/>
  <c r="I6" i="12"/>
  <c r="C278" i="27"/>
  <c r="I18" i="12" s="1"/>
  <c r="C277" i="27"/>
  <c r="G17" i="12" s="1"/>
  <c r="C276" i="27"/>
  <c r="I131" i="15" s="1"/>
  <c r="C275" i="27"/>
  <c r="I39" i="12" s="1"/>
  <c r="C274" i="27"/>
  <c r="I5" i="12" s="1"/>
  <c r="C273" i="27"/>
  <c r="I54" i="12" s="1"/>
  <c r="C272" i="27"/>
  <c r="G10" i="12" s="1"/>
  <c r="C271" i="27"/>
  <c r="C270" i="27"/>
  <c r="C269" i="27"/>
  <c r="C268" i="27"/>
  <c r="C267" i="27"/>
  <c r="C266" i="27"/>
  <c r="C265" i="27"/>
  <c r="C264" i="27"/>
  <c r="C263" i="27"/>
  <c r="C262" i="27"/>
  <c r="H273" i="15" s="1"/>
  <c r="C261" i="27"/>
  <c r="C260" i="27"/>
  <c r="G271" i="15" s="1"/>
  <c r="C259" i="27"/>
  <c r="H270" i="15" s="1"/>
  <c r="C258" i="27"/>
  <c r="C257" i="27"/>
  <c r="C256" i="27"/>
  <c r="C255" i="27"/>
  <c r="I266" i="15" s="1"/>
  <c r="C254" i="27"/>
  <c r="I263" i="15" s="1"/>
  <c r="C253" i="27"/>
  <c r="C252" i="27"/>
  <c r="C251" i="27"/>
  <c r="C250" i="27"/>
  <c r="C249" i="27"/>
  <c r="C248" i="27"/>
  <c r="C247" i="27"/>
  <c r="C246" i="27"/>
  <c r="C245" i="27"/>
  <c r="C244" i="27"/>
  <c r="G188" i="15" s="1"/>
  <c r="C243" i="27"/>
  <c r="C242" i="27"/>
  <c r="C241" i="27"/>
  <c r="C240" i="27"/>
  <c r="C239" i="27"/>
  <c r="C238" i="27"/>
  <c r="C237" i="27"/>
  <c r="G251" i="15" s="1"/>
  <c r="C236" i="27"/>
  <c r="H203" i="15" s="1"/>
  <c r="C235" i="27"/>
  <c r="C234" i="27"/>
  <c r="C233" i="27"/>
  <c r="G187" i="15" s="1"/>
  <c r="C232" i="27"/>
  <c r="G199" i="15" s="1"/>
  <c r="C231" i="27"/>
  <c r="G223" i="15"/>
  <c r="C230" i="27"/>
  <c r="C229" i="27"/>
  <c r="C228" i="27"/>
  <c r="C227" i="27"/>
  <c r="C226" i="27"/>
  <c r="C225" i="27"/>
  <c r="C224" i="27"/>
  <c r="G181" i="15" s="1"/>
  <c r="C223" i="27"/>
  <c r="C222" i="27"/>
  <c r="C221" i="27"/>
  <c r="C220" i="27"/>
  <c r="C219" i="27"/>
  <c r="H11" i="12" s="1"/>
  <c r="C218" i="27"/>
  <c r="I27" i="12"/>
  <c r="C217" i="27"/>
  <c r="I272" i="15" s="1"/>
  <c r="C216" i="27"/>
  <c r="C215" i="27"/>
  <c r="I268" i="15" s="1"/>
  <c r="G268" i="15"/>
  <c r="C214" i="27"/>
  <c r="H267" i="15" s="1"/>
  <c r="C213" i="27"/>
  <c r="H262" i="15" s="1"/>
  <c r="C212" i="27"/>
  <c r="G261" i="15" s="1"/>
  <c r="C211" i="27"/>
  <c r="C210" i="27"/>
  <c r="C209" i="27"/>
  <c r="H258" i="15" s="1"/>
  <c r="C208" i="27"/>
  <c r="C207" i="27"/>
  <c r="C206" i="27"/>
  <c r="H208" i="15" s="1"/>
  <c r="C205" i="27"/>
  <c r="H62" i="12" s="1"/>
  <c r="C204" i="27"/>
  <c r="H254" i="15" s="1"/>
  <c r="C203" i="27"/>
  <c r="G265" i="15" s="1"/>
  <c r="C202" i="27"/>
  <c r="I193" i="15" s="1"/>
  <c r="C201" i="27"/>
  <c r="I257" i="15" s="1"/>
  <c r="C200" i="27"/>
  <c r="I255" i="15" s="1"/>
  <c r="C199" i="27"/>
  <c r="H253" i="15" s="1"/>
  <c r="C198" i="27"/>
  <c r="G207" i="15" s="1"/>
  <c r="C197" i="27"/>
  <c r="C196" i="27"/>
  <c r="I51" i="12" s="1"/>
  <c r="C195" i="27"/>
  <c r="H180" i="15" s="1"/>
  <c r="C194" i="27"/>
  <c r="I200" i="15" s="1"/>
  <c r="C193" i="27"/>
  <c r="H264" i="15" s="1"/>
  <c r="I264" i="15"/>
  <c r="C192" i="27"/>
  <c r="G209" i="15" s="1"/>
  <c r="C191" i="27"/>
  <c r="H235" i="15" s="1"/>
  <c r="C190" i="27"/>
  <c r="I194" i="15" s="1"/>
  <c r="C189" i="27"/>
  <c r="G192" i="15" s="1"/>
  <c r="C188" i="27"/>
  <c r="G173" i="15" s="1"/>
  <c r="C187" i="27"/>
  <c r="H168" i="15" s="1"/>
  <c r="I168" i="15"/>
  <c r="C186" i="27"/>
  <c r="G176" i="15" s="1"/>
  <c r="C185" i="27"/>
  <c r="G175" i="15" s="1"/>
  <c r="C184" i="27"/>
  <c r="H174" i="15" s="1"/>
  <c r="G174" i="15"/>
  <c r="C183" i="27"/>
  <c r="G250" i="15" s="1"/>
  <c r="C182" i="27"/>
  <c r="H182" i="15" s="1"/>
  <c r="C181" i="27"/>
  <c r="G234" i="15" s="1"/>
  <c r="C180" i="27"/>
  <c r="G31" i="12" s="1"/>
  <c r="C179" i="27"/>
  <c r="G247" i="15" s="1"/>
  <c r="C178" i="27"/>
  <c r="H246" i="15" s="1"/>
  <c r="G246" i="15"/>
  <c r="C177" i="27"/>
  <c r="G245" i="15" s="1"/>
  <c r="C176" i="27"/>
  <c r="G216" i="15" s="1"/>
  <c r="C175" i="27"/>
  <c r="I244" i="15" s="1"/>
  <c r="C174" i="27"/>
  <c r="I239" i="15" s="1"/>
  <c r="C173" i="27"/>
  <c r="I237" i="15" s="1"/>
  <c r="C172" i="27"/>
  <c r="H220" i="15" s="1"/>
  <c r="C171" i="27"/>
  <c r="G219" i="15" s="1"/>
  <c r="C170" i="27"/>
  <c r="C169" i="27"/>
  <c r="G206" i="15" s="1"/>
  <c r="C168" i="27"/>
  <c r="G227" i="15" s="1"/>
  <c r="I227" i="15"/>
  <c r="C167" i="27"/>
  <c r="I169" i="15" s="1"/>
  <c r="C166" i="27"/>
  <c r="G222" i="15" s="1"/>
  <c r="C165" i="27"/>
  <c r="G184" i="15" s="1"/>
  <c r="C164" i="27"/>
  <c r="G218" i="15" s="1"/>
  <c r="C163" i="27"/>
  <c r="I195" i="15" s="1"/>
  <c r="C162" i="27"/>
  <c r="G50" i="12" s="1"/>
  <c r="C161" i="27"/>
  <c r="I190" i="15" s="1"/>
  <c r="C160" i="27"/>
  <c r="G191" i="15" s="1"/>
  <c r="C159" i="27"/>
  <c r="I189" i="15" s="1"/>
  <c r="C158" i="27"/>
  <c r="H217" i="15" s="1"/>
  <c r="G217" i="15"/>
  <c r="C157" i="27"/>
  <c r="H2" i="12" s="1"/>
  <c r="C156" i="27"/>
  <c r="H178" i="15" s="1"/>
  <c r="C155" i="27"/>
  <c r="I165" i="15" s="1"/>
  <c r="C154" i="27"/>
  <c r="I164" i="15" s="1"/>
  <c r="C153" i="27"/>
  <c r="G163" i="15" s="1"/>
  <c r="C152" i="27"/>
  <c r="I161" i="15" s="1"/>
  <c r="C151" i="27"/>
  <c r="I160" i="15" s="1"/>
  <c r="C150" i="27"/>
  <c r="H159" i="15" s="1"/>
  <c r="C149" i="27"/>
  <c r="H158" i="15" s="1"/>
  <c r="C148" i="27"/>
  <c r="I157" i="15" s="1"/>
  <c r="C147" i="27"/>
  <c r="C146" i="27"/>
  <c r="I154" i="15" s="1"/>
  <c r="C145" i="27"/>
  <c r="H152" i="15" s="1"/>
  <c r="C144" i="27"/>
  <c r="G155" i="15" s="1"/>
  <c r="C143" i="27"/>
  <c r="H151" i="15" s="1"/>
  <c r="C142" i="27"/>
  <c r="H149" i="15" s="1"/>
  <c r="C141" i="27"/>
  <c r="H148" i="15" s="1"/>
  <c r="I148" i="15"/>
  <c r="C140" i="27"/>
  <c r="I147" i="15" s="1"/>
  <c r="C139" i="27"/>
  <c r="H146" i="15" s="1"/>
  <c r="C138" i="27"/>
  <c r="G145" i="15" s="1"/>
  <c r="C137" i="27"/>
  <c r="H144" i="15" s="1"/>
  <c r="C136" i="27"/>
  <c r="C135" i="27"/>
  <c r="G143" i="15" s="1"/>
  <c r="C134" i="27"/>
  <c r="G129" i="15" s="1"/>
  <c r="C133" i="27"/>
  <c r="I128" i="15" s="1"/>
  <c r="H128" i="15"/>
  <c r="C132" i="27"/>
  <c r="C131" i="27"/>
  <c r="G127" i="15" s="1"/>
  <c r="H127" i="15"/>
  <c r="C130" i="27"/>
  <c r="G124" i="15" s="1"/>
  <c r="C129" i="27"/>
  <c r="C128" i="27"/>
  <c r="C127" i="27"/>
  <c r="I126" i="15" s="1"/>
  <c r="C126" i="27"/>
  <c r="H125" i="15" s="1"/>
  <c r="C125" i="27"/>
  <c r="H123" i="15" s="1"/>
  <c r="C124" i="27"/>
  <c r="I122" i="15" s="1"/>
  <c r="C123" i="27"/>
  <c r="C122" i="27"/>
  <c r="G120" i="15" s="1"/>
  <c r="C121" i="27"/>
  <c r="I119" i="15" s="1"/>
  <c r="C120" i="27"/>
  <c r="H118" i="15" s="1"/>
  <c r="C119" i="27"/>
  <c r="G117" i="15" s="1"/>
  <c r="C118" i="27"/>
  <c r="C117" i="27"/>
  <c r="H116" i="15" s="1"/>
  <c r="C116" i="27"/>
  <c r="H115" i="15" s="1"/>
  <c r="C115" i="27"/>
  <c r="I114" i="15" s="1"/>
  <c r="C114" i="27"/>
  <c r="C113" i="27"/>
  <c r="G113" i="15" s="1"/>
  <c r="H113" i="15"/>
  <c r="C112" i="27"/>
  <c r="H112" i="15" s="1"/>
  <c r="C111" i="27"/>
  <c r="H111" i="15" s="1"/>
  <c r="I111" i="15"/>
  <c r="C110" i="27"/>
  <c r="I110" i="15" s="1"/>
  <c r="C109" i="27"/>
  <c r="I109" i="15" s="1"/>
  <c r="C108" i="27"/>
  <c r="G108" i="15" s="1"/>
  <c r="C107" i="27"/>
  <c r="C106" i="27"/>
  <c r="G107" i="15" s="1"/>
  <c r="C105" i="27"/>
  <c r="I106" i="15" s="1"/>
  <c r="C104" i="27"/>
  <c r="I105" i="15" s="1"/>
  <c r="G105" i="15"/>
  <c r="C103" i="27"/>
  <c r="H104" i="15" s="1"/>
  <c r="C102" i="27"/>
  <c r="C101" i="27"/>
  <c r="G103" i="15" s="1"/>
  <c r="C100" i="27"/>
  <c r="H96" i="15" s="1"/>
  <c r="G96" i="15"/>
  <c r="C99" i="27"/>
  <c r="I102" i="15" s="1"/>
  <c r="C98" i="27"/>
  <c r="C97" i="27"/>
  <c r="G101" i="15" s="1"/>
  <c r="C96" i="27"/>
  <c r="H100" i="15" s="1"/>
  <c r="C95" i="27"/>
  <c r="I99" i="15" s="1"/>
  <c r="C94" i="27"/>
  <c r="H98" i="15" s="1"/>
  <c r="C93" i="27"/>
  <c r="H97" i="15" s="1"/>
  <c r="C92" i="27"/>
  <c r="C91" i="27"/>
  <c r="H130" i="15" s="1"/>
  <c r="G130" i="15"/>
  <c r="C90" i="27"/>
  <c r="I93" i="15" s="1"/>
  <c r="G93" i="15"/>
  <c r="C89" i="27"/>
  <c r="C88" i="27"/>
  <c r="I91" i="15" s="1"/>
  <c r="C87" i="27"/>
  <c r="C86" i="27"/>
  <c r="C85" i="27"/>
  <c r="G90" i="15" s="1"/>
  <c r="C84" i="27"/>
  <c r="G89" i="15" s="1"/>
  <c r="C83" i="27"/>
  <c r="I88" i="15" s="1"/>
  <c r="C82" i="27"/>
  <c r="I87" i="15" s="1"/>
  <c r="C81" i="27"/>
  <c r="I83" i="15" s="1"/>
  <c r="G83" i="15"/>
  <c r="C80" i="27"/>
  <c r="C79" i="27"/>
  <c r="C78" i="27"/>
  <c r="C77" i="27"/>
  <c r="C76" i="27"/>
  <c r="I81" i="15" s="1"/>
  <c r="C75" i="27"/>
  <c r="I80" i="15" s="1"/>
  <c r="H80" i="15"/>
  <c r="C74" i="27"/>
  <c r="C73" i="27"/>
  <c r="H78" i="15" s="1"/>
  <c r="C72" i="27"/>
  <c r="I82" i="15" s="1"/>
  <c r="G82" i="15"/>
  <c r="C71" i="27"/>
  <c r="G77" i="15" s="1"/>
  <c r="C70" i="27"/>
  <c r="I76" i="15" s="1"/>
  <c r="C69" i="27"/>
  <c r="I75" i="15" s="1"/>
  <c r="C68" i="27"/>
  <c r="H74" i="15" s="1"/>
  <c r="C67" i="27"/>
  <c r="H73" i="15" s="1"/>
  <c r="I73" i="15"/>
  <c r="C66" i="27"/>
  <c r="C65" i="27"/>
  <c r="H72" i="15" s="1"/>
  <c r="C64" i="27"/>
  <c r="I71" i="15" s="1"/>
  <c r="C63" i="27"/>
  <c r="H139" i="15" s="1"/>
  <c r="C62" i="27"/>
  <c r="G138" i="15" s="1"/>
  <c r="C61" i="27"/>
  <c r="G137" i="15" s="1"/>
  <c r="H137" i="15"/>
  <c r="C60" i="27"/>
  <c r="H136" i="15" s="1"/>
  <c r="C59" i="27"/>
  <c r="I135" i="15" s="1"/>
  <c r="C58" i="27"/>
  <c r="H133" i="15" s="1"/>
  <c r="C57" i="27"/>
  <c r="I68" i="15" s="1"/>
  <c r="C56" i="27"/>
  <c r="H67" i="15" s="1"/>
  <c r="C55" i="27"/>
  <c r="I66" i="15" s="1"/>
  <c r="H66" i="15"/>
  <c r="C54" i="27"/>
  <c r="H65" i="15" s="1"/>
  <c r="C53" i="27"/>
  <c r="C52" i="27"/>
  <c r="G64" i="15" s="1"/>
  <c r="C51" i="27"/>
  <c r="G63" i="15" s="1"/>
  <c r="C50" i="27"/>
  <c r="I62" i="15" s="1"/>
  <c r="C49" i="27"/>
  <c r="H58" i="15" s="1"/>
  <c r="C48" i="27"/>
  <c r="H57" i="15" s="1"/>
  <c r="C47" i="27"/>
  <c r="G56" i="15" s="1"/>
  <c r="C46" i="27"/>
  <c r="H55" i="15" s="1"/>
  <c r="C45" i="27"/>
  <c r="H54" i="15" s="1"/>
  <c r="C44" i="27"/>
  <c r="I53" i="15" s="1"/>
  <c r="C43" i="27"/>
  <c r="G52" i="15" s="1"/>
  <c r="C42" i="27"/>
  <c r="C41" i="27"/>
  <c r="G51" i="15" s="1"/>
  <c r="C40" i="27"/>
  <c r="G50" i="15" s="1"/>
  <c r="C39" i="27"/>
  <c r="I49" i="15" s="1"/>
  <c r="C38" i="27"/>
  <c r="G48" i="15" s="1"/>
  <c r="C37" i="27"/>
  <c r="G47" i="15" s="1"/>
  <c r="C36" i="27"/>
  <c r="I46" i="15" s="1"/>
  <c r="C35" i="27"/>
  <c r="I45" i="15" s="1"/>
  <c r="C34" i="27"/>
  <c r="G44" i="15" s="1"/>
  <c r="H44" i="15"/>
  <c r="C33" i="27"/>
  <c r="G43" i="15" s="1"/>
  <c r="C32" i="27"/>
  <c r="H42" i="15" s="1"/>
  <c r="C31" i="27"/>
  <c r="H41" i="15" s="1"/>
  <c r="C30" i="27"/>
  <c r="G40" i="15" s="1"/>
  <c r="C29" i="27"/>
  <c r="G39" i="15" s="1"/>
  <c r="C28" i="27"/>
  <c r="I38" i="15" s="1"/>
  <c r="C27" i="27"/>
  <c r="I37" i="15" s="1"/>
  <c r="C26" i="27"/>
  <c r="G36" i="15" s="1"/>
  <c r="C25" i="27"/>
  <c r="G35" i="15" s="1"/>
  <c r="C24" i="27"/>
  <c r="I34" i="15" s="1"/>
  <c r="G34" i="15"/>
  <c r="C23" i="27"/>
  <c r="C22" i="27"/>
  <c r="C21" i="27"/>
  <c r="I33" i="15" s="1"/>
  <c r="G33" i="15"/>
  <c r="C20" i="27"/>
  <c r="G32" i="15" s="1"/>
  <c r="C19" i="27"/>
  <c r="G31" i="15" s="1"/>
  <c r="C18" i="27"/>
  <c r="G30" i="15" s="1"/>
  <c r="C17" i="27"/>
  <c r="G29" i="15" s="1"/>
  <c r="C16" i="27"/>
  <c r="H28" i="15" s="1"/>
  <c r="C15" i="27"/>
  <c r="G27" i="15" s="1"/>
  <c r="C14" i="27"/>
  <c r="I26" i="15" s="1"/>
  <c r="C13" i="27"/>
  <c r="I25" i="15" s="1"/>
  <c r="C12" i="27"/>
  <c r="G24" i="15" s="1"/>
  <c r="C11" i="27"/>
  <c r="G23" i="15" s="1"/>
  <c r="C10" i="27"/>
  <c r="H22" i="15" s="1"/>
  <c r="G22" i="15"/>
  <c r="C9" i="27"/>
  <c r="I21" i="15" s="1"/>
  <c r="C8" i="27"/>
  <c r="C7" i="27"/>
  <c r="C6" i="27"/>
  <c r="C5" i="27"/>
  <c r="I3" i="15" s="1"/>
  <c r="C4" i="27"/>
  <c r="H5" i="15" s="1"/>
  <c r="C3" i="27"/>
  <c r="H4" i="15" s="1"/>
  <c r="C2" i="27"/>
  <c r="I2" i="15" s="1"/>
  <c r="G2" i="15"/>
  <c r="G140" i="15"/>
  <c r="G128" i="15"/>
  <c r="G80" i="15"/>
  <c r="G20" i="15"/>
  <c r="G7" i="15"/>
  <c r="H88" i="15"/>
  <c r="H15" i="15"/>
  <c r="I156" i="15"/>
  <c r="I84" i="15"/>
  <c r="I60" i="15"/>
  <c r="I24" i="15"/>
  <c r="I11" i="15"/>
  <c r="G168" i="15"/>
  <c r="G57" i="12"/>
  <c r="G33" i="12"/>
  <c r="G9" i="12"/>
  <c r="H58" i="12"/>
  <c r="H22" i="12"/>
  <c r="H10" i="12"/>
  <c r="I59" i="12"/>
  <c r="I47" i="12"/>
  <c r="I35" i="12"/>
  <c r="I23" i="12"/>
  <c r="I11" i="12"/>
  <c r="G115" i="15"/>
  <c r="G91" i="15"/>
  <c r="G18" i="15"/>
  <c r="G6" i="15"/>
  <c r="H14" i="15"/>
  <c r="I59" i="15"/>
  <c r="I10" i="15"/>
  <c r="H271" i="15"/>
  <c r="H247" i="15"/>
  <c r="H223" i="15"/>
  <c r="H211" i="15"/>
  <c r="H199" i="15"/>
  <c r="I273" i="15"/>
  <c r="G263" i="15"/>
  <c r="G203" i="15"/>
  <c r="G56" i="12"/>
  <c r="G32" i="12"/>
  <c r="G20" i="12"/>
  <c r="H57" i="12"/>
  <c r="H33" i="12"/>
  <c r="H21" i="12"/>
  <c r="H9" i="12"/>
  <c r="I58" i="12"/>
  <c r="I22" i="12"/>
  <c r="I10" i="12"/>
  <c r="G150" i="15"/>
  <c r="G17" i="15"/>
  <c r="G5" i="15"/>
  <c r="H86" i="15"/>
  <c r="I142" i="15"/>
  <c r="I130" i="15"/>
  <c r="I118" i="15"/>
  <c r="I94" i="15"/>
  <c r="I58" i="15"/>
  <c r="I260" i="15"/>
  <c r="G55" i="12"/>
  <c r="G19" i="12"/>
  <c r="H56" i="12"/>
  <c r="H32" i="12"/>
  <c r="H20" i="12"/>
  <c r="I45" i="12"/>
  <c r="G125" i="15"/>
  <c r="G16" i="15"/>
  <c r="G4" i="15"/>
  <c r="H85" i="15"/>
  <c r="H61" i="15"/>
  <c r="H12" i="15"/>
  <c r="I153" i="15"/>
  <c r="I141" i="15"/>
  <c r="I8" i="15"/>
  <c r="H257" i="15"/>
  <c r="H173" i="15"/>
  <c r="I271" i="15"/>
  <c r="I259" i="15"/>
  <c r="I247" i="15"/>
  <c r="I223" i="15"/>
  <c r="I199" i="15"/>
  <c r="G42" i="12"/>
  <c r="G6" i="12"/>
  <c r="H55" i="12"/>
  <c r="H19" i="12"/>
  <c r="G112" i="15"/>
  <c r="G15" i="15"/>
  <c r="H156" i="15"/>
  <c r="H132" i="15"/>
  <c r="H84" i="15"/>
  <c r="H60" i="15"/>
  <c r="H11" i="15"/>
  <c r="I140" i="15"/>
  <c r="I116" i="15"/>
  <c r="I20" i="15"/>
  <c r="I7" i="15"/>
  <c r="I270" i="15"/>
  <c r="I246" i="15"/>
  <c r="G41" i="12"/>
  <c r="G5" i="12"/>
  <c r="H42" i="12"/>
  <c r="H6" i="12"/>
  <c r="G135" i="15"/>
  <c r="G123" i="15"/>
  <c r="G14" i="15"/>
  <c r="H119" i="15"/>
  <c r="H10" i="15"/>
  <c r="I115" i="15"/>
  <c r="I18" i="15"/>
  <c r="I6" i="15"/>
  <c r="I173" i="15"/>
  <c r="G211" i="15"/>
  <c r="G40" i="12"/>
  <c r="G28" i="12"/>
  <c r="G16" i="12"/>
  <c r="H41" i="12"/>
  <c r="H17" i="12"/>
  <c r="H5" i="12"/>
  <c r="G86" i="15"/>
  <c r="G13" i="15"/>
  <c r="H106" i="15"/>
  <c r="H94" i="15"/>
  <c r="H46" i="15"/>
  <c r="I150" i="15"/>
  <c r="I78" i="15"/>
  <c r="I17" i="15"/>
  <c r="I5" i="15"/>
  <c r="H266" i="15"/>
  <c r="H206" i="15"/>
  <c r="I256" i="15"/>
  <c r="G39" i="12"/>
  <c r="G27" i="12"/>
  <c r="G3" i="12"/>
  <c r="H40" i="12"/>
  <c r="H28" i="12"/>
  <c r="H16" i="12"/>
  <c r="G85" i="15"/>
  <c r="G73" i="15"/>
  <c r="G61" i="15"/>
  <c r="G12" i="15"/>
  <c r="H153" i="15"/>
  <c r="H141" i="15"/>
  <c r="H8" i="15"/>
  <c r="I149" i="15"/>
  <c r="I125" i="15"/>
  <c r="I16" i="15"/>
  <c r="I4" i="15"/>
  <c r="I219" i="15"/>
  <c r="G257" i="15"/>
  <c r="G26" i="12"/>
  <c r="G14" i="12"/>
  <c r="H39" i="12"/>
  <c r="H27" i="12"/>
  <c r="H3" i="12"/>
  <c r="H204" i="15"/>
  <c r="I206" i="15"/>
  <c r="G61" i="12"/>
  <c r="G37" i="12"/>
  <c r="G25" i="12"/>
  <c r="G13" i="12"/>
  <c r="H26" i="12"/>
  <c r="H14" i="12"/>
  <c r="H263" i="15"/>
  <c r="G255" i="15"/>
  <c r="G60" i="12"/>
  <c r="G36" i="12"/>
  <c r="G12" i="12"/>
  <c r="H37" i="12"/>
  <c r="H25" i="12"/>
  <c r="H13" i="12"/>
  <c r="G19" i="15"/>
  <c r="G59" i="12"/>
  <c r="G47" i="12"/>
  <c r="G23" i="12"/>
  <c r="G11" i="12"/>
  <c r="H60" i="12"/>
  <c r="H36" i="12"/>
  <c r="H24" i="12"/>
  <c r="H12" i="12"/>
  <c r="I19" i="15"/>
  <c r="I70" i="15" l="1"/>
  <c r="H70" i="15"/>
  <c r="G70" i="15"/>
  <c r="I251" i="15"/>
  <c r="G270" i="15"/>
  <c r="G148" i="15"/>
  <c r="H209" i="15"/>
  <c r="H251" i="15"/>
  <c r="H21" i="15"/>
  <c r="I3" i="12"/>
  <c r="H24" i="15"/>
  <c r="G264" i="15"/>
  <c r="H50" i="15"/>
  <c r="H219" i="15"/>
  <c r="H54" i="12"/>
  <c r="H194" i="15"/>
  <c r="G54" i="12"/>
  <c r="I120" i="15"/>
  <c r="G49" i="15"/>
  <c r="I43" i="15"/>
  <c r="G2" i="12"/>
  <c r="G190" i="15"/>
  <c r="H39" i="15"/>
  <c r="I28" i="15"/>
  <c r="G46" i="15"/>
  <c r="H91" i="15"/>
  <c r="H101" i="15"/>
  <c r="G194" i="15"/>
  <c r="I32" i="15"/>
  <c r="I103" i="15"/>
  <c r="I174" i="15"/>
  <c r="H63" i="15"/>
  <c r="I191" i="15"/>
  <c r="I16" i="12"/>
  <c r="G266" i="15"/>
  <c r="I30" i="15"/>
  <c r="H27" i="15"/>
  <c r="H35" i="15"/>
  <c r="I96" i="15"/>
  <c r="H61" i="12"/>
  <c r="G109" i="15"/>
  <c r="G62" i="15"/>
  <c r="I245" i="15"/>
  <c r="H47" i="15"/>
  <c r="H175" i="15"/>
  <c r="I108" i="15"/>
  <c r="G116" i="15"/>
  <c r="G21" i="15"/>
  <c r="H30" i="15"/>
  <c r="G71" i="15"/>
  <c r="G119" i="15"/>
  <c r="H216" i="15"/>
  <c r="G52" i="12"/>
  <c r="G200" i="15"/>
  <c r="G157" i="15"/>
  <c r="H195" i="15"/>
  <c r="H83" i="15"/>
  <c r="H109" i="15"/>
  <c r="G57" i="15"/>
  <c r="H163" i="15"/>
  <c r="G253" i="15"/>
  <c r="H49" i="15"/>
  <c r="H81" i="15"/>
  <c r="G158" i="15"/>
  <c r="H108" i="15"/>
  <c r="G30" i="12"/>
  <c r="H145" i="15"/>
  <c r="H129" i="15"/>
  <c r="H255" i="15"/>
  <c r="H120" i="15"/>
  <c r="H245" i="15"/>
  <c r="H157" i="15"/>
  <c r="I176" i="15"/>
  <c r="H45" i="12"/>
  <c r="G45" i="12"/>
  <c r="H3" i="15"/>
  <c r="G164" i="15"/>
  <c r="I40" i="15"/>
  <c r="G58" i="15"/>
  <c r="H164" i="15"/>
  <c r="G195" i="15"/>
  <c r="G182" i="15"/>
  <c r="I61" i="12"/>
  <c r="I17" i="12"/>
  <c r="I217" i="15"/>
  <c r="H34" i="15"/>
  <c r="H40" i="15"/>
  <c r="I253" i="15"/>
  <c r="I218" i="15"/>
  <c r="I44" i="15"/>
  <c r="G273" i="15"/>
  <c r="I57" i="15"/>
  <c r="G78" i="15"/>
  <c r="H52" i="15"/>
  <c r="H227" i="15"/>
  <c r="H265" i="15"/>
  <c r="G37" i="15"/>
  <c r="H82" i="15"/>
  <c r="I55" i="15"/>
  <c r="G88" i="15"/>
  <c r="I175" i="15"/>
  <c r="G161" i="15"/>
  <c r="G102" i="15"/>
  <c r="I47" i="15"/>
  <c r="H64" i="15"/>
  <c r="I64" i="15"/>
  <c r="I216" i="15"/>
  <c r="G272" i="15"/>
  <c r="G100" i="15"/>
  <c r="H38" i="12"/>
  <c r="G75" i="15"/>
  <c r="G201" i="15"/>
  <c r="H135" i="15"/>
  <c r="H200" i="15"/>
  <c r="H29" i="15"/>
  <c r="H43" i="15"/>
  <c r="H77" i="15"/>
  <c r="H189" i="15"/>
  <c r="G169" i="15"/>
  <c r="I4" i="12"/>
  <c r="I52" i="12"/>
  <c r="G147" i="15"/>
  <c r="G160" i="15"/>
  <c r="I117" i="15"/>
  <c r="I265" i="15"/>
  <c r="I29" i="15"/>
  <c r="G110" i="15"/>
  <c r="I185" i="15"/>
  <c r="I211" i="15"/>
  <c r="I129" i="15"/>
  <c r="G239" i="15"/>
  <c r="I23" i="15"/>
  <c r="I72" i="15"/>
  <c r="G45" i="15"/>
  <c r="I52" i="15"/>
  <c r="I63" i="15"/>
  <c r="G72" i="15"/>
  <c r="H190" i="15"/>
  <c r="G134" i="15"/>
  <c r="H147" i="15"/>
  <c r="I258" i="15"/>
  <c r="G98" i="15"/>
  <c r="I127" i="15"/>
  <c r="H191" i="15"/>
  <c r="I41" i="15"/>
  <c r="H165" i="15"/>
  <c r="H52" i="12"/>
  <c r="H23" i="15"/>
  <c r="H18" i="12"/>
  <c r="I35" i="15"/>
  <c r="G55" i="15"/>
  <c r="H160" i="15"/>
  <c r="H32" i="15"/>
  <c r="I39" i="15"/>
  <c r="I133" i="15"/>
  <c r="H103" i="15"/>
  <c r="H126" i="15"/>
  <c r="G165" i="15"/>
  <c r="H201" i="15"/>
  <c r="G41" i="15"/>
  <c r="I201" i="15"/>
  <c r="G38" i="12"/>
  <c r="H71" i="15"/>
  <c r="I56" i="15"/>
  <c r="G3" i="15"/>
  <c r="I27" i="15"/>
  <c r="I136" i="15"/>
  <c r="G118" i="15"/>
  <c r="I2" i="12"/>
  <c r="I203" i="15"/>
  <c r="G59" i="15"/>
  <c r="I65" i="15"/>
  <c r="I89" i="15"/>
  <c r="G18" i="12"/>
  <c r="G65" i="15"/>
  <c r="H192" i="15"/>
  <c r="I137" i="15"/>
  <c r="G4" i="12"/>
  <c r="H122" i="15"/>
  <c r="G151" i="15"/>
  <c r="H56" i="15"/>
  <c r="I100" i="15"/>
  <c r="G220" i="15"/>
  <c r="G208" i="15"/>
  <c r="G267" i="15"/>
  <c r="H51" i="15"/>
  <c r="I24" i="12"/>
  <c r="I207" i="15"/>
  <c r="H105" i="15"/>
  <c r="I30" i="12"/>
  <c r="H222" i="15"/>
  <c r="I267" i="15"/>
  <c r="I77" i="15"/>
  <c r="H117" i="15"/>
  <c r="G133" i="15"/>
  <c r="G63" i="12"/>
  <c r="I209" i="15"/>
  <c r="H143" i="15"/>
  <c r="I44" i="12"/>
  <c r="H37" i="15"/>
  <c r="H234" i="15"/>
  <c r="H38" i="15"/>
  <c r="G114" i="15"/>
  <c r="G180" i="15"/>
  <c r="H102" i="15"/>
  <c r="H114" i="15"/>
  <c r="I158" i="15"/>
  <c r="G258" i="15"/>
  <c r="H239" i="15"/>
  <c r="H30" i="12"/>
  <c r="H26" i="15"/>
  <c r="G126" i="15"/>
  <c r="H187" i="15"/>
  <c r="H142" i="15"/>
  <c r="H33" i="15"/>
  <c r="I222" i="15"/>
  <c r="G189" i="15"/>
  <c r="H44" i="12"/>
  <c r="G51" i="12"/>
  <c r="I234" i="15"/>
  <c r="H169" i="15"/>
  <c r="G198" i="15"/>
  <c r="H155" i="15"/>
  <c r="G44" i="12"/>
  <c r="H181" i="15"/>
  <c r="I101" i="15"/>
  <c r="I53" i="12"/>
  <c r="I208" i="15"/>
  <c r="I152" i="15"/>
  <c r="H43" i="12"/>
  <c r="I187" i="15"/>
  <c r="G43" i="12"/>
  <c r="H62" i="15"/>
  <c r="I63" i="12"/>
  <c r="H51" i="12"/>
  <c r="H193" i="15"/>
  <c r="I113" i="15"/>
  <c r="H4" i="12"/>
  <c r="I220" i="15"/>
  <c r="G26" i="15"/>
  <c r="H53" i="12"/>
  <c r="I151" i="15"/>
  <c r="G28" i="15"/>
  <c r="I22" i="15"/>
  <c r="I143" i="15"/>
  <c r="G67" i="15"/>
  <c r="I50" i="15"/>
  <c r="G81" i="15"/>
  <c r="I98" i="15"/>
  <c r="I123" i="15"/>
  <c r="I180" i="15"/>
  <c r="G193" i="15"/>
  <c r="G152" i="15"/>
  <c r="G139" i="15"/>
  <c r="H99" i="15"/>
  <c r="I181" i="15"/>
  <c r="I163" i="15"/>
  <c r="H244" i="15"/>
  <c r="I155" i="15"/>
  <c r="I198" i="15"/>
  <c r="H198" i="15"/>
  <c r="I182" i="15"/>
  <c r="H63" i="12"/>
  <c r="G38" i="15"/>
  <c r="I262" i="15"/>
  <c r="I192" i="15"/>
  <c r="I138" i="15"/>
  <c r="G99" i="15"/>
  <c r="G53" i="12"/>
  <c r="H268" i="15"/>
  <c r="G262" i="15"/>
  <c r="H176" i="15"/>
  <c r="I51" i="15"/>
  <c r="H161" i="15"/>
  <c r="H7" i="12"/>
  <c r="H92" i="15"/>
  <c r="G92" i="15"/>
  <c r="I92" i="15"/>
  <c r="G104" i="15"/>
  <c r="I104" i="15"/>
  <c r="H48" i="12"/>
  <c r="H50" i="12"/>
  <c r="G25" i="15"/>
  <c r="I184" i="15"/>
  <c r="H29" i="12"/>
  <c r="G87" i="15"/>
  <c r="G178" i="15"/>
  <c r="H79" i="15"/>
  <c r="I79" i="15"/>
  <c r="I196" i="15"/>
  <c r="H95" i="15"/>
  <c r="I67" i="15"/>
  <c r="G76" i="15"/>
  <c r="H13" i="15"/>
  <c r="I34" i="12"/>
  <c r="H75" i="15"/>
  <c r="G79" i="15"/>
  <c r="I36" i="15"/>
  <c r="I74" i="15"/>
  <c r="G74" i="15"/>
  <c r="I112" i="15"/>
  <c r="G260" i="15"/>
  <c r="H260" i="15"/>
  <c r="G46" i="12"/>
  <c r="I269" i="15"/>
  <c r="I252" i="15"/>
  <c r="G15" i="12"/>
  <c r="H15" i="12"/>
  <c r="I29" i="12"/>
  <c r="H48" i="15"/>
  <c r="H49" i="12"/>
  <c r="H45" i="15"/>
  <c r="H9" i="15"/>
  <c r="H269" i="15"/>
  <c r="G149" i="15"/>
  <c r="H237" i="15"/>
  <c r="G237" i="15"/>
  <c r="G259" i="15"/>
  <c r="H259" i="15"/>
  <c r="H68" i="15"/>
  <c r="H207" i="15"/>
  <c r="H107" i="15"/>
  <c r="G111" i="15"/>
  <c r="G29" i="12"/>
  <c r="H184" i="15"/>
  <c r="H25" i="15"/>
  <c r="I9" i="15"/>
  <c r="G42" i="15"/>
  <c r="I46" i="12"/>
  <c r="I95" i="15"/>
  <c r="H87" i="15"/>
  <c r="G252" i="15"/>
  <c r="I48" i="15"/>
  <c r="H138" i="15"/>
  <c r="H89" i="15"/>
  <c r="G106" i="15"/>
  <c r="G244" i="15"/>
  <c r="I49" i="12"/>
  <c r="I36" i="12"/>
  <c r="H35" i="12"/>
  <c r="H36" i="15"/>
  <c r="I42" i="15"/>
  <c r="H196" i="15"/>
  <c r="G54" i="15"/>
  <c r="I107" i="15"/>
  <c r="H34" i="12"/>
  <c r="H53" i="15"/>
  <c r="G53" i="15"/>
  <c r="G254" i="15"/>
  <c r="I254" i="15"/>
  <c r="G48" i="12"/>
  <c r="G49" i="12"/>
  <c r="H93" i="15"/>
  <c r="I54" i="15"/>
  <c r="I139" i="15"/>
  <c r="H131" i="15"/>
  <c r="I235" i="15"/>
  <c r="I188" i="15"/>
  <c r="G66" i="15"/>
  <c r="H46" i="12"/>
  <c r="I178" i="15"/>
  <c r="H76" i="15"/>
  <c r="H31" i="15"/>
  <c r="G68" i="15"/>
  <c r="H90" i="15"/>
  <c r="I97" i="15"/>
  <c r="I159" i="15"/>
  <c r="I50" i="12"/>
  <c r="G34" i="12"/>
  <c r="I204" i="15"/>
  <c r="G204" i="15"/>
  <c r="I62" i="12"/>
  <c r="G196" i="15"/>
  <c r="H252" i="15"/>
  <c r="G97" i="15"/>
  <c r="I90" i="15"/>
  <c r="G122" i="15"/>
  <c r="G159" i="15"/>
  <c r="H256" i="15"/>
  <c r="G136" i="15"/>
  <c r="I250" i="15"/>
  <c r="G144" i="15"/>
  <c r="I144" i="15"/>
  <c r="G235" i="15"/>
  <c r="I43" i="12"/>
  <c r="H261" i="15"/>
  <c r="H250" i="15"/>
  <c r="I15" i="12"/>
  <c r="G256" i="15"/>
  <c r="G62" i="12"/>
  <c r="G146" i="15"/>
  <c r="H2" i="15"/>
  <c r="G7" i="12"/>
  <c r="G21" i="12"/>
  <c r="I124" i="15"/>
  <c r="H124" i="15"/>
  <c r="I145" i="15"/>
  <c r="I8" i="12"/>
  <c r="G8" i="12"/>
  <c r="H8" i="12"/>
  <c r="I31" i="15"/>
  <c r="I121" i="15"/>
  <c r="G121" i="15"/>
  <c r="G269" i="15"/>
  <c r="H218" i="15"/>
  <c r="H154" i="15"/>
  <c r="H121" i="15"/>
  <c r="H110" i="15"/>
  <c r="I261" i="15"/>
  <c r="H188" i="15"/>
  <c r="I146" i="15"/>
  <c r="G154" i="15"/>
  <c r="G131" i="15"/>
  <c r="G132" i="15"/>
  <c r="G185" i="15"/>
  <c r="H185" i="15"/>
  <c r="H31" i="12"/>
  <c r="I31" i="12"/>
  <c r="I38" i="12"/>
  <c r="H272" i="15"/>
  <c r="G69" i="15"/>
  <c r="H69" i="15"/>
</calcChain>
</file>

<file path=xl/sharedStrings.xml><?xml version="1.0" encoding="utf-8"?>
<sst xmlns="http://schemas.openxmlformats.org/spreadsheetml/2006/main" count="8042" uniqueCount="1768">
  <si>
    <t>Tool_CORTEX&amp;Roster&amp;SUI_</t>
    <phoneticPr fontId="10"/>
  </si>
  <si>
    <t>各LINK DS IDシート更新SOP</t>
  </si>
  <si>
    <t>更新対応者について</t>
  </si>
  <si>
    <r>
      <rPr>
        <b/>
        <sz val="11"/>
        <color theme="1"/>
        <rFont val="游ゴシック"/>
        <family val="3"/>
        <charset val="128"/>
        <scheme val="minor"/>
      </rPr>
      <t>➀LargeDS, MiniDS</t>
    </r>
    <r>
      <rPr>
        <sz val="11"/>
        <color theme="1"/>
        <rFont val="游ゴシック"/>
        <family val="3"/>
        <charset val="128"/>
        <scheme val="minor"/>
      </rPr>
      <t>… POCが都度更新</t>
    </r>
  </si>
  <si>
    <r>
      <t>②XPT…</t>
    </r>
    <r>
      <rPr>
        <sz val="11"/>
        <color theme="1"/>
        <rFont val="游ゴシック"/>
        <family val="3"/>
        <charset val="128"/>
        <scheme val="minor"/>
      </rPr>
      <t>Asanaアサインに準拠する。8A担当者 or AssignORDA</t>
    </r>
    <phoneticPr fontId="10"/>
  </si>
  <si>
    <r>
      <t>③Shinka…</t>
    </r>
    <r>
      <rPr>
        <sz val="11"/>
        <color theme="1"/>
        <rFont val="游ゴシック"/>
        <family val="3"/>
        <charset val="128"/>
        <scheme val="minor"/>
      </rPr>
      <t>Asanaアサインに準拠する。8A担当者 or AssignORDA</t>
    </r>
    <phoneticPr fontId="10"/>
  </si>
  <si>
    <t>★Nodeが新しくLaunchする場合</t>
    <rPh sb="6" eb="7">
      <t>アタラ</t>
    </rPh>
    <phoneticPr fontId="10"/>
  </si>
  <si>
    <t>➀</t>
  </si>
  <si>
    <t>新しくLaunchされたNode名を非表示の「DS ID」シートのA,B列へ記載する。</t>
    <rPh sb="18" eb="21">
      <t>ヒヒョウジ</t>
    </rPh>
    <phoneticPr fontId="10"/>
  </si>
  <si>
    <t>※行を新たに挿入して上記作業を行う場合、C列の上の行から数式をスライドしてください。</t>
    <phoneticPr fontId="10"/>
  </si>
  <si>
    <t>非表示シートを再表示する方法：RoutineBoard下にある各タブの任意タブにを右クリック⇒再表示⇒DS ID⇒OK（追加が終わりましたら、シートを再度に非表示してください）</t>
    <rPh sb="0" eb="3">
      <t>ヒヒョウジ</t>
    </rPh>
    <rPh sb="7" eb="10">
      <t>サイヒョウジ</t>
    </rPh>
    <rPh sb="12" eb="14">
      <t>ホウホウ</t>
    </rPh>
    <rPh sb="27" eb="28">
      <t>シタ</t>
    </rPh>
    <rPh sb="31" eb="32">
      <t>カク</t>
    </rPh>
    <rPh sb="35" eb="37">
      <t>ニンイ</t>
    </rPh>
    <rPh sb="41" eb="42">
      <t>ミギ</t>
    </rPh>
    <rPh sb="47" eb="50">
      <t>サイヒョウジ</t>
    </rPh>
    <rPh sb="60" eb="62">
      <t>ツイカ</t>
    </rPh>
    <rPh sb="63" eb="64">
      <t>オ</t>
    </rPh>
    <rPh sb="75" eb="77">
      <t>サイド</t>
    </rPh>
    <rPh sb="78" eb="81">
      <t>ヒヒョウジ</t>
    </rPh>
    <phoneticPr fontId="10"/>
  </si>
  <si>
    <t>②</t>
  </si>
  <si>
    <t>該当NodeをCORTEXで確認し、URLを「DS ID」シートのD列に貼り付ける。</t>
    <rPh sb="0" eb="2">
      <t>ガイトウ</t>
    </rPh>
    <rPh sb="14" eb="16">
      <t>カクニン</t>
    </rPh>
    <phoneticPr fontId="10"/>
  </si>
  <si>
    <t>⇒Node別のIDがC列に反映される。</t>
    <phoneticPr fontId="10"/>
  </si>
  <si>
    <t>③</t>
  </si>
  <si>
    <t>[Shinka LINK]シート</t>
    <phoneticPr fontId="10"/>
  </si>
  <si>
    <t>A~E列の項目を確認し、それぞれを記載する。G～I列のLINKは自動で反映される。</t>
    <phoneticPr fontId="10"/>
  </si>
  <si>
    <t>※行を新たに挿入して上記作業を行う場合、G～I列の数式を上の行からスライドさせてください。</t>
    <phoneticPr fontId="10"/>
  </si>
  <si>
    <t>I列のSUI確認し、AmFlexDPいる場合はL列に○と選択。AmFlexDPいない場合はL列にXと選択。</t>
  </si>
  <si>
    <t>④</t>
  </si>
  <si>
    <t>Large, MiniDS LINKシート</t>
    <phoneticPr fontId="10"/>
  </si>
  <si>
    <t>A~E列の項目を確認し、それぞれを記載する。G～I列のLINKは自動で反映される。</t>
  </si>
  <si>
    <t>・</t>
    <phoneticPr fontId="10"/>
  </si>
  <si>
    <t>既にLaunch/ShutdownしているNodeはN列に「L/S」を選択し、予定のみの場合は、O列にLaunch/Shutdown予定日を入力する。備考欄に注意点などのコメントも記入できる</t>
    <rPh sb="0" eb="1">
      <t>スデ</t>
    </rPh>
    <rPh sb="75" eb="78">
      <t>ビコウラン</t>
    </rPh>
    <rPh sb="79" eb="82">
      <t>チュウイテン</t>
    </rPh>
    <rPh sb="90" eb="92">
      <t>キニュウ</t>
    </rPh>
    <phoneticPr fontId="10"/>
  </si>
  <si>
    <t>(予定のLaunch/Shutdown日が過ぎたら、O列に記載された予定日を削除する。)</t>
    <rPh sb="1" eb="3">
      <t>ヨテイ</t>
    </rPh>
    <rPh sb="19" eb="20">
      <t>ビ</t>
    </rPh>
    <rPh sb="21" eb="22">
      <t>ス</t>
    </rPh>
    <rPh sb="27" eb="28">
      <t>レツ</t>
    </rPh>
    <rPh sb="29" eb="31">
      <t>キサイ</t>
    </rPh>
    <rPh sb="34" eb="36">
      <t>ヨテイ</t>
    </rPh>
    <rPh sb="36" eb="37">
      <t>ビ</t>
    </rPh>
    <rPh sb="38" eb="40">
      <t>サクジョ</t>
    </rPh>
    <phoneticPr fontId="10"/>
  </si>
  <si>
    <t>各行の配色ルール：Mother DSは濃い青、XPTは薄い青、Shinka NodeはDSP社名により色付ける。</t>
    <rPh sb="0" eb="1">
      <t>カク</t>
    </rPh>
    <rPh sb="3" eb="5">
      <t>ハイショク</t>
    </rPh>
    <rPh sb="46" eb="48">
      <t>シャメイ</t>
    </rPh>
    <rPh sb="51" eb="52">
      <t>イロ</t>
    </rPh>
    <rPh sb="52" eb="53">
      <t>ヅ</t>
    </rPh>
    <phoneticPr fontId="10"/>
  </si>
  <si>
    <t>C列　Region　D列　地域名　E列　サービスエリアは「Expansion　Tracker」もしくはAsana page「Launch&amp;Shutdown一覧」から調べることができる</t>
    <rPh sb="1" eb="2">
      <t>レツ</t>
    </rPh>
    <rPh sb="11" eb="12">
      <t>レツ</t>
    </rPh>
    <rPh sb="13" eb="16">
      <t>チイキメイ</t>
    </rPh>
    <rPh sb="18" eb="19">
      <t>レツ</t>
    </rPh>
    <rPh sb="77" eb="79">
      <t>イチラン</t>
    </rPh>
    <rPh sb="82" eb="83">
      <t>シラ</t>
    </rPh>
    <phoneticPr fontId="10"/>
  </si>
  <si>
    <t>{確認方法はShinkaも通用となります｝</t>
    <rPh sb="1" eb="3">
      <t>カクニン</t>
    </rPh>
    <rPh sb="3" eb="5">
      <t>ホウホウ</t>
    </rPh>
    <rPh sb="13" eb="15">
      <t>ツウヨウ</t>
    </rPh>
    <phoneticPr fontId="10"/>
  </si>
  <si>
    <t>　Aを利用する場合：該当Nodeを「Ctr＋F」で検索→Region名(C列）　Region　No.（E列）    配送エリアはDS　Name（E列）から取得する</t>
    <rPh sb="3" eb="5">
      <t>リヨウ</t>
    </rPh>
    <rPh sb="7" eb="9">
      <t>バアイ</t>
    </rPh>
    <rPh sb="10" eb="12">
      <t>ガイトウ</t>
    </rPh>
    <rPh sb="25" eb="27">
      <t>ケンサク</t>
    </rPh>
    <rPh sb="34" eb="35">
      <t>メイ</t>
    </rPh>
    <rPh sb="37" eb="38">
      <t>レツ</t>
    </rPh>
    <rPh sb="52" eb="53">
      <t>レツ</t>
    </rPh>
    <rPh sb="58" eb="60">
      <t>ハイソウ</t>
    </rPh>
    <rPh sb="73" eb="74">
      <t>レツ</t>
    </rPh>
    <rPh sb="77" eb="79">
      <t>シュトク</t>
    </rPh>
    <phoneticPr fontId="10"/>
  </si>
  <si>
    <t>　Bを利用する場合：リストに該当Node行を見つけ、Page上部の各項目の「SuperRegion」C,「Region」D,「Cotexから確認する」E</t>
    <rPh sb="70" eb="72">
      <t>カクニン</t>
    </rPh>
    <phoneticPr fontId="10"/>
  </si>
  <si>
    <t>A：</t>
    <phoneticPr fontId="10"/>
  </si>
  <si>
    <t>AMZL Japan Network Expansion tracker</t>
  </si>
  <si>
    <t>B:</t>
    <phoneticPr fontId="10"/>
  </si>
  <si>
    <t>Launch&amp;Shutdown一覧</t>
  </si>
  <si>
    <t>※Super Regionではなく「Region」の方を見る</t>
    <rPh sb="26" eb="27">
      <t>ホウ</t>
    </rPh>
    <rPh sb="28" eb="29">
      <t>ミ</t>
    </rPh>
    <phoneticPr fontId="10"/>
  </si>
  <si>
    <t>そのほか、Launch Nodeの情報、DSP社などは　Launch Team　Wikiからも確認できます</t>
    <rPh sb="17" eb="19">
      <t>ジョウホウ</t>
    </rPh>
    <rPh sb="23" eb="24">
      <t>シャ</t>
    </rPh>
    <rPh sb="47" eb="49">
      <t>カクニン</t>
    </rPh>
    <phoneticPr fontId="10"/>
  </si>
  <si>
    <t>Launch　Team　Wiki</t>
    <phoneticPr fontId="10"/>
  </si>
  <si>
    <t>Summaryから、情報が確認できます</t>
    <rPh sb="10" eb="12">
      <t>ジョウホウ</t>
    </rPh>
    <rPh sb="13" eb="15">
      <t>カクニン</t>
    </rPh>
    <phoneticPr fontId="10"/>
  </si>
  <si>
    <t>Launch　Nodeを検索してMaster　SIMを開く</t>
    <rPh sb="12" eb="14">
      <t>ケンサク</t>
    </rPh>
    <rPh sb="27" eb="28">
      <t>ヒラ</t>
    </rPh>
    <phoneticPr fontId="10"/>
  </si>
  <si>
    <t>⑤</t>
  </si>
  <si>
    <t>「Large, MiniDS LINK」シートは、フィルターで「Node」⇒「MotherDS」の順番でそれぞれ昇順に並び替える</t>
  </si>
  <si>
    <t>※</t>
  </si>
  <si>
    <t>上記一通りのプロセスが終了したら、Four Seasons/Tool_MC遅延報告の更新も一緒に行ってください！</t>
  </si>
  <si>
    <t>Four Seasons【Edit in Browserで各LINK Sheet全体選択→Four SeasonsファイルのMother DS Sheet非表示になっているので再表示してA1を選択して値貼りする。終了後Mother DS Sheet非表示に戻してください。】</t>
  </si>
  <si>
    <t>Tool_MC遅延報告【各LINKシートのA,B列を全選択→Tool_MC遅延報告の報告シート P,Q列へ貼り付け】</t>
  </si>
  <si>
    <t>★NodeがShutdownする場合</t>
    <phoneticPr fontId="10"/>
  </si>
  <si>
    <t>Shutdown更新対応</t>
    <rPh sb="8" eb="10">
      <t>コウシン</t>
    </rPh>
    <rPh sb="10" eb="12">
      <t>タイオウ</t>
    </rPh>
    <phoneticPr fontId="10"/>
  </si>
  <si>
    <t>Node判別シート</t>
  </si>
  <si>
    <t>「Large, MiniDS LINK」シートF列が入力されると自動的に反映される</t>
    <phoneticPr fontId="10"/>
  </si>
  <si>
    <t>Node判別シートを使用しているファイルは下記の通りです。（SUP Boardから最新のファイルを開き、更新する！）</t>
  </si>
  <si>
    <t>・Rescue Share Point</t>
  </si>
  <si>
    <t>（LaunchしたDSのSharePointのみの更新でOK）</t>
  </si>
  <si>
    <t>①</t>
  </si>
  <si>
    <r>
      <rPr>
        <sz val="11"/>
        <color theme="1"/>
        <rFont val="游ゴシック"/>
        <family val="3"/>
        <charset val="128"/>
        <scheme val="minor"/>
      </rPr>
      <t>このファイルの「Node判別シート」</t>
    </r>
    <r>
      <rPr>
        <b/>
        <sz val="11"/>
        <color rgb="FFFF0000"/>
        <rFont val="游ゴシック"/>
        <family val="3"/>
        <charset val="128"/>
        <scheme val="minor"/>
      </rPr>
      <t>2行目以降</t>
    </r>
    <r>
      <rPr>
        <sz val="11"/>
        <color theme="1"/>
        <rFont val="游ゴシック"/>
        <family val="3"/>
        <charset val="128"/>
        <scheme val="minor"/>
      </rPr>
      <t>を全選択、コピー</t>
    </r>
  </si>
  <si>
    <t>⇐１行目はコピーしない！！</t>
  </si>
  <si>
    <t>更新したいファイルのNode判別シートを開き、値で貼り付け</t>
  </si>
  <si>
    <t>・Tool_Delay報告</t>
  </si>
  <si>
    <t>・Tool_D+</t>
  </si>
  <si>
    <t>・Tool_Pastel</t>
  </si>
  <si>
    <t>・Tool_MC遅延報告</t>
  </si>
  <si>
    <t>Large,MiniDS</t>
    <phoneticPr fontId="10"/>
  </si>
  <si>
    <t>もしくは</t>
    <phoneticPr fontId="10"/>
  </si>
  <si>
    <t xml:space="preserve">Shinka </t>
    <phoneticPr fontId="10"/>
  </si>
  <si>
    <t>LinkSheetに該当NodeのLaunch&amp;Shutdown列(N列)を「S」に変更し、行ごとを削除する。DSIDにCtrl＋Fで該当Nodeを探し、行ごとを削除し、RoutineBoardを保存する。</t>
    <rPh sb="67" eb="69">
      <t>ガイトウ</t>
    </rPh>
    <rPh sb="74" eb="75">
      <t>サガ</t>
    </rPh>
    <rPh sb="98" eb="100">
      <t>ホゾン</t>
    </rPh>
    <phoneticPr fontId="10"/>
  </si>
  <si>
    <t>※Shinkaの管理者(Mother列）確認方法：41行～57行の内容をご確認ください</t>
    <rPh sb="8" eb="11">
      <t>カンリシャ</t>
    </rPh>
    <rPh sb="18" eb="19">
      <t>レツ</t>
    </rPh>
    <rPh sb="20" eb="22">
      <t>カクニン</t>
    </rPh>
    <rPh sb="22" eb="24">
      <t>ホウホウ</t>
    </rPh>
    <rPh sb="27" eb="28">
      <t>ギョウ</t>
    </rPh>
    <rPh sb="31" eb="32">
      <t>ギョウ</t>
    </rPh>
    <rPh sb="33" eb="35">
      <t>ナイヨウ</t>
    </rPh>
    <rPh sb="37" eb="39">
      <t>カクニン</t>
    </rPh>
    <phoneticPr fontId="10"/>
  </si>
  <si>
    <t>Ver 
17.7</t>
    <phoneticPr fontId="10"/>
  </si>
  <si>
    <t>早朝番_6_A</t>
    <rPh sb="0" eb="2">
      <t>ソウチョウ</t>
    </rPh>
    <phoneticPr fontId="10"/>
  </si>
  <si>
    <t>早朝番_6_B</t>
    <rPh sb="0" eb="2">
      <t>ソウチョウ</t>
    </rPh>
    <phoneticPr fontId="10"/>
  </si>
  <si>
    <t>早朝番_6_C</t>
    <rPh sb="0" eb="2">
      <t>ソウチョウ</t>
    </rPh>
    <phoneticPr fontId="10"/>
  </si>
  <si>
    <t>早朝番_6_Ⅾ</t>
    <rPh sb="0" eb="2">
      <t>ソウチョウ</t>
    </rPh>
    <rPh sb="2" eb="3">
      <t>バン</t>
    </rPh>
    <phoneticPr fontId="13"/>
  </si>
  <si>
    <t>早番_8_A</t>
    <phoneticPr fontId="10"/>
  </si>
  <si>
    <t>早番_8_B</t>
    <rPh sb="0" eb="2">
      <t>ハヤバン</t>
    </rPh>
    <phoneticPr fontId="13"/>
  </si>
  <si>
    <t>早番_8_C</t>
    <rPh sb="0" eb="2">
      <t>ハヤバン</t>
    </rPh>
    <phoneticPr fontId="13"/>
  </si>
  <si>
    <t>早番_8_D</t>
    <rPh sb="0" eb="2">
      <t>ハヤバン</t>
    </rPh>
    <phoneticPr fontId="13"/>
  </si>
  <si>
    <t>早番_8_E</t>
    <phoneticPr fontId="10"/>
  </si>
  <si>
    <t>遅番_13_A</t>
    <phoneticPr fontId="13"/>
  </si>
  <si>
    <t>遅番_13_B</t>
    <phoneticPr fontId="13"/>
  </si>
  <si>
    <t>遅番_13_C</t>
    <phoneticPr fontId="4"/>
  </si>
  <si>
    <t>遅番_13_D</t>
    <phoneticPr fontId="4"/>
  </si>
  <si>
    <t>遅番_13_E</t>
    <phoneticPr fontId="4"/>
  </si>
  <si>
    <t>遅番_13_F</t>
    <phoneticPr fontId="4"/>
  </si>
  <si>
    <t>遅番_13_G</t>
    <phoneticPr fontId="4"/>
  </si>
  <si>
    <t>遅番_13_H</t>
    <phoneticPr fontId="4"/>
  </si>
  <si>
    <t>遅番_13_I</t>
    <phoneticPr fontId="13"/>
  </si>
  <si>
    <t>遅番_13_J</t>
    <phoneticPr fontId="4"/>
  </si>
  <si>
    <t>遅番_13_K</t>
    <phoneticPr fontId="4"/>
  </si>
  <si>
    <t>深夜番_14_A</t>
    <rPh sb="0" eb="2">
      <t>シンヤ</t>
    </rPh>
    <phoneticPr fontId="13"/>
  </si>
  <si>
    <t>Time
(m)</t>
  </si>
  <si>
    <t>遅番_13_O</t>
    <phoneticPr fontId="13"/>
  </si>
  <si>
    <t>深夜番_14_B</t>
    <rPh sb="0" eb="2">
      <t>シンヤ</t>
    </rPh>
    <phoneticPr fontId="13"/>
  </si>
  <si>
    <t>深夜番_14_C</t>
    <rPh sb="0" eb="2">
      <t>シンヤ</t>
    </rPh>
    <phoneticPr fontId="13"/>
  </si>
  <si>
    <t>Associate</t>
    <phoneticPr fontId="10"/>
  </si>
  <si>
    <t>Associate</t>
    <phoneticPr fontId="4"/>
  </si>
  <si>
    <t>Logistics Scheduler</t>
  </si>
  <si>
    <t>Task</t>
    <phoneticPr fontId="10"/>
  </si>
  <si>
    <t>予備</t>
    <rPh sb="0" eb="2">
      <t>ヨビ</t>
    </rPh>
    <phoneticPr fontId="10"/>
  </si>
  <si>
    <t xml:space="preserve">災害   </t>
    <phoneticPr fontId="10"/>
  </si>
  <si>
    <t>災害</t>
    <phoneticPr fontId="10"/>
  </si>
  <si>
    <t>RP Group1</t>
    <phoneticPr fontId="10"/>
  </si>
  <si>
    <t>RP Group2</t>
    <phoneticPr fontId="10"/>
  </si>
  <si>
    <t>RP Group3</t>
    <phoneticPr fontId="10"/>
  </si>
  <si>
    <t>RP eDSP_Mini</t>
  </si>
  <si>
    <t>Task</t>
  </si>
  <si>
    <t>Associate</t>
    <phoneticPr fontId="13"/>
  </si>
  <si>
    <t>0 Logistics Scheduler</t>
    <phoneticPr fontId="4"/>
  </si>
  <si>
    <t>1 Associate</t>
    <phoneticPr fontId="4"/>
  </si>
  <si>
    <t>Associate</t>
  </si>
  <si>
    <t>【D-0】サポート</t>
    <phoneticPr fontId="13"/>
  </si>
  <si>
    <t>【D-0】対応　8:00まで</t>
  </si>
  <si>
    <t>CRC SIM 起票サポート</t>
  </si>
  <si>
    <t>RP Group1 Group2のドッキング確認サポート</t>
    <rPh sb="22" eb="24">
      <t>カクニン</t>
    </rPh>
    <phoneticPr fontId="10"/>
  </si>
  <si>
    <t>RP Group2 Group3のドッキング確認サポート</t>
    <rPh sb="22" eb="24">
      <t>カクニン</t>
    </rPh>
    <phoneticPr fontId="10"/>
  </si>
  <si>
    <t>MiniDS 担当</t>
    <rPh sb="7" eb="9">
      <t>タントウ</t>
    </rPh>
    <phoneticPr fontId="10"/>
  </si>
  <si>
    <t>13A</t>
  </si>
  <si>
    <t>MCB1</t>
  </si>
  <si>
    <t>DEJ1/OTKN/PTKL</t>
    <phoneticPr fontId="10"/>
  </si>
  <si>
    <t>DAI1/ONGA/ONGD/OCJ5</t>
    <phoneticPr fontId="10"/>
  </si>
  <si>
    <t>Chime 挨拶/Chime　Check</t>
    <phoneticPr fontId="10"/>
  </si>
  <si>
    <t>Shinka</t>
    <phoneticPr fontId="10"/>
  </si>
  <si>
    <t>LOGINET/SATSU/SBS/MARUWA/GDS/ENSHU/HIP担当</t>
    <phoneticPr fontId="10"/>
  </si>
  <si>
    <t>LOGINET/SATSU/SBS/MARUWA/GDS/ENSHU/HIP担当</t>
  </si>
  <si>
    <r>
      <t>VIT1　（架電Rescue）・・</t>
    </r>
    <r>
      <rPr>
        <b/>
        <sz val="9"/>
        <color rgb="FFC00000"/>
        <rFont val="Meiryo UI"/>
        <family val="3"/>
        <charset val="128"/>
      </rPr>
      <t>・Chime挨拶/Chime Check</t>
    </r>
    <phoneticPr fontId="10"/>
  </si>
  <si>
    <t>13B</t>
  </si>
  <si>
    <t>MCJ2</t>
  </si>
  <si>
    <t>DEJ2/OEJ4/OEJ9/OEJS</t>
    <phoneticPr fontId="10"/>
  </si>
  <si>
    <t>DOO1/OOOJ/OOOF/OWJK</t>
    <phoneticPr fontId="10"/>
  </si>
  <si>
    <r>
      <t>DOO1/OOOF,J/OWJK</t>
    </r>
    <r>
      <rPr>
        <b/>
        <sz val="9"/>
        <color rgb="FFFF0000"/>
        <rFont val="Meiryo UI"/>
        <family val="3"/>
        <charset val="128"/>
      </rPr>
      <t>・・・Chime挨拶/Chime Check</t>
    </r>
    <rPh sb="24" eb="26">
      <t>アイサツ</t>
    </rPh>
    <phoneticPr fontId="10"/>
  </si>
  <si>
    <t>DOO1/OOOF,J/OWJK</t>
  </si>
  <si>
    <r>
      <t>DOO2/OOOD,L</t>
    </r>
    <r>
      <rPr>
        <b/>
        <sz val="9"/>
        <color rgb="FFFF0000"/>
        <rFont val="Meiryo UI"/>
        <family val="3"/>
        <charset val="128"/>
      </rPr>
      <t>・・・Chime挨拶/Chime Check</t>
    </r>
    <phoneticPr fontId="10"/>
  </si>
  <si>
    <t>DOO2/OOOD,L</t>
    <phoneticPr fontId="4"/>
  </si>
  <si>
    <r>
      <t>DOO4/OWJ2,3,4/OWJD,E,P</t>
    </r>
    <r>
      <rPr>
        <b/>
        <sz val="9"/>
        <color rgb="FFFF0000"/>
        <rFont val="Meiryo UI"/>
        <family val="3"/>
        <charset val="128"/>
      </rPr>
      <t>・・・Chime挨拶/Chime Check</t>
    </r>
    <phoneticPr fontId="4"/>
  </si>
  <si>
    <t>DOO4/OWJ2,3,4/OWJD,E,P</t>
    <phoneticPr fontId="4"/>
  </si>
  <si>
    <t>MiniDS</t>
    <phoneticPr fontId="10"/>
  </si>
  <si>
    <t>MCJ2,3,4,5,6,7,8,9</t>
    <phoneticPr fontId="10"/>
  </si>
  <si>
    <t>MCJ2,3,4,5,6,7,8,9</t>
  </si>
  <si>
    <r>
      <t>VSJ1　（架電Rescue）・・</t>
    </r>
    <r>
      <rPr>
        <b/>
        <sz val="9"/>
        <color rgb="FFC00000"/>
        <rFont val="Meiryo UI"/>
        <family val="3"/>
        <charset val="128"/>
      </rPr>
      <t>・Chime挨拶/Chime Check</t>
    </r>
    <phoneticPr fontId="10"/>
  </si>
  <si>
    <t>13C</t>
  </si>
  <si>
    <t>MCJ3</t>
  </si>
  <si>
    <t>DEJ4/PTK7/PEJ8</t>
    <phoneticPr fontId="10"/>
  </si>
  <si>
    <t>DOO4/OWJ2/OWJ3/OWJ4/OWJD/OWJE/OWJP</t>
    <phoneticPr fontId="10"/>
  </si>
  <si>
    <r>
      <t>DOO3/OOOS/OOOM</t>
    </r>
    <r>
      <rPr>
        <b/>
        <sz val="9"/>
        <color rgb="FFFF0000"/>
        <rFont val="Meiryo UI"/>
        <family val="3"/>
        <charset val="128"/>
      </rPr>
      <t>・・・Chime挨拶/Chime Check</t>
    </r>
    <phoneticPr fontId="10"/>
  </si>
  <si>
    <t>DOO3/OOOS/OOOM</t>
  </si>
  <si>
    <r>
      <t>DCJ1/OCJ1,2,3,4/OWJO</t>
    </r>
    <r>
      <rPr>
        <b/>
        <sz val="9"/>
        <color rgb="FFFF0000"/>
        <rFont val="Meiryo UI"/>
        <family val="3"/>
        <charset val="128"/>
      </rPr>
      <t>・・・Chime挨拶/Chime Check</t>
    </r>
    <phoneticPr fontId="10"/>
  </si>
  <si>
    <t>DCJ1/OCJ1,2,3,4/OWJO</t>
    <phoneticPr fontId="10"/>
  </si>
  <si>
    <r>
      <t>DWJ1/OWJH,J,L</t>
    </r>
    <r>
      <rPr>
        <b/>
        <sz val="9"/>
        <color rgb="FFFF0000"/>
        <rFont val="Meiryo UI"/>
        <family val="3"/>
        <charset val="128"/>
      </rPr>
      <t>・・・Chime挨拶/Chime Check</t>
    </r>
    <phoneticPr fontId="10"/>
  </si>
  <si>
    <t>DWJ1/OWJH,J,L</t>
  </si>
  <si>
    <t>MEJ1</t>
    <phoneticPr fontId="10"/>
  </si>
  <si>
    <t>MEJ1</t>
  </si>
  <si>
    <r>
      <rPr>
        <b/>
        <sz val="9"/>
        <rFont val="Meiryo UI"/>
        <family val="3"/>
        <charset val="128"/>
      </rPr>
      <t>VKI1 ・・・</t>
    </r>
    <r>
      <rPr>
        <b/>
        <sz val="9"/>
        <color rgb="FFC00000"/>
        <rFont val="Meiryo UI"/>
        <family val="3"/>
        <charset val="128"/>
      </rPr>
      <t>Chime挨拶/Chime Check</t>
    </r>
    <rPh sb="13" eb="15">
      <t>アイサツ</t>
    </rPh>
    <phoneticPr fontId="4"/>
  </si>
  <si>
    <t>13D</t>
  </si>
  <si>
    <t>MCJ4</t>
  </si>
  <si>
    <t>DEJ7/OEJM/OEJY/PTKW</t>
    <phoneticPr fontId="10"/>
  </si>
  <si>
    <t>DTK3/PTK8/OTKO</t>
    <phoneticPr fontId="10"/>
  </si>
  <si>
    <r>
      <t>DAI1/OCJ5/ONGA,D</t>
    </r>
    <r>
      <rPr>
        <b/>
        <sz val="9"/>
        <color rgb="FFFF0000"/>
        <rFont val="Meiryo UI"/>
        <family val="3"/>
        <charset val="128"/>
      </rPr>
      <t>・・・Chime挨拶/Chime Check</t>
    </r>
    <phoneticPr fontId="10"/>
  </si>
  <si>
    <t>DAI1/OCJ5/ONGA,D</t>
    <phoneticPr fontId="10"/>
  </si>
  <si>
    <r>
      <t>DCJ3/OCJ9</t>
    </r>
    <r>
      <rPr>
        <b/>
        <sz val="9"/>
        <color rgb="FFFF0000"/>
        <rFont val="Meiryo UI"/>
        <family val="3"/>
        <charset val="128"/>
      </rPr>
      <t>・・・Chime挨拶/Chime Check</t>
    </r>
    <phoneticPr fontId="4"/>
  </si>
  <si>
    <t>DCJ3/OCJ9</t>
    <phoneticPr fontId="4"/>
  </si>
  <si>
    <r>
      <t>DWJ3/OOO7,8,9/OWJB,M</t>
    </r>
    <r>
      <rPr>
        <b/>
        <sz val="9"/>
        <color rgb="FFFF0000"/>
        <rFont val="Meiryo UI"/>
        <family val="3"/>
        <charset val="128"/>
      </rPr>
      <t>・・・Chime挨拶/Chime Check</t>
    </r>
    <phoneticPr fontId="10"/>
  </si>
  <si>
    <t>DWJ3/OOO7,8,9/OWJB,M</t>
  </si>
  <si>
    <t>MKG1,2,3,4</t>
    <phoneticPr fontId="10"/>
  </si>
  <si>
    <t>MKG1,2,3,4</t>
  </si>
  <si>
    <t>13E</t>
    <phoneticPr fontId="10"/>
  </si>
  <si>
    <t>MCJ5</t>
  </si>
  <si>
    <t>DEJ8/PEJ1/PEJ2/PEJ3/PEJ4/PEJ5</t>
    <phoneticPr fontId="10"/>
  </si>
  <si>
    <t>DTK5/OTKS/OEJH</t>
    <phoneticPr fontId="10"/>
  </si>
  <si>
    <r>
      <t>DOW2/OOW1/OOW3</t>
    </r>
    <r>
      <rPr>
        <b/>
        <sz val="9"/>
        <color rgb="FFFF0000"/>
        <rFont val="Meiryo UI"/>
        <family val="3"/>
        <charset val="128"/>
      </rPr>
      <t>・・・Chime挨拶/Chime Check</t>
    </r>
    <phoneticPr fontId="10"/>
  </si>
  <si>
    <t>DOW2/OOW1/OOW3</t>
    <phoneticPr fontId="10"/>
  </si>
  <si>
    <r>
      <t>DCJ4/OCJ6/OCJ7/ONG6</t>
    </r>
    <r>
      <rPr>
        <b/>
        <sz val="9"/>
        <color rgb="FFFF0000"/>
        <rFont val="Meiryo UI"/>
        <family val="3"/>
        <charset val="128"/>
      </rPr>
      <t>・・・Chime挨拶/Chime Check</t>
    </r>
    <phoneticPr fontId="4"/>
  </si>
  <si>
    <t>DCJ4/OCJ6/OCJ7/ONG6</t>
    <phoneticPr fontId="4"/>
  </si>
  <si>
    <r>
      <t>DWJ4</t>
    </r>
    <r>
      <rPr>
        <b/>
        <sz val="9"/>
        <color rgb="FFFF0000"/>
        <rFont val="Meiryo UI"/>
        <family val="3"/>
        <charset val="128"/>
      </rPr>
      <t>・・・Chime挨拶/Chime Check</t>
    </r>
    <phoneticPr fontId="10"/>
  </si>
  <si>
    <t>DWJ4</t>
  </si>
  <si>
    <t>MMG1,2,3,4</t>
    <phoneticPr fontId="10"/>
  </si>
  <si>
    <t>MMG1,2,3,4</t>
  </si>
  <si>
    <t>13F</t>
  </si>
  <si>
    <t>MCJ6</t>
  </si>
  <si>
    <t>DEJ9/OEJT/OEJU/OEJX/OEJW</t>
    <phoneticPr fontId="10"/>
  </si>
  <si>
    <t>DTK8/PEJ6</t>
    <phoneticPr fontId="10"/>
  </si>
  <si>
    <r>
      <t>DHK1/OHK1,2</t>
    </r>
    <r>
      <rPr>
        <b/>
        <sz val="9"/>
        <color rgb="FFFF0000"/>
        <rFont val="Meiryo UI"/>
        <family val="3"/>
        <charset val="128"/>
      </rPr>
      <t>・・・Chime挨拶/Chime Check</t>
    </r>
    <phoneticPr fontId="10"/>
  </si>
  <si>
    <t>DHK1/OHK1,2</t>
    <phoneticPr fontId="10"/>
  </si>
  <si>
    <r>
      <t>DCJ5/OCJ8/PCJ3</t>
    </r>
    <r>
      <rPr>
        <b/>
        <sz val="9"/>
        <color rgb="FFFF0000"/>
        <rFont val="Meiryo UI"/>
        <family val="3"/>
        <charset val="128"/>
      </rPr>
      <t>・・・Chime挨拶/Chime Check</t>
    </r>
    <phoneticPr fontId="10"/>
  </si>
  <si>
    <t>DCJ5/OCJ8/PCJ3</t>
    <phoneticPr fontId="10"/>
  </si>
  <si>
    <r>
      <t>DFK1</t>
    </r>
    <r>
      <rPr>
        <b/>
        <sz val="9"/>
        <color rgb="FFFF0000"/>
        <rFont val="Meiryo UI"/>
        <family val="3"/>
        <charset val="128"/>
      </rPr>
      <t>・・・Chime挨拶/Chime Check</t>
    </r>
    <phoneticPr fontId="10"/>
  </si>
  <si>
    <t>DFK1</t>
    <phoneticPr fontId="10"/>
  </si>
  <si>
    <t>MFK1,2,3</t>
    <phoneticPr fontId="10"/>
  </si>
  <si>
    <t>MFK1,2,3</t>
  </si>
  <si>
    <t>13G</t>
  </si>
  <si>
    <t>MCJ7</t>
  </si>
  <si>
    <t>DTK1/PTKJ/PTKM</t>
    <phoneticPr fontId="10"/>
  </si>
  <si>
    <t>DEJ3/OEJE</t>
    <phoneticPr fontId="10"/>
  </si>
  <si>
    <t>DEJ6/PTK5</t>
    <phoneticPr fontId="10"/>
  </si>
  <si>
    <r>
      <t>DEJ6/PTK5</t>
    </r>
    <r>
      <rPr>
        <b/>
        <sz val="9"/>
        <color rgb="FFFF0000"/>
        <rFont val="Meiryo UI"/>
        <family val="3"/>
        <charset val="128"/>
      </rPr>
      <t>・・・Chime挨拶/Chime Check</t>
    </r>
    <phoneticPr fontId="10"/>
  </si>
  <si>
    <r>
      <t>DEJ1/OTKN/PTKL</t>
    </r>
    <r>
      <rPr>
        <b/>
        <sz val="9"/>
        <color rgb="FFFF0000"/>
        <rFont val="Meiryo UI"/>
        <family val="3"/>
        <charset val="128"/>
      </rPr>
      <t>・・・Chime挨拶/Chime Check</t>
    </r>
    <phoneticPr fontId="10"/>
  </si>
  <si>
    <r>
      <t>DFK2/OFK3,4,5,6,7</t>
    </r>
    <r>
      <rPr>
        <b/>
        <sz val="9"/>
        <color rgb="FFFF0000"/>
        <rFont val="Meiryo UI"/>
        <family val="3"/>
        <charset val="128"/>
      </rPr>
      <t>・・・Chime挨拶/Chime Check</t>
    </r>
    <phoneticPr fontId="10"/>
  </si>
  <si>
    <t>DFK2/OFK3,4,5,6,7</t>
    <phoneticPr fontId="10"/>
  </si>
  <si>
    <t>MCB1</t>
    <phoneticPr fontId="10"/>
  </si>
  <si>
    <t>MCB1</t>
    <phoneticPr fontId="4"/>
  </si>
  <si>
    <t>13H</t>
  </si>
  <si>
    <t>MCJ8</t>
  </si>
  <si>
    <t>DTK4/OTK5/PTKH</t>
    <phoneticPr fontId="10"/>
  </si>
  <si>
    <t>DEJ5</t>
    <phoneticPr fontId="10"/>
  </si>
  <si>
    <t>DEJ7/OEJM,Y/PTKW</t>
    <phoneticPr fontId="10"/>
  </si>
  <si>
    <r>
      <t>DEJ7/OEJM,Y/PTKW</t>
    </r>
    <r>
      <rPr>
        <b/>
        <sz val="9"/>
        <color rgb="FFFF0000"/>
        <rFont val="Meiryo UI"/>
        <family val="3"/>
        <charset val="128"/>
      </rPr>
      <t>・・・Chime挨拶/Chime Check</t>
    </r>
    <phoneticPr fontId="10"/>
  </si>
  <si>
    <r>
      <t>DEJ2/OEJ4,9/OEJS</t>
    </r>
    <r>
      <rPr>
        <b/>
        <sz val="9"/>
        <color rgb="FFFF0000"/>
        <rFont val="Meiryo UI"/>
        <family val="3"/>
        <charset val="128"/>
      </rPr>
      <t>・・・Chime挨拶/Chime Check</t>
    </r>
    <phoneticPr fontId="10"/>
  </si>
  <si>
    <t>DEJ2/OEJ4,9/OEJS</t>
    <phoneticPr fontId="10"/>
  </si>
  <si>
    <t>DFK4</t>
    <phoneticPr fontId="10"/>
  </si>
  <si>
    <r>
      <t>DFK4</t>
    </r>
    <r>
      <rPr>
        <b/>
        <sz val="9"/>
        <color rgb="FFFF0000"/>
        <rFont val="Meiryo UI"/>
        <family val="3"/>
        <charset val="128"/>
      </rPr>
      <t>・・・Chime挨拶/Chime Check</t>
    </r>
    <phoneticPr fontId="10"/>
  </si>
  <si>
    <t>MEJ8</t>
    <phoneticPr fontId="10"/>
  </si>
  <si>
    <t>13I</t>
  </si>
  <si>
    <t>MCJ9</t>
  </si>
  <si>
    <t>DTK6/OTKY/OTK7/PTK1/PTK2/PTK3/PTK4/PTK9/PTKE/PTKX</t>
    <phoneticPr fontId="10"/>
  </si>
  <si>
    <t>DEJ8/PEJ1,2,3,4,5</t>
    <phoneticPr fontId="10"/>
  </si>
  <si>
    <r>
      <t>DEJ8/PEJ1,2,3,4,5</t>
    </r>
    <r>
      <rPr>
        <b/>
        <sz val="9"/>
        <color rgb="FFFF0000"/>
        <rFont val="Meiryo UI"/>
        <family val="3"/>
        <charset val="128"/>
      </rPr>
      <t>・・・Chime挨拶/Chime Check</t>
    </r>
    <phoneticPr fontId="10"/>
  </si>
  <si>
    <r>
      <t>DEJ3/OEJE</t>
    </r>
    <r>
      <rPr>
        <b/>
        <sz val="9"/>
        <color rgb="FFFF0000"/>
        <rFont val="Meiryo UI"/>
        <family val="3"/>
        <charset val="128"/>
      </rPr>
      <t>・・・Chime挨拶/Chime Check</t>
    </r>
    <phoneticPr fontId="10"/>
  </si>
  <si>
    <t>DTK6/OTK7/OTKY/PTK1,2,3,4,9/PTKE,X</t>
    <phoneticPr fontId="4"/>
  </si>
  <si>
    <r>
      <t>DTK6/OTK7/OTKY/PTK1,2,3,4,9/PTKE,X</t>
    </r>
    <r>
      <rPr>
        <b/>
        <sz val="9"/>
        <color rgb="FFFF0000"/>
        <rFont val="Meiryo UI"/>
        <family val="3"/>
        <charset val="128"/>
      </rPr>
      <t>・・・Chime挨拶/Chime Check</t>
    </r>
    <phoneticPr fontId="10"/>
  </si>
  <si>
    <t>13J</t>
  </si>
  <si>
    <t>DTK7</t>
  </si>
  <si>
    <t>DEJ9/OEJW,T,X,U</t>
    <phoneticPr fontId="10"/>
  </si>
  <si>
    <r>
      <t>DEJ9/OEJW,T,X,U</t>
    </r>
    <r>
      <rPr>
        <b/>
        <sz val="9"/>
        <color rgb="FFFF0000"/>
        <rFont val="Meiryo UI"/>
        <family val="3"/>
        <charset val="128"/>
      </rPr>
      <t>・・・Chime挨拶/Chime Check</t>
    </r>
    <phoneticPr fontId="10"/>
  </si>
  <si>
    <r>
      <t>DEJ4/PEJ8/PTK7</t>
    </r>
    <r>
      <rPr>
        <b/>
        <sz val="9"/>
        <color rgb="FFFF0000"/>
        <rFont val="Meiryo UI"/>
        <family val="3"/>
        <charset val="128"/>
      </rPr>
      <t>・・・Chime挨拶/Chime Check</t>
    </r>
    <phoneticPr fontId="10"/>
  </si>
  <si>
    <t>DEJ4/PEJ8/PTK7</t>
    <phoneticPr fontId="10"/>
  </si>
  <si>
    <r>
      <t>DTK7</t>
    </r>
    <r>
      <rPr>
        <b/>
        <sz val="9"/>
        <color rgb="FFFF0000"/>
        <rFont val="Meiryo UI"/>
        <family val="3"/>
        <charset val="128"/>
      </rPr>
      <t>・・・Chime挨拶/Chime Check</t>
    </r>
    <phoneticPr fontId="10"/>
  </si>
  <si>
    <t>13K</t>
  </si>
  <si>
    <t>MEJ8</t>
  </si>
  <si>
    <t>DOO2/OOOD/OOOL</t>
    <phoneticPr fontId="10"/>
  </si>
  <si>
    <t>DFK2/OFK3/OFK4/OFK5/OFK6/OFK7</t>
    <phoneticPr fontId="10"/>
  </si>
  <si>
    <t>DFK5/OFK8,9</t>
    <phoneticPr fontId="10"/>
  </si>
  <si>
    <r>
      <t>DFK5/OFK8,9</t>
    </r>
    <r>
      <rPr>
        <b/>
        <sz val="9"/>
        <color rgb="FFFF0000"/>
        <rFont val="Meiryo UI"/>
        <family val="3"/>
        <charset val="128"/>
      </rPr>
      <t>・・・Chime挨拶/Chime Check</t>
    </r>
    <phoneticPr fontId="10"/>
  </si>
  <si>
    <r>
      <t>DEJ5</t>
    </r>
    <r>
      <rPr>
        <b/>
        <sz val="9"/>
        <color rgb="FFFF0000"/>
        <rFont val="Meiryo UI"/>
        <family val="3"/>
        <charset val="128"/>
      </rPr>
      <t>・・・Chime挨拶/Chime Check</t>
    </r>
    <phoneticPr fontId="10"/>
  </si>
  <si>
    <r>
      <t>DTK8/PEJ6</t>
    </r>
    <r>
      <rPr>
        <b/>
        <sz val="9"/>
        <color rgb="FFFF0000"/>
        <rFont val="Meiryo UI"/>
        <family val="3"/>
        <charset val="128"/>
      </rPr>
      <t>・・・Chime挨拶/Chime Check</t>
    </r>
    <phoneticPr fontId="10"/>
  </si>
  <si>
    <t>13L</t>
  </si>
  <si>
    <t>MFK1</t>
  </si>
  <si>
    <t>DKJ4/PEJ7/PEJA</t>
    <phoneticPr fontId="10"/>
  </si>
  <si>
    <t>DKJ3</t>
    <phoneticPr fontId="4"/>
  </si>
  <si>
    <r>
      <rPr>
        <b/>
        <sz val="9"/>
        <rFont val="Meiryo UI"/>
        <family val="3"/>
        <charset val="128"/>
      </rPr>
      <t>DKJ3</t>
    </r>
    <r>
      <rPr>
        <b/>
        <sz val="9"/>
        <color rgb="FFFF0000"/>
        <rFont val="Meiryo UI"/>
        <family val="3"/>
        <charset val="128"/>
      </rPr>
      <t>・・Chime挨拶/Chime Check</t>
    </r>
    <phoneticPr fontId="4"/>
  </si>
  <si>
    <t>DKJ1</t>
    <phoneticPr fontId="10"/>
  </si>
  <si>
    <r>
      <t>DKJ1</t>
    </r>
    <r>
      <rPr>
        <b/>
        <sz val="9"/>
        <color rgb="FFFF0000"/>
        <rFont val="Meiryo UI"/>
        <family val="3"/>
        <charset val="128"/>
      </rPr>
      <t>・・・Chime挨拶/Chime Check</t>
    </r>
    <phoneticPr fontId="10"/>
  </si>
  <si>
    <t>DHR1/OHR4,5,6,7</t>
  </si>
  <si>
    <r>
      <t>DHR1/OHR4,6,7</t>
    </r>
    <r>
      <rPr>
        <b/>
        <sz val="9"/>
        <color rgb="FFFF0000"/>
        <rFont val="Meiryo UI"/>
        <family val="3"/>
        <charset val="128"/>
      </rPr>
      <t>・・・Chime挨拶/Chime Check</t>
    </r>
    <phoneticPr fontId="10"/>
  </si>
  <si>
    <t>13M</t>
  </si>
  <si>
    <t>MFK2</t>
  </si>
  <si>
    <t>DWJ1/OWJJ/OWJH/OWJL</t>
  </si>
  <si>
    <t>DKJ4/PEJ7,A</t>
    <phoneticPr fontId="10"/>
  </si>
  <si>
    <r>
      <t>DKJ4/PEJ7,A</t>
    </r>
    <r>
      <rPr>
        <b/>
        <sz val="9"/>
        <color rgb="FFFF0000"/>
        <rFont val="Meiryo UI"/>
        <family val="3"/>
        <charset val="128"/>
      </rPr>
      <t>・・・Chime挨拶/Chime Check</t>
    </r>
    <phoneticPr fontId="10"/>
  </si>
  <si>
    <t>DHR2/OHR5</t>
    <phoneticPr fontId="10"/>
  </si>
  <si>
    <r>
      <t>DHR2/OHR5,</t>
    </r>
    <r>
      <rPr>
        <b/>
        <sz val="9"/>
        <color rgb="FFFF0000"/>
        <rFont val="Meiryo UI"/>
        <family val="3"/>
        <charset val="128"/>
      </rPr>
      <t>・・・Chime挨拶/Chime Check</t>
    </r>
    <phoneticPr fontId="10"/>
  </si>
  <si>
    <t>MFK3</t>
  </si>
  <si>
    <t>DWJ3/OOO7/OOO8/OOO9/OWJB/OWJM</t>
    <phoneticPr fontId="10"/>
  </si>
  <si>
    <t>DKJ5/PEJD</t>
    <phoneticPr fontId="10"/>
  </si>
  <si>
    <r>
      <t>DKJ5/PEJD</t>
    </r>
    <r>
      <rPr>
        <b/>
        <sz val="9"/>
        <color rgb="FFFF0000"/>
        <rFont val="Meiryo UI"/>
        <family val="3"/>
        <charset val="128"/>
      </rPr>
      <t>・・・Chime挨拶/Chime Check</t>
    </r>
    <phoneticPr fontId="10"/>
  </si>
  <si>
    <t>MKG1</t>
  </si>
  <si>
    <t>DWJ4</t>
    <phoneticPr fontId="10"/>
  </si>
  <si>
    <t>DOW2/OOW1/OOW2</t>
    <phoneticPr fontId="10"/>
  </si>
  <si>
    <t>DTK1/PTKJ,PTKM</t>
    <phoneticPr fontId="10"/>
  </si>
  <si>
    <r>
      <t>DTK1/PTKJ,M</t>
    </r>
    <r>
      <rPr>
        <b/>
        <sz val="9"/>
        <color rgb="FFFF0000"/>
        <rFont val="Meiryo UI"/>
        <family val="3"/>
        <charset val="128"/>
      </rPr>
      <t>・・・Chime挨拶/Chime Check</t>
    </r>
    <phoneticPr fontId="10"/>
  </si>
  <si>
    <t>MKG2</t>
  </si>
  <si>
    <t>DHK1/OHK1/OHK2</t>
    <phoneticPr fontId="10"/>
  </si>
  <si>
    <t>DCJ3/OCJ9</t>
    <phoneticPr fontId="10"/>
  </si>
  <si>
    <t>DTK3/OTKO/PTK8</t>
    <phoneticPr fontId="10"/>
  </si>
  <si>
    <r>
      <t>DTK3/OTKO/PTK8</t>
    </r>
    <r>
      <rPr>
        <b/>
        <sz val="9"/>
        <color rgb="FFFF0000"/>
        <rFont val="Meiryo UI"/>
        <family val="3"/>
        <charset val="128"/>
      </rPr>
      <t>・・・Chime挨拶/Chime Check</t>
    </r>
    <phoneticPr fontId="10"/>
  </si>
  <si>
    <t>タスクスケジューラ</t>
  </si>
  <si>
    <t>「D-0 Volume Readjustment Request」 SIM _Check/対応</t>
  </si>
  <si>
    <t>MKG3</t>
  </si>
  <si>
    <t>DCJ1/OCJ1/OCJ2/OCJ3/OCJ4/OWJO</t>
    <phoneticPr fontId="10"/>
  </si>
  <si>
    <t>DCJ4/OCJ6/OCJ7/ONG6</t>
    <phoneticPr fontId="10"/>
  </si>
  <si>
    <r>
      <t>DTK4/OTK5/PTKH</t>
    </r>
    <r>
      <rPr>
        <b/>
        <sz val="9"/>
        <color rgb="FFFF0000"/>
        <rFont val="Meiryo UI"/>
        <family val="3"/>
        <charset val="128"/>
      </rPr>
      <t>・・・Chime挨拶/Chime Check</t>
    </r>
    <phoneticPr fontId="10"/>
  </si>
  <si>
    <t>MiniDS　Chime挨拶/Chime Check/Shinka　Chime Check Block Open</t>
    <phoneticPr fontId="10"/>
  </si>
  <si>
    <t>MiniDS /Shinka　Chime Check Block Open</t>
    <phoneticPr fontId="10"/>
  </si>
  <si>
    <t>Chime挨拶/Chime　Check/架電レスキュー/RPサポート（MC/ドッキング)/各Routine</t>
    <rPh sb="45" eb="46">
      <t>カク</t>
    </rPh>
    <phoneticPr fontId="10"/>
  </si>
  <si>
    <t>タスクスケジューラ</t>
    <phoneticPr fontId="4"/>
  </si>
  <si>
    <t>「D-0 Volume Readjustment Request」 SIM _Check/対応</t>
    <phoneticPr fontId="4"/>
  </si>
  <si>
    <t>D-0 Volume input &amp; Block Open/Close</t>
  </si>
  <si>
    <t>「D-0 Stop Request」SIM _Check/コメント・進捗管理シート更新</t>
  </si>
  <si>
    <t>D-0 Volume input &amp; Block Open/Close　6:00～8:00</t>
    <phoneticPr fontId="10"/>
  </si>
  <si>
    <t>MKG4</t>
  </si>
  <si>
    <t>DTK5/OEJH/OTKS</t>
    <phoneticPr fontId="10"/>
  </si>
  <si>
    <r>
      <t>DTK5/OEJH/OTKS</t>
    </r>
    <r>
      <rPr>
        <b/>
        <sz val="9"/>
        <color rgb="FFFF0000"/>
        <rFont val="Meiryo UI"/>
        <family val="3"/>
        <charset val="128"/>
      </rPr>
      <t>・・・Chime挨拶/Chime Check</t>
    </r>
    <phoneticPr fontId="10"/>
  </si>
  <si>
    <t>D-0 Volume input &amp; Block Open/Close</t>
    <phoneticPr fontId="4"/>
  </si>
  <si>
    <t>D-0 Volume input &amp; Block Open/Close</t>
    <phoneticPr fontId="10"/>
  </si>
  <si>
    <t>「D-0 Stop Request」SIM _Check/コメント・進捗管理シート更新</t>
    <phoneticPr fontId="4"/>
  </si>
  <si>
    <t>Ops Clock超過後のSIM起票催促対応</t>
  </si>
  <si>
    <t>MMG1</t>
  </si>
  <si>
    <t>DFK5</t>
    <phoneticPr fontId="10"/>
  </si>
  <si>
    <t>DHR1/OHR4/OHR6/OHR7</t>
    <phoneticPr fontId="10"/>
  </si>
  <si>
    <t>DMG1/OMG2/OMG6</t>
    <phoneticPr fontId="10"/>
  </si>
  <si>
    <r>
      <t>DMG1/OMG2/OMG6</t>
    </r>
    <r>
      <rPr>
        <b/>
        <sz val="9"/>
        <color rgb="FFFF0000"/>
        <rFont val="Meiryo UI"/>
        <family val="3"/>
        <charset val="128"/>
      </rPr>
      <t>・・・Chime挨拶/Chime Check</t>
    </r>
    <phoneticPr fontId="10"/>
  </si>
  <si>
    <t>「D-0 Stop Request」SIM _Check/コメント・進捗管理シート更新</t>
    <phoneticPr fontId="10"/>
  </si>
  <si>
    <t>Ops Clock超過後のSIM起票催促対応</t>
    <phoneticPr fontId="4"/>
  </si>
  <si>
    <t>・休憩時間は目安です。Ops ピーク中はサポート最優先でお願いします。</t>
  </si>
  <si>
    <t>MMG2</t>
  </si>
  <si>
    <t>DMG3/OMG3/OMG4</t>
    <phoneticPr fontId="10"/>
  </si>
  <si>
    <r>
      <t>DMG3/OMG3/OMG4</t>
    </r>
    <r>
      <rPr>
        <b/>
        <sz val="9"/>
        <color rgb="FFFF0000"/>
        <rFont val="Meiryo UI"/>
        <family val="3"/>
        <charset val="128"/>
      </rPr>
      <t>・・・Chime挨拶/Chime Check</t>
    </r>
    <phoneticPr fontId="10"/>
  </si>
  <si>
    <t>Ops Clock超過後のSIM起票催促対応</t>
    <phoneticPr fontId="10"/>
  </si>
  <si>
    <t>・休憩時間は目安です。Ops ピーク中はサポート最優先でお願いします。</t>
    <phoneticPr fontId="4"/>
  </si>
  <si>
    <r>
      <t>D-0 Process_進捗管理SIM更新</t>
    </r>
    <r>
      <rPr>
        <b/>
        <sz val="12"/>
        <color theme="0"/>
        <rFont val="Meiryo UI"/>
        <family val="3"/>
        <charset val="128"/>
      </rPr>
      <t>【</t>
    </r>
    <r>
      <rPr>
        <b/>
        <sz val="12"/>
        <color rgb="FFFFFF00"/>
        <rFont val="Meiryo UI"/>
        <family val="3"/>
        <charset val="128"/>
      </rPr>
      <t>15分毎】（</t>
    </r>
    <r>
      <rPr>
        <b/>
        <sz val="12"/>
        <color theme="0"/>
        <rFont val="Meiryo UI"/>
        <family val="3"/>
        <charset val="128"/>
      </rPr>
      <t>6:15～14:15分）</t>
    </r>
    <rPh sb="38" eb="39">
      <t>フン</t>
    </rPh>
    <phoneticPr fontId="4"/>
  </si>
  <si>
    <t>MMG3</t>
  </si>
  <si>
    <t>MKG1</t>
    <phoneticPr fontId="4"/>
  </si>
  <si>
    <r>
      <t>D-0 Process_進捗管理SIM更新</t>
    </r>
    <r>
      <rPr>
        <b/>
        <sz val="14"/>
        <color theme="0"/>
        <rFont val="Meiryo UI"/>
        <family val="3"/>
        <charset val="128"/>
      </rPr>
      <t>【</t>
    </r>
    <r>
      <rPr>
        <b/>
        <sz val="12"/>
        <color rgb="FFFFFF00"/>
        <rFont val="Meiryo UI"/>
        <family val="3"/>
        <charset val="128"/>
      </rPr>
      <t>15分毎】</t>
    </r>
    <r>
      <rPr>
        <b/>
        <sz val="12"/>
        <color theme="0"/>
        <rFont val="Meiryo UI"/>
        <family val="3"/>
        <charset val="128"/>
      </rPr>
      <t>14:15～22:45</t>
    </r>
    <phoneticPr fontId="4"/>
  </si>
  <si>
    <t>MMG4</t>
  </si>
  <si>
    <t>VIT1</t>
  </si>
  <si>
    <t>MKG3</t>
    <phoneticPr fontId="10"/>
  </si>
  <si>
    <t>VSJ1</t>
  </si>
  <si>
    <t>MKG4</t>
    <phoneticPr fontId="10"/>
  </si>
  <si>
    <t>VKI1</t>
    <phoneticPr fontId="4"/>
  </si>
  <si>
    <t>MCJ9</t>
    <phoneticPr fontId="10"/>
  </si>
  <si>
    <t>6:00までに指定のChime Roomに入室</t>
    <rPh sb="7" eb="9">
      <t>シテイ</t>
    </rPh>
    <rPh sb="21" eb="23">
      <t>ニュウシツ</t>
    </rPh>
    <phoneticPr fontId="10"/>
  </si>
  <si>
    <t>＜ 早朝番メンバー出欠確認 ＞</t>
    <rPh sb="2" eb="4">
      <t>ソウチョウ</t>
    </rPh>
    <rPh sb="4" eb="5">
      <t>バン</t>
    </rPh>
    <rPh sb="9" eb="11">
      <t>シュッケツ</t>
    </rPh>
    <rPh sb="11" eb="13">
      <t>カクニン</t>
    </rPh>
    <phoneticPr fontId="10"/>
  </si>
  <si>
    <t>”</t>
  </si>
  <si>
    <t>タスクスケジューラON（6:15~14:15）</t>
    <phoneticPr fontId="10"/>
  </si>
  <si>
    <t>CLUE情報キャッチ/SUP_Board ステータス更新</t>
    <phoneticPr fontId="10"/>
  </si>
  <si>
    <t>未起票DSへ起票確認</t>
    <phoneticPr fontId="10"/>
  </si>
  <si>
    <t>8:00までにORM Chimeに入室（9632515745）</t>
    <rPh sb="17" eb="19">
      <t>ニュウシツ</t>
    </rPh>
    <phoneticPr fontId="10"/>
  </si>
  <si>
    <t>8:00までにORM Chimeに入室（9632515745）</t>
    <phoneticPr fontId="10"/>
  </si>
  <si>
    <t>8:00～13:30　MissionControl対応</t>
    <phoneticPr fontId="10"/>
  </si>
  <si>
    <t>＜ 早番メンバー出欠確認 ＞</t>
    <rPh sb="2" eb="4">
      <t>ハヤバン</t>
    </rPh>
    <rPh sb="8" eb="10">
      <t>シュッケツ</t>
    </rPh>
    <rPh sb="10" eb="12">
      <t>カクニン</t>
    </rPh>
    <phoneticPr fontId="10"/>
  </si>
  <si>
    <t>前日分ドッキング確認依頼Check</t>
    <rPh sb="0" eb="2">
      <t>ゼンジツ</t>
    </rPh>
    <rPh sb="2" eb="3">
      <t>ブン</t>
    </rPh>
    <rPh sb="8" eb="10">
      <t>カクニン</t>
    </rPh>
    <rPh sb="10" eb="12">
      <t>イライ</t>
    </rPh>
    <phoneticPr fontId="10"/>
  </si>
  <si>
    <t>Asana確認_Launch/Shutdown一覧</t>
    <rPh sb="5" eb="7">
      <t>カクニン</t>
    </rPh>
    <rPh sb="23" eb="25">
      <t>イチラン</t>
    </rPh>
    <phoneticPr fontId="10"/>
  </si>
  <si>
    <t>CRC_Monitor設定</t>
    <phoneticPr fontId="10"/>
  </si>
  <si>
    <t>CRC_進捗シート格納・確認・初期化</t>
    <rPh sb="4" eb="6">
      <t>シンチョク</t>
    </rPh>
    <rPh sb="9" eb="11">
      <t>カクノウ</t>
    </rPh>
    <rPh sb="12" eb="14">
      <t>カクニン</t>
    </rPh>
    <phoneticPr fontId="10"/>
  </si>
  <si>
    <t>DS Requestシート確認</t>
  </si>
  <si>
    <t>朝礼準備　翌日シフト/RADARシート更新</t>
    <rPh sb="0" eb="2">
      <t>チョウレイ</t>
    </rPh>
    <rPh sb="2" eb="4">
      <t>ジュンビ</t>
    </rPh>
    <rPh sb="5" eb="7">
      <t>ヨクジツ</t>
    </rPh>
    <rPh sb="19" eb="21">
      <t>コウシン</t>
    </rPh>
    <phoneticPr fontId="13"/>
  </si>
  <si>
    <t>8:00～13:00　DS_VOA SIM回答</t>
    <phoneticPr fontId="10"/>
  </si>
  <si>
    <t>NewHire Chime追加_9TR初日</t>
  </si>
  <si>
    <t>RADARシート確認/ステータス更新</t>
    <rPh sb="8" eb="10">
      <t>カクニン</t>
    </rPh>
    <phoneticPr fontId="4"/>
  </si>
  <si>
    <t>RADARシート確認/ステータス更新</t>
    <phoneticPr fontId="10"/>
  </si>
  <si>
    <t>CLUE情報キャッチ/SUP_Board ステータス更新</t>
    <phoneticPr fontId="4"/>
  </si>
  <si>
    <t xml:space="preserve"> CLUE情報キャッチ/SUP_Board ステータス更新</t>
    <phoneticPr fontId="4"/>
  </si>
  <si>
    <t xml:space="preserve"> CLUE情報キャッチ/SUP_Board ステータス更新</t>
    <phoneticPr fontId="10"/>
  </si>
  <si>
    <t>Duplo対応_起動_～13:00</t>
    <rPh sb="5" eb="7">
      <t>タイオウ</t>
    </rPh>
    <rPh sb="8" eb="10">
      <t>キドウ</t>
    </rPh>
    <phoneticPr fontId="10"/>
  </si>
  <si>
    <t>CRC_AmFlex/DSP_NF配信</t>
  </si>
  <si>
    <t>帰庫Remind配信</t>
    <phoneticPr fontId="10"/>
  </si>
  <si>
    <t>災害情報ダブルチェック</t>
    <phoneticPr fontId="10"/>
  </si>
  <si>
    <t>災害情報チェック</t>
  </si>
  <si>
    <t>CRC_AmFlex/DSP_SIM起票</t>
    <phoneticPr fontId="10"/>
  </si>
  <si>
    <t>CRC_AmFlex/DSP_NF配信</t>
    <phoneticPr fontId="10"/>
  </si>
  <si>
    <t>トラブル報告Check</t>
    <phoneticPr fontId="13"/>
  </si>
  <si>
    <t>Panorama_更新確認</t>
  </si>
  <si>
    <t>災害情報ダブルチェック</t>
  </si>
  <si>
    <t>災害情報チェック</t>
    <phoneticPr fontId="13"/>
  </si>
  <si>
    <t>Panorama_Log格納 JP/SG</t>
    <rPh sb="12" eb="14">
      <t>カクノウ</t>
    </rPh>
    <phoneticPr fontId="10"/>
  </si>
  <si>
    <t>EOS入力_OODTデータ受信確認</t>
    <rPh sb="13" eb="15">
      <t>ジュシン</t>
    </rPh>
    <rPh sb="15" eb="17">
      <t>カクニン</t>
    </rPh>
    <phoneticPr fontId="10"/>
  </si>
  <si>
    <t>Break_15min.</t>
    <phoneticPr fontId="10"/>
  </si>
  <si>
    <t>OODTデータ取得</t>
    <phoneticPr fontId="4"/>
  </si>
  <si>
    <t>EOS入力_SLS(TT History)</t>
    <phoneticPr fontId="10"/>
  </si>
  <si>
    <t>Panorama_Log格納確認 JP/SG</t>
    <phoneticPr fontId="4"/>
  </si>
  <si>
    <t>EOS入力_更新対応</t>
    <rPh sb="3" eb="5">
      <t>ニュウリョク</t>
    </rPh>
    <rPh sb="6" eb="8">
      <t>コウシン</t>
    </rPh>
    <rPh sb="8" eb="10">
      <t>タイオウ</t>
    </rPh>
    <phoneticPr fontId="13"/>
  </si>
  <si>
    <t>EOS入力_PM</t>
    <phoneticPr fontId="10"/>
  </si>
  <si>
    <t>Stand Up Meeting</t>
    <phoneticPr fontId="13"/>
  </si>
  <si>
    <t>災害情報ダブルチェック</t>
    <phoneticPr fontId="13"/>
  </si>
  <si>
    <t>CRC_AmFlex/DSP_SIM起票</t>
    <phoneticPr fontId="4"/>
  </si>
  <si>
    <t>CRC_AmFlex/DSP_NF配信</t>
    <phoneticPr fontId="4"/>
  </si>
  <si>
    <t>SKYLINE確認_Shinka 15Stop</t>
    <phoneticPr fontId="10"/>
  </si>
  <si>
    <t>Break_15min</t>
    <phoneticPr fontId="4"/>
  </si>
  <si>
    <t>帰庫Remind配信</t>
    <phoneticPr fontId="4"/>
  </si>
  <si>
    <t>D-0 Process_進捗管理SIM更新</t>
    <phoneticPr fontId="4"/>
  </si>
  <si>
    <t>休憩戻り時　Duplo　Nextボタン押下確認</t>
    <phoneticPr fontId="10"/>
  </si>
  <si>
    <t>災害情報チェック</t>
    <phoneticPr fontId="10"/>
  </si>
  <si>
    <r>
      <t>ORM real-time Tracking_更新</t>
    </r>
    <r>
      <rPr>
        <b/>
        <sz val="9"/>
        <color rgb="FFFF0000"/>
        <rFont val="Meiryo UI"/>
        <family val="3"/>
        <charset val="128"/>
      </rPr>
      <t>（11時迄必ず対応完了）</t>
    </r>
    <rPh sb="23" eb="25">
      <t>コウシン</t>
    </rPh>
    <rPh sb="28" eb="29">
      <t>ジ</t>
    </rPh>
    <rPh sb="29" eb="30">
      <t>マデ</t>
    </rPh>
    <rPh sb="30" eb="31">
      <t>カナラ</t>
    </rPh>
    <rPh sb="32" eb="34">
      <t>タイオウ</t>
    </rPh>
    <rPh sb="34" eb="36">
      <t>カンリョウ</t>
    </rPh>
    <phoneticPr fontId="10"/>
  </si>
  <si>
    <t>D-0 Process_進捗管理SIM更新(15分毎)</t>
  </si>
  <si>
    <t>Break_15min.</t>
    <phoneticPr fontId="4"/>
  </si>
  <si>
    <t>SnF共有データ格納確認</t>
    <phoneticPr fontId="10"/>
  </si>
  <si>
    <t>Lunch_1.25h</t>
    <phoneticPr fontId="10"/>
  </si>
  <si>
    <t>Weekly更新_RP Destination取込（日曜日のみ）</t>
    <phoneticPr fontId="10"/>
  </si>
  <si>
    <t>Break_15min.</t>
    <phoneticPr fontId="13"/>
  </si>
  <si>
    <r>
      <t>D-0 Process_進捗管理SIM更新(</t>
    </r>
    <r>
      <rPr>
        <b/>
        <sz val="14"/>
        <color rgb="FFFF0000"/>
        <rFont val="Meiryo UI"/>
        <family val="3"/>
        <charset val="128"/>
      </rPr>
      <t>15</t>
    </r>
    <r>
      <rPr>
        <b/>
        <sz val="12"/>
        <color theme="1"/>
        <rFont val="Meiryo UI"/>
        <family val="3"/>
        <charset val="128"/>
      </rPr>
      <t>分毎）</t>
    </r>
    <rPh sb="24" eb="25">
      <t>フン</t>
    </rPh>
    <rPh sb="25" eb="26">
      <t>ゴト</t>
    </rPh>
    <phoneticPr fontId="4"/>
  </si>
  <si>
    <t>\CRC_AmFlex/DSP_NF配信</t>
    <phoneticPr fontId="10"/>
  </si>
  <si>
    <t>CRC_AmFlex/DSP_SIM起票</t>
  </si>
  <si>
    <t>Break_15min</t>
    <phoneticPr fontId="10"/>
  </si>
  <si>
    <t>Lunch_1.25h</t>
    <phoneticPr fontId="4"/>
  </si>
  <si>
    <t>休憩戻り時　Duplo　Nextボタン押下確認</t>
    <rPh sb="0" eb="2">
      <t>キュウケイ</t>
    </rPh>
    <rPh sb="2" eb="3">
      <t>モド</t>
    </rPh>
    <rPh sb="4" eb="5">
      <t>ジ</t>
    </rPh>
    <rPh sb="19" eb="21">
      <t>オウカ</t>
    </rPh>
    <rPh sb="21" eb="23">
      <t>カクニン</t>
    </rPh>
    <phoneticPr fontId="10"/>
  </si>
  <si>
    <t>Weekly更新_RP Destinationの実行確認（日曜日のみ）</t>
    <rPh sb="24" eb="26">
      <t>ジッコウ</t>
    </rPh>
    <rPh sb="26" eb="28">
      <t>カクニン</t>
    </rPh>
    <phoneticPr fontId="10"/>
  </si>
  <si>
    <t>トラブル報告Check</t>
    <phoneticPr fontId="10"/>
  </si>
  <si>
    <t>Duplo対応_停止_13Kに停止共有</t>
    <rPh sb="5" eb="7">
      <t>タイオウ</t>
    </rPh>
    <rPh sb="8" eb="10">
      <t>テイシ</t>
    </rPh>
    <rPh sb="15" eb="17">
      <t>テイシ</t>
    </rPh>
    <rPh sb="17" eb="19">
      <t>キョウユウ</t>
    </rPh>
    <phoneticPr fontId="10"/>
  </si>
  <si>
    <t>13:00までにORM Chimeに入室（9632515745）</t>
    <rPh sb="18" eb="20">
      <t>ニュウシツ</t>
    </rPh>
    <phoneticPr fontId="10"/>
  </si>
  <si>
    <t>CLUE_月末対応(毎月月末のみ)</t>
    <rPh sb="5" eb="7">
      <t>ゲツマツ</t>
    </rPh>
    <rPh sb="7" eb="9">
      <t>タイオウ</t>
    </rPh>
    <rPh sb="10" eb="12">
      <t>マイツキ</t>
    </rPh>
    <rPh sb="12" eb="14">
      <t>ゲツマツ</t>
    </rPh>
    <phoneticPr fontId="10"/>
  </si>
  <si>
    <t>CLUE_月初対応(毎月1日)</t>
    <rPh sb="5" eb="7">
      <t>ゲッショ</t>
    </rPh>
    <rPh sb="7" eb="9">
      <t>タイオウ</t>
    </rPh>
    <rPh sb="10" eb="12">
      <t>マイツキ</t>
    </rPh>
    <rPh sb="13" eb="14">
      <t>ニチ</t>
    </rPh>
    <phoneticPr fontId="10"/>
  </si>
  <si>
    <t>Message tracker_最終チェック</t>
    <phoneticPr fontId="10"/>
  </si>
  <si>
    <t>13:00~21:45　MissionControl対応</t>
    <phoneticPr fontId="13"/>
  </si>
  <si>
    <t>SkillMap更新依頼メール配信/RADAR更新_毎月5日</t>
    <phoneticPr fontId="10"/>
  </si>
  <si>
    <t>RecoveryBlockOpen依頼_全Node</t>
    <phoneticPr fontId="13"/>
  </si>
  <si>
    <t>【Request_Days_Off_CO_STCO】シート更新（毎月1日に対応）</t>
    <phoneticPr fontId="10"/>
  </si>
  <si>
    <t>帰庫時間超過_C1</t>
  </si>
  <si>
    <t>13:00~22:00　DS_VOA SIM回答</t>
    <phoneticPr fontId="13"/>
  </si>
  <si>
    <t>Duplo対応_起動_～15:00</t>
    <rPh sb="5" eb="7">
      <t>タイオウ</t>
    </rPh>
    <rPh sb="8" eb="10">
      <t>キドウ</t>
    </rPh>
    <phoneticPr fontId="10"/>
  </si>
  <si>
    <t>SKYLINE確認_Shinka 15Stop</t>
  </si>
  <si>
    <t>６DのDuplo停止を確認してから起動</t>
    <rPh sb="8" eb="10">
      <t>テイシ</t>
    </rPh>
    <rPh sb="11" eb="13">
      <t>カクニン</t>
    </rPh>
    <rPh sb="17" eb="19">
      <t>キドウ</t>
    </rPh>
    <phoneticPr fontId="10"/>
  </si>
  <si>
    <t>シート初期化_RP Sharepoint_RP状況/メモ欄/DS使用中リスト/ChatLink_ DOW2_(ChatLinkは手動削除）</t>
    <phoneticPr fontId="10"/>
  </si>
  <si>
    <t>シート初期化_RP Sharepoint_RP状況/メモ欄/DS使用中リスト
/CahtLink_DEJ6,7,8,9/DFK5_(ChatLinkは手動削除）</t>
    <phoneticPr fontId="10"/>
  </si>
  <si>
    <t>シート初期化_RP Sharepoint_RP状況/メモ欄/DS使用中リスト/ChatLink_DOO2/DCJ1,3,4,5/DEJ1,2,3,4,5_(ChatLinkは手動削除）</t>
    <phoneticPr fontId="10"/>
  </si>
  <si>
    <t>シート初期化_RP Sharepoint_RP状況/メモ欄/DS使用中リスト
/CahtLink_ DKJ1,4,5/DMG1,3_(ChatLinkは手動削除）</t>
    <phoneticPr fontId="10"/>
  </si>
  <si>
    <t>シート初期化_RP Sharepoint_RP状況/メモ欄/DS使用中リスト/CahtLink_  DOO4/DWJ1,3,4/DFK1,2_(ChatLinkは手動削除）</t>
    <phoneticPr fontId="10"/>
  </si>
  <si>
    <t>シート初期化_RP Sharepoint_RP状況/メモ欄/DS使用中リスト/CahtLink_DFK4/DTK6,7,8/DHR1/DHR2_(ChatLinkは手動削除）</t>
    <phoneticPr fontId="10"/>
  </si>
  <si>
    <t>Weekly更新_RP Mini_Rescue Share Point_毎週日曜日</t>
  </si>
  <si>
    <t>シート初期化_RP Sharepoint_RP状況/メモ欄/DS使用中リスト
/CahtLink_ VIT1/VSJ1/DTK1,3,4,5_(ChatLinkは手動削除）</t>
    <phoneticPr fontId="10"/>
  </si>
  <si>
    <t>待機DP抽出時間更新_DOW2</t>
    <phoneticPr fontId="10"/>
  </si>
  <si>
    <t>待機DP抽出時間更新_DEJ6,7,8,9/DFK5</t>
    <phoneticPr fontId="10"/>
  </si>
  <si>
    <t>待機DP抽出時間更新_DOO2/DCJ1,3,4,5</t>
    <phoneticPr fontId="10"/>
  </si>
  <si>
    <t>待機DP抽出時間更新_ DKJ1,4,5/DMG1,3</t>
    <phoneticPr fontId="10"/>
  </si>
  <si>
    <t>待機DP抽出時間更新_ DOO4/DWJ1,3,4/DFK1,2</t>
    <phoneticPr fontId="10"/>
  </si>
  <si>
    <t>待機DP抽出時間更新_DFK4/DTK6,7,8/DHR1/DHR2</t>
    <phoneticPr fontId="10"/>
  </si>
  <si>
    <t>（（RP今週シート作成、前週シート削除、当日トラブル報告移行））</t>
  </si>
  <si>
    <t>待機DP抽出時間更新_ VIT1,VSJ1</t>
    <phoneticPr fontId="10"/>
  </si>
  <si>
    <t>待機DP抽出時間更新_DEJ1,2,3,4,5</t>
  </si>
  <si>
    <t>待機DP抽出時間更新_ DTK1,3,4,5</t>
    <phoneticPr fontId="10"/>
  </si>
  <si>
    <t>”</t>
    <phoneticPr fontId="10"/>
  </si>
  <si>
    <t>Weekly更新_余りルート専用/Shinka Share Point_毎週日曜日</t>
    <rPh sb="9" eb="10">
      <t>アマ</t>
    </rPh>
    <rPh sb="14" eb="16">
      <t>センヨウ</t>
    </rPh>
    <phoneticPr fontId="10"/>
  </si>
  <si>
    <t>（今週シート作成、前週シート削除）</t>
    <phoneticPr fontId="10"/>
  </si>
  <si>
    <t>Lunch_1.0h</t>
    <phoneticPr fontId="10"/>
  </si>
  <si>
    <t>待機DP抽出予定チェック_DOW2</t>
    <rPh sb="0" eb="2">
      <t>タイキ</t>
    </rPh>
    <rPh sb="4" eb="6">
      <t>チュウシュツ</t>
    </rPh>
    <rPh sb="6" eb="8">
      <t>ヨテイ</t>
    </rPh>
    <phoneticPr fontId="13"/>
  </si>
  <si>
    <t>News Feed配信_※Push通知対象外</t>
    <phoneticPr fontId="10"/>
  </si>
  <si>
    <t>帰庫Remind配信</t>
  </si>
  <si>
    <t>対応件数が多い場合はCallout（5件以上）</t>
    <phoneticPr fontId="10"/>
  </si>
  <si>
    <t>Panorama_VrPC　MX立ち上げ</t>
    <phoneticPr fontId="10"/>
  </si>
  <si>
    <t>Panorama_VrPC JP立ち上げ</t>
    <phoneticPr fontId="10"/>
  </si>
  <si>
    <t>Panorama_VrPC SG立ち上げ</t>
    <phoneticPr fontId="10"/>
  </si>
  <si>
    <t>シート初期化_RP Sharepoint_RP状況/メモ欄/DS使用中リスト/ChatLink_ DOO1,3/DAI1,DHK1_(ChatLinkは手動削除）</t>
    <phoneticPr fontId="10"/>
  </si>
  <si>
    <t>待機DP抽出時間更新_DOO1,3/DAI1,DHK1</t>
    <phoneticPr fontId="10"/>
  </si>
  <si>
    <t>トラブル報告Check</t>
    <rPh sb="4" eb="6">
      <t>ホウコク</t>
    </rPh>
    <phoneticPr fontId="10"/>
  </si>
  <si>
    <r>
      <t>Skill Map_集計/配信作業_</t>
    </r>
    <r>
      <rPr>
        <b/>
        <sz val="14"/>
        <color rgb="FFFF0000"/>
        <rFont val="Meiryo UI"/>
        <family val="3"/>
        <charset val="128"/>
      </rPr>
      <t>毎月16日</t>
    </r>
    <rPh sb="10" eb="12">
      <t>シュウケイ</t>
    </rPh>
    <rPh sb="13" eb="15">
      <t>ハイシン</t>
    </rPh>
    <rPh sb="15" eb="17">
      <t>サギョウ</t>
    </rPh>
    <rPh sb="18" eb="20">
      <t>マイツキ</t>
    </rPh>
    <rPh sb="22" eb="23">
      <t>ニチ</t>
    </rPh>
    <phoneticPr fontId="10"/>
  </si>
  <si>
    <t>NewsFeed対応サポート</t>
  </si>
  <si>
    <t>14:00までにRP Downloader対応_アプリ起動/Checkリスト更新</t>
    <rPh sb="38" eb="40">
      <t>コウシン</t>
    </rPh>
    <phoneticPr fontId="4"/>
  </si>
  <si>
    <t>※News Feed配信_※Push通知対象外</t>
  </si>
  <si>
    <t>※対応件数が多い場合は分散（5件以上）</t>
  </si>
  <si>
    <t>シート初期化_RP SharePoint_待機リスト/CahtLink_Shinka_(ChatLinkは手動削除）</t>
    <phoneticPr fontId="10"/>
  </si>
  <si>
    <t>14:00までに指定のChime Roomに入室</t>
    <rPh sb="8" eb="10">
      <t>シテイ</t>
    </rPh>
    <rPh sb="22" eb="24">
      <t>ニュウシツ</t>
    </rPh>
    <phoneticPr fontId="10"/>
  </si>
  <si>
    <t>待機DP抽出予定チェック_DOO2</t>
    <phoneticPr fontId="10"/>
  </si>
  <si>
    <t>帰庫Remind配信</t>
    <phoneticPr fontId="13"/>
  </si>
  <si>
    <t>Lunch_1.0h</t>
    <phoneticPr fontId="4"/>
  </si>
  <si>
    <t>＜ 深夜番メンバー出欠確認 ＞</t>
    <rPh sb="2" eb="4">
      <t>シンヤ</t>
    </rPh>
    <rPh sb="4" eb="5">
      <t>バン</t>
    </rPh>
    <rPh sb="5" eb="6">
      <t>ハヤバン</t>
    </rPh>
    <rPh sb="9" eb="11">
      <t>シュッケツ</t>
    </rPh>
    <rPh sb="11" eb="13">
      <t>カクニン</t>
    </rPh>
    <phoneticPr fontId="10"/>
  </si>
  <si>
    <t>タスクスケジューラ_ (Input削除・OFF)（6:15~14:15）</t>
    <phoneticPr fontId="10"/>
  </si>
  <si>
    <t>タスクスケジューラ_ (Input削除・OFF)_確認</t>
    <rPh sb="25" eb="27">
      <t>カクニン</t>
    </rPh>
    <phoneticPr fontId="10"/>
  </si>
  <si>
    <t>タスクスケジューラON（14:16~22:45）</t>
    <phoneticPr fontId="10"/>
  </si>
  <si>
    <t>D-0 Process_進捗管理SIM_閉じる</t>
    <rPh sb="20" eb="21">
      <t>ト</t>
    </rPh>
    <phoneticPr fontId="4"/>
  </si>
  <si>
    <t>Panorama_Routine Check List更新確認</t>
    <phoneticPr fontId="10"/>
  </si>
  <si>
    <t>L</t>
    <phoneticPr fontId="10"/>
  </si>
  <si>
    <t>Duplo対応_停止_8Cに停止共有</t>
    <rPh sb="5" eb="7">
      <t>タイオウ</t>
    </rPh>
    <rPh sb="8" eb="10">
      <t>テイシ</t>
    </rPh>
    <phoneticPr fontId="10"/>
  </si>
  <si>
    <t>TimeSheetMaster_毎月20日</t>
    <phoneticPr fontId="4"/>
  </si>
  <si>
    <t>Weekly更新_RP Optimize_取込（日曜日のみ）</t>
    <rPh sb="6" eb="8">
      <t>コウシン</t>
    </rPh>
    <rPh sb="21" eb="23">
      <t>トリコミ</t>
    </rPh>
    <rPh sb="24" eb="27">
      <t>ニチヨウビ</t>
    </rPh>
    <phoneticPr fontId="10"/>
  </si>
  <si>
    <t>Duplo対応_起動_～16:45</t>
    <rPh sb="5" eb="7">
      <t>タイオウ</t>
    </rPh>
    <rPh sb="8" eb="10">
      <t>キドウ</t>
    </rPh>
    <phoneticPr fontId="10"/>
  </si>
  <si>
    <t>待機DP抽出予定チェック_DMG1/OMG2,OMG6</t>
    <phoneticPr fontId="10"/>
  </si>
  <si>
    <t>RecoveryBlockOpen依頼_全Node</t>
    <phoneticPr fontId="4"/>
  </si>
  <si>
    <t>13KのDuplo停止を確認してから起動</t>
    <rPh sb="9" eb="11">
      <t>テイシ</t>
    </rPh>
    <rPh sb="12" eb="14">
      <t>カクニン</t>
    </rPh>
    <rPh sb="18" eb="20">
      <t>キドウ</t>
    </rPh>
    <phoneticPr fontId="10"/>
  </si>
  <si>
    <t>待機DP抽出予定チェック_DMG3/OMG3/OMG4</t>
    <rPh sb="0" eb="2">
      <t>タイキ</t>
    </rPh>
    <rPh sb="4" eb="6">
      <t>チュウシュツ</t>
    </rPh>
    <rPh sb="6" eb="8">
      <t>ヨテイ</t>
    </rPh>
    <phoneticPr fontId="13"/>
  </si>
  <si>
    <t>帰庫時間超過_C1</t>
    <phoneticPr fontId="13"/>
  </si>
  <si>
    <t>Weather offset</t>
    <phoneticPr fontId="10"/>
  </si>
  <si>
    <t>RecoveryBlockOpen依頼_全Node</t>
  </si>
  <si>
    <t>災害情報ダブルチェック</t>
    <phoneticPr fontId="4"/>
  </si>
  <si>
    <t>トラブル報告Check</t>
    <phoneticPr fontId="4"/>
  </si>
  <si>
    <r>
      <t>Monthly更新_DS Requestシート_</t>
    </r>
    <r>
      <rPr>
        <b/>
        <sz val="10"/>
        <color rgb="FFFF0000"/>
        <rFont val="Meiryo UI"/>
        <family val="3"/>
        <charset val="128"/>
      </rPr>
      <t>毎月1日</t>
    </r>
    <phoneticPr fontId="13"/>
  </si>
  <si>
    <t xml:space="preserve">RP Dailylog_Routine Check List確認 </t>
    <rPh sb="30" eb="32">
      <t>カクニン</t>
    </rPh>
    <phoneticPr fontId="10"/>
  </si>
  <si>
    <t>※↑【DS更新Checkリスト】シート「BS確認」初期化</t>
    <rPh sb="5" eb="7">
      <t>コウシン</t>
    </rPh>
    <rPh sb="22" eb="24">
      <t>カクニン</t>
    </rPh>
    <rPh sb="25" eb="28">
      <t>ショキカ</t>
    </rPh>
    <phoneticPr fontId="13"/>
  </si>
  <si>
    <t>待機DP抽出予定チェック_DFK5</t>
    <rPh sb="0" eb="2">
      <t>タイキ</t>
    </rPh>
    <rPh sb="4" eb="6">
      <t>チュウシュツ</t>
    </rPh>
    <rPh sb="6" eb="8">
      <t>ヨテイ</t>
    </rPh>
    <phoneticPr fontId="13"/>
  </si>
  <si>
    <t>待機DP抽出予定チェック_DTK7</t>
    <rPh sb="0" eb="2">
      <t>タイキ</t>
    </rPh>
    <rPh sb="4" eb="6">
      <t>チュウシュツ</t>
    </rPh>
    <rPh sb="6" eb="8">
      <t>ヨテイ</t>
    </rPh>
    <phoneticPr fontId="13"/>
  </si>
  <si>
    <t>待機DP抽出予定チェック_DFK4</t>
    <rPh sb="0" eb="2">
      <t>タイキ</t>
    </rPh>
    <rPh sb="4" eb="6">
      <t>チュウシュツ</t>
    </rPh>
    <rPh sb="6" eb="8">
      <t>ヨテイ</t>
    </rPh>
    <phoneticPr fontId="13"/>
  </si>
  <si>
    <t>帰庫時間超過_C1</t>
    <phoneticPr fontId="4"/>
  </si>
  <si>
    <t>Daily Flash配信_前日分</t>
    <phoneticPr fontId="10"/>
  </si>
  <si>
    <t>待機DP抽出予定チェック_DHR2</t>
    <rPh sb="0" eb="2">
      <t>タイキ</t>
    </rPh>
    <rPh sb="4" eb="6">
      <t>チュウシュツ</t>
    </rPh>
    <rPh sb="6" eb="8">
      <t>ヨテイ</t>
    </rPh>
    <phoneticPr fontId="13"/>
  </si>
  <si>
    <t>待機DP抽出予定チェック_DFK2</t>
    <rPh sb="0" eb="2">
      <t>タイキ</t>
    </rPh>
    <rPh sb="4" eb="6">
      <t>チュウシュツ</t>
    </rPh>
    <rPh sb="6" eb="8">
      <t>ヨテイ</t>
    </rPh>
    <phoneticPr fontId="13"/>
  </si>
  <si>
    <t>待機DP抽出予定チェック_VIT1</t>
    <rPh sb="0" eb="2">
      <t>タイキ</t>
    </rPh>
    <rPh sb="4" eb="6">
      <t>チュウシュツ</t>
    </rPh>
    <rPh sb="6" eb="8">
      <t>ヨテイ</t>
    </rPh>
    <phoneticPr fontId="13"/>
  </si>
  <si>
    <r>
      <t>Monthly更新_Monthly Flash_</t>
    </r>
    <r>
      <rPr>
        <b/>
        <sz val="10"/>
        <color rgb="FFFF0000"/>
        <rFont val="Meiryo UI"/>
        <family val="3"/>
        <charset val="128"/>
      </rPr>
      <t>毎月1日</t>
    </r>
    <phoneticPr fontId="13"/>
  </si>
  <si>
    <t>待機DP抽出予定チェック_VSJ1</t>
    <rPh sb="0" eb="2">
      <t>タイキ</t>
    </rPh>
    <rPh sb="4" eb="6">
      <t>チュウシュツ</t>
    </rPh>
    <rPh sb="6" eb="8">
      <t>ヨテイ</t>
    </rPh>
    <phoneticPr fontId="13"/>
  </si>
  <si>
    <r>
      <t>Weekly更新_Weekly Flash_前WK分_</t>
    </r>
    <r>
      <rPr>
        <b/>
        <sz val="10"/>
        <color rgb="FFFF0000"/>
        <rFont val="Meiryo UI"/>
        <family val="3"/>
        <charset val="128"/>
      </rPr>
      <t>毎週日曜日</t>
    </r>
    <phoneticPr fontId="13"/>
  </si>
  <si>
    <t>CLUE_先月分シートをWork Docsに格納してあるかCheck(毎月月末のみ)</t>
    <rPh sb="5" eb="7">
      <t>センゲツ</t>
    </rPh>
    <rPh sb="7" eb="8">
      <t>ブン</t>
    </rPh>
    <rPh sb="35" eb="37">
      <t>マイツキ</t>
    </rPh>
    <rPh sb="37" eb="39">
      <t>ゲツマツ</t>
    </rPh>
    <phoneticPr fontId="10"/>
  </si>
  <si>
    <t>待機DP抽出予定チェック_DAI1</t>
    <phoneticPr fontId="10"/>
  </si>
  <si>
    <t>待機DP抽出予定チェック_DWJ3</t>
    <rPh sb="0" eb="2">
      <t>タイキ</t>
    </rPh>
    <rPh sb="4" eb="6">
      <t>チュウシュツ</t>
    </rPh>
    <rPh sb="6" eb="8">
      <t>ヨテイ</t>
    </rPh>
    <phoneticPr fontId="13"/>
  </si>
  <si>
    <t>Rescue_架電</t>
    <rPh sb="7" eb="9">
      <t>カデン</t>
    </rPh>
    <phoneticPr fontId="10"/>
  </si>
  <si>
    <t>レスキュー最優先</t>
    <phoneticPr fontId="10"/>
  </si>
  <si>
    <t>レスキューがない場合は　各Routineサポート</t>
    <phoneticPr fontId="10"/>
  </si>
  <si>
    <t>待機DP抽出予定チェック_DCJ5/OCJ8/PCJ3</t>
    <phoneticPr fontId="10"/>
  </si>
  <si>
    <t>待機DP抽出予定チェック_DWJ1</t>
    <rPh sb="0" eb="2">
      <t>タイキ</t>
    </rPh>
    <rPh sb="4" eb="6">
      <t>チュウシュツ</t>
    </rPh>
    <rPh sb="6" eb="8">
      <t>ヨテイ</t>
    </rPh>
    <phoneticPr fontId="13"/>
  </si>
  <si>
    <t>RP Downloader_更新確認_Checkリスト記入</t>
    <rPh sb="27" eb="29">
      <t>キニュウ</t>
    </rPh>
    <phoneticPr fontId="4"/>
  </si>
  <si>
    <t>待機DP抽出予定チェック_OFK8&lt;DFK5&gt;</t>
    <rPh sb="0" eb="2">
      <t>タイキ</t>
    </rPh>
    <rPh sb="4" eb="6">
      <t>チュウシュツ</t>
    </rPh>
    <rPh sb="6" eb="8">
      <t>ヨテイ</t>
    </rPh>
    <phoneticPr fontId="13"/>
  </si>
  <si>
    <t>待機DP抽出予定チェック_DKJ3</t>
    <rPh sb="0" eb="2">
      <t>タイキ</t>
    </rPh>
    <rPh sb="4" eb="6">
      <t>チュウシュツ</t>
    </rPh>
    <rPh sb="6" eb="8">
      <t>ヨテイ</t>
    </rPh>
    <phoneticPr fontId="13"/>
  </si>
  <si>
    <t>Duplo対応_停止_13Kに停止共有</t>
    <rPh sb="5" eb="7">
      <t>タイオウ</t>
    </rPh>
    <rPh sb="8" eb="10">
      <t>テイシ</t>
    </rPh>
    <phoneticPr fontId="10"/>
  </si>
  <si>
    <t>待機DP抽出予定チェック_DEJ5</t>
    <phoneticPr fontId="10"/>
  </si>
  <si>
    <t>待機DP抽出予定チェック_OFK3,6&lt;DFK2&gt;</t>
    <rPh sb="0" eb="2">
      <t>タイキ</t>
    </rPh>
    <rPh sb="4" eb="6">
      <t>チュウシュツ</t>
    </rPh>
    <rPh sb="6" eb="8">
      <t>ヨテイ</t>
    </rPh>
    <phoneticPr fontId="13"/>
  </si>
  <si>
    <t>Duplo対応_起動_～21:00</t>
    <rPh sb="5" eb="7">
      <t>タイオウ</t>
    </rPh>
    <rPh sb="8" eb="10">
      <t>キドウ</t>
    </rPh>
    <phoneticPr fontId="10"/>
  </si>
  <si>
    <t>８CのDuplo停止を確認してから起動</t>
    <rPh sb="8" eb="10">
      <t>テイシ</t>
    </rPh>
    <rPh sb="11" eb="13">
      <t>カクニン</t>
    </rPh>
    <rPh sb="17" eb="19">
      <t>キドウ</t>
    </rPh>
    <phoneticPr fontId="10"/>
  </si>
  <si>
    <t>待機DP抽出予定チェック_OWJK&lt;DOO1&gt;</t>
    <phoneticPr fontId="10"/>
  </si>
  <si>
    <t>待機DP抽出予定チェック_DOO3/OOOM/OOOS</t>
    <rPh sb="0" eb="2">
      <t>タイキ</t>
    </rPh>
    <rPh sb="4" eb="6">
      <t>チュウシュツ</t>
    </rPh>
    <rPh sb="6" eb="8">
      <t>ヨテイ</t>
    </rPh>
    <phoneticPr fontId="13"/>
  </si>
  <si>
    <t>待機DP抽出予定チェック_DCJ1/OCJ1,2,3,4/OWJO</t>
    <rPh sb="0" eb="2">
      <t>タイキ</t>
    </rPh>
    <rPh sb="4" eb="6">
      <t>チュウシュツ</t>
    </rPh>
    <rPh sb="6" eb="8">
      <t>ヨテイ</t>
    </rPh>
    <phoneticPr fontId="13"/>
  </si>
  <si>
    <t>待機DP抽出予定チェック_DTK4/OTK5/PTKH</t>
    <phoneticPr fontId="10"/>
  </si>
  <si>
    <t>待機DP抽出予定チェック_PTKL&lt;DEJ1&gt;</t>
    <rPh sb="0" eb="2">
      <t>タイキ</t>
    </rPh>
    <rPh sb="4" eb="6">
      <t>チュウシュツ</t>
    </rPh>
    <rPh sb="6" eb="8">
      <t>ヨテイ</t>
    </rPh>
    <phoneticPr fontId="13"/>
  </si>
  <si>
    <t>待機DP抽出予定チェック_PTK4&lt;DTK6&gt;</t>
    <phoneticPr fontId="10"/>
  </si>
  <si>
    <t>Lunch_1.5h</t>
    <phoneticPr fontId="13"/>
  </si>
  <si>
    <t>待機DP抽出予定チェック_OCJ5/ONGA,D＜DAI1＞</t>
    <phoneticPr fontId="10"/>
  </si>
  <si>
    <t>待機DP抽出予定チェック_OOW1,3&lt;DOW2&gt;</t>
    <rPh sb="0" eb="2">
      <t>タイキ</t>
    </rPh>
    <rPh sb="4" eb="6">
      <t>チュウシュツ</t>
    </rPh>
    <rPh sb="6" eb="8">
      <t>ヨテイ</t>
    </rPh>
    <phoneticPr fontId="13"/>
  </si>
  <si>
    <t>待機DP抽出予定チェック_DCJ4</t>
    <rPh sb="0" eb="2">
      <t>タイキ</t>
    </rPh>
    <rPh sb="4" eb="6">
      <t>チュウシュツ</t>
    </rPh>
    <rPh sb="6" eb="8">
      <t>ヨテイ</t>
    </rPh>
    <phoneticPr fontId="13"/>
  </si>
  <si>
    <t>待機DP抽出予定チェック_PTKM,J&lt;DTK1&gt;</t>
    <phoneticPr fontId="10"/>
  </si>
  <si>
    <t>待機DP抽出予定チェック_OFK9&lt;DFK5&gt;</t>
    <rPh sb="0" eb="2">
      <t>タイキ</t>
    </rPh>
    <rPh sb="4" eb="6">
      <t>チュウシュツ</t>
    </rPh>
    <rPh sb="6" eb="8">
      <t>ヨテイ</t>
    </rPh>
    <phoneticPr fontId="13"/>
  </si>
  <si>
    <t>待機DP抽出予定チェック_DTK8/PEJ6</t>
    <phoneticPr fontId="10"/>
  </si>
  <si>
    <t>トラブル報告Check</t>
  </si>
  <si>
    <t>待機DP抽出予定チェック_DHK1/OHK1,2</t>
    <rPh sb="0" eb="2">
      <t>タイキ</t>
    </rPh>
    <rPh sb="4" eb="6">
      <t>チュウシュツ</t>
    </rPh>
    <rPh sb="6" eb="8">
      <t>ヨテイ</t>
    </rPh>
    <phoneticPr fontId="10"/>
  </si>
  <si>
    <t>待機DP抽出予定チェック_DTK3/OTKO/PTK8</t>
    <rPh sb="0" eb="2">
      <t>タイキ</t>
    </rPh>
    <rPh sb="4" eb="6">
      <t>チュウシュツ</t>
    </rPh>
    <rPh sb="6" eb="8">
      <t>ヨテイ</t>
    </rPh>
    <phoneticPr fontId="13"/>
  </si>
  <si>
    <t>待機DP抽出予定チェック_OOOF,J&lt;DOO1&gt;</t>
    <rPh sb="0" eb="2">
      <t>タイキ</t>
    </rPh>
    <rPh sb="4" eb="6">
      <t>チュウシュツ</t>
    </rPh>
    <rPh sb="6" eb="8">
      <t>ヨテイ</t>
    </rPh>
    <phoneticPr fontId="13"/>
  </si>
  <si>
    <t>待機DP抽出予定チェック_DEJ1/OTKN</t>
    <rPh sb="0" eb="2">
      <t>タイキ</t>
    </rPh>
    <rPh sb="4" eb="6">
      <t>チュウシュツ</t>
    </rPh>
    <rPh sb="6" eb="8">
      <t>ヨテイ</t>
    </rPh>
    <phoneticPr fontId="13"/>
  </si>
  <si>
    <t>待機DP抽出予定チェック_OCJ6/7/ONG6&lt;DCJ4&gt;</t>
    <rPh sb="0" eb="2">
      <t>タイキ</t>
    </rPh>
    <rPh sb="4" eb="6">
      <t>チュウシュツ</t>
    </rPh>
    <rPh sb="6" eb="8">
      <t>ヨテイ</t>
    </rPh>
    <phoneticPr fontId="13"/>
  </si>
  <si>
    <t>待機DP抽出予定チェック_DTK5/OEJH/OTKS</t>
    <rPh sb="0" eb="2">
      <t>タイキ</t>
    </rPh>
    <rPh sb="4" eb="6">
      <t>チュウシュツ</t>
    </rPh>
    <rPh sb="6" eb="8">
      <t>ヨテイ</t>
    </rPh>
    <phoneticPr fontId="13"/>
  </si>
  <si>
    <t>待機DP抽出予定チェック_OTK7/PTK9&lt;DTK6&gt;</t>
    <rPh sb="0" eb="2">
      <t>タイキ</t>
    </rPh>
    <rPh sb="4" eb="6">
      <t>チュウシュツ</t>
    </rPh>
    <rPh sb="6" eb="8">
      <t>ヨテイ</t>
    </rPh>
    <phoneticPr fontId="13"/>
  </si>
  <si>
    <t>Lunch_1.5h</t>
    <phoneticPr fontId="10"/>
  </si>
  <si>
    <t>待機DP抽出予定チェック_DCJ3</t>
    <rPh sb="0" eb="2">
      <t>タイキ</t>
    </rPh>
    <rPh sb="4" eb="6">
      <t>チュウシュツ</t>
    </rPh>
    <rPh sb="6" eb="8">
      <t>ヨテイ</t>
    </rPh>
    <phoneticPr fontId="10"/>
  </si>
  <si>
    <t>待機DP抽出予定チェック_DKJ4/PEJ7,A</t>
    <rPh sb="0" eb="2">
      <t>タイキ</t>
    </rPh>
    <rPh sb="4" eb="6">
      <t>チュウシュツ</t>
    </rPh>
    <rPh sb="6" eb="8">
      <t>ヨテイ</t>
    </rPh>
    <phoneticPr fontId="13"/>
  </si>
  <si>
    <t>待機DP抽出予定チェック_OHR5&lt;DHR2&gt;</t>
    <rPh sb="0" eb="2">
      <t>タイキ</t>
    </rPh>
    <rPh sb="4" eb="6">
      <t>チュウシュツ</t>
    </rPh>
    <rPh sb="6" eb="8">
      <t>ヨテイ</t>
    </rPh>
    <phoneticPr fontId="13"/>
  </si>
  <si>
    <t>待機DP抽出予定チェック_OHR4,6,7&lt;DHR1&gt;</t>
    <rPh sb="0" eb="2">
      <t>タイキ</t>
    </rPh>
    <rPh sb="4" eb="6">
      <t>チュウシュツ</t>
    </rPh>
    <rPh sb="6" eb="8">
      <t>ヨテイ</t>
    </rPh>
    <phoneticPr fontId="13"/>
  </si>
  <si>
    <t>待機DP抽出予定チェック_DWJ4</t>
    <rPh sb="0" eb="2">
      <t>タイキ</t>
    </rPh>
    <rPh sb="4" eb="6">
      <t>チュウシュツ</t>
    </rPh>
    <rPh sb="6" eb="8">
      <t>ヨテイ</t>
    </rPh>
    <phoneticPr fontId="13"/>
  </si>
  <si>
    <t>RecoveryBlockOpen依頼_全Node</t>
    <phoneticPr fontId="10"/>
  </si>
  <si>
    <t>帰庫時間超過_C1</t>
    <phoneticPr fontId="10"/>
  </si>
  <si>
    <t>待機DP抽出予定チェック_DEJ4/PTK7/PEJ8</t>
    <rPh sb="0" eb="2">
      <t>タイキ</t>
    </rPh>
    <rPh sb="4" eb="6">
      <t>チュウシュツ</t>
    </rPh>
    <rPh sb="6" eb="8">
      <t>ヨテイ</t>
    </rPh>
    <phoneticPr fontId="10"/>
  </si>
  <si>
    <t>待機DP抽出予定チェック_OFK5&lt;DFK2&gt;</t>
    <rPh sb="0" eb="2">
      <t>タイキ</t>
    </rPh>
    <rPh sb="4" eb="6">
      <t>チュウシュツ</t>
    </rPh>
    <rPh sb="6" eb="8">
      <t>ヨテイ</t>
    </rPh>
    <phoneticPr fontId="13"/>
  </si>
  <si>
    <t>待機DP抽出予定チェック_OTKY/PTKE&lt;DTK6&gt;</t>
    <phoneticPr fontId="10"/>
  </si>
  <si>
    <t>Panorama_更新確認</t>
    <phoneticPr fontId="10"/>
  </si>
  <si>
    <t>18:00~22:00 RPサポート　group２</t>
    <phoneticPr fontId="10"/>
  </si>
  <si>
    <t>~20:45RP対応シフトのDockingサポート</t>
    <phoneticPr fontId="13"/>
  </si>
  <si>
    <t>~20:45 RP対応シフトのDockingサポート</t>
    <rPh sb="9" eb="11">
      <t>タイオウ</t>
    </rPh>
    <phoneticPr fontId="13"/>
  </si>
  <si>
    <t>待機DP抽出予定チェック_PTKW＜DEJ7＞</t>
    <phoneticPr fontId="10"/>
  </si>
  <si>
    <t>待機DP抽出予定チェック_OOO7,8,9/OWJB,M&lt;DWJ3&gt;</t>
    <rPh sb="0" eb="2">
      <t>タイキ</t>
    </rPh>
    <rPh sb="4" eb="6">
      <t>チュウシュツ</t>
    </rPh>
    <rPh sb="6" eb="8">
      <t>ヨテイ</t>
    </rPh>
    <phoneticPr fontId="13"/>
  </si>
  <si>
    <t>待機DP抽出予定チェック_DKJ5/PEJD</t>
    <rPh sb="0" eb="2">
      <t>タイキ</t>
    </rPh>
    <rPh sb="4" eb="6">
      <t>チュウシュツ</t>
    </rPh>
    <rPh sb="6" eb="8">
      <t>ヨテイ</t>
    </rPh>
    <phoneticPr fontId="13"/>
  </si>
  <si>
    <t>待機DP抽出予定チェック_DKJ1</t>
    <rPh sb="0" eb="2">
      <t>タイキ</t>
    </rPh>
    <rPh sb="4" eb="6">
      <t>チュウシュツ</t>
    </rPh>
    <rPh sb="6" eb="8">
      <t>ヨテイ</t>
    </rPh>
    <phoneticPr fontId="13"/>
  </si>
  <si>
    <t>待機DP抽出予定チェック_DOO4/OWJ2,3,4/OWJD,E,P</t>
    <phoneticPr fontId="10"/>
  </si>
  <si>
    <t>待機DP抽出予定チェック_DFK1</t>
    <rPh sb="0" eb="2">
      <t>タイキ</t>
    </rPh>
    <rPh sb="4" eb="6">
      <t>チュウシュツ</t>
    </rPh>
    <rPh sb="6" eb="8">
      <t>ヨテイ</t>
    </rPh>
    <phoneticPr fontId="13"/>
  </si>
  <si>
    <t>待機DP抽出予定チェック_OCJ9&lt;DCJ3&gt;</t>
    <rPh sb="0" eb="2">
      <t>タイキ</t>
    </rPh>
    <rPh sb="4" eb="6">
      <t>チュウシュツ</t>
    </rPh>
    <rPh sb="6" eb="8">
      <t>ヨテイ</t>
    </rPh>
    <phoneticPr fontId="10"/>
  </si>
  <si>
    <t>待機DP抽出予定チェック_DTK6</t>
    <phoneticPr fontId="10"/>
  </si>
  <si>
    <t>帰庫時間超過_C2</t>
    <phoneticPr fontId="13"/>
  </si>
  <si>
    <t>待機DP抽出予定チェック_DHR1</t>
    <rPh sb="0" eb="2">
      <t>タイキ</t>
    </rPh>
    <rPh sb="4" eb="6">
      <t>チュウシュツ</t>
    </rPh>
    <rPh sb="6" eb="8">
      <t>ヨテイ</t>
    </rPh>
    <phoneticPr fontId="13"/>
  </si>
  <si>
    <t>待機DP抽出予定チェック_DOO1</t>
    <phoneticPr fontId="10"/>
  </si>
  <si>
    <t>待機DP抽出予定チェック_DEJ3/OEJE</t>
    <rPh sb="0" eb="2">
      <t>タイキ</t>
    </rPh>
    <rPh sb="4" eb="6">
      <t>チュウシュツ</t>
    </rPh>
    <rPh sb="6" eb="8">
      <t>ヨテイ</t>
    </rPh>
    <phoneticPr fontId="10"/>
  </si>
  <si>
    <t>待機DP抽出予定チェック_OFK7&lt;DFK2&gt;</t>
    <rPh sb="0" eb="2">
      <t>タイキ</t>
    </rPh>
    <rPh sb="4" eb="6">
      <t>チュウシュツ</t>
    </rPh>
    <rPh sb="6" eb="8">
      <t>ヨテイ</t>
    </rPh>
    <phoneticPr fontId="13"/>
  </si>
  <si>
    <t>待機DP抽出予定チェック_PTK2,3&lt;DTK6&gt;</t>
    <phoneticPr fontId="10"/>
  </si>
  <si>
    <t>待機DP抽出予定チェック_OOOD,L</t>
    <phoneticPr fontId="10"/>
  </si>
  <si>
    <t>待機DP抽出予定チェック_DTK1</t>
    <rPh sb="0" eb="2">
      <t>タイキ</t>
    </rPh>
    <rPh sb="4" eb="6">
      <t>チュウシュツ</t>
    </rPh>
    <rPh sb="6" eb="8">
      <t>ヨテイ</t>
    </rPh>
    <phoneticPr fontId="13"/>
  </si>
  <si>
    <t>待機DP抽出予定チェック_DEJ9/OEJX,U,T,W</t>
    <rPh sb="0" eb="2">
      <t>タイキ</t>
    </rPh>
    <rPh sb="4" eb="6">
      <t>チュウシュツ</t>
    </rPh>
    <rPh sb="6" eb="8">
      <t>ヨテイ</t>
    </rPh>
    <phoneticPr fontId="10"/>
  </si>
  <si>
    <t>待機DP抽出予定チェック_PTK1/PTKX&lt;DTK6&gt;</t>
    <phoneticPr fontId="10"/>
  </si>
  <si>
    <t>待機DP抽出予定チェック_DEJ7/OEJM,Y</t>
    <phoneticPr fontId="10"/>
  </si>
  <si>
    <t>帰庫時間超過_C2</t>
  </si>
  <si>
    <t>D-0 _当日実績Log格納_当日シート削除
※格納後に削除対応する</t>
    <rPh sb="15" eb="17">
      <t>トウジツ</t>
    </rPh>
    <rPh sb="24" eb="26">
      <t>カクノウ</t>
    </rPh>
    <rPh sb="26" eb="27">
      <t>ゴ</t>
    </rPh>
    <rPh sb="28" eb="30">
      <t>サクジョ</t>
    </rPh>
    <rPh sb="30" eb="32">
      <t>タイオウ</t>
    </rPh>
    <phoneticPr fontId="4"/>
  </si>
  <si>
    <t>待機DP抽出予定チェック_OFK4&lt;DFK2&gt;</t>
    <rPh sb="0" eb="2">
      <t>タイキ</t>
    </rPh>
    <rPh sb="4" eb="6">
      <t>チュウシュツ</t>
    </rPh>
    <rPh sb="6" eb="8">
      <t>ヨテイ</t>
    </rPh>
    <phoneticPr fontId="13"/>
  </si>
  <si>
    <t>待機DP抽出予定チェック_DEJ6/PTK5</t>
    <rPh sb="0" eb="2">
      <t>タイキ</t>
    </rPh>
    <rPh sb="4" eb="6">
      <t>チュウシュツ</t>
    </rPh>
    <rPh sb="6" eb="8">
      <t>ヨテイ</t>
    </rPh>
    <phoneticPr fontId="13"/>
  </si>
  <si>
    <t>待機DP抽出予定チェック_DEJ2/OEJ4,9/OEJS</t>
    <rPh sb="0" eb="2">
      <t>タイキ</t>
    </rPh>
    <rPh sb="4" eb="6">
      <t>チュウシュツ</t>
    </rPh>
    <rPh sb="6" eb="8">
      <t>ヨテイ</t>
    </rPh>
    <phoneticPr fontId="13"/>
  </si>
  <si>
    <t>待機DP抽出予定チェック_OWJH,J,L&lt;DWJ1&gt;</t>
    <rPh sb="0" eb="2">
      <t>タイキ</t>
    </rPh>
    <rPh sb="4" eb="6">
      <t>チュウシュツ</t>
    </rPh>
    <rPh sb="6" eb="8">
      <t>ヨテイ</t>
    </rPh>
    <phoneticPr fontId="13"/>
  </si>
  <si>
    <r>
      <t>D-0 Process_進捗管理SIM更新</t>
    </r>
    <r>
      <rPr>
        <b/>
        <sz val="12"/>
        <color rgb="FFFF0000"/>
        <rFont val="Meiryo UI"/>
        <family val="3"/>
        <charset val="128"/>
      </rPr>
      <t>（15分毎）</t>
    </r>
    <phoneticPr fontId="4"/>
  </si>
  <si>
    <t>待機DP抽出予定チェック_DEJ8/PEJ1,2,3,4,5</t>
    <phoneticPr fontId="10"/>
  </si>
  <si>
    <t>SKYLINE確認_Shinka 15Stop</t>
    <phoneticPr fontId="13"/>
  </si>
  <si>
    <t>”</t>
    <phoneticPr fontId="13"/>
  </si>
  <si>
    <t xml:space="preserve"> </t>
    <phoneticPr fontId="10"/>
  </si>
  <si>
    <t>Break_30min.</t>
    <phoneticPr fontId="10"/>
  </si>
  <si>
    <t>D-0 Process_進捗管理SIM更新（15分毎）</t>
    <phoneticPr fontId="4"/>
  </si>
  <si>
    <t>VOA_DS VOA Backlog Check</t>
    <phoneticPr fontId="10"/>
  </si>
  <si>
    <t>Tipsメール確認</t>
    <rPh sb="7" eb="9">
      <t>カクニン</t>
    </rPh>
    <phoneticPr fontId="10"/>
  </si>
  <si>
    <r>
      <t>Tips格納_</t>
    </r>
    <r>
      <rPr>
        <b/>
        <sz val="10"/>
        <color rgb="FFFF0000"/>
        <rFont val="Meiryo UI"/>
        <family val="3"/>
        <charset val="128"/>
      </rPr>
      <t>毎月28日</t>
    </r>
    <phoneticPr fontId="10"/>
  </si>
  <si>
    <t>Weather offset_csv格納確認</t>
    <phoneticPr fontId="10"/>
  </si>
  <si>
    <t>News Feed配信_※Push通知対象外（Peak期間のみ）</t>
    <phoneticPr fontId="10"/>
  </si>
  <si>
    <t>Duplo対応_停止_13Gに停止共有</t>
    <rPh sb="5" eb="7">
      <t>タイオウ</t>
    </rPh>
    <rPh sb="8" eb="10">
      <t>テイシ</t>
    </rPh>
    <phoneticPr fontId="10"/>
  </si>
  <si>
    <t>Break_15min.</t>
  </si>
  <si>
    <t>Duplo対応_起動_～21:55</t>
    <rPh sb="5" eb="7">
      <t>タイオウ</t>
    </rPh>
    <rPh sb="8" eb="10">
      <t>キドウ</t>
    </rPh>
    <phoneticPr fontId="10"/>
  </si>
  <si>
    <t>Panorama_VrPC MX切替</t>
    <rPh sb="16" eb="17">
      <t>キ</t>
    </rPh>
    <rPh sb="17" eb="18">
      <t>カ</t>
    </rPh>
    <phoneticPr fontId="10"/>
  </si>
  <si>
    <t>Break_30min.</t>
    <phoneticPr fontId="4"/>
  </si>
  <si>
    <t>Panorama_格納 MX</t>
    <rPh sb="9" eb="11">
      <t>カクノウ</t>
    </rPh>
    <phoneticPr fontId="4"/>
  </si>
  <si>
    <t>Panorama_VrPC JP切替</t>
    <phoneticPr fontId="10"/>
  </si>
  <si>
    <t>Panorama_VrPC SG切替</t>
    <phoneticPr fontId="10"/>
  </si>
  <si>
    <t>Panorama_Routine Check List更新確認</t>
  </si>
  <si>
    <t>帰庫Remind配信_最終</t>
    <phoneticPr fontId="10"/>
  </si>
  <si>
    <t>CRC Monitor_PC Shutdown＆Monitor 電源Off</t>
  </si>
  <si>
    <t>Panorama_Log格納確認 MX</t>
    <rPh sb="12" eb="14">
      <t>カクノウ</t>
    </rPh>
    <rPh sb="14" eb="16">
      <t>カクニン</t>
    </rPh>
    <phoneticPr fontId="4"/>
  </si>
  <si>
    <t>最終確認_トラブル報告Check_当日分</t>
    <phoneticPr fontId="10"/>
  </si>
  <si>
    <t>Daily Report配信</t>
    <phoneticPr fontId="13"/>
  </si>
  <si>
    <t>シート初期化_RoutineCheckList</t>
    <phoneticPr fontId="10"/>
  </si>
  <si>
    <t>最終確認_MC BackLog全削除</t>
  </si>
  <si>
    <t>Duplo対応_停止</t>
    <rPh sb="5" eb="7">
      <t>タイオウ</t>
    </rPh>
    <rPh sb="8" eb="10">
      <t>テイシ</t>
    </rPh>
    <phoneticPr fontId="10"/>
  </si>
  <si>
    <t>タスクスケジューラ_(Input削除・OFF)(14:16~22:45）</t>
    <rPh sb="16" eb="18">
      <t>サクジョ</t>
    </rPh>
    <phoneticPr fontId="10"/>
  </si>
  <si>
    <t>未処理確認_SIM/CSV File</t>
    <phoneticPr fontId="10"/>
  </si>
  <si>
    <t>D-0 Process_当日実績Log格納最終確認</t>
    <phoneticPr fontId="4"/>
  </si>
  <si>
    <t>タスクスケジューラ＆TamperMonkey_ログアウト最終確認</t>
    <phoneticPr fontId="4"/>
  </si>
  <si>
    <t>「SIM進捗管理一覧」翌日分シート内「M3-P3セル」_削除</t>
    <phoneticPr fontId="4"/>
  </si>
  <si>
    <t>早朝番_6_D</t>
    <rPh sb="0" eb="2">
      <t>ソウチョウ</t>
    </rPh>
    <rPh sb="2" eb="3">
      <t>バン</t>
    </rPh>
    <phoneticPr fontId="13"/>
  </si>
  <si>
    <t>遅番_13_L</t>
    <phoneticPr fontId="13"/>
  </si>
  <si>
    <t>RP eDSP_Mini</t>
    <phoneticPr fontId="10"/>
  </si>
  <si>
    <t>０ Logistics Scheduler</t>
    <phoneticPr fontId="4"/>
  </si>
  <si>
    <t>1　Associate</t>
    <phoneticPr fontId="4"/>
  </si>
  <si>
    <t>【D-0】対応　8:00まで</t>
    <rPh sb="5" eb="7">
      <t>タイオウ</t>
    </rPh>
    <phoneticPr fontId="4"/>
  </si>
  <si>
    <t>Duplo優先</t>
    <rPh sb="5" eb="7">
      <t>ユウセン</t>
    </rPh>
    <phoneticPr fontId="4"/>
  </si>
  <si>
    <r>
      <rPr>
        <b/>
        <sz val="9"/>
        <rFont val="Meiryo UI"/>
        <family val="3"/>
        <charset val="128"/>
      </rPr>
      <t>VKI1(4/23~) ・・・</t>
    </r>
    <r>
      <rPr>
        <b/>
        <sz val="9"/>
        <color rgb="FFC00000"/>
        <rFont val="Meiryo UI"/>
        <family val="3"/>
        <charset val="128"/>
      </rPr>
      <t>Chime挨拶/Chime Check</t>
    </r>
    <rPh sb="20" eb="22">
      <t>アイサツ</t>
    </rPh>
    <phoneticPr fontId="4"/>
  </si>
  <si>
    <t>待機DP抽出時間更新対応</t>
    <rPh sb="0" eb="2">
      <t>タイキ</t>
    </rPh>
    <rPh sb="4" eb="6">
      <t>チュウシュツ</t>
    </rPh>
    <rPh sb="6" eb="8">
      <t>ジカン</t>
    </rPh>
    <rPh sb="8" eb="10">
      <t>コウシン</t>
    </rPh>
    <rPh sb="10" eb="12">
      <t>タイオウ</t>
    </rPh>
    <phoneticPr fontId="4"/>
  </si>
  <si>
    <t>DEJ1/OTKN/PTKL</t>
  </si>
  <si>
    <t>DEJ2/OEJ4,9/OEJS</t>
  </si>
  <si>
    <t>DEJ3/OEJE</t>
  </si>
  <si>
    <t>DEJ4/PEJ8/PTK7</t>
  </si>
  <si>
    <r>
      <t>DKJ3</t>
    </r>
    <r>
      <rPr>
        <b/>
        <sz val="9"/>
        <color rgb="FFFF0000"/>
        <rFont val="Meiryo UI"/>
        <family val="3"/>
        <charset val="128"/>
      </rPr>
      <t>・・Chime挨拶/Chime Check</t>
    </r>
    <phoneticPr fontId="4"/>
  </si>
  <si>
    <t>DEJ5</t>
  </si>
  <si>
    <t>14A</t>
    <phoneticPr fontId="10"/>
  </si>
  <si>
    <r>
      <t>DHR2/OHR5</t>
    </r>
    <r>
      <rPr>
        <b/>
        <sz val="9"/>
        <color rgb="FFFF0000"/>
        <rFont val="Meiryo UI"/>
        <family val="3"/>
        <charset val="128"/>
      </rPr>
      <t>・・・Chime挨拶/Chime Check</t>
    </r>
    <phoneticPr fontId="10"/>
  </si>
  <si>
    <t>14B</t>
    <phoneticPr fontId="10"/>
  </si>
  <si>
    <t>14C</t>
  </si>
  <si>
    <t>Chime　Check/RPサポート（MC/ドッキング)</t>
    <phoneticPr fontId="10"/>
  </si>
  <si>
    <t>VKI1(4/23~)</t>
    <phoneticPr fontId="4"/>
  </si>
  <si>
    <t>SKYLINE確認_Shinka 15Stop</t>
    <phoneticPr fontId="4"/>
  </si>
  <si>
    <t>Duplo対応_停止_13Lに停止共有</t>
    <rPh sb="5" eb="7">
      <t>タイオウ</t>
    </rPh>
    <rPh sb="8" eb="10">
      <t>テイシ</t>
    </rPh>
    <rPh sb="15" eb="17">
      <t>テイシ</t>
    </rPh>
    <rPh sb="17" eb="19">
      <t>キョウユウ</t>
    </rPh>
    <phoneticPr fontId="10"/>
  </si>
  <si>
    <t>Duplo対応_起動_～15:30</t>
    <rPh sb="5" eb="7">
      <t>タイオウ</t>
    </rPh>
    <rPh sb="8" eb="10">
      <t>キドウ</t>
    </rPh>
    <phoneticPr fontId="10"/>
  </si>
  <si>
    <t>シート初期化_RP Sharepoint_RP状況/メモ欄/DS使用中リスト
/CahtLink_DEJ6,7,8,9/DFK5/DKJ3_(ChatLinkは手動削除）</t>
    <phoneticPr fontId="10"/>
  </si>
  <si>
    <t>シート初期化_RP Sharepoint_RP状況/メモ欄/DS使用中リスト/ChatLink_DOO2/DCJ1,3,4,5_(ChatLinkは手動削除）</t>
    <phoneticPr fontId="10"/>
  </si>
  <si>
    <t>シート初期化_RP Sharepoint_RP状況/メモ欄/DS使用中リスト
/CahtLink_ VIT1/VSJ1/DTK1,3,4,5/DEJ1,2,3,4,5_(ChatLinkは手動削除）</t>
    <phoneticPr fontId="10"/>
  </si>
  <si>
    <t>待機DP抽出時間更新_DEJ6,7,8,9/DFK5/DKJ3</t>
    <phoneticPr fontId="10"/>
  </si>
  <si>
    <t>待機DP抽出時間更新_DEJ1,2,3,4,5</t>
    <phoneticPr fontId="10"/>
  </si>
  <si>
    <t>帰庫Remind配信</t>
    <rPh sb="0" eb="2">
      <t>キコ</t>
    </rPh>
    <rPh sb="8" eb="10">
      <t>ハイシン</t>
    </rPh>
    <phoneticPr fontId="10"/>
  </si>
  <si>
    <t>Lunch_1h</t>
    <phoneticPr fontId="10"/>
  </si>
  <si>
    <t>Shinka _RecoveryBlockOpen依頼_全Node</t>
    <phoneticPr fontId="10"/>
  </si>
  <si>
    <t xml:space="preserve">RP Downloader_Routine Check List確認 </t>
    <rPh sb="32" eb="34">
      <t>カクニン</t>
    </rPh>
    <phoneticPr fontId="10"/>
  </si>
  <si>
    <t>Duplo対応_起動_15:30～16:45</t>
    <phoneticPr fontId="4"/>
  </si>
  <si>
    <t>Duplo対応_停止_8Cに停止共有</t>
    <phoneticPr fontId="4"/>
  </si>
  <si>
    <t>13LのDuplo停止を確認してから起動</t>
    <phoneticPr fontId="4"/>
  </si>
  <si>
    <t>Shinka _RecoveryBlockOpen依頼_全Node</t>
    <phoneticPr fontId="4"/>
  </si>
  <si>
    <t>Duplo対応_停止_13Lに停止共有</t>
    <rPh sb="5" eb="7">
      <t>タイオウ</t>
    </rPh>
    <rPh sb="8" eb="10">
      <t>テイシ</t>
    </rPh>
    <phoneticPr fontId="10"/>
  </si>
  <si>
    <t>Duplo対応_起動_16:45～21:00</t>
    <rPh sb="5" eb="7">
      <t>タイオウ</t>
    </rPh>
    <rPh sb="8" eb="10">
      <t>キドウ</t>
    </rPh>
    <phoneticPr fontId="10"/>
  </si>
  <si>
    <t>待機DP抽出予定チェック_OHR5&lt;DHR2&gt;</t>
    <phoneticPr fontId="13"/>
  </si>
  <si>
    <t>待機DP抽出予定チェック_OOOD,L&lt;DOO2&gt;</t>
    <phoneticPr fontId="10"/>
  </si>
  <si>
    <r>
      <t>Tips格納_</t>
    </r>
    <r>
      <rPr>
        <b/>
        <sz val="10"/>
        <color rgb="FFFF0000"/>
        <rFont val="Meiryo UI"/>
        <family val="3"/>
        <charset val="128"/>
      </rPr>
      <t>毎月28日</t>
    </r>
    <rPh sb="4" eb="6">
      <t>カクノウ</t>
    </rPh>
    <rPh sb="7" eb="9">
      <t>マイツキ</t>
    </rPh>
    <rPh sb="11" eb="12">
      <t>ニチ</t>
    </rPh>
    <phoneticPr fontId="10"/>
  </si>
  <si>
    <t>Panorama_Log格納 MX</t>
    <rPh sb="12" eb="14">
      <t>カクノウ</t>
    </rPh>
    <phoneticPr fontId="4"/>
  </si>
  <si>
    <t>13LのDuplo停止を確認してから起動</t>
    <rPh sb="9" eb="11">
      <t>テイシ</t>
    </rPh>
    <rPh sb="12" eb="14">
      <t>カクニン</t>
    </rPh>
    <rPh sb="18" eb="20">
      <t>キドウ</t>
    </rPh>
    <phoneticPr fontId="10"/>
  </si>
  <si>
    <t>帰庫Remind配信_最終</t>
  </si>
  <si>
    <t>CRC Monitor_PC Shutdown＆Monitor 電源Off</t>
    <phoneticPr fontId="4"/>
  </si>
  <si>
    <t>最終更新</t>
    <rPh sb="0" eb="2">
      <t>サイシュウ</t>
    </rPh>
    <rPh sb="2" eb="4">
      <t>コウシン</t>
    </rPh>
    <phoneticPr fontId="10"/>
  </si>
  <si>
    <t>Duplo</t>
    <phoneticPr fontId="10"/>
  </si>
  <si>
    <t>Duplo</t>
  </si>
  <si>
    <t>DAI1</t>
  </si>
  <si>
    <t xml:space="preserve"> Ctrl＋Shift＋↓でNodeを選択してからコピー</t>
    <phoneticPr fontId="4"/>
  </si>
  <si>
    <t>OCJ5</t>
  </si>
  <si>
    <t>Node種別</t>
    <rPh sb="4" eb="6">
      <t>シュベツ</t>
    </rPh>
    <phoneticPr fontId="4"/>
  </si>
  <si>
    <t>ONGA</t>
  </si>
  <si>
    <t>Large</t>
    <phoneticPr fontId="4"/>
  </si>
  <si>
    <t>ONGD</t>
  </si>
  <si>
    <t>XPT</t>
    <phoneticPr fontId="4"/>
  </si>
  <si>
    <t>DCJ1</t>
  </si>
  <si>
    <t>SSD</t>
    <phoneticPr fontId="4"/>
  </si>
  <si>
    <t>OCJ1</t>
  </si>
  <si>
    <t>Mini</t>
    <phoneticPr fontId="4"/>
  </si>
  <si>
    <t>OCJ2</t>
  </si>
  <si>
    <t>OCJ3</t>
  </si>
  <si>
    <t>OCJ4</t>
  </si>
  <si>
    <t>OWJO</t>
  </si>
  <si>
    <t>DCJ3</t>
  </si>
  <si>
    <t>OCJ9</t>
  </si>
  <si>
    <t>DCJ4</t>
  </si>
  <si>
    <t>OCJ6</t>
  </si>
  <si>
    <t>OCJ7</t>
  </si>
  <si>
    <t>ONG6</t>
  </si>
  <si>
    <t>DCJ5</t>
  </si>
  <si>
    <t>OCJ8</t>
  </si>
  <si>
    <t>PCJ3</t>
  </si>
  <si>
    <t>DEJ1</t>
  </si>
  <si>
    <t>OTKN</t>
  </si>
  <si>
    <t>PTKL</t>
  </si>
  <si>
    <t>DEJ2</t>
  </si>
  <si>
    <t>OEJ4</t>
  </si>
  <si>
    <t>OEJ9</t>
  </si>
  <si>
    <t>OEJS</t>
  </si>
  <si>
    <t>DEJ3</t>
  </si>
  <si>
    <t>OEJE</t>
  </si>
  <si>
    <t>DEJ4</t>
  </si>
  <si>
    <t>PTK7</t>
  </si>
  <si>
    <t>PEJ8</t>
  </si>
  <si>
    <t>DEJ6</t>
  </si>
  <si>
    <t>PTK5</t>
  </si>
  <si>
    <t>DEJ7</t>
  </si>
  <si>
    <t>OEJM</t>
  </si>
  <si>
    <t>OEJY</t>
  </si>
  <si>
    <t>PTKW</t>
  </si>
  <si>
    <t>DEJ8</t>
  </si>
  <si>
    <t>PEJ4</t>
  </si>
  <si>
    <t>PEJ1</t>
  </si>
  <si>
    <t>PEJ5</t>
  </si>
  <si>
    <t>PEJ2</t>
  </si>
  <si>
    <t>PEJ3</t>
  </si>
  <si>
    <t>DEJ9</t>
  </si>
  <si>
    <t>OEJW</t>
  </si>
  <si>
    <t>OEJT</t>
  </si>
  <si>
    <t>OEJX</t>
  </si>
  <si>
    <t>OEJU</t>
  </si>
  <si>
    <t>DFK1</t>
  </si>
  <si>
    <t>DFK2</t>
  </si>
  <si>
    <t>OFK3</t>
  </si>
  <si>
    <t>OFK4</t>
  </si>
  <si>
    <t>OFK5</t>
  </si>
  <si>
    <t>OFK6</t>
  </si>
  <si>
    <t>OFK7</t>
  </si>
  <si>
    <t>DFK4</t>
  </si>
  <si>
    <t>DFK5</t>
  </si>
  <si>
    <t>OFK8</t>
  </si>
  <si>
    <t>OFK9</t>
  </si>
  <si>
    <t>DHK1</t>
  </si>
  <si>
    <t>OHK1</t>
  </si>
  <si>
    <t>OHK2</t>
  </si>
  <si>
    <t>DHR1</t>
  </si>
  <si>
    <t>OHR4</t>
  </si>
  <si>
    <t>OHR5</t>
  </si>
  <si>
    <t>OHR6</t>
  </si>
  <si>
    <t>OHR7</t>
  </si>
  <si>
    <t>DHR2</t>
  </si>
  <si>
    <t>DKJ1</t>
  </si>
  <si>
    <t>DKJ3</t>
  </si>
  <si>
    <t>DKJ4</t>
  </si>
  <si>
    <t>PEJ7</t>
  </si>
  <si>
    <t>PEJA</t>
  </si>
  <si>
    <t>DKJ5</t>
  </si>
  <si>
    <t>PEJD</t>
  </si>
  <si>
    <t>DMG1</t>
  </si>
  <si>
    <t>OMG2</t>
  </si>
  <si>
    <t>OMG6</t>
  </si>
  <si>
    <t>DMG3</t>
  </si>
  <si>
    <t>OMG3</t>
  </si>
  <si>
    <t>OMG4</t>
  </si>
  <si>
    <t>DOO1</t>
  </si>
  <si>
    <t>OOOF</t>
  </si>
  <si>
    <t>OOOJ</t>
  </si>
  <si>
    <t>OWJK</t>
  </si>
  <si>
    <t>DOO2</t>
  </si>
  <si>
    <t>OOOD</t>
  </si>
  <si>
    <t>OOOL</t>
  </si>
  <si>
    <t>DOO3</t>
  </si>
  <si>
    <t>OOOM</t>
  </si>
  <si>
    <t>OOOS</t>
  </si>
  <si>
    <t>DOO4</t>
  </si>
  <si>
    <t>OWJ2</t>
  </si>
  <si>
    <t>OWJ3</t>
  </si>
  <si>
    <t>OWJ4</t>
  </si>
  <si>
    <t>OWJD</t>
  </si>
  <si>
    <t>OWJE</t>
  </si>
  <si>
    <t>OWJP</t>
  </si>
  <si>
    <t>DTK1</t>
  </si>
  <si>
    <t>PTKJ</t>
  </si>
  <si>
    <t>PTKM</t>
  </si>
  <si>
    <t>DTK3</t>
  </si>
  <si>
    <t>OTKO</t>
  </si>
  <si>
    <t>PTK8</t>
  </si>
  <si>
    <t>DTK4</t>
  </si>
  <si>
    <t>OTK5</t>
  </si>
  <si>
    <t>PTKH</t>
  </si>
  <si>
    <t>DTK5</t>
  </si>
  <si>
    <t>OEJH</t>
  </si>
  <si>
    <t>OTKS</t>
  </si>
  <si>
    <t>DTK6</t>
  </si>
  <si>
    <t>OTK7</t>
  </si>
  <si>
    <t>OTKY</t>
  </si>
  <si>
    <t>PTK1</t>
  </si>
  <si>
    <t>PTK2</t>
  </si>
  <si>
    <t>PTK3</t>
  </si>
  <si>
    <t>PTK4</t>
  </si>
  <si>
    <t>PTK9</t>
  </si>
  <si>
    <t>PTKE</t>
  </si>
  <si>
    <t>PTKX</t>
    <phoneticPr fontId="4"/>
  </si>
  <si>
    <t>DTK8</t>
  </si>
  <si>
    <t>PEJ6</t>
  </si>
  <si>
    <t>DWJ1</t>
  </si>
  <si>
    <t>OWJH</t>
  </si>
  <si>
    <t>OWJJ</t>
  </si>
  <si>
    <t>OWJL</t>
  </si>
  <si>
    <t>DWJ3</t>
  </si>
  <si>
    <t>OOO7</t>
  </si>
  <si>
    <t>OOO8</t>
  </si>
  <si>
    <t>OOO9</t>
  </si>
  <si>
    <t>OWJB</t>
  </si>
  <si>
    <t>OWJM</t>
  </si>
  <si>
    <t>DOW2</t>
  </si>
  <si>
    <t>OOW1</t>
  </si>
  <si>
    <t>OOW3</t>
  </si>
  <si>
    <t>VKI1</t>
  </si>
  <si>
    <t>Mother</t>
    <phoneticPr fontId="10"/>
  </si>
  <si>
    <t>Node</t>
  </si>
  <si>
    <t>Region</t>
  </si>
  <si>
    <t>地域名</t>
  </si>
  <si>
    <t>サービスエリア</t>
  </si>
  <si>
    <t>Initial</t>
    <phoneticPr fontId="10"/>
  </si>
  <si>
    <t>CORTEX ver2</t>
    <phoneticPr fontId="10"/>
  </si>
  <si>
    <t>Roster</t>
  </si>
  <si>
    <t>SUI</t>
  </si>
  <si>
    <t>Rescue SharePoint</t>
    <phoneticPr fontId="10"/>
  </si>
  <si>
    <t>RP Sharepoint</t>
    <phoneticPr fontId="10"/>
  </si>
  <si>
    <t xml:space="preserve">Rescue SharePoint
</t>
    <phoneticPr fontId="10"/>
  </si>
  <si>
    <r>
      <rPr>
        <b/>
        <sz val="12"/>
        <color rgb="FF00B050"/>
        <rFont val="游ゴシック"/>
        <family val="3"/>
        <charset val="128"/>
        <scheme val="minor"/>
      </rPr>
      <t>Launch</t>
    </r>
    <r>
      <rPr>
        <b/>
        <sz val="12"/>
        <rFont val="游ゴシック"/>
        <family val="3"/>
        <charset val="128"/>
        <scheme val="minor"/>
      </rPr>
      <t>＆</t>
    </r>
    <r>
      <rPr>
        <b/>
        <sz val="12"/>
        <color rgb="FFFF0000"/>
        <rFont val="游ゴシック"/>
        <family val="3"/>
        <charset val="128"/>
        <scheme val="minor"/>
      </rPr>
      <t>Shutdown</t>
    </r>
    <phoneticPr fontId="10"/>
  </si>
  <si>
    <t>Launch&amp;Shutdown Date</t>
  </si>
  <si>
    <t>Comment</t>
  </si>
  <si>
    <r>
      <rPr>
        <b/>
        <sz val="14"/>
        <color theme="1"/>
        <rFont val="游ゴシック"/>
        <family val="3"/>
        <charset val="128"/>
        <scheme val="minor"/>
      </rPr>
      <t>※</t>
    </r>
    <r>
      <rPr>
        <sz val="11"/>
        <color theme="1"/>
        <rFont val="游ゴシック"/>
        <family val="3"/>
        <charset val="128"/>
        <scheme val="minor"/>
      </rPr>
      <t>Ctrlを押しながらドラッグで選択範囲を広げると非表示になってるNodeも開きます</t>
    </r>
  </si>
  <si>
    <t>DAI1</t>
    <phoneticPr fontId="10"/>
  </si>
  <si>
    <t>Aichi</t>
    <phoneticPr fontId="10"/>
  </si>
  <si>
    <t>Nagoya</t>
  </si>
  <si>
    <t>RP LINK</t>
    <phoneticPr fontId="10"/>
  </si>
  <si>
    <t>RP LINK</t>
  </si>
  <si>
    <t>L</t>
  </si>
  <si>
    <t>OCJ5</t>
    <phoneticPr fontId="10"/>
  </si>
  <si>
    <t>Aichi</t>
  </si>
  <si>
    <t>Okazaki</t>
    <phoneticPr fontId="10"/>
  </si>
  <si>
    <t>P</t>
    <phoneticPr fontId="10"/>
  </si>
  <si>
    <t>Handa</t>
  </si>
  <si>
    <t>Chiryu</t>
  </si>
  <si>
    <t>J</t>
  </si>
  <si>
    <t>DCJ1</t>
    <phoneticPr fontId="10"/>
  </si>
  <si>
    <t>Ichinomiya</t>
    <phoneticPr fontId="10"/>
  </si>
  <si>
    <t>OCJ1</t>
    <phoneticPr fontId="10"/>
  </si>
  <si>
    <t>Gifu</t>
    <phoneticPr fontId="10"/>
  </si>
  <si>
    <t>Ogaki</t>
    <phoneticPr fontId="10"/>
  </si>
  <si>
    <t>A</t>
    <phoneticPr fontId="10"/>
  </si>
  <si>
    <t>OCJ2</t>
    <phoneticPr fontId="10"/>
  </si>
  <si>
    <t>Seki</t>
    <phoneticPr fontId="10"/>
  </si>
  <si>
    <t>B</t>
    <phoneticPr fontId="10"/>
  </si>
  <si>
    <t>OCJ3</t>
    <phoneticPr fontId="10"/>
  </si>
  <si>
    <t>Hashima</t>
    <phoneticPr fontId="10"/>
  </si>
  <si>
    <t>C</t>
    <phoneticPr fontId="10"/>
  </si>
  <si>
    <t>OCJ4</t>
    <phoneticPr fontId="10"/>
  </si>
  <si>
    <t>Kani</t>
    <phoneticPr fontId="10"/>
  </si>
  <si>
    <t>D</t>
    <phoneticPr fontId="10"/>
  </si>
  <si>
    <t>OWJO</t>
    <phoneticPr fontId="10"/>
  </si>
  <si>
    <t>Shiga</t>
    <phoneticPr fontId="10"/>
  </si>
  <si>
    <t>Nagahama</t>
    <phoneticPr fontId="10"/>
  </si>
  <si>
    <t>E</t>
    <phoneticPr fontId="10"/>
  </si>
  <si>
    <t>Shizuoka</t>
  </si>
  <si>
    <t>Yaize</t>
  </si>
  <si>
    <t>DCJ4</t>
    <phoneticPr fontId="10"/>
  </si>
  <si>
    <t>Nakamura</t>
    <phoneticPr fontId="10"/>
  </si>
  <si>
    <t>OCJ6</t>
    <phoneticPr fontId="10"/>
  </si>
  <si>
    <t>Mie</t>
    <phoneticPr fontId="10"/>
  </si>
  <si>
    <t>Yokkaichi</t>
    <phoneticPr fontId="10"/>
  </si>
  <si>
    <t>Mie</t>
  </si>
  <si>
    <t>C</t>
  </si>
  <si>
    <t>ONG6</t>
    <phoneticPr fontId="10"/>
  </si>
  <si>
    <t>Owarinishi</t>
  </si>
  <si>
    <t>G</t>
  </si>
  <si>
    <t>DCJ5</t>
    <phoneticPr fontId="10"/>
  </si>
  <si>
    <t>Niigata</t>
    <phoneticPr fontId="10"/>
  </si>
  <si>
    <t>DCJ5</t>
    <phoneticPr fontId="4"/>
  </si>
  <si>
    <t>PCJ3</t>
    <phoneticPr fontId="4"/>
  </si>
  <si>
    <t>Joetsu</t>
    <phoneticPr fontId="4"/>
  </si>
  <si>
    <t>B</t>
    <phoneticPr fontId="4"/>
  </si>
  <si>
    <t>OCJ8</t>
    <phoneticPr fontId="10"/>
  </si>
  <si>
    <t>Nagaoka</t>
    <phoneticPr fontId="10"/>
  </si>
  <si>
    <t>A</t>
    <phoneticPr fontId="4"/>
  </si>
  <si>
    <t>Kanto</t>
  </si>
  <si>
    <t>Kawaguchi</t>
  </si>
  <si>
    <t>LINK</t>
  </si>
  <si>
    <t>Adachi</t>
  </si>
  <si>
    <t>DEJ1</t>
    <phoneticPr fontId="10"/>
  </si>
  <si>
    <t>PTKL</t>
    <phoneticPr fontId="10"/>
  </si>
  <si>
    <t>Kanto</t>
    <phoneticPr fontId="10"/>
  </si>
  <si>
    <t>Arakawa</t>
    <phoneticPr fontId="10"/>
  </si>
  <si>
    <t>Niiza</t>
  </si>
  <si>
    <t>Kawagoe</t>
  </si>
  <si>
    <t>H</t>
  </si>
  <si>
    <t>B</t>
  </si>
  <si>
    <t>Tokorozawa</t>
  </si>
  <si>
    <t>Yokohama</t>
  </si>
  <si>
    <t>A</t>
  </si>
  <si>
    <t>Toda</t>
  </si>
  <si>
    <t>Nerima</t>
  </si>
  <si>
    <t>PEJ8</t>
    <phoneticPr fontId="10"/>
  </si>
  <si>
    <t>Toda</t>
    <phoneticPr fontId="10"/>
  </si>
  <si>
    <t>Misato</t>
  </si>
  <si>
    <t>Setagaya</t>
  </si>
  <si>
    <t>Funabashi</t>
  </si>
  <si>
    <t>Chiba</t>
  </si>
  <si>
    <t>D</t>
  </si>
  <si>
    <t>PTKW</t>
    <phoneticPr fontId="10"/>
  </si>
  <si>
    <t>Edogawa</t>
    <phoneticPr fontId="10"/>
  </si>
  <si>
    <t>Ageo</t>
  </si>
  <si>
    <t>Link</t>
    <phoneticPr fontId="10"/>
  </si>
  <si>
    <t xml:space="preserve">RP LINK </t>
  </si>
  <si>
    <t>Kasukabe </t>
  </si>
  <si>
    <t>Tsurugashima</t>
  </si>
  <si>
    <t>Kazo</t>
  </si>
  <si>
    <t>Gyoda</t>
  </si>
  <si>
    <t>Saitama</t>
  </si>
  <si>
    <t>E</t>
  </si>
  <si>
    <t>Yokosuka</t>
  </si>
  <si>
    <t>Fukuoka</t>
  </si>
  <si>
    <t>LINK</t>
    <phoneticPr fontId="10"/>
  </si>
  <si>
    <t>DFK2</t>
    <phoneticPr fontId="10"/>
  </si>
  <si>
    <t>Chikushino</t>
  </si>
  <si>
    <t>RP LINK</t>
    <phoneticPr fontId="4"/>
  </si>
  <si>
    <t>OFK3</t>
    <phoneticPr fontId="10"/>
  </si>
  <si>
    <t>Fukuoka</t>
    <phoneticPr fontId="10"/>
  </si>
  <si>
    <t>Chikugo</t>
    <phoneticPr fontId="10"/>
  </si>
  <si>
    <t>Saga</t>
    <phoneticPr fontId="10"/>
  </si>
  <si>
    <t>Kama</t>
    <phoneticPr fontId="10"/>
  </si>
  <si>
    <t>OFK7</t>
    <phoneticPr fontId="10"/>
  </si>
  <si>
    <t>Kumamoto</t>
  </si>
  <si>
    <t>Nagasaki</t>
    <phoneticPr fontId="10"/>
  </si>
  <si>
    <t>OFK8</t>
    <phoneticPr fontId="10"/>
  </si>
  <si>
    <t>Ishaya</t>
    <phoneticPr fontId="10"/>
  </si>
  <si>
    <t>OFK9</t>
    <phoneticPr fontId="10"/>
  </si>
  <si>
    <t>Sasebo</t>
    <phoneticPr fontId="10"/>
  </si>
  <si>
    <t>Hokkaido</t>
  </si>
  <si>
    <t>Sapporo</t>
  </si>
  <si>
    <t>Chitose</t>
  </si>
  <si>
    <t>DHK1</t>
    <phoneticPr fontId="10"/>
  </si>
  <si>
    <t>OHK2</t>
    <phoneticPr fontId="10"/>
  </si>
  <si>
    <t>Hokkaido</t>
    <phoneticPr fontId="10"/>
  </si>
  <si>
    <t>Takigawa</t>
    <phoneticPr fontId="10"/>
  </si>
  <si>
    <t>Hiroshima</t>
  </si>
  <si>
    <t>Saeki</t>
  </si>
  <si>
    <t xml:space="preserve">RP LINK </t>
    <phoneticPr fontId="10"/>
  </si>
  <si>
    <t>Kure</t>
  </si>
  <si>
    <t>Fukuyama</t>
  </si>
  <si>
    <t>Higashihiroshima</t>
  </si>
  <si>
    <t>Hiroshima</t>
    <phoneticPr fontId="10"/>
  </si>
  <si>
    <t>Yanai</t>
    <phoneticPr fontId="10"/>
  </si>
  <si>
    <t>AmFlexの稼働無</t>
    <phoneticPr fontId="10"/>
  </si>
  <si>
    <t>DHR2</t>
    <phoneticPr fontId="4"/>
  </si>
  <si>
    <t>Okayama</t>
    <phoneticPr fontId="4"/>
  </si>
  <si>
    <t>RP Link</t>
    <phoneticPr fontId="4"/>
  </si>
  <si>
    <t>4/9 Soft Launch</t>
    <phoneticPr fontId="4"/>
  </si>
  <si>
    <t>DMG1</t>
    <phoneticPr fontId="10"/>
  </si>
  <si>
    <t>Miyagi</t>
  </si>
  <si>
    <t>Sendai</t>
    <phoneticPr fontId="10"/>
  </si>
  <si>
    <t>Fukushima</t>
  </si>
  <si>
    <t>OMG6</t>
    <phoneticPr fontId="10"/>
  </si>
  <si>
    <t>Tohoku</t>
    <phoneticPr fontId="10"/>
  </si>
  <si>
    <t>Yamagata</t>
    <phoneticPr fontId="10"/>
  </si>
  <si>
    <t>DMG3</t>
    <phoneticPr fontId="10"/>
  </si>
  <si>
    <t>Mitagigun</t>
    <phoneticPr fontId="10"/>
  </si>
  <si>
    <t>OMG3</t>
    <phoneticPr fontId="10"/>
  </si>
  <si>
    <t>Osaki</t>
  </si>
  <si>
    <t>OMG4</t>
    <phoneticPr fontId="10"/>
  </si>
  <si>
    <t>Ishinomaki</t>
    <phoneticPr fontId="10"/>
  </si>
  <si>
    <t>DOO1</t>
    <phoneticPr fontId="10"/>
  </si>
  <si>
    <t>Kansai</t>
  </si>
  <si>
    <t>Sakai</t>
  </si>
  <si>
    <t>Naka</t>
  </si>
  <si>
    <t>Izumisano</t>
  </si>
  <si>
    <t>OWJK</t>
    <phoneticPr fontId="10"/>
  </si>
  <si>
    <t>Wakayama</t>
    <phoneticPr fontId="10"/>
  </si>
  <si>
    <t>DOO2</t>
    <phoneticPr fontId="10"/>
  </si>
  <si>
    <t>Osaka</t>
  </si>
  <si>
    <t>Yao</t>
  </si>
  <si>
    <t>OOOL</t>
    <phoneticPr fontId="10"/>
  </si>
  <si>
    <t>Higashiosaka</t>
    <phoneticPr fontId="10"/>
  </si>
  <si>
    <t>DOO3</t>
    <phoneticPr fontId="10"/>
  </si>
  <si>
    <t>Osaka</t>
    <phoneticPr fontId="10"/>
  </si>
  <si>
    <t>Ibaraki</t>
    <phoneticPr fontId="10"/>
  </si>
  <si>
    <t>OOOM</t>
    <phoneticPr fontId="10"/>
  </si>
  <si>
    <t>OOOS</t>
    <phoneticPr fontId="10"/>
  </si>
  <si>
    <t>DOO4</t>
    <phoneticPr fontId="10"/>
  </si>
  <si>
    <t>Hirakata</t>
  </si>
  <si>
    <t>Minami</t>
  </si>
  <si>
    <t>OWJ3</t>
    <phoneticPr fontId="10"/>
  </si>
  <si>
    <t>Kyoto</t>
  </si>
  <si>
    <t>Kusatsu</t>
  </si>
  <si>
    <t>K</t>
  </si>
  <si>
    <t>Yawata</t>
  </si>
  <si>
    <t>OWJP</t>
    <phoneticPr fontId="10"/>
  </si>
  <si>
    <t>Yasu</t>
    <phoneticPr fontId="10"/>
  </si>
  <si>
    <t>DTK1</t>
    <phoneticPr fontId="10"/>
  </si>
  <si>
    <t>Ota</t>
    <phoneticPr fontId="10"/>
  </si>
  <si>
    <t>PTKJ</t>
    <phoneticPr fontId="10"/>
  </si>
  <si>
    <t>Shinjuku</t>
  </si>
  <si>
    <t>DTK3</t>
    <phoneticPr fontId="10"/>
  </si>
  <si>
    <t>Fuchu</t>
  </si>
  <si>
    <t>DTK4</t>
    <phoneticPr fontId="10"/>
  </si>
  <si>
    <t>Koto</t>
  </si>
  <si>
    <t>Sumida</t>
  </si>
  <si>
    <t>DTK5</t>
    <phoneticPr fontId="10"/>
  </si>
  <si>
    <t>Machida</t>
  </si>
  <si>
    <t xml:space="preserve">RP LINK  </t>
    <phoneticPr fontId="10"/>
  </si>
  <si>
    <t>Sagamihara</t>
  </si>
  <si>
    <t>G</t>
    <phoneticPr fontId="10"/>
  </si>
  <si>
    <t>DTK6</t>
    <phoneticPr fontId="10"/>
  </si>
  <si>
    <t>Hachioji</t>
  </si>
  <si>
    <t>Akishima</t>
  </si>
  <si>
    <t>M</t>
  </si>
  <si>
    <t>Mitaka</t>
  </si>
  <si>
    <t>O</t>
  </si>
  <si>
    <t>Ozakudai</t>
  </si>
  <si>
    <t>S</t>
  </si>
  <si>
    <t>DTK6</t>
    <phoneticPr fontId="4"/>
  </si>
  <si>
    <t>Kanto</t>
    <phoneticPr fontId="4"/>
  </si>
  <si>
    <t>Chofu</t>
    <phoneticPr fontId="4"/>
  </si>
  <si>
    <t>L</t>
    <phoneticPr fontId="4"/>
  </si>
  <si>
    <t>DTK7</t>
    <phoneticPr fontId="10"/>
  </si>
  <si>
    <t>Shinagawa</t>
  </si>
  <si>
    <t>DTK8</t>
    <phoneticPr fontId="10"/>
  </si>
  <si>
    <t>Hiratsuka</t>
  </si>
  <si>
    <t>Odawara</t>
  </si>
  <si>
    <t>DWJ1</t>
    <phoneticPr fontId="10"/>
  </si>
  <si>
    <t>Kansai</t>
    <phoneticPr fontId="10"/>
  </si>
  <si>
    <t>Kobe</t>
    <phoneticPr fontId="10"/>
  </si>
  <si>
    <t>OWJH</t>
    <phoneticPr fontId="10"/>
  </si>
  <si>
    <t>Akashi</t>
    <phoneticPr fontId="10"/>
  </si>
  <si>
    <t>OWJJ</t>
    <phoneticPr fontId="10"/>
  </si>
  <si>
    <t>Kakogawa</t>
    <phoneticPr fontId="10"/>
  </si>
  <si>
    <t>OWJL</t>
    <phoneticPr fontId="10"/>
  </si>
  <si>
    <t>Himeji</t>
    <phoneticPr fontId="10"/>
  </si>
  <si>
    <t>DWJ3</t>
    <phoneticPr fontId="10"/>
  </si>
  <si>
    <t>Amagasaki</t>
  </si>
  <si>
    <t>Asahi</t>
  </si>
  <si>
    <t>Toyonaka</t>
  </si>
  <si>
    <t>Yodogawa</t>
  </si>
  <si>
    <t>Ikeda</t>
  </si>
  <si>
    <t>OWJM</t>
    <phoneticPr fontId="10"/>
  </si>
  <si>
    <t>Kita</t>
    <phoneticPr fontId="10"/>
  </si>
  <si>
    <t>Tenri</t>
  </si>
  <si>
    <t>DOW2</t>
    <phoneticPr fontId="10"/>
  </si>
  <si>
    <t>Okinawa</t>
  </si>
  <si>
    <t>Tomigusuku</t>
  </si>
  <si>
    <t>OOW1</t>
    <phoneticPr fontId="10"/>
  </si>
  <si>
    <t>Okinawa</t>
    <phoneticPr fontId="10"/>
  </si>
  <si>
    <t>Nago</t>
    <phoneticPr fontId="10"/>
  </si>
  <si>
    <t>OOW3</t>
    <phoneticPr fontId="4"/>
  </si>
  <si>
    <t>Uruma</t>
    <phoneticPr fontId="10"/>
  </si>
  <si>
    <t xml:space="preserve"> OOW2から移管 </t>
    <rPh sb="7" eb="9">
      <t>イカン</t>
    </rPh>
    <phoneticPr fontId="4"/>
  </si>
  <si>
    <t>Tsukuba</t>
    <phoneticPr fontId="10"/>
  </si>
  <si>
    <t>DKJ3</t>
    <phoneticPr fontId="10"/>
  </si>
  <si>
    <t>Chiba</t>
    <phoneticPr fontId="10"/>
  </si>
  <si>
    <t>Kashiwa</t>
    <phoneticPr fontId="10"/>
  </si>
  <si>
    <t>2025/4/16 Launch</t>
    <phoneticPr fontId="4"/>
  </si>
  <si>
    <t>DKJ4</t>
    <phoneticPr fontId="10"/>
  </si>
  <si>
    <t xml:space="preserve">Yotsukaido </t>
    <phoneticPr fontId="10"/>
  </si>
  <si>
    <t>PEJ7</t>
    <phoneticPr fontId="10"/>
  </si>
  <si>
    <t xml:space="preserve">Ichihara </t>
    <phoneticPr fontId="10"/>
  </si>
  <si>
    <t>PEJA</t>
    <phoneticPr fontId="10"/>
  </si>
  <si>
    <t>Mobara</t>
    <phoneticPr fontId="10"/>
  </si>
  <si>
    <t>DKJ5</t>
    <phoneticPr fontId="10"/>
  </si>
  <si>
    <t>Maebashi</t>
    <phoneticPr fontId="10"/>
  </si>
  <si>
    <t>PEJD</t>
    <phoneticPr fontId="10"/>
  </si>
  <si>
    <t>Gunma</t>
    <phoneticPr fontId="10"/>
  </si>
  <si>
    <t>VIT1</t>
    <phoneticPr fontId="10"/>
  </si>
  <si>
    <t>Itabashi</t>
    <phoneticPr fontId="10"/>
  </si>
  <si>
    <t>2025/1/23 Launch</t>
  </si>
  <si>
    <t>VSJ1</t>
    <phoneticPr fontId="10"/>
  </si>
  <si>
    <t>Koto</t>
    <phoneticPr fontId="10"/>
  </si>
  <si>
    <t>Niigata</t>
    <phoneticPr fontId="4"/>
  </si>
  <si>
    <t>Oshimizu</t>
  </si>
  <si>
    <t>Nagano</t>
  </si>
  <si>
    <t>Chikuma</t>
  </si>
  <si>
    <t>Shiojiri</t>
  </si>
  <si>
    <t>MCJ5</t>
    <phoneticPr fontId="10"/>
  </si>
  <si>
    <t>Yamanashi</t>
    <phoneticPr fontId="10"/>
  </si>
  <si>
    <t>Kofu</t>
    <phoneticPr fontId="10"/>
  </si>
  <si>
    <t>Mishima</t>
  </si>
  <si>
    <t>MCJ7</t>
    <phoneticPr fontId="10"/>
  </si>
  <si>
    <t>Hamamatsu</t>
    <phoneticPr fontId="10"/>
  </si>
  <si>
    <t>MCJ8</t>
    <phoneticPr fontId="10"/>
  </si>
  <si>
    <t>Shizuoka</t>
    <phoneticPr fontId="10"/>
  </si>
  <si>
    <t>Fukuroi</t>
  </si>
  <si>
    <t>Toyama</t>
    <phoneticPr fontId="10"/>
  </si>
  <si>
    <t>MFK1</t>
    <phoneticPr fontId="10"/>
  </si>
  <si>
    <t>Kitakyushu</t>
  </si>
  <si>
    <t>MFK2</t>
    <phoneticPr fontId="10"/>
  </si>
  <si>
    <t>Kyushu</t>
    <phoneticPr fontId="10"/>
  </si>
  <si>
    <t>Kagoshima</t>
    <phoneticPr fontId="10"/>
  </si>
  <si>
    <t>MFK3</t>
    <phoneticPr fontId="10"/>
  </si>
  <si>
    <t>Oita</t>
  </si>
  <si>
    <t>Tochigi</t>
    <phoneticPr fontId="10"/>
  </si>
  <si>
    <t>Utsunomiya </t>
  </si>
  <si>
    <t>Marubayashi</t>
    <phoneticPr fontId="10"/>
  </si>
  <si>
    <t>MKG1</t>
    <phoneticPr fontId="10"/>
  </si>
  <si>
    <t>Kagawa</t>
  </si>
  <si>
    <t>Takamatsu</t>
  </si>
  <si>
    <t>MKG2</t>
    <phoneticPr fontId="10"/>
  </si>
  <si>
    <t>Ehime</t>
  </si>
  <si>
    <t xml:space="preserve">Kochi </t>
  </si>
  <si>
    <t>Tokushima</t>
  </si>
  <si>
    <t>MMG1</t>
    <phoneticPr fontId="10"/>
  </si>
  <si>
    <t>Aomori</t>
  </si>
  <si>
    <t>Hachinohe</t>
  </si>
  <si>
    <t>MTKA</t>
  </si>
  <si>
    <t>Toshima</t>
  </si>
  <si>
    <t>MMG2</t>
    <phoneticPr fontId="10"/>
  </si>
  <si>
    <t>Hirosaki</t>
  </si>
  <si>
    <t>MMG3</t>
    <phoneticPr fontId="10"/>
  </si>
  <si>
    <t>Iwate</t>
  </si>
  <si>
    <t>Morioka</t>
  </si>
  <si>
    <t>MMG4</t>
    <phoneticPr fontId="10"/>
  </si>
  <si>
    <t>Akita</t>
  </si>
  <si>
    <t>MTK7</t>
  </si>
  <si>
    <t>Shinka</t>
  </si>
  <si>
    <t>JAB8</t>
  </si>
  <si>
    <t>MARUWA</t>
  </si>
  <si>
    <t>JAC2</t>
  </si>
  <si>
    <t>TAKASAKI</t>
  </si>
  <si>
    <t>Amflex無</t>
  </si>
  <si>
    <t>JAC4</t>
  </si>
  <si>
    <t>Fujisawa</t>
  </si>
  <si>
    <t>JAC8</t>
  </si>
  <si>
    <t>JAD4</t>
  </si>
  <si>
    <t>Tsurugashima-shi</t>
  </si>
  <si>
    <t>JAD5</t>
  </si>
  <si>
    <t>Okegawa-shi</t>
  </si>
  <si>
    <t>JAD7</t>
  </si>
  <si>
    <t>UTSUNOMIYA-SHI</t>
  </si>
  <si>
    <t>JAE1</t>
  </si>
  <si>
    <t>MAEBASHI</t>
  </si>
  <si>
    <t>JAE4</t>
  </si>
  <si>
    <t xml:space="preserve"> TSUKUBAMIRAI</t>
  </si>
  <si>
    <t>JAE5</t>
  </si>
  <si>
    <t>UTSUNOMIYA</t>
  </si>
  <si>
    <t>JAE7</t>
  </si>
  <si>
    <t>JAE8</t>
  </si>
  <si>
    <t>Kumagaya</t>
  </si>
  <si>
    <t>JAE9</t>
  </si>
  <si>
    <t>Kanoto</t>
  </si>
  <si>
    <t>JAG4</t>
  </si>
  <si>
    <t>Hyogo</t>
  </si>
  <si>
    <t>Akashi</t>
  </si>
  <si>
    <t>JAF1</t>
  </si>
  <si>
    <t>Ota</t>
  </si>
  <si>
    <t>JAF2</t>
  </si>
  <si>
    <t>Oragun</t>
  </si>
  <si>
    <t>JAF3</t>
  </si>
  <si>
    <t>JAF4</t>
  </si>
  <si>
    <t>Kodamagun</t>
  </si>
  <si>
    <t>JAF5</t>
  </si>
  <si>
    <t>Tatebayashi</t>
  </si>
  <si>
    <t>JAF6</t>
  </si>
  <si>
    <t>Oyama</t>
  </si>
  <si>
    <t>JAF9</t>
  </si>
  <si>
    <t>Tsuchiura</t>
  </si>
  <si>
    <t>JBA3</t>
  </si>
  <si>
    <t>Iwaki</t>
  </si>
  <si>
    <t>SBS</t>
  </si>
  <si>
    <t>JBA7</t>
  </si>
  <si>
    <t>Chiba Chuo</t>
  </si>
  <si>
    <t>JBB5</t>
  </si>
  <si>
    <t>Inzai</t>
  </si>
  <si>
    <t>JBB6</t>
  </si>
  <si>
    <t>Ichihara</t>
  </si>
  <si>
    <t>JBB8</t>
  </si>
  <si>
    <t>HITACHINAKA</t>
  </si>
  <si>
    <t>JBE3</t>
  </si>
  <si>
    <t>Niigata</t>
  </si>
  <si>
    <t>JBE8</t>
  </si>
  <si>
    <t>Yamanashi</t>
  </si>
  <si>
    <t xml:space="preserve"> KOUFU</t>
  </si>
  <si>
    <t>JBF2</t>
  </si>
  <si>
    <t>Mobara</t>
  </si>
  <si>
    <t>JBF4</t>
  </si>
  <si>
    <t>Kisarazu</t>
  </si>
  <si>
    <t>JBF6</t>
  </si>
  <si>
    <t>Yotsukaido</t>
  </si>
  <si>
    <t>JBG2</t>
  </si>
  <si>
    <t>Koriyama</t>
  </si>
  <si>
    <t>JBG5</t>
  </si>
  <si>
    <t>KAGOSHIMA</t>
  </si>
  <si>
    <t>JBG6</t>
  </si>
  <si>
    <t>Ibaraki</t>
  </si>
  <si>
    <t>Kasama</t>
  </si>
  <si>
    <t>JDE9</t>
  </si>
  <si>
    <t>Miyazaki</t>
  </si>
  <si>
    <t>GDS</t>
  </si>
  <si>
    <t>JDF1</t>
  </si>
  <si>
    <t>Nagasaki</t>
  </si>
  <si>
    <t>WKB</t>
  </si>
  <si>
    <t>JDF2</t>
  </si>
  <si>
    <t>JDF8</t>
  </si>
  <si>
    <t>hyougo</t>
  </si>
  <si>
    <t>JDG3</t>
  </si>
  <si>
    <t>Onga</t>
  </si>
  <si>
    <t>JDG7</t>
  </si>
  <si>
    <t>Okayama</t>
  </si>
  <si>
    <t>JDI7</t>
  </si>
  <si>
    <t>Tsukubo</t>
  </si>
  <si>
    <t>JDI9</t>
  </si>
  <si>
    <t xml:space="preserve">TENRI </t>
  </si>
  <si>
    <t>LOGINET</t>
  </si>
  <si>
    <t>JEA1</t>
  </si>
  <si>
    <t>Hamamtsu</t>
  </si>
  <si>
    <t>ENSHU</t>
  </si>
  <si>
    <t>JEA5</t>
  </si>
  <si>
    <t>Toyohashi</t>
  </si>
  <si>
    <t>JEA6</t>
  </si>
  <si>
    <t>Okazaki</t>
  </si>
  <si>
    <t>JEA8</t>
  </si>
  <si>
    <t>JEA9</t>
  </si>
  <si>
    <t>Shizuokasuruga</t>
  </si>
  <si>
    <t>JEB1</t>
  </si>
  <si>
    <t>Shizuokatakahashi</t>
  </si>
  <si>
    <t>JEB2</t>
  </si>
  <si>
    <t>Atsugi</t>
  </si>
  <si>
    <t>2022/5/31追加</t>
  </si>
  <si>
    <t>JEB8</t>
  </si>
  <si>
    <t>Iwata</t>
  </si>
  <si>
    <t>JDH5</t>
  </si>
  <si>
    <t>kurume</t>
  </si>
  <si>
    <t>JEC1</t>
  </si>
  <si>
    <t>Gifu</t>
  </si>
  <si>
    <t>JEC2</t>
  </si>
  <si>
    <t>Fuji</t>
  </si>
  <si>
    <t>JEB7</t>
  </si>
  <si>
    <t>6/27 Shutdown</t>
  </si>
  <si>
    <t>JAF7</t>
  </si>
  <si>
    <t>JEC4</t>
  </si>
  <si>
    <t>JFB1</t>
  </si>
  <si>
    <t>Yaizu</t>
  </si>
  <si>
    <t>HIP</t>
  </si>
  <si>
    <t>JGA1</t>
  </si>
  <si>
    <t>JGA2</t>
  </si>
  <si>
    <t>JGA4</t>
  </si>
  <si>
    <t>JGA5</t>
  </si>
  <si>
    <t>JGA6</t>
  </si>
  <si>
    <t>Isehara</t>
  </si>
  <si>
    <t>JGA8</t>
  </si>
  <si>
    <t>JGA9</t>
  </si>
  <si>
    <t>JGB1</t>
  </si>
  <si>
    <t>Isahaya</t>
  </si>
  <si>
    <t>JHA8</t>
  </si>
  <si>
    <t>SATTSU</t>
  </si>
  <si>
    <t>JHA9</t>
  </si>
  <si>
    <t xml:space="preserve">NASUSHIOBARA </t>
  </si>
  <si>
    <t>JIA3</t>
  </si>
  <si>
    <t>Oume</t>
  </si>
  <si>
    <t>JCA7</t>
  </si>
  <si>
    <t>JDB4</t>
  </si>
  <si>
    <t>Himeji</t>
  </si>
  <si>
    <t>JDH8</t>
  </si>
  <si>
    <t>JGA3</t>
  </si>
  <si>
    <t>JEA3</t>
  </si>
  <si>
    <t>JDG5</t>
  </si>
  <si>
    <t>Shiga</t>
  </si>
  <si>
    <t>JBD9</t>
  </si>
  <si>
    <t>JEB9</t>
  </si>
  <si>
    <t>Hamamatsu</t>
  </si>
  <si>
    <t>JDE8</t>
  </si>
  <si>
    <t>JHB3</t>
  </si>
  <si>
    <t>Kurume</t>
  </si>
  <si>
    <t>JEB3</t>
  </si>
  <si>
    <t>2022/6/13追加</t>
  </si>
  <si>
    <t>JEC3</t>
  </si>
  <si>
    <t>2022/6/22追加</t>
  </si>
  <si>
    <t>JBG4</t>
  </si>
  <si>
    <t>JAG1</t>
  </si>
  <si>
    <t>JKA7</t>
  </si>
  <si>
    <t>Nagaoka</t>
  </si>
  <si>
    <t>JKA8</t>
  </si>
  <si>
    <t>Joetsu</t>
  </si>
  <si>
    <t>JKA9</t>
  </si>
  <si>
    <t>Toyama</t>
  </si>
  <si>
    <t>JKB4</t>
  </si>
  <si>
    <t>Wakayama</t>
  </si>
  <si>
    <t xml:space="preserve">SMDL </t>
  </si>
  <si>
    <t>JKB5</t>
  </si>
  <si>
    <t>Tottori</t>
  </si>
  <si>
    <t>Yonago</t>
  </si>
  <si>
    <t>JKB6</t>
  </si>
  <si>
    <t>Shimane</t>
  </si>
  <si>
    <t>Matsue</t>
  </si>
  <si>
    <t>JKB7</t>
  </si>
  <si>
    <t>Marugame</t>
  </si>
  <si>
    <t>eDSP</t>
  </si>
  <si>
    <t>JAA8</t>
  </si>
  <si>
    <t>Bunkyo</t>
  </si>
  <si>
    <t>JAA9</t>
  </si>
  <si>
    <t>Shibuya</t>
  </si>
  <si>
    <t>JAE6</t>
  </si>
  <si>
    <t>Pigeon</t>
  </si>
  <si>
    <t>JAG2</t>
  </si>
  <si>
    <t>Ushiku</t>
  </si>
  <si>
    <t>JBF8</t>
  </si>
  <si>
    <t>Hitachi</t>
  </si>
  <si>
    <t>JBG3</t>
  </si>
  <si>
    <t>JDH7</t>
  </si>
  <si>
    <t>Kagoshima</t>
  </si>
  <si>
    <t>JDJ7</t>
  </si>
  <si>
    <t>JHB1</t>
  </si>
  <si>
    <t>JKA1</t>
  </si>
  <si>
    <t>Hakodate</t>
  </si>
  <si>
    <t>JKA2</t>
  </si>
  <si>
    <t>Asahikawa</t>
  </si>
  <si>
    <t>JKA3</t>
  </si>
  <si>
    <t>Obihiro</t>
  </si>
  <si>
    <t>JKA4</t>
  </si>
  <si>
    <t>JKA5</t>
  </si>
  <si>
    <t>Yamagata</t>
  </si>
  <si>
    <t>JKB3</t>
  </si>
  <si>
    <t>Fukui</t>
  </si>
  <si>
    <t>JKB8</t>
  </si>
  <si>
    <t/>
  </si>
  <si>
    <t>Mother</t>
  </si>
  <si>
    <t>Region</t>
    <phoneticPr fontId="10"/>
  </si>
  <si>
    <t>Initial</t>
  </si>
  <si>
    <t>CORTEX ver2</t>
  </si>
  <si>
    <t>余りルート専用SharePoint</t>
  </si>
  <si>
    <t>RP Sharepoint</t>
  </si>
  <si>
    <t>JLB4</t>
    <phoneticPr fontId="10"/>
  </si>
  <si>
    <t>iga</t>
    <phoneticPr fontId="10"/>
  </si>
  <si>
    <t>JLC1</t>
    <phoneticPr fontId="10"/>
  </si>
  <si>
    <t>Chubu</t>
  </si>
  <si>
    <t>Takayama</t>
    <phoneticPr fontId="10"/>
  </si>
  <si>
    <t>JLD9</t>
    <phoneticPr fontId="10"/>
  </si>
  <si>
    <t>Kyoto</t>
    <phoneticPr fontId="10"/>
  </si>
  <si>
    <t>Funai</t>
    <phoneticPr fontId="10"/>
  </si>
  <si>
    <t>JLC3</t>
    <phoneticPr fontId="10"/>
  </si>
  <si>
    <t>Nobeoka</t>
    <phoneticPr fontId="10"/>
  </si>
  <si>
    <t>GDS</t>
    <phoneticPr fontId="10"/>
  </si>
  <si>
    <t>JLF3</t>
    <phoneticPr fontId="10"/>
  </si>
  <si>
    <t>Kumamoto</t>
    <phoneticPr fontId="10"/>
  </si>
  <si>
    <t>Yatsushiro</t>
    <phoneticPr fontId="10"/>
  </si>
  <si>
    <t>JMA1</t>
    <phoneticPr fontId="10"/>
  </si>
  <si>
    <t>Yamaguchi</t>
    <phoneticPr fontId="10"/>
  </si>
  <si>
    <t>JMA3</t>
    <phoneticPr fontId="10"/>
  </si>
  <si>
    <t>Kitakyushu</t>
    <phoneticPr fontId="10"/>
  </si>
  <si>
    <t>JLD4</t>
  </si>
  <si>
    <t>Tohoku</t>
  </si>
  <si>
    <t>JLE7</t>
    <phoneticPr fontId="10"/>
  </si>
  <si>
    <t>Miyazaki</t>
    <phoneticPr fontId="10"/>
  </si>
  <si>
    <t>JLH1</t>
    <phoneticPr fontId="10"/>
  </si>
  <si>
    <t>Shikoku</t>
    <phoneticPr fontId="10"/>
  </si>
  <si>
    <t>Matsuyama</t>
    <phoneticPr fontId="10"/>
  </si>
  <si>
    <t>GION</t>
  </si>
  <si>
    <t>S</t>
    <phoneticPr fontId="4"/>
  </si>
  <si>
    <t>JLB1</t>
    <phoneticPr fontId="10"/>
  </si>
  <si>
    <t>Tokamachi</t>
    <phoneticPr fontId="10"/>
  </si>
  <si>
    <t>JLB8</t>
    <phoneticPr fontId="10"/>
  </si>
  <si>
    <t>Nakano</t>
    <phoneticPr fontId="10"/>
  </si>
  <si>
    <t>GION</t>
    <phoneticPr fontId="10"/>
  </si>
  <si>
    <t>JLB3</t>
    <phoneticPr fontId="10"/>
  </si>
  <si>
    <t>Arida-gun</t>
    <phoneticPr fontId="10"/>
  </si>
  <si>
    <t>JLC5</t>
    <phoneticPr fontId="10"/>
  </si>
  <si>
    <t>Miyakonojo</t>
    <phoneticPr fontId="10"/>
  </si>
  <si>
    <t>JLE5</t>
    <phoneticPr fontId="10"/>
  </si>
  <si>
    <t>Nakatsu</t>
    <phoneticPr fontId="10"/>
  </si>
  <si>
    <t>JLC2</t>
    <phoneticPr fontId="10"/>
  </si>
  <si>
    <t>Karatsu</t>
    <phoneticPr fontId="10"/>
  </si>
  <si>
    <t>JLE6</t>
    <phoneticPr fontId="10"/>
  </si>
  <si>
    <t>JLB7</t>
    <phoneticPr fontId="10"/>
  </si>
  <si>
    <t>Tanabe</t>
    <phoneticPr fontId="10"/>
  </si>
  <si>
    <t>JLF5</t>
    <phoneticPr fontId="10"/>
  </si>
  <si>
    <t>Kashima</t>
    <phoneticPr fontId="10"/>
  </si>
  <si>
    <t>JKB1</t>
    <phoneticPr fontId="10"/>
  </si>
  <si>
    <t>Chubu</t>
    <phoneticPr fontId="10"/>
  </si>
  <si>
    <t>Ishikawa</t>
    <phoneticPr fontId="10"/>
  </si>
  <si>
    <t>JMA2</t>
    <phoneticPr fontId="10"/>
  </si>
  <si>
    <t>Gamagori</t>
    <phoneticPr fontId="10"/>
  </si>
  <si>
    <t>JLF6</t>
    <phoneticPr fontId="10"/>
  </si>
  <si>
    <t>Kitami</t>
    <phoneticPr fontId="10"/>
  </si>
  <si>
    <t>MARUWA</t>
    <phoneticPr fontId="10"/>
  </si>
  <si>
    <t>JLB9</t>
    <phoneticPr fontId="10"/>
  </si>
  <si>
    <t>Okayama</t>
    <phoneticPr fontId="10"/>
  </si>
  <si>
    <t>Bizen</t>
    <phoneticPr fontId="10"/>
  </si>
  <si>
    <t>JLF1</t>
    <phoneticPr fontId="10"/>
  </si>
  <si>
    <t>Kitakami</t>
    <phoneticPr fontId="10"/>
  </si>
  <si>
    <t>JLC8</t>
    <phoneticPr fontId="10"/>
  </si>
  <si>
    <t>Yurihonjo</t>
    <phoneticPr fontId="10"/>
  </si>
  <si>
    <t>JKA6</t>
    <phoneticPr fontId="10"/>
  </si>
  <si>
    <t>Sakata</t>
    <phoneticPr fontId="10"/>
  </si>
  <si>
    <t>JLB6</t>
    <phoneticPr fontId="10"/>
  </si>
  <si>
    <t>Hyogo</t>
    <phoneticPr fontId="4"/>
  </si>
  <si>
    <t>Toyooka</t>
    <phoneticPr fontId="4"/>
  </si>
  <si>
    <t>JLC4</t>
    <phoneticPr fontId="10"/>
  </si>
  <si>
    <t>Nishisirakawa-gun</t>
    <phoneticPr fontId="10"/>
  </si>
  <si>
    <t>JLE4</t>
  </si>
  <si>
    <t>JLE2</t>
  </si>
  <si>
    <t>Gunma</t>
  </si>
  <si>
    <t>SATTSU</t>
    <phoneticPr fontId="10"/>
  </si>
  <si>
    <t>JLD1</t>
    <phoneticPr fontId="10"/>
  </si>
  <si>
    <t>Kushiro</t>
    <phoneticPr fontId="10"/>
  </si>
  <si>
    <t>JLC9</t>
    <phoneticPr fontId="10"/>
  </si>
  <si>
    <t>Noboribetsu</t>
    <phoneticPr fontId="10"/>
  </si>
  <si>
    <t>JLB2</t>
    <phoneticPr fontId="10"/>
  </si>
  <si>
    <t>Niihama</t>
  </si>
  <si>
    <t>JLC7</t>
    <phoneticPr fontId="10"/>
  </si>
  <si>
    <t>Fukuchiyama</t>
    <phoneticPr fontId="10"/>
  </si>
  <si>
    <t>JLD6</t>
    <phoneticPr fontId="10"/>
  </si>
  <si>
    <t>Yokote</t>
    <phoneticPr fontId="10"/>
  </si>
  <si>
    <t>JLD8</t>
    <phoneticPr fontId="10"/>
  </si>
  <si>
    <t>Kochi</t>
    <phoneticPr fontId="10"/>
  </si>
  <si>
    <t>SBS</t>
    <phoneticPr fontId="10"/>
  </si>
  <si>
    <t>JLH6</t>
    <phoneticPr fontId="10"/>
  </si>
  <si>
    <t>Iwaki</t>
    <phoneticPr fontId="10"/>
  </si>
  <si>
    <t>JLE3</t>
  </si>
  <si>
    <t>JLD7</t>
    <phoneticPr fontId="10"/>
  </si>
  <si>
    <t>Kesennuma</t>
  </si>
  <si>
    <t>SMDL </t>
  </si>
  <si>
    <t>SIM起票SOP</t>
  </si>
  <si>
    <t>RoutineBoardOwnerへの依頼SIM　List</t>
    <phoneticPr fontId="10"/>
  </si>
  <si>
    <t>RoutineBoardOwnerへ依頼がある際はAsanaでのSIM起票をお願い致します</t>
    <phoneticPr fontId="10"/>
  </si>
  <si>
    <t>依頼内容に当てはまる変更内容を選択してください（クリックすると各SIM依頼フォームが立ち上がります）</t>
    <phoneticPr fontId="10"/>
  </si>
  <si>
    <t>起票ルール</t>
    <rPh sb="0" eb="2">
      <t>キヒョウ</t>
    </rPh>
    <phoneticPr fontId="10"/>
  </si>
  <si>
    <r>
      <t>STCO RoutineBoard依頼用SIMフォーム[ORDA]</t>
    </r>
    <r>
      <rPr>
        <b/>
        <sz val="16"/>
        <color rgb="FF0000FF"/>
        <rFont val="Yu Gothic UI"/>
        <family val="3"/>
        <charset val="128"/>
      </rPr>
      <t xml:space="preserve"> </t>
    </r>
    <r>
      <rPr>
        <b/>
        <sz val="18"/>
        <color rgb="FF0000FF"/>
        <rFont val="Yu Gothic UI"/>
        <family val="3"/>
        <charset val="128"/>
      </rPr>
      <t>LINK</t>
    </r>
    <phoneticPr fontId="10"/>
  </si>
  <si>
    <r>
      <t xml:space="preserve">STCO RoutineBoard依頼用SIMフォーム[Owner] </t>
    </r>
    <r>
      <rPr>
        <b/>
        <sz val="18"/>
        <color rgb="FF0000FF"/>
        <rFont val="Yu Gothic UI"/>
        <family val="3"/>
        <charset val="128"/>
      </rPr>
      <t>LINK</t>
    </r>
    <phoneticPr fontId="10"/>
  </si>
  <si>
    <r>
      <rPr>
        <b/>
        <sz val="16"/>
        <color theme="1"/>
        <rFont val="Yu Gothic UI"/>
        <family val="3"/>
        <charset val="128"/>
      </rPr>
      <t>①</t>
    </r>
    <r>
      <rPr>
        <sz val="12"/>
        <color theme="1"/>
        <rFont val="Yu Gothic UI"/>
        <family val="3"/>
        <charset val="128"/>
      </rPr>
      <t>起票後の開始日は以下の通りです</t>
    </r>
    <rPh sb="1" eb="3">
      <t>キヒョウ</t>
    </rPh>
    <rPh sb="3" eb="4">
      <t>ゴ</t>
    </rPh>
    <rPh sb="5" eb="7">
      <t>カイシ</t>
    </rPh>
    <rPh sb="7" eb="8">
      <t>ビ</t>
    </rPh>
    <rPh sb="9" eb="11">
      <t>イカ</t>
    </rPh>
    <rPh sb="12" eb="13">
      <t>トオ</t>
    </rPh>
    <phoneticPr fontId="10"/>
  </si>
  <si>
    <t>◎DS・XPT Launch/Shutdown/Change</t>
    <phoneticPr fontId="10"/>
  </si>
  <si>
    <t>◎Shinka Launch/Shutdown</t>
    <phoneticPr fontId="10"/>
  </si>
  <si>
    <t>⇒DS・XPTのLaunch/Shutdown/移管がある際に起票します</t>
  </si>
  <si>
    <t>⇒ShinkaのLaunch/Shutdown時に起票します</t>
  </si>
  <si>
    <t>＜最低３日後＞</t>
    <rPh sb="1" eb="3">
      <t>サイテイ</t>
    </rPh>
    <rPh sb="4" eb="5">
      <t>ニチ</t>
    </rPh>
    <rPh sb="5" eb="6">
      <t>ゴ</t>
    </rPh>
    <phoneticPr fontId="10"/>
  </si>
  <si>
    <t>◎ProjectTask　Launch/Shutdown/Change</t>
    <phoneticPr fontId="10"/>
  </si>
  <si>
    <t>⇒ProjectからRoutineBoardへの記載依頼の際に起票します</t>
    <phoneticPr fontId="10"/>
  </si>
  <si>
    <t>＜最低１週間後＞</t>
    <rPh sb="1" eb="3">
      <t>サイテイ</t>
    </rPh>
    <rPh sb="4" eb="6">
      <t>シュウカン</t>
    </rPh>
    <rPh sb="6" eb="7">
      <t>ゴ</t>
    </rPh>
    <phoneticPr fontId="10"/>
  </si>
  <si>
    <t>※日付/時間/数値等が分かり次第、即RoutineBoardOwnerにSIM起票で共有をお願い致します!!</t>
    <rPh sb="46" eb="47">
      <t>ネガ</t>
    </rPh>
    <rPh sb="48" eb="49">
      <t>イタ</t>
    </rPh>
    <phoneticPr fontId="10"/>
  </si>
  <si>
    <t>②開始日のルール</t>
    <rPh sb="1" eb="4">
      <t>カイシビ</t>
    </rPh>
    <phoneticPr fontId="4"/>
  </si>
  <si>
    <r>
      <rPr>
        <b/>
        <sz val="10"/>
        <rFont val="Yu Gothic UI"/>
        <family val="3"/>
        <charset val="128"/>
      </rPr>
      <t>・STCOサービス/STCO Routineがスタートする日</t>
    </r>
    <r>
      <rPr>
        <b/>
        <sz val="10"/>
        <color rgb="FFFF0000"/>
        <rFont val="Yu Gothic UI"/>
        <family val="3"/>
        <charset val="128"/>
      </rPr>
      <t>＝</t>
    </r>
    <r>
      <rPr>
        <b/>
        <sz val="14"/>
        <color rgb="FFFF0000"/>
        <rFont val="Yu Gothic UI"/>
        <family val="3"/>
        <charset val="128"/>
      </rPr>
      <t>開始日</t>
    </r>
    <r>
      <rPr>
        <b/>
        <sz val="10"/>
        <rFont val="Yu Gothic UI"/>
        <family val="3"/>
        <charset val="128"/>
      </rPr>
      <t>です</t>
    </r>
    <rPh sb="29" eb="30">
      <t>ヒ</t>
    </rPh>
    <rPh sb="31" eb="34">
      <t>カイシビ</t>
    </rPh>
    <phoneticPr fontId="4"/>
  </si>
  <si>
    <t>※RoutineBoardOwnerに作業して欲しい日は開始日ではありません</t>
    <rPh sb="19" eb="21">
      <t>サギョウ</t>
    </rPh>
    <rPh sb="23" eb="24">
      <t>ホ</t>
    </rPh>
    <rPh sb="26" eb="27">
      <t>ヒ</t>
    </rPh>
    <rPh sb="28" eb="31">
      <t>カイシビ</t>
    </rPh>
    <phoneticPr fontId="4"/>
  </si>
  <si>
    <t>※原則として、RoutineBoardOwnerはサービス開始日の前日夜に各シートを更新します。作業日の指定はお控えください</t>
    <rPh sb="1" eb="3">
      <t>ゲンソク</t>
    </rPh>
    <rPh sb="29" eb="31">
      <t>カイシ</t>
    </rPh>
    <rPh sb="31" eb="32">
      <t>ヒ</t>
    </rPh>
    <rPh sb="33" eb="35">
      <t>ゼンジツ</t>
    </rPh>
    <rPh sb="35" eb="36">
      <t>ヨル</t>
    </rPh>
    <rPh sb="37" eb="38">
      <t>カク</t>
    </rPh>
    <rPh sb="42" eb="44">
      <t>コウシン</t>
    </rPh>
    <phoneticPr fontId="4"/>
  </si>
  <si>
    <r>
      <rPr>
        <b/>
        <sz val="12"/>
        <rFont val="Yu Gothic UI"/>
        <family val="3"/>
        <charset val="128"/>
      </rPr>
      <t>③１つのMotherDSにつき、１SIMずつ起票</t>
    </r>
    <r>
      <rPr>
        <sz val="12"/>
        <color theme="1"/>
        <rFont val="Yu Gothic UI"/>
        <family val="3"/>
        <charset val="128"/>
      </rPr>
      <t>してください</t>
    </r>
    <rPh sb="22" eb="24">
      <t>キヒョウ</t>
    </rPh>
    <phoneticPr fontId="10"/>
  </si>
  <si>
    <t>DAI1・・・ONG6 D＋65/OCJ5 D＋65　同じSIMで起票〇</t>
    <phoneticPr fontId="10"/>
  </si>
  <si>
    <r>
      <t>DAI1・・・ONG6 D＋65/ONG7 D＋35  同じSIMで起票</t>
    </r>
    <r>
      <rPr>
        <b/>
        <sz val="12"/>
        <color theme="1"/>
        <rFont val="Segoe UI Symbol"/>
        <family val="3"/>
      </rPr>
      <t>✕</t>
    </r>
    <phoneticPr fontId="10"/>
  </si>
  <si>
    <t>⇒同じMotherDSなら複数XPT同時起票可、ただし内容が異なる場合は別々で起票してください</t>
    <rPh sb="1" eb="2">
      <t>オナ</t>
    </rPh>
    <rPh sb="13" eb="15">
      <t>フクスウ</t>
    </rPh>
    <rPh sb="18" eb="20">
      <t>ドウジ</t>
    </rPh>
    <rPh sb="20" eb="22">
      <t>キヒョウ</t>
    </rPh>
    <rPh sb="22" eb="23">
      <t>カ</t>
    </rPh>
    <rPh sb="27" eb="29">
      <t>ナイヨウ</t>
    </rPh>
    <rPh sb="30" eb="31">
      <t>コト</t>
    </rPh>
    <rPh sb="33" eb="35">
      <t>バアイ</t>
    </rPh>
    <rPh sb="36" eb="38">
      <t>ベツベツ</t>
    </rPh>
    <rPh sb="39" eb="41">
      <t>キヒョウ</t>
    </rPh>
    <phoneticPr fontId="10"/>
  </si>
  <si>
    <t>例：DAI1・・・ONG6 D＋65/OCJ5 D＋65　同じSIMで起票〇</t>
    <rPh sb="0" eb="1">
      <t>レイ</t>
    </rPh>
    <rPh sb="29" eb="30">
      <t>オナ</t>
    </rPh>
    <rPh sb="35" eb="37">
      <t>キヒョウ</t>
    </rPh>
    <phoneticPr fontId="10"/>
  </si>
  <si>
    <r>
      <t>　　DAI1・・・ONG6 D＋65/ONG7 D＋35  同じSIMで起票</t>
    </r>
    <r>
      <rPr>
        <sz val="12"/>
        <color theme="1"/>
        <rFont val="Segoe UI Symbol"/>
        <family val="3"/>
      </rPr>
      <t>✕</t>
    </r>
    <rPh sb="30" eb="31">
      <t>オナ</t>
    </rPh>
    <rPh sb="36" eb="38">
      <t>キヒョウ</t>
    </rPh>
    <phoneticPr fontId="10"/>
  </si>
  <si>
    <t>MotherDSは同じであるがXPTの設定値の内容が異なる場合、別々の起票となります</t>
    <rPh sb="9" eb="10">
      <t>オナ</t>
    </rPh>
    <rPh sb="19" eb="22">
      <t>セッテイチ</t>
    </rPh>
    <rPh sb="23" eb="25">
      <t>ナイヨウ</t>
    </rPh>
    <rPh sb="26" eb="27">
      <t>コト</t>
    </rPh>
    <rPh sb="29" eb="31">
      <t>バアイ</t>
    </rPh>
    <rPh sb="32" eb="34">
      <t>ベツベツ</t>
    </rPh>
    <rPh sb="35" eb="37">
      <t>キヒョウ</t>
    </rPh>
    <phoneticPr fontId="10"/>
  </si>
  <si>
    <t>④依頼内容について</t>
    <rPh sb="1" eb="3">
      <t>イライ</t>
    </rPh>
    <rPh sb="3" eb="5">
      <t>ナイヨウ</t>
    </rPh>
    <phoneticPr fontId="4"/>
  </si>
  <si>
    <t>RoutineBoardOwnerはSTCO全体の破綻リスク回避を考慮し作成しています</t>
    <rPh sb="22" eb="24">
      <t>ゼンタイ</t>
    </rPh>
    <rPh sb="25" eb="27">
      <t>ハタン</t>
    </rPh>
    <rPh sb="30" eb="32">
      <t>カイヒ</t>
    </rPh>
    <rPh sb="33" eb="35">
      <t>コウリョ</t>
    </rPh>
    <rPh sb="36" eb="38">
      <t>サクセイ</t>
    </rPh>
    <phoneticPr fontId="4"/>
  </si>
  <si>
    <t>起票時のRoutineBoardだけを見て判断した理由が不明確な時間・シフトの指定は極力お控えください</t>
    <rPh sb="0" eb="3">
      <t>キヒョウジ</t>
    </rPh>
    <rPh sb="19" eb="20">
      <t>ミ</t>
    </rPh>
    <rPh sb="21" eb="23">
      <t>ハンダン</t>
    </rPh>
    <rPh sb="25" eb="27">
      <t>リユウ</t>
    </rPh>
    <rPh sb="28" eb="31">
      <t>フメイカク</t>
    </rPh>
    <rPh sb="32" eb="34">
      <t>ジカン</t>
    </rPh>
    <rPh sb="39" eb="41">
      <t>シテイ</t>
    </rPh>
    <rPh sb="42" eb="44">
      <t>キョクリョク</t>
    </rPh>
    <rPh sb="45" eb="46">
      <t>ヒカ</t>
    </rPh>
    <phoneticPr fontId="4"/>
  </si>
  <si>
    <t>※不明点、各種開始日等のご相談はRoutineBoardOwnerまでお願い致します</t>
    <rPh sb="1" eb="3">
      <t>フメイ</t>
    </rPh>
    <rPh sb="3" eb="4">
      <t>テン</t>
    </rPh>
    <rPh sb="5" eb="7">
      <t>カクシュ</t>
    </rPh>
    <rPh sb="7" eb="9">
      <t>カイシ</t>
    </rPh>
    <rPh sb="9" eb="10">
      <t>ビ</t>
    </rPh>
    <rPh sb="10" eb="11">
      <t>トウ</t>
    </rPh>
    <rPh sb="13" eb="15">
      <t>ソウダン</t>
    </rPh>
    <rPh sb="36" eb="37">
      <t>ネガ</t>
    </rPh>
    <rPh sb="38" eb="39">
      <t>イタ</t>
    </rPh>
    <phoneticPr fontId="10"/>
  </si>
  <si>
    <t>　Routine上すぐに変更が必要なCalloutにつきましても、別途ご相談ください</t>
    <rPh sb="8" eb="9">
      <t>ジョウ</t>
    </rPh>
    <rPh sb="12" eb="14">
      <t>ヘンコウ</t>
    </rPh>
    <rPh sb="15" eb="17">
      <t>ヒツヨウ</t>
    </rPh>
    <rPh sb="33" eb="35">
      <t>ベット</t>
    </rPh>
    <rPh sb="36" eb="38">
      <t>ソウダン</t>
    </rPh>
    <phoneticPr fontId="10"/>
  </si>
  <si>
    <t>依頼内容の確認・修正方法</t>
    <rPh sb="0" eb="4">
      <t>イライナイヨウ</t>
    </rPh>
    <rPh sb="5" eb="7">
      <t>カクニン</t>
    </rPh>
    <rPh sb="8" eb="10">
      <t>シュウセイ</t>
    </rPh>
    <rPh sb="10" eb="12">
      <t>ホウホウ</t>
    </rPh>
    <phoneticPr fontId="10"/>
  </si>
  <si>
    <t>・依頼内容の確認方法は、SIM起票後に来る受領メール内のLINKからご確認ください</t>
    <rPh sb="1" eb="5">
      <t>イライナイヨウ</t>
    </rPh>
    <rPh sb="6" eb="8">
      <t>カクニン</t>
    </rPh>
    <rPh sb="8" eb="10">
      <t>ホウホウ</t>
    </rPh>
    <rPh sb="15" eb="18">
      <t>キヒョウゴ</t>
    </rPh>
    <rPh sb="19" eb="20">
      <t>ク</t>
    </rPh>
    <rPh sb="21" eb="23">
      <t>ジュリョウ</t>
    </rPh>
    <rPh sb="26" eb="27">
      <t>ナイ</t>
    </rPh>
    <rPh sb="35" eb="37">
      <t>カクニン</t>
    </rPh>
    <phoneticPr fontId="10"/>
  </si>
  <si>
    <r>
      <t>・依頼の</t>
    </r>
    <r>
      <rPr>
        <sz val="12"/>
        <rFont val="Yu Gothic UI"/>
        <family val="3"/>
        <charset val="128"/>
      </rPr>
      <t>追加/変更</t>
    </r>
    <r>
      <rPr>
        <sz val="12"/>
        <color theme="1"/>
        <rFont val="Yu Gothic UI"/>
        <family val="3"/>
        <charset val="128"/>
      </rPr>
      <t>がある場合は、</t>
    </r>
    <r>
      <rPr>
        <b/>
        <sz val="12"/>
        <color rgb="FFFF0000"/>
        <rFont val="Yu Gothic UI"/>
        <family val="3"/>
        <charset val="128"/>
      </rPr>
      <t>再度SIM起票</t>
    </r>
    <r>
      <rPr>
        <sz val="12"/>
        <color theme="1"/>
        <rFont val="Yu Gothic UI"/>
        <family val="3"/>
        <charset val="128"/>
      </rPr>
      <t>をお願い致します</t>
    </r>
    <rPh sb="1" eb="3">
      <t>イライ</t>
    </rPh>
    <rPh sb="4" eb="6">
      <t>ツイカ</t>
    </rPh>
    <rPh sb="7" eb="9">
      <t>ヘンコウ</t>
    </rPh>
    <rPh sb="12" eb="14">
      <t>バアイ</t>
    </rPh>
    <rPh sb="16" eb="18">
      <t>サイド</t>
    </rPh>
    <rPh sb="21" eb="23">
      <t>キヒョウ</t>
    </rPh>
    <rPh sb="25" eb="26">
      <t>ネガ</t>
    </rPh>
    <rPh sb="27" eb="28">
      <t>イタ</t>
    </rPh>
    <phoneticPr fontId="10"/>
  </si>
  <si>
    <t>⇒再度SIM起票した日から新たに開始日の適用日が変わります（起票ルール①参照）</t>
    <rPh sb="13" eb="14">
      <t>アラ</t>
    </rPh>
    <rPh sb="16" eb="19">
      <t>カイシビ</t>
    </rPh>
    <rPh sb="20" eb="23">
      <t>テキヨウビ</t>
    </rPh>
    <rPh sb="24" eb="25">
      <t>カ</t>
    </rPh>
    <rPh sb="30" eb="32">
      <t>キヒョウ</t>
    </rPh>
    <rPh sb="36" eb="38">
      <t>サンショウ</t>
    </rPh>
    <phoneticPr fontId="10"/>
  </si>
  <si>
    <t>STEP.1</t>
    <phoneticPr fontId="10"/>
  </si>
  <si>
    <t>依頼SIM Listから依頼内容に当てはまるSIMのフォームを選択します</t>
    <rPh sb="0" eb="2">
      <t>イライ</t>
    </rPh>
    <rPh sb="12" eb="14">
      <t>イライ</t>
    </rPh>
    <phoneticPr fontId="10"/>
  </si>
  <si>
    <t>STEP.２</t>
    <phoneticPr fontId="10"/>
  </si>
  <si>
    <t>STEP.3</t>
    <phoneticPr fontId="10"/>
  </si>
  <si>
    <t>Linkから各SIM依頼フォームが立ち上がるので、依頼内容を入力します</t>
    <rPh sb="6" eb="7">
      <t>カク</t>
    </rPh>
    <rPh sb="17" eb="18">
      <t>タ</t>
    </rPh>
    <rPh sb="19" eb="20">
      <t>ア</t>
    </rPh>
    <phoneticPr fontId="10"/>
  </si>
  <si>
    <t>入力後、送信ボタンを押して依頼完了となります</t>
    <rPh sb="0" eb="2">
      <t>ニュウリョク</t>
    </rPh>
    <rPh sb="2" eb="3">
      <t>ゴ</t>
    </rPh>
    <rPh sb="4" eb="6">
      <t>ソウシン</t>
    </rPh>
    <rPh sb="10" eb="11">
      <t>オ</t>
    </rPh>
    <rPh sb="13" eb="15">
      <t>イライ</t>
    </rPh>
    <rPh sb="15" eb="17">
      <t>カンリョウ</t>
    </rPh>
    <phoneticPr fontId="10"/>
  </si>
  <si>
    <r>
      <t>（SIM記入欄にある、"</t>
    </r>
    <r>
      <rPr>
        <sz val="12"/>
        <color rgb="FFFF0000"/>
        <rFont val="Yu Gothic UI"/>
        <family val="3"/>
        <charset val="128"/>
      </rPr>
      <t>*</t>
    </r>
    <r>
      <rPr>
        <sz val="12"/>
        <color theme="1"/>
        <rFont val="Yu Gothic UI"/>
        <family val="3"/>
        <charset val="128"/>
      </rPr>
      <t>"←アスタリスクマークは必須入力となります）</t>
    </r>
    <rPh sb="4" eb="7">
      <t>キニュウラン</t>
    </rPh>
    <rPh sb="25" eb="27">
      <t>ヒッス</t>
    </rPh>
    <rPh sb="27" eb="29">
      <t>ニュウリョク</t>
    </rPh>
    <phoneticPr fontId="10"/>
  </si>
  <si>
    <t>例：RoutineBoard変更依頼</t>
    <phoneticPr fontId="10"/>
  </si>
  <si>
    <t>※注意事項※</t>
    <rPh sb="1" eb="3">
      <t>チュウイ</t>
    </rPh>
    <rPh sb="3" eb="5">
      <t>ジコウ</t>
    </rPh>
    <phoneticPr fontId="10"/>
  </si>
  <si>
    <r>
      <t>送信後、"</t>
    </r>
    <r>
      <rPr>
        <b/>
        <sz val="12"/>
        <color theme="1"/>
        <rFont val="Yu Gothic UI"/>
        <family val="3"/>
        <charset val="128"/>
      </rPr>
      <t>タスクに移動”</t>
    </r>
    <r>
      <rPr>
        <sz val="12"/>
        <color theme="1"/>
        <rFont val="Yu Gothic UI"/>
        <family val="3"/>
        <charset val="128"/>
      </rPr>
      <t>ボタンがある画面が出ますが、</t>
    </r>
    <r>
      <rPr>
        <b/>
        <sz val="12"/>
        <color rgb="FFFF0000"/>
        <rFont val="Yu Gothic UI"/>
        <family val="3"/>
        <charset val="128"/>
      </rPr>
      <t>絶対にボタンを押さずにそのまま閉じてください</t>
    </r>
    <rPh sb="0" eb="3">
      <t>ソウシンゴ</t>
    </rPh>
    <rPh sb="9" eb="11">
      <t>イドウ</t>
    </rPh>
    <rPh sb="18" eb="20">
      <t>ガメン</t>
    </rPh>
    <rPh sb="21" eb="22">
      <t>デ</t>
    </rPh>
    <rPh sb="26" eb="28">
      <t>ゼッタイ</t>
    </rPh>
    <rPh sb="33" eb="34">
      <t>オ</t>
    </rPh>
    <rPh sb="41" eb="42">
      <t>ト</t>
    </rPh>
    <phoneticPr fontId="10"/>
  </si>
  <si>
    <t>⇒RoutineBoardOwnerが作業するTASKのAsanaが開いてしまう為、開かないようお願い致します</t>
    <rPh sb="40" eb="41">
      <t>タメ</t>
    </rPh>
    <rPh sb="42" eb="43">
      <t>ヒラ</t>
    </rPh>
    <rPh sb="49" eb="50">
      <t>ネガ</t>
    </rPh>
    <rPh sb="51" eb="52">
      <t>イタ</t>
    </rPh>
    <phoneticPr fontId="10"/>
  </si>
  <si>
    <t>RoutineBoardOwnerへの依頼をメールからAsana[ SIM ]での依頼に変更します</t>
    <phoneticPr fontId="10"/>
  </si>
  <si>
    <t>※起票後、Asanaに飛びますが、何もせず閉じてください。表示されている内容はRoutineBoardOwnerのTASKになります</t>
  </si>
  <si>
    <t>ProjectTask　Launch/Shutdown/Change</t>
    <phoneticPr fontId="10"/>
  </si>
  <si>
    <t>⇒ProjectからRoutineBoardへの記載依頼の際に起票します</t>
  </si>
  <si>
    <t>https://form.asana.com/?k=VVnqt2gL4VPOSD4Q2aUHZg&amp;d=8442528107068</t>
  </si>
  <si>
    <t>DS・XPT Launch/Shutdown/Change</t>
  </si>
  <si>
    <t>https://form.asana.com/?k=bilumte--t_gI8uNKJ0zgg&amp;d=8442528107068</t>
  </si>
  <si>
    <t>Shinka Launch/Shutdown</t>
  </si>
  <si>
    <t>https://form.asana.com/?k=kYFG1nhZA-bm7bIyeapMWg&amp;d=8442528107068</t>
  </si>
  <si>
    <t>CORTEX</t>
  </si>
  <si>
    <t>https://logistics.amazon.co.jp/internal/operations/execution/itineraries?operationView=true&amp;provider=ALL_DRIVERS&amp;selectedDay=2024-06-14&amp;serviceAreaId=b3a55f49-bb47-4ea3-b862-15573f001cb2</t>
  </si>
  <si>
    <t>https://logistics.amazon.co.jp/internal/operations/execution/itineraries?operationView=true&amp;provider=ALL_DRIVERS&amp;selectedDay=2024-06-14&amp;serviceAreaId=307ef0d7-3147-456c-b184-34e8e5ffa7ae</t>
  </si>
  <si>
    <t>https://logistics.amazon.co.jp/internal/operations/execution/itineraries?operationView=true&amp;provider=ALL_DRIVERS&amp;selectedDay=2024-06-14&amp;serviceAreaId=3cf5af5a-d6f7-4318-b2d4-86861d0b72ac</t>
  </si>
  <si>
    <t>https://logistics.amazon.co.jp/internal/operations/execution/itineraries?operationView=true&amp;provider=ALL_DRIVERS&amp;selectedDay=2024-06-14&amp;serviceAreaId=4891c74e-bc70-4055-8987-04846dd94bd7</t>
  </si>
  <si>
    <t>DAI2</t>
  </si>
  <si>
    <t>https://logistics.amazon.co.jp/operations/execution/itineraries?operationView=true&amp;providerFilter=ALL_DSPS&amp;selectedDay=2022-08-30&amp;serviceAreaId=9807b9f9-5b4a-4feb-b5da-f36daff053a6</t>
  </si>
  <si>
    <t>ONGC</t>
  </si>
  <si>
    <t>https://logistics.amazon.co.jp/operations/execution/itineraries?operationView=true&amp;providerFilter=UNASSIGNED&amp;routesFilter=InProgress&amp;selectedDay=2022-10-18&amp;serviceAreaId=2d6c9f1c-4728-4805-b823-e8c16b071503</t>
  </si>
  <si>
    <t>ONG9</t>
  </si>
  <si>
    <t>https://logistics.amazon.co.jp/internal/operations/execution/itineraries?operationView=true&amp;provider=ALL_DRIVERS&amp;selectedDay=2024-06-14&amp;serviceAreaId=038dcaef-f4c2-4a75-8372-ef4a46803b89</t>
  </si>
  <si>
    <t>https://logistics.amazon.co.jp/operations/execution/itineraries?operationView=true&amp;providerFilter=ALL_DRIVERS&amp;serviceAreaId=12dff135-eddb-4dea-af32-c2c336f0dd1f</t>
  </si>
  <si>
    <t>https://logistics.amazon.co.jp/internal/operations/execution/itineraries?operationView=true&amp;provider=ALL_DRIVERS&amp;selectedDay=2024-06-14&amp;serviceAreaId=efbcb1d1-04c8-4ebf-ac90-da0c0c4aa92a</t>
  </si>
  <si>
    <t>https://logistics.amazon.co.jp/operations/execution/itineraries?cortexv2=true&amp;operationView=true&amp;progressStatusFilterValue&amp;providerFilter=ALL_DPS&amp;selectedDay=2024-05-29&amp;serviceAreaId=1f34e182-43ae-420b-9b98-bebdfd7904bb</t>
  </si>
  <si>
    <t>https://logistics.amazon.co.jp/internal/operations/execution/itineraries?operationView=true&amp;provider=ALL_DRIVERS&amp;selectedDay=2024-06-14&amp;serviceAreaId=098c0bcc-fc72-4759-afff-ce288fc5bd75</t>
  </si>
  <si>
    <t>https://logistics.amazon.co.jp/internal/operations/execution/itineraries?operationView=true&amp;provider=ALL_DRIVERS&amp;selectedDay=2024-06-14&amp;serviceAreaId=41ac8f29-38de-41aa-96d7-e4dd81e7ee18</t>
  </si>
  <si>
    <t>https://logistics.amazon.co.jp/internal/operations/execution/itineraries?operationView=true&amp;provider=ALL_DRIVERS&amp;selectedDay=2024-06-14&amp;serviceAreaId=f731fad6-9a80-4505-90aa-ff64f465201f</t>
  </si>
  <si>
    <t>https://logistics.amazon.co.jp/internal/operations/execution/itineraries?operationView=true&amp;provider=ALL_DRIVERS&amp;selectedDay=2024-06-14&amp;serviceAreaId=e08194d9-3b20-4e8d-9ac4-fb2ee67774f8</t>
  </si>
  <si>
    <t>https://logistics.amazon.co.jp/internal/operations/execution/itineraries?operationView=true&amp;provider=ALL_DRIVERS&amp;selectedDay=2024-06-14&amp;serviceAreaId=87d1b9f0-9baf-468e-8c29-5082739a84b4</t>
  </si>
  <si>
    <t>https://logistics.amazon.co.jp/operations/execution/routes?InProgress=ALL&amp;providerFilter=UNASSIGNED&amp;routesFilter&amp;=ALL&amp;serviceAreaId=1068b140-7b4c-43e3-b2c8-a5e5e22c7697</t>
  </si>
  <si>
    <t>https://logistics.amazon.co.jp/internal/operations/execution/itineraries?operationView=true&amp;provider=ALL_DRIVERS&amp;selectedDay=2024-06-14&amp;serviceAreaId=c602037f-bc42-4022-a6c4-3a9726d28b8c</t>
  </si>
  <si>
    <t>https://logistics.amazon.co.jp/internal/operations/execution/itineraries?operationView=true&amp;provider=ALL_DRIVERS&amp;selectedDay=2024-06-14&amp;serviceAreaId=2593cc94-3b8f-494c-acb2-ae101a5367c4</t>
  </si>
  <si>
    <t>https://logistics.amazon.co.jp/operations/execution/routes?providerFilter=UNASSIGNED&amp;selectedDay=2023-06-14&amp;serviceAreaId=35dd3fdb-e7c5-4fae-918d-1fcbd3ac43de</t>
  </si>
  <si>
    <t>https://logistics.amazon.co.jp/operations/execution/routes?providerFilter=UNASSIGNED&amp;selectedDay=2022-03-18&amp;serviceAreaId=ca982ae8-45ca-4735-b439-c29bd2b9bd21</t>
  </si>
  <si>
    <t>OEJP</t>
  </si>
  <si>
    <t>https://logistics.amazon.co.jp/operations/execution/routes?providerFilter=UNASSIGNED&amp;selectedDay=2022-03-24&amp;serviceAreaId=2dcfcdc5-5269-4c94-a4af-115c9b8ac930</t>
  </si>
  <si>
    <t>OEJO</t>
  </si>
  <si>
    <t>https://logistics.amazon.co.jp/operations/execution/routes?providerFilter=UNASSIGNED&amp;routesFilter=&amp;selectedDay=2022-04-12&amp;serviceAreaId=5b6dc7ea-e6a4-4595-b306-9699a01e5cca</t>
  </si>
  <si>
    <t>https://logistics.amazon.co.jp/operations/execution/itineraries?operationView=true&amp;providerFilter=UNASSIGNED&amp;routesFilter=InProgress&amp;selectedDay=2022-07-07&amp;serviceAreaId=ba14f694-ccfd-465f-81cc-94533ea1ca4e</t>
  </si>
  <si>
    <t>https://logistics.amazon.co.jp/operations/execution/routes?providerFilter=UNASSIGNED&amp;routesFilter=&amp;selectedDay=2021-11-01&amp;serviceAreaId=617650a0-6cbd-4da5-b803-caa7f9e651b4</t>
  </si>
  <si>
    <t>https://logistics.amazon.co.jp/internal/operations/execution/itineraries?operationView=true&amp;provider=ALL_DRIVERS&amp;selectedDay=2024-06-14&amp;serviceAreaId=2b96ce36-baba-4be3-9708-0103b5055907</t>
  </si>
  <si>
    <t>https://logistics.amazon.co.jp/operations/execution/routes?InProgress=ALL&amp;providerFilter=UNASSIGNED&amp;routesFilter&amp;=ALL&amp;serviceAreaId=90ca5176-693a-4603-903d-4436f38cc663</t>
  </si>
  <si>
    <t>https://logistics.amazon.co.jp/operations/execution/routes?providerFilter=UNASSIGNED&amp;routesFilter=InProgress&amp;selectedDay=2022-09-27&amp;serviceAreaId=870fe0c6-5011-4f4b-ba28-cd71b44cca17</t>
  </si>
  <si>
    <t>DEJ7</t>
    <phoneticPr fontId="10"/>
  </si>
  <si>
    <t>https://logistics.amazon.co.jp/internal/operations/execution/itineraries?operationView=true&amp;provider=ALL_DRIVERS&amp;selectedDay=2024-08-27&amp;serviceAreaId=a08d35cf-4369-4bd1-94e7-e953c06ea066</t>
  </si>
  <si>
    <t>https://logistics.amazon.co.jp/operations/execution/routes?InProgress=ALL&amp;providerFilter=UNASSIGNED&amp;routesFilter&amp;=ALL&amp;serviceAreaId=0cb2d63a-fea4-4267-9e74-c4317bdbdfb3</t>
  </si>
  <si>
    <t>https://logistics.amazon.co.jp/internal/operations/execution/itineraries?operationView=true&amp;provider=ALL_DRIVERS&amp;selectedDay=2024-06-14&amp;serviceAreaId=a3c360cc-ce30-48cc-9744-73071d9c39f8</t>
  </si>
  <si>
    <t>https://logistics.amazon.co.jp/operations/execution/itineraries?operationView=true&amp;providerFilter=UNASSIGNED&amp;routesFilter=InProgress&amp;selectedDay=2022-10-18&amp;serviceAreaId=468c4eaf-f67e-4aef-b164-117cd4be1d6a</t>
  </si>
  <si>
    <t>https://logistics.amazon.co.jp/operations/execution/itineraries?operationView=true&amp;providerFilter=UNASSIGNED&amp;routesFilter=InProgress&amp;selectedDay=2022-10-25&amp;serviceAreaId=4a435088-5ac4-4018-ac82-7e01f9c57197</t>
  </si>
  <si>
    <t>https://logistics.amazon.co.jp/operations/execution/itineraries?operationView=true&amp;providerFilter=UNASSIGNED&amp;routesFilter=InProgress&amp;selectedDay=2022-11-01&amp;serviceAreaId=93bdf769-7057-4d56-8dfa-2b69864c04a6</t>
  </si>
  <si>
    <t>https://logistics.amazon.co.jp/operations/execution/itineraries?operationView=true&amp;selectedDay=2022-11-09&amp;serviceAreaId=2eb5db5e-778f-49ec-a51a-db12c195ea90</t>
  </si>
  <si>
    <t>https://logistics.amazon.co.jp/operations/execution/routes?providerFilter=UNASSIGNED&amp;routeTypeFilter=ALL&amp;selectedDay=2022-07-21&amp;serviceAreaId=6c267ad3-0201-4bf6-8905-9d3c1bf736b1</t>
  </si>
  <si>
    <t>https://logistics.amazon.co.jp/operations/execution/routes?providerFilter=UNASSIGNED&amp;routeTypeFilter=ALL&amp;selectedDay=2022-07-21&amp;serviceAreaId=359ad6d6-5319-420e-839f-a892c1eef9a7</t>
  </si>
  <si>
    <t>https://logistics.amazon.co.jp/operations/execution/routes?providerFilter=UNASSIGNED&amp;routeTypeFilter=ALL&amp;selectedDay=2022-07-21&amp;serviceAreaId=ff067663-3d95-4fdc-b6f6-1ada214a837e</t>
  </si>
  <si>
    <t>https://logistics.amazon.co.jp/operations/execution/routes?providerFilter=UNASSIGNED&amp;routeTypeFilter=ALL&amp;selectedDay=2022-07-21&amp;serviceAreaId=6a99db6d-34fb-4cae-b22e-d0a24df9269c</t>
  </si>
  <si>
    <t>https://logistics.amazon.co.jp/operations/execution/routes?providerFilter=UNASSIGNED&amp;routeTypeFilter=ALL&amp;selectedDay=2022-07-21&amp;serviceAreaId=a0439440-f1d8-47a8-bfa1-f28ca7e1189c</t>
  </si>
  <si>
    <t>https://logistics.amazon.co.jp/internal/operations/execution/itineraries?operationView=true&amp;provider=ALL_DRIVERS&amp;selectedDay=2024-06-14&amp;serviceAreaId=4a2b115e-34d3-4836-b841-049a67247e59</t>
  </si>
  <si>
    <t>OFK1</t>
  </si>
  <si>
    <t>https://logistics.amazon.co.jp/operations/execution/itineraries?operationView=true&amp;providerFilter=UNASSIGNED&amp;routesFilter=mx3&amp;selectedDay=2023-01-24&amp;serviceAreaId=1dac55ac-4242-45b2-8249-81db8278fd78</t>
  </si>
  <si>
    <t>https://logistics.amazon.co.jp/operations/execution/itineraries?operationView=true&amp;providerFilter=InProgress&amp;selectedDay=2023-09-14&amp;serviceAreaId=fd1ee245-da92-4c42-a06a-8fdcdf16e3a8</t>
  </si>
  <si>
    <t>https://logistics.amazon.co.jp/operations/execution/itineraries?operationView=true&amp;providerFilter=ALL_DSPS&amp;selectedDay=2024-02-13&amp;serviceAreaId=4b1373ef-71d3-4239-98e1-4d7fafc93877</t>
  </si>
  <si>
    <t>https://logistics.amazon.co.jp/operations/execution/itineraries?operationView=true&amp;providerFilter=UNASSIGNED&amp;routesFilter=InProgress&amp;selectedDay=2023-09-14&amp;serviceAreaId=cd5dcc48-6dba-409e-9173-5405dcd56c1f</t>
  </si>
  <si>
    <t>https://logistics.amazon.co.jp/operations/execution/itineraries?operationView=true&amp;providerFilter=UNASSIGNED&amp;routesFilter=InProgress&amp;selectedDay=2023-09-14&amp;serviceAreaId=41cf3aa7-3445-4991-bfad-901aefb5ac2e</t>
  </si>
  <si>
    <t>https://logistics.amazon.co.jp/operations/execution/itineraries?operationView=true&amp;providerFilter=UNASSIGNED&amp;routesFilter=InProgress&amp;selectedDay=2023-09-14&amp;serviceAreaId=3097c9ab-3a0b-481e-af9e-cb26b58f3975</t>
  </si>
  <si>
    <t>https://logistics.amazon.co.jp/operations/execution/itineraries?cortexv2=true&amp;operationView=true&amp;progressStatusFilterValue&amp;providerFilter=ALL_DPS&amp;selectedDay=2024-06-11&amp;serviceAreaId=241fed0e-ec48-4c01-9a62-885a76306f49</t>
  </si>
  <si>
    <t>https://logistics.amazon.co.jp/operations/execution/routes?operationView=true&amp;providerFilter=InProgress&amp;serviceAreaId=cfcc42ac-afb0-4d8b-b3d3-3f394256a1b9</t>
  </si>
  <si>
    <t>https://logistics.amazon.co.jp/internal/operations/execution/itineraries?operationView=true&amp;provider=ALL_DRIVERS&amp;selectedDay=2024-06-14&amp;serviceAreaId=f1e542dd-2abf-44c9-927e-56c9a17bd6f1</t>
  </si>
  <si>
    <t>https://logistics.amazon.co.jp/operations/execution/routes?providerFilter=UNASSIGNED&amp;routesFilter==InProgress&amp;selectedDay=2022-01-18&amp;serviceAreaId=3baba50d-9d9c-44a0-8adb-4667c6f2439b</t>
  </si>
  <si>
    <t>https://logistics.amazon.co.jp/internal/operations/execution/itineraries?operationView=true&amp;provider=ALL_DRIVERS&amp;selectedDay=2024-06-14&amp;serviceAreaId=79aa660b-2101-47e4-89cb-a636dcaf81ff</t>
  </si>
  <si>
    <t>OSP4</t>
  </si>
  <si>
    <t>https://logistics.amazon.co.jp/operations/execution/itineraries?operationView=true&amp;providerFilter=UNASSIGNED&amp;routesFilter=InProgress&amp;selectedDay=2022-11-01&amp;serviceAreaId=e4302272-74c7-4086-aecc-812660ffcafb</t>
  </si>
  <si>
    <t>https://logistics.amazon.co.jp/internal/operations/execution/itineraries?operationView=true&amp;provider=ALL_DRIVERS&amp;selectedDay=2024-06-14&amp;serviceAreaId=9c92f3b3-b26d-437e-bb2f-0bc59d516930</t>
  </si>
  <si>
    <t>https://logistics.amazon.co.jp/operations/execution/routes?providerFilter=ALL_DSPS&amp;routesFilter=&amp;selectedDay=2022-05-30&amp;serviceAreaId=f87fbb74-526a-4bd4-8752-208dd9d22edb</t>
  </si>
  <si>
    <t>https://logistics.amazon.co.jp/operations/execution/routes?providerFilter=UNASSIGNED&amp;routesFilter=InProgress&amp;selectedDay=2022-09-27&amp;serviceAreaId=0ef37ed0-1931-4211-80c2-dbf1da80752a</t>
  </si>
  <si>
    <t>https://logistics.amazon.co.jp/operations/execution/itineraries?cortexv2=true&amp;operationView=true&amp;progressStatusFilterValue&amp;providerFilter=ALL_DPS&amp;selectedDay=2023-09-19&amp;serviceAreaId=e87e511d-7322-4c98-9696-d87625272033</t>
  </si>
  <si>
    <t>https://logistics.amazon.co.jp/internal/operations/execution/itineraries?selectedDay=2024-08-21&amp;serviceAreaId=b05651e7-a12f-4469-9479-163ebb25779e</t>
    <phoneticPr fontId="10"/>
  </si>
  <si>
    <t>https://logistics.amazon.co.jp/operations/execution/itineraries?operationView=true&amp;providerFilter=UNASSIGNED&amp;routesFilter=InProgress&amp;selectedDay=2023-03-21&amp;serviceAreaId=6b95cc4c-9689-4369-b821-ed1cbd66adf2</t>
  </si>
  <si>
    <t>https://logistics.amazon.co.jp/operations/execution/itineraries?operationView=true&amp;selectedDay=2023-03-28&amp;serviceAreaId=c667b799-492d-4600-8a15-45495d62d097</t>
  </si>
  <si>
    <t>https://logistics.amazon.co.jp/internal/operations/execution/itineraries?operationView=true&amp;provider=ALL_DRIVERS&amp;selectedDay=2024-08-23&amp;serviceAreaId=2fcbfe03-ffa5-4ef0-bbd7-19241c14776a</t>
  </si>
  <si>
    <t>https://logistics.amazon.co.jp/operations/execution/itineraries?cortexv2=true&amp;operationView=true&amp;progressStatusFilterValue&amp;providerFilter=ALL_DPS&amp;serviceAreaId=432098d2-611a-4306-b9bb-249fbd1b618c</t>
  </si>
  <si>
    <t>https://logistics.amazon.co.jp/operations/execution/itineraries?cortexv2=true&amp;operationView=true&amp;progressStatusFilterValue&amp;provider=ALL_DRIVERS&amp;providerFilter=ALL_DPS&amp;routesFilter=HasReturnedPackages&amp;selectedDay=2024-05-07&amp;serviceAreaId=a6b1fd2b-39d2-4064-81d9-da8431e1c136</t>
  </si>
  <si>
    <t>https://logistics.amazon.co.jp/internal/operations/execution/itineraries?operationView=true&amp;provider=ALL_DRIVERS&amp;selectedDay=2024-06-14&amp;serviceAreaId=d23763e2-be09-41ba-82a0-dca9ae9a640e</t>
  </si>
  <si>
    <t>https://logistics.amazon.co.jp/operations/execution/routes?InProgress=ALL&amp;providerFilter=UNASSIGNED&amp;routesFilter&amp;=ALL&amp;serviceAreaId=d7db73da-54dd-4645-aed5-b3f505db9225</t>
  </si>
  <si>
    <t>OSN2</t>
  </si>
  <si>
    <t>https://logistics.amazon.co.jp/operations/execution/routes?providerFilter=UNASSIGNED&amp;routesFilter=&amp;serviceAreaId=e9d7f967-f4c4-42dd-b7eb-9d9328cdb7cb</t>
  </si>
  <si>
    <t>https://logistics.amazon.co.jp/internal/operations/execution/itineraries?operationView=true&amp;provider=ALL_DRIVERS&amp;selectedDay=2024-08-27&amp;serviceAreaId=c93b643e-3b0f-4b15-8c31-a0a08d841f11</t>
    <phoneticPr fontId="10"/>
  </si>
  <si>
    <t>https://logistics.amazon.co.jp/internal/operations/execution/itineraries?operationView=true&amp;provider=ALL_DRIVERS&amp;selectedDay=2024-08-16&amp;serviceAreaId=4739f582-00c4-4a88-8da5-6410e95f137e</t>
  </si>
  <si>
    <t>https://logistics.amazon.co.jp/internal/operations/execution/itineraries?operationView=true&amp;provider=ALL_DRIVERS&amp;selectedDay=2024-08-16&amp;serviceAreaId=cc0e564e-0a40-4c1d-bc72-8c6dc9ac3f25</t>
  </si>
  <si>
    <t>https://logistics.amazon.co.jp/internal/operations/execution/itineraries?operationView=true&amp;provider=ALL_DRIVERS&amp;selectedDay=2024-08-16&amp;serviceAreaId=24c3b04e-29e7-4a72-ad86-e92574bb6766</t>
  </si>
  <si>
    <t>https://logistics.amazon.co.jp/internal/operations/execution/itineraries?operationView=true&amp;provider=ALL_DRIVERS&amp;selectedDay=2024-06-14&amp;serviceAreaId=3f2f0269-4515-46b9-b6cb-17a21efee7c2</t>
  </si>
  <si>
    <t>https://logistics.amazon.co.jp/operations/execution/routes?providerFilter=UNASSIGNED&amp;routesFilter=InProgress&amp;selectedDay=2022-02-09&amp;serviceAreaId=d3e3ce19-5c73-4bca-b063-88b462896df8</t>
  </si>
  <si>
    <t>https://logistics.amazon.co.jp/operations/execution/routes?providerFilter=UNASSIGNED&amp;routesFilter=InProgress&amp;selectedDay=2022-02-09&amp;serviceAreaId=38ec882d-2122-4e12-90b6-2900d6cb3fb1</t>
  </si>
  <si>
    <t>https://logistics.amazon.co.jp/operations/execution/itineraries?operationView=true&amp;providerFilter=UNASSIGNED&amp;routesFilter=InProgress&amp;selectedDay=2022-10-25&amp;serviceAreaId=e7da3285-4883-4bd0-a0cc-7a946e1f1090</t>
  </si>
  <si>
    <t>https://logistics.amazon.co.jp/operations/execution/itineraries?cortexv2=true&amp;operationView=true&amp;progressStatusFilterValue&amp;providerFilter=ALL_DPS&amp;selectedDay=2024-02-20&amp;serviceAreaId=f361d472-8cca-4e5f-94aa-e2547c90660f</t>
  </si>
  <si>
    <t>https://logistics.amazon.co.jp/operations/execution/routes?providerFilter=UNASSIGNED&amp;routesFilter=InProgress&amp;selectedDay=2022-02-09&amp;serviceAreaId=15b5584e-1c8d-463f-8a4a-bd2363bba18f</t>
  </si>
  <si>
    <t>OOO1</t>
  </si>
  <si>
    <t>https://logistics.amazon.co.jp/operations/execution/routes?providerFilter=UNASSIGNED&amp;routesFilter=InProgress&amp;selectedDay=2022-02-09&amp;serviceAreaId=88ec1386-c808-4480-9d48-bd171fc9257c</t>
  </si>
  <si>
    <t>OOOG</t>
  </si>
  <si>
    <t>https://logistics.amazon.co.jp/operations/execution/routes?cortexv2=true&amp;progressStatusFilterValue&amp;providerFilter=ALL_DSPS&amp;selectedDay=2022-02-23&amp;serviceAreaId=6b1213e0-98c4-428f-937f-19319ea0948e</t>
  </si>
  <si>
    <t>OOOH</t>
  </si>
  <si>
    <t>https://logistics.amazon.co.jp/operations/execution/routes?providerFilter=UNASSIGNED&amp;selectedDay=2022-06-01&amp;serviceAreaId=56c60c15-f2fb-41c1-afaa-453b50aacd58</t>
  </si>
  <si>
    <t>OWJ6</t>
  </si>
  <si>
    <t>https://logistics.amazon.co.jp/operations/execution/routes?providerFilter=UNASSIGNED&amp;routesFilter=InProgress&amp;selectedDay=2022-02-09&amp;serviceAreaId=cf4e3dca-4a98-4d77-b4ea-b0b32d28bc03</t>
  </si>
  <si>
    <t>https://logistics.amazon.co.jp/internal/operations/execution/itineraries?operationView=true&amp;provider=ALL_DRIVERS&amp;selectedDay=2024-08-27&amp;serviceAreaId=418e2c8e-d21c-4965-ad08-ef242173d98d</t>
    <phoneticPr fontId="10"/>
  </si>
  <si>
    <t>https://logistics.amazon.co.jp/operations/execution/routes?providerFilter=UNASSIGNED&amp;routesFilter=InProgress&amp;selectedDay=2022-02-09&amp;serviceAreaId=786f02db-9c33-45be-9fee-067dde027e93</t>
  </si>
  <si>
    <t>https://logistics.amazon.co.jp/operations/execution/routes?providerFilter=UNASSIGNED&amp;routesFilter=InProgress&amp;selectedDay=2022-02-09&amp;serviceAreaId=d3b50969-1d2c-43e7-a4d3-3fbc281d1e92</t>
  </si>
  <si>
    <t>https://logistics.amazon.co.jp/operations/execution/routes?providerFilter=UNASSIGNED&amp;routesFilter=InProgress&amp;selectedDay=2022-02-09&amp;serviceAreaId=ab43a126-00a0-45eb-8bba-d7b3f7edc378</t>
  </si>
  <si>
    <t>https://logistics.amazon.co.jp/operations/execution/routes?providerFilter=UNASSIGNED&amp;routesFilter=InProgress&amp;selectedDay=2022-02-09&amp;serviceAreaId=5f91f814-52ce-492d-9202-2bdf9c05a753</t>
  </si>
  <si>
    <t>OWJ7</t>
  </si>
  <si>
    <t>https://logistics.amazon.co.jp/operations/execution/routes?providerFilter=UNASSIGNED&amp;routesFilter=InProgress&amp;selectedDay=2022-02-09&amp;serviceAreaId=a95a0318-bba0-4a93-a5b4-16a6627b69b5</t>
  </si>
  <si>
    <t>OWJ8</t>
  </si>
  <si>
    <t>https://logistics.amazon.co.jp/operations/execution/routes?providerFilter=UNASSIGNED&amp;routesFilter=InProgress&amp;selectedDay=2022-02-09&amp;serviceAreaId=200f4773-c4c8-40d6-9376-25b6d96241f4</t>
  </si>
  <si>
    <t>https://logistics.amazon.co.jp/operations/execution/routes?providerFilter=UNASSIGNED&amp;routesFilter=InProgress&amp;selectedDay=2022-02-09&amp;serviceAreaId=b9e93b39-59d8-4815-8e14-84e229a4913d</t>
  </si>
  <si>
    <t>https://logistics.amazon.co.jp/operations/execution/routes?providerFilter=UNASSIGNED&amp;routesFilter=InProgress&amp;selectedDay=2022-06-08&amp;serviceAreaId=90d9544c-d1f5-4065-a0b5-7822f6038f07</t>
  </si>
  <si>
    <t>https://logistics.amazon.co.jp/internal/operations/execution/itineraries?operationView=true&amp;provider=ALL_DRIVERS&amp;selectedDay=2024-08-15&amp;serviceAreaId=58b5a3e0-11fb-494a-9f54-9dc88d70cc19</t>
    <phoneticPr fontId="10"/>
  </si>
  <si>
    <t>https://logistics.amazon.co.jp/operations/execution/routes?providerFilter=UNASSIGNED&amp;routesFilter=&amp;selectedDay=2022-08-14&amp;serviceAreaId=41ac1005-1059-4dfe-ad97-a9e8a759820f</t>
  </si>
  <si>
    <t>DTK2</t>
  </si>
  <si>
    <t>https://logistics.amazon.co.jp/internal/operations/execution/itineraries?operationView=true&amp;provider=ALL_DRIVERS&amp;selectedDay=2024-06-14&amp;serviceAreaId=0a653711-b8de-455a-a63c-37acbfff2e85</t>
  </si>
  <si>
    <t>https://logistics.amazon.co.jp/internal/operations/execution/itineraries?operationView=true&amp;provider=ALL_DRIVERS&amp;selectedDay=2024-06-14&amp;serviceAreaId=1395af67-471a-4287-bcec-7d7c3303260b</t>
  </si>
  <si>
    <t>https://logistics.amazon.co.jp/operations/execution/routes?providerFilter=UNASSIGNED&amp;selectedDay=2021-09-28&amp;serviceAreaId=0042ec5e-f298-40a5-b6cd-81949f096825</t>
  </si>
  <si>
    <t>https://logistics.amazon.co.jp/operations/execution/routes?providerFilter=ALL_DSPS&amp;routesFilter=InProgress&amp;selectedDay=2022-08-30&amp;serviceAreaId=d2b0537b-f38c-4c4b-b38a-a7f90b543567</t>
  </si>
  <si>
    <t>https://logistics.amazon.co.jp/internal/operations/execution/itineraries?operationView=true&amp;provider=ALL_DRIVERS&amp;selectedDay=2024-06-14&amp;serviceAreaId=3c3baeda-e6d7-424b-ab84-dd8fb2e1489b</t>
  </si>
  <si>
    <t>https://logistics.amazon.co.jp/internal/operations/execution/itineraries?operationView=true&amp;provider=ALL_DRIVERS&amp;selectedDay=2024-06-14&amp;serviceAreaId=bfafab60-7c2d-4088-9d1c-2ad2b7259f18</t>
  </si>
  <si>
    <t>OTK6</t>
  </si>
  <si>
    <t>https://logistics.amazon.co.jp/internal/operations/execution/itineraries?operationView=true&amp;provider=ALL_DRIVERS&amp;selectedDay=2024-06-14&amp;serviceAreaId=b43e9828-f26a-4f30-8f5b-4f4ddeadc34c</t>
  </si>
  <si>
    <t>https://logistics.amazon.co.jp/operations/execution/itineraries?operationView=true&amp;providerFilter=ALL_DSPS&amp;routesFilter=InProgress&amp;serviceAreaId=c5c3422c-710d-4d7a-bb19-6e9c6644cff7</t>
  </si>
  <si>
    <t>https://logistics.amazon.co.jp/operations/execution/itineraries?operationView=true&amp;providerFilter=ALL_DSPS&amp;routesFilter=InProgress&amp;serviceAreaId=bb0501bb-5865-4a0e-a1b5-55c57d64f438</t>
  </si>
  <si>
    <t>https://logistics.amazon.co.jp/internal/operations/execution/itineraries?operationView=true&amp;provider=ALL_DRIVERS&amp;selectedDay=2024-06-14&amp;serviceAreaId=f9cac106-463a-401f-8f26-1144d9c3999e</t>
  </si>
  <si>
    <t>OEJA</t>
  </si>
  <si>
    <t>https://logistics.amazon.co.jp/internal/operations/execution/itineraries?operationView=true&amp;provider=ALL_DRIVERS&amp;selectedDay=2024-06-14&amp;serviceAreaId=937753c9-2776-4687-8915-86ca9ecd1161</t>
  </si>
  <si>
    <t>https://logistics.amazon.co.jp/internal/operations/execution/itineraries?operationView=true&amp;provider=ALL_DRIVERS&amp;selectedDay=2024-06-14&amp;serviceAreaId=a4d74334-20d3-4279-b463-9da78527d6bc</t>
  </si>
  <si>
    <t>https://logistics.amazon.co.jp/internal/operations/execution/itineraries?operationView=true&amp;provider=ALL_DRIVERS&amp;selectedDay=2024-06-14&amp;serviceAreaId=7e8377fa-f118-41de-b1b7-583439ff75c8</t>
  </si>
  <si>
    <t>https://logistics.amazon.co.jp/internal/operations/execution/itineraries?operationView=true&amp;provider=ALL_DRIVERS&amp;selectedDay=2024-06-14&amp;serviceAreaId=e0139fd4-3cac-49fe-a193-73c460f05a92</t>
  </si>
  <si>
    <t>https://logistics.amazon.co.jp/internal/operations/execution/itineraries?operationView=true&amp;provider=ALL_DRIVERS&amp;selectedDay=2024-06-14&amp;serviceAreaId=8bac7a96-786f-41ef-97e8-3caba3631bb7</t>
  </si>
  <si>
    <t>OTKX</t>
  </si>
  <si>
    <t>https://logistics.amazon.co.jp/internal/operations/execution/itineraries?operationView=true&amp;provider=ALL_DRIVERS&amp;selectedDay=2024-06-14&amp;serviceAreaId=bedd4f56-74be-40a6-aaf4-7f53f587935e</t>
  </si>
  <si>
    <t>https://logistics.amazon.co.jp/internal/operations/execution/itineraries?operationView=true&amp;provider=ALL_DRIVERS&amp;selectedDay=2024-06-14&amp;serviceAreaId=cd8e70ef-6569-4676-aa5d-fcba363c4c28</t>
  </si>
  <si>
    <t>https://logistics.amazon.co.jp/internal/operations/execution/itineraries?operationView=true&amp;provider=ALL_DRIVERS&amp;selectedDay=2024-06-14&amp;serviceAreaId=c564d4ae-26a1-41fa-b436-03c8c35d8d89</t>
  </si>
  <si>
    <t>https://logistics.amazon.co.jp/internal/operations/execution/itineraries?operationView=true&amp;provider=ALL_DRIVERS&amp;selectedDay=2024-06-14&amp;serviceAreaId=add40db1-dbeb-476c-9bdd-957a26575aa4</t>
  </si>
  <si>
    <t>https://logistics.amazon.co.jp/operations/execution/routes?providerFilter=UNASSIGNED&amp;routesFilter%20=InProgress&amp;selectedDay=2021-11-15&amp;serviceAreaId=02a2bf90-8916-4b8f-97a8-220b443f8515</t>
  </si>
  <si>
    <t>https://logistics.amazon.co.jp/operations/execution/routes?InProgress=ALL&amp;providerFilter=UNASSIGNED&amp;routesFilter&amp;=ALL&amp;serviceAreaId=bf8c4b47-f559-43b0-9675-5b7d87d65dcf</t>
  </si>
  <si>
    <t>https://logistics.amazon.co.jp/operations/execution/routes?providerFilter=ALL_DSPS&amp;routesFilter=InProgress&amp;selectedDay=2022-07-02&amp;serviceAreaId=5cedb550-fbec-4e14-8c8e-04789e01adec</t>
  </si>
  <si>
    <t>PTKC</t>
  </si>
  <si>
    <t>https://logistics.amazon.co.jp/internal/operations/execution/itineraries?operationView=true&amp;provider=ALL_DRIVERS&amp;selectedDay=2024-06-14&amp;serviceAreaId=c26efb51-1d7a-4a51-917a-e5b94d02f76a</t>
  </si>
  <si>
    <t>https://logistics.amazon.co.jp/operations/execution/itineraries?operationView=true&amp;providerFilter=UNASSIGNED&amp;routesFilter=InProgress&amp;selectedDay=2022-09-02&amp;serviceAreaId=4526bd04-0d95-4918-8d96-d26f5a479453</t>
  </si>
  <si>
    <t>https://logistics.amazon.co.jp/internal/operations/execution/itineraries?operationView=true&amp;provider=ALL_DRIVERS&amp;selectedDay=2025-04-08&amp;serviceAreaId=b346f4d9-67c5-4113-b1ff-a3ac89abfc14</t>
    <phoneticPr fontId="4"/>
  </si>
  <si>
    <t>https://logistics.amazon.co.jp/operations/execution/routes?providerFilter=UNASSIGNED&amp;routesFilter=InProgress&amp;selectedDay=2022-09-27&amp;serviceAreaId=7c4e220a-b724-40f7-8ccb-836a38c4a376</t>
  </si>
  <si>
    <t>PTKG</t>
  </si>
  <si>
    <t>https://logistics.amazon.co.jp/operations/execution/itineraries?operationView=true&amp;providerFilter=UNASSIGNED&amp;routesFilter=InProgress&amp;serviceAreaId=ed6f69ba-9c9f-433b-8388-b3dbec7c7396</t>
  </si>
  <si>
    <t>https://logistics.amazon.co.jp/operations/execution/itineraries?operationView=true&amp;providerFilter=UNASSIGNED&amp;routesFilter=InProgress&amp;selectedDay=2023-03-18&amp;serviceAreaId=889b6ea0-e443-44fe-aafa-fddcf0b701b4</t>
  </si>
  <si>
    <t>https://logistics.amazon.co.jp/operations/execution/itineraries?operationView=true&amp;providerFilter=UNASSIGNED&amp;routesFilter=InProgress&amp;selectedDay=2023-03-18&amp;serviceAreaId=e728a783-fdcd-4eea-a86c-a589ca02e074</t>
  </si>
  <si>
    <t>https://logistics.amazon.co.jp/operations/execution/itineraries?operationView=true&amp;providerFilter=UNASSIGNED&amp;routesFilter=MX8&amp;selectedDay=2023-09-19&amp;serviceAreaId=85d7b491-9d83-41ca-b99d-b23bbd0d74c6</t>
  </si>
  <si>
    <t>https://logistics.amazon.co.jp/operations/execution/itineraries?cortexv2=true&amp;operationView=true&amp;progressStatusFilterValue&amp;providerFilter=ALL_DPS&amp;selectedDay=2023-10-24&amp;serviceAreaId=08aae9b1-88d1-4abf-803c-917854a6d7b8</t>
  </si>
  <si>
    <t>https://logistics.amazon.co.jp/operations/execution/itineraries?cortexv2=true&amp;operationView=true&amp;progressStatusFilterValue&amp;providerFilter=ALL_DPS&amp;selectedDay=2023-11-01&amp;serviceAreaId=af5d6211-6f71-4b2a-a0dd-b9142ada1629</t>
  </si>
  <si>
    <t>https://logistics.amazon.co.jp/operations/execution/itineraries?cortexv2=true&amp;operationView=true&amp;progressStatusFilterValue&amp;providerFilter=ALL_DPS&amp;selectedDay=2024-05-14&amp;serviceAreaId=ea9569a8-e80b-442c-a73b-b244c033c3cc</t>
  </si>
  <si>
    <t>https://logistics.amazon.co.jp/internal/operations/execution/itineraries?operationView=true&amp;provider=ALL_DRIVERS&amp;selectedDay=2024-06-14&amp;serviceAreaId=21303578-7d65-4662-b7e9-cff28863abc5</t>
  </si>
  <si>
    <t>https://logistics.amazon.co.jp/internal/operations/execution/itineraries?operationView=true&amp;provider=ALL_DRIVERS&amp;selectedDay=2024-06-14&amp;serviceAreaId=20bc0c87-e7f1-4fc7-ab55-ad122f674cb4</t>
  </si>
  <si>
    <t>https://logistics.amazon.co.jp/internal/operations/execution/itineraries?operationView=true&amp;provider=ALL_DRIVERS&amp;selectedDay=2024-06-14&amp;serviceAreaId=982f1f64-987a-4c62-9d95-1816faa38ee9</t>
  </si>
  <si>
    <t>OOO3</t>
  </si>
  <si>
    <t>https://logistics.amazon.co.jp/operations/execution/routes?providerFilter=UNASSIGNED&amp;routesFilter=InProgress&amp;selectedDay=2022-02-09&amp;serviceAreaId=db5ce6e6-38e6-4584-a8cb-0c92bf9f92db</t>
  </si>
  <si>
    <t>OOOB</t>
  </si>
  <si>
    <t>https://logistics.amazon.co.jp/internal/operations/execution/itineraries?operationView=true&amp;provider=ALL_DRIVERS&amp;selectedDay=2024-06-14&amp;serviceAreaId=4a1b9e19-e1a4-46a9-9873-d8d3e26e88bc</t>
  </si>
  <si>
    <t>https://logistics.amazon.co.jp/operations/execution/routes?providerFilter=UNASSIGNED&amp;routesFilter=InProgress&amp;selectedDay=2022-02-09&amp;serviceAreaId=2bcf57a1-ba44-4949-8518-42d68c328e0e</t>
  </si>
  <si>
    <t>https://logistics.amazon.co.jp/internal/operations/execution/itineraries?operationView=true&amp;provider=ALL_DRIVERS&amp;selectedDay=2024-06-14&amp;serviceAreaId=7c266549-6b13-404f-be03-c9cc3b5d3c42</t>
  </si>
  <si>
    <t>OWJC</t>
  </si>
  <si>
    <t>https://logistics.amazon.co.jp/internal/operations/execution/itineraries?operationView=true&amp;provider=ALL_DRIVERS&amp;selectedDay=2024-06-14&amp;serviceAreaId=c2328099-15b0-4251-bf74-218677433725</t>
  </si>
  <si>
    <t>https://logistics.amazon.co.jp/internal/operations/execution/itineraries?operationView=true&amp;provider=ALL_DRIVERS&amp;selectedDay=2024-08-27&amp;serviceAreaId=8f3c82ed-0717-4ca9-aedf-6589b2943e24</t>
    <phoneticPr fontId="10"/>
  </si>
  <si>
    <t>https://logistics.amazon.co.jp/operations/execution/itineraries?cortexv2=true&amp;operationView=true&amp;progressStatusFilterValue&amp;providerFilter=ALL_DPS&amp;selectedDay=2023-08-26&amp;serviceAreaId=85fef29e-2d31-4cc1-b6b6-b3db82d95290</t>
  </si>
  <si>
    <t>https://logistics.amazon.co.jp/internal/operations/execution/itineraries?operationView=true&amp;provider=ALL_DRIVERS&amp;selectedDay=2024-06-14&amp;serviceAreaId=ec5b8c5a-90df-444f-b977-b828f9d8351b</t>
  </si>
  <si>
    <t>MCJ1</t>
  </si>
  <si>
    <t>https://logistics.amazon.co.jp/internal/operations/execution/itineraries?operationView=true&amp;provider=ALL_DRIVERS&amp;selectedDay=2024-06-14&amp;serviceAreaId=fc089426-6237-418d-80af-6fd0580ecdad</t>
  </si>
  <si>
    <t>MCJ2</t>
    <phoneticPr fontId="10"/>
  </si>
  <si>
    <t>https://logistics.amazon.co.jp/operations/execution/itineraries?operationView=true&amp;provider=ALL_DRIVERS&amp;providerFilter=UNASSIGNED&amp;routesFilter=InProgress&amp;selectedDay=2024-05-14&amp;serviceAreaId=4382c9fc-8400-4dcf-a6f4-2b5c7a7ce05a</t>
  </si>
  <si>
    <t>https://logistics.amazon.co.jp/operations/execution/routes?providerFilter=UNASSIGNED&amp;routesFilter=InProgress&amp;selectedDay=2022-08-20&amp;serviceAreaId=9fd10d82-7cbd-44cd-b303-1834a41a3c09</t>
  </si>
  <si>
    <t>https://logistics.amazon.co.jp/operations/execution/itineraries?operationView=true&amp;providerFilter=UNASSIGNED&amp;routesFilter=InProgress&amp;selectedDay=2022-07-14&amp;serviceAreaId=901399df-d23b-4ad8-a5fd-e65fdccd4225</t>
  </si>
  <si>
    <t>https://logistics.amazon.co.jp/operations/execution/itineraries?operationView=true&amp;providerFilter=UNASSIGNED&amp;routesFilter=InProgress&amp;selectedDay=2023-09-07&amp;serviceAreaId=3fb526e4-f09e-4934-aad3-74b9fe161c80</t>
  </si>
  <si>
    <t>https://logistics.amazon.co.jp/operations/execution/itineraries?cortexv2=true&amp;operationView=true&amp;progressStatusFilterValue&amp;providerFilter=ALL_DPS&amp;selectedDay=2023-08-03&amp;serviceAreaId=1a02b1c6-2667-4225-9fb8-58c226392067</t>
  </si>
  <si>
    <t>https://logistics.amazon.co.jp/operations/execution/itineraries?operationView=true&amp;provider=ALL_DRIVERS&amp;providerFilter=UNASSIGNED&amp;routesFilter=InProgress&amp;selectedDay=2024-04-28&amp;serviceAreaId=078a3314-4b4d-4481-b512-fe97878bbd01</t>
  </si>
  <si>
    <t>https://logistics.amazon.co.jp/operations/execution/itineraries?cortexv2=true&amp;operationView=true&amp;progressStatusFilterValue&amp;providerFilter=ALL_DPS&amp;selectedDay=2023-09-19&amp;serviceAreaId=5f9f0ce8-b940-479d-bf84-30c0fc928038</t>
  </si>
  <si>
    <t>https://logistics.amazon.co.jp/operations/execution/itineraries?operationView=true&amp;providerFilter=UNASSIGNED&amp;routesFilter=InProgress&amp;selectedDay=2023-09-04&amp;serviceAreaId=fa00bc2b-67f9-4c99-a8c3-07390c29c132</t>
  </si>
  <si>
    <t>https://logistics.amazon.co.jp/internal/operations/execution/itineraries?operationView=true&amp;provider=ALL_DRIVERS&amp;selectedDay=2024-06-14&amp;serviceAreaId=8e74ea47-3eea-4efb-a394-2cc33aa8cb74</t>
  </si>
  <si>
    <t>https://logistics.amazon.co.jp/operations/execution/itineraries?operationView=true&amp;provider=ALL_DRIVERS&amp;providerFilter=UNASSIGNED&amp;routesFilter=InProgress&amp;selectedDay=2024-05-14&amp;serviceAreaId=5027a3e7-64db-4936-b46e-9899f8a9092d</t>
  </si>
  <si>
    <t>MHR1</t>
  </si>
  <si>
    <t>https://logistics.amazon.co.jp/operations/execution/itineraries?operationView=true&amp;providerFilter=UNASSIGNED&amp;routesFilter=InProgress&amp;selectedDay=2023-09-02&amp;serviceAreaId=12420a0c-848b-4c0e-909a-03ea0a909301</t>
  </si>
  <si>
    <t>https://logistics.amazon.co.jp/operations/execution/itineraries?operationView=true&amp;selectedDay=2022-07-17&amp;serviceAreaId=222070a2-6f48-48d8-b83d-14a32b5ba455</t>
  </si>
  <si>
    <t>https://logistics.amazon.co.jp/operations/execution/itineraries?operationView=true&amp;selectedDay=2022-09-18&amp;serviceAreaId=70d8ddb0-5235-4da6-90d0-41c0b1a0db70</t>
  </si>
  <si>
    <t>https://logistics.amazon.co.jp/internal/operations/execution/itineraries?operationView=true&amp;provider=ALL_DRIVERS&amp;selectedDay=2024-06-14&amp;serviceAreaId=1d0987d5-f90e-4d70-ab69-72b2326e8e9e</t>
  </si>
  <si>
    <t>https://logistics.amazon.co.jp/operations/execution/itineraries?operationView=true&amp;providerFilter=UNASSIGNED&amp;routesFilter=InProgress&amp;selectedDay=2022-07-17&amp;serviceAreaId=09bf3475-261d-4167-9cfb-02afd1bf24a5</t>
  </si>
  <si>
    <t>https://logistics.amazon.co.jp/internal/operations/execution/itineraries?operationView=true&amp;provider=ALL_DRIVERS&amp;selectedDay=2024-06-14&amp;serviceAreaId=522f5c9e-03c8-432c-8bd3-248ee905035e</t>
  </si>
  <si>
    <t>https://logistics.amazon.co.jp/internal/operations/execution/itineraries?operationView=true&amp;provider=ALL_DRIVERS&amp;selectedDay=2024-06-14&amp;serviceAreaId=11e21a84-b910-4b58-a56a-196cb942b4fa</t>
  </si>
  <si>
    <t>https://logistics.amazon.co.jp/internal/operations/execution/itineraries?operationView=true&amp;provider=ALL_DRIVERS&amp;selectedDay=2024-06-14&amp;serviceAreaId=
27768c1f-7451-4c57-a5bb-bf5634f8e90c</t>
  </si>
  <si>
    <t>https://logistics.amazon.co.jp/internal/operations/execution/itineraries?operationView=true&amp;provider=ALL_DRIVERS&amp;selectedDay=2024-06-14&amp;serviceAreaId=a7f4f04a-adfa-4afd-8b9f-7858067978e0</t>
  </si>
  <si>
    <t>https://logistics.amazon.co.jp/operations/execution/routes?providerFilter=ALL_DSPS&amp;selectedDay=2022-02-23&amp;serviceAreaId=ba94e152-90de-49fd-8623-5e97b202200c</t>
  </si>
  <si>
    <t>https://logistics.amazon.co.jp/operations/execution/routes?providerFilter=ALL_DSPS&amp;selectedDay=2022-02-23&amp;serviceAreaId=df69be21-d5cc-4b60-8fd7-04d26198853e</t>
  </si>
  <si>
    <t>https://logistics.amazon.co.jp/operations/execution/routes?providerFilter=ALL_DSPS&amp;selectedDay=2022-02-23&amp;serviceAreaId=f4cf0ba1-597e-47a4-90dc-f09bdeed6b3f</t>
  </si>
  <si>
    <t>https://logistics.amazon.co.jp/operations/execution/routes?providerFilter=ALL_DSPS&amp;selectedDay=2022-02-23&amp;serviceAreaId=bb82b4c0-d175-4087-9592-b5f4561604cc</t>
  </si>
  <si>
    <t>https://logistics.amazon.co.jp/operations/execution/routes?providerFilter=ALL_DSPS&amp;selectedDay=2022-02-23&amp;serviceAreaId=7b498b23-2397-422b-8133-917a61ad07fd</t>
  </si>
  <si>
    <t>https://logistics.amazon.co.jp/operations/execution/routes?providerFilter=ALL_DSPS&amp;selectedDay=2022-02-23&amp;serviceAreaId=85081d66-afae-43b7-bce3-c1f3535edf36</t>
  </si>
  <si>
    <t>https://logistics.amazon.co.jp/operations/execution/routes?providerFilter=ALL_DSPS&amp;selectedDay=2022-02-23&amp;serviceAreaId=9e8327d8-e7dd-4f7b-a417-dcdadd47f70a</t>
  </si>
  <si>
    <t>https://logistics.amazon.co.jp/operations/execution/routes?providerFilter=ALL_DSPS&amp;selectedDay=2022-02-23&amp;serviceAreaId=ab96ab9a-820e-490e-a193-90d331f3b038</t>
  </si>
  <si>
    <t>https://logistics.amazon.co.jp/operations/execution/routes?providerFilter=ALL_DSPS&amp;selectedDay=2022-02-23&amp;serviceAreaId=35e14d21-9d76-49b2-9404-e2aa201e54dd</t>
  </si>
  <si>
    <t>https://logistics.amazon.co.jp/operations/execution/routes?providerFilter=ALL_DSPS&amp;selectedDay=2022-02-23&amp;serviceAreaId=88451d6e-dc20-4b20-9124-68f0076edfac</t>
  </si>
  <si>
    <t>https://logistics.amazon.co.jp/operations/execution/routes?providerFilter=ALL_DSPS&amp;selectedDay=2022-02-23&amp;serviceAreaId=8027d08f-7a86-43de-8974-111c2cca8386</t>
  </si>
  <si>
    <t>https://logistics.amazon.co.jp/operations/execution/routes?providerFilter=ALL_DSPS&amp;selectedDay=2022-02-23&amp;serviceAreaId=f0304074-2078-4744-b3c8-c086f837b587</t>
  </si>
  <si>
    <t>https://logistics.amazon.co.jp/operations/execution/routes?providerFilter=ALL_DSPS&amp;selectedDay=2022-02-23&amp;serviceAreaId=d1c9449f-e3a0-485e-80e0-ae5357f4eab7</t>
  </si>
  <si>
    <t>https://logistics.amazon.co.jp/operations/execution/routes?providerFilter=ALL_DSPS&amp;selectedDay=2022-02-23&amp;serviceAreaId=9a76fed5-6d4a-407c-a508-8e6136e7cdbf</t>
  </si>
  <si>
    <t>HAC2</t>
  </si>
  <si>
    <t>https://logistics.amazon.co.jp/operations/execution/routes?providerFilter=ALL_DSPS&amp;selectedDay=2022-02-23&amp;serviceAreaId=1768fbc6-9746-4852-b776-066465fadb20</t>
  </si>
  <si>
    <t>https://logistics.amazon.co.jp/operations/execution/routes?providerFilter=ALL_DSPS&amp;selectedDay=2022-06-21&amp;serviceAreaId=18e5f619-0bb5-45a5-a475-666dc9883b83</t>
  </si>
  <si>
    <t>https://logistics.amazon.co.jp/operations/execution/routes?providerFilter=UNASSIGNED&amp;selectedDay=2022-07-02&amp;serviceAreaId=3b256365-cb05-4213-98c8-a60921fa83c4</t>
  </si>
  <si>
    <t>https://logistics.amazon.co.jp/operations/execution/routes?providerFilter=UNASSIGNED&amp;routesFilter=&amp;selectedDay=2022-04-08&amp;serviceAreaId=ee944bf7-a246-4131-b4c3-e5070da5407e</t>
  </si>
  <si>
    <t>https://logistics.amazon.co.jp/operations/execution/routes?providerFilter=UNASSIGNED&amp;routesFilter=InProgress&amp;selectedDay=2022-05-31&amp;serviceAreaId=3e6f2ba2-3f7c-4834-ab68-ef8437b4e214</t>
  </si>
  <si>
    <t>https://logistics.amazon.co.jp/operations/execution/routes?providerFilter=UNASSIGNED&amp;routesFilter=InProgress&amp;selectedDay=2022-05-31&amp;serviceAreaId=a063f571-363a-48db-baf8-0ec7afb6dfad</t>
  </si>
  <si>
    <t>https://logistics.amazon.co.jp/operations/execution/routes?providerFilter=UNASSIGNED&amp;routesFilter=InProgress&amp;selectedDay=2022-05-31&amp;serviceAreaId=95ac48a0-2b4d-4618-ab33-b1cbf18f1611</t>
  </si>
  <si>
    <t>https://logistics.amazon.co.jp/operations/execution/routes?providerFilter=ALL_DSPS&amp;routesFilter=InProgress&amp;selectedDay=2022-05-31&amp;serviceAreaId=c401ca44-05ad-46b1-a2c7-89af197e6cbf</t>
  </si>
  <si>
    <t>https://logistics.amazon.co.jp/operations/execution/routes?providerFilter=ALL_DSPS&amp;routesFilter=InProgress&amp;selectedDay=2022-05-31&amp;serviceAreaId=d02eb31b-5384-4e5b-add4-349725c6de6c</t>
  </si>
  <si>
    <t>https://logistics.amazon.co.jp/operations/execution/routes?providerFilter=UNASSIGNED&amp;routesFilter=InProgress&amp;selectedDay=2022-06-13&amp;serviceAreaId=6c548915-5be8-4c2c-88a0-2ea30dbe9204</t>
  </si>
  <si>
    <t>https://logistics.amazon.co.jp/operations/execution/itineraries?operationView=true&amp;providerFilter=UNASSIGNED&amp;routesFilter=InProgress&amp;selectedDay=2022-06-18&amp;serviceAreaId=5d676ffc-32f1-458c-b2dc-2010b9376d06</t>
  </si>
  <si>
    <t>https://logistics.amazon.co.jp/operations/execution/itineraries?operationView=true&amp;providerFilter=UNASSIGNED&amp;routesFilter=InProgress&amp;selectedDay=2022-06-18&amp;serviceAreaId=ed571468-154f-4589-967b-a2fb4da25947</t>
  </si>
  <si>
    <t>https://logistics.amazon.co.jp/operations/execution/routes?providerFilter=ALL_DSPS&amp;routesFilter=InProgress&amp;selectedDay=2022-06-24&amp;serviceAreaId=7076bab7-31eb-40ce-b3fd-000691dfdd57</t>
  </si>
  <si>
    <t>https://logistics.amazon.co.jp/operations/execution/routes?providerFilter=ALL_DSPS&amp;routesFilter=InProgress&amp;selectedDay=2022-06-21&amp;serviceAreaId=fb5f7b17-b363-4293-812a-790ce3d0c81b</t>
  </si>
  <si>
    <t>https://logistics.amazon.co.jp/operations/execution/routes?providerFilter=ALL_DSPS&amp;routesFilter=InProgress&amp;selectedDay=2022-06-24&amp;serviceAreaId=9449a60d-fdab-4da0-b1e6-b4c29abe21ad</t>
  </si>
  <si>
    <t>https://logistics.amazon.co.jp/operations/execution/routes?providerFilter=ALL_DSPS&amp;routesFilter=InProgress&amp;selectedDay=2022-06-24&amp;serviceAreaId=645a3f86-fd8f-45e4-8f6c-7150f014c725</t>
  </si>
  <si>
    <t>https://logistics.amazon.co.jp/operations/execution/routes?providerFilter=ALL_DSPS&amp;routesFilter=InProgress&amp;selectedDay=2022-06-24&amp;serviceAreaId=8c161541-70df-4ac8-97af-506d956e237a</t>
  </si>
  <si>
    <t>https://logistics.amazon.co.jp/operations/execution/routes?providerFilter=ALL_DSPS&amp;routesFilter=InProgress&amp;selectedDay=2022-06-24&amp;serviceAreaId=6d8e6780-b557-4be5-9c8c-95051b97d63d</t>
  </si>
  <si>
    <t>https://logistics.amazon.co.jp/operations/execution/routes?providerFilter=ALL_DSPS&amp;routesFilter=InProgress&amp;selectedDay=2022-06-24&amp;serviceAreaId=f7b0bdc9-dadd-46a8-8f9f-9e97fd181c85</t>
  </si>
  <si>
    <t>https://logistics.amazon.co.jp/operations/execution/routes?providerFilter=ALL_DSPS&amp;routesFilter=InProgress&amp;selectedDay=2022-06-24&amp;serviceAreaId=3a0aa760-60ad-4c67-8758-7932924079aa</t>
  </si>
  <si>
    <t>https://logistics.amazon.co.jp/operations/execution/routes?providerFilter=ALL_DSPS&amp;routesFilter=InProgress&amp;selectedDay=2022-06-24&amp;serviceAreaId=41205e66-425d-4b40-ae87-24322fefba15</t>
  </si>
  <si>
    <t>https://logistics.amazon.co.jp/operations/execution/routes?providerFilter=ALL_DSPS&amp;routesFilter=InProgress&amp;selectedDay=2022-06-24&amp;serviceAreaId=dc0ae190-1d9a-4977-8f1a-8110d3d4ce96</t>
  </si>
  <si>
    <t>https://logistics.amazon.co.jp/operations/execution/routes?providerFilter=ALL_DSPS&amp;routesFilter=InProgress&amp;selectedDay=2022-06-25&amp;serviceAreaId=efb3b337-840e-46e3-9a0e-5509be030320</t>
  </si>
  <si>
    <t>https://logistics.amazon.co.jp/operations/execution/itineraries?operationView=true&amp;providerFilter=UNASSIGNED&amp;routesFilter=InProgress&amp;selectedDay=2022-07-12&amp;serviceAreaId=fed5a14a-20b9-477c-b1c0-e6b2a8f94d91</t>
  </si>
  <si>
    <t>https://logistics.amazon.co.jp/operations/execution/itineraries?operationView=true&amp;providerFilter=UNASSIGNED&amp;routesFilter=InProgress&amp;selectedDay=2022-07-24&amp;serviceAreaId=b4f2e771-7137-4854-bd31-2cff12a26129</t>
  </si>
  <si>
    <t>https://logistics.amazon.co.jp/operations/execution/itineraries?operationView=true&amp;providerFilter=UNASSIGNED&amp;routesFilter=InProgress&amp;selectedDay=2022-07-27&amp;serviceAreaId=18d4572b-e491-46b6-89c7-71711bb1e3b1</t>
  </si>
  <si>
    <t>https://logistics.amazon.co.jp/operations/execution/itineraries?operationView=true&amp;providerFilter=UNASSIGNED&amp;routesFilter=InProgress&amp;selectedDay=2022-07-27&amp;serviceAreaId=dbff5efb-aa67-408e-bf85-a4b698058de3</t>
  </si>
  <si>
    <t>https://logistics.amazon.co.jp/operations/execution/itineraries?operationView=true&amp;providerFilter=UNASSIGNED&amp;routesFilter=InProgress&amp;selectedDay=2022-07-27&amp;serviceAreaId=699e43be-e9c3-4ca7-92d1-09e561720d2d</t>
  </si>
  <si>
    <t>https://logistics.amazon.co.jp/operations/execution/itineraries?operationView=true&amp;providerFilter=UNASSIGNED&amp;routesFilter=InProgress&amp;selectedDay=2022-07-27&amp;serviceAreaId=f23fe327-edb9-49fb-bccc-03cfda4b0dc6</t>
  </si>
  <si>
    <t>https://logistics.amazon.co.jp/operations/execution/itineraries?operationView=true&amp;providerFilter=UNASSIGNED&amp;routesFilter=InProgress&amp;selectedDay=2022-07-28&amp;serviceAreaId=e33a8a1f-3099-443e-9c72-089b2b1806b0</t>
  </si>
  <si>
    <t>https://logistics.amazon.co.jp/internal/operations/execution/itineraries?provider=ALL_DRIVERS&amp;selectedDay=2024-10-08&amp;serviceAreaId=18ee062c-a292-4678-b167-63676c866602</t>
    <phoneticPr fontId="10"/>
  </si>
  <si>
    <t>https://logistics.amazon.co.jp/operations/execution/itineraries?operationView=true&amp;providerFilter=UNASSIGNED&amp;routesFilter=InProgress&amp;selectedDay=2022-07-28&amp;serviceAreaId=bda61e8b-593b-4d82-b06a-74631b2de0b8</t>
  </si>
  <si>
    <t>https://logistics.amazon.co.jp/operations/execution/itineraries?operationView=true&amp;providerFilter=UNASSIGNED&amp;routesFilter=InProgress&amp;selectedDay=2022-07-31&amp;serviceAreaId=21d7eb81-45fa-4fc6-be2b-180fd8400e0b</t>
  </si>
  <si>
    <t>https://logistics.amazon.co.jp/operations/execution/itineraries?operationView=true&amp;providerFilter=UNASSIGNED&amp;routesFilter=InProgress&amp;selectedDay=2022-07-31&amp;serviceAreaId=30410755-4a54-4f3b-9012-4d1427ad4f3c</t>
  </si>
  <si>
    <t>https://logistics.amazon.co.jp/operations/execution/itineraries?operationView=true&amp;providerFilter=UNASSIGNED&amp;routesFilter=InProgress&amp;selectedDay=2022-07-31&amp;serviceAreaId=e7ff713c-f7ab-4468-8c7f-4db293c2727e</t>
  </si>
  <si>
    <t>https://logistics.amazon.co.jp/internal/operations/execution/itineraries?provider=ALL_DRIVERS&amp;selectedDay=2024-10-08&amp;serviceAreaId=b5673d08-e750-48eb-9f50-e8f624a42b06</t>
  </si>
  <si>
    <t>https://logistics.amazon.co.jp/operations/execution/itineraries?operationView=true&amp;providerFilter=ALL_DSPS&amp;selectedDay=2022-08-03&amp;serviceAreaId=14f5a3c8-5cdb-4713-b303-ce0d954dcdee</t>
  </si>
  <si>
    <t>https://logistics.amazon.co.jp/operations/execution/routes?providerFilter=UNASSIGNED&amp;routesFilter=&amp;selectedDay=2022-12-22&amp;serviceAreaId=ae407948-8b74-4435-bb33-bf900cd4063f&amp;summariesTextFilter=</t>
  </si>
  <si>
    <t>https://logistics.amazon.co.jp/operations/execution/routes?providerFilter=ALL_DSPS&amp;selectedDay=2022-12-24&amp;serviceAreaId=d851b3bb-dc1f-4912-aefc-7153e183ac70</t>
  </si>
  <si>
    <t>https://logistics.amazon.co.jp/operations/execution/itineraries?operationView=true&amp;providerFilter=ALL_DSPS&amp;selectedDay=2022-12-24&amp;serviceAreaId=1fd1df81-556e-453b-aba5-fe38dd66709c</t>
  </si>
  <si>
    <t>https://logistics.amazon.co.jp/operations/execution/itineraries?operationView=true&amp;providerFilter=ALL_DSPS&amp;selectedDay=2022-12-24&amp;serviceAreaId=e1a05c1b-5689-4c7d-9446-fad83f277477</t>
  </si>
  <si>
    <t>https://logistics.amazon.co.jp/operations/execution/itineraries?operationView=true&amp;providerFilter=ALL_DSPS&amp;selectedDay=2022-12-24&amp;serviceAreaId=a8ea0d1f-6538-40cb-8e28-c5d8eca080da</t>
  </si>
  <si>
    <t>https://logistics.amazon.co.jp/operations/execution/itineraries?operationView=true&amp;providerFilter=ALL_DSPS&amp;selectedDay=2022-12-24&amp;serviceAreaId=823b0343-2ec3-4c17-9281-8d629971eb62</t>
  </si>
  <si>
    <t>https://logistics.amazon.co.jp/operations/execution/itineraries?operationView=true&amp;providerFilter=ALL_DSPS&amp;selectedDay=2022-12-24&amp;serviceAreaId=a40af997-1d2b-4252-af40-0b944246497d</t>
  </si>
  <si>
    <t>https://logistics.amazon.co.jp/operations/execution/itineraries?operationView=true&amp;providerFilter=ALL_DSPS&amp;selectedDay=2022-12-24&amp;serviceAreaId=470fece0-1837-411c-b506-d6f317ac1d8d</t>
  </si>
  <si>
    <t>https://logistics.amazon.co.jp/internal/operations/execution/itineraries?provider=ALL_DRIVERS&amp;selectedDay=2024-10-31&amp;serviceAreaId=061aedf3-f0d0-4277-b19f-0508b398ff47</t>
  </si>
  <si>
    <t>JMA2</t>
  </si>
  <si>
    <t>https://logistics.amazon.co.jp/operations/execution/itineraries?operationView=true&amp;providerFilter=UNASSIGNED&amp;routesFilter=InProgress&amp;selectedDay=2023-06-17&amp;serviceAreaId=eaf81d81-f857-4681-9941-8e0bb6a4aa1c</t>
  </si>
  <si>
    <t>JMA3</t>
  </si>
  <si>
    <t>https://logistics.amazon.co.jp/operations/execution/itineraries?operationView=true&amp;providerFilter=UNASSIGNED&amp;routesFilter=InProgress&amp;selectedDay=2023-06-17&amp;serviceAreaId=cda79656-1068-4cdc-85e2-4783a5497f3b</t>
  </si>
  <si>
    <t>https://logistics.amazon.co.jp/operations/execution/routes?providerFilter=ALL_DSPS&amp;routesFilter=InProgress&amp;selectedDay=2022-06-24&amp;serviceAreaId=d0b0f5f1-d31e-487d-b6d4-d70783e71024</t>
  </si>
  <si>
    <t>https://logistics.amazon.co.jp/operations/execution/itineraries?operationView=true&amp;providerFilter=UNASSIGNED&amp;routesFilter=InProgress&amp;selectedDay=2022-06-27&amp;serviceAreaId=aa76c571-7276-45b9-b018-597a0faa8bda</t>
  </si>
  <si>
    <t>https://logistics.amazon.co.jp/operations/execution/itineraries?operationView=true&amp;providerFilter=UNASSIGNED&amp;routesFilter=InProgress&amp;selectedDay=2022-07-12&amp;serviceAreaId=45f84225-5ada-4a39-8e00-8398d192fd79</t>
  </si>
  <si>
    <t>https://logistics.amazon.co.jp/operations/execution/itineraries?operationView=true&amp;providerFilter=UNASSIGNED&amp;routesFilter=InProgress&amp;selectedDay=2022-07-24&amp;serviceAreaId=304d46de-0ce8-41d5-b1a5-aff70cfbfa25</t>
  </si>
  <si>
    <t>https://logistics.amazon.co.jp/operations/execution/itineraries?operationView=true&amp;providerFilter=UNASSIGNED&amp;routesFilter=InProgress&amp;selectedDay=2022-07-27&amp;serviceAreaId=0e96e6e2-8472-477b-9ef5-c520ea2a56fd</t>
  </si>
  <si>
    <t>https://logistics.amazon.co.jp/operations/execution/itineraries?operationView=true&amp;providerFilter=UNASSIGNED&amp;routesFilter=InProgress&amp;selectedDay=2022-07-28&amp;serviceAreaId=1e1dfaa0-8a70-4622-b580-4ab466294ba5</t>
  </si>
  <si>
    <t>https://logistics.amazon.co.jp/operations/execution/itineraries?operationView=true&amp;providerFilter=UNASSIGNED&amp;routesFilter=InProgress&amp;selectedDay=2022-07-28&amp;serviceAreaId=18ee062c-a292-4678-b167-63676c866602</t>
  </si>
  <si>
    <t>https://logistics.amazon.co.jp/operations/execution/itineraries?operationView=true&amp;providerFilter=UNASSIGNED&amp;routesFilter=InProgress&amp;selectedDay=2022-07-31&amp;serviceAreaId=b5673d08-e750-48eb-9f50-e8f624a42b06</t>
  </si>
  <si>
    <t>https://logistics.amazon.co.jp/operations/execution/itineraries?operationView=true&amp;providerFilter=UNASSIGNED&amp;routesFilter=InProgress&amp;selectedDay=2022-08-01&amp;serviceAreaId=4ecf2954-d74d-4aee-9ced-81ef1b313038</t>
  </si>
  <si>
    <t>https://logistics.amazon.co.jp/operations/execution/itineraries?operationView=true&amp;providerFilter=ALL_DSPS&amp;selectedDay=2022-08-15&amp;serviceAreaId=fc8a39e7-7b05-4363-83d7-9255c46fcc4b</t>
  </si>
  <si>
    <t>https://logistics.amazon.co.jp/operations/execution/itineraries?operationView=true&amp;providerFilter=ALL_DSPS&amp;selectedDay=2022-12-24&amp;serviceAreaId=da41c446-9a10-4b0c-b96a-e9f23421e5d7</t>
  </si>
  <si>
    <t>https://logistics.amazon.co.jp/operations/execution/itineraries?operationView=true&amp;providerFilter=ALL_DSPS&amp;selectedDay=2022-12-24&amp;serviceAreaId=def2c6fb-c67f-4b5d-af70-71b46d579b80</t>
  </si>
  <si>
    <t>https://logistics.amazon.co.jp/operations/execution/itineraries?operationView=true&amp;providerFilter=ALL_DSPS&amp;selectedDay=2022-12-24&amp;serviceAreaId=276e96be-cf6c-4bc0-a589-044779fb2581</t>
  </si>
  <si>
    <t>https://logistics.amazon.co.jp/operations/execution/itineraries?operationView=true&amp;providerFilter=ALL_DSPS&amp;selectedDay=2022-12-24&amp;serviceAreaId=f7b5e420-630e-40e7-9abe-2e80847939a9</t>
  </si>
  <si>
    <t>https://logistics.amazon.co.jp/operations/execution/itineraries?operationView=true&amp;providerFilter=ALL_DSPS&amp;selectedDay=2022-12-24&amp;serviceAreaId=061aedf3-f0d0-4277-b19f-0508b398ff47</t>
  </si>
  <si>
    <t>https://logistics.amazon.co.jp/operations/execution/itineraries?operationView=true&amp;providerFilter=ALL_DSPS&amp;selectedDay=2022-12-24&amp;serviceAreaId=6e2e8866-2db9-461e-b371-70c3c8e1950b</t>
  </si>
  <si>
    <t>https://logistics.amazon.co.jp/operations/execution/itineraries?operationView=true&amp;providerFilter=UNASSIGNED&amp;routesFilter=InProgress&amp;selectedDay=2024-02-26&amp;serviceAreaId=3a58ac61-870f-41e7-8f21-a30499f303e3</t>
  </si>
  <si>
    <t>https://logistics.amazon.co.jp/operations/execution/itineraries?cortexv2=true&amp;operationView=true&amp;progressStatusFilterValue&amp;providerFilter=ALL_DPS&amp;selectedDay=2024-03-05&amp;serviceAreaId=ddf1c2ec-20c2-43d0-88a2-71adac7b1f45</t>
  </si>
  <si>
    <t>https://logistics.amazon.co.jp/operations/execution/itineraries?cortexv2=true&amp;operationView=true&amp;progressStatusFilterValue&amp;providerFilter=ALL_DPS&amp;selectedDay=2024-03-05&amp;serviceAreaId=83470f8d-6344-4f6d-b2b8-7408698a8be9</t>
  </si>
  <si>
    <t>https://logistics.amazon.co.jp/operations/execution/itineraries?cortexv2=true&amp;operationView=true&amp;progressStatusFilterValue&amp;providerFilter=ALL_DPS&amp;selectedDay=2024-03-05&amp;serviceAreaId=946af397-1cf4-4eeb-881e-68e0de41b49a</t>
  </si>
  <si>
    <t>https://logistics.amazon.co.jp/operations/execution/itineraries?cortexv2=true&amp;operationView=true&amp;progressStatusFilterValue&amp;providerFilter=ALL_DPS&amp;selectedDay=2024-03-12&amp;serviceAreaId=729e869e-0e78-4cb7-aa60-d09f50d4aa7c</t>
  </si>
  <si>
    <t>https://logistics.amazon.co.jp/operations/execution/itineraries?cortexv2=true&amp;operationView=true&amp;progressStatusFilterValue&amp;providerFilter=ALL_DPS&amp;selectedDay=2024-03-12&amp;serviceAreaId=c76a63a2-418c-4d5b-963d-e229226edc9d</t>
  </si>
  <si>
    <t>https://logistics.amazon.co.jp/operations/execution/itineraries?cortexv2=true&amp;operationView=true&amp;progressStatusFilterValue&amp;providerFilter=ALL_DPS&amp;selectedDay=2024-03-12&amp;serviceAreaId=49c51e9e-60ef-437f-9f2d-8b02a860bc72</t>
  </si>
  <si>
    <t>https://logistics.amazon.co.jp/operations/execution/itineraries?cortexv2=true&amp;operationView=true&amp;progressStatusFilterValue&amp;providerFilter=ALL_DPS&amp;selectedDay=2024-03-12&amp;serviceAreaId=de22bc32-1b96-40e9-ac20-0f8b0fd6fcb4</t>
  </si>
  <si>
    <t>https://logistics.amazon.co.jp/operations/execution/itineraries?cortexv2=true&amp;operationView=true&amp;progressStatusFilterValue&amp;providerFilter=ALL_DPS&amp;selectedDay=2024-03-12&amp;serviceAreaId=2547c690-4b46-4e07-8c6f-4a4d559f34c5</t>
  </si>
  <si>
    <t>https://logistics.amazon.co.jp/operations/execution/itineraries?cortexv2=true&amp;operationView=true&amp;progressStatusFilterValue&amp;providerFilter=ALL_DPS&amp;selectedDay=2024-03-12&amp;serviceAreaId=d05c0ab9-85eb-4543-9388-e2a87c1353a5</t>
  </si>
  <si>
    <t>https://logistics.amazon.co.jp/operations/execution/itineraries?cortexv2=true&amp;operationView=true&amp;progressStatusFilterValue&amp;providerFilter=ALL_DPS&amp;selectedDay=2024-03-12&amp;serviceAreaId=0c757662-ae86-46a9-a516-fda1da7ac738</t>
  </si>
  <si>
    <t>https://logistics.amazon.co.jp/operations/execution/itineraries?cortexv2=true&amp;operationView=true&amp;progressStatusFilterValue&amp;providerFilter=ALL_DPS&amp;selectedDay=2024-03-09&amp;serviceAreaId=94a4cdee-bfc8-4347-8bee-2df0295f0910</t>
  </si>
  <si>
    <t>https://logistics.amazon.co.jp/internal/operations/execution/itineraries?operationView=true&amp;provider=ALL_DRIVERS&amp;selectedDay=2024-06-14&amp;serviceAreaId=d0335ca8-4629-4968-a456-198f6f8788c3</t>
  </si>
  <si>
    <t>https://logistics.amazon.co.jp/operations/execution/itineraries?operationView=true&amp;provider=ALL_DRIVERS&amp;providerFilter=UNASSIGNED&amp;routesFilter=InProgress&amp;selectedDay=2024-05-04&amp;serviceAreaId=3f927836-fa6e-499a-b653-bccc904f1bf5</t>
  </si>
  <si>
    <t>https://logistics.amazon.co.jp/operations/execution/itineraries?operationView=true&amp;provider=ALL_DRIVERS&amp;providerFilter=UNASSIGNED&amp;routesFilter=InProgress&amp;selectedDay=2024-05-04&amp;serviceAreaId=ff86ad37-2dd7-4a46-9f09-d8ca77df800f</t>
  </si>
  <si>
    <t>https://logistics.amazon.co.jp/operations/execution/itineraries?operationView=true&amp;provider=ALL_DRIVERS&amp;providerFilter=UNASSIGNED&amp;routesFilter=InProgress&amp;selectedDay=2024-05-04&amp;serviceAreaId=819fae7a-cb02-44c2-a66b-6dfa0e502e8f</t>
  </si>
  <si>
    <t>https://logistics.amazon.co.jp/internal/operations/execution/itineraries?operationView=true&amp;provider=ALL_DRIVERS&amp;selectedDay=2024-10-04&amp;serviceAreaId=d53b4a2b-cf28-4f7e-b927-fea3009b1921</t>
  </si>
  <si>
    <t>https://logistics.amazon.co.jp/operations/execution/itineraries?cortexv2=true&amp;operationView=true&amp;progressStatusFilterValue&amp;provider=ALL_DRIVERS&amp;providerFilter=ALL_DRIVERS&amp;selectedDay=2024-04-17&amp;serviceAreaId=9e7ce4d8-599a-44fb-8d9e-d69346ff933c</t>
  </si>
  <si>
    <t>https://logistics.amazon.co.jp/operations/execution/itineraries?cortexv2=true&amp;operationView=true&amp;progressStatusFilterValue&amp;providerFilter=ALL_DRIVERS&amp;selectedDay=2024-03-15&amp;serviceAreaId=b0ca1208-cfa4-4e52-907f-4845e000ec0b</t>
  </si>
  <si>
    <t>JLB2</t>
  </si>
  <si>
    <t>https://logistics.amazon.co.jp/operations/execution/itineraries?cortexv2=true&amp;operationView=true&amp;progressStatusFilterValue&amp;providerFilter=ALL_DPS&amp;selectedDay=2024-03-16&amp;serviceAreaId=ddf1c2ec-20c2-43d0-88a2-71adac7b1f45</t>
  </si>
  <si>
    <t>https://logistics.amazon.co.jp/operations/execution/itineraries?operationView=true&amp;providerFilter=UNASSIGNED&amp;routesFilter=InProgress&amp;selectedDay=2024-03-19&amp;serviceAreaId=81f67534-5398-4bb9-be61-eb89459bb69b</t>
  </si>
  <si>
    <t>https://logistics.amazon.co.jp/operations/execution/itineraries?operationView=true&amp;providerFilter=UNASSIGNED&amp;routesFilter=InProgress&amp;selectedDay=2024-03-19&amp;serviceAreaId=80e79bfd-75f3-4ac1-8885-908499427d28</t>
  </si>
  <si>
    <t>https://logistics.amazon.co.jp/operations/execution/itineraries?operationView=true&amp;providerFilter=UNASSIGNED&amp;routesFilter=InProgress&amp;selectedDay=2024-03-19&amp;serviceAreaId=ff638af1-2524-4b1e-9bff-9285baf9bd57</t>
  </si>
  <si>
    <t>https://logistics.amazon.co.jp/operations/execution/itineraries?operationView=true&amp;providerFilter=UNASSIGNED&amp;routesFilter=InProgress&amp;selectedDay=2024-03-19&amp;serviceAreaId=93cadf83-9c79-4888-9b33-17b47378b577</t>
  </si>
  <si>
    <t>https://logistics.amazon.co.jp/operations/execution/itineraries?operationView=true&amp;providerFilter=UNASSIGNED&amp;routesFilter=InProgress&amp;selectedDay=2024-03-19&amp;serviceAreaId=d876261a-84b4-41f1-aa4b-e55cd43de0d1</t>
  </si>
  <si>
    <t>https://logistics.amazon.co.jp/operations/execution/itineraries?operationView=true&amp;providerFilter=UNASSIGNED&amp;routesFilter=InProgress&amp;selectedDay=2024-03-19&amp;serviceAreaId=a54db9a3-9906-46d4-9ac2-b2a5cb22ddce</t>
  </si>
  <si>
    <t>https://logistics.amazon.co.jp/operations/execution/itineraries?operationView=true&amp;providerFilter=UNASSIGNED&amp;routesFilter=InProgress&amp;selectedDay=2024-03-19&amp;serviceAreaId=4b7b0cbc-a5be-44ff-8983-f1aad359a2b1</t>
  </si>
  <si>
    <t>https://logistics.amazon.co.jp/operations/execution/itineraries?operationView=true&amp;providerFilter=UNASSIGNED&amp;routesFilter=InProgress&amp;selectedDay=2024-03-19&amp;serviceAreaId=ec5c4c63-614a-478e-8860-21e95b79a195</t>
  </si>
  <si>
    <t>https://logistics.amazon.co.jp/operations/execution/itineraries?operationView=true&amp;providerFilter=UNASSIGNED&amp;routesFilter=InProgress&amp;selectedDay=2024-03-19&amp;serviceAreaId=4f29aee9-0620-4c6c-8ec6-c881bf9e2c98</t>
  </si>
  <si>
    <t>https://logistics.amazon.co.jp/internal/operations/execution/itineraries?operationView=true&amp;provider=ALL_DRIVERS&amp;selectedDay=2024-06-14&amp;serviceAreaId=8251c561-b077-4a61-b1bc-b4372542f95c</t>
  </si>
  <si>
    <t>https://logistics.amazon.co.jp/internal/operations/execution/itineraries?operationView=true&amp;provider=ALL_DRIVERS&amp;selectedDay=2024-06-14&amp;serviceAreaId=c9c61759-a9bd-49cc-8115-ff3e448ef9ec</t>
  </si>
  <si>
    <t>https://logistics.amazon.co.jp/internal/operations/execution/itineraries?operationView=true&amp;provider=ALL_DRIVERS&amp;selectedDay=2024-06-14&amp;serviceAreaId=40ed7c89-dfa4-4beb-832c-13bca8f04e9c</t>
  </si>
  <si>
    <t>JLE6</t>
  </si>
  <si>
    <t>https://logistics.amazon.co.jp/internal/operations/execution/itineraries?operationView=true&amp;provider=ALL_DRIVERS&amp;selectedDay=2024-06-14&amp;serviceAreaId=9ff2f4d5-512f-4645-8428-dc7ecdf0e4b1</t>
  </si>
  <si>
    <t>https://logistics.amazon.co.jp/internal/operations/execution/itineraries?operationView=true&amp;provider=ALL_DRIVERS&amp;selectedDay=2024-06-14&amp;serviceAreaId=5355ab25-a28e-4e47-af0f-212675234bbf</t>
  </si>
  <si>
    <t>JLB7</t>
  </si>
  <si>
    <t>https://logistics.amazon.co.jp/operations/execution/itineraries?operationView=true&amp;providerFilter=UNASSIGNED&amp;routesFilter=InProgress&amp;selectedDay=2024-04-02&amp;serviceAreaId=37c4e595-a471-41c4-9ea4-648558981796</t>
  </si>
  <si>
    <t>https://logistics.amazon.co.jp/internal/operations/execution/itineraries?operationView=true&amp;provider=ALL_DRIVERS&amp;selectedDay=2024-09-10&amp;serviceAreaId=7e973a5c-6540-475c-8629-1045639f6982</t>
  </si>
  <si>
    <t>https://logistics.amazon.co.jp/operations/execution/itineraries?cortexv2=true&amp;operationView=true&amp;progressStatusFilterValue&amp;providerFilter=ALL_DPS&amp;selectedDay=2024-04-09&amp;serviceAreaId=4103f386-ae0f-4dd8-ac7f-3cfc67c8a327</t>
  </si>
  <si>
    <t>https://logistics.amazon.co.jp/operations/execution/itineraries?operationView=true&amp;provider=ALL_DRIVERS&amp;providerFilter=UNASSIGNED&amp;routesFilter=&amp;selectedDay=2024-05-21&amp;serviceAreaId=0b241e4a-1858-4278-bcf0-f492c4e87199</t>
  </si>
  <si>
    <t>https://logistics.amazon.co.jp/internal/operations/execution/itineraries?operationView=true&amp;provider=ALL_DRIVERS&amp;selectedDay=2024-07-14&amp;serviceAreaId=51c33fc9-ad2b-4b32-851d-8570f8fd4f25</t>
  </si>
  <si>
    <t>https://logistics.amazon.co.jp/internal/operations/execution/itineraries?operationView=true&amp;provider=ALL_DRIVERS&amp;selectedDay=2024-07-15&amp;serviceAreaId=cc56da96-1cf0-4e9d-ab9b-e0a24613803f</t>
    <phoneticPr fontId="10"/>
  </si>
  <si>
    <t>https://logistics.amazon.co.jp/internal/operations/execution/itineraries?operationView=true&amp;provider=ALL_DRIVERS&amp;routesFilter=mx&amp;selectedDay=2024-07-16&amp;serviceAreaId=e43f00ca-06f9-4ee2-b8d5-58a10c4cfbed</t>
  </si>
  <si>
    <t>https://logistics.amazon.co.jp/internal/operations/execution/itineraries?operationView=true&amp;provider=ALL_DRIVERS&amp;routesFilter=mx&amp;selectedDay=2024-07-16&amp;serviceAreaId=e74b1813-6749-46e8-8a03-2e78bb88af8e</t>
  </si>
  <si>
    <t>https://logistics.amazon.co.jp/internal/operations/execution/itineraries?operationView=true&amp;provider=ALL_DRIVERS&amp;selectedDay=2024-08-14&amp;serviceAreaId=1d0075ee-ec09-4c66-83f3-f3b9a8aa9cf3</t>
  </si>
  <si>
    <t>https://logistics.amazon.co.jp/internal/operations/execution/dv/routes?provider=ALL_DRIVERS&amp;selectedDay=2025-02-12&amp;serviceAreaId=1b01d473-fd64-4152-a546-b2b09f84eba3</t>
  </si>
  <si>
    <t>JLF1</t>
  </si>
  <si>
    <t>https://logistics.amazon.co.jp/internal/operations/execution/itineraries?operationView=true&amp;provider=ALL_DRIVERS&amp;selectedDay=2024-08-27&amp;serviceAreaId=391817c2-af3a-4881-85ae-6d17290de137</t>
    <phoneticPr fontId="10"/>
  </si>
  <si>
    <t>JLF3</t>
  </si>
  <si>
    <t>https://logistics.amazon.co.jp/internal/operations/execution/itineraries?operationView=true&amp;provider=ALL_DRIVERS&amp;selectedDay=2024-08-27&amp;serviceAreaId=71b8b006-8e5d-4149-b745-451ef7e7c02b</t>
  </si>
  <si>
    <t>https://logistics.amazon.co.jp/internal/operations/execution/itineraries?operationView=true&amp;provider=ALL_DRIVERS&amp;selectedDay=2024-09-04&amp;serviceAreaId=3aff95c8-bb13-4a87-96d9-aff06b9b205f</t>
    <phoneticPr fontId="10"/>
  </si>
  <si>
    <t>https://logistics.amazon.co.jp/internal/operations/execution/itineraries?operationView=true&amp;provider=ALL_DRIVERS&amp;selectedDay=2024-09-08&amp;serviceAreaId=2fde8664-eb33-4c2c-a406-532fd037b810</t>
  </si>
  <si>
    <t>https://logistics.amazon.co.jp/internal/operations/execution/itineraries?operationView=true&amp;provider=ALL_DRIVERS&amp;selectedDay=2024-09-10&amp;serviceAreaId=7ba1b7d4-0fc3-437f-b7e6-71e268691f65</t>
  </si>
  <si>
    <t>https://logistics.amazon.co.jp/internal/operations/execution/itineraries?operationView=true&amp;provider=ALL_DRIVERS&amp;selectedDay=2024-09-10&amp;serviceAreaId=93a608be-fe75-48b2-8cdf-a87e0aa20066</t>
  </si>
  <si>
    <t>OCJ7</t>
    <phoneticPr fontId="10"/>
  </si>
  <si>
    <t>https://logistics.amazon.co.jp/internal/operations/execution/itineraries?operationView=true&amp;provider=ALL_DRIVERS&amp;selectedDay=2024-09-10&amp;serviceAreaId=cb1ccc79-0dd8-4e8e-a1de-1f709007424f</t>
  </si>
  <si>
    <t>https://logistics.amazon.co.jp/internal/operations/execution/itineraries?operationView=true&amp;provider=ALL_DRIVERS&amp;selectedDay=2024-09-11&amp;serviceAreaId=db031f70-ea25-4fce-bda0-a619601fa7f5</t>
  </si>
  <si>
    <t>https://logistics.amazon.co.jp/internal/operations/execution/itineraries?operationView=true&amp;provider=ALL_DRIVERS&amp;selectedDay=2024-09-13&amp;serviceAreaId=f22f9db5-360c-41b8-b86b-5b9e8d166737</t>
    <phoneticPr fontId="10"/>
  </si>
  <si>
    <t>OOW2</t>
    <phoneticPr fontId="10"/>
  </si>
  <si>
    <t>https://logistics.amazon.co.jp/internal/operations/execution/itineraries?operationView=true&amp;provider=ALL_DRIVERS&amp;selectedDay=2024-09-17&amp;serviceAreaId=1a5f120f-4253-4c26-bb85-4e6ba47f1f90</t>
  </si>
  <si>
    <t>https://logistics.amazon.co.jp/internal/operations/execution/itineraries?operationView=true&amp;provider=ALL_DRIVERS&amp;selectedDay=2024-09-24&amp;serviceAreaId=64fc2e6a-bf7d-4e5f-b9c6-464289daa809</t>
  </si>
  <si>
    <t>https://logistics.amazon.co.jp/internal/operations/execution/itineraries?operationView=true&amp;provider=ALL_DRIVERS&amp;selectedDay=2024-06-14&amp;serviceAreaId=bcc45cff-7379-4603-bbe9-193c141d2d96</t>
    <phoneticPr fontId="10"/>
  </si>
  <si>
    <t>https://logistics.amazon.co.jp/internal/operations/execution/itineraries?operationView=true&amp;provider=ALL_DRIVERS&amp;selectedDay=2024-10-01&amp;serviceAreaId=4ff15d30-941e-4046-8db0-99cd5fe84f1d</t>
  </si>
  <si>
    <t>https://logistics.amazon.co.jp/internal/operations/execution/itineraries?operationView=true&amp;provider=ALL_DRIVERS&amp;selectedDay=2024-10-01&amp;serviceAreaId=5730fe55-e085-47b0-9d90-368a2f262ccb</t>
  </si>
  <si>
    <t>https://logistics.amazon.co.jp/internal/operations/execution/itineraries?operationView=true&amp;provider=ALL_DRIVERS&amp;selectedDay=2024-10-05&amp;serviceAreaId=b97f4323-b659-475e-afbf-924f72d1bb28</t>
  </si>
  <si>
    <t>https://logistics.amazon.co.jp/internal/operations/execution/itineraries?operationView=true&amp;provider=ALL_DRIVERS&amp;selectedDay=2024-10-09&amp;serviceAreaId=e0de3453-89ca-4961-8f74-5980f5579fbf</t>
    <phoneticPr fontId="10"/>
  </si>
  <si>
    <t>https://logistics.amazon.co.jp/internal/operations/execution/itineraries?operationView=true&amp;provider=ALL_DRIVERS&amp;selectedDay=2024-10-09&amp;serviceAreaId=9c3143b2-9d73-45e4-8f4a-a77f9598d078</t>
  </si>
  <si>
    <t>https://logistics.amazon.co.jp/internal/operations/execution/itineraries?operationView=true&amp;provider=ALL_DRIVERS&amp;selectedDay=2024-10-09&amp;serviceAreaId=96029db4-7254-4aa8-938c-a916d70615ae</t>
  </si>
  <si>
    <t>https://logistics.amazon.co.jp/internal/operations/execution/itineraries?operationView=true&amp;provider=ALL_DRIVERS&amp;selectedDay=2024-10-09&amp;serviceAreaId=de274d4e-f586-44d6-8716-0dc6ce739500</t>
  </si>
  <si>
    <t>https://logistics.amazon.co.jp/internal/operations/execution/itineraries?operationView=true&amp;provider=ALL_DRIVERS&amp;selectedDay=2024-11-11&amp;serviceAreaId=ef51b76f-f31b-43cd-a4e4-b3111a78d952</t>
  </si>
  <si>
    <t>https://logistics.amazon.co.jp/internal/operations/execution/dv/routes?provider=ALL_DRIVERS&amp;providerFilter=ALL_DSPS&amp;selectedDay=2024-11-18&amp;serviceAreaId=8f5394a9-c33f-48bb-9681-1a18002e586a</t>
  </si>
  <si>
    <t>https://logistics.amazon.co.jp/internal/operations/execution/itineraries?operationView=true&amp;provider=ALL_DRIVERS&amp;selectedDay=2025-01-09&amp;serviceAreaId=550c5816-ff49-44b8-9776-4ce3e376e62d</t>
  </si>
  <si>
    <t>https://logistics.amazon.co.jp/internal/operations/execution/itineraries?operationView=true&amp;provider=ALL_DRIVERS&amp;selectedDay=2025-01-09&amp;serviceAreaId=a5723567-d1c6-4874-918c-cf82c14e9375</t>
  </si>
  <si>
    <t>https://logistics.amazon.co.jp/internal/operations/execution/itineraries?operationView=true&amp;provider=ALL_DRIVERS&amp;selectedDay=2025-04-04&amp;serviceAreaId=f4807e4a-e5fa-4332-9f5c-3be7961c1e05</t>
  </si>
  <si>
    <t>https://logistics.amazon.co.jp/internal/operations/execution/itineraries?operationView=true&amp;provider=ALL_DRIVERS&amp;selectedDay=2025-04-04&amp;serviceAreaId=4026ab3e-84be-426c-a4fb-e009fa0cb698</t>
  </si>
  <si>
    <t>https://logistics.amazon.co.jp/internal/operations/execution/itineraries?operationView=true&amp;provider=ALL_DRIVERS&amp;selectedDay=2025-04-12&amp;serviceAreaId=0d793b93-52d8-4f61-8369-256e68b5d5f0</t>
    <phoneticPr fontId="4"/>
  </si>
  <si>
    <t>https://logistics.amazon.co.jp/internal/operations/execution/itineraries?operationView=true&amp;provider=ALL_DRIVERS&amp;selectedDay=2025-04-16&amp;serviceAreaId=7c179644-2819-4b6f-8460-8e052f3818cb</t>
  </si>
  <si>
    <t>DOW2</t>
    <phoneticPr fontId="4"/>
  </si>
  <si>
    <t>https://logistics.amazon.co.jp/internal/operations/execution/itineraries?operationView=true&amp;provider=ALL_DRIVERS&amp;selectedDay=2025-04-22&amp;serviceAreaId=6bc97676-ee0e-4d92-a500-d337bec70da1</t>
  </si>
  <si>
    <t>OHR5</t>
    <phoneticPr fontId="4"/>
  </si>
  <si>
    <t>https://logistics.amazon.co.jp/internal/operations/execution/itineraries?operationView=true&amp;provider=ALL_DRIVERS&amp;selectedDay=2024-06-14&amp;serviceAreaId=9d843565-9ed4-4ad5-9937-351ab940f21e</t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</si>
</sst>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h:mm;@"/>
    <numFmt numFmtId="177" formatCode="0_);[Red]\(0\)"/>
  </numFmts>
  <fonts count="184" x14ac:knownFonts="1">
    <font>
      <sz val="11"/>
      <color theme="1"/>
      <name val="游ゴシック"/>
      <family val="2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10"/>
      <color theme="1"/>
      <name val="Meiryo UI"/>
      <family val="2"/>
      <charset val="128"/>
    </font>
    <font>
      <sz val="9"/>
      <color theme="1"/>
      <name val="Meiryo UI"/>
      <family val="3"/>
      <charset val="128"/>
    </font>
    <font>
      <sz val="6"/>
      <name val="游ゴシック"/>
      <family val="2"/>
      <charset val="128"/>
      <scheme val="minor"/>
    </font>
    <font>
      <i/>
      <sz val="9"/>
      <name val="Meiryo UI"/>
      <family val="3"/>
      <charset val="128"/>
    </font>
    <font>
      <sz val="9"/>
      <name val="Meiryo UI"/>
      <family val="3"/>
      <charset val="128"/>
    </font>
    <font>
      <sz val="9"/>
      <color rgb="FF000000"/>
      <name val="Meiryo UI"/>
      <family val="3"/>
      <charset val="128"/>
    </font>
    <font>
      <sz val="10"/>
      <color theme="1"/>
      <name val="Meiryo UI"/>
      <family val="3"/>
      <charset val="128"/>
    </font>
    <font>
      <b/>
      <sz val="16"/>
      <color rgb="FFFF0000"/>
      <name val="Meiryo UI"/>
      <family val="3"/>
      <charset val="128"/>
    </font>
    <font>
      <sz val="6"/>
      <name val="游ゴシック"/>
      <family val="3"/>
      <charset val="128"/>
      <scheme val="minor"/>
    </font>
    <font>
      <b/>
      <sz val="24"/>
      <name val="Meiryo UI"/>
      <family val="3"/>
      <charset val="128"/>
    </font>
    <font>
      <b/>
      <sz val="20"/>
      <name val="Meiryo UI"/>
      <family val="3"/>
      <charset val="128"/>
    </font>
    <font>
      <sz val="6"/>
      <name val="Meiryo UI"/>
      <family val="2"/>
      <charset val="128"/>
    </font>
    <font>
      <b/>
      <sz val="24"/>
      <color rgb="FF000000"/>
      <name val="Meiryo UI"/>
      <family val="3"/>
      <charset val="128"/>
    </font>
    <font>
      <b/>
      <sz val="9"/>
      <name val="Meiryo UI"/>
      <family val="3"/>
      <charset val="128"/>
    </font>
    <font>
      <b/>
      <sz val="11"/>
      <name val="Meiryo UI"/>
      <family val="3"/>
      <charset val="128"/>
    </font>
    <font>
      <b/>
      <sz val="10"/>
      <name val="Meiryo UI"/>
      <family val="3"/>
      <charset val="128"/>
    </font>
    <font>
      <b/>
      <sz val="12"/>
      <color theme="0"/>
      <name val="Meiryo UI"/>
      <family val="3"/>
      <charset val="128"/>
    </font>
    <font>
      <b/>
      <sz val="9"/>
      <color rgb="FF000000"/>
      <name val="Meiryo UI"/>
      <family val="2"/>
      <charset val="128"/>
    </font>
    <font>
      <b/>
      <sz val="10"/>
      <color rgb="FF000000"/>
      <name val="Meiryo UI"/>
      <family val="3"/>
      <charset val="128"/>
    </font>
    <font>
      <b/>
      <sz val="10"/>
      <color theme="1"/>
      <name val="Meiryo UI"/>
      <family val="3"/>
      <charset val="128"/>
    </font>
    <font>
      <u/>
      <sz val="8"/>
      <color theme="10"/>
      <name val="Meiryo UI"/>
      <family val="3"/>
      <charset val="128"/>
    </font>
    <font>
      <b/>
      <sz val="10"/>
      <color theme="0"/>
      <name val="Meiryo UI"/>
      <family val="3"/>
      <charset val="128"/>
    </font>
    <font>
      <b/>
      <sz val="11"/>
      <color rgb="FF000000"/>
      <name val="Meiryo UI"/>
      <family val="3"/>
      <charset val="128"/>
    </font>
    <font>
      <b/>
      <sz val="11"/>
      <color rgb="FF000000"/>
      <name val="Meiryo UI"/>
      <family val="2"/>
      <charset val="128"/>
    </font>
    <font>
      <b/>
      <sz val="8"/>
      <name val="Meiryo UI"/>
      <family val="3"/>
      <charset val="128"/>
    </font>
    <font>
      <b/>
      <sz val="15"/>
      <color rgb="FFC00000"/>
      <name val="Meiryo UI"/>
      <family val="3"/>
      <charset val="128"/>
    </font>
    <font>
      <b/>
      <sz val="15"/>
      <color rgb="FFFF0000"/>
      <name val="Meiryo UI"/>
      <family val="3"/>
      <charset val="128"/>
    </font>
    <font>
      <b/>
      <sz val="8"/>
      <color rgb="FF000000"/>
      <name val="Meiryo UI"/>
      <family val="3"/>
      <charset val="128"/>
    </font>
    <font>
      <b/>
      <sz val="12"/>
      <name val="Meiryo UI"/>
      <family val="3"/>
      <charset val="128"/>
    </font>
    <font>
      <b/>
      <sz val="16"/>
      <name val="Meiryo UI"/>
      <family val="3"/>
      <charset val="128"/>
    </font>
    <font>
      <b/>
      <sz val="16"/>
      <color rgb="FFC00000"/>
      <name val="Meiryo UI"/>
      <family val="3"/>
      <charset val="128"/>
    </font>
    <font>
      <sz val="9"/>
      <color theme="1"/>
      <name val="Meiryo UI"/>
      <family val="2"/>
      <charset val="128"/>
    </font>
    <font>
      <u/>
      <sz val="11"/>
      <color theme="10"/>
      <name val="游ゴシック"/>
      <family val="3"/>
      <charset val="128"/>
      <scheme val="minor"/>
    </font>
    <font>
      <b/>
      <sz val="9"/>
      <color rgb="FFC00000"/>
      <name val="Meiryo UI"/>
      <family val="3"/>
      <charset val="128"/>
    </font>
    <font>
      <b/>
      <sz val="9"/>
      <color theme="1"/>
      <name val="Meiryo UI"/>
      <family val="3"/>
      <charset val="128"/>
    </font>
    <font>
      <b/>
      <sz val="9"/>
      <color rgb="FF000000"/>
      <name val="Meiryo UI"/>
      <family val="3"/>
      <charset val="128"/>
    </font>
    <font>
      <b/>
      <sz val="9"/>
      <color rgb="FFFF0000"/>
      <name val="Meiryo UI"/>
      <family val="3"/>
      <charset val="128"/>
    </font>
    <font>
      <b/>
      <sz val="8"/>
      <color rgb="FFC00000"/>
      <name val="Meiryo UI"/>
      <family val="3"/>
      <charset val="128"/>
    </font>
    <font>
      <b/>
      <sz val="9"/>
      <color rgb="FFA50021"/>
      <name val="Meiryo UI"/>
      <family val="3"/>
      <charset val="128"/>
    </font>
    <font>
      <b/>
      <sz val="10"/>
      <color rgb="FFFF0000"/>
      <name val="Meiryo UI"/>
      <family val="3"/>
      <charset val="128"/>
    </font>
    <font>
      <b/>
      <sz val="10"/>
      <color rgb="FFC00000"/>
      <name val="Meiryo UI"/>
      <family val="3"/>
      <charset val="128"/>
    </font>
    <font>
      <b/>
      <sz val="8"/>
      <color theme="4" tint="-0.499984740745262"/>
      <name val="Meiryo UI"/>
      <family val="3"/>
      <charset val="128"/>
    </font>
    <font>
      <b/>
      <sz val="8"/>
      <color rgb="FFFF0000"/>
      <name val="Meiryo UI"/>
      <family val="3"/>
      <charset val="128"/>
    </font>
    <font>
      <b/>
      <sz val="14"/>
      <color theme="1"/>
      <name val="Meiryo UI"/>
      <family val="3"/>
      <charset val="128"/>
    </font>
    <font>
      <b/>
      <sz val="9"/>
      <color theme="4" tint="-0.499984740745262"/>
      <name val="Meiryo UI"/>
      <family val="3"/>
      <charset val="128"/>
    </font>
    <font>
      <b/>
      <u/>
      <sz val="9"/>
      <color theme="1"/>
      <name val="Meiryo UI"/>
      <family val="3"/>
      <charset val="128"/>
    </font>
    <font>
      <u/>
      <sz val="9"/>
      <name val="Meiryo UI"/>
      <family val="3"/>
      <charset val="128"/>
    </font>
    <font>
      <u/>
      <sz val="9"/>
      <color rgb="FFFF0000"/>
      <name val="Meiryo UI"/>
      <family val="3"/>
      <charset val="128"/>
    </font>
    <font>
      <b/>
      <sz val="16"/>
      <color theme="0"/>
      <name val="Meiryo UI"/>
      <family val="3"/>
      <charset val="128"/>
    </font>
    <font>
      <b/>
      <sz val="9"/>
      <color theme="5" tint="-0.499984740745262"/>
      <name val="Meiryo UI"/>
      <family val="3"/>
      <charset val="128"/>
    </font>
    <font>
      <b/>
      <sz val="11"/>
      <color theme="0"/>
      <name val="Meiryo UI"/>
      <family val="3"/>
      <charset val="128"/>
    </font>
    <font>
      <b/>
      <sz val="9"/>
      <color rgb="FFFFC000"/>
      <name val="Meiryo UI"/>
      <family val="3"/>
      <charset val="128"/>
    </font>
    <font>
      <b/>
      <i/>
      <u/>
      <sz val="9"/>
      <color theme="1"/>
      <name val="Meiryo UI"/>
      <family val="3"/>
      <charset val="128"/>
    </font>
    <font>
      <b/>
      <sz val="9"/>
      <color theme="0"/>
      <name val="Meiryo UI"/>
      <family val="3"/>
      <charset val="128"/>
    </font>
    <font>
      <b/>
      <u/>
      <sz val="9"/>
      <name val="Meiryo UI"/>
      <family val="3"/>
      <charset val="128"/>
    </font>
    <font>
      <b/>
      <u/>
      <sz val="10"/>
      <color theme="0"/>
      <name val="Meiryo UI"/>
      <family val="3"/>
      <charset val="128"/>
    </font>
    <font>
      <b/>
      <sz val="10"/>
      <color rgb="FFFFC000"/>
      <name val="Meiryo UI"/>
      <family val="3"/>
      <charset val="128"/>
    </font>
    <font>
      <b/>
      <sz val="18"/>
      <color rgb="FFFF0000"/>
      <name val="Meiryo UI"/>
      <family val="3"/>
      <charset val="128"/>
    </font>
    <font>
      <b/>
      <u/>
      <sz val="10"/>
      <name val="Meiryo UI"/>
      <family val="3"/>
      <charset val="128"/>
    </font>
    <font>
      <b/>
      <sz val="9"/>
      <color rgb="FF833C0C"/>
      <name val="Meiryo UI"/>
      <family val="3"/>
      <charset val="128"/>
    </font>
    <font>
      <b/>
      <sz val="11"/>
      <color rgb="FFFFC000"/>
      <name val="Meiryo UI"/>
      <family val="3"/>
      <charset val="128"/>
    </font>
    <font>
      <b/>
      <i/>
      <u/>
      <sz val="9"/>
      <name val="Meiryo UI"/>
      <family val="3"/>
      <charset val="128"/>
    </font>
    <font>
      <b/>
      <i/>
      <sz val="9"/>
      <name val="Meiryo UI"/>
      <family val="3"/>
      <charset val="128"/>
    </font>
    <font>
      <b/>
      <i/>
      <sz val="9"/>
      <color rgb="FFFF0000"/>
      <name val="Meiryo UI"/>
      <family val="3"/>
      <charset val="128"/>
    </font>
    <font>
      <u/>
      <sz val="9"/>
      <color theme="10"/>
      <name val="Meiryo UI"/>
      <family val="3"/>
      <charset val="128"/>
    </font>
    <font>
      <b/>
      <sz val="14"/>
      <name val="Meiryo UI"/>
      <family val="3"/>
      <charset val="128"/>
    </font>
    <font>
      <b/>
      <u/>
      <sz val="9"/>
      <color rgb="FFFF0000"/>
      <name val="Meiryo UI"/>
      <family val="3"/>
      <charset val="128"/>
    </font>
    <font>
      <b/>
      <i/>
      <u/>
      <sz val="9"/>
      <color rgb="FF000000"/>
      <name val="Meiryo UI"/>
      <family val="3"/>
      <charset val="128"/>
    </font>
    <font>
      <b/>
      <sz val="12"/>
      <color rgb="FFFF0000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b/>
      <sz val="9"/>
      <color rgb="FFFFFF00"/>
      <name val="Meiryo UI"/>
      <family val="3"/>
      <charset val="128"/>
    </font>
    <font>
      <b/>
      <sz val="16"/>
      <color rgb="FFFFC000"/>
      <name val="Meiryo UI"/>
      <family val="3"/>
      <charset val="128"/>
    </font>
    <font>
      <b/>
      <sz val="10"/>
      <color rgb="FF0000FF"/>
      <name val="Meiryo UI"/>
      <family val="3"/>
      <charset val="128"/>
    </font>
    <font>
      <b/>
      <sz val="10"/>
      <color rgb="FFFFFF00"/>
      <name val="Meiryo UI"/>
      <family val="3"/>
      <charset val="128"/>
    </font>
    <font>
      <b/>
      <sz val="12"/>
      <color rgb="FF0000FF"/>
      <name val="Meiryo UI"/>
      <family val="3"/>
      <charset val="128"/>
    </font>
    <font>
      <b/>
      <sz val="12"/>
      <color theme="1"/>
      <name val="Meiryo UI"/>
      <family val="3"/>
      <charset val="128"/>
    </font>
    <font>
      <b/>
      <sz val="16"/>
      <color rgb="FF000000"/>
      <name val="Meiryo UI"/>
      <family val="3"/>
      <charset val="128"/>
    </font>
    <font>
      <b/>
      <sz val="10"/>
      <color rgb="FF0033CC"/>
      <name val="Meiryo UI"/>
      <family val="3"/>
      <charset val="128"/>
    </font>
    <font>
      <b/>
      <sz val="14"/>
      <color theme="9" tint="-0.499984740745262"/>
      <name val="Meiryo UI"/>
      <family val="3"/>
      <charset val="128"/>
    </font>
    <font>
      <b/>
      <sz val="10"/>
      <color theme="9" tint="-0.499984740745262"/>
      <name val="Meiryo UI"/>
      <family val="3"/>
      <charset val="128"/>
    </font>
    <font>
      <b/>
      <sz val="9"/>
      <color rgb="FF0033CC"/>
      <name val="Meiryo UI"/>
      <family val="3"/>
      <charset val="128"/>
    </font>
    <font>
      <b/>
      <i/>
      <u/>
      <sz val="10"/>
      <name val="Meiryo UI"/>
      <family val="3"/>
      <charset val="128"/>
    </font>
    <font>
      <b/>
      <sz val="10"/>
      <color theme="5" tint="-0.499984740745262"/>
      <name val="Meiryo UI"/>
      <family val="3"/>
      <charset val="128"/>
    </font>
    <font>
      <b/>
      <sz val="12"/>
      <color theme="0" tint="-4.9989318521683403E-2"/>
      <name val="Meiryo UI"/>
      <family val="3"/>
      <charset val="128"/>
    </font>
    <font>
      <b/>
      <sz val="9"/>
      <color theme="1"/>
      <name val="Meiryo UI"/>
      <family val="2"/>
      <charset val="128"/>
    </font>
    <font>
      <b/>
      <sz val="9"/>
      <color rgb="FF0000FF"/>
      <name val="Meiryo UI"/>
      <family val="3"/>
      <charset val="128"/>
    </font>
    <font>
      <b/>
      <sz val="14"/>
      <color rgb="FFFF0000"/>
      <name val="Meiryo UI"/>
      <family val="3"/>
      <charset val="128"/>
    </font>
    <font>
      <b/>
      <sz val="12"/>
      <color rgb="FF000000"/>
      <name val="Meiryo UI"/>
      <family val="3"/>
      <charset val="128"/>
    </font>
    <font>
      <b/>
      <u/>
      <sz val="10"/>
      <color theme="1"/>
      <name val="Meiryo UI"/>
      <family val="3"/>
      <charset val="128"/>
    </font>
    <font>
      <b/>
      <i/>
      <u/>
      <sz val="10"/>
      <color theme="1"/>
      <name val="Meiryo UI"/>
      <family val="3"/>
      <charset val="128"/>
    </font>
    <font>
      <b/>
      <u/>
      <sz val="10"/>
      <color rgb="FFFF0000"/>
      <name val="Meiryo UI"/>
      <family val="3"/>
      <charset val="128"/>
    </font>
    <font>
      <b/>
      <sz val="18"/>
      <color rgb="FF0000FF"/>
      <name val="Meiryo UI"/>
      <family val="3"/>
      <charset val="128"/>
    </font>
    <font>
      <b/>
      <sz val="14"/>
      <color rgb="FFFFC000"/>
      <name val="Meiryo UI"/>
      <family val="3"/>
      <charset val="128"/>
    </font>
    <font>
      <b/>
      <sz val="9"/>
      <color theme="0" tint="-4.9989318521683403E-2"/>
      <name val="Meiryo UI"/>
      <family val="3"/>
      <charset val="128"/>
    </font>
    <font>
      <b/>
      <sz val="10"/>
      <color theme="0" tint="-4.9989318521683403E-2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14"/>
      <color theme="0" tint="-4.9989318521683403E-2"/>
      <name val="Meiryo UI"/>
      <family val="3"/>
      <charset val="128"/>
    </font>
    <font>
      <b/>
      <sz val="20"/>
      <color rgb="FFFF0000"/>
      <name val="Meiryo UI"/>
      <family val="3"/>
      <charset val="128"/>
    </font>
    <font>
      <b/>
      <sz val="14"/>
      <color theme="4" tint="-0.499984740745262"/>
      <name val="Meiryo UI"/>
      <family val="3"/>
      <charset val="128"/>
    </font>
    <font>
      <b/>
      <i/>
      <sz val="10"/>
      <name val="Meiryo UI"/>
      <family val="3"/>
      <charset val="128"/>
    </font>
    <font>
      <b/>
      <i/>
      <sz val="10"/>
      <color theme="1"/>
      <name val="Meiryo UI"/>
      <family val="3"/>
      <charset val="128"/>
    </font>
    <font>
      <u/>
      <sz val="10"/>
      <color theme="10"/>
      <name val="Meiryo UI"/>
      <family val="3"/>
      <charset val="128"/>
    </font>
    <font>
      <b/>
      <i/>
      <u/>
      <sz val="11"/>
      <color theme="1"/>
      <name val="Meiryo UI"/>
      <family val="3"/>
      <charset val="128"/>
    </font>
    <font>
      <b/>
      <sz val="9"/>
      <color rgb="FF00B0F0"/>
      <name val="Meiryo UI"/>
      <family val="3"/>
      <charset val="128"/>
    </font>
    <font>
      <b/>
      <sz val="15"/>
      <color theme="0"/>
      <name val="Meiryo UI"/>
      <family val="3"/>
      <charset val="128"/>
    </font>
    <font>
      <b/>
      <sz val="14"/>
      <color theme="0"/>
      <name val="Meiryo UI"/>
      <family val="3"/>
      <charset val="128"/>
    </font>
    <font>
      <sz val="11"/>
      <color theme="1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b/>
      <sz val="12"/>
      <name val="游ゴシック"/>
      <family val="3"/>
      <charset val="128"/>
      <scheme val="minor"/>
    </font>
    <font>
      <b/>
      <sz val="12"/>
      <color rgb="FF00B050"/>
      <name val="游ゴシック"/>
      <family val="3"/>
      <charset val="128"/>
      <scheme val="minor"/>
    </font>
    <font>
      <b/>
      <sz val="12"/>
      <color rgb="FFFF0000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</font>
    <font>
      <b/>
      <sz val="12"/>
      <name val="游ゴシック"/>
      <family val="3"/>
      <charset val="128"/>
    </font>
    <font>
      <sz val="12"/>
      <color rgb="FFFF0000"/>
      <name val="游ゴシック"/>
      <family val="3"/>
      <charset val="128"/>
      <scheme val="minor"/>
    </font>
    <font>
      <sz val="12"/>
      <color theme="1"/>
      <name val="游ゴシック"/>
      <family val="3"/>
      <charset val="128"/>
      <scheme val="minor"/>
    </font>
    <font>
      <b/>
      <sz val="12"/>
      <color rgb="FF0070C0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2"/>
      <color rgb="FF0070C0"/>
      <name val="游ゴシック"/>
      <family val="3"/>
      <charset val="128"/>
      <scheme val="minor"/>
    </font>
    <font>
      <sz val="12"/>
      <name val="游ゴシック"/>
      <family val="3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u/>
      <sz val="11"/>
      <color theme="4" tint="-0.249977111117893"/>
      <name val="游ゴシック"/>
      <family val="3"/>
      <charset val="128"/>
      <scheme val="minor"/>
    </font>
    <font>
      <sz val="12"/>
      <color theme="1"/>
      <name val="游ゴシック"/>
      <family val="3"/>
      <charset val="128"/>
    </font>
    <font>
      <b/>
      <sz val="12"/>
      <color rgb="FF0070C0"/>
      <name val="游ゴシック"/>
      <family val="3"/>
      <charset val="128"/>
    </font>
    <font>
      <b/>
      <sz val="12"/>
      <color rgb="FF0000FF"/>
      <name val="游ゴシック"/>
      <family val="3"/>
      <charset val="128"/>
      <scheme val="minor"/>
    </font>
    <font>
      <b/>
      <sz val="12"/>
      <color rgb="FF8EA9DB"/>
      <name val="游ゴシック"/>
      <family val="3"/>
      <charset val="128"/>
      <scheme val="minor"/>
    </font>
    <font>
      <sz val="11"/>
      <color rgb="FFFF000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4"/>
      <name val="游ゴシック"/>
      <family val="3"/>
      <charset val="128"/>
      <scheme val="minor"/>
    </font>
    <font>
      <sz val="14"/>
      <color theme="1"/>
      <name val="游ゴシック"/>
      <family val="3"/>
      <charset val="128"/>
      <scheme val="minor"/>
    </font>
    <font>
      <b/>
      <sz val="1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</font>
    <font>
      <b/>
      <u/>
      <sz val="11"/>
      <color theme="1"/>
      <name val="游ゴシック"/>
      <family val="3"/>
      <charset val="128"/>
    </font>
    <font>
      <u/>
      <sz val="11"/>
      <color theme="1"/>
      <name val="游ゴシック"/>
      <family val="3"/>
      <charset val="128"/>
      <scheme val="minor"/>
    </font>
    <font>
      <b/>
      <sz val="18"/>
      <color rgb="FFFF0000"/>
      <name val="游ゴシック"/>
      <family val="3"/>
      <charset val="128"/>
      <scheme val="minor"/>
    </font>
    <font>
      <b/>
      <sz val="16"/>
      <color rgb="FFFF0000"/>
      <name val="游ゴシック"/>
      <family val="3"/>
      <charset val="128"/>
      <scheme val="minor"/>
    </font>
    <font>
      <b/>
      <sz val="14"/>
      <color theme="1"/>
      <name val="游ゴシック"/>
      <family val="2"/>
      <charset val="128"/>
      <scheme val="minor"/>
    </font>
    <font>
      <b/>
      <sz val="22"/>
      <color theme="1"/>
      <name val="游ゴシック"/>
      <family val="3"/>
      <charset val="128"/>
      <scheme val="minor"/>
    </font>
    <font>
      <b/>
      <sz val="16"/>
      <name val="游ゴシック"/>
      <family val="3"/>
      <charset val="128"/>
      <scheme val="minor"/>
    </font>
    <font>
      <u/>
      <sz val="11"/>
      <color theme="8" tint="-0.249977111117893"/>
      <name val="游ゴシック"/>
      <family val="2"/>
      <charset val="128"/>
      <scheme val="minor"/>
    </font>
    <font>
      <sz val="11"/>
      <color theme="1"/>
      <name val="游ゴシック"/>
      <family val="2"/>
      <scheme val="minor"/>
    </font>
    <font>
      <b/>
      <sz val="12"/>
      <color rgb="FF000000"/>
      <name val="Yu Gothic UI"/>
      <family val="3"/>
      <charset val="128"/>
    </font>
    <font>
      <sz val="12"/>
      <color theme="1"/>
      <name val="Yu Gothic UI"/>
      <family val="3"/>
      <charset val="128"/>
    </font>
    <font>
      <b/>
      <sz val="16"/>
      <color theme="1"/>
      <name val="Yu Gothic UI"/>
      <family val="3"/>
      <charset val="128"/>
    </font>
    <font>
      <sz val="12"/>
      <color rgb="FF000000"/>
      <name val="Yu Gothic UI"/>
      <family val="3"/>
      <charset val="128"/>
    </font>
    <font>
      <b/>
      <sz val="16"/>
      <color rgb="FF000000"/>
      <name val="Yu Gothic UI"/>
      <family val="3"/>
      <charset val="128"/>
    </font>
    <font>
      <b/>
      <sz val="12"/>
      <color theme="1"/>
      <name val="Yu Gothic UI"/>
      <family val="3"/>
      <charset val="128"/>
    </font>
    <font>
      <b/>
      <sz val="16"/>
      <color rgb="FF0000FF"/>
      <name val="Yu Gothic UI"/>
      <family val="3"/>
      <charset val="128"/>
    </font>
    <font>
      <b/>
      <sz val="18"/>
      <color rgb="FF0000FF"/>
      <name val="Yu Gothic UI"/>
      <family val="3"/>
      <charset val="128"/>
    </font>
    <font>
      <u/>
      <sz val="11"/>
      <color theme="10"/>
      <name val="游ゴシック"/>
      <family val="2"/>
      <scheme val="minor"/>
    </font>
    <font>
      <b/>
      <sz val="18"/>
      <color rgb="FF33CCFF"/>
      <name val="游ゴシック"/>
      <family val="3"/>
      <charset val="128"/>
      <scheme val="minor"/>
    </font>
    <font>
      <b/>
      <sz val="18"/>
      <color rgb="FF00B050"/>
      <name val="游ゴシック"/>
      <family val="3"/>
      <charset val="128"/>
      <scheme val="minor"/>
    </font>
    <font>
      <b/>
      <sz val="12"/>
      <color rgb="FFFF0000"/>
      <name val="Yu Gothic UI"/>
      <family val="3"/>
      <charset val="128"/>
    </font>
    <font>
      <sz val="12"/>
      <name val="Yu Gothic UI"/>
      <family val="3"/>
      <charset val="128"/>
    </font>
    <font>
      <b/>
      <sz val="14"/>
      <color rgb="FFFF0000"/>
      <name val="Yu Gothic UI"/>
      <family val="3"/>
      <charset val="128"/>
    </font>
    <font>
      <b/>
      <sz val="14"/>
      <color theme="1"/>
      <name val="Yu Gothic UI"/>
      <family val="3"/>
      <charset val="128"/>
    </font>
    <font>
      <sz val="14"/>
      <color theme="1"/>
      <name val="Yu Gothic UI"/>
      <family val="3"/>
      <charset val="128"/>
    </font>
    <font>
      <b/>
      <sz val="12"/>
      <name val="Yu Gothic UI"/>
      <family val="3"/>
      <charset val="128"/>
    </font>
    <font>
      <b/>
      <sz val="14"/>
      <name val="Yu Gothic UI"/>
      <family val="3"/>
      <charset val="128"/>
    </font>
    <font>
      <b/>
      <sz val="16"/>
      <color rgb="FF00B0F0"/>
      <name val="Yu Gothic UI"/>
      <family val="3"/>
      <charset val="128"/>
    </font>
    <font>
      <b/>
      <sz val="12"/>
      <color rgb="FF00B050"/>
      <name val="Yu Gothic UI"/>
      <family val="3"/>
      <charset val="128"/>
    </font>
    <font>
      <b/>
      <sz val="12"/>
      <color theme="1"/>
      <name val="Segoe UI Symbol"/>
      <family val="3"/>
    </font>
    <font>
      <sz val="12"/>
      <color theme="1"/>
      <name val="Segoe UI Symbol"/>
      <family val="3"/>
    </font>
    <font>
      <b/>
      <sz val="12"/>
      <color rgb="FF00B0F0"/>
      <name val="Yu Gothic UI"/>
      <family val="3"/>
      <charset val="128"/>
    </font>
    <font>
      <sz val="12"/>
      <color rgb="FFFF0000"/>
      <name val="Yu Gothic UI"/>
      <family val="3"/>
      <charset val="128"/>
    </font>
    <font>
      <sz val="12"/>
      <color theme="1"/>
      <name val="游ゴシック"/>
      <family val="2"/>
      <scheme val="minor"/>
    </font>
    <font>
      <u/>
      <sz val="11"/>
      <color theme="10"/>
      <name val="Yu Gothic UI"/>
      <family val="3"/>
      <charset val="128"/>
    </font>
    <font>
      <sz val="11"/>
      <color theme="0"/>
      <name val="游ゴシック"/>
      <family val="3"/>
      <charset val="128"/>
      <scheme val="minor"/>
    </font>
    <font>
      <b/>
      <sz val="12"/>
      <color rgb="FFFFFF00"/>
      <name val="Meiryo UI"/>
      <family val="3"/>
      <charset val="128"/>
    </font>
    <font>
      <b/>
      <sz val="12"/>
      <color rgb="FFC00000"/>
      <name val="Meiryo UI"/>
      <family val="3"/>
      <charset val="128"/>
    </font>
    <font>
      <b/>
      <sz val="10"/>
      <color rgb="FF000000"/>
      <name val="Meiryo UI"/>
      <family val="2"/>
      <charset val="128"/>
    </font>
    <font>
      <b/>
      <sz val="14"/>
      <color rgb="FF0000FF"/>
      <name val="Meiryo UI"/>
      <family val="3"/>
      <charset val="128"/>
    </font>
    <font>
      <b/>
      <sz val="10"/>
      <name val="Yu Gothic UI"/>
      <family val="3"/>
      <charset val="128"/>
    </font>
    <font>
      <b/>
      <sz val="10"/>
      <color rgb="FFFF0000"/>
      <name val="Yu Gothic UI"/>
      <family val="3"/>
      <charset val="128"/>
    </font>
    <font>
      <sz val="10"/>
      <color theme="4" tint="-0.249977111117893"/>
      <name val="Yu Gothic UI"/>
      <family val="3"/>
      <charset val="128"/>
    </font>
    <font>
      <sz val="12"/>
      <color theme="4" tint="-0.249977111117893"/>
      <name val="Yu Gothic UI"/>
      <family val="3"/>
      <charset val="128"/>
    </font>
    <font>
      <b/>
      <sz val="11"/>
      <color rgb="FFC00000"/>
      <name val="Meiryo UI"/>
      <family val="3"/>
      <charset val="128"/>
    </font>
    <font>
      <b/>
      <sz val="12"/>
      <color rgb="FFF2F2F2"/>
      <name val="Meiryo UI"/>
      <family val="3"/>
      <charset val="128"/>
    </font>
    <font>
      <b/>
      <sz val="12"/>
      <color theme="1"/>
      <name val="Malgun Gothic"/>
      <family val="3"/>
      <charset val="129"/>
    </font>
  </fonts>
  <fills count="7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8F280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6FE2F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BD92DE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DDEBF7"/>
        <bgColor indexed="64"/>
      </patternFill>
    </fill>
    <fill>
      <patternFill patternType="gray0625"/>
    </fill>
    <fill>
      <patternFill patternType="solid">
        <fgColor rgb="FFCCFF33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66CC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theme="0"/>
        <bgColor indexed="64"/>
      </patternFill>
    </fill>
    <fill>
      <patternFill patternType="gray0625">
        <bgColor rgb="FFFFFF99"/>
      </patternFill>
    </fill>
    <fill>
      <patternFill patternType="solid">
        <fgColor rgb="FFCCECFF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D966"/>
        <bgColor indexed="64"/>
      </patternFill>
    </fill>
    <fill>
      <patternFill patternType="gray0625">
        <bgColor theme="7" tint="0.39997558519241921"/>
      </patternFill>
    </fill>
    <fill>
      <patternFill patternType="solid">
        <fgColor rgb="FF0099CC"/>
        <bgColor indexed="64"/>
      </patternFill>
    </fill>
    <fill>
      <patternFill patternType="gray0625">
        <bgColor rgb="FFFFD966"/>
      </patternFill>
    </fill>
    <fill>
      <patternFill patternType="solid">
        <fgColor rgb="FFCCFF66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1F4E78"/>
        <bgColor indexed="64"/>
      </patternFill>
    </fill>
    <fill>
      <patternFill patternType="solid">
        <fgColor rgb="FF6FE5F5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203764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994FE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rgb="FFFAE69C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11C1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59999389629810485"/>
        <bgColor indexed="64"/>
      </patternFill>
    </fill>
  </fills>
  <borders count="49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thin">
        <color auto="1"/>
      </right>
      <top/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/>
      <diagonal/>
    </border>
    <border>
      <left style="thin">
        <color auto="1"/>
      </left>
      <right style="thin">
        <color auto="1"/>
      </right>
      <top style="dashed">
        <color indexed="64"/>
      </top>
      <bottom/>
      <diagonal/>
    </border>
    <border>
      <left style="thin">
        <color indexed="64"/>
      </left>
      <right style="thin">
        <color auto="1"/>
      </right>
      <top/>
      <bottom style="dotted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dotted">
        <color theme="1" tint="0.499984740745262"/>
      </bottom>
      <diagonal/>
    </border>
    <border>
      <left style="thin">
        <color indexed="64"/>
      </left>
      <right style="thin">
        <color indexed="64"/>
      </right>
      <top style="dotted">
        <color theme="1" tint="0.499984740745262"/>
      </top>
      <bottom style="dotted">
        <color theme="1" tint="0.499984740745262"/>
      </bottom>
      <diagonal/>
    </border>
    <border>
      <left style="thin">
        <color indexed="64"/>
      </left>
      <right style="thin">
        <color indexed="64"/>
      </right>
      <top style="dotted">
        <color theme="1" tint="0.499984740745262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theme="1" tint="0.499984740745262"/>
      </bottom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dotted">
        <color theme="1" tint="0.499984740745262"/>
      </top>
      <bottom style="thin">
        <color indexed="64"/>
      </bottom>
      <diagonal/>
    </border>
    <border>
      <left style="thin">
        <color indexed="64"/>
      </left>
      <right/>
      <top style="dotted">
        <color theme="1" tint="0.499984740745262"/>
      </top>
      <bottom style="dotted">
        <color theme="1" tint="0.499984740745262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theme="1" tint="0.499984740745262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theme="9"/>
      </top>
      <bottom/>
      <diagonal/>
    </border>
    <border>
      <left/>
      <right style="thin">
        <color theme="9"/>
      </right>
      <top style="thin">
        <color theme="9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auto="1"/>
      </right>
      <top style="hair">
        <color indexed="64"/>
      </top>
      <bottom/>
      <diagonal/>
    </border>
    <border>
      <left style="thin">
        <color indexed="64"/>
      </left>
      <right style="thin">
        <color auto="1"/>
      </right>
      <top/>
      <bottom style="hair">
        <color indexed="64"/>
      </bottom>
      <diagonal/>
    </border>
  </borders>
  <cellStyleXfs count="11">
    <xf numFmtId="0" fontId="0" fillId="0" borderId="0">
      <alignment vertical="center"/>
    </xf>
    <xf numFmtId="0" fontId="1" fillId="0" borderId="0" applyNumberForma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2" fillId="0" borderId="0" applyNumberFormat="0" applyFill="0" applyBorder="0" applyAlignment="0" applyProtection="0"/>
    <xf numFmtId="0" fontId="34" fillId="0" borderId="0" applyNumberFormat="0" applyFill="0" applyBorder="0" applyAlignment="0" applyProtection="0">
      <alignment vertical="center"/>
    </xf>
    <xf numFmtId="0" fontId="111" fillId="0" borderId="0">
      <alignment vertical="center"/>
    </xf>
    <xf numFmtId="0" fontId="108" fillId="0" borderId="0">
      <alignment vertical="center"/>
    </xf>
    <xf numFmtId="0" fontId="108" fillId="0" borderId="0">
      <alignment vertical="center"/>
    </xf>
    <xf numFmtId="0" fontId="145" fillId="0" borderId="0"/>
    <xf numFmtId="0" fontId="154" fillId="0" borderId="0" applyNumberFormat="0" applyFill="0" applyBorder="0" applyAlignment="0" applyProtection="0"/>
  </cellStyleXfs>
  <cellXfs count="2923">
    <xf numFmtId="0" fontId="0" fillId="0" borderId="0" xfId="0">
      <alignment vertical="center"/>
    </xf>
    <xf numFmtId="0" fontId="3" fillId="0" borderId="0" xfId="2" applyFont="1">
      <alignment vertical="center"/>
    </xf>
    <xf numFmtId="9" fontId="5" fillId="0" borderId="0" xfId="3" applyFont="1" applyAlignment="1">
      <alignment horizontal="center" vertical="center"/>
    </xf>
    <xf numFmtId="0" fontId="6" fillId="0" borderId="0" xfId="2" applyFont="1" applyAlignment="1">
      <alignment horizontal="left" vertical="top"/>
    </xf>
    <xf numFmtId="0" fontId="6" fillId="0" borderId="0" xfId="2" applyFont="1" applyAlignment="1">
      <alignment horizontal="center" vertical="center"/>
    </xf>
    <xf numFmtId="0" fontId="7" fillId="0" borderId="1" xfId="2" applyFont="1" applyBorder="1" applyAlignment="1">
      <alignment horizontal="center" vertical="center"/>
    </xf>
    <xf numFmtId="0" fontId="7" fillId="0" borderId="2" xfId="2" applyFont="1" applyBorder="1" applyAlignment="1">
      <alignment horizontal="center" vertical="center"/>
    </xf>
    <xf numFmtId="0" fontId="7" fillId="0" borderId="0" xfId="2" applyFont="1" applyAlignment="1">
      <alignment horizontal="center" vertical="center"/>
    </xf>
    <xf numFmtId="0" fontId="6" fillId="0" borderId="0" xfId="2" applyFont="1">
      <alignment vertical="center"/>
    </xf>
    <xf numFmtId="0" fontId="6" fillId="0" borderId="0" xfId="2" applyFont="1" applyAlignment="1">
      <alignment horizontal="left" vertical="center"/>
    </xf>
    <xf numFmtId="0" fontId="2" fillId="0" borderId="0" xfId="2">
      <alignment vertical="center"/>
    </xf>
    <xf numFmtId="9" fontId="0" fillId="0" borderId="0" xfId="3" applyFont="1" applyAlignment="1">
      <alignment horizontal="center" vertical="center"/>
    </xf>
    <xf numFmtId="0" fontId="8" fillId="0" borderId="0" xfId="2" applyFont="1" applyAlignment="1">
      <alignment horizontal="center" vertical="center"/>
    </xf>
    <xf numFmtId="0" fontId="11" fillId="3" borderId="3" xfId="2" applyFont="1" applyFill="1" applyBorder="1" applyAlignment="1">
      <alignment horizontal="center" vertical="center" wrapText="1"/>
    </xf>
    <xf numFmtId="0" fontId="12" fillId="3" borderId="4" xfId="2" applyFont="1" applyFill="1" applyBorder="1" applyAlignment="1">
      <alignment horizontal="center" vertical="center" wrapText="1"/>
    </xf>
    <xf numFmtId="0" fontId="11" fillId="4" borderId="3" xfId="2" applyFont="1" applyFill="1" applyBorder="1" applyAlignment="1">
      <alignment horizontal="center" vertical="center" wrapText="1"/>
    </xf>
    <xf numFmtId="0" fontId="12" fillId="4" borderId="4" xfId="2" applyFont="1" applyFill="1" applyBorder="1" applyAlignment="1">
      <alignment horizontal="center" vertical="center" wrapText="1"/>
    </xf>
    <xf numFmtId="0" fontId="11" fillId="4" borderId="3" xfId="2" applyFont="1" applyFill="1" applyBorder="1" applyAlignment="1">
      <alignment horizontal="left" vertical="top" wrapText="1"/>
    </xf>
    <xf numFmtId="0" fontId="11" fillId="5" borderId="3" xfId="2" applyFont="1" applyFill="1" applyBorder="1" applyAlignment="1">
      <alignment horizontal="center" vertical="center" wrapText="1"/>
    </xf>
    <xf numFmtId="0" fontId="12" fillId="5" borderId="4" xfId="2" applyFont="1" applyFill="1" applyBorder="1" applyAlignment="1">
      <alignment horizontal="center" vertical="center" wrapText="1"/>
    </xf>
    <xf numFmtId="0" fontId="11" fillId="5" borderId="3" xfId="2" applyFont="1" applyFill="1" applyBorder="1" applyAlignment="1">
      <alignment horizontal="left" vertical="top" wrapText="1"/>
    </xf>
    <xf numFmtId="0" fontId="11" fillId="6" borderId="3" xfId="2" applyFont="1" applyFill="1" applyBorder="1" applyAlignment="1">
      <alignment horizontal="center" vertical="center" wrapText="1"/>
    </xf>
    <xf numFmtId="0" fontId="12" fillId="6" borderId="4" xfId="2" applyFont="1" applyFill="1" applyBorder="1" applyAlignment="1">
      <alignment horizontal="center" vertical="center" wrapText="1"/>
    </xf>
    <xf numFmtId="0" fontId="11" fillId="6" borderId="3" xfId="2" applyFont="1" applyFill="1" applyBorder="1" applyAlignment="1">
      <alignment horizontal="left" vertical="top" wrapText="1"/>
    </xf>
    <xf numFmtId="0" fontId="11" fillId="7" borderId="4" xfId="2" applyFont="1" applyFill="1" applyBorder="1" applyAlignment="1">
      <alignment horizontal="center" vertical="center" wrapText="1"/>
    </xf>
    <xf numFmtId="0" fontId="12" fillId="7" borderId="4" xfId="2" applyFont="1" applyFill="1" applyBorder="1" applyAlignment="1">
      <alignment horizontal="center" vertical="center" wrapText="1"/>
    </xf>
    <xf numFmtId="0" fontId="11" fillId="7" borderId="3" xfId="2" applyFont="1" applyFill="1" applyBorder="1" applyAlignment="1">
      <alignment horizontal="center" vertical="center" wrapText="1"/>
    </xf>
    <xf numFmtId="0" fontId="11" fillId="8" borderId="4" xfId="2" applyFont="1" applyFill="1" applyBorder="1" applyAlignment="1">
      <alignment horizontal="center" vertical="center" wrapText="1"/>
    </xf>
    <xf numFmtId="0" fontId="12" fillId="8" borderId="4" xfId="2" applyFont="1" applyFill="1" applyBorder="1" applyAlignment="1">
      <alignment horizontal="center" vertical="center" wrapText="1"/>
    </xf>
    <xf numFmtId="0" fontId="11" fillId="8" borderId="3" xfId="2" applyFont="1" applyFill="1" applyBorder="1" applyAlignment="1">
      <alignment horizontal="center" vertical="center" wrapText="1"/>
    </xf>
    <xf numFmtId="0" fontId="11" fillId="9" borderId="5" xfId="2" applyFont="1" applyFill="1" applyBorder="1" applyAlignment="1">
      <alignment horizontal="center" vertical="center" wrapText="1"/>
    </xf>
    <xf numFmtId="0" fontId="12" fillId="9" borderId="2" xfId="2" applyFont="1" applyFill="1" applyBorder="1" applyAlignment="1">
      <alignment horizontal="center" vertical="center" wrapText="1"/>
    </xf>
    <xf numFmtId="0" fontId="11" fillId="10" borderId="3" xfId="2" applyFont="1" applyFill="1" applyBorder="1" applyAlignment="1">
      <alignment horizontal="center" vertical="center" wrapText="1"/>
    </xf>
    <xf numFmtId="0" fontId="12" fillId="10" borderId="3" xfId="2" applyFont="1" applyFill="1" applyBorder="1" applyAlignment="1">
      <alignment horizontal="center" vertical="center" wrapText="1"/>
    </xf>
    <xf numFmtId="0" fontId="14" fillId="7" borderId="3" xfId="2" applyFont="1" applyFill="1" applyBorder="1" applyAlignment="1">
      <alignment horizontal="center" vertical="center" wrapText="1"/>
    </xf>
    <xf numFmtId="0" fontId="12" fillId="7" borderId="3" xfId="2" applyFont="1" applyFill="1" applyBorder="1" applyAlignment="1">
      <alignment horizontal="center" vertical="center"/>
    </xf>
    <xf numFmtId="0" fontId="14" fillId="11" borderId="3" xfId="2" applyFont="1" applyFill="1" applyBorder="1" applyAlignment="1">
      <alignment horizontal="center" vertical="center" wrapText="1"/>
    </xf>
    <xf numFmtId="0" fontId="12" fillId="11" borderId="3" xfId="2" applyFont="1" applyFill="1" applyBorder="1" applyAlignment="1">
      <alignment horizontal="center" vertical="center"/>
    </xf>
    <xf numFmtId="0" fontId="11" fillId="11" borderId="3" xfId="2" applyFont="1" applyFill="1" applyBorder="1" applyAlignment="1">
      <alignment horizontal="center" vertical="center" wrapText="1"/>
    </xf>
    <xf numFmtId="0" fontId="14" fillId="12" borderId="3" xfId="2" applyFont="1" applyFill="1" applyBorder="1" applyAlignment="1">
      <alignment horizontal="center" vertical="center" wrapText="1"/>
    </xf>
    <xf numFmtId="0" fontId="12" fillId="12" borderId="3" xfId="2" applyFont="1" applyFill="1" applyBorder="1" applyAlignment="1">
      <alignment horizontal="center" vertical="center" wrapText="1"/>
    </xf>
    <xf numFmtId="0" fontId="11" fillId="12" borderId="3" xfId="2" applyFont="1" applyFill="1" applyBorder="1" applyAlignment="1">
      <alignment horizontal="center" vertical="center" wrapText="1"/>
    </xf>
    <xf numFmtId="0" fontId="14" fillId="13" borderId="3" xfId="2" applyFont="1" applyFill="1" applyBorder="1" applyAlignment="1">
      <alignment horizontal="center" vertical="center" wrapText="1"/>
    </xf>
    <xf numFmtId="0" fontId="12" fillId="13" borderId="3" xfId="2" applyFont="1" applyFill="1" applyBorder="1" applyAlignment="1">
      <alignment horizontal="center" vertical="center" wrapText="1"/>
    </xf>
    <xf numFmtId="0" fontId="11" fillId="13" borderId="3" xfId="2" applyFont="1" applyFill="1" applyBorder="1" applyAlignment="1">
      <alignment horizontal="center" vertical="center" wrapText="1"/>
    </xf>
    <xf numFmtId="0" fontId="14" fillId="14" borderId="3" xfId="2" applyFont="1" applyFill="1" applyBorder="1" applyAlignment="1">
      <alignment horizontal="center" vertical="center" wrapText="1"/>
    </xf>
    <xf numFmtId="0" fontId="12" fillId="14" borderId="3" xfId="2" applyFont="1" applyFill="1" applyBorder="1" applyAlignment="1">
      <alignment horizontal="center" vertical="center" wrapText="1"/>
    </xf>
    <xf numFmtId="0" fontId="11" fillId="14" borderId="3" xfId="2" applyFont="1" applyFill="1" applyBorder="1" applyAlignment="1">
      <alignment horizontal="center" vertical="center" wrapText="1"/>
    </xf>
    <xf numFmtId="0" fontId="14" fillId="15" borderId="3" xfId="2" applyFont="1" applyFill="1" applyBorder="1" applyAlignment="1">
      <alignment horizontal="center" vertical="center" wrapText="1"/>
    </xf>
    <xf numFmtId="0" fontId="12" fillId="15" borderId="3" xfId="2" applyFont="1" applyFill="1" applyBorder="1" applyAlignment="1">
      <alignment horizontal="center" vertical="center" wrapText="1"/>
    </xf>
    <xf numFmtId="0" fontId="11" fillId="15" borderId="3" xfId="2" applyFont="1" applyFill="1" applyBorder="1" applyAlignment="1">
      <alignment horizontal="center" vertical="center" wrapText="1"/>
    </xf>
    <xf numFmtId="0" fontId="14" fillId="8" borderId="3" xfId="2" applyFont="1" applyFill="1" applyBorder="1" applyAlignment="1">
      <alignment horizontal="center" vertical="center" wrapText="1"/>
    </xf>
    <xf numFmtId="0" fontId="12" fillId="8" borderId="3" xfId="2" applyFont="1" applyFill="1" applyBorder="1" applyAlignment="1">
      <alignment horizontal="center" vertical="center"/>
    </xf>
    <xf numFmtId="0" fontId="14" fillId="16" borderId="3" xfId="2" applyFont="1" applyFill="1" applyBorder="1" applyAlignment="1">
      <alignment horizontal="center" vertical="center" wrapText="1"/>
    </xf>
    <xf numFmtId="0" fontId="12" fillId="16" borderId="3" xfId="2" applyFont="1" applyFill="1" applyBorder="1" applyAlignment="1">
      <alignment horizontal="center" vertical="center" wrapText="1"/>
    </xf>
    <xf numFmtId="0" fontId="11" fillId="16" borderId="3" xfId="2" applyFont="1" applyFill="1" applyBorder="1" applyAlignment="1">
      <alignment horizontal="center" vertical="center" wrapText="1"/>
    </xf>
    <xf numFmtId="0" fontId="14" fillId="10" borderId="3" xfId="2" applyFont="1" applyFill="1" applyBorder="1" applyAlignment="1">
      <alignment horizontal="center" vertical="center" wrapText="1"/>
    </xf>
    <xf numFmtId="0" fontId="12" fillId="10" borderId="3" xfId="2" applyFont="1" applyFill="1" applyBorder="1" applyAlignment="1">
      <alignment horizontal="center" vertical="center"/>
    </xf>
    <xf numFmtId="0" fontId="11" fillId="17" borderId="3" xfId="2" applyFont="1" applyFill="1" applyBorder="1" applyAlignment="1">
      <alignment horizontal="center" vertical="center" wrapText="1"/>
    </xf>
    <xf numFmtId="0" fontId="12" fillId="17" borderId="3" xfId="2" applyFont="1" applyFill="1" applyBorder="1" applyAlignment="1">
      <alignment horizontal="center" vertical="center" wrapText="1"/>
    </xf>
    <xf numFmtId="0" fontId="11" fillId="18" borderId="3" xfId="2" applyFont="1" applyFill="1" applyBorder="1" applyAlignment="1">
      <alignment horizontal="center" vertical="center" wrapText="1"/>
    </xf>
    <xf numFmtId="0" fontId="12" fillId="18" borderId="3" xfId="2" applyFont="1" applyFill="1" applyBorder="1" applyAlignment="1">
      <alignment horizontal="center" vertical="center" wrapText="1"/>
    </xf>
    <xf numFmtId="0" fontId="14" fillId="19" borderId="3" xfId="2" applyFont="1" applyFill="1" applyBorder="1" applyAlignment="1">
      <alignment horizontal="center" vertical="center" wrapText="1"/>
    </xf>
    <xf numFmtId="0" fontId="12" fillId="19" borderId="3" xfId="2" applyFont="1" applyFill="1" applyBorder="1" applyAlignment="1">
      <alignment horizontal="center" vertical="center"/>
    </xf>
    <xf numFmtId="0" fontId="11" fillId="19" borderId="3" xfId="2" applyFont="1" applyFill="1" applyBorder="1" applyAlignment="1">
      <alignment horizontal="center" vertical="center" wrapText="1"/>
    </xf>
    <xf numFmtId="0" fontId="15" fillId="20" borderId="3" xfId="2" applyFont="1" applyFill="1" applyBorder="1" applyAlignment="1">
      <alignment horizontal="center" vertical="center" wrapText="1"/>
    </xf>
    <xf numFmtId="0" fontId="14" fillId="20" borderId="3" xfId="2" applyFont="1" applyFill="1" applyBorder="1" applyAlignment="1">
      <alignment horizontal="center" vertical="center" wrapText="1"/>
    </xf>
    <xf numFmtId="0" fontId="11" fillId="20" borderId="3" xfId="2" applyFont="1" applyFill="1" applyBorder="1" applyAlignment="1">
      <alignment horizontal="center" vertical="center"/>
    </xf>
    <xf numFmtId="0" fontId="11" fillId="20" borderId="3" xfId="2" applyFont="1" applyFill="1" applyBorder="1" applyAlignment="1">
      <alignment horizontal="center" vertical="center" wrapText="1"/>
    </xf>
    <xf numFmtId="0" fontId="14" fillId="21" borderId="3" xfId="2" applyFont="1" applyFill="1" applyBorder="1" applyAlignment="1">
      <alignment horizontal="center" vertical="center" wrapText="1"/>
    </xf>
    <xf numFmtId="0" fontId="11" fillId="21" borderId="3" xfId="2" applyFont="1" applyFill="1" applyBorder="1" applyAlignment="1">
      <alignment horizontal="center" vertical="center"/>
    </xf>
    <xf numFmtId="0" fontId="11" fillId="21" borderId="3" xfId="2" applyFont="1" applyFill="1" applyBorder="1" applyAlignment="1">
      <alignment horizontal="center" vertical="center" wrapText="1"/>
    </xf>
    <xf numFmtId="0" fontId="14" fillId="22" borderId="3" xfId="2" applyFont="1" applyFill="1" applyBorder="1" applyAlignment="1">
      <alignment horizontal="center" vertical="center" wrapText="1"/>
    </xf>
    <xf numFmtId="0" fontId="11" fillId="22" borderId="3" xfId="2" applyFont="1" applyFill="1" applyBorder="1" applyAlignment="1">
      <alignment horizontal="center" vertical="center"/>
    </xf>
    <xf numFmtId="0" fontId="11" fillId="22" borderId="3" xfId="2" applyFont="1" applyFill="1" applyBorder="1" applyAlignment="1">
      <alignment horizontal="center" vertical="center" wrapText="1"/>
    </xf>
    <xf numFmtId="0" fontId="15" fillId="3" borderId="5" xfId="2" applyFont="1" applyFill="1" applyBorder="1" applyAlignment="1">
      <alignment horizontal="center" vertical="center" wrapText="1"/>
    </xf>
    <xf numFmtId="0" fontId="16" fillId="3" borderId="2" xfId="2" applyFont="1" applyFill="1" applyBorder="1" applyAlignment="1">
      <alignment horizontal="left" vertical="top" wrapText="1"/>
    </xf>
    <xf numFmtId="0" fontId="15" fillId="3" borderId="2" xfId="2" applyFont="1" applyFill="1" applyBorder="1" applyAlignment="1">
      <alignment horizontal="left" vertical="top" wrapText="1"/>
    </xf>
    <xf numFmtId="0" fontId="15" fillId="4" borderId="5" xfId="2" applyFont="1" applyFill="1" applyBorder="1" applyAlignment="1">
      <alignment horizontal="center" vertical="center" wrapText="1"/>
    </xf>
    <xf numFmtId="0" fontId="16" fillId="4" borderId="2" xfId="2" applyFont="1" applyFill="1" applyBorder="1" applyAlignment="1">
      <alignment horizontal="left" vertical="top" wrapText="1"/>
    </xf>
    <xf numFmtId="0" fontId="15" fillId="4" borderId="5" xfId="2" applyFont="1" applyFill="1" applyBorder="1" applyAlignment="1">
      <alignment horizontal="left" vertical="top" wrapText="1"/>
    </xf>
    <xf numFmtId="0" fontId="15" fillId="5" borderId="5" xfId="2" applyFont="1" applyFill="1" applyBorder="1" applyAlignment="1">
      <alignment horizontal="center" vertical="center" wrapText="1"/>
    </xf>
    <xf numFmtId="0" fontId="16" fillId="5" borderId="2" xfId="2" applyFont="1" applyFill="1" applyBorder="1" applyAlignment="1">
      <alignment horizontal="left" vertical="top" wrapText="1"/>
    </xf>
    <xf numFmtId="0" fontId="15" fillId="5" borderId="5" xfId="2" applyFont="1" applyFill="1" applyBorder="1" applyAlignment="1">
      <alignment horizontal="left" vertical="top" wrapText="1"/>
    </xf>
    <xf numFmtId="0" fontId="15" fillId="6" borderId="5" xfId="2" applyFont="1" applyFill="1" applyBorder="1" applyAlignment="1">
      <alignment horizontal="center" vertical="center" wrapText="1"/>
    </xf>
    <xf numFmtId="0" fontId="16" fillId="6" borderId="2" xfId="2" applyFont="1" applyFill="1" applyBorder="1" applyAlignment="1">
      <alignment horizontal="left" vertical="top" wrapText="1"/>
    </xf>
    <xf numFmtId="0" fontId="15" fillId="6" borderId="5" xfId="2" applyFont="1" applyFill="1" applyBorder="1" applyAlignment="1">
      <alignment horizontal="left" vertical="top" wrapText="1"/>
    </xf>
    <xf numFmtId="0" fontId="17" fillId="7" borderId="2" xfId="2" applyFont="1" applyFill="1" applyBorder="1" applyAlignment="1">
      <alignment horizontal="center" vertical="center" wrapText="1"/>
    </xf>
    <xf numFmtId="0" fontId="16" fillId="7" borderId="2" xfId="2" applyFont="1" applyFill="1" applyBorder="1" applyAlignment="1">
      <alignment horizontal="left" vertical="center" wrapText="1"/>
    </xf>
    <xf numFmtId="0" fontId="15" fillId="7" borderId="5" xfId="2" applyFont="1" applyFill="1" applyBorder="1" applyAlignment="1">
      <alignment horizontal="center" vertical="center" wrapText="1"/>
    </xf>
    <xf numFmtId="0" fontId="15" fillId="8" borderId="2" xfId="2" applyFont="1" applyFill="1" applyBorder="1" applyAlignment="1">
      <alignment horizontal="center" vertical="center" wrapText="1"/>
    </xf>
    <xf numFmtId="0" fontId="16" fillId="8" borderId="2" xfId="2" applyFont="1" applyFill="1" applyBorder="1" applyAlignment="1">
      <alignment horizontal="left" vertical="center" wrapText="1"/>
    </xf>
    <xf numFmtId="0" fontId="15" fillId="8" borderId="5" xfId="2" applyFont="1" applyFill="1" applyBorder="1" applyAlignment="1">
      <alignment horizontal="center" vertical="center" wrapText="1"/>
    </xf>
    <xf numFmtId="0" fontId="15" fillId="9" borderId="5" xfId="2" applyFont="1" applyFill="1" applyBorder="1" applyAlignment="1">
      <alignment horizontal="center" vertical="center" wrapText="1"/>
    </xf>
    <xf numFmtId="0" fontId="16" fillId="9" borderId="0" xfId="2" applyFont="1" applyFill="1" applyAlignment="1">
      <alignment horizontal="left" vertical="center" wrapText="1"/>
    </xf>
    <xf numFmtId="0" fontId="15" fillId="10" borderId="5" xfId="2" applyFont="1" applyFill="1" applyBorder="1" applyAlignment="1">
      <alignment horizontal="center" vertical="center" wrapText="1"/>
    </xf>
    <xf numFmtId="0" fontId="18" fillId="23" borderId="5" xfId="2" applyFont="1" applyFill="1" applyBorder="1" applyAlignment="1">
      <alignment horizontal="left" vertical="center" wrapText="1"/>
    </xf>
    <xf numFmtId="0" fontId="19" fillId="7" borderId="5" xfId="2" applyFont="1" applyFill="1" applyBorder="1" applyAlignment="1">
      <alignment horizontal="center" vertical="center" wrapText="1"/>
    </xf>
    <xf numFmtId="0" fontId="20" fillId="7" borderId="5" xfId="2" applyFont="1" applyFill="1" applyBorder="1" applyAlignment="1">
      <alignment horizontal="left" vertical="center" wrapText="1"/>
    </xf>
    <xf numFmtId="0" fontId="17" fillId="7" borderId="5" xfId="2" applyFont="1" applyFill="1" applyBorder="1" applyAlignment="1">
      <alignment horizontal="center" vertical="center" wrapText="1"/>
    </xf>
    <xf numFmtId="0" fontId="20" fillId="11" borderId="5" xfId="2" applyFont="1" applyFill="1" applyBorder="1" applyAlignment="1">
      <alignment horizontal="center" vertical="center" wrapText="1"/>
    </xf>
    <xf numFmtId="0" fontId="20" fillId="11" borderId="5" xfId="2" applyFont="1" applyFill="1" applyBorder="1" applyAlignment="1">
      <alignment horizontal="left" vertical="center" wrapText="1"/>
    </xf>
    <xf numFmtId="0" fontId="17" fillId="11" borderId="5" xfId="2" applyFont="1" applyFill="1" applyBorder="1" applyAlignment="1">
      <alignment horizontal="center" vertical="center" wrapText="1"/>
    </xf>
    <xf numFmtId="0" fontId="20" fillId="12" borderId="5" xfId="2" applyFont="1" applyFill="1" applyBorder="1" applyAlignment="1">
      <alignment horizontal="center" vertical="center" wrapText="1"/>
    </xf>
    <xf numFmtId="0" fontId="21" fillId="12" borderId="5" xfId="2" applyFont="1" applyFill="1" applyBorder="1" applyAlignment="1">
      <alignment horizontal="left" vertical="center" wrapText="1"/>
    </xf>
    <xf numFmtId="0" fontId="15" fillId="12" borderId="5" xfId="2" applyFont="1" applyFill="1" applyBorder="1" applyAlignment="1">
      <alignment horizontal="center" vertical="center" wrapText="1"/>
    </xf>
    <xf numFmtId="0" fontId="19" fillId="13" borderId="5" xfId="2" applyFont="1" applyFill="1" applyBorder="1" applyAlignment="1">
      <alignment horizontal="center" vertical="center" wrapText="1"/>
    </xf>
    <xf numFmtId="0" fontId="21" fillId="13" borderId="5" xfId="2" applyFont="1" applyFill="1" applyBorder="1" applyAlignment="1">
      <alignment horizontal="left" vertical="center" wrapText="1"/>
    </xf>
    <xf numFmtId="0" fontId="17" fillId="13" borderId="5" xfId="2" applyFont="1" applyFill="1" applyBorder="1" applyAlignment="1">
      <alignment horizontal="center" vertical="center" wrapText="1"/>
    </xf>
    <xf numFmtId="0" fontId="20" fillId="14" borderId="5" xfId="2" applyFont="1" applyFill="1" applyBorder="1" applyAlignment="1">
      <alignment horizontal="center" vertical="center" wrapText="1"/>
    </xf>
    <xf numFmtId="0" fontId="21" fillId="14" borderId="5" xfId="2" applyFont="1" applyFill="1" applyBorder="1" applyAlignment="1">
      <alignment horizontal="left" vertical="center" wrapText="1"/>
    </xf>
    <xf numFmtId="0" fontId="17" fillId="14" borderId="5" xfId="2" applyFont="1" applyFill="1" applyBorder="1" applyAlignment="1">
      <alignment horizontal="center" vertical="center" wrapText="1"/>
    </xf>
    <xf numFmtId="0" fontId="20" fillId="15" borderId="5" xfId="2" applyFont="1" applyFill="1" applyBorder="1" applyAlignment="1">
      <alignment horizontal="center" vertical="center" wrapText="1"/>
    </xf>
    <xf numFmtId="0" fontId="21" fillId="24" borderId="5" xfId="2" applyFont="1" applyFill="1" applyBorder="1" applyAlignment="1">
      <alignment horizontal="left" vertical="center" wrapText="1"/>
    </xf>
    <xf numFmtId="0" fontId="15" fillId="15" borderId="5" xfId="2" applyFont="1" applyFill="1" applyBorder="1" applyAlignment="1">
      <alignment horizontal="center" vertical="center" wrapText="1"/>
    </xf>
    <xf numFmtId="0" fontId="19" fillId="8" borderId="5" xfId="2" applyFont="1" applyFill="1" applyBorder="1" applyAlignment="1">
      <alignment horizontal="center" vertical="center" wrapText="1"/>
    </xf>
    <xf numFmtId="0" fontId="21" fillId="25" borderId="5" xfId="2" applyFont="1" applyFill="1" applyBorder="1" applyAlignment="1">
      <alignment horizontal="left" vertical="center" wrapText="1"/>
    </xf>
    <xf numFmtId="0" fontId="19" fillId="16" borderId="5" xfId="2" applyFont="1" applyFill="1" applyBorder="1" applyAlignment="1">
      <alignment horizontal="center" vertical="center" wrapText="1"/>
    </xf>
    <xf numFmtId="0" fontId="21" fillId="26" borderId="5" xfId="2" applyFont="1" applyFill="1" applyBorder="1" applyAlignment="1">
      <alignment horizontal="left" vertical="center" wrapText="1"/>
    </xf>
    <xf numFmtId="0" fontId="15" fillId="16" borderId="5" xfId="2" applyFont="1" applyFill="1" applyBorder="1" applyAlignment="1">
      <alignment horizontal="center" vertical="center" wrapText="1"/>
    </xf>
    <xf numFmtId="0" fontId="19" fillId="10" borderId="5" xfId="2" applyFont="1" applyFill="1" applyBorder="1" applyAlignment="1">
      <alignment horizontal="center" vertical="center" wrapText="1"/>
    </xf>
    <xf numFmtId="0" fontId="21" fillId="10" borderId="5" xfId="2" applyFont="1" applyFill="1" applyBorder="1" applyAlignment="1">
      <alignment horizontal="left" vertical="center" wrapText="1"/>
    </xf>
    <xf numFmtId="0" fontId="15" fillId="17" borderId="5" xfId="2" applyFont="1" applyFill="1" applyBorder="1" applyAlignment="1">
      <alignment horizontal="center" vertical="center" wrapText="1"/>
    </xf>
    <xf numFmtId="0" fontId="17" fillId="17" borderId="5" xfId="2" applyFont="1" applyFill="1" applyBorder="1" applyAlignment="1">
      <alignment horizontal="left" vertical="center" wrapText="1"/>
    </xf>
    <xf numFmtId="0" fontId="15" fillId="18" borderId="5" xfId="2" applyFont="1" applyFill="1" applyBorder="1" applyAlignment="1">
      <alignment horizontal="center" vertical="center" wrapText="1"/>
    </xf>
    <xf numFmtId="0" fontId="21" fillId="18" borderId="5" xfId="2" applyFont="1" applyFill="1" applyBorder="1" applyAlignment="1">
      <alignment horizontal="left" vertical="center" wrapText="1"/>
    </xf>
    <xf numFmtId="0" fontId="19" fillId="19" borderId="5" xfId="2" applyFont="1" applyFill="1" applyBorder="1" applyAlignment="1">
      <alignment horizontal="center" vertical="center" wrapText="1"/>
    </xf>
    <xf numFmtId="0" fontId="21" fillId="19" borderId="5" xfId="2" applyFont="1" applyFill="1" applyBorder="1" applyAlignment="1">
      <alignment horizontal="left" vertical="center" wrapText="1"/>
    </xf>
    <xf numFmtId="0" fontId="15" fillId="19" borderId="5" xfId="2" applyFont="1" applyFill="1" applyBorder="1" applyAlignment="1">
      <alignment horizontal="center" vertical="center" wrapText="1"/>
    </xf>
    <xf numFmtId="0" fontId="17" fillId="20" borderId="5" xfId="2" applyFont="1" applyFill="1" applyBorder="1" applyAlignment="1">
      <alignment horizontal="center" vertical="center" wrapText="1"/>
    </xf>
    <xf numFmtId="0" fontId="20" fillId="20" borderId="5" xfId="2" applyFont="1" applyFill="1" applyBorder="1" applyAlignment="1">
      <alignment horizontal="center" vertical="center" wrapText="1"/>
    </xf>
    <xf numFmtId="0" fontId="23" fillId="23" borderId="5" xfId="4" applyFont="1" applyFill="1" applyBorder="1" applyAlignment="1">
      <alignment horizontal="left" vertical="center"/>
    </xf>
    <xf numFmtId="0" fontId="15" fillId="20" borderId="5" xfId="2" applyFont="1" applyFill="1" applyBorder="1" applyAlignment="1">
      <alignment horizontal="center" vertical="center" wrapText="1"/>
    </xf>
    <xf numFmtId="0" fontId="20" fillId="21" borderId="5" xfId="2" applyFont="1" applyFill="1" applyBorder="1" applyAlignment="1">
      <alignment horizontal="center" vertical="center" wrapText="1"/>
    </xf>
    <xf numFmtId="0" fontId="17" fillId="21" borderId="5" xfId="4" applyFont="1" applyFill="1" applyBorder="1" applyAlignment="1">
      <alignment horizontal="left" vertical="center"/>
    </xf>
    <xf numFmtId="0" fontId="15" fillId="21" borderId="5" xfId="2" applyFont="1" applyFill="1" applyBorder="1" applyAlignment="1">
      <alignment horizontal="center" vertical="center" wrapText="1"/>
    </xf>
    <xf numFmtId="0" fontId="17" fillId="20" borderId="5" xfId="4" applyFont="1" applyFill="1" applyBorder="1" applyAlignment="1">
      <alignment horizontal="left" vertical="center"/>
    </xf>
    <xf numFmtId="0" fontId="20" fillId="22" borderId="5" xfId="2" applyFont="1" applyFill="1" applyBorder="1" applyAlignment="1">
      <alignment horizontal="center" vertical="center" wrapText="1"/>
    </xf>
    <xf numFmtId="0" fontId="17" fillId="22" borderId="5" xfId="4" applyFont="1" applyFill="1" applyBorder="1" applyAlignment="1">
      <alignment horizontal="left" vertical="center"/>
    </xf>
    <xf numFmtId="0" fontId="15" fillId="22" borderId="5" xfId="2" applyFont="1" applyFill="1" applyBorder="1" applyAlignment="1">
      <alignment horizontal="center" vertical="center" wrapText="1"/>
    </xf>
    <xf numFmtId="0" fontId="15" fillId="3" borderId="5" xfId="2" applyFont="1" applyFill="1" applyBorder="1" applyAlignment="1">
      <alignment horizontal="left" vertical="center" wrapText="1"/>
    </xf>
    <xf numFmtId="0" fontId="15" fillId="4" borderId="5" xfId="2" applyFont="1" applyFill="1" applyBorder="1" applyAlignment="1">
      <alignment horizontal="left" vertical="center" wrapText="1"/>
    </xf>
    <xf numFmtId="0" fontId="15" fillId="5" borderId="5" xfId="2" applyFont="1" applyFill="1" applyBorder="1" applyAlignment="1">
      <alignment horizontal="left" vertical="center" wrapText="1"/>
    </xf>
    <xf numFmtId="0" fontId="15" fillId="6" borderId="5" xfId="2" applyFont="1" applyFill="1" applyBorder="1" applyAlignment="1">
      <alignment horizontal="left" vertical="center" wrapText="1"/>
    </xf>
    <xf numFmtId="0" fontId="17" fillId="7" borderId="2" xfId="2" applyFont="1" applyFill="1" applyBorder="1" applyAlignment="1">
      <alignment horizontal="left" vertical="center" wrapText="1"/>
    </xf>
    <xf numFmtId="0" fontId="15" fillId="7" borderId="5" xfId="2" applyFont="1" applyFill="1" applyBorder="1" applyAlignment="1">
      <alignment horizontal="left" vertical="center" wrapText="1"/>
    </xf>
    <xf numFmtId="0" fontId="15" fillId="8" borderId="2" xfId="2" applyFont="1" applyFill="1" applyBorder="1" applyAlignment="1">
      <alignment horizontal="left" vertical="center" wrapText="1"/>
    </xf>
    <xf numFmtId="0" fontId="15" fillId="8" borderId="5" xfId="2" applyFont="1" applyFill="1" applyBorder="1" applyAlignment="1">
      <alignment horizontal="left" vertical="center" wrapText="1"/>
    </xf>
    <xf numFmtId="0" fontId="15" fillId="9" borderId="5" xfId="2" applyFont="1" applyFill="1" applyBorder="1" applyAlignment="1">
      <alignment horizontal="left" vertical="center" wrapText="1"/>
    </xf>
    <xf numFmtId="0" fontId="15" fillId="10" borderId="5" xfId="2" applyFont="1" applyFill="1" applyBorder="1" applyAlignment="1">
      <alignment horizontal="left" vertical="center" wrapText="1"/>
    </xf>
    <xf numFmtId="0" fontId="16" fillId="10" borderId="5" xfId="2" applyFont="1" applyFill="1" applyBorder="1" applyAlignment="1">
      <alignment horizontal="left" vertical="center" wrapText="1"/>
    </xf>
    <xf numFmtId="0" fontId="19" fillId="7" borderId="5" xfId="2" applyFont="1" applyFill="1" applyBorder="1" applyAlignment="1">
      <alignment horizontal="left" vertical="center" wrapText="1"/>
    </xf>
    <xf numFmtId="0" fontId="24" fillId="7" borderId="5" xfId="2" applyFont="1" applyFill="1" applyBorder="1" applyAlignment="1">
      <alignment horizontal="left" vertical="center" wrapText="1"/>
    </xf>
    <xf numFmtId="0" fontId="17" fillId="7" borderId="5" xfId="2" applyFont="1" applyFill="1" applyBorder="1" applyAlignment="1">
      <alignment horizontal="left" vertical="center" wrapText="1"/>
    </xf>
    <xf numFmtId="0" fontId="24" fillId="11" borderId="5" xfId="2" applyFont="1" applyFill="1" applyBorder="1" applyAlignment="1">
      <alignment horizontal="left" vertical="center" wrapText="1"/>
    </xf>
    <xf numFmtId="0" fontId="17" fillId="11" borderId="5" xfId="2" applyFont="1" applyFill="1" applyBorder="1" applyAlignment="1">
      <alignment horizontal="left" vertical="center" wrapText="1"/>
    </xf>
    <xf numFmtId="0" fontId="20" fillId="12" borderId="5" xfId="2" applyFont="1" applyFill="1" applyBorder="1" applyAlignment="1">
      <alignment horizontal="left" vertical="center" wrapText="1"/>
    </xf>
    <xf numFmtId="0" fontId="15" fillId="12" borderId="5" xfId="2" applyFont="1" applyFill="1" applyBorder="1" applyAlignment="1">
      <alignment horizontal="left" vertical="center" wrapText="1"/>
    </xf>
    <xf numFmtId="0" fontId="19" fillId="13" borderId="5" xfId="2" applyFont="1" applyFill="1" applyBorder="1" applyAlignment="1">
      <alignment horizontal="left" vertical="center" wrapText="1"/>
    </xf>
    <xf numFmtId="0" fontId="20" fillId="13" borderId="5" xfId="2" applyFont="1" applyFill="1" applyBorder="1" applyAlignment="1">
      <alignment horizontal="left" vertical="center" wrapText="1"/>
    </xf>
    <xf numFmtId="0" fontId="17" fillId="13" borderId="5" xfId="2" applyFont="1" applyFill="1" applyBorder="1" applyAlignment="1">
      <alignment horizontal="left" vertical="center" wrapText="1"/>
    </xf>
    <xf numFmtId="0" fontId="20" fillId="14" borderId="5" xfId="2" applyFont="1" applyFill="1" applyBorder="1" applyAlignment="1">
      <alignment horizontal="left" vertical="center" wrapText="1"/>
    </xf>
    <xf numFmtId="0" fontId="16" fillId="14" borderId="5" xfId="2" applyFont="1" applyFill="1" applyBorder="1" applyAlignment="1">
      <alignment horizontal="left" vertical="center" wrapText="1"/>
    </xf>
    <xf numFmtId="0" fontId="17" fillId="14" borderId="5" xfId="2" applyFont="1" applyFill="1" applyBorder="1" applyAlignment="1">
      <alignment horizontal="left" vertical="center" wrapText="1"/>
    </xf>
    <xf numFmtId="0" fontId="20" fillId="15" borderId="5" xfId="2" applyFont="1" applyFill="1" applyBorder="1" applyAlignment="1">
      <alignment horizontal="left" vertical="center" wrapText="1"/>
    </xf>
    <xf numFmtId="0" fontId="16" fillId="24" borderId="5" xfId="2" applyFont="1" applyFill="1" applyBorder="1" applyAlignment="1">
      <alignment horizontal="left" vertical="center" wrapText="1"/>
    </xf>
    <xf numFmtId="0" fontId="15" fillId="15" borderId="5" xfId="2" applyFont="1" applyFill="1" applyBorder="1" applyAlignment="1">
      <alignment horizontal="left" vertical="center" wrapText="1"/>
    </xf>
    <xf numFmtId="0" fontId="19" fillId="8" borderId="5" xfId="2" applyFont="1" applyFill="1" applyBorder="1" applyAlignment="1">
      <alignment horizontal="left" vertical="center" wrapText="1"/>
    </xf>
    <xf numFmtId="0" fontId="25" fillId="8" borderId="5" xfId="2" applyFont="1" applyFill="1" applyBorder="1" applyAlignment="1">
      <alignment horizontal="left" vertical="center" wrapText="1"/>
    </xf>
    <xf numFmtId="0" fontId="19" fillId="16" borderId="5" xfId="2" applyFont="1" applyFill="1" applyBorder="1" applyAlignment="1">
      <alignment horizontal="left" vertical="center" wrapText="1"/>
    </xf>
    <xf numFmtId="0" fontId="25" fillId="16" borderId="5" xfId="2" applyFont="1" applyFill="1" applyBorder="1" applyAlignment="1">
      <alignment horizontal="left" vertical="center" wrapText="1"/>
    </xf>
    <xf numFmtId="0" fontId="15" fillId="16" borderId="5" xfId="2" applyFont="1" applyFill="1" applyBorder="1" applyAlignment="1">
      <alignment horizontal="left" vertical="center" wrapText="1"/>
    </xf>
    <xf numFmtId="0" fontId="19" fillId="10" borderId="5" xfId="2" applyFont="1" applyFill="1" applyBorder="1" applyAlignment="1">
      <alignment horizontal="left" vertical="center" wrapText="1"/>
    </xf>
    <xf numFmtId="0" fontId="15" fillId="17" borderId="5" xfId="2" applyFont="1" applyFill="1" applyBorder="1" applyAlignment="1">
      <alignment horizontal="left" vertical="center" wrapText="1"/>
    </xf>
    <xf numFmtId="0" fontId="15" fillId="18" borderId="5" xfId="2" applyFont="1" applyFill="1" applyBorder="1" applyAlignment="1">
      <alignment horizontal="left" vertical="center" wrapText="1"/>
    </xf>
    <xf numFmtId="0" fontId="16" fillId="18" borderId="5" xfId="2" applyFont="1" applyFill="1" applyBorder="1" applyAlignment="1">
      <alignment horizontal="left" vertical="center" wrapText="1"/>
    </xf>
    <xf numFmtId="0" fontId="19" fillId="19" borderId="5" xfId="2" applyFont="1" applyFill="1" applyBorder="1" applyAlignment="1">
      <alignment horizontal="left" vertical="center" wrapText="1"/>
    </xf>
    <xf numFmtId="0" fontId="24" fillId="19" borderId="5" xfId="2" applyFont="1" applyFill="1" applyBorder="1" applyAlignment="1">
      <alignment horizontal="left" vertical="center" wrapText="1"/>
    </xf>
    <xf numFmtId="0" fontId="15" fillId="19" borderId="5" xfId="2" applyFont="1" applyFill="1" applyBorder="1" applyAlignment="1">
      <alignment horizontal="left" vertical="center" wrapText="1"/>
    </xf>
    <xf numFmtId="0" fontId="17" fillId="20" borderId="5" xfId="2" applyFont="1" applyFill="1" applyBorder="1" applyAlignment="1">
      <alignment horizontal="left" vertical="center" wrapText="1"/>
    </xf>
    <xf numFmtId="0" fontId="20" fillId="20" borderId="5" xfId="2" applyFont="1" applyFill="1" applyBorder="1" applyAlignment="1">
      <alignment horizontal="left" vertical="center" wrapText="1"/>
    </xf>
    <xf numFmtId="0" fontId="15" fillId="20" borderId="5" xfId="2" applyFont="1" applyFill="1" applyBorder="1" applyAlignment="1">
      <alignment horizontal="left" vertical="center" wrapText="1"/>
    </xf>
    <xf numFmtId="0" fontId="17" fillId="21" borderId="5" xfId="4" applyFont="1" applyFill="1" applyBorder="1" applyAlignment="1">
      <alignment horizontal="center" vertical="center"/>
    </xf>
    <xf numFmtId="0" fontId="17" fillId="20" borderId="5" xfId="4" applyFont="1" applyFill="1" applyBorder="1" applyAlignment="1">
      <alignment horizontal="center" vertical="center"/>
    </xf>
    <xf numFmtId="0" fontId="17" fillId="22" borderId="5" xfId="4" applyFont="1" applyFill="1" applyBorder="1" applyAlignment="1">
      <alignment horizontal="center" vertical="center"/>
    </xf>
    <xf numFmtId="0" fontId="26" fillId="3" borderId="6" xfId="2" applyFont="1" applyFill="1" applyBorder="1" applyAlignment="1">
      <alignment horizontal="center" vertical="center" wrapText="1"/>
    </xf>
    <xf numFmtId="0" fontId="26" fillId="3" borderId="7" xfId="2" applyFont="1" applyFill="1" applyBorder="1" applyAlignment="1">
      <alignment horizontal="left" vertical="top" wrapText="1"/>
    </xf>
    <xf numFmtId="0" fontId="26" fillId="4" borderId="6" xfId="2" applyFont="1" applyFill="1" applyBorder="1" applyAlignment="1">
      <alignment horizontal="center" vertical="center" wrapText="1"/>
    </xf>
    <xf numFmtId="0" fontId="26" fillId="4" borderId="7" xfId="2" applyFont="1" applyFill="1" applyBorder="1" applyAlignment="1">
      <alignment horizontal="left" vertical="top" wrapText="1"/>
    </xf>
    <xf numFmtId="0" fontId="26" fillId="4" borderId="6" xfId="2" applyFont="1" applyFill="1" applyBorder="1" applyAlignment="1">
      <alignment horizontal="left" vertical="top" wrapText="1"/>
    </xf>
    <xf numFmtId="0" fontId="26" fillId="5" borderId="6" xfId="2" applyFont="1" applyFill="1" applyBorder="1" applyAlignment="1">
      <alignment horizontal="center" vertical="center" wrapText="1"/>
    </xf>
    <xf numFmtId="0" fontId="27" fillId="5" borderId="7" xfId="2" applyFont="1" applyFill="1" applyBorder="1" applyAlignment="1">
      <alignment horizontal="left" wrapText="1"/>
    </xf>
    <xf numFmtId="0" fontId="26" fillId="5" borderId="6" xfId="2" applyFont="1" applyFill="1" applyBorder="1" applyAlignment="1">
      <alignment horizontal="left" vertical="top" wrapText="1"/>
    </xf>
    <xf numFmtId="0" fontId="26" fillId="6" borderId="6" xfId="2" applyFont="1" applyFill="1" applyBorder="1" applyAlignment="1">
      <alignment horizontal="center" vertical="center" wrapText="1"/>
    </xf>
    <xf numFmtId="0" fontId="28" fillId="6" borderId="7" xfId="2" applyFont="1" applyFill="1" applyBorder="1" applyAlignment="1">
      <alignment horizontal="left" wrapText="1"/>
    </xf>
    <xf numFmtId="0" fontId="26" fillId="6" borderId="6" xfId="2" applyFont="1" applyFill="1" applyBorder="1" applyAlignment="1">
      <alignment horizontal="left" vertical="top" wrapText="1"/>
    </xf>
    <xf numFmtId="0" fontId="17" fillId="7" borderId="7" xfId="2" applyFont="1" applyFill="1" applyBorder="1" applyAlignment="1">
      <alignment horizontal="center" vertical="center" wrapText="1"/>
    </xf>
    <xf numFmtId="0" fontId="28" fillId="7" borderId="7" xfId="2" applyFont="1" applyFill="1" applyBorder="1" applyAlignment="1">
      <alignment horizontal="left" wrapText="1"/>
    </xf>
    <xf numFmtId="0" fontId="26" fillId="7" borderId="6" xfId="2" applyFont="1" applyFill="1" applyBorder="1" applyAlignment="1">
      <alignment horizontal="center" vertical="center" wrapText="1"/>
    </xf>
    <xf numFmtId="0" fontId="26" fillId="8" borderId="7" xfId="2" applyFont="1" applyFill="1" applyBorder="1" applyAlignment="1">
      <alignment horizontal="center" vertical="center" wrapText="1"/>
    </xf>
    <xf numFmtId="0" fontId="28" fillId="8" borderId="7" xfId="2" applyFont="1" applyFill="1" applyBorder="1" applyAlignment="1">
      <alignment horizontal="left" vertical="center" wrapText="1"/>
    </xf>
    <xf numFmtId="0" fontId="26" fillId="8" borderId="6" xfId="2" applyFont="1" applyFill="1" applyBorder="1" applyAlignment="1">
      <alignment horizontal="center" vertical="center" wrapText="1"/>
    </xf>
    <xf numFmtId="0" fontId="26" fillId="9" borderId="6" xfId="2" applyFont="1" applyFill="1" applyBorder="1" applyAlignment="1">
      <alignment horizontal="center" vertical="center" wrapText="1"/>
    </xf>
    <xf numFmtId="0" fontId="28" fillId="9" borderId="7" xfId="4" applyFont="1" applyFill="1" applyBorder="1" applyAlignment="1">
      <alignment horizontal="left" vertical="center"/>
    </xf>
    <xf numFmtId="0" fontId="26" fillId="10" borderId="6" xfId="2" applyFont="1" applyFill="1" applyBorder="1" applyAlignment="1">
      <alignment horizontal="center" vertical="center" wrapText="1"/>
    </xf>
    <xf numFmtId="0" fontId="29" fillId="7" borderId="6" xfId="2" applyFont="1" applyFill="1" applyBorder="1" applyAlignment="1">
      <alignment horizontal="center" vertical="center" wrapText="1"/>
    </xf>
    <xf numFmtId="0" fontId="20" fillId="27" borderId="6" xfId="2" applyFont="1" applyFill="1" applyBorder="1" applyAlignment="1">
      <alignment horizontal="left" vertical="center" wrapText="1"/>
    </xf>
    <xf numFmtId="0" fontId="17" fillId="7" borderId="6" xfId="2" applyFont="1" applyFill="1" applyBorder="1" applyAlignment="1">
      <alignment horizontal="center" vertical="center" wrapText="1"/>
    </xf>
    <xf numFmtId="0" fontId="20" fillId="11" borderId="6" xfId="2" applyFont="1" applyFill="1" applyBorder="1" applyAlignment="1">
      <alignment horizontal="center" vertical="center" wrapText="1"/>
    </xf>
    <xf numFmtId="0" fontId="20" fillId="11" borderId="6" xfId="2" applyFont="1" applyFill="1" applyBorder="1" applyAlignment="1">
      <alignment horizontal="left" vertical="center" wrapText="1"/>
    </xf>
    <xf numFmtId="0" fontId="17" fillId="11" borderId="6" xfId="2" applyFont="1" applyFill="1" applyBorder="1" applyAlignment="1">
      <alignment horizontal="center" vertical="center" wrapText="1"/>
    </xf>
    <xf numFmtId="0" fontId="20" fillId="12" borderId="6" xfId="2" applyFont="1" applyFill="1" applyBorder="1" applyAlignment="1">
      <alignment horizontal="center" vertical="center" wrapText="1"/>
    </xf>
    <xf numFmtId="0" fontId="20" fillId="12" borderId="6" xfId="2" applyFont="1" applyFill="1" applyBorder="1" applyAlignment="1">
      <alignment vertical="center" wrapText="1"/>
    </xf>
    <xf numFmtId="0" fontId="17" fillId="12" borderId="6" xfId="2" applyFont="1" applyFill="1" applyBorder="1" applyAlignment="1">
      <alignment vertical="center" wrapText="1"/>
    </xf>
    <xf numFmtId="0" fontId="20" fillId="13" borderId="6" xfId="2" applyFont="1" applyFill="1" applyBorder="1" applyAlignment="1">
      <alignment vertical="center" wrapText="1"/>
    </xf>
    <xf numFmtId="0" fontId="17" fillId="13" borderId="6" xfId="2" applyFont="1" applyFill="1" applyBorder="1" applyAlignment="1">
      <alignment vertical="center" wrapText="1"/>
    </xf>
    <xf numFmtId="0" fontId="20" fillId="14" borderId="6" xfId="2" applyFont="1" applyFill="1" applyBorder="1" applyAlignment="1">
      <alignment vertical="center" wrapText="1"/>
    </xf>
    <xf numFmtId="0" fontId="17" fillId="14" borderId="6" xfId="2" applyFont="1" applyFill="1" applyBorder="1" applyAlignment="1">
      <alignment vertical="center" wrapText="1"/>
    </xf>
    <xf numFmtId="0" fontId="20" fillId="15" borderId="6" xfId="2" applyFont="1" applyFill="1" applyBorder="1" applyAlignment="1">
      <alignment vertical="center" wrapText="1"/>
    </xf>
    <xf numFmtId="0" fontId="17" fillId="15" borderId="6" xfId="2" applyFont="1" applyFill="1" applyBorder="1" applyAlignment="1">
      <alignment vertical="center" wrapText="1"/>
    </xf>
    <xf numFmtId="0" fontId="26" fillId="15" borderId="6" xfId="2" applyFont="1" applyFill="1" applyBorder="1" applyAlignment="1">
      <alignment horizontal="center" vertical="center" wrapText="1"/>
    </xf>
    <xf numFmtId="0" fontId="29" fillId="8" borderId="6" xfId="2" applyFont="1" applyFill="1" applyBorder="1" applyAlignment="1">
      <alignment horizontal="center" vertical="center" wrapText="1"/>
    </xf>
    <xf numFmtId="0" fontId="17" fillId="25" borderId="6" xfId="2" applyFont="1" applyFill="1" applyBorder="1" applyAlignment="1">
      <alignment vertical="center" wrapText="1"/>
    </xf>
    <xf numFmtId="0" fontId="17" fillId="8" borderId="6" xfId="2" applyFont="1" applyFill="1" applyBorder="1" applyAlignment="1">
      <alignment vertical="center" wrapText="1"/>
    </xf>
    <xf numFmtId="0" fontId="20" fillId="16" borderId="6" xfId="2" applyFont="1" applyFill="1" applyBorder="1" applyAlignment="1">
      <alignment vertical="center" wrapText="1"/>
    </xf>
    <xf numFmtId="0" fontId="20" fillId="26" borderId="6" xfId="2" applyFont="1" applyFill="1" applyBorder="1" applyAlignment="1">
      <alignment vertical="center" wrapText="1"/>
    </xf>
    <xf numFmtId="0" fontId="17" fillId="16" borderId="6" xfId="2" applyFont="1" applyFill="1" applyBorder="1" applyAlignment="1">
      <alignment horizontal="center" vertical="center" wrapText="1"/>
    </xf>
    <xf numFmtId="0" fontId="20" fillId="10" borderId="6" xfId="2" applyFont="1" applyFill="1" applyBorder="1" applyAlignment="1">
      <alignment horizontal="center" vertical="center" wrapText="1"/>
    </xf>
    <xf numFmtId="0" fontId="30" fillId="10" borderId="6" xfId="2" applyFont="1" applyFill="1" applyBorder="1">
      <alignment vertical="center"/>
    </xf>
    <xf numFmtId="0" fontId="17" fillId="10" borderId="6" xfId="2" applyFont="1" applyFill="1" applyBorder="1" applyAlignment="1">
      <alignment horizontal="center" vertical="center" wrapText="1"/>
    </xf>
    <xf numFmtId="0" fontId="17" fillId="17" borderId="6" xfId="2" applyFont="1" applyFill="1" applyBorder="1" applyAlignment="1">
      <alignment horizontal="center" vertical="center" wrapText="1"/>
    </xf>
    <xf numFmtId="0" fontId="26" fillId="17" borderId="6" xfId="2" applyFont="1" applyFill="1" applyBorder="1" applyAlignment="1">
      <alignment horizontal="center" vertical="center" wrapText="1"/>
    </xf>
    <xf numFmtId="0" fontId="26" fillId="18" borderId="6" xfId="2" applyFont="1" applyFill="1" applyBorder="1" applyAlignment="1">
      <alignment horizontal="center" vertical="center" wrapText="1"/>
    </xf>
    <xf numFmtId="0" fontId="31" fillId="18" borderId="6" xfId="4" applyFont="1" applyFill="1" applyBorder="1" applyAlignment="1">
      <alignment horizontal="left" vertical="center"/>
    </xf>
    <xf numFmtId="0" fontId="17" fillId="18" borderId="6" xfId="2" applyFont="1" applyFill="1" applyBorder="1" applyAlignment="1">
      <alignment horizontal="left" vertical="center" wrapText="1"/>
    </xf>
    <xf numFmtId="0" fontId="20" fillId="19" borderId="6" xfId="2" applyFont="1" applyFill="1" applyBorder="1" applyAlignment="1">
      <alignment horizontal="center" vertical="center" wrapText="1"/>
    </xf>
    <xf numFmtId="0" fontId="9" fillId="19" borderId="6" xfId="2" applyFont="1" applyFill="1" applyBorder="1" applyAlignment="1">
      <alignment horizontal="left" vertical="center" wrapText="1"/>
    </xf>
    <xf numFmtId="0" fontId="17" fillId="19" borderId="6" xfId="2" applyFont="1" applyFill="1" applyBorder="1" applyAlignment="1">
      <alignment horizontal="center" vertical="center" wrapText="1"/>
    </xf>
    <xf numFmtId="0" fontId="17" fillId="20" borderId="6" xfId="2" applyFont="1" applyFill="1" applyBorder="1" applyAlignment="1">
      <alignment horizontal="center" vertical="center" wrapText="1"/>
    </xf>
    <xf numFmtId="0" fontId="20" fillId="20" borderId="6" xfId="2" applyFont="1" applyFill="1" applyBorder="1" applyAlignment="1">
      <alignment horizontal="center" vertical="center" wrapText="1"/>
    </xf>
    <xf numFmtId="0" fontId="17" fillId="20" borderId="6" xfId="4" applyFont="1" applyFill="1" applyBorder="1" applyAlignment="1">
      <alignment horizontal="left" vertical="center"/>
    </xf>
    <xf numFmtId="0" fontId="26" fillId="20" borderId="6" xfId="2" applyFont="1" applyFill="1" applyBorder="1" applyAlignment="1">
      <alignment horizontal="center" vertical="center" wrapText="1"/>
    </xf>
    <xf numFmtId="0" fontId="20" fillId="21" borderId="6" xfId="2" applyFont="1" applyFill="1" applyBorder="1" applyAlignment="1">
      <alignment horizontal="center" vertical="center" wrapText="1"/>
    </xf>
    <xf numFmtId="0" fontId="17" fillId="21" borderId="6" xfId="4" applyFont="1" applyFill="1" applyBorder="1" applyAlignment="1">
      <alignment horizontal="center" vertical="center"/>
    </xf>
    <xf numFmtId="0" fontId="26" fillId="21" borderId="6" xfId="2" applyFont="1" applyFill="1" applyBorder="1" applyAlignment="1">
      <alignment horizontal="center" vertical="center" wrapText="1"/>
    </xf>
    <xf numFmtId="0" fontId="17" fillId="20" borderId="6" xfId="4" applyFont="1" applyFill="1" applyBorder="1" applyAlignment="1">
      <alignment horizontal="center" vertical="center"/>
    </xf>
    <xf numFmtId="0" fontId="20" fillId="22" borderId="6" xfId="2" applyFont="1" applyFill="1" applyBorder="1" applyAlignment="1">
      <alignment horizontal="center" vertical="center" wrapText="1"/>
    </xf>
    <xf numFmtId="0" fontId="32" fillId="22" borderId="6" xfId="4" applyFont="1" applyFill="1" applyBorder="1" applyAlignment="1">
      <alignment horizontal="left" vertical="center"/>
    </xf>
    <xf numFmtId="0" fontId="26" fillId="22" borderId="6" xfId="2" applyFont="1" applyFill="1" applyBorder="1" applyAlignment="1">
      <alignment horizontal="center" vertical="center" wrapText="1"/>
    </xf>
    <xf numFmtId="0" fontId="33" fillId="0" borderId="0" xfId="2" applyFont="1">
      <alignment vertical="center"/>
    </xf>
    <xf numFmtId="0" fontId="34" fillId="0" borderId="0" xfId="5" quotePrefix="1">
      <alignment vertical="center"/>
    </xf>
    <xf numFmtId="0" fontId="35" fillId="3" borderId="4" xfId="2" applyFont="1" applyFill="1" applyBorder="1" applyAlignment="1">
      <alignment horizontal="center" vertical="center" wrapText="1"/>
    </xf>
    <xf numFmtId="0" fontId="15" fillId="3" borderId="4" xfId="2" applyFont="1" applyFill="1" applyBorder="1" applyAlignment="1">
      <alignment horizontal="left" vertical="center" wrapText="1"/>
    </xf>
    <xf numFmtId="0" fontId="36" fillId="3" borderId="4" xfId="2" applyFont="1" applyFill="1" applyBorder="1" applyAlignment="1">
      <alignment horizontal="left" vertical="center" wrapText="1"/>
    </xf>
    <xf numFmtId="0" fontId="35" fillId="4" borderId="4" xfId="2" applyFont="1" applyFill="1" applyBorder="1" applyAlignment="1">
      <alignment horizontal="center" vertical="center" wrapText="1"/>
    </xf>
    <xf numFmtId="0" fontId="15" fillId="4" borderId="4" xfId="2" applyFont="1" applyFill="1" applyBorder="1" applyAlignment="1">
      <alignment horizontal="left" vertical="center" wrapText="1"/>
    </xf>
    <xf numFmtId="0" fontId="26" fillId="4" borderId="5" xfId="2" applyFont="1" applyFill="1" applyBorder="1" applyAlignment="1">
      <alignment horizontal="left" vertical="top" wrapText="1"/>
    </xf>
    <xf numFmtId="0" fontId="35" fillId="5" borderId="4" xfId="2" applyFont="1" applyFill="1" applyBorder="1" applyAlignment="1">
      <alignment horizontal="center" vertical="center" wrapText="1"/>
    </xf>
    <xf numFmtId="0" fontId="36" fillId="5" borderId="4" xfId="2" applyFont="1" applyFill="1" applyBorder="1" applyAlignment="1">
      <alignment horizontal="left" vertical="center" wrapText="1"/>
    </xf>
    <xf numFmtId="0" fontId="26" fillId="5" borderId="5" xfId="2" applyFont="1" applyFill="1" applyBorder="1" applyAlignment="1">
      <alignment horizontal="left" vertical="top" wrapText="1"/>
    </xf>
    <xf numFmtId="0" fontId="35" fillId="6" borderId="4" xfId="2" applyFont="1" applyFill="1" applyBorder="1" applyAlignment="1">
      <alignment horizontal="center" vertical="center" wrapText="1"/>
    </xf>
    <xf numFmtId="0" fontId="26" fillId="6" borderId="5" xfId="2" applyFont="1" applyFill="1" applyBorder="1" applyAlignment="1">
      <alignment horizontal="left" vertical="top" wrapText="1"/>
    </xf>
    <xf numFmtId="0" fontId="35" fillId="7" borderId="0" xfId="2" applyFont="1" applyFill="1" applyAlignment="1">
      <alignment horizontal="center" vertical="center" wrapText="1"/>
    </xf>
    <xf numFmtId="0" fontId="36" fillId="27" borderId="4" xfId="2" applyFont="1" applyFill="1" applyBorder="1" applyAlignment="1">
      <alignment horizontal="left" vertical="center" wrapText="1"/>
    </xf>
    <xf numFmtId="0" fontId="26" fillId="7" borderId="5" xfId="2" applyFont="1" applyFill="1" applyBorder="1" applyAlignment="1">
      <alignment horizontal="center" vertical="center" wrapText="1"/>
    </xf>
    <xf numFmtId="0" fontId="35" fillId="8" borderId="3" xfId="2" applyFont="1" applyFill="1" applyBorder="1" applyAlignment="1">
      <alignment horizontal="center" vertical="center" wrapText="1"/>
    </xf>
    <xf numFmtId="0" fontId="36" fillId="25" borderId="4" xfId="2" applyFont="1" applyFill="1" applyBorder="1" applyAlignment="1">
      <alignment horizontal="left" vertical="center" wrapText="1"/>
    </xf>
    <xf numFmtId="0" fontId="26" fillId="8" borderId="5" xfId="2" applyFont="1" applyFill="1" applyBorder="1" applyAlignment="1">
      <alignment horizontal="center" vertical="center" wrapText="1"/>
    </xf>
    <xf numFmtId="0" fontId="35" fillId="9" borderId="0" xfId="2" applyFont="1" applyFill="1" applyAlignment="1">
      <alignment horizontal="center" vertical="center" wrapText="1"/>
    </xf>
    <xf numFmtId="0" fontId="36" fillId="9" borderId="4" xfId="2" applyFont="1" applyFill="1" applyBorder="1" applyAlignment="1">
      <alignment horizontal="left" vertical="center" wrapText="1"/>
    </xf>
    <xf numFmtId="0" fontId="26" fillId="9" borderId="5" xfId="2" applyFont="1" applyFill="1" applyBorder="1" applyAlignment="1">
      <alignment horizontal="center" vertical="center" wrapText="1"/>
    </xf>
    <xf numFmtId="0" fontId="26" fillId="10" borderId="5" xfId="2" applyFont="1" applyFill="1" applyBorder="1" applyAlignment="1">
      <alignment horizontal="center" vertical="center" wrapText="1"/>
    </xf>
    <xf numFmtId="0" fontId="37" fillId="7" borderId="5" xfId="2" applyFont="1" applyFill="1" applyBorder="1" applyAlignment="1">
      <alignment horizontal="center" vertical="center" wrapText="1"/>
    </xf>
    <xf numFmtId="0" fontId="37" fillId="11" borderId="5" xfId="2" applyFont="1" applyFill="1" applyBorder="1" applyAlignment="1">
      <alignment horizontal="center" vertical="center" wrapText="1"/>
    </xf>
    <xf numFmtId="0" fontId="26" fillId="11" borderId="5" xfId="2" applyFont="1" applyFill="1" applyBorder="1" applyAlignment="1">
      <alignment horizontal="center" vertical="center" wrapText="1"/>
    </xf>
    <xf numFmtId="0" fontId="29" fillId="12" borderId="5" xfId="2" applyFont="1" applyFill="1" applyBorder="1" applyAlignment="1">
      <alignment horizontal="center" vertical="center" wrapText="1"/>
    </xf>
    <xf numFmtId="0" fontId="38" fillId="12" borderId="5" xfId="2" applyFont="1" applyFill="1" applyBorder="1" applyAlignment="1">
      <alignment horizontal="left" vertical="center" wrapText="1"/>
    </xf>
    <xf numFmtId="0" fontId="26" fillId="12" borderId="5" xfId="2" applyFont="1" applyFill="1" applyBorder="1" applyAlignment="1">
      <alignment horizontal="center" vertical="center" wrapText="1"/>
    </xf>
    <xf numFmtId="0" fontId="29" fillId="13" borderId="5" xfId="2" applyFont="1" applyFill="1" applyBorder="1" applyAlignment="1">
      <alignment horizontal="center" vertical="center" wrapText="1"/>
    </xf>
    <xf numFmtId="0" fontId="38" fillId="13" borderId="5" xfId="2" applyFont="1" applyFill="1" applyBorder="1" applyAlignment="1">
      <alignment horizontal="left" vertical="center" wrapText="1"/>
    </xf>
    <xf numFmtId="0" fontId="26" fillId="13" borderId="5" xfId="2" applyFont="1" applyFill="1" applyBorder="1" applyAlignment="1">
      <alignment horizontal="center" vertical="center" wrapText="1"/>
    </xf>
    <xf numFmtId="0" fontId="29" fillId="14" borderId="5" xfId="2" applyFont="1" applyFill="1" applyBorder="1" applyAlignment="1">
      <alignment horizontal="center" vertical="center" wrapText="1"/>
    </xf>
    <xf numFmtId="0" fontId="38" fillId="14" borderId="5" xfId="2" applyFont="1" applyFill="1" applyBorder="1" applyAlignment="1">
      <alignment horizontal="left" vertical="center" wrapText="1"/>
    </xf>
    <xf numFmtId="0" fontId="26" fillId="14" borderId="5" xfId="2" applyFont="1" applyFill="1" applyBorder="1" applyAlignment="1">
      <alignment horizontal="center" vertical="center" wrapText="1"/>
    </xf>
    <xf numFmtId="0" fontId="29" fillId="15" borderId="5" xfId="2" applyFont="1" applyFill="1" applyBorder="1" applyAlignment="1">
      <alignment horizontal="center" vertical="center" wrapText="1"/>
    </xf>
    <xf numFmtId="0" fontId="38" fillId="24" borderId="5" xfId="2" applyFont="1" applyFill="1" applyBorder="1" applyAlignment="1">
      <alignment horizontal="left" vertical="center" wrapText="1"/>
    </xf>
    <xf numFmtId="0" fontId="26" fillId="15" borderId="5" xfId="2" applyFont="1" applyFill="1" applyBorder="1" applyAlignment="1">
      <alignment horizontal="center" vertical="center" wrapText="1"/>
    </xf>
    <xf numFmtId="0" fontId="29" fillId="8" borderId="5" xfId="2" applyFont="1" applyFill="1" applyBorder="1" applyAlignment="1">
      <alignment horizontal="center" vertical="center" wrapText="1"/>
    </xf>
    <xf numFmtId="0" fontId="38" fillId="25" borderId="5" xfId="2" applyFont="1" applyFill="1" applyBorder="1" applyAlignment="1">
      <alignment horizontal="left" vertical="center" wrapText="1"/>
    </xf>
    <xf numFmtId="0" fontId="29" fillId="16" borderId="5" xfId="2" applyFont="1" applyFill="1" applyBorder="1" applyAlignment="1">
      <alignment horizontal="center" vertical="center" wrapText="1"/>
    </xf>
    <xf numFmtId="0" fontId="38" fillId="26" borderId="5" xfId="2" applyFont="1" applyFill="1" applyBorder="1" applyAlignment="1">
      <alignment horizontal="left" vertical="center" wrapText="1"/>
    </xf>
    <xf numFmtId="0" fontId="26" fillId="16" borderId="5" xfId="2" applyFont="1" applyFill="1" applyBorder="1" applyAlignment="1">
      <alignment horizontal="center" vertical="center" wrapText="1"/>
    </xf>
    <xf numFmtId="0" fontId="15" fillId="28" borderId="5" xfId="2" applyFont="1" applyFill="1" applyBorder="1" applyAlignment="1">
      <alignment horizontal="center" vertical="center" wrapText="1"/>
    </xf>
    <xf numFmtId="0" fontId="15" fillId="28" borderId="5" xfId="2" applyFont="1" applyFill="1" applyBorder="1" applyAlignment="1">
      <alignment horizontal="left" vertical="center" wrapText="1"/>
    </xf>
    <xf numFmtId="0" fontId="29" fillId="19" borderId="5" xfId="2" applyFont="1" applyFill="1" applyBorder="1" applyAlignment="1">
      <alignment horizontal="center" vertical="center" wrapText="1"/>
    </xf>
    <xf numFmtId="0" fontId="36" fillId="19" borderId="5" xfId="2" applyFont="1" applyFill="1" applyBorder="1" applyAlignment="1">
      <alignment horizontal="left" vertical="center" wrapText="1"/>
    </xf>
    <xf numFmtId="0" fontId="26" fillId="19" borderId="5" xfId="2" applyFont="1" applyFill="1" applyBorder="1" applyAlignment="1">
      <alignment horizontal="center" vertical="center" wrapText="1"/>
    </xf>
    <xf numFmtId="0" fontId="38" fillId="20" borderId="5" xfId="2" applyFont="1" applyFill="1" applyBorder="1" applyAlignment="1">
      <alignment horizontal="left" vertical="center" wrapText="1"/>
    </xf>
    <xf numFmtId="0" fontId="38" fillId="21" borderId="5" xfId="2" applyFont="1" applyFill="1" applyBorder="1" applyAlignment="1">
      <alignment horizontal="center" vertical="center" wrapText="1"/>
    </xf>
    <xf numFmtId="0" fontId="38" fillId="20" borderId="5" xfId="2" applyFont="1" applyFill="1" applyBorder="1" applyAlignment="1">
      <alignment horizontal="center" vertical="center" wrapText="1"/>
    </xf>
    <xf numFmtId="0" fontId="38" fillId="22" borderId="5" xfId="2" applyFont="1" applyFill="1" applyBorder="1" applyAlignment="1">
      <alignment horizontal="center" vertical="center" wrapText="1"/>
    </xf>
    <xf numFmtId="0" fontId="34" fillId="0" borderId="0" xfId="5">
      <alignment vertical="center"/>
    </xf>
    <xf numFmtId="0" fontId="35" fillId="3" borderId="5" xfId="2" applyFont="1" applyFill="1" applyBorder="1" applyAlignment="1">
      <alignment horizontal="center" vertical="center" wrapText="1"/>
    </xf>
    <xf numFmtId="0" fontId="15" fillId="3" borderId="2" xfId="2" applyFont="1" applyFill="1" applyBorder="1" applyAlignment="1">
      <alignment horizontal="left" vertical="center" wrapText="1"/>
    </xf>
    <xf numFmtId="0" fontId="36" fillId="3" borderId="2" xfId="2" applyFont="1" applyFill="1" applyBorder="1" applyAlignment="1">
      <alignment horizontal="left" vertical="center" wrapText="1"/>
    </xf>
    <xf numFmtId="0" fontId="35" fillId="4" borderId="5" xfId="2" applyFont="1" applyFill="1" applyBorder="1" applyAlignment="1">
      <alignment horizontal="center" vertical="center" wrapText="1"/>
    </xf>
    <xf numFmtId="0" fontId="15" fillId="4" borderId="2" xfId="2" applyFont="1" applyFill="1" applyBorder="1" applyAlignment="1">
      <alignment horizontal="left" vertical="center" wrapText="1"/>
    </xf>
    <xf numFmtId="0" fontId="35" fillId="5" borderId="5" xfId="2" applyFont="1" applyFill="1" applyBorder="1" applyAlignment="1">
      <alignment horizontal="center" vertical="center" wrapText="1"/>
    </xf>
    <xf numFmtId="0" fontId="36" fillId="5" borderId="2" xfId="2" applyFont="1" applyFill="1" applyBorder="1" applyAlignment="1">
      <alignment horizontal="left" vertical="center" wrapText="1"/>
    </xf>
    <xf numFmtId="0" fontId="35" fillId="6" borderId="5" xfId="2" applyFont="1" applyFill="1" applyBorder="1" applyAlignment="1">
      <alignment horizontal="center" vertical="center" wrapText="1"/>
    </xf>
    <xf numFmtId="0" fontId="36" fillId="27" borderId="2" xfId="2" applyFont="1" applyFill="1" applyBorder="1" applyAlignment="1">
      <alignment horizontal="left" vertical="center" wrapText="1"/>
    </xf>
    <xf numFmtId="0" fontId="35" fillId="8" borderId="5" xfId="2" applyFont="1" applyFill="1" applyBorder="1" applyAlignment="1">
      <alignment horizontal="center" vertical="center" wrapText="1"/>
    </xf>
    <xf numFmtId="0" fontId="36" fillId="25" borderId="2" xfId="2" applyFont="1" applyFill="1" applyBorder="1" applyAlignment="1">
      <alignment horizontal="left" vertical="center" wrapText="1"/>
    </xf>
    <xf numFmtId="0" fontId="36" fillId="9" borderId="2" xfId="2" applyFont="1" applyFill="1" applyBorder="1" applyAlignment="1">
      <alignment horizontal="left" vertical="center" wrapText="1"/>
    </xf>
    <xf numFmtId="0" fontId="26" fillId="9" borderId="5" xfId="2" applyFont="1" applyFill="1" applyBorder="1" applyAlignment="1">
      <alignment horizontal="left" vertical="center" wrapText="1"/>
    </xf>
    <xf numFmtId="0" fontId="37" fillId="7" borderId="5" xfId="2" applyFont="1" applyFill="1" applyBorder="1" applyAlignment="1">
      <alignment horizontal="left" vertical="center" wrapText="1"/>
    </xf>
    <xf numFmtId="0" fontId="35" fillId="11" borderId="5" xfId="2" applyFont="1" applyFill="1" applyBorder="1" applyAlignment="1">
      <alignment horizontal="left" vertical="center" wrapText="1"/>
    </xf>
    <xf numFmtId="0" fontId="37" fillId="12" borderId="5" xfId="2" applyFont="1" applyFill="1" applyBorder="1" applyAlignment="1">
      <alignment horizontal="center" vertical="center" wrapText="1"/>
    </xf>
    <xf numFmtId="0" fontId="37" fillId="13" borderId="5" xfId="2" applyFont="1" applyFill="1" applyBorder="1" applyAlignment="1">
      <alignment horizontal="center" vertical="center" wrapText="1"/>
    </xf>
    <xf numFmtId="0" fontId="15" fillId="13" borderId="5" xfId="2" applyFont="1" applyFill="1" applyBorder="1" applyAlignment="1">
      <alignment horizontal="left" vertical="center" wrapText="1"/>
    </xf>
    <xf numFmtId="0" fontId="15" fillId="13" borderId="5" xfId="2" applyFont="1" applyFill="1" applyBorder="1" applyAlignment="1">
      <alignment horizontal="center" vertical="center" wrapText="1"/>
    </xf>
    <xf numFmtId="0" fontId="37" fillId="14" borderId="5" xfId="2" applyFont="1" applyFill="1" applyBorder="1" applyAlignment="1">
      <alignment horizontal="center" vertical="center" wrapText="1"/>
    </xf>
    <xf numFmtId="0" fontId="15" fillId="14" borderId="5" xfId="2" applyFont="1" applyFill="1" applyBorder="1" applyAlignment="1">
      <alignment horizontal="left" vertical="center" wrapText="1"/>
    </xf>
    <xf numFmtId="0" fontId="37" fillId="15" borderId="5" xfId="2" applyFont="1" applyFill="1" applyBorder="1" applyAlignment="1">
      <alignment horizontal="center" vertical="center" wrapText="1"/>
    </xf>
    <xf numFmtId="0" fontId="15" fillId="24" borderId="5" xfId="2" applyFont="1" applyFill="1" applyBorder="1" applyAlignment="1">
      <alignment horizontal="left" vertical="center" wrapText="1"/>
    </xf>
    <xf numFmtId="0" fontId="37" fillId="25" borderId="5" xfId="2" applyFont="1" applyFill="1" applyBorder="1" applyAlignment="1">
      <alignment horizontal="center" vertical="center" wrapText="1"/>
    </xf>
    <xf numFmtId="0" fontId="36" fillId="25" borderId="5" xfId="2" applyFont="1" applyFill="1" applyBorder="1" applyAlignment="1">
      <alignment horizontal="left" vertical="center" wrapText="1"/>
    </xf>
    <xf numFmtId="0" fontId="37" fillId="26" borderId="5" xfId="2" applyFont="1" applyFill="1" applyBorder="1" applyAlignment="1">
      <alignment horizontal="center" vertical="center" wrapText="1"/>
    </xf>
    <xf numFmtId="0" fontId="36" fillId="26" borderId="5" xfId="2" applyFont="1" applyFill="1" applyBorder="1" applyAlignment="1">
      <alignment horizontal="left" vertical="center" wrapText="1"/>
    </xf>
    <xf numFmtId="0" fontId="37" fillId="10" borderId="5" xfId="2" applyFont="1" applyFill="1" applyBorder="1" applyAlignment="1">
      <alignment horizontal="center" vertical="center" wrapText="1"/>
    </xf>
    <xf numFmtId="0" fontId="15" fillId="10" borderId="5" xfId="2" applyFont="1" applyFill="1" applyBorder="1" applyAlignment="1">
      <alignment vertical="top" wrapText="1"/>
    </xf>
    <xf numFmtId="0" fontId="37" fillId="28" borderId="5" xfId="2" applyFont="1" applyFill="1" applyBorder="1" applyAlignment="1">
      <alignment horizontal="center" vertical="center" wrapText="1"/>
    </xf>
    <xf numFmtId="0" fontId="15" fillId="28" borderId="5" xfId="2" applyFont="1" applyFill="1" applyBorder="1" applyAlignment="1">
      <alignment vertical="top" wrapText="1"/>
    </xf>
    <xf numFmtId="0" fontId="37" fillId="18" borderId="5" xfId="2" applyFont="1" applyFill="1" applyBorder="1" applyAlignment="1">
      <alignment horizontal="center" vertical="center" wrapText="1"/>
    </xf>
    <xf numFmtId="0" fontId="36" fillId="18" borderId="5" xfId="2" applyFont="1" applyFill="1" applyBorder="1" applyAlignment="1">
      <alignment horizontal="left" vertical="center" wrapText="1"/>
    </xf>
    <xf numFmtId="0" fontId="37" fillId="19" borderId="5" xfId="2" applyFont="1" applyFill="1" applyBorder="1" applyAlignment="1">
      <alignment horizontal="center" vertical="center" wrapText="1"/>
    </xf>
    <xf numFmtId="0" fontId="26" fillId="20" borderId="5" xfId="2" applyFont="1" applyFill="1" applyBorder="1" applyAlignment="1">
      <alignment horizontal="center" vertical="center" wrapText="1"/>
    </xf>
    <xf numFmtId="0" fontId="26" fillId="21" borderId="5" xfId="2" applyFont="1" applyFill="1" applyBorder="1" applyAlignment="1">
      <alignment horizontal="center" vertical="center" wrapText="1"/>
    </xf>
    <xf numFmtId="0" fontId="26" fillId="22" borderId="5" xfId="2" applyFont="1" applyFill="1" applyBorder="1" applyAlignment="1">
      <alignment horizontal="center" vertical="center" wrapText="1"/>
    </xf>
    <xf numFmtId="0" fontId="37" fillId="11" borderId="5" xfId="2" applyFont="1" applyFill="1" applyBorder="1" applyAlignment="1">
      <alignment horizontal="left" vertical="center" wrapText="1"/>
    </xf>
    <xf numFmtId="0" fontId="36" fillId="12" borderId="5" xfId="2" applyFont="1" applyFill="1" applyBorder="1" applyAlignment="1">
      <alignment horizontal="left" vertical="center" wrapText="1"/>
    </xf>
    <xf numFmtId="0" fontId="36" fillId="13" borderId="5" xfId="2" applyFont="1" applyFill="1" applyBorder="1" applyAlignment="1">
      <alignment horizontal="left" vertical="center" wrapText="1"/>
    </xf>
    <xf numFmtId="0" fontId="36" fillId="14" borderId="5" xfId="2" applyFont="1" applyFill="1" applyBorder="1" applyAlignment="1">
      <alignment horizontal="left" vertical="center" wrapText="1"/>
    </xf>
    <xf numFmtId="0" fontId="36" fillId="24" borderId="5" xfId="2" applyFont="1" applyFill="1" applyBorder="1" applyAlignment="1">
      <alignment horizontal="left" vertical="center" wrapText="1"/>
    </xf>
    <xf numFmtId="0" fontId="36" fillId="10" borderId="5" xfId="2" applyFont="1" applyFill="1" applyBorder="1" applyAlignment="1">
      <alignment vertical="top" wrapText="1"/>
    </xf>
    <xf numFmtId="0" fontId="36" fillId="28" borderId="5" xfId="2" applyFont="1" applyFill="1" applyBorder="1" applyAlignment="1">
      <alignment vertical="top" wrapText="1"/>
    </xf>
    <xf numFmtId="0" fontId="26" fillId="18" borderId="5" xfId="2" applyFont="1" applyFill="1" applyBorder="1" applyAlignment="1">
      <alignment horizontal="center" vertical="center" wrapText="1"/>
    </xf>
    <xf numFmtId="0" fontId="36" fillId="19" borderId="5" xfId="2" applyFont="1" applyFill="1" applyBorder="1">
      <alignment vertical="center"/>
    </xf>
    <xf numFmtId="0" fontId="39" fillId="11" borderId="5" xfId="2" applyFont="1" applyFill="1" applyBorder="1" applyAlignment="1">
      <alignment horizontal="left" vertical="center" wrapText="1"/>
    </xf>
    <xf numFmtId="0" fontId="37" fillId="12" borderId="5" xfId="2" applyFont="1" applyFill="1" applyBorder="1" applyAlignment="1">
      <alignment horizontal="left" vertical="center" wrapText="1"/>
    </xf>
    <xf numFmtId="0" fontId="37" fillId="13" borderId="5" xfId="2" applyFont="1" applyFill="1" applyBorder="1" applyAlignment="1">
      <alignment horizontal="left" vertical="center" wrapText="1"/>
    </xf>
    <xf numFmtId="0" fontId="37" fillId="8" borderId="5" xfId="2" applyFont="1" applyFill="1" applyBorder="1" applyAlignment="1">
      <alignment horizontal="center" vertical="center" wrapText="1"/>
    </xf>
    <xf numFmtId="0" fontId="36" fillId="10" borderId="5" xfId="2" applyFont="1" applyFill="1" applyBorder="1" applyAlignment="1">
      <alignment horizontal="left" vertical="center" wrapText="1"/>
    </xf>
    <xf numFmtId="0" fontId="36" fillId="28" borderId="5" xfId="2" applyFont="1" applyFill="1" applyBorder="1" applyAlignment="1">
      <alignment horizontal="left" vertical="center" wrapText="1"/>
    </xf>
    <xf numFmtId="0" fontId="36" fillId="18" borderId="5" xfId="2" applyFont="1" applyFill="1" applyBorder="1">
      <alignment vertical="center"/>
    </xf>
    <xf numFmtId="0" fontId="38" fillId="11" borderId="5" xfId="2" applyFont="1" applyFill="1" applyBorder="1" applyAlignment="1">
      <alignment horizontal="center" vertical="center" wrapText="1"/>
    </xf>
    <xf numFmtId="0" fontId="38" fillId="11" borderId="5" xfId="2" applyFont="1" applyFill="1" applyBorder="1" applyAlignment="1">
      <alignment horizontal="left" vertical="center" wrapText="1"/>
    </xf>
    <xf numFmtId="0" fontId="38" fillId="14" borderId="5" xfId="2" applyFont="1" applyFill="1" applyBorder="1" applyAlignment="1">
      <alignment horizontal="center" vertical="center" wrapText="1"/>
    </xf>
    <xf numFmtId="0" fontId="17" fillId="8" borderId="5" xfId="2" applyFont="1" applyFill="1" applyBorder="1" applyAlignment="1">
      <alignment horizontal="center" vertical="center" wrapText="1"/>
    </xf>
    <xf numFmtId="0" fontId="40" fillId="20" borderId="5" xfId="2" applyFont="1" applyFill="1" applyBorder="1" applyAlignment="1">
      <alignment horizontal="center" vertical="center" wrapText="1"/>
    </xf>
    <xf numFmtId="0" fontId="40" fillId="21" borderId="5" xfId="2" applyFont="1" applyFill="1" applyBorder="1" applyAlignment="1">
      <alignment horizontal="center" vertical="center" wrapText="1"/>
    </xf>
    <xf numFmtId="0" fontId="40" fillId="22" borderId="5" xfId="2" applyFont="1" applyFill="1" applyBorder="1" applyAlignment="1">
      <alignment horizontal="center" vertical="center" wrapText="1"/>
    </xf>
    <xf numFmtId="0" fontId="35" fillId="27" borderId="0" xfId="2" applyFont="1" applyFill="1" applyAlignment="1">
      <alignment horizontal="center" vertical="center"/>
    </xf>
    <xf numFmtId="0" fontId="35" fillId="27" borderId="5" xfId="2" applyFont="1" applyFill="1" applyBorder="1" applyAlignment="1">
      <alignment horizontal="left" vertical="center" wrapText="1"/>
    </xf>
    <xf numFmtId="0" fontId="35" fillId="12" borderId="5" xfId="2" applyFont="1" applyFill="1" applyBorder="1" applyAlignment="1">
      <alignment horizontal="center" vertical="center" wrapText="1"/>
    </xf>
    <xf numFmtId="0" fontId="38" fillId="13" borderId="5" xfId="2" applyFont="1" applyFill="1" applyBorder="1" applyAlignment="1">
      <alignment horizontal="center" vertical="center" wrapText="1"/>
    </xf>
    <xf numFmtId="0" fontId="35" fillId="14" borderId="5" xfId="2" applyFont="1" applyFill="1" applyBorder="1" applyAlignment="1">
      <alignment horizontal="center" vertical="center" wrapText="1"/>
    </xf>
    <xf numFmtId="0" fontId="39" fillId="14" borderId="5" xfId="2" applyFont="1" applyFill="1" applyBorder="1" applyAlignment="1">
      <alignment horizontal="center" vertical="center" wrapText="1"/>
    </xf>
    <xf numFmtId="0" fontId="35" fillId="24" borderId="5" xfId="2" applyFont="1" applyFill="1" applyBorder="1" applyAlignment="1">
      <alignment horizontal="center" vertical="center" wrapText="1"/>
    </xf>
    <xf numFmtId="0" fontId="35" fillId="25" borderId="5" xfId="2" applyFont="1" applyFill="1" applyBorder="1" applyAlignment="1">
      <alignment horizontal="center" vertical="center" wrapText="1"/>
    </xf>
    <xf numFmtId="0" fontId="38" fillId="26" borderId="5" xfId="2" applyFont="1" applyFill="1" applyBorder="1" applyAlignment="1">
      <alignment horizontal="center" vertical="center" wrapText="1"/>
    </xf>
    <xf numFmtId="0" fontId="35" fillId="18" borderId="5" xfId="2" applyFont="1" applyFill="1" applyBorder="1" applyAlignment="1">
      <alignment horizontal="center" vertical="center" wrapText="1"/>
    </xf>
    <xf numFmtId="0" fontId="38" fillId="19" borderId="5" xfId="2" applyFont="1" applyFill="1" applyBorder="1" applyAlignment="1">
      <alignment horizontal="center" vertical="center" wrapText="1"/>
    </xf>
    <xf numFmtId="0" fontId="36" fillId="20" borderId="5" xfId="2" applyFont="1" applyFill="1" applyBorder="1" applyAlignment="1">
      <alignment horizontal="left" vertical="center" wrapText="1"/>
    </xf>
    <xf numFmtId="0" fontId="36" fillId="21" borderId="5" xfId="2" applyFont="1" applyFill="1" applyBorder="1" applyAlignment="1">
      <alignment horizontal="center" vertical="center" wrapText="1"/>
    </xf>
    <xf numFmtId="0" fontId="36" fillId="20" borderId="5" xfId="2" applyFont="1" applyFill="1" applyBorder="1" applyAlignment="1">
      <alignment horizontal="center" vertical="center" wrapText="1"/>
    </xf>
    <xf numFmtId="0" fontId="36" fillId="22" borderId="5" xfId="2" applyFont="1" applyFill="1" applyBorder="1" applyAlignment="1">
      <alignment horizontal="center" vertical="center" wrapText="1"/>
    </xf>
    <xf numFmtId="0" fontId="39" fillId="9" borderId="5" xfId="2" applyFont="1" applyFill="1" applyBorder="1" applyAlignment="1">
      <alignment horizontal="left" vertical="center" wrapText="1"/>
    </xf>
    <xf numFmtId="0" fontId="35" fillId="27" borderId="5" xfId="2" applyFont="1" applyFill="1" applyBorder="1" applyAlignment="1">
      <alignment horizontal="center" vertical="center" wrapText="1"/>
    </xf>
    <xf numFmtId="0" fontId="35" fillId="26" borderId="5" xfId="2" applyFont="1" applyFill="1" applyBorder="1" applyAlignment="1">
      <alignment horizontal="center" vertical="center" wrapText="1"/>
    </xf>
    <xf numFmtId="0" fontId="39" fillId="16" borderId="5" xfId="2" applyFont="1" applyFill="1" applyBorder="1" applyAlignment="1">
      <alignment horizontal="center" vertical="center" wrapText="1"/>
    </xf>
    <xf numFmtId="0" fontId="39" fillId="10" borderId="5" xfId="2" applyFont="1" applyFill="1" applyBorder="1" applyAlignment="1">
      <alignment horizontal="center" vertical="center" wrapText="1"/>
    </xf>
    <xf numFmtId="0" fontId="35" fillId="19" borderId="5" xfId="2" applyFont="1" applyFill="1" applyBorder="1" applyAlignment="1">
      <alignment horizontal="center" vertical="center" wrapText="1"/>
    </xf>
    <xf numFmtId="0" fontId="39" fillId="19" borderId="5" xfId="2" applyFont="1" applyFill="1" applyBorder="1" applyAlignment="1">
      <alignment horizontal="center" vertical="center" wrapText="1"/>
    </xf>
    <xf numFmtId="0" fontId="3" fillId="20" borderId="0" xfId="2" applyFont="1" applyFill="1">
      <alignment vertical="center"/>
    </xf>
    <xf numFmtId="0" fontId="40" fillId="20" borderId="5" xfId="2" applyFont="1" applyFill="1" applyBorder="1" applyAlignment="1">
      <alignment horizontal="left" vertical="center" wrapText="1"/>
    </xf>
    <xf numFmtId="0" fontId="3" fillId="21" borderId="0" xfId="2" applyFont="1" applyFill="1" applyAlignment="1">
      <alignment horizontal="center" vertical="center"/>
    </xf>
    <xf numFmtId="0" fontId="3" fillId="20" borderId="0" xfId="2" applyFont="1" applyFill="1" applyAlignment="1">
      <alignment horizontal="center" vertical="center"/>
    </xf>
    <xf numFmtId="0" fontId="3" fillId="22" borderId="0" xfId="2" applyFont="1" applyFill="1" applyAlignment="1">
      <alignment horizontal="center" vertical="center"/>
    </xf>
    <xf numFmtId="0" fontId="35" fillId="3" borderId="2" xfId="2" applyFont="1" applyFill="1" applyBorder="1" applyAlignment="1">
      <alignment horizontal="left" vertical="center" wrapText="1"/>
    </xf>
    <xf numFmtId="0" fontId="35" fillId="5" borderId="2" xfId="2" applyFont="1" applyFill="1" applyBorder="1" applyAlignment="1">
      <alignment horizontal="left" vertical="center" wrapText="1"/>
    </xf>
    <xf numFmtId="0" fontId="36" fillId="25" borderId="5" xfId="2" applyFont="1" applyFill="1" applyBorder="1">
      <alignment vertical="center"/>
    </xf>
    <xf numFmtId="0" fontId="36" fillId="26" borderId="5" xfId="2" applyFont="1" applyFill="1" applyBorder="1">
      <alignment vertical="center"/>
    </xf>
    <xf numFmtId="0" fontId="38" fillId="27" borderId="5" xfId="2" applyFont="1" applyFill="1" applyBorder="1" applyAlignment="1">
      <alignment horizontal="center" vertical="center" wrapText="1"/>
    </xf>
    <xf numFmtId="0" fontId="38" fillId="27" borderId="5" xfId="2" applyFont="1" applyFill="1" applyBorder="1" applyAlignment="1">
      <alignment horizontal="left" vertical="center" wrapText="1"/>
    </xf>
    <xf numFmtId="0" fontId="36" fillId="14" borderId="5" xfId="2" applyFont="1" applyFill="1" applyBorder="1" applyAlignment="1">
      <alignment vertical="center" wrapText="1"/>
    </xf>
    <xf numFmtId="0" fontId="35" fillId="15" borderId="5" xfId="2" applyFont="1" applyFill="1" applyBorder="1" applyAlignment="1">
      <alignment horizontal="center" vertical="center" wrapText="1"/>
    </xf>
    <xf numFmtId="0" fontId="36" fillId="24" borderId="5" xfId="2" applyFont="1" applyFill="1" applyBorder="1" applyAlignment="1">
      <alignment vertical="center" wrapText="1"/>
    </xf>
    <xf numFmtId="0" fontId="35" fillId="10" borderId="5" xfId="2" applyFont="1" applyFill="1" applyBorder="1" applyAlignment="1">
      <alignment horizontal="center" vertical="center" wrapText="1"/>
    </xf>
    <xf numFmtId="0" fontId="35" fillId="28" borderId="5" xfId="2" applyFont="1" applyFill="1" applyBorder="1" applyAlignment="1">
      <alignment horizontal="center" vertical="center" wrapText="1"/>
    </xf>
    <xf numFmtId="0" fontId="39" fillId="18" borderId="0" xfId="2" applyFont="1" applyFill="1" applyAlignment="1">
      <alignment horizontal="center" vertical="center"/>
    </xf>
    <xf numFmtId="0" fontId="35" fillId="10" borderId="5" xfId="2" applyFont="1" applyFill="1" applyBorder="1" applyAlignment="1">
      <alignment horizontal="left" vertical="center" wrapText="1"/>
    </xf>
    <xf numFmtId="0" fontId="39" fillId="28" borderId="5" xfId="2" applyFont="1" applyFill="1" applyBorder="1" applyAlignment="1">
      <alignment horizontal="center" vertical="center" wrapText="1"/>
    </xf>
    <xf numFmtId="0" fontId="35" fillId="28" borderId="5" xfId="2" applyFont="1" applyFill="1" applyBorder="1" applyAlignment="1">
      <alignment horizontal="left" vertical="center" wrapText="1"/>
    </xf>
    <xf numFmtId="0" fontId="39" fillId="18" borderId="5" xfId="2" applyFont="1" applyFill="1" applyBorder="1" applyAlignment="1">
      <alignment horizontal="center" vertical="center" wrapText="1"/>
    </xf>
    <xf numFmtId="0" fontId="35" fillId="18" borderId="5" xfId="2" applyFont="1" applyFill="1" applyBorder="1" applyAlignment="1">
      <alignment horizontal="left" vertical="center" wrapText="1"/>
    </xf>
    <xf numFmtId="0" fontId="40" fillId="20" borderId="5" xfId="2" applyFont="1" applyFill="1" applyBorder="1">
      <alignment vertical="center"/>
    </xf>
    <xf numFmtId="0" fontId="40" fillId="21" borderId="5" xfId="2" applyFont="1" applyFill="1" applyBorder="1" applyAlignment="1">
      <alignment horizontal="center" vertical="center"/>
    </xf>
    <xf numFmtId="0" fontId="40" fillId="20" borderId="5" xfId="2" applyFont="1" applyFill="1" applyBorder="1" applyAlignment="1">
      <alignment horizontal="center" vertical="center"/>
    </xf>
    <xf numFmtId="0" fontId="40" fillId="22" borderId="5" xfId="2" applyFont="1" applyFill="1" applyBorder="1" applyAlignment="1">
      <alignment horizontal="center" vertical="center"/>
    </xf>
    <xf numFmtId="0" fontId="17" fillId="15" borderId="5" xfId="2" applyFont="1" applyFill="1" applyBorder="1" applyAlignment="1">
      <alignment horizontal="center" vertical="center" wrapText="1"/>
    </xf>
    <xf numFmtId="0" fontId="20" fillId="8" borderId="5" xfId="2" applyFont="1" applyFill="1" applyBorder="1" applyAlignment="1">
      <alignment horizontal="center" vertical="center" wrapText="1"/>
    </xf>
    <xf numFmtId="0" fontId="39" fillId="28" borderId="0" xfId="2" applyFont="1" applyFill="1" applyAlignment="1">
      <alignment horizontal="center" vertical="center"/>
    </xf>
    <xf numFmtId="0" fontId="38" fillId="18" borderId="5" xfId="2" applyFont="1" applyFill="1" applyBorder="1" applyAlignment="1">
      <alignment horizontal="left" vertical="center" wrapText="1"/>
    </xf>
    <xf numFmtId="0" fontId="41" fillId="20" borderId="0" xfId="2" applyFont="1" applyFill="1">
      <alignment vertical="center"/>
    </xf>
    <xf numFmtId="0" fontId="41" fillId="21" borderId="0" xfId="2" applyFont="1" applyFill="1" applyAlignment="1">
      <alignment horizontal="center" vertical="center"/>
    </xf>
    <xf numFmtId="0" fontId="41" fillId="20" borderId="0" xfId="2" applyFont="1" applyFill="1" applyAlignment="1">
      <alignment horizontal="center" vertical="center"/>
    </xf>
    <xf numFmtId="0" fontId="41" fillId="22" borderId="0" xfId="2" applyFont="1" applyFill="1" applyAlignment="1">
      <alignment horizontal="center" vertical="center"/>
    </xf>
    <xf numFmtId="0" fontId="35" fillId="8" borderId="0" xfId="2" applyFont="1" applyFill="1" applyAlignment="1">
      <alignment horizontal="center" vertical="center" wrapText="1"/>
    </xf>
    <xf numFmtId="0" fontId="35" fillId="11" borderId="5" xfId="2" applyFont="1" applyFill="1" applyBorder="1" applyAlignment="1">
      <alignment horizontal="center" vertical="center" wrapText="1"/>
    </xf>
    <xf numFmtId="0" fontId="38" fillId="10" borderId="5" xfId="2" applyFont="1" applyFill="1" applyBorder="1" applyAlignment="1">
      <alignment horizontal="left" vertical="center" wrapText="1"/>
    </xf>
    <xf numFmtId="0" fontId="38" fillId="17" borderId="5" xfId="2" applyFont="1" applyFill="1" applyBorder="1" applyAlignment="1">
      <alignment horizontal="left" vertical="center" wrapText="1"/>
    </xf>
    <xf numFmtId="0" fontId="38" fillId="28" borderId="5" xfId="2" applyFont="1" applyFill="1" applyBorder="1" applyAlignment="1">
      <alignment horizontal="left" vertical="center" wrapText="1"/>
    </xf>
    <xf numFmtId="0" fontId="41" fillId="20" borderId="5" xfId="2" applyFont="1" applyFill="1" applyBorder="1">
      <alignment vertical="center"/>
    </xf>
    <xf numFmtId="0" fontId="41" fillId="21" borderId="5" xfId="2" applyFont="1" applyFill="1" applyBorder="1" applyAlignment="1">
      <alignment horizontal="center" vertical="center"/>
    </xf>
    <xf numFmtId="0" fontId="41" fillId="20" borderId="5" xfId="2" applyFont="1" applyFill="1" applyBorder="1" applyAlignment="1">
      <alignment horizontal="center" vertical="center"/>
    </xf>
    <xf numFmtId="0" fontId="41" fillId="22" borderId="5" xfId="2" applyFont="1" applyFill="1" applyBorder="1" applyAlignment="1">
      <alignment horizontal="center" vertical="center"/>
    </xf>
    <xf numFmtId="0" fontId="1" fillId="0" borderId="0" xfId="1">
      <alignment vertical="center"/>
    </xf>
    <xf numFmtId="0" fontId="15" fillId="25" borderId="2" xfId="2" applyFont="1" applyFill="1" applyBorder="1" applyAlignment="1">
      <alignment horizontal="left" vertical="center" wrapText="1"/>
    </xf>
    <xf numFmtId="0" fontId="42" fillId="27" borderId="5" xfId="2" applyFont="1" applyFill="1" applyBorder="1" applyAlignment="1">
      <alignment horizontal="center" vertical="center" wrapText="1"/>
    </xf>
    <xf numFmtId="0" fontId="15" fillId="25" borderId="5" xfId="2" applyFont="1" applyFill="1" applyBorder="1" applyAlignment="1">
      <alignment horizontal="left" vertical="center" wrapText="1"/>
    </xf>
    <xf numFmtId="0" fontId="15" fillId="26" borderId="5" xfId="2" applyFont="1" applyFill="1" applyBorder="1" applyAlignment="1">
      <alignment horizontal="left" vertical="center" wrapText="1"/>
    </xf>
    <xf numFmtId="0" fontId="29" fillId="10" borderId="5" xfId="2" applyFont="1" applyFill="1" applyBorder="1" applyAlignment="1">
      <alignment horizontal="center" vertical="center" wrapText="1"/>
    </xf>
    <xf numFmtId="0" fontId="39" fillId="10" borderId="5" xfId="2" applyFont="1" applyFill="1" applyBorder="1" applyAlignment="1">
      <alignment horizontal="left" vertical="center" wrapText="1"/>
    </xf>
    <xf numFmtId="0" fontId="39" fillId="28" borderId="5" xfId="2" applyFont="1" applyFill="1" applyBorder="1" applyAlignment="1">
      <alignment horizontal="left" vertical="center" wrapText="1"/>
    </xf>
    <xf numFmtId="0" fontId="39" fillId="18" borderId="5" xfId="2" applyFont="1" applyFill="1" applyBorder="1" applyAlignment="1">
      <alignment horizontal="left" vertical="center" wrapText="1"/>
    </xf>
    <xf numFmtId="0" fontId="39" fillId="11" borderId="5" xfId="2" applyFont="1" applyFill="1" applyBorder="1" applyAlignment="1">
      <alignment horizontal="center" vertical="center" wrapText="1"/>
    </xf>
    <xf numFmtId="0" fontId="29" fillId="26" borderId="5" xfId="2" applyFont="1" applyFill="1" applyBorder="1" applyAlignment="1">
      <alignment horizontal="center" vertical="center" wrapText="1"/>
    </xf>
    <xf numFmtId="0" fontId="3" fillId="20" borderId="5" xfId="2" applyFont="1" applyFill="1" applyBorder="1">
      <alignment vertical="center"/>
    </xf>
    <xf numFmtId="0" fontId="3" fillId="21" borderId="5" xfId="2" applyFont="1" applyFill="1" applyBorder="1" applyAlignment="1">
      <alignment horizontal="center" vertical="center"/>
    </xf>
    <xf numFmtId="0" fontId="3" fillId="20" borderId="5" xfId="2" applyFont="1" applyFill="1" applyBorder="1" applyAlignment="1">
      <alignment horizontal="center" vertical="center"/>
    </xf>
    <xf numFmtId="0" fontId="3" fillId="22" borderId="5" xfId="2" applyFont="1" applyFill="1" applyBorder="1" applyAlignment="1">
      <alignment horizontal="center" vertical="center"/>
    </xf>
    <xf numFmtId="0" fontId="38" fillId="8" borderId="5" xfId="2" applyFont="1" applyFill="1" applyBorder="1" applyAlignment="1">
      <alignment horizontal="center" vertical="center" wrapText="1"/>
    </xf>
    <xf numFmtId="0" fontId="38" fillId="9" borderId="5" xfId="2" applyFont="1" applyFill="1" applyBorder="1" applyAlignment="1">
      <alignment horizontal="center" vertical="center" wrapText="1"/>
    </xf>
    <xf numFmtId="0" fontId="39" fillId="28" borderId="5" xfId="2" applyFont="1" applyFill="1" applyBorder="1">
      <alignment vertical="center"/>
    </xf>
    <xf numFmtId="0" fontId="39" fillId="18" borderId="5" xfId="2" applyFont="1" applyFill="1" applyBorder="1">
      <alignment vertical="center"/>
    </xf>
    <xf numFmtId="0" fontId="38" fillId="3" borderId="5" xfId="2" applyFont="1" applyFill="1" applyBorder="1" applyAlignment="1">
      <alignment horizontal="center" vertical="center" wrapText="1"/>
    </xf>
    <xf numFmtId="0" fontId="15" fillId="3" borderId="8" xfId="2" applyFont="1" applyFill="1" applyBorder="1" applyAlignment="1">
      <alignment horizontal="left" vertical="center" wrapText="1"/>
    </xf>
    <xf numFmtId="0" fontId="38" fillId="3" borderId="2" xfId="2" applyFont="1" applyFill="1" applyBorder="1" applyAlignment="1">
      <alignment horizontal="left" vertical="center" wrapText="1"/>
    </xf>
    <xf numFmtId="0" fontId="38" fillId="4" borderId="5" xfId="2" applyFont="1" applyFill="1" applyBorder="1" applyAlignment="1">
      <alignment horizontal="center" vertical="center" wrapText="1"/>
    </xf>
    <xf numFmtId="0" fontId="15" fillId="4" borderId="8" xfId="2" applyFont="1" applyFill="1" applyBorder="1" applyAlignment="1">
      <alignment horizontal="left" vertical="center" wrapText="1"/>
    </xf>
    <xf numFmtId="0" fontId="38" fillId="5" borderId="5" xfId="2" applyFont="1" applyFill="1" applyBorder="1" applyAlignment="1">
      <alignment horizontal="center" vertical="center" wrapText="1"/>
    </xf>
    <xf numFmtId="0" fontId="35" fillId="5" borderId="8" xfId="2" applyFont="1" applyFill="1" applyBorder="1" applyAlignment="1">
      <alignment horizontal="center" vertical="center" wrapText="1"/>
    </xf>
    <xf numFmtId="0" fontId="38" fillId="6" borderId="5" xfId="2" applyFont="1" applyFill="1" applyBorder="1" applyAlignment="1">
      <alignment horizontal="center" vertical="center" wrapText="1"/>
    </xf>
    <xf numFmtId="0" fontId="38" fillId="7" borderId="5" xfId="2" applyFont="1" applyFill="1" applyBorder="1" applyAlignment="1">
      <alignment horizontal="center" vertical="center" wrapText="1"/>
    </xf>
    <xf numFmtId="0" fontId="43" fillId="9" borderId="5" xfId="2" applyFont="1" applyFill="1" applyBorder="1" applyAlignment="1">
      <alignment horizontal="left" vertical="center" wrapText="1"/>
    </xf>
    <xf numFmtId="0" fontId="44" fillId="10" borderId="5" xfId="2" applyFont="1" applyFill="1" applyBorder="1" applyAlignment="1">
      <alignment horizontal="center" vertical="center" wrapText="1"/>
    </xf>
    <xf numFmtId="0" fontId="44" fillId="10" borderId="9" xfId="2" applyFont="1" applyFill="1" applyBorder="1" applyAlignment="1">
      <alignment horizontal="left" vertical="center" wrapText="1"/>
    </xf>
    <xf numFmtId="0" fontId="35" fillId="27" borderId="9" xfId="2" applyFont="1" applyFill="1" applyBorder="1" applyAlignment="1">
      <alignment horizontal="left" vertical="center" wrapText="1"/>
    </xf>
    <xf numFmtId="0" fontId="42" fillId="11" borderId="5" xfId="2" applyFont="1" applyFill="1" applyBorder="1" applyAlignment="1">
      <alignment horizontal="center" vertical="center" wrapText="1"/>
    </xf>
    <xf numFmtId="0" fontId="42" fillId="11" borderId="9" xfId="2" applyFont="1" applyFill="1" applyBorder="1" applyAlignment="1">
      <alignment horizontal="left" vertical="center" wrapText="1"/>
    </xf>
    <xf numFmtId="0" fontId="38" fillId="12" borderId="9" xfId="2" applyFont="1" applyFill="1" applyBorder="1" applyAlignment="1">
      <alignment horizontal="left" vertical="center" wrapText="1"/>
    </xf>
    <xf numFmtId="0" fontId="37" fillId="13" borderId="9" xfId="2" applyFont="1" applyFill="1" applyBorder="1" applyAlignment="1">
      <alignment horizontal="center" vertical="center" wrapText="1"/>
    </xf>
    <xf numFmtId="0" fontId="15" fillId="25" borderId="9" xfId="2" applyFont="1" applyFill="1" applyBorder="1" applyAlignment="1">
      <alignment horizontal="center" vertical="center" wrapText="1"/>
    </xf>
    <xf numFmtId="0" fontId="29" fillId="26" borderId="9" xfId="2" applyFont="1" applyFill="1" applyBorder="1" applyAlignment="1">
      <alignment horizontal="center" vertical="center" wrapText="1"/>
    </xf>
    <xf numFmtId="0" fontId="29" fillId="10" borderId="9" xfId="2" applyFont="1" applyFill="1" applyBorder="1" applyAlignment="1">
      <alignment horizontal="center" vertical="center" wrapText="1"/>
    </xf>
    <xf numFmtId="0" fontId="39" fillId="28" borderId="9" xfId="2" applyFont="1" applyFill="1" applyBorder="1" applyAlignment="1">
      <alignment horizontal="left" vertical="center" wrapText="1"/>
    </xf>
    <xf numFmtId="0" fontId="39" fillId="18" borderId="9" xfId="2" applyFont="1" applyFill="1" applyBorder="1" applyAlignment="1">
      <alignment horizontal="left" vertical="center" wrapText="1"/>
    </xf>
    <xf numFmtId="0" fontId="29" fillId="19" borderId="9" xfId="2" applyFont="1" applyFill="1" applyBorder="1" applyAlignment="1">
      <alignment horizontal="center" vertical="center" wrapText="1"/>
    </xf>
    <xf numFmtId="0" fontId="15" fillId="20" borderId="9" xfId="2" applyFont="1" applyFill="1" applyBorder="1" applyAlignment="1">
      <alignment horizontal="center" vertical="center" wrapText="1"/>
    </xf>
    <xf numFmtId="0" fontId="15" fillId="21" borderId="9" xfId="2" applyFont="1" applyFill="1" applyBorder="1" applyAlignment="1">
      <alignment horizontal="center" vertical="center" wrapText="1"/>
    </xf>
    <xf numFmtId="0" fontId="15" fillId="22" borderId="9" xfId="2" applyFont="1" applyFill="1" applyBorder="1" applyAlignment="1">
      <alignment horizontal="center" vertical="center" wrapText="1"/>
    </xf>
    <xf numFmtId="0" fontId="46" fillId="9" borderId="5" xfId="2" applyFont="1" applyFill="1" applyBorder="1" applyAlignment="1">
      <alignment horizontal="center" vertical="center" wrapText="1"/>
    </xf>
    <xf numFmtId="0" fontId="15" fillId="9" borderId="2" xfId="2" applyFont="1" applyFill="1" applyBorder="1" applyAlignment="1">
      <alignment horizontal="left" vertical="center" wrapText="1"/>
    </xf>
    <xf numFmtId="0" fontId="42" fillId="12" borderId="5" xfId="2" applyFont="1" applyFill="1" applyBorder="1" applyAlignment="1">
      <alignment horizontal="left" vertical="center" wrapText="1"/>
    </xf>
    <xf numFmtId="0" fontId="17" fillId="12" borderId="5" xfId="2" applyFont="1" applyFill="1" applyBorder="1" applyAlignment="1">
      <alignment horizontal="center" vertical="center" wrapText="1"/>
    </xf>
    <xf numFmtId="0" fontId="20" fillId="13" borderId="5" xfId="2" applyFont="1" applyFill="1" applyBorder="1" applyAlignment="1">
      <alignment horizontal="center" vertical="center" wrapText="1"/>
    </xf>
    <xf numFmtId="0" fontId="42" fillId="13" borderId="5" xfId="2" applyFont="1" applyFill="1" applyBorder="1" applyAlignment="1">
      <alignment horizontal="left" vertical="center" wrapText="1"/>
    </xf>
    <xf numFmtId="0" fontId="36" fillId="14" borderId="5" xfId="2" applyFont="1" applyFill="1" applyBorder="1">
      <alignment vertical="center"/>
    </xf>
    <xf numFmtId="0" fontId="36" fillId="24" borderId="5" xfId="2" applyFont="1" applyFill="1" applyBorder="1">
      <alignment vertical="center"/>
    </xf>
    <xf numFmtId="0" fontId="42" fillId="25" borderId="5" xfId="2" applyFont="1" applyFill="1" applyBorder="1" applyAlignment="1">
      <alignment horizontal="left" vertical="center" wrapText="1"/>
    </xf>
    <xf numFmtId="0" fontId="20" fillId="16" borderId="5" xfId="2" applyFont="1" applyFill="1" applyBorder="1" applyAlignment="1">
      <alignment horizontal="center" vertical="center" wrapText="1"/>
    </xf>
    <xf numFmtId="0" fontId="42" fillId="26" borderId="5" xfId="2" applyFont="1" applyFill="1" applyBorder="1" applyAlignment="1">
      <alignment horizontal="left" vertical="center" wrapText="1"/>
    </xf>
    <xf numFmtId="0" fontId="42" fillId="10" borderId="5" xfId="2" applyFont="1" applyFill="1" applyBorder="1" applyAlignment="1">
      <alignment vertical="top" wrapText="1"/>
    </xf>
    <xf numFmtId="0" fontId="42" fillId="28" borderId="5" xfId="2" applyFont="1" applyFill="1" applyBorder="1" applyAlignment="1">
      <alignment horizontal="left" vertical="center" wrapText="1"/>
    </xf>
    <xf numFmtId="0" fontId="42" fillId="18" borderId="5" xfId="2" applyFont="1" applyFill="1" applyBorder="1" applyAlignment="1">
      <alignment horizontal="left" vertical="center" wrapText="1"/>
    </xf>
    <xf numFmtId="0" fontId="42" fillId="19" borderId="5" xfId="2" applyFont="1" applyFill="1" applyBorder="1" applyAlignment="1">
      <alignment horizontal="left" vertical="center" wrapText="1"/>
    </xf>
    <xf numFmtId="0" fontId="36" fillId="12" borderId="5" xfId="2" applyFont="1" applyFill="1" applyBorder="1" applyAlignment="1">
      <alignment vertical="center" wrapText="1"/>
    </xf>
    <xf numFmtId="0" fontId="15" fillId="25" borderId="5" xfId="2" applyFont="1" applyFill="1" applyBorder="1" applyAlignment="1">
      <alignment vertical="center" wrapText="1"/>
    </xf>
    <xf numFmtId="0" fontId="38" fillId="10" borderId="5" xfId="2" applyFont="1" applyFill="1" applyBorder="1" applyAlignment="1">
      <alignment horizontal="center" vertical="center" wrapText="1"/>
    </xf>
    <xf numFmtId="0" fontId="38" fillId="28" borderId="5" xfId="2" applyFont="1" applyFill="1" applyBorder="1" applyAlignment="1">
      <alignment horizontal="center" vertical="center" wrapText="1"/>
    </xf>
    <xf numFmtId="0" fontId="38" fillId="18" borderId="5" xfId="2" applyFont="1" applyFill="1" applyBorder="1" applyAlignment="1">
      <alignment horizontal="center" vertical="center" wrapText="1"/>
    </xf>
    <xf numFmtId="0" fontId="37" fillId="19" borderId="5" xfId="2" applyFont="1" applyFill="1" applyBorder="1" applyAlignment="1">
      <alignment horizontal="left" vertical="center" wrapText="1"/>
    </xf>
    <xf numFmtId="0" fontId="17" fillId="21" borderId="5" xfId="2" applyFont="1" applyFill="1" applyBorder="1" applyAlignment="1">
      <alignment horizontal="left" vertical="center" wrapText="1"/>
    </xf>
    <xf numFmtId="0" fontId="17" fillId="21" borderId="5" xfId="2" applyFont="1" applyFill="1" applyBorder="1" applyAlignment="1">
      <alignment horizontal="center" vertical="center" wrapText="1"/>
    </xf>
    <xf numFmtId="0" fontId="17" fillId="20" borderId="2" xfId="2" applyFont="1" applyFill="1" applyBorder="1" applyAlignment="1">
      <alignment horizontal="left" vertical="center" wrapText="1"/>
    </xf>
    <xf numFmtId="0" fontId="17" fillId="22" borderId="5" xfId="2" applyFont="1" applyFill="1" applyBorder="1" applyAlignment="1">
      <alignment horizontal="center" vertical="center" wrapText="1"/>
    </xf>
    <xf numFmtId="0" fontId="26" fillId="3" borderId="5" xfId="2" applyFont="1" applyFill="1" applyBorder="1" applyAlignment="1">
      <alignment horizontal="center" vertical="center" wrapText="1"/>
    </xf>
    <xf numFmtId="0" fontId="26" fillId="4" borderId="5" xfId="2" applyFont="1" applyFill="1" applyBorder="1" applyAlignment="1">
      <alignment horizontal="center" vertical="center" wrapText="1"/>
    </xf>
    <xf numFmtId="0" fontId="26" fillId="5" borderId="5" xfId="2" applyFont="1" applyFill="1" applyBorder="1" applyAlignment="1">
      <alignment horizontal="center" vertical="center" wrapText="1"/>
    </xf>
    <xf numFmtId="0" fontId="21" fillId="5" borderId="2" xfId="2" applyFont="1" applyFill="1" applyBorder="1" applyAlignment="1">
      <alignment horizontal="left" vertical="center" wrapText="1"/>
    </xf>
    <xf numFmtId="0" fontId="26" fillId="6" borderId="5" xfId="2" applyFont="1" applyFill="1" applyBorder="1" applyAlignment="1">
      <alignment horizontal="center" vertical="center" wrapText="1"/>
    </xf>
    <xf numFmtId="0" fontId="38" fillId="12" borderId="5" xfId="2" applyFont="1" applyFill="1" applyBorder="1" applyAlignment="1">
      <alignment horizontal="center" vertical="center" wrapText="1"/>
    </xf>
    <xf numFmtId="0" fontId="44" fillId="15" borderId="5" xfId="2" applyFont="1" applyFill="1" applyBorder="1" applyAlignment="1">
      <alignment horizontal="center" vertical="center" wrapText="1"/>
    </xf>
    <xf numFmtId="0" fontId="17" fillId="22" borderId="5" xfId="2" applyFont="1" applyFill="1" applyBorder="1" applyAlignment="1">
      <alignment horizontal="left" vertical="center" wrapText="1"/>
    </xf>
    <xf numFmtId="0" fontId="41" fillId="12" borderId="5" xfId="2" applyFont="1" applyFill="1" applyBorder="1" applyAlignment="1">
      <alignment horizontal="center" vertical="center" wrapText="1"/>
    </xf>
    <xf numFmtId="0" fontId="15" fillId="12" borderId="5" xfId="2" applyFont="1" applyFill="1" applyBorder="1" applyAlignment="1">
      <alignment vertical="center" wrapText="1"/>
    </xf>
    <xf numFmtId="0" fontId="42" fillId="12" borderId="5" xfId="2" applyFont="1" applyFill="1" applyBorder="1" applyAlignment="1">
      <alignment horizontal="center" vertical="center" wrapText="1"/>
    </xf>
    <xf numFmtId="0" fontId="42" fillId="13" borderId="5" xfId="2" applyFont="1" applyFill="1" applyBorder="1" applyAlignment="1">
      <alignment horizontal="center" vertical="center" wrapText="1"/>
    </xf>
    <xf numFmtId="0" fontId="41" fillId="14" borderId="5" xfId="2" applyFont="1" applyFill="1" applyBorder="1" applyAlignment="1">
      <alignment horizontal="left" vertical="center" wrapText="1"/>
    </xf>
    <xf numFmtId="0" fontId="36" fillId="10" borderId="5" xfId="2" applyFont="1" applyFill="1" applyBorder="1" applyAlignment="1">
      <alignment vertical="center" wrapText="1"/>
    </xf>
    <xf numFmtId="0" fontId="44" fillId="20" borderId="5" xfId="2" applyFont="1" applyFill="1" applyBorder="1" applyAlignment="1">
      <alignment horizontal="center" vertical="center" wrapText="1"/>
    </xf>
    <xf numFmtId="0" fontId="44" fillId="20" borderId="5" xfId="2" applyFont="1" applyFill="1" applyBorder="1" applyAlignment="1">
      <alignment horizontal="left" vertical="center" wrapText="1"/>
    </xf>
    <xf numFmtId="0" fontId="44" fillId="21" borderId="5" xfId="2" applyFont="1" applyFill="1" applyBorder="1" applyAlignment="1">
      <alignment horizontal="center" vertical="center" wrapText="1"/>
    </xf>
    <xf numFmtId="0" fontId="44" fillId="22" borderId="5" xfId="2" applyFont="1" applyFill="1" applyBorder="1" applyAlignment="1">
      <alignment horizontal="center" vertical="center" wrapText="1"/>
    </xf>
    <xf numFmtId="0" fontId="41" fillId="13" borderId="5" xfId="2" applyFont="1" applyFill="1" applyBorder="1" applyAlignment="1">
      <alignment horizontal="center" vertical="center" wrapText="1"/>
    </xf>
    <xf numFmtId="0" fontId="42" fillId="14" borderId="5" xfId="2" applyFont="1" applyFill="1" applyBorder="1" applyAlignment="1">
      <alignment horizontal="left" vertical="center" wrapText="1"/>
    </xf>
    <xf numFmtId="0" fontId="36" fillId="24" borderId="9" xfId="2" applyFont="1" applyFill="1" applyBorder="1" applyAlignment="1">
      <alignment horizontal="left" vertical="center" wrapText="1"/>
    </xf>
    <xf numFmtId="0" fontId="42" fillId="14" borderId="11" xfId="2" applyFont="1" applyFill="1" applyBorder="1" applyAlignment="1">
      <alignment horizontal="left" vertical="center" wrapText="1"/>
    </xf>
    <xf numFmtId="0" fontId="42" fillId="15" borderId="5" xfId="2" applyFont="1" applyFill="1" applyBorder="1" applyAlignment="1">
      <alignment horizontal="left" vertical="center" wrapText="1"/>
    </xf>
    <xf numFmtId="0" fontId="42" fillId="8" borderId="5" xfId="2" applyFont="1" applyFill="1" applyBorder="1" applyAlignment="1">
      <alignment horizontal="left" vertical="center" wrapText="1"/>
    </xf>
    <xf numFmtId="0" fontId="42" fillId="16" borderId="5" xfId="2" applyFont="1" applyFill="1" applyBorder="1" applyAlignment="1">
      <alignment horizontal="left" vertical="center" wrapText="1"/>
    </xf>
    <xf numFmtId="0" fontId="36" fillId="26" borderId="5" xfId="2" applyFont="1" applyFill="1" applyBorder="1" applyAlignment="1">
      <alignment vertical="center" wrapText="1"/>
    </xf>
    <xf numFmtId="0" fontId="42" fillId="10" borderId="5" xfId="2" applyFont="1" applyFill="1" applyBorder="1" applyAlignment="1">
      <alignment horizontal="left" vertical="center" wrapText="1"/>
    </xf>
    <xf numFmtId="0" fontId="42" fillId="17" borderId="5" xfId="2" applyFont="1" applyFill="1" applyBorder="1" applyAlignment="1">
      <alignment horizontal="left" vertical="center" wrapText="1"/>
    </xf>
    <xf numFmtId="0" fontId="36" fillId="9" borderId="12" xfId="2" applyFont="1" applyFill="1" applyBorder="1" applyAlignment="1">
      <alignment horizontal="left" vertical="center" wrapText="1"/>
    </xf>
    <xf numFmtId="0" fontId="35" fillId="7" borderId="10" xfId="2" applyFont="1" applyFill="1" applyBorder="1" applyAlignment="1">
      <alignment horizontal="center" vertical="center" wrapText="1"/>
    </xf>
    <xf numFmtId="0" fontId="35" fillId="8" borderId="10" xfId="2" applyFont="1" applyFill="1" applyBorder="1" applyAlignment="1">
      <alignment horizontal="center" vertical="center" wrapText="1"/>
    </xf>
    <xf numFmtId="0" fontId="35" fillId="9" borderId="2" xfId="2" applyFont="1" applyFill="1" applyBorder="1" applyAlignment="1">
      <alignment horizontal="center" vertical="center" wrapText="1"/>
    </xf>
    <xf numFmtId="0" fontId="35" fillId="7" borderId="2" xfId="2" applyFont="1" applyFill="1" applyBorder="1" applyAlignment="1">
      <alignment horizontal="center" vertical="center" wrapText="1"/>
    </xf>
    <xf numFmtId="0" fontId="35" fillId="25" borderId="2" xfId="2" applyFont="1" applyFill="1" applyBorder="1" applyAlignment="1">
      <alignment horizontal="center" vertical="center" wrapText="1"/>
    </xf>
    <xf numFmtId="0" fontId="44" fillId="21" borderId="6" xfId="2" applyFont="1" applyFill="1" applyBorder="1" applyAlignment="1">
      <alignment horizontal="center" vertical="center" wrapText="1"/>
    </xf>
    <xf numFmtId="0" fontId="44" fillId="20" borderId="6" xfId="2" applyFont="1" applyFill="1" applyBorder="1" applyAlignment="1">
      <alignment horizontal="center" vertical="center" wrapText="1"/>
    </xf>
    <xf numFmtId="0" fontId="44" fillId="20" borderId="6" xfId="2" applyFont="1" applyFill="1" applyBorder="1" applyAlignment="1">
      <alignment horizontal="left" vertical="center" wrapText="1"/>
    </xf>
    <xf numFmtId="0" fontId="44" fillId="22" borderId="6" xfId="2" applyFont="1" applyFill="1" applyBorder="1" applyAlignment="1">
      <alignment horizontal="center" vertical="center" wrapText="1"/>
    </xf>
    <xf numFmtId="0" fontId="15" fillId="3" borderId="2" xfId="2" applyFont="1" applyFill="1" applyBorder="1" applyAlignment="1">
      <alignment horizontal="center" vertical="center" wrapText="1"/>
    </xf>
    <xf numFmtId="0" fontId="35" fillId="3" borderId="2" xfId="2" applyFont="1" applyFill="1" applyBorder="1" applyAlignment="1">
      <alignment horizontal="center" vertical="center" wrapText="1"/>
    </xf>
    <xf numFmtId="0" fontId="15" fillId="4" borderId="2" xfId="2" applyFont="1" applyFill="1" applyBorder="1" applyAlignment="1">
      <alignment horizontal="center" vertical="center" wrapText="1"/>
    </xf>
    <xf numFmtId="0" fontId="35" fillId="5" borderId="2" xfId="2" applyFont="1" applyFill="1" applyBorder="1" applyAlignment="1">
      <alignment horizontal="center" vertical="center" wrapText="1"/>
    </xf>
    <xf numFmtId="0" fontId="35" fillId="6" borderId="2" xfId="2" applyFont="1" applyFill="1" applyBorder="1" applyAlignment="1">
      <alignment horizontal="center" vertical="center" wrapText="1"/>
    </xf>
    <xf numFmtId="0" fontId="35" fillId="8" borderId="2" xfId="2" applyFont="1" applyFill="1" applyBorder="1" applyAlignment="1">
      <alignment horizontal="center" vertical="center" wrapText="1"/>
    </xf>
    <xf numFmtId="0" fontId="33" fillId="0" borderId="13" xfId="2" applyFont="1" applyBorder="1">
      <alignment vertical="center"/>
    </xf>
    <xf numFmtId="0" fontId="34" fillId="0" borderId="13" xfId="5" applyBorder="1">
      <alignment vertical="center"/>
    </xf>
    <xf numFmtId="0" fontId="38" fillId="7" borderId="6" xfId="2" applyFont="1" applyFill="1" applyBorder="1" applyAlignment="1">
      <alignment horizontal="center" vertical="center" wrapText="1"/>
    </xf>
    <xf numFmtId="0" fontId="35" fillId="27" borderId="6" xfId="2" applyFont="1" applyFill="1" applyBorder="1" applyAlignment="1">
      <alignment horizontal="left" vertical="center" wrapText="1"/>
    </xf>
    <xf numFmtId="0" fontId="41" fillId="12" borderId="6" xfId="2" applyFont="1" applyFill="1" applyBorder="1" applyAlignment="1">
      <alignment horizontal="center" vertical="center" wrapText="1"/>
    </xf>
    <xf numFmtId="0" fontId="41" fillId="12" borderId="6" xfId="2" applyFont="1" applyFill="1" applyBorder="1" applyAlignment="1">
      <alignment horizontal="left" vertical="center" wrapText="1"/>
    </xf>
    <xf numFmtId="0" fontId="17" fillId="12" borderId="6" xfId="2" applyFont="1" applyFill="1" applyBorder="1" applyAlignment="1">
      <alignment horizontal="center" vertical="center" wrapText="1"/>
    </xf>
    <xf numFmtId="0" fontId="41" fillId="13" borderId="6" xfId="2" applyFont="1" applyFill="1" applyBorder="1" applyAlignment="1">
      <alignment horizontal="center" vertical="center" wrapText="1"/>
    </xf>
    <xf numFmtId="0" fontId="41" fillId="13" borderId="6" xfId="2" applyFont="1" applyFill="1" applyBorder="1" applyAlignment="1">
      <alignment horizontal="left" vertical="center" wrapText="1"/>
    </xf>
    <xf numFmtId="0" fontId="17" fillId="13" borderId="6" xfId="2" applyFont="1" applyFill="1" applyBorder="1" applyAlignment="1">
      <alignment horizontal="center" vertical="center" wrapText="1"/>
    </xf>
    <xf numFmtId="0" fontId="41" fillId="14" borderId="6" xfId="2" applyFont="1" applyFill="1" applyBorder="1" applyAlignment="1">
      <alignment horizontal="left" vertical="center" wrapText="1"/>
    </xf>
    <xf numFmtId="0" fontId="26" fillId="14" borderId="6" xfId="2" applyFont="1" applyFill="1" applyBorder="1" applyAlignment="1">
      <alignment horizontal="center" vertical="center" wrapText="1"/>
    </xf>
    <xf numFmtId="0" fontId="29" fillId="15" borderId="6" xfId="2" applyFont="1" applyFill="1" applyBorder="1" applyAlignment="1">
      <alignment horizontal="center" vertical="center" wrapText="1"/>
    </xf>
    <xf numFmtId="0" fontId="42" fillId="24" borderId="6" xfId="2" applyFont="1" applyFill="1" applyBorder="1" applyAlignment="1">
      <alignment horizontal="left" vertical="center" wrapText="1"/>
    </xf>
    <xf numFmtId="0" fontId="26" fillId="8" borderId="6" xfId="2" applyFont="1" applyFill="1" applyBorder="1" applyAlignment="1">
      <alignment horizontal="left" vertical="center" wrapText="1"/>
    </xf>
    <xf numFmtId="0" fontId="29" fillId="16" borderId="6" xfId="2" applyFont="1" applyFill="1" applyBorder="1" applyAlignment="1">
      <alignment horizontal="center" vertical="center" wrapText="1"/>
    </xf>
    <xf numFmtId="0" fontId="26" fillId="16" borderId="6" xfId="2" applyFont="1" applyFill="1" applyBorder="1" applyAlignment="1">
      <alignment horizontal="center" vertical="center" wrapText="1"/>
    </xf>
    <xf numFmtId="0" fontId="29" fillId="10" borderId="6" xfId="2" applyFont="1" applyFill="1" applyBorder="1" applyAlignment="1">
      <alignment horizontal="center" vertical="center" wrapText="1"/>
    </xf>
    <xf numFmtId="0" fontId="15" fillId="28" borderId="6" xfId="2" applyFont="1" applyFill="1" applyBorder="1" applyAlignment="1">
      <alignment horizontal="center" vertical="center" wrapText="1"/>
    </xf>
    <xf numFmtId="0" fontId="15" fillId="17" borderId="6" xfId="2" applyFont="1" applyFill="1" applyBorder="1" applyAlignment="1">
      <alignment horizontal="center" vertical="center" wrapText="1"/>
    </xf>
    <xf numFmtId="0" fontId="15" fillId="18" borderId="6" xfId="2" applyFont="1" applyFill="1" applyBorder="1" applyAlignment="1">
      <alignment horizontal="center" vertical="center" wrapText="1"/>
    </xf>
    <xf numFmtId="0" fontId="29" fillId="19" borderId="6" xfId="2" applyFont="1" applyFill="1" applyBorder="1" applyAlignment="1">
      <alignment horizontal="center" vertical="center" wrapText="1"/>
    </xf>
    <xf numFmtId="0" fontId="26" fillId="19" borderId="6" xfId="2" applyFont="1" applyFill="1" applyBorder="1" applyAlignment="1">
      <alignment horizontal="center" vertical="center" wrapText="1"/>
    </xf>
    <xf numFmtId="176" fontId="3" fillId="0" borderId="5" xfId="2" applyNumberFormat="1" applyFont="1" applyBorder="1">
      <alignment vertical="center"/>
    </xf>
    <xf numFmtId="0" fontId="37" fillId="29" borderId="1" xfId="4" applyFont="1" applyFill="1" applyBorder="1" applyAlignment="1">
      <alignment horizontal="center" vertical="center"/>
    </xf>
    <xf numFmtId="0" fontId="15" fillId="29" borderId="5" xfId="4" applyFont="1" applyFill="1" applyBorder="1" applyAlignment="1">
      <alignment horizontal="left" vertical="center"/>
    </xf>
    <xf numFmtId="0" fontId="15" fillId="29" borderId="5" xfId="4" applyFont="1" applyFill="1" applyBorder="1" applyAlignment="1">
      <alignment horizontal="center" vertical="center"/>
    </xf>
    <xf numFmtId="0" fontId="37" fillId="29" borderId="5" xfId="4" applyFont="1" applyFill="1" applyBorder="1" applyAlignment="1">
      <alignment horizontal="center" vertical="center"/>
    </xf>
    <xf numFmtId="0" fontId="15" fillId="29" borderId="5" xfId="4" applyFont="1" applyFill="1" applyBorder="1" applyAlignment="1">
      <alignment vertical="center"/>
    </xf>
    <xf numFmtId="0" fontId="15" fillId="3" borderId="5" xfId="2" applyFont="1" applyFill="1" applyBorder="1" applyAlignment="1">
      <alignment vertical="center" wrapText="1"/>
    </xf>
    <xf numFmtId="0" fontId="15" fillId="4" borderId="5" xfId="2" applyFont="1" applyFill="1" applyBorder="1" applyAlignment="1">
      <alignment vertical="center" wrapText="1"/>
    </xf>
    <xf numFmtId="0" fontId="15" fillId="4" borderId="2" xfId="2" applyFont="1" applyFill="1" applyBorder="1" applyAlignment="1">
      <alignment horizontal="left" vertical="top" wrapText="1"/>
    </xf>
    <xf numFmtId="176" fontId="3" fillId="0" borderId="6" xfId="2" applyNumberFormat="1" applyFont="1" applyBorder="1">
      <alignment vertical="center"/>
    </xf>
    <xf numFmtId="0" fontId="47" fillId="30" borderId="14" xfId="4" applyFont="1" applyFill="1" applyBorder="1" applyAlignment="1">
      <alignment vertical="center"/>
    </xf>
    <xf numFmtId="0" fontId="15" fillId="30" borderId="15" xfId="4" applyFont="1" applyFill="1" applyBorder="1" applyAlignment="1">
      <alignment horizontal="center" vertical="center"/>
    </xf>
    <xf numFmtId="0" fontId="36" fillId="30" borderId="15" xfId="4" applyFont="1" applyFill="1" applyBorder="1" applyAlignment="1">
      <alignment horizontal="center" vertical="center"/>
    </xf>
    <xf numFmtId="20" fontId="36" fillId="30" borderId="14" xfId="2" applyNumberFormat="1" applyFont="1" applyFill="1" applyBorder="1" applyAlignment="1">
      <alignment horizontal="left" vertical="top" wrapText="1"/>
    </xf>
    <xf numFmtId="176" fontId="3" fillId="0" borderId="16" xfId="2" applyNumberFormat="1" applyFont="1" applyBorder="1" applyAlignment="1">
      <alignment horizontal="right" vertical="center"/>
    </xf>
    <xf numFmtId="0" fontId="38" fillId="30" borderId="4" xfId="4" applyFont="1" applyFill="1" applyBorder="1" applyAlignment="1">
      <alignment vertical="center"/>
    </xf>
    <xf numFmtId="0" fontId="38" fillId="30" borderId="5" xfId="4" applyFont="1" applyFill="1" applyBorder="1" applyAlignment="1">
      <alignment horizontal="center" vertical="center"/>
    </xf>
    <xf numFmtId="0" fontId="49" fillId="4" borderId="5" xfId="4" applyFont="1" applyFill="1" applyBorder="1" applyAlignment="1">
      <alignment vertical="center"/>
    </xf>
    <xf numFmtId="0" fontId="37" fillId="5" borderId="5" xfId="4" applyFont="1" applyFill="1" applyBorder="1" applyAlignment="1">
      <alignment horizontal="center" vertical="center"/>
    </xf>
    <xf numFmtId="0" fontId="15" fillId="30" borderId="3" xfId="4" applyFont="1" applyFill="1" applyBorder="1" applyAlignment="1">
      <alignment horizontal="center" vertical="center"/>
    </xf>
    <xf numFmtId="176" fontId="3" fillId="0" borderId="17" xfId="2" applyNumberFormat="1" applyFont="1" applyBorder="1" applyAlignment="1">
      <alignment horizontal="right" vertical="center"/>
    </xf>
    <xf numFmtId="0" fontId="49" fillId="3" borderId="5" xfId="4" applyFont="1" applyFill="1" applyBorder="1" applyAlignment="1">
      <alignment vertical="center"/>
    </xf>
    <xf numFmtId="0" fontId="15" fillId="5" borderId="5" xfId="4" applyFont="1" applyFill="1" applyBorder="1" applyAlignment="1">
      <alignment horizontal="left" vertical="center"/>
    </xf>
    <xf numFmtId="0" fontId="15" fillId="3" borderId="5" xfId="4" applyFont="1" applyFill="1" applyBorder="1" applyAlignment="1">
      <alignment horizontal="center" vertical="center"/>
    </xf>
    <xf numFmtId="0" fontId="15" fillId="4" borderId="5" xfId="4" applyFont="1" applyFill="1" applyBorder="1" applyAlignment="1">
      <alignment horizontal="center" vertical="center"/>
    </xf>
    <xf numFmtId="0" fontId="15" fillId="3" borderId="5" xfId="4" applyFont="1" applyFill="1" applyBorder="1" applyAlignment="1">
      <alignment vertical="center"/>
    </xf>
    <xf numFmtId="0" fontId="15" fillId="4" borderId="5" xfId="4" applyFont="1" applyFill="1" applyBorder="1" applyAlignment="1">
      <alignment vertical="center"/>
    </xf>
    <xf numFmtId="0" fontId="51" fillId="23" borderId="5" xfId="4" applyFont="1" applyFill="1" applyBorder="1" applyAlignment="1">
      <alignment vertical="center"/>
    </xf>
    <xf numFmtId="0" fontId="50" fillId="23" borderId="2" xfId="4" applyFont="1" applyFill="1" applyBorder="1" applyAlignment="1">
      <alignment horizontal="center" vertical="center"/>
    </xf>
    <xf numFmtId="0" fontId="51" fillId="23" borderId="2" xfId="4" applyFont="1" applyFill="1" applyBorder="1" applyAlignment="1">
      <alignment horizontal="center" vertical="center"/>
    </xf>
    <xf numFmtId="0" fontId="15" fillId="4" borderId="2" xfId="4" applyFont="1" applyFill="1" applyBorder="1" applyAlignment="1">
      <alignment horizontal="center" vertical="center"/>
    </xf>
    <xf numFmtId="0" fontId="52" fillId="3" borderId="5" xfId="2" applyFont="1" applyFill="1" applyBorder="1" applyAlignment="1">
      <alignment horizontal="center" vertical="center" wrapText="1"/>
    </xf>
    <xf numFmtId="0" fontId="17" fillId="3" borderId="2" xfId="2" applyFont="1" applyFill="1" applyBorder="1" applyAlignment="1">
      <alignment horizontal="center" vertical="center" wrapText="1"/>
    </xf>
    <xf numFmtId="0" fontId="16" fillId="3" borderId="2" xfId="2" applyFont="1" applyFill="1" applyBorder="1" applyAlignment="1">
      <alignment horizontal="center" vertical="center" wrapText="1"/>
    </xf>
    <xf numFmtId="0" fontId="52" fillId="4" borderId="5" xfId="2" applyFont="1" applyFill="1" applyBorder="1" applyAlignment="1">
      <alignment horizontal="center" vertical="center" wrapText="1"/>
    </xf>
    <xf numFmtId="0" fontId="16" fillId="4" borderId="2" xfId="2" applyFont="1" applyFill="1" applyBorder="1" applyAlignment="1">
      <alignment horizontal="center" vertical="center" wrapText="1"/>
    </xf>
    <xf numFmtId="0" fontId="52" fillId="4" borderId="5" xfId="2" applyFont="1" applyFill="1" applyBorder="1" applyAlignment="1">
      <alignment horizontal="left" vertical="top" wrapText="1"/>
    </xf>
    <xf numFmtId="0" fontId="53" fillId="32" borderId="5" xfId="4" applyFont="1" applyFill="1" applyBorder="1" applyAlignment="1">
      <alignment horizontal="center" vertical="center"/>
    </xf>
    <xf numFmtId="0" fontId="15" fillId="32" borderId="2" xfId="4" applyFont="1" applyFill="1" applyBorder="1" applyAlignment="1">
      <alignment horizontal="center" vertical="center"/>
    </xf>
    <xf numFmtId="0" fontId="54" fillId="32" borderId="5" xfId="4" applyFont="1" applyFill="1" applyBorder="1" applyAlignment="1">
      <alignment horizontal="center" vertical="center"/>
    </xf>
    <xf numFmtId="0" fontId="15" fillId="32" borderId="1" xfId="4" applyFont="1" applyFill="1" applyBorder="1" applyAlignment="1">
      <alignment horizontal="center" vertical="center"/>
    </xf>
    <xf numFmtId="0" fontId="38" fillId="32" borderId="5" xfId="4" applyFont="1" applyFill="1" applyBorder="1" applyAlignment="1">
      <alignment horizontal="center" vertical="center"/>
    </xf>
    <xf numFmtId="0" fontId="31" fillId="32" borderId="5" xfId="4" applyFont="1" applyFill="1" applyBorder="1" applyAlignment="1">
      <alignment horizontal="center" vertical="center" wrapText="1"/>
    </xf>
    <xf numFmtId="0" fontId="15" fillId="32" borderId="5" xfId="4" applyFont="1" applyFill="1" applyBorder="1" applyAlignment="1">
      <alignment horizontal="center" vertical="center"/>
    </xf>
    <xf numFmtId="0" fontId="41" fillId="3" borderId="5" xfId="4" applyFont="1" applyFill="1" applyBorder="1" applyAlignment="1">
      <alignment vertical="center"/>
    </xf>
    <xf numFmtId="0" fontId="17" fillId="3" borderId="2" xfId="4" applyFont="1" applyFill="1" applyBorder="1" applyAlignment="1">
      <alignment horizontal="center" vertical="center"/>
    </xf>
    <xf numFmtId="0" fontId="41" fillId="3" borderId="2" xfId="4" applyFont="1" applyFill="1" applyBorder="1" applyAlignment="1">
      <alignment horizontal="center" vertical="center"/>
    </xf>
    <xf numFmtId="0" fontId="41" fillId="4" borderId="5" xfId="4" applyFont="1" applyFill="1" applyBorder="1" applyAlignment="1">
      <alignment vertical="center"/>
    </xf>
    <xf numFmtId="0" fontId="17" fillId="4" borderId="2" xfId="4" applyFont="1" applyFill="1" applyBorder="1" applyAlignment="1">
      <alignment horizontal="center" vertical="center"/>
    </xf>
    <xf numFmtId="20" fontId="17" fillId="4" borderId="5" xfId="4" applyNumberFormat="1" applyFont="1" applyFill="1" applyBorder="1" applyAlignment="1">
      <alignment horizontal="left" vertical="top" wrapText="1"/>
    </xf>
    <xf numFmtId="0" fontId="17" fillId="3" borderId="5" xfId="4" applyFont="1" applyFill="1" applyBorder="1" applyAlignment="1">
      <alignment horizontal="center" vertical="center"/>
    </xf>
    <xf numFmtId="0" fontId="17" fillId="4" borderId="5" xfId="4" applyFont="1" applyFill="1" applyBorder="1" applyAlignment="1">
      <alignment horizontal="center" vertical="center"/>
    </xf>
    <xf numFmtId="0" fontId="17" fillId="4" borderId="5" xfId="4" applyFont="1" applyFill="1" applyBorder="1" applyAlignment="1">
      <alignment horizontal="left" vertical="top"/>
    </xf>
    <xf numFmtId="0" fontId="17" fillId="3" borderId="5" xfId="4" applyFont="1" applyFill="1" applyBorder="1" applyAlignment="1">
      <alignment vertical="center"/>
    </xf>
    <xf numFmtId="0" fontId="17" fillId="4" borderId="5" xfId="4" applyFont="1" applyFill="1" applyBorder="1" applyAlignment="1">
      <alignment vertical="center"/>
    </xf>
    <xf numFmtId="49" fontId="17" fillId="4" borderId="5" xfId="4" applyNumberFormat="1" applyFont="1" applyFill="1" applyBorder="1" applyAlignment="1">
      <alignment horizontal="left" vertical="top" wrapText="1"/>
    </xf>
    <xf numFmtId="20" fontId="17" fillId="4" borderId="5" xfId="2" applyNumberFormat="1" applyFont="1" applyFill="1" applyBorder="1" applyAlignment="1">
      <alignment horizontal="left" vertical="top" wrapText="1"/>
    </xf>
    <xf numFmtId="176" fontId="3" fillId="0" borderId="18" xfId="2" applyNumberFormat="1" applyFont="1" applyBorder="1" applyAlignment="1">
      <alignment horizontal="right" vertical="center"/>
    </xf>
    <xf numFmtId="176" fontId="3" fillId="0" borderId="19" xfId="2" applyNumberFormat="1" applyFont="1" applyBorder="1" applyAlignment="1">
      <alignment horizontal="right" vertical="center"/>
    </xf>
    <xf numFmtId="0" fontId="55" fillId="3" borderId="3" xfId="2" applyFont="1" applyFill="1" applyBorder="1" applyAlignment="1">
      <alignment vertical="center" wrapText="1"/>
    </xf>
    <xf numFmtId="0" fontId="15" fillId="3" borderId="4" xfId="2" applyFont="1" applyFill="1" applyBorder="1" applyAlignment="1">
      <alignment horizontal="center" vertical="center" wrapText="1"/>
    </xf>
    <xf numFmtId="0" fontId="55" fillId="3" borderId="4" xfId="2" applyFont="1" applyFill="1" applyBorder="1" applyAlignment="1">
      <alignment horizontal="center" vertical="center" wrapText="1"/>
    </xf>
    <xf numFmtId="0" fontId="55" fillId="4" borderId="3" xfId="2" applyFont="1" applyFill="1" applyBorder="1" applyAlignment="1">
      <alignment vertical="center" wrapText="1"/>
    </xf>
    <xf numFmtId="0" fontId="15" fillId="4" borderId="4" xfId="2" applyFont="1" applyFill="1" applyBorder="1" applyAlignment="1">
      <alignment horizontal="center" vertical="center" wrapText="1"/>
    </xf>
    <xf numFmtId="0" fontId="55" fillId="4" borderId="3" xfId="2" applyFont="1" applyFill="1" applyBorder="1" applyAlignment="1">
      <alignment horizontal="left" vertical="top" wrapText="1"/>
    </xf>
    <xf numFmtId="0" fontId="37" fillId="5" borderId="3" xfId="4" applyFont="1" applyFill="1" applyBorder="1" applyAlignment="1">
      <alignment horizontal="center" vertical="center"/>
    </xf>
    <xf numFmtId="0" fontId="15" fillId="5" borderId="3" xfId="4" applyFont="1" applyFill="1" applyBorder="1" applyAlignment="1">
      <alignment horizontal="center" vertical="center"/>
    </xf>
    <xf numFmtId="0" fontId="55" fillId="3" borderId="5" xfId="2" applyFont="1" applyFill="1" applyBorder="1" applyAlignment="1">
      <alignment vertical="center" wrapText="1"/>
    </xf>
    <xf numFmtId="0" fontId="55" fillId="3" borderId="2" xfId="2" applyFont="1" applyFill="1" applyBorder="1" applyAlignment="1">
      <alignment horizontal="center" vertical="center" wrapText="1"/>
    </xf>
    <xf numFmtId="0" fontId="55" fillId="4" borderId="5" xfId="2" applyFont="1" applyFill="1" applyBorder="1" applyAlignment="1">
      <alignment vertical="center" wrapText="1"/>
    </xf>
    <xf numFmtId="0" fontId="55" fillId="4" borderId="5" xfId="2" applyFont="1" applyFill="1" applyBorder="1" applyAlignment="1">
      <alignment horizontal="left" vertical="top" wrapText="1"/>
    </xf>
    <xf numFmtId="0" fontId="15" fillId="5" borderId="5" xfId="4" applyFont="1" applyFill="1" applyBorder="1" applyAlignment="1">
      <alignment horizontal="center" vertical="center"/>
    </xf>
    <xf numFmtId="0" fontId="55" fillId="3" borderId="6" xfId="2" applyFont="1" applyFill="1" applyBorder="1" applyAlignment="1">
      <alignment vertical="center" wrapText="1"/>
    </xf>
    <xf numFmtId="0" fontId="15" fillId="3" borderId="7" xfId="2" applyFont="1" applyFill="1" applyBorder="1" applyAlignment="1">
      <alignment horizontal="center" vertical="center" wrapText="1"/>
    </xf>
    <xf numFmtId="0" fontId="55" fillId="3" borderId="7" xfId="2" applyFont="1" applyFill="1" applyBorder="1" applyAlignment="1">
      <alignment horizontal="center" vertical="center" wrapText="1"/>
    </xf>
    <xf numFmtId="0" fontId="55" fillId="4" borderId="6" xfId="2" applyFont="1" applyFill="1" applyBorder="1" applyAlignment="1">
      <alignment vertical="center" wrapText="1"/>
    </xf>
    <xf numFmtId="0" fontId="15" fillId="4" borderId="7" xfId="2" applyFont="1" applyFill="1" applyBorder="1" applyAlignment="1">
      <alignment horizontal="center" vertical="center" wrapText="1"/>
    </xf>
    <xf numFmtId="0" fontId="55" fillId="4" borderId="6" xfId="2" applyFont="1" applyFill="1" applyBorder="1" applyAlignment="1">
      <alignment horizontal="left" vertical="top" wrapText="1"/>
    </xf>
    <xf numFmtId="0" fontId="47" fillId="30" borderId="3" xfId="4" applyFont="1" applyFill="1" applyBorder="1" applyAlignment="1">
      <alignment vertical="center"/>
    </xf>
    <xf numFmtId="0" fontId="47" fillId="30" borderId="4" xfId="4" applyFont="1" applyFill="1" applyBorder="1" applyAlignment="1">
      <alignment horizontal="center" vertical="center"/>
    </xf>
    <xf numFmtId="20" fontId="36" fillId="30" borderId="3" xfId="2" applyNumberFormat="1" applyFont="1" applyFill="1" applyBorder="1" applyAlignment="1">
      <alignment horizontal="left" vertical="top" wrapText="1"/>
    </xf>
    <xf numFmtId="0" fontId="36" fillId="30" borderId="4" xfId="4" applyFont="1" applyFill="1" applyBorder="1" applyAlignment="1">
      <alignment horizontal="center" vertical="center"/>
    </xf>
    <xf numFmtId="20" fontId="36" fillId="30" borderId="3" xfId="2" applyNumberFormat="1" applyFont="1" applyFill="1" applyBorder="1" applyAlignment="1">
      <alignment horizontal="center" vertical="center" wrapText="1"/>
    </xf>
    <xf numFmtId="0" fontId="36" fillId="30" borderId="3" xfId="4" applyFont="1" applyFill="1" applyBorder="1" applyAlignment="1">
      <alignment horizontal="center" vertical="center"/>
    </xf>
    <xf numFmtId="0" fontId="47" fillId="30" borderId="14" xfId="4" applyFont="1" applyFill="1" applyBorder="1" applyAlignment="1">
      <alignment horizontal="center" vertical="center"/>
    </xf>
    <xf numFmtId="20" fontId="15" fillId="30" borderId="14" xfId="2" applyNumberFormat="1" applyFont="1" applyFill="1" applyBorder="1" applyAlignment="1">
      <alignment horizontal="center" vertical="center" wrapText="1"/>
    </xf>
    <xf numFmtId="20" fontId="56" fillId="30" borderId="14" xfId="2" applyNumberFormat="1" applyFont="1" applyFill="1" applyBorder="1" applyAlignment="1">
      <alignment horizontal="center" vertical="center" wrapText="1"/>
    </xf>
    <xf numFmtId="0" fontId="38" fillId="5" borderId="4" xfId="4" applyFont="1" applyFill="1" applyBorder="1" applyAlignment="1">
      <alignment vertical="center"/>
    </xf>
    <xf numFmtId="0" fontId="38" fillId="5" borderId="20" xfId="4" applyFont="1" applyFill="1" applyBorder="1" applyAlignment="1">
      <alignment horizontal="center" vertical="center"/>
    </xf>
    <xf numFmtId="20" fontId="15" fillId="5" borderId="4" xfId="2" applyNumberFormat="1" applyFont="1" applyFill="1" applyBorder="1" applyAlignment="1">
      <alignment horizontal="left" vertical="top" wrapText="1"/>
    </xf>
    <xf numFmtId="0" fontId="38" fillId="30" borderId="20" xfId="4" applyFont="1" applyFill="1" applyBorder="1" applyAlignment="1">
      <alignment horizontal="center" vertical="center"/>
    </xf>
    <xf numFmtId="20" fontId="15" fillId="30" borderId="4" xfId="2" applyNumberFormat="1" applyFont="1" applyFill="1" applyBorder="1" applyAlignment="1">
      <alignment horizontal="left" vertical="top" wrapText="1"/>
    </xf>
    <xf numFmtId="0" fontId="15" fillId="33" borderId="4" xfId="2" applyFont="1" applyFill="1" applyBorder="1" applyAlignment="1">
      <alignment horizontal="center" vertical="center" wrapText="1"/>
    </xf>
    <xf numFmtId="0" fontId="15" fillId="33" borderId="3" xfId="2" applyFont="1" applyFill="1" applyBorder="1" applyAlignment="1">
      <alignment horizontal="center" vertical="center" wrapText="1"/>
    </xf>
    <xf numFmtId="20" fontId="15" fillId="5" borderId="2" xfId="2" applyNumberFormat="1" applyFont="1" applyFill="1" applyBorder="1" applyAlignment="1">
      <alignment horizontal="center" vertical="center" wrapText="1"/>
    </xf>
    <xf numFmtId="20" fontId="17" fillId="5" borderId="2" xfId="2" applyNumberFormat="1" applyFont="1" applyFill="1" applyBorder="1" applyAlignment="1">
      <alignment horizontal="center" vertical="center" wrapText="1"/>
    </xf>
    <xf numFmtId="0" fontId="55" fillId="34" borderId="2" xfId="2" applyFont="1" applyFill="1" applyBorder="1" applyAlignment="1">
      <alignment horizontal="center" vertical="center" wrapText="1"/>
    </xf>
    <xf numFmtId="0" fontId="15" fillId="34" borderId="2" xfId="2" applyFont="1" applyFill="1" applyBorder="1" applyAlignment="1">
      <alignment horizontal="center" vertical="center" wrapText="1"/>
    </xf>
    <xf numFmtId="20" fontId="15" fillId="35" borderId="2" xfId="2" applyNumberFormat="1" applyFont="1" applyFill="1" applyBorder="1" applyAlignment="1">
      <alignment horizontal="center" vertical="center" wrapText="1"/>
    </xf>
    <xf numFmtId="20" fontId="17" fillId="35" borderId="2" xfId="2" applyNumberFormat="1" applyFont="1" applyFill="1" applyBorder="1" applyAlignment="1">
      <alignment horizontal="center" vertical="center" wrapText="1"/>
    </xf>
    <xf numFmtId="0" fontId="15" fillId="10" borderId="2" xfId="4" applyFont="1" applyFill="1" applyBorder="1" applyAlignment="1">
      <alignment horizontal="center" vertical="center"/>
    </xf>
    <xf numFmtId="20" fontId="15" fillId="10" borderId="2" xfId="2" applyNumberFormat="1" applyFont="1" applyFill="1" applyBorder="1" applyAlignment="1">
      <alignment horizontal="center" vertical="center" wrapText="1"/>
    </xf>
    <xf numFmtId="0" fontId="52" fillId="34" borderId="5" xfId="2" applyFont="1" applyFill="1" applyBorder="1" applyAlignment="1">
      <alignment horizontal="center" vertical="center" wrapText="1"/>
    </xf>
    <xf numFmtId="0" fontId="16" fillId="34" borderId="2" xfId="2" applyFont="1" applyFill="1" applyBorder="1" applyAlignment="1">
      <alignment horizontal="center" vertical="center" wrapText="1"/>
    </xf>
    <xf numFmtId="0" fontId="52" fillId="34" borderId="5" xfId="2" applyFont="1" applyFill="1" applyBorder="1" applyAlignment="1">
      <alignment horizontal="left" vertical="top" wrapText="1"/>
    </xf>
    <xf numFmtId="20" fontId="15" fillId="31" borderId="2" xfId="2" applyNumberFormat="1" applyFont="1" applyFill="1" applyBorder="1" applyAlignment="1">
      <alignment horizontal="center" vertical="center" wrapText="1"/>
    </xf>
    <xf numFmtId="0" fontId="55" fillId="31" borderId="2" xfId="2" applyFont="1" applyFill="1" applyBorder="1" applyAlignment="1">
      <alignment horizontal="center" vertical="center" wrapText="1"/>
    </xf>
    <xf numFmtId="0" fontId="55" fillId="31" borderId="5" xfId="2" applyFont="1" applyFill="1" applyBorder="1" applyAlignment="1">
      <alignment horizontal="center" vertical="center" wrapText="1"/>
    </xf>
    <xf numFmtId="0" fontId="38" fillId="3" borderId="0" xfId="4" applyFont="1" applyFill="1" applyAlignment="1">
      <alignment vertical="center"/>
    </xf>
    <xf numFmtId="0" fontId="38" fillId="3" borderId="5" xfId="4" applyFont="1" applyFill="1" applyBorder="1" applyAlignment="1">
      <alignment horizontal="center" vertical="center"/>
    </xf>
    <xf numFmtId="0" fontId="38" fillId="4" borderId="5" xfId="4" applyFont="1" applyFill="1" applyBorder="1" applyAlignment="1">
      <alignment vertical="center"/>
    </xf>
    <xf numFmtId="20" fontId="15" fillId="4" borderId="5" xfId="2" applyNumberFormat="1" applyFont="1" applyFill="1" applyBorder="1" applyAlignment="1">
      <alignment horizontal="left" vertical="top" wrapText="1"/>
    </xf>
    <xf numFmtId="0" fontId="55" fillId="5" borderId="2" xfId="2" applyFont="1" applyFill="1" applyBorder="1" applyAlignment="1">
      <alignment horizontal="center" vertical="center" wrapText="1"/>
    </xf>
    <xf numFmtId="0" fontId="15" fillId="5" borderId="2" xfId="2" applyFont="1" applyFill="1" applyBorder="1" applyAlignment="1">
      <alignment horizontal="center" vertical="center" wrapText="1"/>
    </xf>
    <xf numFmtId="0" fontId="51" fillId="36" borderId="5" xfId="4" applyFont="1" applyFill="1" applyBorder="1" applyAlignment="1">
      <alignment vertical="center"/>
    </xf>
    <xf numFmtId="0" fontId="15" fillId="36" borderId="2" xfId="4" applyFont="1" applyFill="1" applyBorder="1" applyAlignment="1">
      <alignment horizontal="center" vertical="center"/>
    </xf>
    <xf numFmtId="0" fontId="51" fillId="36" borderId="2" xfId="4" applyFont="1" applyFill="1" applyBorder="1" applyAlignment="1">
      <alignment horizontal="left" vertical="top"/>
    </xf>
    <xf numFmtId="0" fontId="55" fillId="37" borderId="2" xfId="2" applyFont="1" applyFill="1" applyBorder="1" applyAlignment="1">
      <alignment horizontal="center" vertical="center" wrapText="1"/>
    </xf>
    <xf numFmtId="0" fontId="15" fillId="37" borderId="2" xfId="2" applyFont="1" applyFill="1" applyBorder="1" applyAlignment="1">
      <alignment horizontal="center" vertical="center" wrapText="1"/>
    </xf>
    <xf numFmtId="0" fontId="15" fillId="25" borderId="2" xfId="4" applyFont="1" applyFill="1" applyBorder="1" applyAlignment="1">
      <alignment horizontal="center" vertical="center"/>
    </xf>
    <xf numFmtId="0" fontId="15" fillId="8" borderId="5" xfId="4" applyFont="1" applyFill="1" applyBorder="1" applyAlignment="1">
      <alignment horizontal="center" vertical="center"/>
    </xf>
    <xf numFmtId="0" fontId="15" fillId="9" borderId="5" xfId="4" applyFont="1" applyFill="1" applyBorder="1" applyAlignment="1">
      <alignment horizontal="center" vertical="center"/>
    </xf>
    <xf numFmtId="0" fontId="15" fillId="9" borderId="2" xfId="4" applyFont="1" applyFill="1" applyBorder="1" applyAlignment="1">
      <alignment horizontal="center" vertical="center"/>
    </xf>
    <xf numFmtId="0" fontId="15" fillId="10" borderId="5" xfId="4" applyFont="1" applyFill="1" applyBorder="1" applyAlignment="1">
      <alignment horizontal="center" vertical="center"/>
    </xf>
    <xf numFmtId="0" fontId="15" fillId="3" borderId="2" xfId="4" applyFont="1" applyFill="1" applyBorder="1" applyAlignment="1">
      <alignment horizontal="center" vertical="center"/>
    </xf>
    <xf numFmtId="0" fontId="38" fillId="3" borderId="2" xfId="4" applyFont="1" applyFill="1" applyBorder="1" applyAlignment="1">
      <alignment horizontal="center" vertical="center"/>
    </xf>
    <xf numFmtId="0" fontId="51" fillId="5" borderId="5" xfId="4" applyFont="1" applyFill="1" applyBorder="1" applyAlignment="1">
      <alignment vertical="center"/>
    </xf>
    <xf numFmtId="0" fontId="15" fillId="5" borderId="2" xfId="4" applyFont="1" applyFill="1" applyBorder="1" applyAlignment="1">
      <alignment horizontal="center" vertical="center"/>
    </xf>
    <xf numFmtId="0" fontId="51" fillId="5" borderId="2" xfId="4" applyFont="1" applyFill="1" applyBorder="1" applyAlignment="1">
      <alignment horizontal="left" vertical="top"/>
    </xf>
    <xf numFmtId="0" fontId="57" fillId="38" borderId="5" xfId="4" applyFont="1" applyFill="1" applyBorder="1" applyAlignment="1">
      <alignment vertical="center"/>
    </xf>
    <xf numFmtId="0" fontId="15" fillId="38" borderId="2" xfId="4" applyFont="1" applyFill="1" applyBorder="1" applyAlignment="1">
      <alignment horizontal="center" vertical="center"/>
    </xf>
    <xf numFmtId="0" fontId="15" fillId="38" borderId="5" xfId="4" applyFont="1" applyFill="1" applyBorder="1" applyAlignment="1">
      <alignment horizontal="left" vertical="top"/>
    </xf>
    <xf numFmtId="0" fontId="15" fillId="7" borderId="2" xfId="4" applyFont="1" applyFill="1" applyBorder="1" applyAlignment="1">
      <alignment horizontal="center" vertical="center"/>
    </xf>
    <xf numFmtId="0" fontId="15" fillId="7" borderId="5" xfId="4" applyFont="1" applyFill="1" applyBorder="1" applyAlignment="1">
      <alignment horizontal="center" vertical="center"/>
    </xf>
    <xf numFmtId="0" fontId="47" fillId="3" borderId="5" xfId="4" applyFont="1" applyFill="1" applyBorder="1" applyAlignment="1">
      <alignment vertical="center"/>
    </xf>
    <xf numFmtId="0" fontId="56" fillId="3" borderId="2" xfId="4" applyFont="1" applyFill="1" applyBorder="1" applyAlignment="1">
      <alignment horizontal="center" vertical="center"/>
    </xf>
    <xf numFmtId="0" fontId="47" fillId="3" borderId="2" xfId="4" applyFont="1" applyFill="1" applyBorder="1" applyAlignment="1">
      <alignment horizontal="center" vertical="center"/>
    </xf>
    <xf numFmtId="0" fontId="47" fillId="4" borderId="5" xfId="4" applyFont="1" applyFill="1" applyBorder="1" applyAlignment="1">
      <alignment vertical="center"/>
    </xf>
    <xf numFmtId="0" fontId="56" fillId="4" borderId="2" xfId="4" applyFont="1" applyFill="1" applyBorder="1" applyAlignment="1">
      <alignment horizontal="center" vertical="center"/>
    </xf>
    <xf numFmtId="20" fontId="36" fillId="4" borderId="5" xfId="2" applyNumberFormat="1" applyFont="1" applyFill="1" applyBorder="1" applyAlignment="1">
      <alignment horizontal="left" vertical="top" wrapText="1"/>
    </xf>
    <xf numFmtId="0" fontId="57" fillId="5" borderId="5" xfId="4" applyFont="1" applyFill="1" applyBorder="1" applyAlignment="1">
      <alignment vertical="center"/>
    </xf>
    <xf numFmtId="0" fontId="15" fillId="5" borderId="5" xfId="4" applyFont="1" applyFill="1" applyBorder="1" applyAlignment="1">
      <alignment horizontal="left" vertical="top"/>
    </xf>
    <xf numFmtId="0" fontId="57" fillId="39" borderId="5" xfId="4" applyFont="1" applyFill="1" applyBorder="1" applyAlignment="1">
      <alignment vertical="center"/>
    </xf>
    <xf numFmtId="0" fontId="15" fillId="39" borderId="2" xfId="4" applyFont="1" applyFill="1" applyBorder="1" applyAlignment="1">
      <alignment horizontal="center" vertical="center"/>
    </xf>
    <xf numFmtId="0" fontId="15" fillId="6" borderId="5" xfId="4" applyFont="1" applyFill="1" applyBorder="1" applyAlignment="1">
      <alignment horizontal="left" vertical="top"/>
    </xf>
    <xf numFmtId="0" fontId="15" fillId="8" borderId="2" xfId="4" applyFont="1" applyFill="1" applyBorder="1" applyAlignment="1">
      <alignment horizontal="center" vertical="center"/>
    </xf>
    <xf numFmtId="0" fontId="38" fillId="3" borderId="5" xfId="4" applyFont="1" applyFill="1" applyBorder="1" applyAlignment="1">
      <alignment vertical="center"/>
    </xf>
    <xf numFmtId="0" fontId="23" fillId="5" borderId="5" xfId="4" applyFont="1" applyFill="1" applyBorder="1" applyAlignment="1">
      <alignment vertical="top"/>
    </xf>
    <xf numFmtId="0" fontId="23" fillId="5" borderId="2" xfId="4" applyFont="1" applyFill="1" applyBorder="1" applyAlignment="1">
      <alignment horizontal="center" vertical="center"/>
    </xf>
    <xf numFmtId="0" fontId="55" fillId="5" borderId="2" xfId="4" applyFont="1" applyFill="1" applyBorder="1" applyAlignment="1">
      <alignment horizontal="left" vertical="top"/>
    </xf>
    <xf numFmtId="0" fontId="23" fillId="40" borderId="5" xfId="4" applyFont="1" applyFill="1" applyBorder="1" applyAlignment="1">
      <alignment vertical="top"/>
    </xf>
    <xf numFmtId="0" fontId="23" fillId="40" borderId="2" xfId="4" applyFont="1" applyFill="1" applyBorder="1" applyAlignment="1">
      <alignment horizontal="center" vertical="center"/>
    </xf>
    <xf numFmtId="0" fontId="55" fillId="40" borderId="2" xfId="4" applyFont="1" applyFill="1" applyBorder="1" applyAlignment="1">
      <alignment horizontal="left" vertical="top"/>
    </xf>
    <xf numFmtId="0" fontId="55" fillId="40" borderId="2" xfId="4" applyFont="1" applyFill="1" applyBorder="1" applyAlignment="1">
      <alignment horizontal="center" vertical="center"/>
    </xf>
    <xf numFmtId="0" fontId="23" fillId="40" borderId="2" xfId="4" applyFont="1" applyFill="1" applyBorder="1" applyAlignment="1">
      <alignment horizontal="center" vertical="top"/>
    </xf>
    <xf numFmtId="0" fontId="55" fillId="40" borderId="5" xfId="4" applyFont="1" applyFill="1" applyBorder="1" applyAlignment="1">
      <alignment horizontal="center" vertical="center"/>
    </xf>
    <xf numFmtId="0" fontId="23" fillId="40" borderId="5" xfId="4" applyFont="1" applyFill="1" applyBorder="1" applyAlignment="1">
      <alignment horizontal="center" vertical="top"/>
    </xf>
    <xf numFmtId="0" fontId="23" fillId="3" borderId="5" xfId="4" applyFont="1" applyFill="1" applyBorder="1" applyAlignment="1">
      <alignment vertical="top"/>
    </xf>
    <xf numFmtId="0" fontId="23" fillId="3" borderId="2" xfId="4" applyFont="1" applyFill="1" applyBorder="1" applyAlignment="1">
      <alignment horizontal="center" vertical="center"/>
    </xf>
    <xf numFmtId="0" fontId="23" fillId="4" borderId="5" xfId="4" applyFont="1" applyFill="1" applyBorder="1" applyAlignment="1">
      <alignment vertical="top"/>
    </xf>
    <xf numFmtId="0" fontId="55" fillId="4" borderId="5" xfId="4" applyFont="1" applyFill="1" applyBorder="1" applyAlignment="1">
      <alignment horizontal="left" vertical="top"/>
    </xf>
    <xf numFmtId="0" fontId="58" fillId="5" borderId="5" xfId="4" applyFont="1" applyFill="1" applyBorder="1" applyAlignment="1">
      <alignment vertical="top"/>
    </xf>
    <xf numFmtId="0" fontId="58" fillId="5" borderId="2" xfId="4" applyFont="1" applyFill="1" applyBorder="1" applyAlignment="1">
      <alignment horizontal="center" vertical="center"/>
    </xf>
    <xf numFmtId="0" fontId="53" fillId="5" borderId="2" xfId="4" applyFont="1" applyFill="1" applyBorder="1" applyAlignment="1">
      <alignment horizontal="left" vertical="top"/>
    </xf>
    <xf numFmtId="0" fontId="58" fillId="32" borderId="5" xfId="4" applyFont="1" applyFill="1" applyBorder="1" applyAlignment="1">
      <alignment vertical="top"/>
    </xf>
    <xf numFmtId="0" fontId="58" fillId="32" borderId="2" xfId="4" applyFont="1" applyFill="1" applyBorder="1" applyAlignment="1">
      <alignment horizontal="center" vertical="center"/>
    </xf>
    <xf numFmtId="0" fontId="53" fillId="32" borderId="2" xfId="4" applyFont="1" applyFill="1" applyBorder="1" applyAlignment="1">
      <alignment horizontal="left" vertical="top"/>
    </xf>
    <xf numFmtId="0" fontId="53" fillId="32" borderId="2" xfId="4" applyFont="1" applyFill="1" applyBorder="1" applyAlignment="1">
      <alignment horizontal="center" vertical="center"/>
    </xf>
    <xf numFmtId="0" fontId="58" fillId="32" borderId="2" xfId="4" applyFont="1" applyFill="1" applyBorder="1" applyAlignment="1">
      <alignment horizontal="center" vertical="top"/>
    </xf>
    <xf numFmtId="0" fontId="58" fillId="32" borderId="5" xfId="4" applyFont="1" applyFill="1" applyBorder="1" applyAlignment="1">
      <alignment horizontal="center" vertical="top"/>
    </xf>
    <xf numFmtId="0" fontId="58" fillId="3" borderId="5" xfId="4" applyFont="1" applyFill="1" applyBorder="1" applyAlignment="1">
      <alignment vertical="top"/>
    </xf>
    <xf numFmtId="0" fontId="58" fillId="3" borderId="2" xfId="4" applyFont="1" applyFill="1" applyBorder="1" applyAlignment="1">
      <alignment horizontal="center" vertical="center"/>
    </xf>
    <xf numFmtId="0" fontId="58" fillId="4" borderId="5" xfId="4" applyFont="1" applyFill="1" applyBorder="1" applyAlignment="1">
      <alignment vertical="top"/>
    </xf>
    <xf numFmtId="0" fontId="53" fillId="4" borderId="5" xfId="4" applyFont="1" applyFill="1" applyBorder="1" applyAlignment="1">
      <alignment horizontal="left" vertical="top"/>
    </xf>
    <xf numFmtId="20" fontId="15" fillId="8" borderId="5" xfId="2" applyNumberFormat="1" applyFont="1" applyFill="1" applyBorder="1" applyAlignment="1">
      <alignment horizontal="center" vertical="center" wrapText="1"/>
    </xf>
    <xf numFmtId="0" fontId="59" fillId="2" borderId="2" xfId="4" applyFont="1" applyFill="1" applyBorder="1" applyAlignment="1">
      <alignment horizontal="center" vertical="center"/>
    </xf>
    <xf numFmtId="20" fontId="15" fillId="10" borderId="5" xfId="2" applyNumberFormat="1" applyFont="1" applyFill="1" applyBorder="1" applyAlignment="1">
      <alignment horizontal="center" vertical="center" wrapText="1"/>
    </xf>
    <xf numFmtId="20" fontId="30" fillId="10" borderId="5" xfId="2" applyNumberFormat="1" applyFont="1" applyFill="1" applyBorder="1" applyAlignment="1">
      <alignment horizontal="center" vertical="center" wrapText="1"/>
    </xf>
    <xf numFmtId="0" fontId="15" fillId="4" borderId="5" xfId="4" applyFont="1" applyFill="1" applyBorder="1" applyAlignment="1">
      <alignment horizontal="left" vertical="top"/>
    </xf>
    <xf numFmtId="0" fontId="15" fillId="5" borderId="5" xfId="4" applyFont="1" applyFill="1" applyBorder="1" applyAlignment="1">
      <alignment vertical="center"/>
    </xf>
    <xf numFmtId="0" fontId="15" fillId="6" borderId="5" xfId="4" applyFont="1" applyFill="1" applyBorder="1" applyAlignment="1">
      <alignment vertical="center"/>
    </xf>
    <xf numFmtId="0" fontId="15" fillId="2" borderId="2" xfId="4" applyFont="1" applyFill="1" applyBorder="1" applyAlignment="1">
      <alignment horizontal="center" vertical="center"/>
    </xf>
    <xf numFmtId="0" fontId="57" fillId="3" borderId="5" xfId="4" applyFont="1" applyFill="1" applyBorder="1" applyAlignment="1">
      <alignment vertical="center"/>
    </xf>
    <xf numFmtId="0" fontId="60" fillId="3" borderId="2" xfId="4" applyFont="1" applyFill="1" applyBorder="1" applyAlignment="1">
      <alignment horizontal="center" vertical="center"/>
    </xf>
    <xf numFmtId="0" fontId="57" fillId="4" borderId="5" xfId="4" applyFont="1" applyFill="1" applyBorder="1" applyAlignment="1">
      <alignment vertical="center"/>
    </xf>
    <xf numFmtId="0" fontId="60" fillId="4" borderId="2" xfId="4" applyFont="1" applyFill="1" applyBorder="1" applyAlignment="1">
      <alignment horizontal="center" vertical="center"/>
    </xf>
    <xf numFmtId="0" fontId="55" fillId="3" borderId="5" xfId="2" applyFont="1" applyFill="1" applyBorder="1" applyAlignment="1">
      <alignment horizontal="center" vertical="center" wrapText="1"/>
    </xf>
    <xf numFmtId="0" fontId="55" fillId="4" borderId="5" xfId="2" applyFont="1" applyFill="1" applyBorder="1" applyAlignment="1">
      <alignment horizontal="center" vertical="center" wrapText="1"/>
    </xf>
    <xf numFmtId="0" fontId="49" fillId="5" borderId="5" xfId="4" applyFont="1" applyFill="1" applyBorder="1" applyAlignment="1">
      <alignment vertical="center"/>
    </xf>
    <xf numFmtId="0" fontId="49" fillId="5" borderId="2" xfId="4" applyFont="1" applyFill="1" applyBorder="1" applyAlignment="1">
      <alignment horizontal="center" vertical="center"/>
    </xf>
    <xf numFmtId="20" fontId="15" fillId="5" borderId="5" xfId="4" applyNumberFormat="1" applyFont="1" applyFill="1" applyBorder="1" applyAlignment="1">
      <alignment horizontal="left" vertical="top" wrapText="1"/>
    </xf>
    <xf numFmtId="0" fontId="49" fillId="6" borderId="5" xfId="4" applyFont="1" applyFill="1" applyBorder="1" applyAlignment="1">
      <alignment vertical="center"/>
    </xf>
    <xf numFmtId="0" fontId="49" fillId="6" borderId="2" xfId="4" applyFont="1" applyFill="1" applyBorder="1" applyAlignment="1">
      <alignment horizontal="center" vertical="center"/>
    </xf>
    <xf numFmtId="20" fontId="15" fillId="6" borderId="5" xfId="4" applyNumberFormat="1" applyFont="1" applyFill="1" applyBorder="1" applyAlignment="1">
      <alignment horizontal="left" vertical="top" wrapText="1"/>
    </xf>
    <xf numFmtId="0" fontId="15" fillId="29" borderId="5" xfId="2" applyFont="1" applyFill="1" applyBorder="1">
      <alignment vertical="center"/>
    </xf>
    <xf numFmtId="0" fontId="15" fillId="29" borderId="5" xfId="2" applyFont="1" applyFill="1" applyBorder="1" applyAlignment="1">
      <alignment horizontal="center" vertical="center"/>
    </xf>
    <xf numFmtId="0" fontId="51" fillId="3" borderId="5" xfId="4" applyFont="1" applyFill="1" applyBorder="1" applyAlignment="1">
      <alignment vertical="center"/>
    </xf>
    <xf numFmtId="0" fontId="51" fillId="3" borderId="2" xfId="4" applyFont="1" applyFill="1" applyBorder="1" applyAlignment="1">
      <alignment horizontal="center" vertical="center"/>
    </xf>
    <xf numFmtId="0" fontId="51" fillId="4" borderId="5" xfId="4" applyFont="1" applyFill="1" applyBorder="1" applyAlignment="1">
      <alignment vertical="center"/>
    </xf>
    <xf numFmtId="0" fontId="51" fillId="4" borderId="2" xfId="4" applyFont="1" applyFill="1" applyBorder="1" applyAlignment="1">
      <alignment horizontal="left" vertical="top"/>
    </xf>
    <xf numFmtId="0" fontId="15" fillId="27" borderId="2" xfId="4" applyFont="1" applyFill="1" applyBorder="1" applyAlignment="1">
      <alignment horizontal="center" vertical="center"/>
    </xf>
    <xf numFmtId="0" fontId="23" fillId="27" borderId="2" xfId="4" applyFont="1" applyFill="1" applyBorder="1" applyAlignment="1">
      <alignment horizontal="center" vertical="center" wrapText="1"/>
    </xf>
    <xf numFmtId="0" fontId="15" fillId="27" borderId="5" xfId="4" applyFont="1" applyFill="1" applyBorder="1" applyAlignment="1">
      <alignment horizontal="center" vertical="center"/>
    </xf>
    <xf numFmtId="20" fontId="15" fillId="29" borderId="5" xfId="2" applyNumberFormat="1" applyFont="1" applyFill="1" applyBorder="1" applyAlignment="1">
      <alignment vertical="center" wrapText="1"/>
    </xf>
    <xf numFmtId="20" fontId="15" fillId="29" borderId="5" xfId="2" applyNumberFormat="1" applyFont="1" applyFill="1" applyBorder="1" applyAlignment="1">
      <alignment horizontal="center" vertical="center" wrapText="1"/>
    </xf>
    <xf numFmtId="0" fontId="15" fillId="6" borderId="2" xfId="4" applyFont="1" applyFill="1" applyBorder="1" applyAlignment="1">
      <alignment horizontal="center" vertical="center"/>
    </xf>
    <xf numFmtId="0" fontId="17" fillId="41" borderId="2" xfId="4" applyFont="1" applyFill="1" applyBorder="1" applyAlignment="1">
      <alignment horizontal="center" vertical="center"/>
    </xf>
    <xf numFmtId="0" fontId="57" fillId="3" borderId="2" xfId="4" applyFont="1" applyFill="1" applyBorder="1" applyAlignment="1">
      <alignment horizontal="center" vertical="center"/>
    </xf>
    <xf numFmtId="0" fontId="48" fillId="3" borderId="2" xfId="4" applyFont="1" applyFill="1" applyBorder="1" applyAlignment="1">
      <alignment horizontal="center" vertical="center"/>
    </xf>
    <xf numFmtId="0" fontId="49" fillId="3" borderId="2" xfId="4" applyFont="1" applyFill="1" applyBorder="1" applyAlignment="1">
      <alignment horizontal="center" vertical="center"/>
    </xf>
    <xf numFmtId="0" fontId="48" fillId="4" borderId="2" xfId="4" applyFont="1" applyFill="1" applyBorder="1" applyAlignment="1">
      <alignment horizontal="center" vertical="center"/>
    </xf>
    <xf numFmtId="20" fontId="15" fillId="4" borderId="5" xfId="4" applyNumberFormat="1" applyFont="1" applyFill="1" applyBorder="1" applyAlignment="1">
      <alignment horizontal="left" vertical="top" wrapText="1"/>
    </xf>
    <xf numFmtId="0" fontId="6" fillId="29" borderId="5" xfId="4" applyFont="1" applyFill="1" applyBorder="1" applyAlignment="1">
      <alignment horizontal="center" vertical="center"/>
    </xf>
    <xf numFmtId="0" fontId="15" fillId="29" borderId="5" xfId="2" applyFont="1" applyFill="1" applyBorder="1" applyAlignment="1">
      <alignment horizontal="left" vertical="center"/>
    </xf>
    <xf numFmtId="0" fontId="15" fillId="14" borderId="5" xfId="4" applyFont="1" applyFill="1" applyBorder="1" applyAlignment="1">
      <alignment horizontal="center" vertical="center"/>
    </xf>
    <xf numFmtId="0" fontId="15" fillId="14" borderId="2" xfId="4" applyFont="1" applyFill="1" applyBorder="1" applyAlignment="1">
      <alignment horizontal="center" vertical="center"/>
    </xf>
    <xf numFmtId="0" fontId="15" fillId="14" borderId="5" xfId="4" applyFont="1" applyFill="1" applyBorder="1" applyAlignment="1">
      <alignment horizontal="left" vertical="top"/>
    </xf>
    <xf numFmtId="49" fontId="15" fillId="5" borderId="5" xfId="4" applyNumberFormat="1" applyFont="1" applyFill="1" applyBorder="1" applyAlignment="1">
      <alignment horizontal="left" vertical="top" wrapText="1"/>
    </xf>
    <xf numFmtId="49" fontId="15" fillId="39" borderId="5" xfId="4" applyNumberFormat="1" applyFont="1" applyFill="1" applyBorder="1" applyAlignment="1">
      <alignment horizontal="left" vertical="top" wrapText="1"/>
    </xf>
    <xf numFmtId="49" fontId="15" fillId="8" borderId="5" xfId="4" applyNumberFormat="1" applyFont="1" applyFill="1" applyBorder="1" applyAlignment="1">
      <alignment horizontal="center" vertical="center"/>
    </xf>
    <xf numFmtId="0" fontId="30" fillId="10" borderId="5" xfId="4" applyFont="1" applyFill="1" applyBorder="1" applyAlignment="1">
      <alignment horizontal="center" vertical="center"/>
    </xf>
    <xf numFmtId="20" fontId="15" fillId="29" borderId="5" xfId="4" applyNumberFormat="1" applyFont="1" applyFill="1" applyBorder="1" applyAlignment="1">
      <alignment vertical="center" wrapText="1"/>
    </xf>
    <xf numFmtId="20" fontId="15" fillId="29" borderId="5" xfId="4" applyNumberFormat="1" applyFont="1" applyFill="1" applyBorder="1" applyAlignment="1">
      <alignment horizontal="center" vertical="center" wrapText="1"/>
    </xf>
    <xf numFmtId="49" fontId="15" fillId="4" borderId="5" xfId="4" applyNumberFormat="1" applyFont="1" applyFill="1" applyBorder="1" applyAlignment="1">
      <alignment horizontal="left" vertical="top" wrapText="1"/>
    </xf>
    <xf numFmtId="0" fontId="38" fillId="8" borderId="2" xfId="4" applyFont="1" applyFill="1" applyBorder="1" applyAlignment="1">
      <alignment horizontal="center" vertical="center"/>
    </xf>
    <xf numFmtId="20" fontId="15" fillId="5" borderId="5" xfId="2" applyNumberFormat="1" applyFont="1" applyFill="1" applyBorder="1" applyAlignment="1">
      <alignment horizontal="left" vertical="top" wrapText="1"/>
    </xf>
    <xf numFmtId="20" fontId="15" fillId="6" borderId="5" xfId="2" applyNumberFormat="1" applyFont="1" applyFill="1" applyBorder="1" applyAlignment="1">
      <alignment horizontal="left" vertical="top" wrapText="1"/>
    </xf>
    <xf numFmtId="0" fontId="38" fillId="9" borderId="5" xfId="4" applyFont="1" applyFill="1" applyBorder="1" applyAlignment="1">
      <alignment horizontal="center" vertical="center"/>
    </xf>
    <xf numFmtId="20" fontId="15" fillId="14" borderId="5" xfId="2" applyNumberFormat="1" applyFont="1" applyFill="1" applyBorder="1" applyAlignment="1">
      <alignment horizontal="left" vertical="top" wrapText="1"/>
    </xf>
    <xf numFmtId="0" fontId="17" fillId="41" borderId="5" xfId="4" applyFont="1" applyFill="1" applyBorder="1" applyAlignment="1">
      <alignment horizontal="center" vertical="center"/>
    </xf>
    <xf numFmtId="0" fontId="15" fillId="10" borderId="5" xfId="4" applyFont="1" applyFill="1" applyBorder="1" applyAlignment="1">
      <alignment vertical="center"/>
    </xf>
    <xf numFmtId="0" fontId="15" fillId="6" borderId="5" xfId="4" applyFont="1" applyFill="1" applyBorder="1" applyAlignment="1">
      <alignment horizontal="center" vertical="center"/>
    </xf>
    <xf numFmtId="0" fontId="15" fillId="41" borderId="2" xfId="4" applyFont="1" applyFill="1" applyBorder="1" applyAlignment="1">
      <alignment horizontal="center" vertical="center"/>
    </xf>
    <xf numFmtId="0" fontId="38" fillId="5" borderId="5" xfId="4" applyFont="1" applyFill="1" applyBorder="1" applyAlignment="1">
      <alignment horizontal="center" vertical="center"/>
    </xf>
    <xf numFmtId="0" fontId="38" fillId="5" borderId="2" xfId="4" applyFont="1" applyFill="1" applyBorder="1" applyAlignment="1">
      <alignment horizontal="center" vertical="center"/>
    </xf>
    <xf numFmtId="0" fontId="38" fillId="6" borderId="5" xfId="4" applyFont="1" applyFill="1" applyBorder="1" applyAlignment="1">
      <alignment horizontal="center" vertical="center"/>
    </xf>
    <xf numFmtId="0" fontId="38" fillId="6" borderId="2" xfId="4" applyFont="1" applyFill="1" applyBorder="1" applyAlignment="1">
      <alignment horizontal="center" vertical="center"/>
    </xf>
    <xf numFmtId="0" fontId="15" fillId="29" borderId="6" xfId="4" applyFont="1" applyFill="1" applyBorder="1" applyAlignment="1">
      <alignment horizontal="center" vertical="center"/>
    </xf>
    <xf numFmtId="176" fontId="3" fillId="0" borderId="21" xfId="2" applyNumberFormat="1" applyFont="1" applyBorder="1" applyAlignment="1">
      <alignment horizontal="right" vertical="center"/>
    </xf>
    <xf numFmtId="0" fontId="37" fillId="3" borderId="6" xfId="4" applyFont="1" applyFill="1" applyBorder="1" applyAlignment="1">
      <alignment horizontal="center" vertical="center"/>
    </xf>
    <xf numFmtId="0" fontId="37" fillId="3" borderId="7" xfId="4" applyFont="1" applyFill="1" applyBorder="1" applyAlignment="1">
      <alignment horizontal="center" vertical="center"/>
    </xf>
    <xf numFmtId="0" fontId="37" fillId="4" borderId="6" xfId="4" applyFont="1" applyFill="1" applyBorder="1" applyAlignment="1">
      <alignment horizontal="center" vertical="center"/>
    </xf>
    <xf numFmtId="0" fontId="15" fillId="4" borderId="7" xfId="4" applyFont="1" applyFill="1" applyBorder="1" applyAlignment="1">
      <alignment horizontal="center" vertical="center"/>
    </xf>
    <xf numFmtId="20" fontId="15" fillId="4" borderId="6" xfId="2" applyNumberFormat="1" applyFont="1" applyFill="1" applyBorder="1" applyAlignment="1">
      <alignment horizontal="left" vertical="top" wrapText="1"/>
    </xf>
    <xf numFmtId="0" fontId="38" fillId="5" borderId="6" xfId="4" applyFont="1" applyFill="1" applyBorder="1" applyAlignment="1">
      <alignment horizontal="center" vertical="center"/>
    </xf>
    <xf numFmtId="0" fontId="38" fillId="5" borderId="7" xfId="4" applyFont="1" applyFill="1" applyBorder="1" applyAlignment="1">
      <alignment horizontal="center" vertical="center"/>
    </xf>
    <xf numFmtId="20" fontId="15" fillId="5" borderId="6" xfId="4" applyNumberFormat="1" applyFont="1" applyFill="1" applyBorder="1" applyAlignment="1">
      <alignment horizontal="left" vertical="top" wrapText="1"/>
    </xf>
    <xf numFmtId="0" fontId="38" fillId="6" borderId="6" xfId="4" applyFont="1" applyFill="1" applyBorder="1" applyAlignment="1">
      <alignment horizontal="center" vertical="center"/>
    </xf>
    <xf numFmtId="0" fontId="38" fillId="6" borderId="7" xfId="4" applyFont="1" applyFill="1" applyBorder="1" applyAlignment="1">
      <alignment horizontal="center" vertical="center"/>
    </xf>
    <xf numFmtId="20" fontId="15" fillId="6" borderId="6" xfId="4" applyNumberFormat="1" applyFont="1" applyFill="1" applyBorder="1" applyAlignment="1">
      <alignment horizontal="left" vertical="top" wrapText="1"/>
    </xf>
    <xf numFmtId="0" fontId="15" fillId="8" borderId="6" xfId="4" applyFont="1" applyFill="1" applyBorder="1" applyAlignment="1">
      <alignment horizontal="center" vertical="center"/>
    </xf>
    <xf numFmtId="0" fontId="37" fillId="29" borderId="6" xfId="4" applyFont="1" applyFill="1" applyBorder="1" applyAlignment="1">
      <alignment horizontal="center" vertical="center"/>
    </xf>
    <xf numFmtId="0" fontId="15" fillId="29" borderId="6" xfId="4" applyFont="1" applyFill="1" applyBorder="1" applyAlignment="1">
      <alignment horizontal="left" vertical="center"/>
    </xf>
    <xf numFmtId="20" fontId="15" fillId="29" borderId="6" xfId="2" applyNumberFormat="1" applyFont="1" applyFill="1" applyBorder="1" applyAlignment="1">
      <alignment vertical="center" wrapText="1"/>
    </xf>
    <xf numFmtId="0" fontId="15" fillId="3" borderId="4" xfId="4" applyFont="1" applyFill="1" applyBorder="1" applyAlignment="1">
      <alignment horizontal="center" vertical="center"/>
    </xf>
    <xf numFmtId="0" fontId="15" fillId="4" borderId="4" xfId="4" applyFont="1" applyFill="1" applyBorder="1" applyAlignment="1">
      <alignment horizontal="center" vertical="center"/>
    </xf>
    <xf numFmtId="0" fontId="56" fillId="5" borderId="2" xfId="4" applyFont="1" applyFill="1" applyBorder="1" applyAlignment="1">
      <alignment horizontal="center" vertical="center"/>
    </xf>
    <xf numFmtId="0" fontId="56" fillId="14" borderId="2" xfId="4" applyFont="1" applyFill="1" applyBorder="1" applyAlignment="1">
      <alignment horizontal="center" vertical="center"/>
    </xf>
    <xf numFmtId="49" fontId="15" fillId="14" borderId="5" xfId="4" applyNumberFormat="1" applyFont="1" applyFill="1" applyBorder="1" applyAlignment="1">
      <alignment horizontal="left" vertical="top" wrapText="1"/>
    </xf>
    <xf numFmtId="0" fontId="15" fillId="7" borderId="4" xfId="4" applyFont="1" applyFill="1" applyBorder="1" applyAlignment="1">
      <alignment horizontal="center" vertical="center"/>
    </xf>
    <xf numFmtId="0" fontId="15" fillId="7" borderId="3" xfId="4" applyFont="1" applyFill="1" applyBorder="1" applyAlignment="1">
      <alignment horizontal="center" vertical="center"/>
    </xf>
    <xf numFmtId="0" fontId="15" fillId="8" borderId="4" xfId="4" applyFont="1" applyFill="1" applyBorder="1" applyAlignment="1">
      <alignment horizontal="center" vertical="center"/>
    </xf>
    <xf numFmtId="0" fontId="15" fillId="8" borderId="3" xfId="4" applyFont="1" applyFill="1" applyBorder="1" applyAlignment="1">
      <alignment horizontal="center" vertical="center"/>
    </xf>
    <xf numFmtId="0" fontId="15" fillId="9" borderId="3" xfId="4" applyFont="1" applyFill="1" applyBorder="1" applyAlignment="1">
      <alignment horizontal="center" vertical="center"/>
    </xf>
    <xf numFmtId="0" fontId="15" fillId="2" borderId="4" xfId="4" applyFont="1" applyFill="1" applyBorder="1" applyAlignment="1">
      <alignment horizontal="center" vertical="center"/>
    </xf>
    <xf numFmtId="0" fontId="15" fillId="10" borderId="3" xfId="4" applyFont="1" applyFill="1" applyBorder="1" applyAlignment="1">
      <alignment horizontal="center" vertical="center"/>
    </xf>
    <xf numFmtId="0" fontId="15" fillId="29" borderId="2" xfId="4" applyFont="1" applyFill="1" applyBorder="1" applyAlignment="1">
      <alignment vertical="center"/>
    </xf>
    <xf numFmtId="0" fontId="36" fillId="5" borderId="2" xfId="4" applyFont="1" applyFill="1" applyBorder="1" applyAlignment="1">
      <alignment horizontal="center" vertical="center"/>
    </xf>
    <xf numFmtId="0" fontId="36" fillId="14" borderId="2" xfId="4" applyFont="1" applyFill="1" applyBorder="1" applyAlignment="1">
      <alignment horizontal="center" vertical="center"/>
    </xf>
    <xf numFmtId="20" fontId="15" fillId="14" borderId="5" xfId="4" applyNumberFormat="1" applyFont="1" applyFill="1" applyBorder="1" applyAlignment="1">
      <alignment horizontal="left" vertical="top" wrapText="1"/>
    </xf>
    <xf numFmtId="0" fontId="36" fillId="3" borderId="2" xfId="4" applyFont="1" applyFill="1" applyBorder="1" applyAlignment="1">
      <alignment horizontal="center" vertical="center"/>
    </xf>
    <xf numFmtId="0" fontId="38" fillId="4" borderId="5" xfId="4" applyFont="1" applyFill="1" applyBorder="1" applyAlignment="1">
      <alignment horizontal="center" vertical="center"/>
    </xf>
    <xf numFmtId="0" fontId="15" fillId="36" borderId="5" xfId="4" applyFont="1" applyFill="1" applyBorder="1" applyAlignment="1">
      <alignment horizontal="center" vertical="center"/>
    </xf>
    <xf numFmtId="0" fontId="61" fillId="36" borderId="2" xfId="4" applyFont="1" applyFill="1" applyBorder="1" applyAlignment="1">
      <alignment horizontal="center" vertical="center"/>
    </xf>
    <xf numFmtId="20" fontId="61" fillId="36" borderId="5" xfId="2" applyNumberFormat="1" applyFont="1" applyFill="1" applyBorder="1" applyAlignment="1">
      <alignment horizontal="left" vertical="top" wrapText="1"/>
    </xf>
    <xf numFmtId="20" fontId="15" fillId="36" borderId="5" xfId="2" applyNumberFormat="1" applyFont="1" applyFill="1" applyBorder="1" applyAlignment="1">
      <alignment horizontal="center" vertical="center" wrapText="1"/>
    </xf>
    <xf numFmtId="0" fontId="51" fillId="36" borderId="2" xfId="4" applyFont="1" applyFill="1" applyBorder="1" applyAlignment="1">
      <alignment horizontal="center" vertical="center"/>
    </xf>
    <xf numFmtId="20" fontId="15" fillId="36" borderId="5" xfId="2" applyNumberFormat="1" applyFont="1" applyFill="1" applyBorder="1" applyAlignment="1">
      <alignment horizontal="left" vertical="top" wrapText="1"/>
    </xf>
    <xf numFmtId="0" fontId="51" fillId="36" borderId="5" xfId="4" applyFont="1" applyFill="1" applyBorder="1" applyAlignment="1">
      <alignment horizontal="center" vertical="center"/>
    </xf>
    <xf numFmtId="0" fontId="15" fillId="29" borderId="2" xfId="2" applyFont="1" applyFill="1" applyBorder="1">
      <alignment vertical="center"/>
    </xf>
    <xf numFmtId="0" fontId="37" fillId="3" borderId="5" xfId="4" applyFont="1" applyFill="1" applyBorder="1" applyAlignment="1">
      <alignment horizontal="center" vertical="center"/>
    </xf>
    <xf numFmtId="0" fontId="37" fillId="3" borderId="2" xfId="4" applyFont="1" applyFill="1" applyBorder="1" applyAlignment="1">
      <alignment horizontal="center" vertical="center"/>
    </xf>
    <xf numFmtId="0" fontId="37" fillId="4" borderId="5" xfId="4" applyFont="1" applyFill="1" applyBorder="1" applyAlignment="1">
      <alignment horizontal="center" vertical="center"/>
    </xf>
    <xf numFmtId="49" fontId="15" fillId="4" borderId="5" xfId="4" applyNumberFormat="1" applyFont="1" applyFill="1" applyBorder="1" applyAlignment="1">
      <alignment horizontal="left" vertical="top"/>
    </xf>
    <xf numFmtId="0" fontId="37" fillId="5" borderId="2" xfId="4" applyFont="1" applyFill="1" applyBorder="1" applyAlignment="1">
      <alignment horizontal="center" vertical="center"/>
    </xf>
    <xf numFmtId="49" fontId="15" fillId="5" borderId="5" xfId="4" applyNumberFormat="1" applyFont="1" applyFill="1" applyBorder="1" applyAlignment="1">
      <alignment horizontal="left" vertical="top"/>
    </xf>
    <xf numFmtId="0" fontId="37" fillId="6" borderId="5" xfId="4" applyFont="1" applyFill="1" applyBorder="1" applyAlignment="1">
      <alignment horizontal="center" vertical="center"/>
    </xf>
    <xf numFmtId="0" fontId="37" fillId="6" borderId="2" xfId="4" applyFont="1" applyFill="1" applyBorder="1" applyAlignment="1">
      <alignment horizontal="center" vertical="center"/>
    </xf>
    <xf numFmtId="49" fontId="15" fillId="6" borderId="5" xfId="4" applyNumberFormat="1" applyFont="1" applyFill="1" applyBorder="1" applyAlignment="1">
      <alignment horizontal="left" vertical="top"/>
    </xf>
    <xf numFmtId="20" fontId="15" fillId="29" borderId="2" xfId="2" applyNumberFormat="1" applyFont="1" applyFill="1" applyBorder="1" applyAlignment="1">
      <alignment vertical="center" wrapText="1"/>
    </xf>
    <xf numFmtId="0" fontId="15" fillId="29" borderId="2" xfId="4" applyFont="1" applyFill="1" applyBorder="1" applyAlignment="1">
      <alignment horizontal="left" vertical="center"/>
    </xf>
    <xf numFmtId="0" fontId="15" fillId="29" borderId="2" xfId="2" applyFont="1" applyFill="1" applyBorder="1" applyAlignment="1">
      <alignment horizontal="left" vertical="center"/>
    </xf>
    <xf numFmtId="20" fontId="15" fillId="29" borderId="2" xfId="4" applyNumberFormat="1" applyFont="1" applyFill="1" applyBorder="1" applyAlignment="1">
      <alignment vertical="center" wrapText="1"/>
    </xf>
    <xf numFmtId="0" fontId="62" fillId="4" borderId="5" xfId="4" applyFont="1" applyFill="1" applyBorder="1" applyAlignment="1">
      <alignment horizontal="left" vertical="top"/>
    </xf>
    <xf numFmtId="0" fontId="17" fillId="5" borderId="2" xfId="4" applyFont="1" applyFill="1" applyBorder="1" applyAlignment="1">
      <alignment horizontal="center" vertical="center"/>
    </xf>
    <xf numFmtId="0" fontId="62" fillId="5" borderId="5" xfId="4" applyFont="1" applyFill="1" applyBorder="1" applyAlignment="1">
      <alignment horizontal="left" vertical="top"/>
    </xf>
    <xf numFmtId="0" fontId="17" fillId="39" borderId="2" xfId="4" applyFont="1" applyFill="1" applyBorder="1" applyAlignment="1">
      <alignment horizontal="center" vertical="center"/>
    </xf>
    <xf numFmtId="0" fontId="62" fillId="6" borderId="5" xfId="4" applyFont="1" applyFill="1" applyBorder="1" applyAlignment="1">
      <alignment horizontal="left" vertical="top"/>
    </xf>
    <xf numFmtId="0" fontId="16" fillId="3" borderId="2" xfId="4" applyFont="1" applyFill="1" applyBorder="1" applyAlignment="1">
      <alignment horizontal="center" vertical="center"/>
    </xf>
    <xf numFmtId="0" fontId="62" fillId="3" borderId="2" xfId="4" applyFont="1" applyFill="1" applyBorder="1" applyAlignment="1">
      <alignment horizontal="center" vertical="center"/>
    </xf>
    <xf numFmtId="0" fontId="38" fillId="7" borderId="2" xfId="4" applyFont="1" applyFill="1" applyBorder="1" applyAlignment="1">
      <alignment horizontal="center" vertical="center"/>
    </xf>
    <xf numFmtId="0" fontId="38" fillId="2" borderId="2" xfId="4" applyFont="1" applyFill="1" applyBorder="1" applyAlignment="1">
      <alignment horizontal="center" vertical="center"/>
    </xf>
    <xf numFmtId="176" fontId="3" fillId="0" borderId="22" xfId="2" applyNumberFormat="1" applyFont="1" applyBorder="1" applyAlignment="1">
      <alignment horizontal="right" vertical="center"/>
    </xf>
    <xf numFmtId="0" fontId="62" fillId="5" borderId="2" xfId="4" applyFont="1" applyFill="1" applyBorder="1" applyAlignment="1">
      <alignment horizontal="center" vertical="center"/>
    </xf>
    <xf numFmtId="0" fontId="62" fillId="6" borderId="2" xfId="4" applyFont="1" applyFill="1" applyBorder="1" applyAlignment="1">
      <alignment horizontal="center" vertical="center"/>
    </xf>
    <xf numFmtId="0" fontId="38" fillId="10" borderId="5" xfId="4" applyFont="1" applyFill="1" applyBorder="1" applyAlignment="1">
      <alignment horizontal="center" vertical="center"/>
    </xf>
    <xf numFmtId="49" fontId="15" fillId="8" borderId="5" xfId="4" applyNumberFormat="1" applyFont="1" applyFill="1" applyBorder="1" applyAlignment="1">
      <alignment horizontal="center" vertical="center" wrapText="1"/>
    </xf>
    <xf numFmtId="0" fontId="15" fillId="8" borderId="2" xfId="2" applyFont="1" applyFill="1" applyBorder="1" applyAlignment="1">
      <alignment horizontal="center" vertical="center"/>
    </xf>
    <xf numFmtId="0" fontId="15" fillId="3" borderId="7" xfId="4" applyFont="1" applyFill="1" applyBorder="1" applyAlignment="1">
      <alignment horizontal="center" vertical="center"/>
    </xf>
    <xf numFmtId="0" fontId="15" fillId="4" borderId="6" xfId="4" applyFont="1" applyFill="1" applyBorder="1" applyAlignment="1">
      <alignment horizontal="left" vertical="top"/>
    </xf>
    <xf numFmtId="0" fontId="37" fillId="5" borderId="6" xfId="4" applyFont="1" applyFill="1" applyBorder="1" applyAlignment="1">
      <alignment horizontal="center" vertical="center"/>
    </xf>
    <xf numFmtId="0" fontId="15" fillId="5" borderId="6" xfId="4" applyFont="1" applyFill="1" applyBorder="1" applyAlignment="1">
      <alignment horizontal="left" vertical="top"/>
    </xf>
    <xf numFmtId="0" fontId="37" fillId="6" borderId="6" xfId="4" applyFont="1" applyFill="1" applyBorder="1" applyAlignment="1">
      <alignment horizontal="center" vertical="center"/>
    </xf>
    <xf numFmtId="0" fontId="37" fillId="6" borderId="7" xfId="4" applyFont="1" applyFill="1" applyBorder="1" applyAlignment="1">
      <alignment horizontal="center" vertical="center"/>
    </xf>
    <xf numFmtId="0" fontId="15" fillId="6" borderId="6" xfId="4" applyFont="1" applyFill="1" applyBorder="1" applyAlignment="1">
      <alignment horizontal="left" vertical="top"/>
    </xf>
    <xf numFmtId="0" fontId="15" fillId="7" borderId="7" xfId="4" applyFont="1" applyFill="1" applyBorder="1" applyAlignment="1">
      <alignment horizontal="center" vertical="center"/>
    </xf>
    <xf numFmtId="0" fontId="15" fillId="8" borderId="7" xfId="4" applyFont="1" applyFill="1" applyBorder="1" applyAlignment="1">
      <alignment horizontal="center" vertical="center"/>
    </xf>
    <xf numFmtId="0" fontId="15" fillId="9" borderId="6" xfId="4" applyFont="1" applyFill="1" applyBorder="1" applyAlignment="1">
      <alignment horizontal="center" vertical="center"/>
    </xf>
    <xf numFmtId="0" fontId="15" fillId="2" borderId="7" xfId="4" applyFont="1" applyFill="1" applyBorder="1" applyAlignment="1">
      <alignment horizontal="center" vertical="center"/>
    </xf>
    <xf numFmtId="20" fontId="15" fillId="29" borderId="3" xfId="2" applyNumberFormat="1" applyFont="1" applyFill="1" applyBorder="1" applyAlignment="1">
      <alignment horizontal="center" vertical="center" wrapText="1"/>
    </xf>
    <xf numFmtId="0" fontId="15" fillId="6" borderId="4" xfId="4" applyFont="1" applyFill="1" applyBorder="1" applyAlignment="1">
      <alignment horizontal="center" vertical="center"/>
    </xf>
    <xf numFmtId="49" fontId="15" fillId="7" borderId="3" xfId="4" applyNumberFormat="1" applyFont="1" applyFill="1" applyBorder="1" applyAlignment="1">
      <alignment horizontal="center" vertical="center"/>
    </xf>
    <xf numFmtId="0" fontId="15" fillId="8" borderId="0" xfId="4" applyFont="1" applyFill="1" applyAlignment="1">
      <alignment horizontal="center" vertical="center"/>
    </xf>
    <xf numFmtId="49" fontId="15" fillId="8" borderId="3" xfId="4" applyNumberFormat="1" applyFont="1" applyFill="1" applyBorder="1" applyAlignment="1">
      <alignment horizontal="center" vertical="center"/>
    </xf>
    <xf numFmtId="0" fontId="37" fillId="29" borderId="3" xfId="2" applyFont="1" applyFill="1" applyBorder="1" applyAlignment="1">
      <alignment horizontal="center" vertical="center" wrapText="1"/>
    </xf>
    <xf numFmtId="20" fontId="15" fillId="29" borderId="3" xfId="2" applyNumberFormat="1" applyFont="1" applyFill="1" applyBorder="1" applyAlignment="1">
      <alignment horizontal="left" vertical="center" wrapText="1"/>
    </xf>
    <xf numFmtId="0" fontId="37" fillId="29" borderId="3" xfId="4" applyFont="1" applyFill="1" applyBorder="1" applyAlignment="1">
      <alignment horizontal="center" vertical="center"/>
    </xf>
    <xf numFmtId="0" fontId="15" fillId="29" borderId="3" xfId="4" applyFont="1" applyFill="1" applyBorder="1" applyAlignment="1">
      <alignment horizontal="left" vertical="center"/>
    </xf>
    <xf numFmtId="0" fontId="15" fillId="29" borderId="3" xfId="4" applyFont="1" applyFill="1" applyBorder="1" applyAlignment="1">
      <alignment horizontal="center" vertical="center"/>
    </xf>
    <xf numFmtId="0" fontId="15" fillId="29" borderId="3" xfId="2" applyFont="1" applyFill="1" applyBorder="1" applyAlignment="1">
      <alignment horizontal="center" vertical="center" wrapText="1"/>
    </xf>
    <xf numFmtId="20" fontId="15" fillId="0" borderId="3" xfId="2" applyNumberFormat="1" applyFont="1" applyBorder="1" applyAlignment="1">
      <alignment horizontal="center" vertical="center" wrapText="1"/>
    </xf>
    <xf numFmtId="0" fontId="37" fillId="29" borderId="5" xfId="2" applyFont="1" applyFill="1" applyBorder="1" applyAlignment="1">
      <alignment horizontal="center" vertical="center" wrapText="1"/>
    </xf>
    <xf numFmtId="20" fontId="15" fillId="29" borderId="5" xfId="2" applyNumberFormat="1" applyFont="1" applyFill="1" applyBorder="1" applyAlignment="1">
      <alignment horizontal="left" vertical="center" wrapText="1"/>
    </xf>
    <xf numFmtId="0" fontId="15" fillId="29" borderId="5" xfId="2" applyFont="1" applyFill="1" applyBorder="1" applyAlignment="1">
      <alignment horizontal="center" vertical="center" wrapText="1"/>
    </xf>
    <xf numFmtId="0" fontId="15" fillId="25" borderId="0" xfId="4" applyFont="1" applyFill="1" applyAlignment="1">
      <alignment horizontal="center" vertical="center"/>
    </xf>
    <xf numFmtId="0" fontId="62" fillId="3" borderId="5" xfId="4" applyFont="1" applyFill="1" applyBorder="1" applyAlignment="1">
      <alignment horizontal="center" vertical="center"/>
    </xf>
    <xf numFmtId="0" fontId="62" fillId="4" borderId="5" xfId="4" applyFont="1" applyFill="1" applyBorder="1" applyAlignment="1">
      <alignment horizontal="center" vertical="center"/>
    </xf>
    <xf numFmtId="0" fontId="16" fillId="4" borderId="2" xfId="4" applyFont="1" applyFill="1" applyBorder="1" applyAlignment="1">
      <alignment horizontal="center" vertical="center"/>
    </xf>
    <xf numFmtId="49" fontId="15" fillId="14" borderId="5" xfId="4" applyNumberFormat="1" applyFont="1" applyFill="1" applyBorder="1" applyAlignment="1">
      <alignment horizontal="left" vertical="top"/>
    </xf>
    <xf numFmtId="49" fontId="15" fillId="7" borderId="5" xfId="4" applyNumberFormat="1" applyFont="1" applyFill="1" applyBorder="1" applyAlignment="1">
      <alignment horizontal="center" vertical="center"/>
    </xf>
    <xf numFmtId="0" fontId="15" fillId="8" borderId="0" xfId="2" applyFont="1" applyFill="1" applyAlignment="1">
      <alignment horizontal="center" vertical="center"/>
    </xf>
    <xf numFmtId="0" fontId="36" fillId="9" borderId="0" xfId="4" applyFont="1" applyFill="1" applyAlignment="1">
      <alignment horizontal="center" vertical="center"/>
    </xf>
    <xf numFmtId="0" fontId="63" fillId="2" borderId="2" xfId="4" applyFont="1" applyFill="1" applyBorder="1" applyAlignment="1">
      <alignment horizontal="center" vertical="center"/>
    </xf>
    <xf numFmtId="0" fontId="63" fillId="9" borderId="5" xfId="4" applyFont="1" applyFill="1" applyBorder="1" applyAlignment="1">
      <alignment horizontal="center" vertical="center"/>
    </xf>
    <xf numFmtId="49" fontId="15" fillId="10" borderId="5" xfId="4" applyNumberFormat="1" applyFont="1" applyFill="1" applyBorder="1" applyAlignment="1">
      <alignment horizontal="center" vertical="center"/>
    </xf>
    <xf numFmtId="0" fontId="15" fillId="0" borderId="5" xfId="2" applyFont="1" applyBorder="1" applyAlignment="1">
      <alignment horizontal="center" vertical="center"/>
    </xf>
    <xf numFmtId="0" fontId="15" fillId="3" borderId="2" xfId="4" applyFont="1" applyFill="1" applyBorder="1" applyAlignment="1">
      <alignment vertical="center"/>
    </xf>
    <xf numFmtId="0" fontId="15" fillId="4" borderId="2" xfId="4" applyFont="1" applyFill="1" applyBorder="1" applyAlignment="1">
      <alignment vertical="center"/>
    </xf>
    <xf numFmtId="49" fontId="38" fillId="10" borderId="5" xfId="4" applyNumberFormat="1" applyFont="1" applyFill="1" applyBorder="1" applyAlignment="1">
      <alignment horizontal="center" vertical="center"/>
    </xf>
    <xf numFmtId="14" fontId="15" fillId="5" borderId="5" xfId="4" applyNumberFormat="1" applyFont="1" applyFill="1" applyBorder="1" applyAlignment="1">
      <alignment horizontal="left" vertical="top"/>
    </xf>
    <xf numFmtId="14" fontId="15" fillId="6" borderId="5" xfId="4" applyNumberFormat="1" applyFont="1" applyFill="1" applyBorder="1" applyAlignment="1">
      <alignment horizontal="left" vertical="top"/>
    </xf>
    <xf numFmtId="0" fontId="36" fillId="9" borderId="5" xfId="4" applyFont="1" applyFill="1" applyBorder="1" applyAlignment="1">
      <alignment horizontal="center" vertical="center"/>
    </xf>
    <xf numFmtId="0" fontId="53" fillId="10" borderId="5" xfId="4" applyFont="1" applyFill="1" applyBorder="1" applyAlignment="1">
      <alignment horizontal="center" vertical="center"/>
    </xf>
    <xf numFmtId="0" fontId="15" fillId="29" borderId="5" xfId="4" applyFont="1" applyFill="1" applyBorder="1" applyAlignment="1">
      <alignment horizontal="center" vertical="center" wrapText="1"/>
    </xf>
    <xf numFmtId="14" fontId="15" fillId="4" borderId="5" xfId="4" applyNumberFormat="1" applyFont="1" applyFill="1" applyBorder="1" applyAlignment="1">
      <alignment horizontal="left" vertical="top"/>
    </xf>
    <xf numFmtId="0" fontId="15" fillId="29" borderId="5" xfId="4" applyFont="1" applyFill="1" applyBorder="1" applyAlignment="1">
      <alignment horizontal="left" vertical="center" wrapText="1"/>
    </xf>
    <xf numFmtId="0" fontId="57" fillId="5" borderId="2" xfId="4" applyFont="1" applyFill="1" applyBorder="1" applyAlignment="1">
      <alignment horizontal="center" vertical="center"/>
    </xf>
    <xf numFmtId="0" fontId="57" fillId="39" borderId="2" xfId="4" applyFont="1" applyFill="1" applyBorder="1" applyAlignment="1">
      <alignment horizontal="center" vertical="center"/>
    </xf>
    <xf numFmtId="177" fontId="15" fillId="10" borderId="5" xfId="4" applyNumberFormat="1" applyFont="1" applyFill="1" applyBorder="1" applyAlignment="1">
      <alignment horizontal="center" vertical="center"/>
    </xf>
    <xf numFmtId="177" fontId="30" fillId="10" borderId="5" xfId="4" applyNumberFormat="1" applyFont="1" applyFill="1" applyBorder="1" applyAlignment="1">
      <alignment horizontal="center" vertical="center"/>
    </xf>
    <xf numFmtId="0" fontId="64" fillId="8" borderId="2" xfId="4" applyFont="1" applyFill="1" applyBorder="1" applyAlignment="1">
      <alignment horizontal="center" vertical="center"/>
    </xf>
    <xf numFmtId="0" fontId="65" fillId="8" borderId="2" xfId="4" applyFont="1" applyFill="1" applyBorder="1" applyAlignment="1">
      <alignment horizontal="center" vertical="center"/>
    </xf>
    <xf numFmtId="0" fontId="63" fillId="8" borderId="2" xfId="4" applyFont="1" applyFill="1" applyBorder="1" applyAlignment="1">
      <alignment horizontal="center" vertical="center"/>
    </xf>
    <xf numFmtId="0" fontId="38" fillId="25" borderId="2" xfId="4" applyFont="1" applyFill="1" applyBorder="1" applyAlignment="1">
      <alignment horizontal="center" vertical="center"/>
    </xf>
    <xf numFmtId="0" fontId="36" fillId="2" borderId="2" xfId="4" applyFont="1" applyFill="1" applyBorder="1" applyAlignment="1">
      <alignment horizontal="center" vertical="center"/>
    </xf>
    <xf numFmtId="49" fontId="15" fillId="7" borderId="5" xfId="2" applyNumberFormat="1" applyFont="1" applyFill="1" applyBorder="1" applyAlignment="1">
      <alignment horizontal="center" vertical="center" wrapText="1"/>
    </xf>
    <xf numFmtId="0" fontId="15" fillId="8" borderId="5" xfId="2" applyFont="1" applyFill="1" applyBorder="1" applyAlignment="1">
      <alignment horizontal="center" vertical="center"/>
    </xf>
    <xf numFmtId="49" fontId="15" fillId="10" borderId="5" xfId="2" applyNumberFormat="1" applyFont="1" applyFill="1" applyBorder="1" applyAlignment="1">
      <alignment horizontal="center" vertical="center" wrapText="1"/>
    </xf>
    <xf numFmtId="0" fontId="15" fillId="29" borderId="5" xfId="2" applyFont="1" applyFill="1" applyBorder="1" applyAlignment="1">
      <alignment horizontal="left" vertical="center" wrapText="1"/>
    </xf>
    <xf numFmtId="0" fontId="66" fillId="29" borderId="5" xfId="4" applyFont="1" applyFill="1" applyBorder="1" applyAlignment="1">
      <alignment horizontal="center" vertical="center"/>
    </xf>
    <xf numFmtId="0" fontId="15" fillId="0" borderId="5" xfId="2" applyFont="1" applyBorder="1" applyAlignment="1">
      <alignment horizontal="center" vertical="center" wrapText="1"/>
    </xf>
    <xf numFmtId="0" fontId="53" fillId="5" borderId="5" xfId="4" applyFont="1" applyFill="1" applyBorder="1" applyAlignment="1">
      <alignment horizontal="center" vertical="center"/>
    </xf>
    <xf numFmtId="0" fontId="53" fillId="5" borderId="5" xfId="4" applyFont="1" applyFill="1" applyBorder="1" applyAlignment="1">
      <alignment horizontal="left" vertical="top"/>
    </xf>
    <xf numFmtId="0" fontId="53" fillId="39" borderId="5" xfId="4" applyFont="1" applyFill="1" applyBorder="1" applyAlignment="1">
      <alignment horizontal="center" vertical="center"/>
    </xf>
    <xf numFmtId="0" fontId="53" fillId="39" borderId="5" xfId="4" applyFont="1" applyFill="1" applyBorder="1" applyAlignment="1">
      <alignment horizontal="left" vertical="top"/>
    </xf>
    <xf numFmtId="0" fontId="53" fillId="3" borderId="5" xfId="4" applyFont="1" applyFill="1" applyBorder="1" applyAlignment="1">
      <alignment horizontal="center" vertical="center"/>
    </xf>
    <xf numFmtId="0" fontId="53" fillId="4" borderId="5" xfId="4" applyFont="1" applyFill="1" applyBorder="1" applyAlignment="1">
      <alignment horizontal="center" vertical="center"/>
    </xf>
    <xf numFmtId="20" fontId="15" fillId="29" borderId="6" xfId="2" applyNumberFormat="1" applyFont="1" applyFill="1" applyBorder="1" applyAlignment="1">
      <alignment horizontal="center" vertical="center" wrapText="1"/>
    </xf>
    <xf numFmtId="14" fontId="15" fillId="4" borderId="6" xfId="4" applyNumberFormat="1" applyFont="1" applyFill="1" applyBorder="1" applyAlignment="1">
      <alignment horizontal="left" vertical="top"/>
    </xf>
    <xf numFmtId="0" fontId="15" fillId="25" borderId="6" xfId="4" applyFont="1" applyFill="1" applyBorder="1" applyAlignment="1">
      <alignment horizontal="center" vertical="center"/>
    </xf>
    <xf numFmtId="0" fontId="37" fillId="29" borderId="6" xfId="2" applyFont="1" applyFill="1" applyBorder="1" applyAlignment="1">
      <alignment horizontal="center" vertical="center" wrapText="1"/>
    </xf>
    <xf numFmtId="20" fontId="15" fillId="29" borderId="6" xfId="2" applyNumberFormat="1" applyFont="1" applyFill="1" applyBorder="1" applyAlignment="1">
      <alignment horizontal="left" vertical="center" wrapText="1"/>
    </xf>
    <xf numFmtId="20" fontId="15" fillId="29" borderId="6" xfId="4" applyNumberFormat="1" applyFont="1" applyFill="1" applyBorder="1" applyAlignment="1">
      <alignment vertical="center" wrapText="1"/>
    </xf>
    <xf numFmtId="20" fontId="15" fillId="29" borderId="6" xfId="4" applyNumberFormat="1" applyFont="1" applyFill="1" applyBorder="1" applyAlignment="1">
      <alignment horizontal="center" vertical="center" wrapText="1"/>
    </xf>
    <xf numFmtId="0" fontId="15" fillId="29" borderId="6" xfId="2" applyFont="1" applyFill="1" applyBorder="1" applyAlignment="1">
      <alignment horizontal="center" vertical="center" wrapText="1"/>
    </xf>
    <xf numFmtId="20" fontId="15" fillId="0" borderId="6" xfId="2" applyNumberFormat="1" applyFont="1" applyBorder="1" applyAlignment="1">
      <alignment horizontal="center" vertical="center" wrapText="1"/>
    </xf>
    <xf numFmtId="176" fontId="6" fillId="0" borderId="19" xfId="2" applyNumberFormat="1" applyFont="1" applyBorder="1" applyAlignment="1">
      <alignment horizontal="right" vertical="center"/>
    </xf>
    <xf numFmtId="0" fontId="67" fillId="3" borderId="5" xfId="4" applyFont="1" applyFill="1" applyBorder="1" applyAlignment="1">
      <alignment horizontal="center" vertical="center"/>
    </xf>
    <xf numFmtId="0" fontId="30" fillId="3" borderId="2" xfId="2" applyFont="1" applyFill="1" applyBorder="1" applyAlignment="1">
      <alignment horizontal="center" vertical="center" wrapText="1"/>
    </xf>
    <xf numFmtId="0" fontId="67" fillId="4" borderId="5" xfId="4" applyFont="1" applyFill="1" applyBorder="1" applyAlignment="1">
      <alignment horizontal="center" vertical="center"/>
    </xf>
    <xf numFmtId="0" fontId="67" fillId="4" borderId="5" xfId="4" applyFont="1" applyFill="1" applyBorder="1" applyAlignment="1">
      <alignment horizontal="left" vertical="top"/>
    </xf>
    <xf numFmtId="0" fontId="67" fillId="5" borderId="3" xfId="4" applyFont="1" applyFill="1" applyBorder="1" applyAlignment="1">
      <alignment horizontal="center" vertical="center"/>
    </xf>
    <xf numFmtId="0" fontId="30" fillId="5" borderId="4" xfId="2" applyFont="1" applyFill="1" applyBorder="1" applyAlignment="1">
      <alignment horizontal="center" vertical="center" wrapText="1"/>
    </xf>
    <xf numFmtId="0" fontId="67" fillId="5" borderId="3" xfId="4" applyFont="1" applyFill="1" applyBorder="1" applyAlignment="1">
      <alignment horizontal="left" vertical="top"/>
    </xf>
    <xf numFmtId="0" fontId="67" fillId="15" borderId="3" xfId="4" applyFont="1" applyFill="1" applyBorder="1" applyAlignment="1">
      <alignment horizontal="center" vertical="center"/>
    </xf>
    <xf numFmtId="0" fontId="30" fillId="15" borderId="4" xfId="2" applyFont="1" applyFill="1" applyBorder="1" applyAlignment="1">
      <alignment horizontal="center" vertical="center" wrapText="1"/>
    </xf>
    <xf numFmtId="0" fontId="67" fillId="15" borderId="3" xfId="4" applyFont="1" applyFill="1" applyBorder="1" applyAlignment="1">
      <alignment horizontal="left" vertical="top"/>
    </xf>
    <xf numFmtId="0" fontId="38" fillId="9" borderId="3" xfId="4" applyFont="1" applyFill="1" applyBorder="1" applyAlignment="1">
      <alignment horizontal="center" vertical="center"/>
    </xf>
    <xf numFmtId="0" fontId="30" fillId="10" borderId="3" xfId="4" applyFont="1" applyFill="1" applyBorder="1" applyAlignment="1">
      <alignment horizontal="center" vertical="center"/>
    </xf>
    <xf numFmtId="0" fontId="17" fillId="10" borderId="3" xfId="4" applyFont="1" applyFill="1" applyBorder="1" applyAlignment="1">
      <alignment horizontal="center" vertical="center"/>
    </xf>
    <xf numFmtId="49" fontId="15" fillId="10" borderId="2" xfId="4" applyNumberFormat="1" applyFont="1" applyFill="1" applyBorder="1" applyAlignment="1">
      <alignment horizontal="center" vertical="center"/>
    </xf>
    <xf numFmtId="49" fontId="15" fillId="10" borderId="1" xfId="4" applyNumberFormat="1" applyFont="1" applyFill="1" applyBorder="1" applyAlignment="1">
      <alignment horizontal="center" vertical="center"/>
    </xf>
    <xf numFmtId="0" fontId="38" fillId="27" borderId="2" xfId="4" applyFont="1" applyFill="1" applyBorder="1" applyAlignment="1">
      <alignment horizontal="center" vertical="center"/>
    </xf>
    <xf numFmtId="0" fontId="17" fillId="10" borderId="5" xfId="4" applyFont="1" applyFill="1" applyBorder="1" applyAlignment="1">
      <alignment horizontal="center" vertical="center"/>
    </xf>
    <xf numFmtId="0" fontId="63" fillId="27" borderId="2" xfId="4" applyFont="1" applyFill="1" applyBorder="1" applyAlignment="1">
      <alignment horizontal="center" vertical="center"/>
    </xf>
    <xf numFmtId="176" fontId="6" fillId="0" borderId="17" xfId="2" applyNumberFormat="1" applyFont="1" applyBorder="1" applyAlignment="1">
      <alignment horizontal="right" vertical="center"/>
    </xf>
    <xf numFmtId="0" fontId="17" fillId="10" borderId="5" xfId="4" applyFont="1" applyFill="1" applyBorder="1" applyAlignment="1">
      <alignment vertical="center"/>
    </xf>
    <xf numFmtId="0" fontId="60" fillId="5" borderId="2" xfId="4" applyFont="1" applyFill="1" applyBorder="1" applyAlignment="1">
      <alignment horizontal="center" vertical="center"/>
    </xf>
    <xf numFmtId="0" fontId="60" fillId="39" borderId="2" xfId="4" applyFont="1" applyFill="1" applyBorder="1" applyAlignment="1">
      <alignment horizontal="center" vertical="center"/>
    </xf>
    <xf numFmtId="0" fontId="38" fillId="9" borderId="2" xfId="4" applyFont="1" applyFill="1" applyBorder="1" applyAlignment="1">
      <alignment horizontal="center" vertical="center"/>
    </xf>
    <xf numFmtId="0" fontId="15" fillId="10" borderId="1" xfId="4" applyFont="1" applyFill="1" applyBorder="1" applyAlignment="1">
      <alignment horizontal="center" vertical="center"/>
    </xf>
    <xf numFmtId="0" fontId="41" fillId="10" borderId="5" xfId="4" applyFont="1" applyFill="1" applyBorder="1" applyAlignment="1">
      <alignment horizontal="center" vertical="center"/>
    </xf>
    <xf numFmtId="0" fontId="38" fillId="10" borderId="1" xfId="4" applyFont="1" applyFill="1" applyBorder="1" applyAlignment="1">
      <alignment horizontal="center" vertical="center"/>
    </xf>
    <xf numFmtId="0" fontId="15" fillId="39" borderId="5" xfId="4" applyFont="1" applyFill="1" applyBorder="1" applyAlignment="1">
      <alignment horizontal="center" vertical="center"/>
    </xf>
    <xf numFmtId="0" fontId="38" fillId="29" borderId="5" xfId="4" applyFont="1" applyFill="1" applyBorder="1" applyAlignment="1">
      <alignment horizontal="center" vertical="center"/>
    </xf>
    <xf numFmtId="0" fontId="53" fillId="10" borderId="2" xfId="4" applyFont="1" applyFill="1" applyBorder="1" applyAlignment="1">
      <alignment horizontal="center" vertical="center"/>
    </xf>
    <xf numFmtId="0" fontId="53" fillId="10" borderId="1" xfId="4" applyFont="1" applyFill="1" applyBorder="1" applyAlignment="1">
      <alignment horizontal="center" vertical="center"/>
    </xf>
    <xf numFmtId="0" fontId="15" fillId="9" borderId="0" xfId="2" applyFont="1" applyFill="1" applyAlignment="1">
      <alignment horizontal="center" vertical="center" wrapText="1"/>
    </xf>
    <xf numFmtId="0" fontId="15" fillId="2" borderId="2" xfId="2" applyFont="1" applyFill="1" applyBorder="1" applyAlignment="1">
      <alignment horizontal="center" vertical="center" wrapText="1"/>
    </xf>
    <xf numFmtId="49" fontId="15" fillId="27" borderId="5" xfId="4" applyNumberFormat="1" applyFont="1" applyFill="1" applyBorder="1" applyAlignment="1">
      <alignment horizontal="center" vertical="center" wrapText="1"/>
    </xf>
    <xf numFmtId="49" fontId="30" fillId="10" borderId="5" xfId="4" applyNumberFormat="1" applyFont="1" applyFill="1" applyBorder="1" applyAlignment="1">
      <alignment horizontal="center" vertical="center"/>
    </xf>
    <xf numFmtId="49" fontId="17" fillId="10" borderId="5" xfId="4" applyNumberFormat="1" applyFont="1" applyFill="1" applyBorder="1" applyAlignment="1">
      <alignment horizontal="center" vertical="center"/>
    </xf>
    <xf numFmtId="0" fontId="15" fillId="7" borderId="0" xfId="4" applyFont="1" applyFill="1" applyAlignment="1">
      <alignment horizontal="center" vertical="center"/>
    </xf>
    <xf numFmtId="0" fontId="15" fillId="9" borderId="0" xfId="4" applyFont="1" applyFill="1" applyAlignment="1">
      <alignment horizontal="center" vertical="center"/>
    </xf>
    <xf numFmtId="0" fontId="15" fillId="7" borderId="0" xfId="2" applyFont="1" applyFill="1" applyAlignment="1">
      <alignment horizontal="center" vertical="center" wrapText="1"/>
    </xf>
    <xf numFmtId="0" fontId="15" fillId="7" borderId="2" xfId="2" applyFont="1" applyFill="1" applyBorder="1" applyAlignment="1">
      <alignment horizontal="center" vertical="center" wrapText="1"/>
    </xf>
    <xf numFmtId="49" fontId="15" fillId="42" borderId="5" xfId="2" applyNumberFormat="1" applyFont="1" applyFill="1" applyBorder="1" applyAlignment="1">
      <alignment vertical="center" wrapText="1"/>
    </xf>
    <xf numFmtId="49" fontId="15" fillId="5" borderId="5" xfId="2" applyNumberFormat="1" applyFont="1" applyFill="1" applyBorder="1" applyAlignment="1">
      <alignment horizontal="left" vertical="top" wrapText="1"/>
    </xf>
    <xf numFmtId="49" fontId="15" fillId="6" borderId="5" xfId="2" applyNumberFormat="1" applyFont="1" applyFill="1" applyBorder="1" applyAlignment="1">
      <alignment horizontal="left" vertical="top" wrapText="1"/>
    </xf>
    <xf numFmtId="49" fontId="15" fillId="8" borderId="5" xfId="2" applyNumberFormat="1" applyFont="1" applyFill="1" applyBorder="1" applyAlignment="1">
      <alignment horizontal="center" vertical="center" wrapText="1"/>
    </xf>
    <xf numFmtId="49" fontId="15" fillId="4" borderId="5" xfId="2" applyNumberFormat="1" applyFont="1" applyFill="1" applyBorder="1" applyAlignment="1">
      <alignment horizontal="left" vertical="top" wrapText="1"/>
    </xf>
    <xf numFmtId="0" fontId="68" fillId="9" borderId="2" xfId="4" applyFont="1" applyFill="1" applyBorder="1" applyAlignment="1">
      <alignment horizontal="center" vertical="center"/>
    </xf>
    <xf numFmtId="0" fontId="15" fillId="39" borderId="5" xfId="4" applyFont="1" applyFill="1" applyBorder="1" applyAlignment="1">
      <alignment horizontal="left" vertical="top"/>
    </xf>
    <xf numFmtId="0" fontId="37" fillId="39" borderId="5" xfId="4" applyFont="1" applyFill="1" applyBorder="1" applyAlignment="1">
      <alignment horizontal="center" vertical="center"/>
    </xf>
    <xf numFmtId="0" fontId="37" fillId="39" borderId="2" xfId="4" applyFont="1" applyFill="1" applyBorder="1" applyAlignment="1">
      <alignment horizontal="center" vertical="center"/>
    </xf>
    <xf numFmtId="49" fontId="15" fillId="39" borderId="5" xfId="4" applyNumberFormat="1" applyFont="1" applyFill="1" applyBorder="1" applyAlignment="1">
      <alignment horizontal="left" vertical="top"/>
    </xf>
    <xf numFmtId="0" fontId="63" fillId="5" borderId="2" xfId="4" applyFont="1" applyFill="1" applyBorder="1" applyAlignment="1">
      <alignment horizontal="center" vertical="center"/>
    </xf>
    <xf numFmtId="0" fontId="63" fillId="39" borderId="2" xfId="4" applyFont="1" applyFill="1" applyBorder="1" applyAlignment="1">
      <alignment horizontal="center" vertical="center"/>
    </xf>
    <xf numFmtId="0" fontId="37" fillId="8" borderId="2" xfId="4" applyFont="1" applyFill="1" applyBorder="1" applyAlignment="1">
      <alignment horizontal="center" vertical="center"/>
    </xf>
    <xf numFmtId="0" fontId="63" fillId="3" borderId="2" xfId="4" applyFont="1" applyFill="1" applyBorder="1" applyAlignment="1">
      <alignment horizontal="center" vertical="center"/>
    </xf>
    <xf numFmtId="0" fontId="15" fillId="5" borderId="0" xfId="4" applyFont="1" applyFill="1" applyAlignment="1">
      <alignment horizontal="center" vertical="center"/>
    </xf>
    <xf numFmtId="0" fontId="15" fillId="5" borderId="2" xfId="4" applyFont="1" applyFill="1" applyBorder="1" applyAlignment="1">
      <alignment horizontal="left" vertical="top"/>
    </xf>
    <xf numFmtId="0" fontId="15" fillId="39" borderId="0" xfId="4" applyFont="1" applyFill="1" applyAlignment="1">
      <alignment horizontal="center" vertical="center"/>
    </xf>
    <xf numFmtId="0" fontId="15" fillId="39" borderId="2" xfId="4" applyFont="1" applyFill="1" applyBorder="1" applyAlignment="1">
      <alignment horizontal="left" vertical="top"/>
    </xf>
    <xf numFmtId="49" fontId="15" fillId="7" borderId="2" xfId="4" applyNumberFormat="1" applyFont="1" applyFill="1" applyBorder="1" applyAlignment="1">
      <alignment horizontal="center" vertical="center"/>
    </xf>
    <xf numFmtId="49" fontId="15" fillId="8" borderId="2" xfId="4" applyNumberFormat="1" applyFont="1" applyFill="1" applyBorder="1" applyAlignment="1">
      <alignment horizontal="center" vertical="center"/>
    </xf>
    <xf numFmtId="0" fontId="15" fillId="3" borderId="6" xfId="4" applyFont="1" applyFill="1" applyBorder="1" applyAlignment="1">
      <alignment horizontal="center" vertical="center"/>
    </xf>
    <xf numFmtId="0" fontId="63" fillId="3" borderId="7" xfId="4" applyFont="1" applyFill="1" applyBorder="1" applyAlignment="1">
      <alignment horizontal="center" vertical="center"/>
    </xf>
    <xf numFmtId="0" fontId="15" fillId="4" borderId="6" xfId="4" applyFont="1" applyFill="1" applyBorder="1" applyAlignment="1">
      <alignment horizontal="center" vertical="center"/>
    </xf>
    <xf numFmtId="0" fontId="15" fillId="5" borderId="6" xfId="4" applyFont="1" applyFill="1" applyBorder="1" applyAlignment="1">
      <alignment horizontal="center" vertical="center"/>
    </xf>
    <xf numFmtId="0" fontId="15" fillId="39" borderId="6" xfId="4" applyFont="1" applyFill="1" applyBorder="1" applyAlignment="1">
      <alignment horizontal="center" vertical="center"/>
    </xf>
    <xf numFmtId="0" fontId="63" fillId="39" borderId="7" xfId="4" applyFont="1" applyFill="1" applyBorder="1" applyAlignment="1">
      <alignment horizontal="center" vertical="center"/>
    </xf>
    <xf numFmtId="0" fontId="15" fillId="39" borderId="6" xfId="4" applyFont="1" applyFill="1" applyBorder="1" applyAlignment="1">
      <alignment horizontal="left" vertical="top"/>
    </xf>
    <xf numFmtId="0" fontId="15" fillId="7" borderId="6" xfId="4" applyFont="1" applyFill="1" applyBorder="1" applyAlignment="1">
      <alignment horizontal="center" vertical="center"/>
    </xf>
    <xf numFmtId="49" fontId="15" fillId="7" borderId="6" xfId="4" applyNumberFormat="1" applyFont="1" applyFill="1" applyBorder="1" applyAlignment="1">
      <alignment horizontal="center" vertical="center"/>
    </xf>
    <xf numFmtId="0" fontId="15" fillId="8" borderId="7" xfId="2" applyFont="1" applyFill="1" applyBorder="1" applyAlignment="1">
      <alignment horizontal="center" vertical="center"/>
    </xf>
    <xf numFmtId="49" fontId="15" fillId="8" borderId="6" xfId="4" applyNumberFormat="1" applyFont="1" applyFill="1" applyBorder="1" applyAlignment="1">
      <alignment horizontal="center" vertical="center"/>
    </xf>
    <xf numFmtId="49" fontId="15" fillId="10" borderId="6" xfId="4" applyNumberFormat="1" applyFont="1" applyFill="1" applyBorder="1" applyAlignment="1">
      <alignment horizontal="center" vertical="center"/>
    </xf>
    <xf numFmtId="49" fontId="15" fillId="25" borderId="5" xfId="4" applyNumberFormat="1" applyFont="1" applyFill="1" applyBorder="1" applyAlignment="1">
      <alignment horizontal="center" vertical="center"/>
    </xf>
    <xf numFmtId="0" fontId="15" fillId="10" borderId="5" xfId="2" applyFont="1" applyFill="1" applyBorder="1" applyAlignment="1">
      <alignment horizontal="center" vertical="center"/>
    </xf>
    <xf numFmtId="0" fontId="63" fillId="25" borderId="2" xfId="4" applyFont="1" applyFill="1" applyBorder="1" applyAlignment="1">
      <alignment horizontal="center" vertical="center"/>
    </xf>
    <xf numFmtId="0" fontId="69" fillId="25" borderId="2" xfId="4" applyFont="1" applyFill="1" applyBorder="1" applyAlignment="1">
      <alignment horizontal="center" vertical="center"/>
    </xf>
    <xf numFmtId="0" fontId="15" fillId="9" borderId="1" xfId="2" applyFont="1" applyFill="1" applyBorder="1" applyAlignment="1">
      <alignment horizontal="center" vertical="center"/>
    </xf>
    <xf numFmtId="0" fontId="63" fillId="2" borderId="2" xfId="2" applyFont="1" applyFill="1" applyBorder="1" applyAlignment="1">
      <alignment horizontal="center" vertical="center"/>
    </xf>
    <xf numFmtId="0" fontId="63" fillId="9" borderId="5" xfId="2" applyFont="1" applyFill="1" applyBorder="1" applyAlignment="1">
      <alignment horizontal="center" vertical="center"/>
    </xf>
    <xf numFmtId="0" fontId="15" fillId="5" borderId="1" xfId="4" applyFont="1" applyFill="1" applyBorder="1" applyAlignment="1">
      <alignment horizontal="center" vertical="center"/>
    </xf>
    <xf numFmtId="0" fontId="15" fillId="39" borderId="1" xfId="4" applyFont="1" applyFill="1" applyBorder="1" applyAlignment="1">
      <alignment horizontal="center" vertical="center"/>
    </xf>
    <xf numFmtId="0" fontId="15" fillId="3" borderId="1" xfId="4" applyFont="1" applyFill="1" applyBorder="1" applyAlignment="1">
      <alignment horizontal="center" vertical="center"/>
    </xf>
    <xf numFmtId="0" fontId="15" fillId="5" borderId="1" xfId="2" applyFont="1" applyFill="1" applyBorder="1" applyAlignment="1">
      <alignment horizontal="center" vertical="center"/>
    </xf>
    <xf numFmtId="0" fontId="15" fillId="5" borderId="5" xfId="2" applyFont="1" applyFill="1" applyBorder="1" applyAlignment="1">
      <alignment horizontal="left" vertical="top"/>
    </xf>
    <xf numFmtId="0" fontId="15" fillId="39" borderId="1" xfId="2" applyFont="1" applyFill="1" applyBorder="1" applyAlignment="1">
      <alignment horizontal="center" vertical="center"/>
    </xf>
    <xf numFmtId="0" fontId="15" fillId="39" borderId="5" xfId="2" applyFont="1" applyFill="1" applyBorder="1" applyAlignment="1">
      <alignment horizontal="left" vertical="top"/>
    </xf>
    <xf numFmtId="0" fontId="17" fillId="27" borderId="2" xfId="4" applyFont="1" applyFill="1" applyBorder="1" applyAlignment="1">
      <alignment horizontal="center" vertical="center"/>
    </xf>
    <xf numFmtId="0" fontId="62" fillId="27" borderId="2" xfId="4" applyFont="1" applyFill="1" applyBorder="1" applyAlignment="1">
      <alignment horizontal="center" vertical="center"/>
    </xf>
    <xf numFmtId="0" fontId="62" fillId="27" borderId="5" xfId="4" applyFont="1" applyFill="1" applyBorder="1" applyAlignment="1">
      <alignment horizontal="center" vertical="center"/>
    </xf>
    <xf numFmtId="0" fontId="15" fillId="3" borderId="1" xfId="2" applyFont="1" applyFill="1" applyBorder="1" applyAlignment="1">
      <alignment horizontal="center" vertical="center"/>
    </xf>
    <xf numFmtId="0" fontId="15" fillId="4" borderId="5" xfId="2" applyFont="1" applyFill="1" applyBorder="1" applyAlignment="1">
      <alignment horizontal="center" vertical="center"/>
    </xf>
    <xf numFmtId="0" fontId="15" fillId="4" borderId="5" xfId="2" applyFont="1" applyFill="1" applyBorder="1" applyAlignment="1">
      <alignment horizontal="left" vertical="top"/>
    </xf>
    <xf numFmtId="0" fontId="15" fillId="9" borderId="5" xfId="2" applyFont="1" applyFill="1" applyBorder="1" applyAlignment="1">
      <alignment horizontal="center" vertical="center"/>
    </xf>
    <xf numFmtId="0" fontId="15" fillId="2" borderId="2" xfId="2" applyFont="1" applyFill="1" applyBorder="1" applyAlignment="1">
      <alignment horizontal="center" vertical="center"/>
    </xf>
    <xf numFmtId="0" fontId="36" fillId="42" borderId="2" xfId="4" applyFont="1" applyFill="1" applyBorder="1" applyAlignment="1">
      <alignment horizontal="center" vertical="center"/>
    </xf>
    <xf numFmtId="14" fontId="15" fillId="39" borderId="5" xfId="4" applyNumberFormat="1" applyFont="1" applyFill="1" applyBorder="1" applyAlignment="1">
      <alignment horizontal="left" vertical="top"/>
    </xf>
    <xf numFmtId="0" fontId="53" fillId="27" borderId="5" xfId="4" applyFont="1" applyFill="1" applyBorder="1" applyAlignment="1">
      <alignment horizontal="center" vertical="center"/>
    </xf>
    <xf numFmtId="0" fontId="38" fillId="39" borderId="5" xfId="4" applyFont="1" applyFill="1" applyBorder="1" applyAlignment="1">
      <alignment horizontal="center" vertical="center"/>
    </xf>
    <xf numFmtId="0" fontId="15" fillId="42" borderId="2" xfId="4" applyFont="1" applyFill="1" applyBorder="1" applyAlignment="1">
      <alignment horizontal="center" vertical="center"/>
    </xf>
    <xf numFmtId="0" fontId="15" fillId="15" borderId="0" xfId="2" applyFont="1" applyFill="1" applyAlignment="1">
      <alignment horizontal="center" vertical="center"/>
    </xf>
    <xf numFmtId="0" fontId="16" fillId="15" borderId="2" xfId="2" applyFont="1" applyFill="1" applyBorder="1" applyAlignment="1">
      <alignment horizontal="center" vertical="center"/>
    </xf>
    <xf numFmtId="0" fontId="15" fillId="15" borderId="5" xfId="2" applyFont="1" applyFill="1" applyBorder="1" applyAlignment="1">
      <alignment horizontal="center" vertical="center"/>
    </xf>
    <xf numFmtId="0" fontId="70" fillId="2" borderId="2" xfId="4" applyFont="1" applyFill="1" applyBorder="1" applyAlignment="1">
      <alignment horizontal="center" vertical="center"/>
    </xf>
    <xf numFmtId="20" fontId="15" fillId="39" borderId="5" xfId="4" applyNumberFormat="1" applyFont="1" applyFill="1" applyBorder="1" applyAlignment="1">
      <alignment horizontal="left" vertical="top" wrapText="1"/>
    </xf>
    <xf numFmtId="20" fontId="63" fillId="42" borderId="2" xfId="4" applyNumberFormat="1" applyFont="1" applyFill="1" applyBorder="1" applyAlignment="1">
      <alignment horizontal="center" vertical="center" wrapText="1"/>
    </xf>
    <xf numFmtId="20" fontId="63" fillId="39" borderId="2" xfId="4" applyNumberFormat="1" applyFont="1" applyFill="1" applyBorder="1" applyAlignment="1">
      <alignment horizontal="center" vertical="center" wrapText="1"/>
    </xf>
    <xf numFmtId="20" fontId="63" fillId="3" borderId="2" xfId="4" applyNumberFormat="1" applyFont="1" applyFill="1" applyBorder="1" applyAlignment="1">
      <alignment horizontal="center" vertical="center" wrapText="1"/>
    </xf>
    <xf numFmtId="0" fontId="63" fillId="42" borderId="2" xfId="4" applyFont="1" applyFill="1" applyBorder="1" applyAlignment="1">
      <alignment horizontal="center" vertical="center"/>
    </xf>
    <xf numFmtId="0" fontId="56" fillId="42" borderId="2" xfId="4" applyFont="1" applyFill="1" applyBorder="1" applyAlignment="1">
      <alignment horizontal="center" vertical="center"/>
    </xf>
    <xf numFmtId="0" fontId="56" fillId="39" borderId="2" xfId="4" applyFont="1" applyFill="1" applyBorder="1" applyAlignment="1">
      <alignment horizontal="center" vertical="center"/>
    </xf>
    <xf numFmtId="0" fontId="23" fillId="27" borderId="2" xfId="4" applyFont="1" applyFill="1" applyBorder="1" applyAlignment="1">
      <alignment horizontal="center" vertical="center"/>
    </xf>
    <xf numFmtId="0" fontId="37" fillId="9" borderId="5" xfId="4" applyFont="1" applyFill="1" applyBorder="1" applyAlignment="1">
      <alignment horizontal="center" vertical="center"/>
    </xf>
    <xf numFmtId="0" fontId="69" fillId="2" borderId="2" xfId="4" applyFont="1" applyFill="1" applyBorder="1" applyAlignment="1">
      <alignment horizontal="center" vertical="center"/>
    </xf>
    <xf numFmtId="0" fontId="69" fillId="9" borderId="5" xfId="4" applyFont="1" applyFill="1" applyBorder="1" applyAlignment="1">
      <alignment horizontal="center" vertical="center"/>
    </xf>
    <xf numFmtId="0" fontId="37" fillId="9" borderId="2" xfId="4" applyFont="1" applyFill="1" applyBorder="1" applyAlignment="1">
      <alignment horizontal="center" vertical="center"/>
    </xf>
    <xf numFmtId="0" fontId="37" fillId="2" borderId="2" xfId="4" applyFont="1" applyFill="1" applyBorder="1" applyAlignment="1">
      <alignment horizontal="center" vertical="center"/>
    </xf>
    <xf numFmtId="0" fontId="15" fillId="7" borderId="5" xfId="4" applyFont="1" applyFill="1" applyBorder="1" applyAlignment="1">
      <alignment horizontal="left" vertical="top"/>
    </xf>
    <xf numFmtId="0" fontId="33" fillId="5" borderId="2" xfId="2" applyFont="1" applyFill="1" applyBorder="1">
      <alignment vertical="center"/>
    </xf>
    <xf numFmtId="0" fontId="6" fillId="5" borderId="5" xfId="2" applyFont="1" applyFill="1" applyBorder="1" applyAlignment="1">
      <alignment horizontal="left" vertical="top"/>
    </xf>
    <xf numFmtId="0" fontId="33" fillId="39" borderId="2" xfId="2" applyFont="1" applyFill="1" applyBorder="1">
      <alignment vertical="center"/>
    </xf>
    <xf numFmtId="0" fontId="33" fillId="39" borderId="2" xfId="2" applyFont="1" applyFill="1" applyBorder="1" applyAlignment="1">
      <alignment horizontal="center" vertical="center"/>
    </xf>
    <xf numFmtId="0" fontId="6" fillId="39" borderId="5" xfId="2" applyFont="1" applyFill="1" applyBorder="1" applyAlignment="1">
      <alignment horizontal="left" vertical="top"/>
    </xf>
    <xf numFmtId="0" fontId="33" fillId="3" borderId="2" xfId="2" applyFont="1" applyFill="1" applyBorder="1">
      <alignment vertical="center"/>
    </xf>
    <xf numFmtId="0" fontId="6" fillId="3" borderId="2" xfId="2" applyFont="1" applyFill="1" applyBorder="1" applyAlignment="1">
      <alignment horizontal="center" vertical="center"/>
    </xf>
    <xf numFmtId="0" fontId="33" fillId="3" borderId="2" xfId="2" applyFont="1" applyFill="1" applyBorder="1" applyAlignment="1">
      <alignment horizontal="center" vertical="center"/>
    </xf>
    <xf numFmtId="0" fontId="33" fillId="4" borderId="2" xfId="2" applyFont="1" applyFill="1" applyBorder="1">
      <alignment vertical="center"/>
    </xf>
    <xf numFmtId="0" fontId="6" fillId="4" borderId="5" xfId="2" applyFont="1" applyFill="1" applyBorder="1" applyAlignment="1">
      <alignment horizontal="left" vertical="top"/>
    </xf>
    <xf numFmtId="20" fontId="15" fillId="27" borderId="2" xfId="4" applyNumberFormat="1" applyFont="1" applyFill="1" applyBorder="1" applyAlignment="1">
      <alignment horizontal="center" vertical="center" wrapText="1"/>
    </xf>
    <xf numFmtId="49" fontId="15" fillId="27" borderId="5" xfId="4" applyNumberFormat="1" applyFont="1" applyFill="1" applyBorder="1" applyAlignment="1">
      <alignment horizontal="center" vertical="center"/>
    </xf>
    <xf numFmtId="0" fontId="63" fillId="25" borderId="5" xfId="4" applyFont="1" applyFill="1" applyBorder="1" applyAlignment="1">
      <alignment vertical="center"/>
    </xf>
    <xf numFmtId="49" fontId="15" fillId="5" borderId="2" xfId="4" applyNumberFormat="1" applyFont="1" applyFill="1" applyBorder="1" applyAlignment="1">
      <alignment horizontal="left" vertical="top"/>
    </xf>
    <xf numFmtId="0" fontId="15" fillId="6" borderId="0" xfId="4" applyFont="1" applyFill="1" applyAlignment="1">
      <alignment horizontal="center" vertical="center"/>
    </xf>
    <xf numFmtId="49" fontId="15" fillId="6" borderId="2" xfId="4" applyNumberFormat="1" applyFont="1" applyFill="1" applyBorder="1" applyAlignment="1">
      <alignment horizontal="left" vertical="top"/>
    </xf>
    <xf numFmtId="0" fontId="56" fillId="9" borderId="2" xfId="4" applyFont="1" applyFill="1" applyBorder="1" applyAlignment="1">
      <alignment horizontal="center" vertical="center"/>
    </xf>
    <xf numFmtId="0" fontId="26" fillId="10" borderId="2" xfId="2" applyFont="1" applyFill="1" applyBorder="1" applyAlignment="1">
      <alignment horizontal="center" vertical="center" wrapText="1"/>
    </xf>
    <xf numFmtId="0" fontId="15" fillId="20" borderId="6" xfId="2" applyFont="1" applyFill="1" applyBorder="1" applyAlignment="1">
      <alignment horizontal="center" vertical="center" wrapText="1"/>
    </xf>
    <xf numFmtId="0" fontId="15" fillId="43" borderId="6" xfId="2" applyFont="1" applyFill="1" applyBorder="1" applyAlignment="1">
      <alignment horizontal="center" vertical="center" wrapText="1"/>
    </xf>
    <xf numFmtId="176" fontId="3" fillId="0" borderId="5" xfId="2" applyNumberFormat="1" applyFont="1" applyBorder="1" applyAlignment="1">
      <alignment horizontal="right" vertical="center"/>
    </xf>
    <xf numFmtId="0" fontId="17" fillId="3" borderId="3" xfId="4" applyFont="1" applyFill="1" applyBorder="1" applyAlignment="1">
      <alignment horizontal="center" vertical="center"/>
    </xf>
    <xf numFmtId="0" fontId="17" fillId="3" borderId="4" xfId="4" applyFont="1" applyFill="1" applyBorder="1" applyAlignment="1">
      <alignment horizontal="center" vertical="center"/>
    </xf>
    <xf numFmtId="0" fontId="21" fillId="3" borderId="4" xfId="4" applyFont="1" applyFill="1" applyBorder="1" applyAlignment="1">
      <alignment horizontal="center" vertical="center"/>
    </xf>
    <xf numFmtId="0" fontId="17" fillId="4" borderId="3" xfId="4" applyFont="1" applyFill="1" applyBorder="1" applyAlignment="1">
      <alignment horizontal="center" vertical="center"/>
    </xf>
    <xf numFmtId="20" fontId="21" fillId="4" borderId="3" xfId="2" applyNumberFormat="1" applyFont="1" applyFill="1" applyBorder="1" applyAlignment="1">
      <alignment horizontal="left" vertical="top" wrapText="1"/>
    </xf>
    <xf numFmtId="0" fontId="15" fillId="5" borderId="4" xfId="4" applyFont="1" applyFill="1" applyBorder="1" applyAlignment="1">
      <alignment horizontal="center" vertical="center"/>
    </xf>
    <xf numFmtId="0" fontId="15" fillId="44" borderId="4" xfId="4" applyFont="1" applyFill="1" applyBorder="1" applyAlignment="1">
      <alignment horizontal="center" vertical="center"/>
    </xf>
    <xf numFmtId="0" fontId="17" fillId="44" borderId="4" xfId="4" applyFont="1" applyFill="1" applyBorder="1" applyAlignment="1">
      <alignment horizontal="center" vertical="center"/>
    </xf>
    <xf numFmtId="0" fontId="15" fillId="44" borderId="3" xfId="4" applyFont="1" applyFill="1" applyBorder="1" applyAlignment="1">
      <alignment horizontal="center" vertical="center"/>
    </xf>
    <xf numFmtId="0" fontId="15" fillId="20" borderId="3" xfId="4" applyFont="1" applyFill="1" applyBorder="1" applyAlignment="1">
      <alignment horizontal="center" vertical="center"/>
    </xf>
    <xf numFmtId="0" fontId="15" fillId="20" borderId="4" xfId="4" applyFont="1" applyFill="1" applyBorder="1" applyAlignment="1">
      <alignment horizontal="center" vertical="center"/>
    </xf>
    <xf numFmtId="0" fontId="17" fillId="9" borderId="3" xfId="4" applyFont="1" applyFill="1" applyBorder="1" applyAlignment="1">
      <alignment horizontal="center" vertical="center"/>
    </xf>
    <xf numFmtId="0" fontId="63" fillId="9" borderId="3" xfId="4" applyFont="1" applyFill="1" applyBorder="1" applyAlignment="1">
      <alignment horizontal="center" vertical="center"/>
    </xf>
    <xf numFmtId="49" fontId="16" fillId="10" borderId="3" xfId="4" applyNumberFormat="1" applyFont="1" applyFill="1" applyBorder="1" applyAlignment="1">
      <alignment horizontal="center" vertical="center"/>
    </xf>
    <xf numFmtId="49" fontId="30" fillId="10" borderId="3" xfId="4" applyNumberFormat="1" applyFont="1" applyFill="1" applyBorder="1" applyAlignment="1">
      <alignment horizontal="center" vertical="center"/>
    </xf>
    <xf numFmtId="0" fontId="37" fillId="33" borderId="5" xfId="4" applyFont="1" applyFill="1" applyBorder="1" applyAlignment="1">
      <alignment horizontal="center" vertical="center"/>
    </xf>
    <xf numFmtId="20" fontId="15" fillId="33" borderId="5" xfId="4" applyNumberFormat="1" applyFont="1" applyFill="1" applyBorder="1" applyAlignment="1">
      <alignment horizontal="center" vertical="center" wrapText="1"/>
    </xf>
    <xf numFmtId="0" fontId="15" fillId="33" borderId="5" xfId="4" applyFont="1" applyFill="1" applyBorder="1" applyAlignment="1">
      <alignment horizontal="center" vertical="center"/>
    </xf>
    <xf numFmtId="0" fontId="15" fillId="33" borderId="0" xfId="2" applyFont="1" applyFill="1" applyAlignment="1">
      <alignment horizontal="center" vertical="center" wrapText="1"/>
    </xf>
    <xf numFmtId="0" fontId="15" fillId="20" borderId="5" xfId="4" applyFont="1" applyFill="1" applyBorder="1" applyAlignment="1">
      <alignment horizontal="center" vertical="center"/>
    </xf>
    <xf numFmtId="0" fontId="37" fillId="20" borderId="5" xfId="4" applyFont="1" applyFill="1" applyBorder="1" applyAlignment="1">
      <alignment horizontal="center" vertical="center"/>
    </xf>
    <xf numFmtId="20" fontId="15" fillId="20" borderId="5" xfId="4" applyNumberFormat="1" applyFont="1" applyFill="1" applyBorder="1" applyAlignment="1">
      <alignment horizontal="center" vertical="center" wrapText="1"/>
    </xf>
    <xf numFmtId="0" fontId="15" fillId="43" borderId="5" xfId="4" applyFont="1" applyFill="1" applyBorder="1" applyAlignment="1">
      <alignment horizontal="center" vertical="center"/>
    </xf>
    <xf numFmtId="0" fontId="37" fillId="43" borderId="5" xfId="4" applyFont="1" applyFill="1" applyBorder="1" applyAlignment="1">
      <alignment horizontal="center" vertical="center"/>
    </xf>
    <xf numFmtId="20" fontId="15" fillId="43" borderId="5" xfId="4" applyNumberFormat="1" applyFont="1" applyFill="1" applyBorder="1" applyAlignment="1">
      <alignment horizontal="center" vertical="center" wrapText="1"/>
    </xf>
    <xf numFmtId="20" fontId="15" fillId="3" borderId="5" xfId="4" applyNumberFormat="1" applyFont="1" applyFill="1" applyBorder="1" applyAlignment="1">
      <alignment vertical="center" wrapText="1"/>
    </xf>
    <xf numFmtId="20" fontId="16" fillId="3" borderId="2" xfId="4" applyNumberFormat="1" applyFont="1" applyFill="1" applyBorder="1" applyAlignment="1">
      <alignment horizontal="center" vertical="center" wrapText="1"/>
    </xf>
    <xf numFmtId="20" fontId="71" fillId="3" borderId="2" xfId="4" applyNumberFormat="1" applyFont="1" applyFill="1" applyBorder="1" applyAlignment="1">
      <alignment horizontal="center" vertical="center" wrapText="1"/>
    </xf>
    <xf numFmtId="20" fontId="15" fillId="4" borderId="5" xfId="4" applyNumberFormat="1" applyFont="1" applyFill="1" applyBorder="1" applyAlignment="1">
      <alignment vertical="center" wrapText="1"/>
    </xf>
    <xf numFmtId="20" fontId="16" fillId="4" borderId="2" xfId="4" applyNumberFormat="1" applyFont="1" applyFill="1" applyBorder="1" applyAlignment="1">
      <alignment horizontal="center" vertical="center" wrapText="1"/>
    </xf>
    <xf numFmtId="14" fontId="15" fillId="4" borderId="5" xfId="2" applyNumberFormat="1" applyFont="1" applyFill="1" applyBorder="1" applyAlignment="1">
      <alignment horizontal="left" vertical="top" wrapText="1"/>
    </xf>
    <xf numFmtId="0" fontId="20" fillId="5" borderId="5" xfId="4" applyFont="1" applyFill="1" applyBorder="1" applyAlignment="1">
      <alignment horizontal="center" vertical="center"/>
    </xf>
    <xf numFmtId="49" fontId="17" fillId="5" borderId="5" xfId="4" applyNumberFormat="1" applyFont="1" applyFill="1" applyBorder="1" applyAlignment="1">
      <alignment horizontal="left" vertical="top"/>
    </xf>
    <xf numFmtId="0" fontId="20" fillId="2" borderId="5" xfId="4" applyFont="1" applyFill="1" applyBorder="1" applyAlignment="1">
      <alignment horizontal="center" vertical="center"/>
    </xf>
    <xf numFmtId="0" fontId="24" fillId="2" borderId="2" xfId="4" applyFont="1" applyFill="1" applyBorder="1" applyAlignment="1">
      <alignment horizontal="center" vertical="center"/>
    </xf>
    <xf numFmtId="49" fontId="17" fillId="2" borderId="5" xfId="4" applyNumberFormat="1" applyFont="1" applyFill="1" applyBorder="1" applyAlignment="1">
      <alignment horizontal="left" vertical="top"/>
    </xf>
    <xf numFmtId="0" fontId="21" fillId="27" borderId="5" xfId="4" applyFont="1" applyFill="1" applyBorder="1" applyAlignment="1">
      <alignment horizontal="center" vertical="center"/>
    </xf>
    <xf numFmtId="0" fontId="17" fillId="25" borderId="2" xfId="4" applyFont="1" applyFill="1" applyBorder="1" applyAlignment="1">
      <alignment horizontal="center" vertical="center"/>
    </xf>
    <xf numFmtId="0" fontId="17" fillId="9" borderId="2" xfId="4" applyFont="1" applyFill="1" applyBorder="1" applyAlignment="1">
      <alignment horizontal="center" vertical="center"/>
    </xf>
    <xf numFmtId="0" fontId="47" fillId="20" borderId="4" xfId="4" applyFont="1" applyFill="1" applyBorder="1" applyAlignment="1">
      <alignment horizontal="center" vertical="center"/>
    </xf>
    <xf numFmtId="20" fontId="36" fillId="20" borderId="3" xfId="2" applyNumberFormat="1" applyFont="1" applyFill="1" applyBorder="1" applyAlignment="1">
      <alignment horizontal="center" vertical="center" wrapText="1"/>
    </xf>
    <xf numFmtId="0" fontId="36" fillId="29" borderId="4" xfId="4" applyFont="1" applyFill="1" applyBorder="1" applyAlignment="1">
      <alignment horizontal="center" vertical="center"/>
    </xf>
    <xf numFmtId="20" fontId="36" fillId="29" borderId="3" xfId="2" applyNumberFormat="1" applyFont="1" applyFill="1" applyBorder="1" applyAlignment="1">
      <alignment horizontal="center" vertical="center" wrapText="1"/>
    </xf>
    <xf numFmtId="0" fontId="15" fillId="43" borderId="3" xfId="4" applyFont="1" applyFill="1" applyBorder="1" applyAlignment="1">
      <alignment horizontal="center" vertical="center"/>
    </xf>
    <xf numFmtId="0" fontId="47" fillId="43" borderId="4" xfId="4" applyFont="1" applyFill="1" applyBorder="1" applyAlignment="1">
      <alignment horizontal="center" vertical="center"/>
    </xf>
    <xf numFmtId="20" fontId="36" fillId="43" borderId="3" xfId="2" applyNumberFormat="1" applyFont="1" applyFill="1" applyBorder="1" applyAlignment="1">
      <alignment horizontal="center" vertical="center" wrapText="1"/>
    </xf>
    <xf numFmtId="0" fontId="37" fillId="14" borderId="5" xfId="4" applyFont="1" applyFill="1" applyBorder="1" applyAlignment="1">
      <alignment horizontal="center" vertical="center"/>
    </xf>
    <xf numFmtId="0" fontId="16" fillId="14" borderId="2" xfId="4" applyFont="1" applyFill="1" applyBorder="1" applyAlignment="1">
      <alignment horizontal="center" vertical="center"/>
    </xf>
    <xf numFmtId="0" fontId="41" fillId="27" borderId="5" xfId="4" applyFont="1" applyFill="1" applyBorder="1" applyAlignment="1">
      <alignment horizontal="center" vertical="center"/>
    </xf>
    <xf numFmtId="0" fontId="15" fillId="37" borderId="1" xfId="2" applyFont="1" applyFill="1" applyBorder="1" applyAlignment="1">
      <alignment horizontal="center" vertical="center" wrapText="1"/>
    </xf>
    <xf numFmtId="0" fontId="17" fillId="37" borderId="5" xfId="4" applyFont="1" applyFill="1" applyBorder="1" applyAlignment="1">
      <alignment horizontal="center" vertical="center" wrapText="1"/>
    </xf>
    <xf numFmtId="0" fontId="17" fillId="11" borderId="5" xfId="4" applyFont="1" applyFill="1" applyBorder="1" applyAlignment="1">
      <alignment horizontal="center" vertical="center" wrapText="1"/>
    </xf>
    <xf numFmtId="0" fontId="72" fillId="32" borderId="5" xfId="4" applyFont="1" applyFill="1" applyBorder="1" applyAlignment="1">
      <alignment horizontal="center" vertical="center"/>
    </xf>
    <xf numFmtId="49" fontId="72" fillId="32" borderId="0" xfId="4" applyNumberFormat="1" applyFont="1" applyFill="1" applyAlignment="1">
      <alignment horizontal="center" vertical="center"/>
    </xf>
    <xf numFmtId="0" fontId="73" fillId="32" borderId="5" xfId="4" applyFont="1" applyFill="1" applyBorder="1" applyAlignment="1">
      <alignment horizontal="center" vertical="center" wrapText="1"/>
    </xf>
    <xf numFmtId="0" fontId="37" fillId="32" borderId="5" xfId="4" applyFont="1" applyFill="1" applyBorder="1" applyAlignment="1">
      <alignment horizontal="center" vertical="center"/>
    </xf>
    <xf numFmtId="0" fontId="74" fillId="32" borderId="5" xfId="4" applyFont="1" applyFill="1" applyBorder="1" applyAlignment="1">
      <alignment horizontal="center" vertical="center"/>
    </xf>
    <xf numFmtId="0" fontId="17" fillId="32" borderId="5" xfId="4" applyFont="1" applyFill="1" applyBorder="1" applyAlignment="1">
      <alignment horizontal="center" vertical="center"/>
    </xf>
    <xf numFmtId="0" fontId="73" fillId="19" borderId="5" xfId="4" applyFont="1" applyFill="1" applyBorder="1" applyAlignment="1">
      <alignment horizontal="center" vertical="center"/>
    </xf>
    <xf numFmtId="0" fontId="55" fillId="20" borderId="1" xfId="4" applyFont="1" applyFill="1" applyBorder="1" applyAlignment="1">
      <alignment horizontal="center" vertical="center"/>
    </xf>
    <xf numFmtId="0" fontId="50" fillId="20" borderId="5" xfId="4" applyFont="1" applyFill="1" applyBorder="1" applyAlignment="1">
      <alignment horizontal="center" vertical="center"/>
    </xf>
    <xf numFmtId="20" fontId="55" fillId="20" borderId="5" xfId="2" applyNumberFormat="1" applyFont="1" applyFill="1" applyBorder="1" applyAlignment="1">
      <alignment horizontal="center" vertical="center" wrapText="1"/>
    </xf>
    <xf numFmtId="0" fontId="55" fillId="29" borderId="1" xfId="4" applyFont="1" applyFill="1" applyBorder="1" applyAlignment="1">
      <alignment horizontal="center" vertical="center"/>
    </xf>
    <xf numFmtId="0" fontId="50" fillId="29" borderId="5" xfId="4" applyFont="1" applyFill="1" applyBorder="1" applyAlignment="1">
      <alignment horizontal="center" vertical="center"/>
    </xf>
    <xf numFmtId="20" fontId="55" fillId="29" borderId="5" xfId="2" applyNumberFormat="1" applyFont="1" applyFill="1" applyBorder="1" applyAlignment="1">
      <alignment horizontal="center" vertical="center" wrapText="1"/>
    </xf>
    <xf numFmtId="0" fontId="55" fillId="43" borderId="1" xfId="4" applyFont="1" applyFill="1" applyBorder="1" applyAlignment="1">
      <alignment horizontal="center" vertical="center"/>
    </xf>
    <xf numFmtId="0" fontId="50" fillId="43" borderId="5" xfId="4" applyFont="1" applyFill="1" applyBorder="1" applyAlignment="1">
      <alignment horizontal="center" vertical="center"/>
    </xf>
    <xf numFmtId="20" fontId="55" fillId="43" borderId="5" xfId="2" applyNumberFormat="1" applyFont="1" applyFill="1" applyBorder="1" applyAlignment="1">
      <alignment horizontal="center" vertical="center" wrapText="1"/>
    </xf>
    <xf numFmtId="0" fontId="56" fillId="25" borderId="2" xfId="4" applyFont="1" applyFill="1" applyBorder="1" applyAlignment="1">
      <alignment horizontal="center" vertical="center"/>
    </xf>
    <xf numFmtId="0" fontId="17" fillId="27" borderId="5" xfId="4" applyFont="1" applyFill="1" applyBorder="1" applyAlignment="1">
      <alignment horizontal="center" vertical="center"/>
    </xf>
    <xf numFmtId="0" fontId="17" fillId="27" borderId="5" xfId="4" applyFont="1" applyFill="1" applyBorder="1" applyAlignment="1">
      <alignment horizontal="center" vertical="center" wrapText="1"/>
    </xf>
    <xf numFmtId="0" fontId="21" fillId="11" borderId="5" xfId="4" applyFont="1" applyFill="1" applyBorder="1" applyAlignment="1">
      <alignment horizontal="center" vertical="center"/>
    </xf>
    <xf numFmtId="0" fontId="17" fillId="11" borderId="5" xfId="4" applyFont="1" applyFill="1" applyBorder="1" applyAlignment="1">
      <alignment horizontal="center" vertical="center"/>
    </xf>
    <xf numFmtId="0" fontId="38" fillId="20" borderId="5" xfId="4" applyFont="1" applyFill="1" applyBorder="1" applyAlignment="1">
      <alignment horizontal="center" vertical="center"/>
    </xf>
    <xf numFmtId="0" fontId="38" fillId="43" borderId="5" xfId="4" applyFont="1" applyFill="1" applyBorder="1" applyAlignment="1">
      <alignment horizontal="center" vertical="center"/>
    </xf>
    <xf numFmtId="0" fontId="41" fillId="9" borderId="5" xfId="4" applyFont="1" applyFill="1" applyBorder="1" applyAlignment="1">
      <alignment horizontal="center" vertical="center"/>
    </xf>
    <xf numFmtId="0" fontId="15" fillId="11" borderId="5" xfId="4" applyFont="1" applyFill="1" applyBorder="1" applyAlignment="1">
      <alignment horizontal="center" vertical="center"/>
    </xf>
    <xf numFmtId="49" fontId="75" fillId="11" borderId="0" xfId="4" applyNumberFormat="1" applyFont="1" applyFill="1" applyAlignment="1">
      <alignment horizontal="center" vertical="center"/>
    </xf>
    <xf numFmtId="0" fontId="76" fillId="32" borderId="5" xfId="4" applyFont="1" applyFill="1" applyBorder="1" applyAlignment="1">
      <alignment horizontal="center" vertical="center"/>
    </xf>
    <xf numFmtId="49" fontId="72" fillId="32" borderId="5" xfId="4" applyNumberFormat="1" applyFont="1" applyFill="1" applyBorder="1" applyAlignment="1">
      <alignment horizontal="center" vertical="center"/>
    </xf>
    <xf numFmtId="0" fontId="15" fillId="19" borderId="5" xfId="4" applyFont="1" applyFill="1" applyBorder="1" applyAlignment="1">
      <alignment horizontal="center" vertical="center"/>
    </xf>
    <xf numFmtId="0" fontId="17" fillId="2" borderId="5" xfId="4" applyFont="1" applyFill="1" applyBorder="1" applyAlignment="1">
      <alignment horizontal="center" vertical="center"/>
    </xf>
    <xf numFmtId="0" fontId="70" fillId="8" borderId="2" xfId="4" applyFont="1" applyFill="1" applyBorder="1" applyAlignment="1">
      <alignment horizontal="center" vertical="center"/>
    </xf>
    <xf numFmtId="0" fontId="56" fillId="9" borderId="5" xfId="4" applyFont="1" applyFill="1" applyBorder="1" applyAlignment="1">
      <alignment horizontal="center" vertical="center"/>
    </xf>
    <xf numFmtId="49" fontId="75" fillId="32" borderId="0" xfId="4" applyNumberFormat="1" applyFont="1" applyFill="1" applyAlignment="1">
      <alignment horizontal="center" vertical="center"/>
    </xf>
    <xf numFmtId="0" fontId="74" fillId="32" borderId="5" xfId="4" applyFont="1" applyFill="1" applyBorder="1" applyAlignment="1">
      <alignment horizontal="center" vertical="center" wrapText="1"/>
    </xf>
    <xf numFmtId="0" fontId="74" fillId="2" borderId="5" xfId="4" applyFont="1" applyFill="1" applyBorder="1" applyAlignment="1">
      <alignment horizontal="center" vertical="center"/>
    </xf>
    <xf numFmtId="0" fontId="15" fillId="20" borderId="5" xfId="4" applyFont="1" applyFill="1" applyBorder="1" applyAlignment="1">
      <alignment horizontal="center" vertical="center" wrapText="1"/>
    </xf>
    <xf numFmtId="0" fontId="72" fillId="20" borderId="5" xfId="4" applyFont="1" applyFill="1" applyBorder="1" applyAlignment="1">
      <alignment vertical="center"/>
    </xf>
    <xf numFmtId="0" fontId="72" fillId="29" borderId="5" xfId="4" applyFont="1" applyFill="1" applyBorder="1" applyAlignment="1">
      <alignment horizontal="center" vertical="center"/>
    </xf>
    <xf numFmtId="0" fontId="15" fillId="43" borderId="5" xfId="4" applyFont="1" applyFill="1" applyBorder="1" applyAlignment="1">
      <alignment horizontal="center" vertical="center" wrapText="1"/>
    </xf>
    <xf numFmtId="0" fontId="72" fillId="43" borderId="5" xfId="4" applyFont="1" applyFill="1" applyBorder="1" applyAlignment="1">
      <alignment vertical="center"/>
    </xf>
    <xf numFmtId="0" fontId="37" fillId="20" borderId="0" xfId="4" applyFont="1" applyFill="1" applyAlignment="1">
      <alignment horizontal="center" vertical="center"/>
    </xf>
    <xf numFmtId="0" fontId="37" fillId="29" borderId="0" xfId="4" applyFont="1" applyFill="1" applyAlignment="1">
      <alignment horizontal="center" vertical="center"/>
    </xf>
    <xf numFmtId="0" fontId="37" fillId="43" borderId="0" xfId="4" applyFont="1" applyFill="1" applyAlignment="1">
      <alignment horizontal="center" vertical="center"/>
    </xf>
    <xf numFmtId="0" fontId="72" fillId="20" borderId="0" xfId="4" applyFont="1" applyFill="1" applyAlignment="1">
      <alignment vertical="center"/>
    </xf>
    <xf numFmtId="0" fontId="72" fillId="29" borderId="0" xfId="4" applyFont="1" applyFill="1" applyAlignment="1">
      <alignment horizontal="center" vertical="center"/>
    </xf>
    <xf numFmtId="0" fontId="72" fillId="43" borderId="0" xfId="4" applyFont="1" applyFill="1" applyAlignment="1">
      <alignment vertical="center"/>
    </xf>
    <xf numFmtId="0" fontId="21" fillId="2" borderId="5" xfId="4" applyFont="1" applyFill="1" applyBorder="1" applyAlignment="1">
      <alignment horizontal="center" vertical="center"/>
    </xf>
    <xf numFmtId="0" fontId="9" fillId="32" borderId="5" xfId="4" applyFont="1" applyFill="1" applyBorder="1" applyAlignment="1">
      <alignment horizontal="center" vertical="center" wrapText="1"/>
    </xf>
    <xf numFmtId="49" fontId="15" fillId="32" borderId="5" xfId="4" applyNumberFormat="1" applyFont="1" applyFill="1" applyBorder="1" applyAlignment="1">
      <alignment horizontal="center" vertical="center"/>
    </xf>
    <xf numFmtId="0" fontId="73" fillId="32" borderId="5" xfId="4" applyFont="1" applyFill="1" applyBorder="1" applyAlignment="1">
      <alignment vertical="center" wrapText="1"/>
    </xf>
    <xf numFmtId="0" fontId="75" fillId="32" borderId="5" xfId="4" applyFont="1" applyFill="1" applyBorder="1" applyAlignment="1">
      <alignment horizontal="center" vertical="center"/>
    </xf>
    <xf numFmtId="20" fontId="15" fillId="20" borderId="5" xfId="4" applyNumberFormat="1" applyFont="1" applyFill="1" applyBorder="1" applyAlignment="1">
      <alignment horizontal="center" vertical="center"/>
    </xf>
    <xf numFmtId="20" fontId="15" fillId="29" borderId="5" xfId="4" applyNumberFormat="1" applyFont="1" applyFill="1" applyBorder="1" applyAlignment="1">
      <alignment horizontal="center" vertical="center"/>
    </xf>
    <xf numFmtId="20" fontId="15" fillId="43" borderId="5" xfId="4" applyNumberFormat="1" applyFont="1" applyFill="1" applyBorder="1" applyAlignment="1">
      <alignment horizontal="center" vertical="center"/>
    </xf>
    <xf numFmtId="176" fontId="3" fillId="0" borderId="23" xfId="2" applyNumberFormat="1" applyFont="1" applyBorder="1" applyAlignment="1">
      <alignment horizontal="right" vertical="center"/>
    </xf>
    <xf numFmtId="0" fontId="63" fillId="20" borderId="5" xfId="4" applyFont="1" applyFill="1" applyBorder="1" applyAlignment="1">
      <alignment horizontal="center" vertical="center"/>
    </xf>
    <xf numFmtId="0" fontId="63" fillId="43" borderId="5" xfId="4" applyFont="1" applyFill="1" applyBorder="1" applyAlignment="1">
      <alignment horizontal="center" vertical="center"/>
    </xf>
    <xf numFmtId="49" fontId="15" fillId="7" borderId="5" xfId="4" applyNumberFormat="1" applyFont="1" applyFill="1" applyBorder="1" applyAlignment="1">
      <alignment horizontal="center" vertical="center" wrapText="1"/>
    </xf>
    <xf numFmtId="49" fontId="15" fillId="10" borderId="5" xfId="4" applyNumberFormat="1" applyFont="1" applyFill="1" applyBorder="1" applyAlignment="1">
      <alignment horizontal="center" vertical="center" wrapText="1"/>
    </xf>
    <xf numFmtId="0" fontId="70" fillId="32" borderId="5" xfId="4" applyFont="1" applyFill="1" applyBorder="1" applyAlignment="1">
      <alignment horizontal="center" vertical="center" wrapText="1"/>
    </xf>
    <xf numFmtId="0" fontId="37" fillId="12" borderId="5" xfId="4" applyFont="1" applyFill="1" applyBorder="1" applyAlignment="1">
      <alignment horizontal="center" vertical="center"/>
    </xf>
    <xf numFmtId="0" fontId="41" fillId="12" borderId="5" xfId="4" applyFont="1" applyFill="1" applyBorder="1" applyAlignment="1">
      <alignment horizontal="center" vertical="center" wrapText="1"/>
    </xf>
    <xf numFmtId="20" fontId="15" fillId="12" borderId="5" xfId="2" applyNumberFormat="1" applyFont="1" applyFill="1" applyBorder="1" applyAlignment="1">
      <alignment horizontal="center" vertical="center" wrapText="1"/>
    </xf>
    <xf numFmtId="0" fontId="72" fillId="13" borderId="5" xfId="4" applyFont="1" applyFill="1" applyBorder="1" applyAlignment="1">
      <alignment horizontal="center" vertical="center"/>
    </xf>
    <xf numFmtId="0" fontId="41" fillId="13" borderId="5" xfId="4" applyFont="1" applyFill="1" applyBorder="1" applyAlignment="1">
      <alignment horizontal="center" vertical="center" wrapText="1"/>
    </xf>
    <xf numFmtId="49" fontId="72" fillId="13" borderId="0" xfId="4" applyNumberFormat="1" applyFont="1" applyFill="1" applyAlignment="1">
      <alignment horizontal="center" vertical="center"/>
    </xf>
    <xf numFmtId="0" fontId="41" fillId="14" borderId="5" xfId="4" applyFont="1" applyFill="1" applyBorder="1" applyAlignment="1">
      <alignment horizontal="center" vertical="center" wrapText="1"/>
    </xf>
    <xf numFmtId="20" fontId="15" fillId="14" borderId="5" xfId="2" applyNumberFormat="1" applyFont="1" applyFill="1" applyBorder="1" applyAlignment="1">
      <alignment horizontal="center" vertical="center" wrapText="1"/>
    </xf>
    <xf numFmtId="0" fontId="37" fillId="24" borderId="5" xfId="4" applyFont="1" applyFill="1" applyBorder="1" applyAlignment="1">
      <alignment horizontal="center" vertical="center"/>
    </xf>
    <xf numFmtId="0" fontId="41" fillId="24" borderId="5" xfId="4" applyFont="1" applyFill="1" applyBorder="1" applyAlignment="1">
      <alignment horizontal="center" vertical="center" wrapText="1"/>
    </xf>
    <xf numFmtId="0" fontId="15" fillId="24" borderId="5" xfId="4" applyFont="1" applyFill="1" applyBorder="1" applyAlignment="1">
      <alignment horizontal="center" vertical="center"/>
    </xf>
    <xf numFmtId="0" fontId="72" fillId="25" borderId="5" xfId="4" applyFont="1" applyFill="1" applyBorder="1" applyAlignment="1">
      <alignment horizontal="center" vertical="center"/>
    </xf>
    <xf numFmtId="0" fontId="41" fillId="25" borderId="5" xfId="4" applyFont="1" applyFill="1" applyBorder="1" applyAlignment="1">
      <alignment horizontal="center" vertical="center" wrapText="1"/>
    </xf>
    <xf numFmtId="49" fontId="72" fillId="25" borderId="0" xfId="4" applyNumberFormat="1" applyFont="1" applyFill="1" applyAlignment="1">
      <alignment horizontal="center" vertical="center"/>
    </xf>
    <xf numFmtId="0" fontId="17" fillId="26" borderId="5" xfId="4" applyFont="1" applyFill="1" applyBorder="1" applyAlignment="1">
      <alignment horizontal="center" vertical="center"/>
    </xf>
    <xf numFmtId="0" fontId="41" fillId="26" borderId="5" xfId="4" applyFont="1" applyFill="1" applyBorder="1" applyAlignment="1">
      <alignment horizontal="center" vertical="center" wrapText="1"/>
    </xf>
    <xf numFmtId="0" fontId="21" fillId="10" borderId="5" xfId="4" applyFont="1" applyFill="1" applyBorder="1" applyAlignment="1">
      <alignment horizontal="center" vertical="center"/>
    </xf>
    <xf numFmtId="0" fontId="37" fillId="28" borderId="5" xfId="4" applyFont="1" applyFill="1" applyBorder="1" applyAlignment="1">
      <alignment horizontal="center" vertical="center"/>
    </xf>
    <xf numFmtId="0" fontId="76" fillId="28" borderId="5" xfId="4" applyFont="1" applyFill="1" applyBorder="1" applyAlignment="1">
      <alignment horizontal="center" vertical="center" wrapText="1"/>
    </xf>
    <xf numFmtId="0" fontId="72" fillId="18" borderId="5" xfId="4" applyFont="1" applyFill="1" applyBorder="1" applyAlignment="1">
      <alignment horizontal="center" vertical="center"/>
    </xf>
    <xf numFmtId="0" fontId="41" fillId="18" borderId="5" xfId="4" applyFont="1" applyFill="1" applyBorder="1" applyAlignment="1">
      <alignment horizontal="center" vertical="center" wrapText="1"/>
    </xf>
    <xf numFmtId="0" fontId="41" fillId="32" borderId="5" xfId="4" applyFont="1" applyFill="1" applyBorder="1" applyAlignment="1">
      <alignment horizontal="center" vertical="center" wrapText="1"/>
    </xf>
    <xf numFmtId="0" fontId="37" fillId="27" borderId="2" xfId="4" applyFont="1" applyFill="1" applyBorder="1" applyAlignment="1">
      <alignment horizontal="center" vertical="center"/>
    </xf>
    <xf numFmtId="20" fontId="15" fillId="27" borderId="5" xfId="2" applyNumberFormat="1" applyFont="1" applyFill="1" applyBorder="1" applyAlignment="1">
      <alignment horizontal="center" vertical="center" wrapText="1"/>
    </xf>
    <xf numFmtId="20" fontId="15" fillId="25" borderId="5" xfId="4" applyNumberFormat="1" applyFont="1" applyFill="1" applyBorder="1" applyAlignment="1">
      <alignment vertical="center" wrapText="1"/>
    </xf>
    <xf numFmtId="0" fontId="77" fillId="25" borderId="2" xfId="4" applyFont="1" applyFill="1" applyBorder="1" applyAlignment="1">
      <alignment horizontal="center" vertical="center"/>
    </xf>
    <xf numFmtId="0" fontId="15" fillId="25" borderId="5" xfId="4" applyFont="1" applyFill="1" applyBorder="1" applyAlignment="1">
      <alignment vertical="center"/>
    </xf>
    <xf numFmtId="0" fontId="9" fillId="12" borderId="5" xfId="4" applyFont="1" applyFill="1" applyBorder="1" applyAlignment="1">
      <alignment horizontal="center" vertical="center" wrapText="1"/>
    </xf>
    <xf numFmtId="0" fontId="9" fillId="13" borderId="5" xfId="4" applyFont="1" applyFill="1" applyBorder="1" applyAlignment="1">
      <alignment horizontal="center" vertical="center" wrapText="1"/>
    </xf>
    <xf numFmtId="0" fontId="28" fillId="14" borderId="5" xfId="4" applyFont="1" applyFill="1" applyBorder="1" applyAlignment="1">
      <alignment horizontal="center" vertical="center"/>
    </xf>
    <xf numFmtId="0" fontId="78" fillId="24" borderId="5" xfId="4" applyFont="1" applyFill="1" applyBorder="1" applyAlignment="1">
      <alignment horizontal="center" vertical="center"/>
    </xf>
    <xf numFmtId="0" fontId="9" fillId="24" borderId="5" xfId="4" applyFont="1" applyFill="1" applyBorder="1" applyAlignment="1">
      <alignment horizontal="center" vertical="center" wrapText="1"/>
    </xf>
    <xf numFmtId="0" fontId="9" fillId="25" borderId="5" xfId="4" applyFont="1" applyFill="1" applyBorder="1" applyAlignment="1">
      <alignment horizontal="center" vertical="center" wrapText="1"/>
    </xf>
    <xf numFmtId="0" fontId="9" fillId="26" borderId="5" xfId="4" applyFont="1" applyFill="1" applyBorder="1" applyAlignment="1">
      <alignment horizontal="center" vertical="center" wrapText="1"/>
    </xf>
    <xf numFmtId="0" fontId="53" fillId="28" borderId="5" xfId="4" applyFont="1" applyFill="1" applyBorder="1" applyAlignment="1">
      <alignment horizontal="center" vertical="center"/>
    </xf>
    <xf numFmtId="0" fontId="76" fillId="28" borderId="5" xfId="4" applyFont="1" applyFill="1" applyBorder="1" applyAlignment="1">
      <alignment horizontal="center" vertical="center"/>
    </xf>
    <xf numFmtId="0" fontId="9" fillId="18" borderId="5" xfId="4" applyFont="1" applyFill="1" applyBorder="1" applyAlignment="1">
      <alignment horizontal="center" vertical="center" wrapText="1"/>
    </xf>
    <xf numFmtId="0" fontId="58" fillId="3" borderId="5" xfId="4" applyFont="1" applyFill="1" applyBorder="1" applyAlignment="1">
      <alignment horizontal="center" vertical="center"/>
    </xf>
    <xf numFmtId="0" fontId="58" fillId="4" borderId="5" xfId="4" applyFont="1" applyFill="1" applyBorder="1" applyAlignment="1">
      <alignment horizontal="center" vertical="center"/>
    </xf>
    <xf numFmtId="0" fontId="58" fillId="4" borderId="5" xfId="4" applyFont="1" applyFill="1" applyBorder="1" applyAlignment="1">
      <alignment horizontal="left" vertical="top"/>
    </xf>
    <xf numFmtId="0" fontId="15" fillId="27" borderId="0" xfId="4" applyFont="1" applyFill="1" applyAlignment="1">
      <alignment horizontal="center" vertical="center"/>
    </xf>
    <xf numFmtId="0" fontId="74" fillId="12" borderId="5" xfId="4" applyFont="1" applyFill="1" applyBorder="1" applyAlignment="1">
      <alignment horizontal="center" vertical="center" wrapText="1"/>
    </xf>
    <xf numFmtId="0" fontId="74" fillId="13" borderId="5" xfId="4" applyFont="1" applyFill="1" applyBorder="1" applyAlignment="1">
      <alignment horizontal="center" vertical="center" wrapText="1"/>
    </xf>
    <xf numFmtId="0" fontId="79" fillId="14" borderId="5" xfId="4" applyFont="1" applyFill="1" applyBorder="1" applyAlignment="1">
      <alignment horizontal="center" vertical="center"/>
    </xf>
    <xf numFmtId="0" fontId="74" fillId="24" borderId="5" xfId="4" applyFont="1" applyFill="1" applyBorder="1" applyAlignment="1">
      <alignment horizontal="center" vertical="center" wrapText="1"/>
    </xf>
    <xf numFmtId="0" fontId="53" fillId="25" borderId="5" xfId="4" applyFont="1" applyFill="1" applyBorder="1" applyAlignment="1">
      <alignment horizontal="center" vertical="center"/>
    </xf>
    <xf numFmtId="0" fontId="74" fillId="25" borderId="5" xfId="4" applyFont="1" applyFill="1" applyBorder="1" applyAlignment="1">
      <alignment horizontal="center" vertical="center" wrapText="1"/>
    </xf>
    <xf numFmtId="0" fontId="74" fillId="26" borderId="5" xfId="4" applyFont="1" applyFill="1" applyBorder="1" applyAlignment="1">
      <alignment horizontal="center" vertical="center" wrapText="1"/>
    </xf>
    <xf numFmtId="0" fontId="15" fillId="28" borderId="5" xfId="4" applyFont="1" applyFill="1" applyBorder="1" applyAlignment="1">
      <alignment horizontal="center" vertical="center"/>
    </xf>
    <xf numFmtId="0" fontId="80" fillId="28" borderId="5" xfId="4" applyFont="1" applyFill="1" applyBorder="1" applyAlignment="1">
      <alignment horizontal="center" vertical="center"/>
    </xf>
    <xf numFmtId="20" fontId="15" fillId="32" borderId="5" xfId="4" applyNumberFormat="1" applyFont="1" applyFill="1" applyBorder="1" applyAlignment="1">
      <alignment horizontal="center" vertical="center" wrapText="1"/>
    </xf>
    <xf numFmtId="20" fontId="15" fillId="39" borderId="5" xfId="2" applyNumberFormat="1" applyFont="1" applyFill="1" applyBorder="1" applyAlignment="1">
      <alignment horizontal="left" vertical="top" wrapText="1"/>
    </xf>
    <xf numFmtId="0" fontId="37" fillId="25" borderId="2" xfId="4" applyFont="1" applyFill="1" applyBorder="1" applyAlignment="1">
      <alignment horizontal="center" vertical="center"/>
    </xf>
    <xf numFmtId="20" fontId="15" fillId="25" borderId="5" xfId="2" applyNumberFormat="1" applyFont="1" applyFill="1" applyBorder="1" applyAlignment="1">
      <alignment horizontal="center" vertical="center" wrapText="1"/>
    </xf>
    <xf numFmtId="0" fontId="37" fillId="27" borderId="5" xfId="4" applyFont="1" applyFill="1" applyBorder="1" applyAlignment="1">
      <alignment horizontal="center" vertical="center"/>
    </xf>
    <xf numFmtId="0" fontId="73" fillId="27" borderId="5" xfId="4" applyFont="1" applyFill="1" applyBorder="1" applyAlignment="1">
      <alignment vertical="center" wrapText="1"/>
    </xf>
    <xf numFmtId="49" fontId="17" fillId="11" borderId="5" xfId="4" applyNumberFormat="1" applyFont="1" applyFill="1" applyBorder="1" applyAlignment="1">
      <alignment horizontal="center" vertical="center"/>
    </xf>
    <xf numFmtId="49" fontId="72" fillId="13" borderId="5" xfId="4" applyNumberFormat="1" applyFont="1" applyFill="1" applyBorder="1" applyAlignment="1">
      <alignment horizontal="center" vertical="center"/>
    </xf>
    <xf numFmtId="0" fontId="20" fillId="26" borderId="5" xfId="4" applyFont="1" applyFill="1" applyBorder="1" applyAlignment="1">
      <alignment horizontal="center" vertical="center"/>
    </xf>
    <xf numFmtId="0" fontId="20" fillId="10" borderId="5" xfId="4" applyFont="1" applyFill="1" applyBorder="1" applyAlignment="1">
      <alignment horizontal="center" vertical="center"/>
    </xf>
    <xf numFmtId="0" fontId="73" fillId="28" borderId="5" xfId="4" applyFont="1" applyFill="1" applyBorder="1" applyAlignment="1">
      <alignment vertical="center" wrapText="1"/>
    </xf>
    <xf numFmtId="0" fontId="81" fillId="32" borderId="5" xfId="4" applyFont="1" applyFill="1" applyBorder="1" applyAlignment="1">
      <alignment horizontal="center" vertical="center" wrapText="1"/>
    </xf>
    <xf numFmtId="20" fontId="31" fillId="12" borderId="5" xfId="2" applyNumberFormat="1" applyFont="1" applyFill="1" applyBorder="1" applyAlignment="1">
      <alignment horizontal="center" vertical="center" wrapText="1"/>
    </xf>
    <xf numFmtId="0" fontId="73" fillId="13" borderId="5" xfId="4" applyFont="1" applyFill="1" applyBorder="1" applyAlignment="1">
      <alignment horizontal="center" vertical="center"/>
    </xf>
    <xf numFmtId="0" fontId="78" fillId="14" borderId="5" xfId="4" applyFont="1" applyFill="1" applyBorder="1" applyAlignment="1">
      <alignment horizontal="center" vertical="center"/>
    </xf>
    <xf numFmtId="20" fontId="31" fillId="14" borderId="5" xfId="2" applyNumberFormat="1" applyFont="1" applyFill="1" applyBorder="1" applyAlignment="1">
      <alignment horizontal="center" vertical="center" wrapText="1"/>
    </xf>
    <xf numFmtId="0" fontId="41" fillId="26" borderId="5" xfId="4" applyFont="1" applyFill="1" applyBorder="1" applyAlignment="1">
      <alignment horizontal="center" vertical="center"/>
    </xf>
    <xf numFmtId="0" fontId="9" fillId="26" borderId="5" xfId="4" applyFont="1" applyFill="1" applyBorder="1" applyAlignment="1">
      <alignment horizontal="center" vertical="center"/>
    </xf>
    <xf numFmtId="0" fontId="76" fillId="10" borderId="5" xfId="4" applyFont="1" applyFill="1" applyBorder="1" applyAlignment="1">
      <alignment horizontal="center" vertical="center"/>
    </xf>
    <xf numFmtId="0" fontId="41" fillId="28" borderId="5" xfId="4" applyFont="1" applyFill="1" applyBorder="1" applyAlignment="1">
      <alignment horizontal="center" vertical="center"/>
    </xf>
    <xf numFmtId="0" fontId="73" fillId="18" borderId="5" xfId="4" applyFont="1" applyFill="1" applyBorder="1" applyAlignment="1">
      <alignment horizontal="center" vertical="center"/>
    </xf>
    <xf numFmtId="0" fontId="41" fillId="2" borderId="5" xfId="4" applyFont="1" applyFill="1" applyBorder="1" applyAlignment="1">
      <alignment horizontal="center" vertical="center" wrapText="1"/>
    </xf>
    <xf numFmtId="0" fontId="54" fillId="12" borderId="5" xfId="4" applyFont="1" applyFill="1" applyBorder="1" applyAlignment="1">
      <alignment horizontal="center" vertical="center"/>
    </xf>
    <xf numFmtId="0" fontId="15" fillId="13" borderId="5" xfId="4" applyFont="1" applyFill="1" applyBorder="1" applyAlignment="1">
      <alignment horizontal="center" vertical="center"/>
    </xf>
    <xf numFmtId="0" fontId="59" fillId="13" borderId="5" xfId="4" applyFont="1" applyFill="1" applyBorder="1" applyAlignment="1">
      <alignment horizontal="center" vertical="center"/>
    </xf>
    <xf numFmtId="0" fontId="53" fillId="13" borderId="5" xfId="4" applyFont="1" applyFill="1" applyBorder="1" applyAlignment="1">
      <alignment horizontal="center" vertical="center"/>
    </xf>
    <xf numFmtId="0" fontId="82" fillId="14" borderId="5" xfId="4" applyFont="1" applyFill="1" applyBorder="1" applyAlignment="1">
      <alignment horizontal="center" vertical="center"/>
    </xf>
    <xf numFmtId="0" fontId="17" fillId="24" borderId="5" xfId="4" applyFont="1" applyFill="1" applyBorder="1" applyAlignment="1">
      <alignment vertical="center"/>
    </xf>
    <xf numFmtId="0" fontId="17" fillId="25" borderId="5" xfId="4" applyFont="1" applyFill="1" applyBorder="1" applyAlignment="1">
      <alignment horizontal="center" vertical="center"/>
    </xf>
    <xf numFmtId="0" fontId="83" fillId="25" borderId="0" xfId="4" applyFont="1" applyFill="1" applyAlignment="1">
      <alignment horizontal="center" vertical="center"/>
    </xf>
    <xf numFmtId="0" fontId="15" fillId="26" borderId="5" xfId="4" applyFont="1" applyFill="1" applyBorder="1" applyAlignment="1">
      <alignment horizontal="center" vertical="center"/>
    </xf>
    <xf numFmtId="0" fontId="59" fillId="26" borderId="5" xfId="4" applyFont="1" applyFill="1" applyBorder="1" applyAlignment="1">
      <alignment horizontal="center" vertical="center" wrapText="1"/>
    </xf>
    <xf numFmtId="0" fontId="9" fillId="2" borderId="5" xfId="4" applyFont="1" applyFill="1" applyBorder="1" applyAlignment="1">
      <alignment horizontal="center" vertical="center" wrapText="1"/>
    </xf>
    <xf numFmtId="0" fontId="15" fillId="12" borderId="1" xfId="4" applyFont="1" applyFill="1" applyBorder="1" applyAlignment="1">
      <alignment horizontal="center" vertical="center"/>
    </xf>
    <xf numFmtId="0" fontId="17" fillId="12" borderId="5" xfId="4" applyFont="1" applyFill="1" applyBorder="1" applyAlignment="1">
      <alignment horizontal="center" vertical="center" wrapText="1"/>
    </xf>
    <xf numFmtId="0" fontId="15" fillId="12" borderId="5" xfId="4" applyFont="1" applyFill="1" applyBorder="1" applyAlignment="1">
      <alignment horizontal="center" vertical="center"/>
    </xf>
    <xf numFmtId="0" fontId="73" fillId="13" borderId="5" xfId="4" applyFont="1" applyFill="1" applyBorder="1" applyAlignment="1">
      <alignment horizontal="center" vertical="center" wrapText="1"/>
    </xf>
    <xf numFmtId="0" fontId="73" fillId="24" borderId="5" xfId="4" applyFont="1" applyFill="1" applyBorder="1" applyAlignment="1">
      <alignment vertical="center" wrapText="1"/>
    </xf>
    <xf numFmtId="0" fontId="73" fillId="25" borderId="5" xfId="4" applyFont="1" applyFill="1" applyBorder="1" applyAlignment="1">
      <alignment horizontal="center" vertical="center" wrapText="1"/>
    </xf>
    <xf numFmtId="0" fontId="37" fillId="26" borderId="5" xfId="4" applyFont="1" applyFill="1" applyBorder="1" applyAlignment="1">
      <alignment horizontal="center" vertical="center"/>
    </xf>
    <xf numFmtId="0" fontId="59" fillId="26" borderId="5" xfId="4" applyFont="1" applyFill="1" applyBorder="1" applyAlignment="1">
      <alignment vertical="center" wrapText="1"/>
    </xf>
    <xf numFmtId="0" fontId="73" fillId="10" borderId="5" xfId="4" applyFont="1" applyFill="1" applyBorder="1" applyAlignment="1">
      <alignment vertical="center"/>
    </xf>
    <xf numFmtId="0" fontId="53" fillId="18" borderId="5" xfId="4" applyFont="1" applyFill="1" applyBorder="1" applyAlignment="1">
      <alignment horizontal="center" vertical="center"/>
    </xf>
    <xf numFmtId="0" fontId="73" fillId="18" borderId="5" xfId="4" applyFont="1" applyFill="1" applyBorder="1" applyAlignment="1">
      <alignment vertical="center"/>
    </xf>
    <xf numFmtId="0" fontId="37" fillId="19" borderId="5" xfId="4" applyFont="1" applyFill="1" applyBorder="1" applyAlignment="1">
      <alignment horizontal="center" vertical="center"/>
    </xf>
    <xf numFmtId="0" fontId="15" fillId="45" borderId="5" xfId="4" applyFont="1" applyFill="1" applyBorder="1" applyAlignment="1">
      <alignment horizontal="center" vertical="center"/>
    </xf>
    <xf numFmtId="0" fontId="61" fillId="45" borderId="2" xfId="4" applyFont="1" applyFill="1" applyBorder="1" applyAlignment="1">
      <alignment horizontal="center" vertical="center"/>
    </xf>
    <xf numFmtId="0" fontId="51" fillId="45" borderId="2" xfId="4" applyFont="1" applyFill="1" applyBorder="1" applyAlignment="1">
      <alignment horizontal="center" vertical="center"/>
    </xf>
    <xf numFmtId="20" fontId="15" fillId="45" borderId="5" xfId="2" applyNumberFormat="1" applyFont="1" applyFill="1" applyBorder="1" applyAlignment="1">
      <alignment horizontal="left" vertical="top" wrapText="1"/>
    </xf>
    <xf numFmtId="0" fontId="15" fillId="45" borderId="2" xfId="4" applyFont="1" applyFill="1" applyBorder="1" applyAlignment="1">
      <alignment horizontal="center" vertical="center"/>
    </xf>
    <xf numFmtId="20" fontId="15" fillId="45" borderId="5" xfId="2" applyNumberFormat="1" applyFont="1" applyFill="1" applyBorder="1" applyAlignment="1">
      <alignment horizontal="center" vertical="center" wrapText="1"/>
    </xf>
    <xf numFmtId="0" fontId="51" fillId="45" borderId="5" xfId="4" applyFont="1" applyFill="1" applyBorder="1" applyAlignment="1">
      <alignment horizontal="center" vertical="center"/>
    </xf>
    <xf numFmtId="20" fontId="61" fillId="10" borderId="5" xfId="2" applyNumberFormat="1" applyFont="1" applyFill="1" applyBorder="1" applyAlignment="1">
      <alignment horizontal="center" vertical="center" wrapText="1"/>
    </xf>
    <xf numFmtId="0" fontId="17" fillId="45" borderId="5" xfId="4" applyFont="1" applyFill="1" applyBorder="1" applyAlignment="1">
      <alignment horizontal="center" vertical="center"/>
    </xf>
    <xf numFmtId="0" fontId="84" fillId="45" borderId="5" xfId="4" applyFont="1" applyFill="1" applyBorder="1" applyAlignment="1">
      <alignment horizontal="center" vertical="center"/>
    </xf>
    <xf numFmtId="0" fontId="15" fillId="46" borderId="5" xfId="4" applyFont="1" applyFill="1" applyBorder="1" applyAlignment="1">
      <alignment horizontal="center" vertical="center"/>
    </xf>
    <xf numFmtId="0" fontId="51" fillId="46" borderId="5" xfId="4" applyFont="1" applyFill="1" applyBorder="1" applyAlignment="1">
      <alignment horizontal="center" vertical="center"/>
    </xf>
    <xf numFmtId="0" fontId="51" fillId="29" borderId="5" xfId="4" applyFont="1" applyFill="1" applyBorder="1" applyAlignment="1">
      <alignment horizontal="center" vertical="center"/>
    </xf>
    <xf numFmtId="0" fontId="15" fillId="47" borderId="5" xfId="4" applyFont="1" applyFill="1" applyBorder="1" applyAlignment="1">
      <alignment horizontal="center" vertical="center"/>
    </xf>
    <xf numFmtId="0" fontId="51" fillId="47" borderId="5" xfId="4" applyFont="1" applyFill="1" applyBorder="1" applyAlignment="1">
      <alignment horizontal="center" vertical="center"/>
    </xf>
    <xf numFmtId="0" fontId="37" fillId="45" borderId="2" xfId="4" applyFont="1" applyFill="1" applyBorder="1" applyAlignment="1">
      <alignment horizontal="center" vertical="center"/>
    </xf>
    <xf numFmtId="0" fontId="37" fillId="45" borderId="5" xfId="4" applyFont="1" applyFill="1" applyBorder="1" applyAlignment="1">
      <alignment horizontal="center" vertical="center"/>
    </xf>
    <xf numFmtId="0" fontId="20" fillId="45" borderId="5" xfId="4" applyFont="1" applyFill="1" applyBorder="1" applyAlignment="1">
      <alignment horizontal="center" vertical="center"/>
    </xf>
    <xf numFmtId="0" fontId="17" fillId="45" borderId="5" xfId="4" applyFont="1" applyFill="1" applyBorder="1" applyAlignment="1">
      <alignment horizontal="left" vertical="center"/>
    </xf>
    <xf numFmtId="20" fontId="15" fillId="45" borderId="5" xfId="2" applyNumberFormat="1" applyFont="1" applyFill="1" applyBorder="1" applyAlignment="1">
      <alignment vertical="center" wrapText="1"/>
    </xf>
    <xf numFmtId="20" fontId="15" fillId="45" borderId="1" xfId="2" applyNumberFormat="1" applyFont="1" applyFill="1" applyBorder="1" applyAlignment="1">
      <alignment horizontal="center" vertical="center" wrapText="1"/>
    </xf>
    <xf numFmtId="0" fontId="15" fillId="45" borderId="5" xfId="4" applyFont="1" applyFill="1" applyBorder="1" applyAlignment="1">
      <alignment horizontal="left" vertical="center"/>
    </xf>
    <xf numFmtId="0" fontId="15" fillId="45" borderId="5" xfId="4" applyFont="1" applyFill="1" applyBorder="1" applyAlignment="1">
      <alignment vertical="center"/>
    </xf>
    <xf numFmtId="0" fontId="37" fillId="47" borderId="5" xfId="4" applyFont="1" applyFill="1" applyBorder="1" applyAlignment="1">
      <alignment horizontal="center" vertical="center"/>
    </xf>
    <xf numFmtId="0" fontId="15" fillId="47" borderId="5" xfId="4" applyFont="1" applyFill="1" applyBorder="1" applyAlignment="1">
      <alignment horizontal="left" vertical="center"/>
    </xf>
    <xf numFmtId="0" fontId="15" fillId="46" borderId="2" xfId="4" applyFont="1" applyFill="1" applyBorder="1" applyAlignment="1">
      <alignment horizontal="center" vertical="center"/>
    </xf>
    <xf numFmtId="49" fontId="15" fillId="46" borderId="5" xfId="4" applyNumberFormat="1" applyFont="1" applyFill="1" applyBorder="1" applyAlignment="1">
      <alignment horizontal="left" vertical="top" wrapText="1"/>
    </xf>
    <xf numFmtId="0" fontId="20" fillId="46" borderId="2" xfId="4" applyFont="1" applyFill="1" applyBorder="1" applyAlignment="1">
      <alignment horizontal="center" vertical="center"/>
    </xf>
    <xf numFmtId="49" fontId="38" fillId="46" borderId="5" xfId="4" applyNumberFormat="1" applyFont="1" applyFill="1" applyBorder="1" applyAlignment="1">
      <alignment horizontal="center" vertical="center"/>
    </xf>
    <xf numFmtId="0" fontId="21" fillId="46" borderId="1" xfId="4" applyFont="1" applyFill="1" applyBorder="1" applyAlignment="1">
      <alignment horizontal="center" vertical="center"/>
    </xf>
    <xf numFmtId="0" fontId="21" fillId="46" borderId="2" xfId="4" applyFont="1" applyFill="1" applyBorder="1" applyAlignment="1">
      <alignment horizontal="center" vertical="center"/>
    </xf>
    <xf numFmtId="0" fontId="21" fillId="46" borderId="5" xfId="4" applyFont="1" applyFill="1" applyBorder="1" applyAlignment="1">
      <alignment horizontal="center" vertical="center"/>
    </xf>
    <xf numFmtId="49" fontId="41" fillId="10" borderId="5" xfId="4" applyNumberFormat="1" applyFont="1" applyFill="1" applyBorder="1" applyAlignment="1">
      <alignment horizontal="center" vertical="center"/>
    </xf>
    <xf numFmtId="0" fontId="17" fillId="46" borderId="5" xfId="4" applyFont="1" applyFill="1" applyBorder="1" applyAlignment="1">
      <alignment horizontal="center" vertical="center"/>
    </xf>
    <xf numFmtId="0" fontId="17" fillId="46" borderId="5" xfId="4" applyFont="1" applyFill="1" applyBorder="1" applyAlignment="1">
      <alignment horizontal="center" vertical="center" wrapText="1"/>
    </xf>
    <xf numFmtId="0" fontId="37" fillId="46" borderId="5" xfId="4" applyFont="1" applyFill="1" applyBorder="1" applyAlignment="1">
      <alignment horizontal="center" vertical="center"/>
    </xf>
    <xf numFmtId="0" fontId="85" fillId="48" borderId="5" xfId="4" applyFont="1" applyFill="1" applyBorder="1" applyAlignment="1">
      <alignment horizontal="center" vertical="center"/>
    </xf>
    <xf numFmtId="49" fontId="15" fillId="46" borderId="5" xfId="4" applyNumberFormat="1" applyFont="1" applyFill="1" applyBorder="1" applyAlignment="1">
      <alignment horizontal="center" vertical="center"/>
    </xf>
    <xf numFmtId="0" fontId="63" fillId="46" borderId="5" xfId="4" applyFont="1" applyFill="1" applyBorder="1" applyAlignment="1">
      <alignment horizontal="center" vertical="center"/>
    </xf>
    <xf numFmtId="0" fontId="53" fillId="46" borderId="5" xfId="4" applyFont="1" applyFill="1" applyBorder="1" applyAlignment="1">
      <alignment horizontal="center" vertical="center"/>
    </xf>
    <xf numFmtId="0" fontId="9" fillId="46" borderId="5" xfId="4" applyFont="1" applyFill="1" applyBorder="1" applyAlignment="1">
      <alignment horizontal="center" vertical="center"/>
    </xf>
    <xf numFmtId="0" fontId="70" fillId="45" borderId="5" xfId="4" applyFont="1" applyFill="1" applyBorder="1" applyAlignment="1">
      <alignment horizontal="center" vertical="center"/>
    </xf>
    <xf numFmtId="0" fontId="73" fillId="46" borderId="5" xfId="4" applyFont="1" applyFill="1" applyBorder="1" applyAlignment="1">
      <alignment horizontal="center" vertical="center" wrapText="1"/>
    </xf>
    <xf numFmtId="0" fontId="21" fillId="46" borderId="5" xfId="4" applyFont="1" applyFill="1" applyBorder="1" applyAlignment="1">
      <alignment horizontal="center" vertical="center" wrapText="1"/>
    </xf>
    <xf numFmtId="0" fontId="53" fillId="29" borderId="5" xfId="4" applyFont="1" applyFill="1" applyBorder="1" applyAlignment="1">
      <alignment horizontal="center" vertical="center"/>
    </xf>
    <xf numFmtId="0" fontId="53" fillId="49" borderId="5" xfId="4" applyFont="1" applyFill="1" applyBorder="1" applyAlignment="1">
      <alignment horizontal="center" vertical="center"/>
    </xf>
    <xf numFmtId="0" fontId="37" fillId="46" borderId="2" xfId="4" applyFont="1" applyFill="1" applyBorder="1" applyAlignment="1">
      <alignment horizontal="center" vertical="center"/>
    </xf>
    <xf numFmtId="0" fontId="15" fillId="46" borderId="5" xfId="4" applyFont="1" applyFill="1" applyBorder="1" applyAlignment="1">
      <alignment horizontal="left" vertical="top"/>
    </xf>
    <xf numFmtId="0" fontId="36" fillId="46" borderId="2" xfId="4" applyFont="1" applyFill="1" applyBorder="1" applyAlignment="1">
      <alignment horizontal="center" vertical="center"/>
    </xf>
    <xf numFmtId="0" fontId="36" fillId="46" borderId="1" xfId="4" applyFont="1" applyFill="1" applyBorder="1" applyAlignment="1">
      <alignment horizontal="center" vertical="center"/>
    </xf>
    <xf numFmtId="0" fontId="36" fillId="46" borderId="5" xfId="4" applyFont="1" applyFill="1" applyBorder="1" applyAlignment="1">
      <alignment horizontal="center" vertical="center"/>
    </xf>
    <xf numFmtId="0" fontId="63" fillId="46" borderId="5" xfId="4" applyFont="1" applyFill="1" applyBorder="1" applyAlignment="1">
      <alignment horizontal="center" vertical="center" wrapText="1"/>
    </xf>
    <xf numFmtId="0" fontId="54" fillId="46" borderId="5" xfId="4" applyFont="1" applyFill="1" applyBorder="1" applyAlignment="1">
      <alignment horizontal="center" vertical="center"/>
    </xf>
    <xf numFmtId="0" fontId="15" fillId="46" borderId="1" xfId="4" applyFont="1" applyFill="1" applyBorder="1" applyAlignment="1">
      <alignment horizontal="center" vertical="center"/>
    </xf>
    <xf numFmtId="0" fontId="9" fillId="46" borderId="5" xfId="4" applyFont="1" applyFill="1" applyBorder="1" applyAlignment="1">
      <alignment horizontal="center" vertical="center" wrapText="1"/>
    </xf>
    <xf numFmtId="0" fontId="86" fillId="46" borderId="2" xfId="2" applyFont="1" applyFill="1" applyBorder="1">
      <alignment vertical="center"/>
    </xf>
    <xf numFmtId="0" fontId="70" fillId="46" borderId="5" xfId="2" applyFont="1" applyFill="1" applyBorder="1" applyAlignment="1">
      <alignment horizontal="center" vertical="center"/>
    </xf>
    <xf numFmtId="0" fontId="41" fillId="46" borderId="5" xfId="4" applyFont="1" applyFill="1" applyBorder="1" applyAlignment="1">
      <alignment horizontal="center" vertical="center"/>
    </xf>
    <xf numFmtId="0" fontId="38" fillId="46" borderId="5" xfId="4" applyFont="1" applyFill="1" applyBorder="1" applyAlignment="1">
      <alignment horizontal="center" vertical="center"/>
    </xf>
    <xf numFmtId="0" fontId="30" fillId="46" borderId="5" xfId="4" applyFont="1" applyFill="1" applyBorder="1" applyAlignment="1">
      <alignment horizontal="center" vertical="center" wrapText="1"/>
    </xf>
    <xf numFmtId="0" fontId="58" fillId="46" borderId="5" xfId="4" applyFont="1" applyFill="1" applyBorder="1" applyAlignment="1">
      <alignment horizontal="center" vertical="center"/>
    </xf>
    <xf numFmtId="0" fontId="54" fillId="46" borderId="5" xfId="4" applyFont="1" applyFill="1" applyBorder="1" applyAlignment="1">
      <alignment horizontal="center" vertical="center" wrapText="1"/>
    </xf>
    <xf numFmtId="0" fontId="87" fillId="46" borderId="5" xfId="4" applyFont="1" applyFill="1" applyBorder="1" applyAlignment="1">
      <alignment horizontal="center" vertical="center"/>
    </xf>
    <xf numFmtId="0" fontId="70" fillId="46" borderId="5" xfId="4" applyFont="1" applyFill="1" applyBorder="1" applyAlignment="1">
      <alignment horizontal="center" vertical="center"/>
    </xf>
    <xf numFmtId="0" fontId="15" fillId="46" borderId="0" xfId="2" applyFont="1" applyFill="1" applyAlignment="1">
      <alignment horizontal="center" vertical="center"/>
    </xf>
    <xf numFmtId="0" fontId="63" fillId="46" borderId="5" xfId="2" applyFont="1" applyFill="1" applyBorder="1" applyAlignment="1">
      <alignment horizontal="center" vertical="center"/>
    </xf>
    <xf numFmtId="0" fontId="36" fillId="29" borderId="2" xfId="2" applyFont="1" applyFill="1" applyBorder="1" applyAlignment="1">
      <alignment horizontal="center" vertical="center"/>
    </xf>
    <xf numFmtId="0" fontId="15" fillId="49" borderId="0" xfId="2" applyFont="1" applyFill="1" applyAlignment="1">
      <alignment horizontal="center" vertical="center"/>
    </xf>
    <xf numFmtId="0" fontId="86" fillId="49" borderId="2" xfId="2" applyFont="1" applyFill="1" applyBorder="1">
      <alignment vertical="center"/>
    </xf>
    <xf numFmtId="0" fontId="63" fillId="49" borderId="5" xfId="2" applyFont="1" applyFill="1" applyBorder="1" applyAlignment="1">
      <alignment horizontal="center" vertical="center"/>
    </xf>
    <xf numFmtId="0" fontId="70" fillId="46" borderId="5" xfId="4" applyFont="1" applyFill="1" applyBorder="1" applyAlignment="1">
      <alignment horizontal="center" vertical="center" wrapText="1"/>
    </xf>
    <xf numFmtId="0" fontId="38" fillId="46" borderId="5" xfId="4" applyFont="1" applyFill="1" applyBorder="1" applyAlignment="1">
      <alignment horizontal="center" vertical="center" wrapText="1"/>
    </xf>
    <xf numFmtId="0" fontId="86" fillId="35" borderId="2" xfId="2" applyFont="1" applyFill="1" applyBorder="1">
      <alignment vertical="center"/>
    </xf>
    <xf numFmtId="0" fontId="15" fillId="35" borderId="5" xfId="2" applyFont="1" applyFill="1" applyBorder="1" applyAlignment="1">
      <alignment horizontal="center" vertical="center"/>
    </xf>
    <xf numFmtId="0" fontId="53" fillId="35" borderId="5" xfId="4" applyFont="1" applyFill="1" applyBorder="1" applyAlignment="1">
      <alignment horizontal="center" vertical="center"/>
    </xf>
    <xf numFmtId="0" fontId="17" fillId="35" borderId="5" xfId="2" applyFont="1" applyFill="1" applyBorder="1" applyAlignment="1">
      <alignment horizontal="center" vertical="center"/>
    </xf>
    <xf numFmtId="0" fontId="73" fillId="29" borderId="5" xfId="4" applyFont="1" applyFill="1" applyBorder="1" applyAlignment="1">
      <alignment horizontal="center" vertical="center" wrapText="1"/>
    </xf>
    <xf numFmtId="0" fontId="73" fillId="49" borderId="5" xfId="4" applyFont="1" applyFill="1" applyBorder="1" applyAlignment="1">
      <alignment horizontal="center" vertical="center" wrapText="1"/>
    </xf>
    <xf numFmtId="0" fontId="83" fillId="46" borderId="5" xfId="4" applyFont="1" applyFill="1" applyBorder="1" applyAlignment="1">
      <alignment horizontal="center" vertical="center"/>
    </xf>
    <xf numFmtId="0" fontId="83" fillId="10" borderId="5" xfId="4" applyFont="1" applyFill="1" applyBorder="1" applyAlignment="1">
      <alignment horizontal="center" vertical="center"/>
    </xf>
    <xf numFmtId="20" fontId="70" fillId="46" borderId="5" xfId="4" applyNumberFormat="1" applyFont="1" applyFill="1" applyBorder="1" applyAlignment="1">
      <alignment horizontal="center" vertical="center" wrapText="1"/>
    </xf>
    <xf numFmtId="0" fontId="59" fillId="46" borderId="5" xfId="4" applyFont="1" applyFill="1" applyBorder="1" applyAlignment="1">
      <alignment horizontal="center" vertical="center"/>
    </xf>
    <xf numFmtId="0" fontId="37" fillId="4" borderId="2" xfId="4" applyFont="1" applyFill="1" applyBorder="1" applyAlignment="1">
      <alignment horizontal="center" vertical="center"/>
    </xf>
    <xf numFmtId="20" fontId="38" fillId="5" borderId="5" xfId="2" applyNumberFormat="1" applyFont="1" applyFill="1" applyBorder="1" applyAlignment="1">
      <alignment vertical="center" wrapText="1"/>
    </xf>
    <xf numFmtId="0" fontId="53" fillId="6" borderId="5" xfId="4" applyFont="1" applyFill="1" applyBorder="1" applyAlignment="1">
      <alignment horizontal="center" vertical="center"/>
    </xf>
    <xf numFmtId="0" fontId="53" fillId="6" borderId="5" xfId="4" applyFont="1" applyFill="1" applyBorder="1" applyAlignment="1">
      <alignment horizontal="left" vertical="top"/>
    </xf>
    <xf numFmtId="49" fontId="37" fillId="7" borderId="5" xfId="4" applyNumberFormat="1" applyFont="1" applyFill="1" applyBorder="1" applyAlignment="1">
      <alignment horizontal="center" vertical="center"/>
    </xf>
    <xf numFmtId="0" fontId="36" fillId="9" borderId="1" xfId="4" applyFont="1" applyFill="1" applyBorder="1" applyAlignment="1">
      <alignment horizontal="center" vertical="center"/>
    </xf>
    <xf numFmtId="20" fontId="38" fillId="9" borderId="5" xfId="2" applyNumberFormat="1" applyFont="1" applyFill="1" applyBorder="1" applyAlignment="1">
      <alignment vertical="center" wrapText="1"/>
    </xf>
    <xf numFmtId="49" fontId="37" fillId="10" borderId="5" xfId="4" applyNumberFormat="1" applyFont="1" applyFill="1" applyBorder="1" applyAlignment="1">
      <alignment horizontal="center" vertical="center"/>
    </xf>
    <xf numFmtId="0" fontId="17" fillId="7" borderId="5" xfId="4" applyFont="1" applyFill="1" applyBorder="1" applyAlignment="1">
      <alignment horizontal="center" vertical="center"/>
    </xf>
    <xf numFmtId="0" fontId="58" fillId="11" borderId="5" xfId="4" applyFont="1" applyFill="1" applyBorder="1" applyAlignment="1">
      <alignment horizontal="center" vertical="center" wrapText="1"/>
    </xf>
    <xf numFmtId="0" fontId="58" fillId="11" borderId="5" xfId="4" applyFont="1" applyFill="1" applyBorder="1" applyAlignment="1">
      <alignment vertical="center" wrapText="1"/>
    </xf>
    <xf numFmtId="0" fontId="58" fillId="11" borderId="5" xfId="4" applyFont="1" applyFill="1" applyBorder="1" applyAlignment="1">
      <alignment horizontal="center" vertical="center"/>
    </xf>
    <xf numFmtId="0" fontId="73" fillId="14" borderId="5" xfId="4" applyFont="1" applyFill="1" applyBorder="1" applyAlignment="1">
      <alignment horizontal="center" vertical="center" wrapText="1"/>
    </xf>
    <xf numFmtId="0" fontId="38" fillId="14" borderId="5" xfId="4" applyFont="1" applyFill="1" applyBorder="1" applyAlignment="1">
      <alignment horizontal="center" vertical="center" wrapText="1"/>
    </xf>
    <xf numFmtId="0" fontId="53" fillId="14" borderId="5" xfId="4" applyFont="1" applyFill="1" applyBorder="1" applyAlignment="1">
      <alignment horizontal="center" vertical="center"/>
    </xf>
    <xf numFmtId="0" fontId="37" fillId="15" borderId="5" xfId="4" applyFont="1" applyFill="1" applyBorder="1" applyAlignment="1">
      <alignment horizontal="center" vertical="center"/>
    </xf>
    <xf numFmtId="0" fontId="37" fillId="24" borderId="5" xfId="4" applyFont="1" applyFill="1" applyBorder="1" applyAlignment="1">
      <alignment horizontal="left" vertical="center"/>
    </xf>
    <xf numFmtId="0" fontId="15" fillId="15" borderId="5" xfId="4" applyFont="1" applyFill="1" applyBorder="1" applyAlignment="1">
      <alignment horizontal="center" vertical="center"/>
    </xf>
    <xf numFmtId="0" fontId="15" fillId="25" borderId="5" xfId="4" applyFont="1" applyFill="1" applyBorder="1" applyAlignment="1">
      <alignment horizontal="center" vertical="center"/>
    </xf>
    <xf numFmtId="0" fontId="72" fillId="26" borderId="5" xfId="4" applyFont="1" applyFill="1" applyBorder="1" applyAlignment="1">
      <alignment horizontal="center" vertical="center"/>
    </xf>
    <xf numFmtId="0" fontId="87" fillId="26" borderId="5" xfId="4" applyFont="1" applyFill="1" applyBorder="1" applyAlignment="1">
      <alignment horizontal="center" vertical="center"/>
    </xf>
    <xf numFmtId="49" fontId="72" fillId="26" borderId="0" xfId="4" applyNumberFormat="1" applyFont="1" applyFill="1" applyAlignment="1">
      <alignment horizontal="center" vertical="center"/>
    </xf>
    <xf numFmtId="0" fontId="37" fillId="10" borderId="5" xfId="4" applyFont="1" applyFill="1" applyBorder="1" applyAlignment="1">
      <alignment horizontal="center" vertical="center"/>
    </xf>
    <xf numFmtId="0" fontId="76" fillId="10" borderId="5" xfId="4" applyFont="1" applyFill="1" applyBorder="1" applyAlignment="1">
      <alignment horizontal="center" vertical="center" wrapText="1"/>
    </xf>
    <xf numFmtId="20" fontId="17" fillId="17" borderId="5" xfId="4" applyNumberFormat="1" applyFont="1" applyFill="1" applyBorder="1" applyAlignment="1">
      <alignment horizontal="center" vertical="center" wrapText="1"/>
    </xf>
    <xf numFmtId="49" fontId="72" fillId="18" borderId="0" xfId="4" applyNumberFormat="1" applyFont="1" applyFill="1" applyAlignment="1">
      <alignment horizontal="center" vertical="center"/>
    </xf>
    <xf numFmtId="0" fontId="17" fillId="2" borderId="5" xfId="4" applyFont="1" applyFill="1" applyBorder="1" applyAlignment="1">
      <alignment horizontal="center" vertical="center" wrapText="1"/>
    </xf>
    <xf numFmtId="0" fontId="53" fillId="20" borderId="5" xfId="4" applyFont="1" applyFill="1" applyBorder="1" applyAlignment="1">
      <alignment horizontal="center" vertical="center"/>
    </xf>
    <xf numFmtId="0" fontId="73" fillId="20" borderId="5" xfId="4" applyFont="1" applyFill="1" applyBorder="1" applyAlignment="1">
      <alignment vertical="center" wrapText="1"/>
    </xf>
    <xf numFmtId="0" fontId="53" fillId="43" borderId="5" xfId="4" applyFont="1" applyFill="1" applyBorder="1" applyAlignment="1">
      <alignment horizontal="center" vertical="center"/>
    </xf>
    <xf numFmtId="0" fontId="73" fillId="43" borderId="5" xfId="4" applyFont="1" applyFill="1" applyBorder="1" applyAlignment="1">
      <alignment vertical="center" wrapText="1"/>
    </xf>
    <xf numFmtId="0" fontId="17" fillId="7" borderId="2" xfId="4" applyFont="1" applyFill="1" applyBorder="1" applyAlignment="1">
      <alignment horizontal="center" vertical="center"/>
    </xf>
    <xf numFmtId="0" fontId="15" fillId="14" borderId="1" xfId="4" applyFont="1" applyFill="1" applyBorder="1" applyAlignment="1">
      <alignment horizontal="center" vertical="center"/>
    </xf>
    <xf numFmtId="0" fontId="17" fillId="14" borderId="0" xfId="4" applyFont="1" applyFill="1" applyAlignment="1">
      <alignment horizontal="center" vertical="center"/>
    </xf>
    <xf numFmtId="0" fontId="15" fillId="24" borderId="1" xfId="4" applyFont="1" applyFill="1" applyBorder="1" applyAlignment="1">
      <alignment horizontal="center" vertical="center"/>
    </xf>
    <xf numFmtId="0" fontId="20" fillId="15" borderId="5" xfId="4" applyFont="1" applyFill="1" applyBorder="1" applyAlignment="1">
      <alignment horizontal="center" vertical="center"/>
    </xf>
    <xf numFmtId="0" fontId="17" fillId="24" borderId="5" xfId="4" applyFont="1" applyFill="1" applyBorder="1" applyAlignment="1">
      <alignment horizontal="center" vertical="center"/>
    </xf>
    <xf numFmtId="0" fontId="83" fillId="25" borderId="5" xfId="4" applyFont="1" applyFill="1" applyBorder="1" applyAlignment="1">
      <alignment horizontal="center" vertical="center" wrapText="1"/>
    </xf>
    <xf numFmtId="0" fontId="16" fillId="18" borderId="5" xfId="4" applyFont="1" applyFill="1" applyBorder="1" applyAlignment="1">
      <alignment horizontal="center" vertical="center" wrapText="1"/>
    </xf>
    <xf numFmtId="20" fontId="15" fillId="3" borderId="2" xfId="2" applyNumberFormat="1" applyFont="1" applyFill="1" applyBorder="1" applyAlignment="1">
      <alignment vertical="center" wrapText="1"/>
    </xf>
    <xf numFmtId="20" fontId="38" fillId="3" borderId="2" xfId="2" applyNumberFormat="1" applyFont="1" applyFill="1" applyBorder="1" applyAlignment="1">
      <alignment vertical="center" wrapText="1"/>
    </xf>
    <xf numFmtId="20" fontId="15" fillId="4" borderId="2" xfId="2" applyNumberFormat="1" applyFont="1" applyFill="1" applyBorder="1" applyAlignment="1">
      <alignment vertical="center" wrapText="1"/>
    </xf>
    <xf numFmtId="0" fontId="67" fillId="2" borderId="5" xfId="4" applyFont="1" applyFill="1" applyBorder="1" applyAlignment="1">
      <alignment horizontal="center" vertical="center"/>
    </xf>
    <xf numFmtId="0" fontId="56" fillId="12" borderId="5" xfId="4" applyFont="1" applyFill="1" applyBorder="1" applyAlignment="1">
      <alignment horizontal="center" vertical="center"/>
    </xf>
    <xf numFmtId="0" fontId="37" fillId="13" borderId="5" xfId="4" applyFont="1" applyFill="1" applyBorder="1" applyAlignment="1">
      <alignment horizontal="center" vertical="center"/>
    </xf>
    <xf numFmtId="0" fontId="71" fillId="13" borderId="5" xfId="4" applyFont="1" applyFill="1" applyBorder="1" applyAlignment="1">
      <alignment horizontal="center" vertical="center" wrapText="1"/>
    </xf>
    <xf numFmtId="0" fontId="15" fillId="14" borderId="5" xfId="4" applyFont="1" applyFill="1" applyBorder="1" applyAlignment="1">
      <alignment horizontal="center" vertical="center" wrapText="1"/>
    </xf>
    <xf numFmtId="0" fontId="70" fillId="26" borderId="5" xfId="4" applyFont="1" applyFill="1" applyBorder="1" applyAlignment="1">
      <alignment horizontal="center" vertical="center" wrapText="1"/>
    </xf>
    <xf numFmtId="0" fontId="89" fillId="10" borderId="5" xfId="4" applyFont="1" applyFill="1" applyBorder="1" applyAlignment="1">
      <alignment horizontal="center" vertical="center"/>
    </xf>
    <xf numFmtId="20" fontId="41" fillId="17" borderId="5" xfId="4" applyNumberFormat="1" applyFont="1" applyFill="1" applyBorder="1" applyAlignment="1">
      <alignment horizontal="center" vertical="center" wrapText="1"/>
    </xf>
    <xf numFmtId="0" fontId="74" fillId="18" borderId="5" xfId="4" applyFont="1" applyFill="1" applyBorder="1" applyAlignment="1">
      <alignment horizontal="center" vertical="center" wrapText="1"/>
    </xf>
    <xf numFmtId="0" fontId="15" fillId="2" borderId="5" xfId="4" applyFont="1" applyFill="1" applyBorder="1" applyAlignment="1">
      <alignment horizontal="center" vertical="center"/>
    </xf>
    <xf numFmtId="0" fontId="83" fillId="27" borderId="5" xfId="4" applyFont="1" applyFill="1" applyBorder="1" applyAlignment="1">
      <alignment horizontal="center" vertical="center"/>
    </xf>
    <xf numFmtId="0" fontId="15" fillId="41" borderId="5" xfId="4" applyFont="1" applyFill="1" applyBorder="1" applyAlignment="1">
      <alignment horizontal="center" vertical="center"/>
    </xf>
    <xf numFmtId="0" fontId="63" fillId="2" borderId="5" xfId="4" applyFont="1" applyFill="1" applyBorder="1" applyAlignment="1">
      <alignment horizontal="center" vertical="center"/>
    </xf>
    <xf numFmtId="0" fontId="73" fillId="20" borderId="5" xfId="4" applyFont="1" applyFill="1" applyBorder="1" applyAlignment="1">
      <alignment horizontal="center" vertical="center" wrapText="1"/>
    </xf>
    <xf numFmtId="0" fontId="73" fillId="43" borderId="5" xfId="4" applyFont="1" applyFill="1" applyBorder="1" applyAlignment="1">
      <alignment horizontal="center" vertical="center" wrapText="1"/>
    </xf>
    <xf numFmtId="49" fontId="37" fillId="10" borderId="2" xfId="4" applyNumberFormat="1" applyFont="1" applyFill="1" applyBorder="1" applyAlignment="1">
      <alignment horizontal="center" vertical="center"/>
    </xf>
    <xf numFmtId="0" fontId="21" fillId="7" borderId="2" xfId="4" applyFont="1" applyFill="1" applyBorder="1" applyAlignment="1">
      <alignment horizontal="center" vertical="center"/>
    </xf>
    <xf numFmtId="0" fontId="21" fillId="11" borderId="5" xfId="4" applyFont="1" applyFill="1" applyBorder="1" applyAlignment="1">
      <alignment horizontal="center" vertical="center" wrapText="1"/>
    </xf>
    <xf numFmtId="0" fontId="87" fillId="13" borderId="5" xfId="4" applyFont="1" applyFill="1" applyBorder="1" applyAlignment="1">
      <alignment horizontal="center" vertical="center"/>
    </xf>
    <xf numFmtId="49" fontId="15" fillId="13" borderId="5" xfId="4" applyNumberFormat="1" applyFont="1" applyFill="1" applyBorder="1" applyAlignment="1">
      <alignment horizontal="center" vertical="center"/>
    </xf>
    <xf numFmtId="49" fontId="17" fillId="15" borderId="5" xfId="4" applyNumberFormat="1" applyFont="1" applyFill="1" applyBorder="1" applyAlignment="1">
      <alignment horizontal="center" vertical="center"/>
    </xf>
    <xf numFmtId="0" fontId="20" fillId="25" borderId="5" xfId="4" applyFont="1" applyFill="1" applyBorder="1" applyAlignment="1">
      <alignment horizontal="center" vertical="center"/>
    </xf>
    <xf numFmtId="0" fontId="83" fillId="25" borderId="5" xfId="4" applyFont="1" applyFill="1" applyBorder="1" applyAlignment="1">
      <alignment horizontal="center" vertical="center"/>
    </xf>
    <xf numFmtId="0" fontId="53" fillId="26" borderId="5" xfId="4" applyFont="1" applyFill="1" applyBorder="1" applyAlignment="1">
      <alignment horizontal="center" vertical="center"/>
    </xf>
    <xf numFmtId="0" fontId="37" fillId="19" borderId="2" xfId="4" applyFont="1" applyFill="1" applyBorder="1" applyAlignment="1">
      <alignment horizontal="center" vertical="center"/>
    </xf>
    <xf numFmtId="0" fontId="15" fillId="19" borderId="1" xfId="4" applyFont="1" applyFill="1" applyBorder="1" applyAlignment="1">
      <alignment horizontal="center" vertical="center"/>
    </xf>
    <xf numFmtId="0" fontId="73" fillId="20" borderId="5" xfId="4" applyFont="1" applyFill="1" applyBorder="1" applyAlignment="1">
      <alignment horizontal="center" vertical="center"/>
    </xf>
    <xf numFmtId="0" fontId="73" fillId="29" borderId="5" xfId="4" applyFont="1" applyFill="1" applyBorder="1" applyAlignment="1">
      <alignment horizontal="center" vertical="center"/>
    </xf>
    <xf numFmtId="0" fontId="73" fillId="43" borderId="5" xfId="4" applyFont="1" applyFill="1" applyBorder="1" applyAlignment="1">
      <alignment horizontal="center" vertical="center"/>
    </xf>
    <xf numFmtId="0" fontId="90" fillId="7" borderId="2" xfId="4" applyFont="1" applyFill="1" applyBorder="1" applyAlignment="1">
      <alignment horizontal="center" vertical="center"/>
    </xf>
    <xf numFmtId="0" fontId="63" fillId="12" borderId="5" xfId="4" applyFont="1" applyFill="1" applyBorder="1" applyAlignment="1">
      <alignment horizontal="center" vertical="center"/>
    </xf>
    <xf numFmtId="0" fontId="38" fillId="13" borderId="5" xfId="4" applyFont="1" applyFill="1" applyBorder="1" applyAlignment="1">
      <alignment horizontal="center" vertical="center"/>
    </xf>
    <xf numFmtId="0" fontId="73" fillId="14" borderId="5" xfId="4" applyFont="1" applyFill="1" applyBorder="1" applyAlignment="1">
      <alignment horizontal="center" vertical="center"/>
    </xf>
    <xf numFmtId="0" fontId="38" fillId="15" borderId="5" xfId="4" applyFont="1" applyFill="1" applyBorder="1" applyAlignment="1">
      <alignment horizontal="center" vertical="center"/>
    </xf>
    <xf numFmtId="0" fontId="83" fillId="15" borderId="1" xfId="4" applyFont="1" applyFill="1" applyBorder="1" applyAlignment="1">
      <alignment horizontal="center" vertical="center"/>
    </xf>
    <xf numFmtId="14" fontId="17" fillId="15" borderId="1" xfId="2" applyNumberFormat="1" applyFont="1" applyFill="1" applyBorder="1" applyAlignment="1">
      <alignment horizontal="center" vertical="center" wrapText="1"/>
    </xf>
    <xf numFmtId="0" fontId="83" fillId="25" borderId="1" xfId="4" applyFont="1" applyFill="1" applyBorder="1" applyAlignment="1">
      <alignment horizontal="center" vertical="center"/>
    </xf>
    <xf numFmtId="0" fontId="73" fillId="26" borderId="5" xfId="4" applyFont="1" applyFill="1" applyBorder="1" applyAlignment="1">
      <alignment horizontal="center" vertical="center"/>
    </xf>
    <xf numFmtId="0" fontId="87" fillId="10" borderId="5" xfId="4" applyFont="1" applyFill="1" applyBorder="1" applyAlignment="1">
      <alignment horizontal="center" vertical="center"/>
    </xf>
    <xf numFmtId="0" fontId="73" fillId="18" borderId="5" xfId="4" applyFont="1" applyFill="1" applyBorder="1" applyAlignment="1">
      <alignment vertical="center" wrapText="1"/>
    </xf>
    <xf numFmtId="0" fontId="37" fillId="7" borderId="5" xfId="4" applyFont="1" applyFill="1" applyBorder="1" applyAlignment="1">
      <alignment horizontal="center" vertical="center"/>
    </xf>
    <xf numFmtId="49" fontId="15" fillId="15" borderId="5" xfId="4" applyNumberFormat="1" applyFont="1" applyFill="1" applyBorder="1" applyAlignment="1">
      <alignment horizontal="center" vertical="center"/>
    </xf>
    <xf numFmtId="0" fontId="37" fillId="25" borderId="5" xfId="4" applyFont="1" applyFill="1" applyBorder="1" applyAlignment="1">
      <alignment horizontal="center" vertical="center"/>
    </xf>
    <xf numFmtId="0" fontId="70" fillId="10" borderId="5" xfId="4" applyFont="1" applyFill="1" applyBorder="1" applyAlignment="1">
      <alignment horizontal="center" vertical="center" wrapText="1"/>
    </xf>
    <xf numFmtId="0" fontId="53" fillId="19" borderId="5" xfId="4" applyFont="1" applyFill="1" applyBorder="1" applyAlignment="1">
      <alignment horizontal="center" vertical="center"/>
    </xf>
    <xf numFmtId="0" fontId="73" fillId="2" borderId="5" xfId="4" applyFont="1" applyFill="1" applyBorder="1" applyAlignment="1">
      <alignment horizontal="center" vertical="center"/>
    </xf>
    <xf numFmtId="0" fontId="37" fillId="10" borderId="2" xfId="4" applyFont="1" applyFill="1" applyBorder="1" applyAlignment="1">
      <alignment horizontal="center" vertical="center"/>
    </xf>
    <xf numFmtId="0" fontId="20" fillId="7" borderId="5" xfId="4" applyFont="1" applyFill="1" applyBorder="1" applyAlignment="1">
      <alignment horizontal="center" vertical="center"/>
    </xf>
    <xf numFmtId="0" fontId="91" fillId="7" borderId="5" xfId="4" applyFont="1" applyFill="1" applyBorder="1" applyAlignment="1">
      <alignment horizontal="center" vertical="center"/>
    </xf>
    <xf numFmtId="0" fontId="58" fillId="11" borderId="5" xfId="4" applyFont="1" applyFill="1" applyBorder="1" applyAlignment="1">
      <alignment vertical="center"/>
    </xf>
    <xf numFmtId="49" fontId="15" fillId="12" borderId="1" xfId="4" applyNumberFormat="1" applyFont="1" applyFill="1" applyBorder="1" applyAlignment="1">
      <alignment horizontal="center" vertical="center"/>
    </xf>
    <xf numFmtId="0" fontId="56" fillId="13" borderId="5" xfId="4" applyFont="1" applyFill="1" applyBorder="1" applyAlignment="1">
      <alignment horizontal="center" vertical="center"/>
    </xf>
    <xf numFmtId="0" fontId="87" fillId="13" borderId="5" xfId="2" applyFont="1" applyFill="1" applyBorder="1" applyAlignment="1">
      <alignment horizontal="center" vertical="center"/>
    </xf>
    <xf numFmtId="0" fontId="73" fillId="14" borderId="5" xfId="4" applyFont="1" applyFill="1" applyBorder="1" applyAlignment="1">
      <alignment vertical="center"/>
    </xf>
    <xf numFmtId="0" fontId="71" fillId="15" borderId="5" xfId="4" applyFont="1" applyFill="1" applyBorder="1" applyAlignment="1">
      <alignment vertical="center" wrapText="1"/>
    </xf>
    <xf numFmtId="0" fontId="71" fillId="25" borderId="5" xfId="4" applyFont="1" applyFill="1" applyBorder="1" applyAlignment="1">
      <alignment vertical="center" wrapText="1"/>
    </xf>
    <xf numFmtId="0" fontId="73" fillId="26" borderId="5" xfId="4" applyFont="1" applyFill="1" applyBorder="1" applyAlignment="1">
      <alignment vertical="center"/>
    </xf>
    <xf numFmtId="0" fontId="73" fillId="2" borderId="5" xfId="4" applyFont="1" applyFill="1" applyBorder="1" applyAlignment="1">
      <alignment vertical="center"/>
    </xf>
    <xf numFmtId="0" fontId="87" fillId="12" borderId="5" xfId="2" applyFont="1" applyFill="1" applyBorder="1" applyAlignment="1">
      <alignment horizontal="center" vertical="center"/>
    </xf>
    <xf numFmtId="0" fontId="91" fillId="27" borderId="5" xfId="4" applyFont="1" applyFill="1" applyBorder="1" applyAlignment="1">
      <alignment horizontal="center" vertical="center"/>
    </xf>
    <xf numFmtId="0" fontId="87" fillId="12" borderId="5" xfId="4" applyFont="1" applyFill="1" applyBorder="1" applyAlignment="1">
      <alignment horizontal="center" vertical="center"/>
    </xf>
    <xf numFmtId="0" fontId="87" fillId="13" borderId="5" xfId="4" applyFont="1" applyFill="1" applyBorder="1" applyAlignment="1">
      <alignment horizontal="center" vertical="center" wrapText="1"/>
    </xf>
    <xf numFmtId="20" fontId="15" fillId="3" borderId="7" xfId="2" applyNumberFormat="1" applyFont="1" applyFill="1" applyBorder="1" applyAlignment="1">
      <alignment vertical="center" wrapText="1"/>
    </xf>
    <xf numFmtId="20" fontId="38" fillId="3" borderId="7" xfId="2" applyNumberFormat="1" applyFont="1" applyFill="1" applyBorder="1" applyAlignment="1">
      <alignment vertical="center" wrapText="1"/>
    </xf>
    <xf numFmtId="0" fontId="37" fillId="4" borderId="7" xfId="4" applyFont="1" applyFill="1" applyBorder="1" applyAlignment="1">
      <alignment horizontal="center" vertical="center"/>
    </xf>
    <xf numFmtId="20" fontId="15" fillId="4" borderId="7" xfId="2" applyNumberFormat="1" applyFont="1" applyFill="1" applyBorder="1" applyAlignment="1">
      <alignment vertical="center" wrapText="1"/>
    </xf>
    <xf numFmtId="0" fontId="37" fillId="5" borderId="24" xfId="4" applyFont="1" applyFill="1" applyBorder="1" applyAlignment="1">
      <alignment horizontal="center" vertical="center"/>
    </xf>
    <xf numFmtId="0" fontId="37" fillId="6" borderId="24" xfId="4" applyFont="1" applyFill="1" applyBorder="1" applyAlignment="1">
      <alignment horizontal="center" vertical="center"/>
    </xf>
    <xf numFmtId="49" fontId="36" fillId="7" borderId="6" xfId="4" applyNumberFormat="1" applyFont="1" applyFill="1" applyBorder="1" applyAlignment="1">
      <alignment horizontal="center" vertical="center"/>
    </xf>
    <xf numFmtId="20" fontId="15" fillId="9" borderId="6" xfId="4" applyNumberFormat="1" applyFont="1" applyFill="1" applyBorder="1" applyAlignment="1">
      <alignment horizontal="center" vertical="center" wrapText="1"/>
    </xf>
    <xf numFmtId="20" fontId="38" fillId="9" borderId="6" xfId="2" applyNumberFormat="1" applyFont="1" applyFill="1" applyBorder="1" applyAlignment="1">
      <alignment vertical="center" wrapText="1"/>
    </xf>
    <xf numFmtId="49" fontId="36" fillId="10" borderId="6" xfId="4" applyNumberFormat="1" applyFont="1" applyFill="1" applyBorder="1" applyAlignment="1">
      <alignment horizontal="center" vertical="center"/>
    </xf>
    <xf numFmtId="49" fontId="36" fillId="10" borderId="7" xfId="4" applyNumberFormat="1" applyFont="1" applyFill="1" applyBorder="1" applyAlignment="1">
      <alignment horizontal="center" vertical="center"/>
    </xf>
    <xf numFmtId="0" fontId="92" fillId="7" borderId="6" xfId="4" applyFont="1" applyFill="1" applyBorder="1" applyAlignment="1">
      <alignment horizontal="center" vertical="center"/>
    </xf>
    <xf numFmtId="0" fontId="17" fillId="7" borderId="24" xfId="4" applyFont="1" applyFill="1" applyBorder="1" applyAlignment="1">
      <alignment horizontal="center" vertical="center"/>
    </xf>
    <xf numFmtId="0" fontId="58" fillId="11" borderId="6" xfId="4" applyFont="1" applyFill="1" applyBorder="1" applyAlignment="1">
      <alignment horizontal="center" vertical="center"/>
    </xf>
    <xf numFmtId="0" fontId="58" fillId="11" borderId="6" xfId="4" applyFont="1" applyFill="1" applyBorder="1" applyAlignment="1">
      <alignment vertical="center"/>
    </xf>
    <xf numFmtId="0" fontId="54" fillId="12" borderId="6" xfId="4" applyFont="1" applyFill="1" applyBorder="1" applyAlignment="1">
      <alignment horizontal="center" vertical="center"/>
    </xf>
    <xf numFmtId="0" fontId="87" fillId="12" borderId="6" xfId="4" applyFont="1" applyFill="1" applyBorder="1" applyAlignment="1">
      <alignment vertical="center" wrapText="1"/>
    </xf>
    <xf numFmtId="0" fontId="37" fillId="13" borderId="6" xfId="4" applyFont="1" applyFill="1" applyBorder="1" applyAlignment="1">
      <alignment horizontal="center" vertical="center"/>
    </xf>
    <xf numFmtId="0" fontId="93" fillId="13" borderId="6" xfId="4" applyFont="1" applyFill="1" applyBorder="1" applyAlignment="1">
      <alignment vertical="center" wrapText="1"/>
    </xf>
    <xf numFmtId="0" fontId="15" fillId="13" borderId="6" xfId="4" applyFont="1" applyFill="1" applyBorder="1" applyAlignment="1">
      <alignment horizontal="center" vertical="center"/>
    </xf>
    <xf numFmtId="0" fontId="53" fillId="14" borderId="6" xfId="4" applyFont="1" applyFill="1" applyBorder="1" applyAlignment="1">
      <alignment horizontal="center" vertical="center"/>
    </xf>
    <xf numFmtId="0" fontId="73" fillId="14" borderId="6" xfId="4" applyFont="1" applyFill="1" applyBorder="1" applyAlignment="1">
      <alignment vertical="center"/>
    </xf>
    <xf numFmtId="0" fontId="37" fillId="15" borderId="6" xfId="4" applyFont="1" applyFill="1" applyBorder="1" applyAlignment="1">
      <alignment horizontal="center" vertical="center"/>
    </xf>
    <xf numFmtId="0" fontId="71" fillId="15" borderId="6" xfId="4" applyFont="1" applyFill="1" applyBorder="1" applyAlignment="1">
      <alignment vertical="center" wrapText="1"/>
    </xf>
    <xf numFmtId="0" fontId="15" fillId="15" borderId="6" xfId="4" applyFont="1" applyFill="1" applyBorder="1" applyAlignment="1">
      <alignment horizontal="center" vertical="center"/>
    </xf>
    <xf numFmtId="0" fontId="68" fillId="25" borderId="6" xfId="4" applyFont="1" applyFill="1" applyBorder="1" applyAlignment="1">
      <alignment horizontal="center" vertical="center"/>
    </xf>
    <xf numFmtId="0" fontId="71" fillId="25" borderId="6" xfId="4" applyFont="1" applyFill="1" applyBorder="1" applyAlignment="1">
      <alignment vertical="center" wrapText="1"/>
    </xf>
    <xf numFmtId="0" fontId="53" fillId="26" borderId="6" xfId="4" applyFont="1" applyFill="1" applyBorder="1" applyAlignment="1">
      <alignment horizontal="center" vertical="center"/>
    </xf>
    <xf numFmtId="0" fontId="73" fillId="26" borderId="6" xfId="4" applyFont="1" applyFill="1" applyBorder="1" applyAlignment="1">
      <alignment vertical="center"/>
    </xf>
    <xf numFmtId="0" fontId="53" fillId="10" borderId="6" xfId="4" applyFont="1" applyFill="1" applyBorder="1" applyAlignment="1">
      <alignment horizontal="center" vertical="center"/>
    </xf>
    <xf numFmtId="0" fontId="73" fillId="10" borderId="6" xfId="4" applyFont="1" applyFill="1" applyBorder="1" applyAlignment="1">
      <alignment vertical="center"/>
    </xf>
    <xf numFmtId="20" fontId="17" fillId="17" borderId="6" xfId="4" applyNumberFormat="1" applyFont="1" applyFill="1" applyBorder="1" applyAlignment="1">
      <alignment horizontal="center" vertical="center" wrapText="1"/>
    </xf>
    <xf numFmtId="0" fontId="53" fillId="18" borderId="6" xfId="4" applyFont="1" applyFill="1" applyBorder="1" applyAlignment="1">
      <alignment horizontal="center" vertical="center"/>
    </xf>
    <xf numFmtId="0" fontId="73" fillId="18" borderId="6" xfId="4" applyFont="1" applyFill="1" applyBorder="1" applyAlignment="1">
      <alignment vertical="center"/>
    </xf>
    <xf numFmtId="0" fontId="53" fillId="19" borderId="6" xfId="4" applyFont="1" applyFill="1" applyBorder="1" applyAlignment="1">
      <alignment horizontal="center" vertical="center"/>
    </xf>
    <xf numFmtId="0" fontId="73" fillId="2" borderId="6" xfId="4" applyFont="1" applyFill="1" applyBorder="1" applyAlignment="1">
      <alignment vertical="center"/>
    </xf>
    <xf numFmtId="0" fontId="53" fillId="20" borderId="6" xfId="4" applyFont="1" applyFill="1" applyBorder="1" applyAlignment="1">
      <alignment horizontal="center" vertical="center"/>
    </xf>
    <xf numFmtId="0" fontId="73" fillId="20" borderId="6" xfId="4" applyFont="1" applyFill="1" applyBorder="1" applyAlignment="1">
      <alignment vertical="center" wrapText="1"/>
    </xf>
    <xf numFmtId="20" fontId="17" fillId="3" borderId="2" xfId="2" applyNumberFormat="1" applyFont="1" applyFill="1" applyBorder="1" applyAlignment="1">
      <alignment horizontal="center" vertical="center" wrapText="1"/>
    </xf>
    <xf numFmtId="20" fontId="41" fillId="3" borderId="2" xfId="2" applyNumberFormat="1" applyFont="1" applyFill="1" applyBorder="1" applyAlignment="1">
      <alignment horizontal="center" vertical="center" wrapText="1"/>
    </xf>
    <xf numFmtId="0" fontId="20" fillId="4" borderId="2" xfId="4" applyFont="1" applyFill="1" applyBorder="1" applyAlignment="1">
      <alignment horizontal="center" vertical="center"/>
    </xf>
    <xf numFmtId="20" fontId="17" fillId="4" borderId="2" xfId="2" applyNumberFormat="1" applyFont="1" applyFill="1" applyBorder="1" applyAlignment="1">
      <alignment horizontal="center" vertical="center" wrapText="1"/>
    </xf>
    <xf numFmtId="0" fontId="20" fillId="5" borderId="2" xfId="4" applyFont="1" applyFill="1" applyBorder="1" applyAlignment="1">
      <alignment horizontal="center" vertical="center"/>
    </xf>
    <xf numFmtId="0" fontId="20" fillId="6" borderId="2" xfId="4" applyFont="1" applyFill="1" applyBorder="1" applyAlignment="1">
      <alignment horizontal="center" vertical="center"/>
    </xf>
    <xf numFmtId="49" fontId="36" fillId="7" borderId="5" xfId="4" applyNumberFormat="1" applyFont="1" applyFill="1" applyBorder="1" applyAlignment="1">
      <alignment horizontal="center" vertical="center"/>
    </xf>
    <xf numFmtId="20" fontId="15" fillId="9" borderId="5" xfId="4" applyNumberFormat="1" applyFont="1" applyFill="1" applyBorder="1" applyAlignment="1">
      <alignment horizontal="center" vertical="center" wrapText="1"/>
    </xf>
    <xf numFmtId="49" fontId="36" fillId="10" borderId="5" xfId="4" applyNumberFormat="1" applyFont="1" applyFill="1" applyBorder="1" applyAlignment="1">
      <alignment horizontal="center" vertical="center"/>
    </xf>
    <xf numFmtId="20" fontId="17" fillId="27" borderId="5" xfId="4" applyNumberFormat="1" applyFont="1" applyFill="1" applyBorder="1" applyAlignment="1">
      <alignment horizontal="center" vertical="center" wrapText="1"/>
    </xf>
    <xf numFmtId="0" fontId="38" fillId="12" borderId="3" xfId="4" applyFont="1" applyFill="1" applyBorder="1" applyAlignment="1">
      <alignment vertical="center"/>
    </xf>
    <xf numFmtId="0" fontId="15" fillId="12" borderId="5" xfId="4" applyFont="1" applyFill="1" applyBorder="1" applyAlignment="1">
      <alignment horizontal="center" vertical="center" wrapText="1"/>
    </xf>
    <xf numFmtId="49" fontId="15" fillId="12" borderId="5" xfId="4" applyNumberFormat="1" applyFont="1" applyFill="1" applyBorder="1" applyAlignment="1">
      <alignment horizontal="center" vertical="center"/>
    </xf>
    <xf numFmtId="0" fontId="83" fillId="13" borderId="1" xfId="4" applyFont="1" applyFill="1" applyBorder="1" applyAlignment="1">
      <alignment horizontal="center" vertical="center"/>
    </xf>
    <xf numFmtId="0" fontId="17" fillId="13" borderId="5" xfId="4" applyFont="1" applyFill="1" applyBorder="1" applyAlignment="1">
      <alignment horizontal="center" vertical="center"/>
    </xf>
    <xf numFmtId="49" fontId="17" fillId="14" borderId="5" xfId="4" applyNumberFormat="1" applyFont="1" applyFill="1" applyBorder="1" applyAlignment="1">
      <alignment horizontal="center" vertical="center"/>
    </xf>
    <xf numFmtId="0" fontId="41" fillId="24" borderId="5" xfId="4" applyFont="1" applyFill="1" applyBorder="1" applyAlignment="1">
      <alignment horizontal="center" vertical="center"/>
    </xf>
    <xf numFmtId="0" fontId="18" fillId="48" borderId="5" xfId="4" applyFont="1" applyFill="1" applyBorder="1" applyAlignment="1">
      <alignment horizontal="center" vertical="center" wrapText="1"/>
    </xf>
    <xf numFmtId="49" fontId="15" fillId="24" borderId="5" xfId="4" applyNumberFormat="1" applyFont="1" applyFill="1" applyBorder="1" applyAlignment="1">
      <alignment horizontal="center" vertical="center"/>
    </xf>
    <xf numFmtId="0" fontId="38" fillId="25" borderId="5" xfId="4" applyFont="1" applyFill="1" applyBorder="1" applyAlignment="1">
      <alignment horizontal="center" vertical="center"/>
    </xf>
    <xf numFmtId="0" fontId="68" fillId="26" borderId="5" xfId="4" applyFont="1" applyFill="1" applyBorder="1" applyAlignment="1">
      <alignment horizontal="center" vertical="center"/>
    </xf>
    <xf numFmtId="0" fontId="36" fillId="26" borderId="3" xfId="4" applyFont="1" applyFill="1" applyBorder="1" applyAlignment="1">
      <alignment horizontal="center" vertical="center"/>
    </xf>
    <xf numFmtId="0" fontId="68" fillId="10" borderId="5" xfId="4" applyFont="1" applyFill="1" applyBorder="1" applyAlignment="1">
      <alignment horizontal="center" vertical="center"/>
    </xf>
    <xf numFmtId="0" fontId="41" fillId="18" borderId="5" xfId="4" applyFont="1" applyFill="1" applyBorder="1" applyAlignment="1">
      <alignment horizontal="center" vertical="center"/>
    </xf>
    <xf numFmtId="0" fontId="15" fillId="18" borderId="5" xfId="4" applyFont="1" applyFill="1" applyBorder="1" applyAlignment="1">
      <alignment horizontal="center" vertical="center"/>
    </xf>
    <xf numFmtId="0" fontId="15" fillId="21" borderId="5" xfId="4" applyFont="1" applyFill="1" applyBorder="1" applyAlignment="1">
      <alignment horizontal="center" vertical="center"/>
    </xf>
    <xf numFmtId="0" fontId="38" fillId="50" borderId="4" xfId="4" applyFont="1" applyFill="1" applyBorder="1" applyAlignment="1">
      <alignment vertical="center"/>
    </xf>
    <xf numFmtId="0" fontId="15" fillId="50" borderId="3" xfId="4" applyFont="1" applyFill="1" applyBorder="1" applyAlignment="1">
      <alignment horizontal="center" vertical="center"/>
    </xf>
    <xf numFmtId="0" fontId="38" fillId="50" borderId="5" xfId="4" applyFont="1" applyFill="1" applyBorder="1" applyAlignment="1">
      <alignment horizontal="center" vertical="center"/>
    </xf>
    <xf numFmtId="49" fontId="36" fillId="10" borderId="2" xfId="4" applyNumberFormat="1" applyFont="1" applyFill="1" applyBorder="1" applyAlignment="1">
      <alignment horizontal="center" vertical="center"/>
    </xf>
    <xf numFmtId="0" fontId="59" fillId="13" borderId="5" xfId="4" applyFont="1" applyFill="1" applyBorder="1" applyAlignment="1">
      <alignment vertical="center" wrapText="1"/>
    </xf>
    <xf numFmtId="0" fontId="17" fillId="14" borderId="5" xfId="4" applyFont="1" applyFill="1" applyBorder="1" applyAlignment="1">
      <alignment horizontal="center" vertical="center"/>
    </xf>
    <xf numFmtId="0" fontId="20" fillId="24" borderId="5" xfId="4" applyFont="1" applyFill="1" applyBorder="1" applyAlignment="1">
      <alignment horizontal="center" vertical="center"/>
    </xf>
    <xf numFmtId="0" fontId="83" fillId="24" borderId="2" xfId="4" applyFont="1" applyFill="1" applyBorder="1" applyAlignment="1">
      <alignment horizontal="center" vertical="center"/>
    </xf>
    <xf numFmtId="0" fontId="38" fillId="26" borderId="5" xfId="4" applyFont="1" applyFill="1" applyBorder="1" applyAlignment="1">
      <alignment horizontal="center" vertical="center"/>
    </xf>
    <xf numFmtId="0" fontId="36" fillId="26" borderId="5" xfId="4" applyFont="1" applyFill="1" applyBorder="1" applyAlignment="1">
      <alignment vertical="center"/>
    </xf>
    <xf numFmtId="0" fontId="41" fillId="10" borderId="5" xfId="4" applyFont="1" applyFill="1" applyBorder="1" applyAlignment="1">
      <alignment horizontal="center" vertical="center" wrapText="1"/>
    </xf>
    <xf numFmtId="0" fontId="17" fillId="18" borderId="5" xfId="4" applyFont="1" applyFill="1" applyBorder="1" applyAlignment="1">
      <alignment horizontal="center" vertical="center"/>
    </xf>
    <xf numFmtId="20" fontId="15" fillId="18" borderId="5" xfId="4" applyNumberFormat="1" applyFont="1" applyFill="1" applyBorder="1" applyAlignment="1">
      <alignment horizontal="center" vertical="center"/>
    </xf>
    <xf numFmtId="0" fontId="70" fillId="12" borderId="5" xfId="4" applyFont="1" applyFill="1" applyBorder="1" applyAlignment="1">
      <alignment vertical="center" wrapText="1"/>
    </xf>
    <xf numFmtId="0" fontId="20" fillId="24" borderId="2" xfId="4" applyFont="1" applyFill="1" applyBorder="1" applyAlignment="1">
      <alignment horizontal="center" vertical="center"/>
    </xf>
    <xf numFmtId="0" fontId="83" fillId="24" borderId="5" xfId="4" applyFont="1" applyFill="1" applyBorder="1" applyAlignment="1">
      <alignment horizontal="center" vertical="center"/>
    </xf>
    <xf numFmtId="0" fontId="15" fillId="19" borderId="2" xfId="4" applyFont="1" applyFill="1" applyBorder="1" applyAlignment="1">
      <alignment horizontal="center" vertical="center"/>
    </xf>
    <xf numFmtId="20" fontId="17" fillId="2" borderId="5" xfId="2" applyNumberFormat="1" applyFont="1" applyFill="1" applyBorder="1" applyAlignment="1">
      <alignment horizontal="center" vertical="center" wrapText="1"/>
    </xf>
    <xf numFmtId="0" fontId="93" fillId="12" borderId="5" xfId="4" applyFont="1" applyFill="1" applyBorder="1" applyAlignment="1">
      <alignment vertical="center"/>
    </xf>
    <xf numFmtId="0" fontId="38" fillId="13" borderId="5" xfId="4" applyFont="1" applyFill="1" applyBorder="1" applyAlignment="1">
      <alignment vertical="center" wrapText="1"/>
    </xf>
    <xf numFmtId="0" fontId="38" fillId="26" borderId="2" xfId="4" applyFont="1" applyFill="1" applyBorder="1" applyAlignment="1">
      <alignment horizontal="center" vertical="center"/>
    </xf>
    <xf numFmtId="0" fontId="41" fillId="18" borderId="2" xfId="4" applyFont="1" applyFill="1" applyBorder="1" applyAlignment="1">
      <alignment horizontal="center" vertical="center"/>
    </xf>
    <xf numFmtId="0" fontId="38" fillId="32" borderId="2" xfId="4" applyFont="1" applyFill="1" applyBorder="1" applyAlignment="1">
      <alignment horizontal="center" vertical="center"/>
    </xf>
    <xf numFmtId="0" fontId="36" fillId="32" borderId="5" xfId="4" applyFont="1" applyFill="1" applyBorder="1" applyAlignment="1">
      <alignment horizontal="center" vertical="center"/>
    </xf>
    <xf numFmtId="0" fontId="21" fillId="11" borderId="2" xfId="4" applyFont="1" applyFill="1" applyBorder="1" applyAlignment="1">
      <alignment horizontal="center" vertical="center"/>
    </xf>
    <xf numFmtId="49" fontId="17" fillId="11" borderId="1" xfId="4" applyNumberFormat="1" applyFont="1" applyFill="1" applyBorder="1" applyAlignment="1">
      <alignment horizontal="center" vertical="center"/>
    </xf>
    <xf numFmtId="20" fontId="69" fillId="12" borderId="5" xfId="4" applyNumberFormat="1" applyFont="1" applyFill="1" applyBorder="1" applyAlignment="1">
      <alignment horizontal="center" vertical="center" wrapText="1"/>
    </xf>
    <xf numFmtId="0" fontId="15" fillId="25" borderId="1" xfId="4" applyFont="1" applyFill="1" applyBorder="1" applyAlignment="1">
      <alignment horizontal="center" vertical="center"/>
    </xf>
    <xf numFmtId="0" fontId="15" fillId="26" borderId="1" xfId="4" applyFont="1" applyFill="1" applyBorder="1" applyAlignment="1">
      <alignment horizontal="center" vertical="center"/>
    </xf>
    <xf numFmtId="0" fontId="15" fillId="10" borderId="0" xfId="4" applyFont="1" applyFill="1" applyAlignment="1">
      <alignment horizontal="center" vertical="center"/>
    </xf>
    <xf numFmtId="0" fontId="15" fillId="18" borderId="1" xfId="4" applyFont="1" applyFill="1" applyBorder="1" applyAlignment="1">
      <alignment horizontal="center" vertical="center"/>
    </xf>
    <xf numFmtId="0" fontId="36" fillId="19" borderId="5" xfId="4" applyFont="1" applyFill="1" applyBorder="1" applyAlignment="1">
      <alignment horizontal="center" vertical="center"/>
    </xf>
    <xf numFmtId="0" fontId="15" fillId="20" borderId="2" xfId="4" applyFont="1" applyFill="1" applyBorder="1" applyAlignment="1">
      <alignment horizontal="center" vertical="center"/>
    </xf>
    <xf numFmtId="0" fontId="38" fillId="20" borderId="2" xfId="4" applyFont="1" applyFill="1" applyBorder="1" applyAlignment="1">
      <alignment horizontal="center" vertical="center"/>
    </xf>
    <xf numFmtId="0" fontId="54" fillId="20" borderId="5" xfId="4" applyFont="1" applyFill="1" applyBorder="1" applyAlignment="1">
      <alignment horizontal="center" vertical="center"/>
    </xf>
    <xf numFmtId="0" fontId="15" fillId="20" borderId="1" xfId="4" applyFont="1" applyFill="1" applyBorder="1" applyAlignment="1">
      <alignment horizontal="center" vertical="center"/>
    </xf>
    <xf numFmtId="0" fontId="94" fillId="32" borderId="5" xfId="4" applyFont="1" applyFill="1" applyBorder="1" applyAlignment="1">
      <alignment horizontal="center" vertical="center" wrapText="1"/>
    </xf>
    <xf numFmtId="0" fontId="94" fillId="32" borderId="5" xfId="4" applyFont="1" applyFill="1" applyBorder="1" applyAlignment="1">
      <alignment horizontal="center" vertical="top" wrapText="1"/>
    </xf>
    <xf numFmtId="0" fontId="15" fillId="13" borderId="5" xfId="4" applyFont="1" applyFill="1" applyBorder="1" applyAlignment="1">
      <alignment vertical="center" wrapText="1"/>
    </xf>
    <xf numFmtId="0" fontId="83" fillId="24" borderId="1" xfId="4" applyFont="1" applyFill="1" applyBorder="1" applyAlignment="1">
      <alignment horizontal="center" vertical="center"/>
    </xf>
    <xf numFmtId="49" fontId="15" fillId="25" borderId="1" xfId="4" applyNumberFormat="1" applyFont="1" applyFill="1" applyBorder="1" applyAlignment="1">
      <alignment horizontal="center" vertical="center"/>
    </xf>
    <xf numFmtId="49" fontId="15" fillId="26" borderId="1" xfId="4" applyNumberFormat="1" applyFont="1" applyFill="1" applyBorder="1" applyAlignment="1">
      <alignment horizontal="center" vertical="center"/>
    </xf>
    <xf numFmtId="49" fontId="15" fillId="18" borderId="5" xfId="4" applyNumberFormat="1" applyFont="1" applyFill="1" applyBorder="1" applyAlignment="1">
      <alignment horizontal="center" vertical="center"/>
    </xf>
    <xf numFmtId="0" fontId="15" fillId="19" borderId="0" xfId="4" applyFont="1" applyFill="1" applyAlignment="1">
      <alignment horizontal="center" vertical="center"/>
    </xf>
    <xf numFmtId="0" fontId="15" fillId="9" borderId="5" xfId="4" applyFont="1" applyFill="1" applyBorder="1" applyAlignment="1">
      <alignment horizontal="center" vertical="center" wrapText="1"/>
    </xf>
    <xf numFmtId="0" fontId="20" fillId="7" borderId="2" xfId="4" applyFont="1" applyFill="1" applyBorder="1" applyAlignment="1">
      <alignment horizontal="center" vertical="center"/>
    </xf>
    <xf numFmtId="0" fontId="17" fillId="7" borderId="1" xfId="4" applyFont="1" applyFill="1" applyBorder="1" applyAlignment="1">
      <alignment horizontal="center" vertical="center"/>
    </xf>
    <xf numFmtId="0" fontId="20" fillId="11" borderId="2" xfId="4" applyFont="1" applyFill="1" applyBorder="1" applyAlignment="1">
      <alignment horizontal="center" vertical="center"/>
    </xf>
    <xf numFmtId="0" fontId="91" fillId="11" borderId="5" xfId="4" applyFont="1" applyFill="1" applyBorder="1" applyAlignment="1">
      <alignment horizontal="center" vertical="center"/>
    </xf>
    <xf numFmtId="0" fontId="17" fillId="11" borderId="1" xfId="4" applyFont="1" applyFill="1" applyBorder="1" applyAlignment="1">
      <alignment horizontal="center" vertical="center"/>
    </xf>
    <xf numFmtId="0" fontId="15" fillId="12" borderId="5" xfId="4" applyFont="1" applyFill="1" applyBorder="1" applyAlignment="1">
      <alignment horizontal="left" vertical="center"/>
    </xf>
    <xf numFmtId="0" fontId="54" fillId="13" borderId="5" xfId="4" applyFont="1" applyFill="1" applyBorder="1" applyAlignment="1">
      <alignment horizontal="center" vertical="center"/>
    </xf>
    <xf numFmtId="0" fontId="17" fillId="24" borderId="1" xfId="4" applyFont="1" applyFill="1" applyBorder="1" applyAlignment="1">
      <alignment horizontal="center" vertical="center"/>
    </xf>
    <xf numFmtId="0" fontId="37" fillId="26" borderId="2" xfId="4" applyFont="1" applyFill="1" applyBorder="1" applyAlignment="1">
      <alignment horizontal="center" vertical="center"/>
    </xf>
    <xf numFmtId="0" fontId="37" fillId="20" borderId="2" xfId="4" applyFont="1" applyFill="1" applyBorder="1" applyAlignment="1">
      <alignment horizontal="center" vertical="center"/>
    </xf>
    <xf numFmtId="0" fontId="37" fillId="32" borderId="2" xfId="4" applyFont="1" applyFill="1" applyBorder="1" applyAlignment="1">
      <alignment horizontal="center" vertical="center"/>
    </xf>
    <xf numFmtId="0" fontId="20" fillId="11" borderId="5" xfId="4" applyFont="1" applyFill="1" applyBorder="1" applyAlignment="1">
      <alignment horizontal="center" vertical="center"/>
    </xf>
    <xf numFmtId="0" fontId="49" fillId="10" borderId="5" xfId="4" applyFont="1" applyFill="1" applyBorder="1" applyAlignment="1">
      <alignment horizontal="center" vertical="center"/>
    </xf>
    <xf numFmtId="20" fontId="15" fillId="13" borderId="5" xfId="4" applyNumberFormat="1" applyFont="1" applyFill="1" applyBorder="1" applyAlignment="1">
      <alignment horizontal="center" vertical="center"/>
    </xf>
    <xf numFmtId="0" fontId="92" fillId="24" borderId="5" xfId="4" applyFont="1" applyFill="1" applyBorder="1" applyAlignment="1">
      <alignment horizontal="center" vertical="center"/>
    </xf>
    <xf numFmtId="0" fontId="91" fillId="24" borderId="5" xfId="4" applyFont="1" applyFill="1" applyBorder="1" applyAlignment="1">
      <alignment horizontal="center" vertical="center"/>
    </xf>
    <xf numFmtId="20" fontId="15" fillId="24" borderId="5" xfId="4" applyNumberFormat="1" applyFont="1" applyFill="1" applyBorder="1" applyAlignment="1">
      <alignment horizontal="center" vertical="center"/>
    </xf>
    <xf numFmtId="0" fontId="68" fillId="25" borderId="5" xfId="4" applyFont="1" applyFill="1" applyBorder="1" applyAlignment="1">
      <alignment horizontal="center" vertical="center"/>
    </xf>
    <xf numFmtId="0" fontId="36" fillId="26" borderId="5" xfId="4" applyFont="1" applyFill="1" applyBorder="1" applyAlignment="1">
      <alignment horizontal="center" vertical="center"/>
    </xf>
    <xf numFmtId="49" fontId="15" fillId="26" borderId="5" xfId="4" applyNumberFormat="1" applyFont="1" applyFill="1" applyBorder="1" applyAlignment="1">
      <alignment horizontal="center" vertical="center"/>
    </xf>
    <xf numFmtId="0" fontId="68" fillId="20" borderId="5" xfId="4" applyFont="1" applyFill="1" applyBorder="1" applyAlignment="1">
      <alignment horizontal="center" vertical="center"/>
    </xf>
    <xf numFmtId="0" fontId="15" fillId="22" borderId="5" xfId="4" applyFont="1" applyFill="1" applyBorder="1" applyAlignment="1">
      <alignment horizontal="center" vertical="center"/>
    </xf>
    <xf numFmtId="20" fontId="15" fillId="14" borderId="5" xfId="4" applyNumberFormat="1" applyFont="1" applyFill="1" applyBorder="1" applyAlignment="1">
      <alignment horizontal="center" vertical="center"/>
    </xf>
    <xf numFmtId="0" fontId="15" fillId="15" borderId="1" xfId="4" applyFont="1" applyFill="1" applyBorder="1" applyAlignment="1">
      <alignment horizontal="center" vertical="center"/>
    </xf>
    <xf numFmtId="49" fontId="15" fillId="20" borderId="5" xfId="4" applyNumberFormat="1" applyFont="1" applyFill="1" applyBorder="1" applyAlignment="1">
      <alignment horizontal="center" vertical="center"/>
    </xf>
    <xf numFmtId="49" fontId="15" fillId="21" borderId="5" xfId="4" applyNumberFormat="1" applyFont="1" applyFill="1" applyBorder="1" applyAlignment="1">
      <alignment horizontal="center" vertical="center"/>
    </xf>
    <xf numFmtId="49" fontId="15" fillId="22" borderId="5" xfId="4" applyNumberFormat="1" applyFont="1" applyFill="1" applyBorder="1" applyAlignment="1">
      <alignment horizontal="center" vertical="center"/>
    </xf>
    <xf numFmtId="0" fontId="41" fillId="11" borderId="5" xfId="4" applyFont="1" applyFill="1" applyBorder="1" applyAlignment="1">
      <alignment horizontal="center" vertical="center" wrapText="1"/>
    </xf>
    <xf numFmtId="20" fontId="17" fillId="11" borderId="5" xfId="4" applyNumberFormat="1" applyFont="1" applyFill="1" applyBorder="1" applyAlignment="1">
      <alignment horizontal="center" vertical="center" wrapText="1"/>
    </xf>
    <xf numFmtId="0" fontId="15" fillId="13" borderId="2" xfId="4" applyFont="1" applyFill="1" applyBorder="1" applyAlignment="1">
      <alignment horizontal="center" vertical="center"/>
    </xf>
    <xf numFmtId="20" fontId="15" fillId="13" borderId="1" xfId="4" applyNumberFormat="1" applyFont="1" applyFill="1" applyBorder="1" applyAlignment="1">
      <alignment horizontal="center" vertical="center"/>
    </xf>
    <xf numFmtId="0" fontId="36" fillId="21" borderId="5" xfId="4" applyFont="1" applyFill="1" applyBorder="1" applyAlignment="1">
      <alignment horizontal="center" vertical="center"/>
    </xf>
    <xf numFmtId="0" fontId="36" fillId="20" borderId="5" xfId="4" applyFont="1" applyFill="1" applyBorder="1" applyAlignment="1">
      <alignment horizontal="center" vertical="center"/>
    </xf>
    <xf numFmtId="0" fontId="36" fillId="22" borderId="5" xfId="4" applyFont="1" applyFill="1" applyBorder="1" applyAlignment="1">
      <alignment horizontal="center" vertical="center"/>
    </xf>
    <xf numFmtId="49" fontId="17" fillId="7" borderId="5" xfId="4" applyNumberFormat="1" applyFont="1" applyFill="1" applyBorder="1" applyAlignment="1">
      <alignment horizontal="center" vertical="center"/>
    </xf>
    <xf numFmtId="0" fontId="17" fillId="13" borderId="1" xfId="4" applyFont="1" applyFill="1" applyBorder="1" applyAlignment="1">
      <alignment horizontal="center" vertical="center"/>
    </xf>
    <xf numFmtId="0" fontId="20" fillId="14" borderId="5" xfId="4" applyFont="1" applyFill="1" applyBorder="1" applyAlignment="1">
      <alignment horizontal="center" vertical="center"/>
    </xf>
    <xf numFmtId="0" fontId="63" fillId="24" borderId="5" xfId="4" applyFont="1" applyFill="1" applyBorder="1" applyAlignment="1">
      <alignment horizontal="center" vertical="center"/>
    </xf>
    <xf numFmtId="0" fontId="54" fillId="25" borderId="1" xfId="4" applyFont="1" applyFill="1" applyBorder="1" applyAlignment="1">
      <alignment horizontal="center" vertical="center"/>
    </xf>
    <xf numFmtId="0" fontId="54" fillId="26" borderId="1" xfId="4" applyFont="1" applyFill="1" applyBorder="1" applyAlignment="1">
      <alignment horizontal="center" vertical="center"/>
    </xf>
    <xf numFmtId="49" fontId="15" fillId="19" borderId="5" xfId="4" applyNumberFormat="1" applyFont="1" applyFill="1" applyBorder="1" applyAlignment="1">
      <alignment horizontal="center" vertical="center"/>
    </xf>
    <xf numFmtId="0" fontId="51" fillId="22" borderId="5" xfId="4" applyFont="1" applyFill="1" applyBorder="1" applyAlignment="1">
      <alignment horizontal="center" vertical="center"/>
    </xf>
    <xf numFmtId="14" fontId="15" fillId="8" borderId="5" xfId="2" applyNumberFormat="1" applyFont="1" applyFill="1" applyBorder="1" applyAlignment="1">
      <alignment horizontal="center" vertical="center" wrapText="1"/>
    </xf>
    <xf numFmtId="20" fontId="17" fillId="7" borderId="5" xfId="4" applyNumberFormat="1" applyFont="1" applyFill="1" applyBorder="1" applyAlignment="1">
      <alignment horizontal="center" vertical="center" wrapText="1"/>
    </xf>
    <xf numFmtId="0" fontId="63" fillId="15" borderId="1" xfId="4" applyFont="1" applyFill="1" applyBorder="1" applyAlignment="1">
      <alignment horizontal="center" vertical="center"/>
    </xf>
    <xf numFmtId="20" fontId="15" fillId="10" borderId="5" xfId="4" applyNumberFormat="1" applyFont="1" applyFill="1" applyBorder="1" applyAlignment="1">
      <alignment horizontal="center" vertical="center" wrapText="1"/>
    </xf>
    <xf numFmtId="20" fontId="15" fillId="18" borderId="5" xfId="4" applyNumberFormat="1" applyFont="1" applyFill="1" applyBorder="1" applyAlignment="1">
      <alignment horizontal="center" vertical="center" wrapText="1"/>
    </xf>
    <xf numFmtId="0" fontId="38" fillId="2" borderId="5" xfId="4" applyFont="1" applyFill="1" applyBorder="1" applyAlignment="1">
      <alignment horizontal="center" vertical="center" wrapText="1"/>
    </xf>
    <xf numFmtId="20" fontId="15" fillId="19" borderId="5" xfId="4" applyNumberFormat="1" applyFont="1" applyFill="1" applyBorder="1" applyAlignment="1">
      <alignment horizontal="center" vertical="center" wrapText="1"/>
    </xf>
    <xf numFmtId="49" fontId="17" fillId="13" borderId="1" xfId="4" applyNumberFormat="1" applyFont="1" applyFill="1" applyBorder="1" applyAlignment="1">
      <alignment horizontal="center" vertical="center"/>
    </xf>
    <xf numFmtId="49" fontId="15" fillId="14" borderId="5" xfId="4" applyNumberFormat="1" applyFont="1" applyFill="1" applyBorder="1" applyAlignment="1">
      <alignment horizontal="center" vertical="center"/>
    </xf>
    <xf numFmtId="0" fontId="63" fillId="24" borderId="1" xfId="4" applyFont="1" applyFill="1" applyBorder="1" applyAlignment="1">
      <alignment horizontal="center" vertical="center"/>
    </xf>
    <xf numFmtId="0" fontId="15" fillId="20" borderId="5" xfId="4" applyFont="1" applyFill="1" applyBorder="1" applyAlignment="1">
      <alignment vertical="center"/>
    </xf>
    <xf numFmtId="0" fontId="38" fillId="16" borderId="5" xfId="4" applyFont="1" applyFill="1" applyBorder="1" applyAlignment="1">
      <alignment horizontal="center" vertical="center"/>
    </xf>
    <xf numFmtId="49" fontId="15" fillId="16" borderId="5" xfId="4" applyNumberFormat="1" applyFont="1" applyFill="1" applyBorder="1" applyAlignment="1">
      <alignment horizontal="center" vertical="center"/>
    </xf>
    <xf numFmtId="0" fontId="41" fillId="11" borderId="5" xfId="4" applyFont="1" applyFill="1" applyBorder="1" applyAlignment="1">
      <alignment horizontal="center" vertical="center"/>
    </xf>
    <xf numFmtId="0" fontId="60" fillId="13" borderId="5" xfId="4" applyFont="1" applyFill="1" applyBorder="1" applyAlignment="1">
      <alignment horizontal="center" vertical="center"/>
    </xf>
    <xf numFmtId="0" fontId="41" fillId="14" borderId="5" xfId="4" applyFont="1" applyFill="1" applyBorder="1" applyAlignment="1">
      <alignment horizontal="center" vertical="center"/>
    </xf>
    <xf numFmtId="49" fontId="15" fillId="14" borderId="1" xfId="4" applyNumberFormat="1" applyFont="1" applyFill="1" applyBorder="1" applyAlignment="1">
      <alignment horizontal="center" vertical="center"/>
    </xf>
    <xf numFmtId="14" fontId="15" fillId="15" borderId="1" xfId="2" applyNumberFormat="1" applyFont="1" applyFill="1" applyBorder="1" applyAlignment="1">
      <alignment horizontal="center" vertical="center" wrapText="1"/>
    </xf>
    <xf numFmtId="0" fontId="38" fillId="16" borderId="2" xfId="4" applyFont="1" applyFill="1" applyBorder="1" applyAlignment="1">
      <alignment horizontal="center" vertical="center"/>
    </xf>
    <xf numFmtId="49" fontId="15" fillId="16" borderId="0" xfId="4" applyNumberFormat="1" applyFont="1" applyFill="1" applyAlignment="1">
      <alignment horizontal="center" vertical="center"/>
    </xf>
    <xf numFmtId="14" fontId="15" fillId="5" borderId="5" xfId="2" applyNumberFormat="1" applyFont="1" applyFill="1" applyBorder="1" applyAlignment="1">
      <alignment horizontal="left" vertical="top" wrapText="1"/>
    </xf>
    <xf numFmtId="14" fontId="15" fillId="6" borderId="5" xfId="2" applyNumberFormat="1" applyFont="1" applyFill="1" applyBorder="1" applyAlignment="1">
      <alignment horizontal="left" vertical="top" wrapText="1"/>
    </xf>
    <xf numFmtId="0" fontId="41" fillId="13" borderId="5" xfId="4" applyFont="1" applyFill="1" applyBorder="1" applyAlignment="1">
      <alignment horizontal="center" vertical="center"/>
    </xf>
    <xf numFmtId="49" fontId="38" fillId="7" borderId="5" xfId="4" applyNumberFormat="1" applyFont="1" applyFill="1" applyBorder="1" applyAlignment="1">
      <alignment horizontal="center" vertical="center"/>
    </xf>
    <xf numFmtId="0" fontId="38" fillId="9" borderId="1" xfId="4" applyFont="1" applyFill="1" applyBorder="1" applyAlignment="1">
      <alignment horizontal="center" vertical="center"/>
    </xf>
    <xf numFmtId="0" fontId="41" fillId="7" borderId="5" xfId="4" applyFont="1" applyFill="1" applyBorder="1" applyAlignment="1">
      <alignment horizontal="center" vertical="center"/>
    </xf>
    <xf numFmtId="0" fontId="86" fillId="16" borderId="2" xfId="2" applyFont="1" applyFill="1" applyBorder="1">
      <alignment vertical="center"/>
    </xf>
    <xf numFmtId="0" fontId="6" fillId="16" borderId="0" xfId="2" applyFont="1" applyFill="1" applyAlignment="1">
      <alignment horizontal="center" vertical="center"/>
    </xf>
    <xf numFmtId="0" fontId="38" fillId="19" borderId="5" xfId="4" applyFont="1" applyFill="1" applyBorder="1" applyAlignment="1">
      <alignment horizontal="center" vertical="center"/>
    </xf>
    <xf numFmtId="0" fontId="38" fillId="21" borderId="5" xfId="4" applyFont="1" applyFill="1" applyBorder="1" applyAlignment="1">
      <alignment horizontal="center" vertical="center"/>
    </xf>
    <xf numFmtId="0" fontId="38" fillId="22" borderId="5" xfId="4" applyFont="1" applyFill="1" applyBorder="1" applyAlignment="1">
      <alignment horizontal="center" vertical="center"/>
    </xf>
    <xf numFmtId="0" fontId="36" fillId="12" borderId="5" xfId="4" applyFont="1" applyFill="1" applyBorder="1" applyAlignment="1">
      <alignment horizontal="center" vertical="center"/>
    </xf>
    <xf numFmtId="0" fontId="54" fillId="24" borderId="1" xfId="4" applyFont="1" applyFill="1" applyBorder="1" applyAlignment="1">
      <alignment horizontal="center" vertical="center"/>
    </xf>
    <xf numFmtId="0" fontId="15" fillId="24" borderId="5" xfId="4" applyFont="1" applyFill="1" applyBorder="1" applyAlignment="1">
      <alignment vertical="center"/>
    </xf>
    <xf numFmtId="0" fontId="17" fillId="13" borderId="5" xfId="4" applyFont="1" applyFill="1" applyBorder="1" applyAlignment="1">
      <alignment vertical="center"/>
    </xf>
    <xf numFmtId="0" fontId="15" fillId="24" borderId="2" xfId="4" applyFont="1" applyFill="1" applyBorder="1" applyAlignment="1">
      <alignment horizontal="center" vertical="center"/>
    </xf>
    <xf numFmtId="49" fontId="15" fillId="24" borderId="1" xfId="4" applyNumberFormat="1" applyFont="1" applyFill="1" applyBorder="1" applyAlignment="1">
      <alignment horizontal="center" vertical="center"/>
    </xf>
    <xf numFmtId="0" fontId="36" fillId="26" borderId="2" xfId="4" applyFont="1" applyFill="1" applyBorder="1" applyAlignment="1">
      <alignment horizontal="center" vertical="center"/>
    </xf>
    <xf numFmtId="0" fontId="17" fillId="18" borderId="2" xfId="4" applyFont="1" applyFill="1" applyBorder="1" applyAlignment="1">
      <alignment horizontal="center" vertical="center"/>
    </xf>
    <xf numFmtId="49" fontId="15" fillId="18" borderId="1" xfId="4" applyNumberFormat="1" applyFont="1" applyFill="1" applyBorder="1" applyAlignment="1">
      <alignment horizontal="center" vertical="center"/>
    </xf>
    <xf numFmtId="0" fontId="83" fillId="13" borderId="5" xfId="4" applyFont="1" applyFill="1" applyBorder="1" applyAlignment="1">
      <alignment horizontal="center" vertical="center"/>
    </xf>
    <xf numFmtId="49" fontId="17" fillId="13" borderId="5" xfId="4" applyNumberFormat="1" applyFont="1" applyFill="1" applyBorder="1" applyAlignment="1">
      <alignment horizontal="center" vertical="center"/>
    </xf>
    <xf numFmtId="0" fontId="37" fillId="24" borderId="2" xfId="4" applyFont="1" applyFill="1" applyBorder="1" applyAlignment="1">
      <alignment horizontal="center" vertical="center"/>
    </xf>
    <xf numFmtId="0" fontId="20" fillId="18" borderId="2" xfId="4" applyFont="1" applyFill="1" applyBorder="1" applyAlignment="1">
      <alignment horizontal="center" vertical="center"/>
    </xf>
    <xf numFmtId="0" fontId="49" fillId="5" borderId="7" xfId="4" applyFont="1" applyFill="1" applyBorder="1" applyAlignment="1">
      <alignment horizontal="center" vertical="center"/>
    </xf>
    <xf numFmtId="20" fontId="38" fillId="5" borderId="6" xfId="2" applyNumberFormat="1" applyFont="1" applyFill="1" applyBorder="1" applyAlignment="1">
      <alignment horizontal="center" vertical="center" wrapText="1"/>
    </xf>
    <xf numFmtId="0" fontId="49" fillId="39" borderId="0" xfId="4" applyFont="1" applyFill="1" applyAlignment="1">
      <alignment horizontal="center" vertical="center"/>
    </xf>
    <xf numFmtId="20" fontId="38" fillId="39" borderId="5" xfId="2" applyNumberFormat="1" applyFont="1" applyFill="1" applyBorder="1" applyAlignment="1">
      <alignment horizontal="center" vertical="center" wrapText="1"/>
    </xf>
    <xf numFmtId="0" fontId="15" fillId="27" borderId="6" xfId="4" applyFont="1" applyFill="1" applyBorder="1" applyAlignment="1">
      <alignment horizontal="center" vertical="center"/>
    </xf>
    <xf numFmtId="0" fontId="37" fillId="27" borderId="6" xfId="4" applyFont="1" applyFill="1" applyBorder="1" applyAlignment="1">
      <alignment horizontal="center" vertical="center"/>
    </xf>
    <xf numFmtId="0" fontId="68" fillId="8" borderId="5" xfId="4" applyFont="1" applyFill="1" applyBorder="1" applyAlignment="1">
      <alignment horizontal="center" vertical="center"/>
    </xf>
    <xf numFmtId="20" fontId="38" fillId="25" borderId="6" xfId="2" applyNumberFormat="1" applyFont="1" applyFill="1" applyBorder="1" applyAlignment="1">
      <alignment vertical="center" wrapText="1"/>
    </xf>
    <xf numFmtId="0" fontId="68" fillId="8" borderId="5" xfId="4" applyFont="1" applyFill="1" applyBorder="1" applyAlignment="1">
      <alignment horizontal="center" vertical="center" wrapText="1"/>
    </xf>
    <xf numFmtId="0" fontId="37" fillId="9" borderId="6" xfId="4" applyFont="1" applyFill="1" applyBorder="1" applyAlignment="1">
      <alignment horizontal="center" vertical="center"/>
    </xf>
    <xf numFmtId="0" fontId="17" fillId="7" borderId="6" xfId="4" applyFont="1" applyFill="1" applyBorder="1" applyAlignment="1">
      <alignment horizontal="center" vertical="center"/>
    </xf>
    <xf numFmtId="0" fontId="17" fillId="11" borderId="6" xfId="4" applyFont="1" applyFill="1" applyBorder="1" applyAlignment="1">
      <alignment horizontal="center" vertical="center"/>
    </xf>
    <xf numFmtId="0" fontId="15" fillId="12" borderId="6" xfId="4" applyFont="1" applyFill="1" applyBorder="1" applyAlignment="1">
      <alignment horizontal="center" vertical="center"/>
    </xf>
    <xf numFmtId="0" fontId="17" fillId="13" borderId="6" xfId="4" applyFont="1" applyFill="1" applyBorder="1" applyAlignment="1">
      <alignment horizontal="left" vertical="center"/>
    </xf>
    <xf numFmtId="0" fontId="17" fillId="13" borderId="6" xfId="4" applyFont="1" applyFill="1" applyBorder="1" applyAlignment="1">
      <alignment horizontal="center" vertical="center"/>
    </xf>
    <xf numFmtId="0" fontId="17" fillId="14" borderId="6" xfId="4" applyFont="1" applyFill="1" applyBorder="1" applyAlignment="1">
      <alignment horizontal="center" vertical="center"/>
    </xf>
    <xf numFmtId="0" fontId="15" fillId="14" borderId="6" xfId="4" applyFont="1" applyFill="1" applyBorder="1" applyAlignment="1">
      <alignment horizontal="center" vertical="center"/>
    </xf>
    <xf numFmtId="0" fontId="38" fillId="15" borderId="6" xfId="4" applyFont="1" applyFill="1" applyBorder="1" applyAlignment="1">
      <alignment horizontal="center" vertical="center"/>
    </xf>
    <xf numFmtId="0" fontId="15" fillId="16" borderId="2" xfId="4" applyFont="1" applyFill="1" applyBorder="1" applyAlignment="1">
      <alignment horizontal="center" vertical="center"/>
    </xf>
    <xf numFmtId="0" fontId="36" fillId="26" borderId="6" xfId="4" applyFont="1" applyFill="1" applyBorder="1" applyAlignment="1">
      <alignment vertical="center"/>
    </xf>
    <xf numFmtId="0" fontId="15" fillId="16" borderId="1" xfId="4" applyFont="1" applyFill="1" applyBorder="1" applyAlignment="1">
      <alignment horizontal="center" vertical="center"/>
    </xf>
    <xf numFmtId="0" fontId="17" fillId="17" borderId="6" xfId="4" applyFont="1" applyFill="1" applyBorder="1" applyAlignment="1">
      <alignment horizontal="center" vertical="center"/>
    </xf>
    <xf numFmtId="0" fontId="17" fillId="18" borderId="6" xfId="4" applyFont="1" applyFill="1" applyBorder="1" applyAlignment="1">
      <alignment horizontal="center" vertical="center"/>
    </xf>
    <xf numFmtId="0" fontId="15" fillId="18" borderId="6" xfId="4" applyFont="1" applyFill="1" applyBorder="1" applyAlignment="1">
      <alignment horizontal="center" vertical="center"/>
    </xf>
    <xf numFmtId="0" fontId="15" fillId="19" borderId="6" xfId="4" applyFont="1" applyFill="1" applyBorder="1" applyAlignment="1">
      <alignment horizontal="center" vertical="center"/>
    </xf>
    <xf numFmtId="0" fontId="59" fillId="2" borderId="6" xfId="4" applyFont="1" applyFill="1" applyBorder="1" applyAlignment="1">
      <alignment horizontal="center" vertical="center"/>
    </xf>
    <xf numFmtId="0" fontId="15" fillId="20" borderId="6" xfId="4" applyFont="1" applyFill="1" applyBorder="1" applyAlignment="1">
      <alignment horizontal="center" vertical="center"/>
    </xf>
    <xf numFmtId="0" fontId="15" fillId="20" borderId="6" xfId="4" applyFont="1" applyFill="1" applyBorder="1" applyAlignment="1">
      <alignment vertical="center"/>
    </xf>
    <xf numFmtId="0" fontId="15" fillId="21" borderId="6" xfId="4" applyFont="1" applyFill="1" applyBorder="1" applyAlignment="1">
      <alignment horizontal="center" vertical="center"/>
    </xf>
    <xf numFmtId="0" fontId="15" fillId="22" borderId="6" xfId="4" applyFont="1" applyFill="1" applyBorder="1" applyAlignment="1">
      <alignment horizontal="center" vertical="center"/>
    </xf>
    <xf numFmtId="0" fontId="85" fillId="29" borderId="5" xfId="4" applyFont="1" applyFill="1" applyBorder="1" applyAlignment="1">
      <alignment horizontal="center" vertical="center"/>
    </xf>
    <xf numFmtId="20" fontId="15" fillId="29" borderId="2" xfId="2" applyNumberFormat="1" applyFont="1" applyFill="1" applyBorder="1" applyAlignment="1">
      <alignment horizontal="center" vertical="center" wrapText="1"/>
    </xf>
    <xf numFmtId="20" fontId="38" fillId="29" borderId="2" xfId="2" applyNumberFormat="1" applyFont="1" applyFill="1" applyBorder="1" applyAlignment="1">
      <alignment horizontal="center" vertical="center" wrapText="1"/>
    </xf>
    <xf numFmtId="20" fontId="95" fillId="29" borderId="5" xfId="4" applyNumberFormat="1" applyFont="1" applyFill="1" applyBorder="1" applyAlignment="1">
      <alignment horizontal="left" vertical="top"/>
    </xf>
    <xf numFmtId="0" fontId="85" fillId="39" borderId="3" xfId="4" applyFont="1" applyFill="1" applyBorder="1" applyAlignment="1">
      <alignment horizontal="center" vertical="center"/>
    </xf>
    <xf numFmtId="20" fontId="95" fillId="39" borderId="3" xfId="4" applyNumberFormat="1" applyFont="1" applyFill="1" applyBorder="1" applyAlignment="1">
      <alignment horizontal="left" vertical="top"/>
    </xf>
    <xf numFmtId="0" fontId="68" fillId="8" borderId="4" xfId="4" applyFont="1" applyFill="1" applyBorder="1" applyAlignment="1">
      <alignment horizontal="center" vertical="center"/>
    </xf>
    <xf numFmtId="20" fontId="16" fillId="51" borderId="2" xfId="2" applyNumberFormat="1" applyFont="1" applyFill="1" applyBorder="1" applyAlignment="1">
      <alignment horizontal="center" vertical="center" wrapText="1"/>
    </xf>
    <xf numFmtId="0" fontId="68" fillId="8" borderId="3" xfId="4" applyFont="1" applyFill="1" applyBorder="1" applyAlignment="1">
      <alignment horizontal="center" vertical="center" wrapText="1"/>
    </xf>
    <xf numFmtId="0" fontId="68" fillId="9" borderId="3" xfId="4" applyFont="1" applyFill="1" applyBorder="1" applyAlignment="1">
      <alignment horizontal="center" vertical="center"/>
    </xf>
    <xf numFmtId="0" fontId="37" fillId="9" borderId="3" xfId="4" applyFont="1" applyFill="1" applyBorder="1" applyAlignment="1">
      <alignment horizontal="center" vertical="center"/>
    </xf>
    <xf numFmtId="0" fontId="37" fillId="10" borderId="3" xfId="4" applyFont="1" applyFill="1" applyBorder="1" applyAlignment="1">
      <alignment horizontal="center" vertical="center"/>
    </xf>
    <xf numFmtId="0" fontId="17" fillId="7" borderId="4" xfId="4" applyFont="1" applyFill="1" applyBorder="1" applyAlignment="1">
      <alignment horizontal="center" vertical="center"/>
    </xf>
    <xf numFmtId="0" fontId="17" fillId="7" borderId="25" xfId="4" applyFont="1" applyFill="1" applyBorder="1" applyAlignment="1">
      <alignment horizontal="center" vertical="center"/>
    </xf>
    <xf numFmtId="20" fontId="96" fillId="11" borderId="5" xfId="4" applyNumberFormat="1" applyFont="1" applyFill="1" applyBorder="1" applyAlignment="1">
      <alignment horizontal="center" vertical="center"/>
    </xf>
    <xf numFmtId="0" fontId="37" fillId="13" borderId="2" xfId="4" applyFont="1" applyFill="1" applyBorder="1" applyAlignment="1">
      <alignment horizontal="center" vertical="center"/>
    </xf>
    <xf numFmtId="0" fontId="15" fillId="13" borderId="1" xfId="4" applyFont="1" applyFill="1" applyBorder="1" applyAlignment="1">
      <alignment horizontal="center" vertical="center"/>
    </xf>
    <xf numFmtId="0" fontId="18" fillId="48" borderId="5" xfId="4" applyFont="1" applyFill="1" applyBorder="1" applyAlignment="1">
      <alignment horizontal="center" vertical="center"/>
    </xf>
    <xf numFmtId="20" fontId="15" fillId="24" borderId="5" xfId="4" applyNumberFormat="1" applyFont="1" applyFill="1" applyBorder="1" applyAlignment="1">
      <alignment horizontal="center" vertical="center" wrapText="1"/>
    </xf>
    <xf numFmtId="0" fontId="36" fillId="8" borderId="3" xfId="4" applyFont="1" applyFill="1" applyBorder="1" applyAlignment="1">
      <alignment horizontal="center" vertical="center"/>
    </xf>
    <xf numFmtId="0" fontId="36" fillId="25" borderId="3" xfId="4" applyFont="1" applyFill="1" applyBorder="1" applyAlignment="1">
      <alignment vertical="center"/>
    </xf>
    <xf numFmtId="49" fontId="15" fillId="16" borderId="1" xfId="4" applyNumberFormat="1" applyFont="1" applyFill="1" applyBorder="1" applyAlignment="1">
      <alignment horizontal="center" vertical="center"/>
    </xf>
    <xf numFmtId="0" fontId="15" fillId="10" borderId="4" xfId="4" applyFont="1" applyFill="1" applyBorder="1" applyAlignment="1">
      <alignment horizontal="center" vertical="center"/>
    </xf>
    <xf numFmtId="0" fontId="15" fillId="10" borderId="25" xfId="4" applyFont="1" applyFill="1" applyBorder="1" applyAlignment="1">
      <alignment horizontal="center" vertical="center"/>
    </xf>
    <xf numFmtId="0" fontId="38" fillId="19" borderId="2" xfId="4" applyFont="1" applyFill="1" applyBorder="1" applyAlignment="1">
      <alignment horizontal="center" vertical="center"/>
    </xf>
    <xf numFmtId="0" fontId="37" fillId="19" borderId="1" xfId="4" applyFont="1" applyFill="1" applyBorder="1" applyAlignment="1">
      <alignment horizontal="center" vertical="center"/>
    </xf>
    <xf numFmtId="0" fontId="41" fillId="21" borderId="5" xfId="4" applyFont="1" applyFill="1" applyBorder="1" applyAlignment="1">
      <alignment horizontal="center" vertical="center"/>
    </xf>
    <xf numFmtId="0" fontId="21" fillId="21" borderId="5" xfId="4" applyFont="1" applyFill="1" applyBorder="1" applyAlignment="1">
      <alignment horizontal="center" vertical="center"/>
    </xf>
    <xf numFmtId="20" fontId="17" fillId="21" borderId="5" xfId="4" applyNumberFormat="1" applyFont="1" applyFill="1" applyBorder="1" applyAlignment="1">
      <alignment horizontal="center" vertical="center"/>
    </xf>
    <xf numFmtId="0" fontId="41" fillId="20" borderId="5" xfId="4" applyFont="1" applyFill="1" applyBorder="1" applyAlignment="1">
      <alignment horizontal="center" vertical="center"/>
    </xf>
    <xf numFmtId="0" fontId="21" fillId="20" borderId="5" xfId="4" applyFont="1" applyFill="1" applyBorder="1" applyAlignment="1">
      <alignment horizontal="center" vertical="center"/>
    </xf>
    <xf numFmtId="20" fontId="17" fillId="20" borderId="5" xfId="4" applyNumberFormat="1" applyFont="1" applyFill="1" applyBorder="1" applyAlignment="1">
      <alignment horizontal="center" vertical="center"/>
    </xf>
    <xf numFmtId="0" fontId="41" fillId="22" borderId="5" xfId="4" applyFont="1" applyFill="1" applyBorder="1" applyAlignment="1">
      <alignment horizontal="center" vertical="center"/>
    </xf>
    <xf numFmtId="0" fontId="21" fillId="22" borderId="5" xfId="4" applyFont="1" applyFill="1" applyBorder="1" applyAlignment="1">
      <alignment horizontal="center" vertical="center"/>
    </xf>
    <xf numFmtId="20" fontId="17" fillId="22" borderId="5" xfId="4" applyNumberFormat="1" applyFont="1" applyFill="1" applyBorder="1" applyAlignment="1">
      <alignment horizontal="center" vertical="center"/>
    </xf>
    <xf numFmtId="0" fontId="49" fillId="29" borderId="5" xfId="4" applyFont="1" applyFill="1" applyBorder="1" applyAlignment="1">
      <alignment horizontal="center" vertical="center"/>
    </xf>
    <xf numFmtId="20" fontId="15" fillId="29" borderId="5" xfId="4" applyNumberFormat="1" applyFont="1" applyFill="1" applyBorder="1" applyAlignment="1">
      <alignment horizontal="left" vertical="top" wrapText="1"/>
    </xf>
    <xf numFmtId="0" fontId="49" fillId="39" borderId="5" xfId="4" applyFont="1" applyFill="1" applyBorder="1" applyAlignment="1">
      <alignment horizontal="center" vertical="center"/>
    </xf>
    <xf numFmtId="20" fontId="38" fillId="39" borderId="2" xfId="2" applyNumberFormat="1" applyFont="1" applyFill="1" applyBorder="1" applyAlignment="1">
      <alignment horizontal="center" vertical="center" wrapText="1"/>
    </xf>
    <xf numFmtId="0" fontId="68" fillId="8" borderId="2" xfId="4" applyFont="1" applyFill="1" applyBorder="1" applyAlignment="1">
      <alignment horizontal="center" vertical="center"/>
    </xf>
    <xf numFmtId="20" fontId="15" fillId="25" borderId="2" xfId="2" applyNumberFormat="1" applyFont="1" applyFill="1" applyBorder="1" applyAlignment="1">
      <alignment horizontal="center" vertical="center" wrapText="1"/>
    </xf>
    <xf numFmtId="0" fontId="68" fillId="9" borderId="5" xfId="4" applyFont="1" applyFill="1" applyBorder="1" applyAlignment="1">
      <alignment horizontal="center" vertical="center"/>
    </xf>
    <xf numFmtId="0" fontId="20" fillId="9" borderId="2" xfId="4" applyFont="1" applyFill="1" applyBorder="1" applyAlignment="1">
      <alignment horizontal="center" vertical="center"/>
    </xf>
    <xf numFmtId="49" fontId="15" fillId="14" borderId="2" xfId="4" applyNumberFormat="1" applyFont="1" applyFill="1" applyBorder="1" applyAlignment="1">
      <alignment horizontal="center" vertical="center"/>
    </xf>
    <xf numFmtId="0" fontId="85" fillId="52" borderId="5" xfId="4" applyFont="1" applyFill="1" applyBorder="1" applyAlignment="1">
      <alignment horizontal="center" vertical="center"/>
    </xf>
    <xf numFmtId="0" fontId="36" fillId="25" borderId="5" xfId="4" applyFont="1" applyFill="1" applyBorder="1" applyAlignment="1">
      <alignment vertical="center"/>
    </xf>
    <xf numFmtId="20" fontId="15" fillId="25" borderId="5" xfId="4" applyNumberFormat="1" applyFont="1" applyFill="1" applyBorder="1" applyAlignment="1">
      <alignment horizontal="center" vertical="center"/>
    </xf>
    <xf numFmtId="0" fontId="30" fillId="2" borderId="5" xfId="4" applyFont="1" applyFill="1" applyBorder="1" applyAlignment="1">
      <alignment horizontal="center" vertical="center" wrapText="1"/>
    </xf>
    <xf numFmtId="0" fontId="20" fillId="21" borderId="5" xfId="4" applyFont="1" applyFill="1" applyBorder="1" applyAlignment="1">
      <alignment horizontal="center" vertical="center"/>
    </xf>
    <xf numFmtId="20" fontId="17" fillId="21" borderId="5" xfId="4" applyNumberFormat="1" applyFont="1" applyFill="1" applyBorder="1" applyAlignment="1">
      <alignment horizontal="center" vertical="center" wrapText="1"/>
    </xf>
    <xf numFmtId="0" fontId="20" fillId="20" borderId="5" xfId="4" applyFont="1" applyFill="1" applyBorder="1" applyAlignment="1">
      <alignment horizontal="center" vertical="center"/>
    </xf>
    <xf numFmtId="20" fontId="17" fillId="20" borderId="5" xfId="4" applyNumberFormat="1" applyFont="1" applyFill="1" applyBorder="1" applyAlignment="1">
      <alignment horizontal="center" vertical="center" wrapText="1"/>
    </xf>
    <xf numFmtId="0" fontId="20" fillId="22" borderId="5" xfId="4" applyFont="1" applyFill="1" applyBorder="1" applyAlignment="1">
      <alignment horizontal="center" vertical="center"/>
    </xf>
    <xf numFmtId="20" fontId="17" fillId="22" borderId="5" xfId="4" applyNumberFormat="1" applyFont="1" applyFill="1" applyBorder="1" applyAlignment="1">
      <alignment horizontal="center" vertical="center" wrapText="1"/>
    </xf>
    <xf numFmtId="20" fontId="38" fillId="25" borderId="2" xfId="2" applyNumberFormat="1" applyFont="1" applyFill="1" applyBorder="1" applyAlignment="1">
      <alignment vertical="center" wrapText="1"/>
    </xf>
    <xf numFmtId="49" fontId="15" fillId="13" borderId="1" xfId="4" applyNumberFormat="1" applyFont="1" applyFill="1" applyBorder="1" applyAlignment="1">
      <alignment horizontal="center" vertical="center"/>
    </xf>
    <xf numFmtId="0" fontId="15" fillId="2" borderId="5" xfId="4" applyFont="1" applyFill="1" applyBorder="1" applyAlignment="1">
      <alignment vertical="center" wrapText="1"/>
    </xf>
    <xf numFmtId="20" fontId="63" fillId="24" borderId="5" xfId="4" applyNumberFormat="1" applyFont="1" applyFill="1" applyBorder="1" applyAlignment="1">
      <alignment horizontal="center" vertical="center" wrapText="1"/>
    </xf>
    <xf numFmtId="0" fontId="16" fillId="11" borderId="5" xfId="4" applyFont="1" applyFill="1" applyBorder="1" applyAlignment="1">
      <alignment horizontal="center" vertical="center"/>
    </xf>
    <xf numFmtId="0" fontId="15" fillId="12" borderId="2" xfId="4" applyFont="1" applyFill="1" applyBorder="1" applyAlignment="1">
      <alignment horizontal="center" vertical="center"/>
    </xf>
    <xf numFmtId="0" fontId="55" fillId="24" borderId="5" xfId="4" applyFont="1" applyFill="1" applyBorder="1" applyAlignment="1">
      <alignment vertical="center"/>
    </xf>
    <xf numFmtId="20" fontId="63" fillId="20" borderId="5" xfId="4" applyNumberFormat="1" applyFont="1" applyFill="1" applyBorder="1" applyAlignment="1">
      <alignment horizontal="center" vertical="center" wrapText="1"/>
    </xf>
    <xf numFmtId="0" fontId="49" fillId="39" borderId="2" xfId="4" applyFont="1" applyFill="1" applyBorder="1" applyAlignment="1">
      <alignment horizontal="center" vertical="center"/>
    </xf>
    <xf numFmtId="0" fontId="48" fillId="29" borderId="2" xfId="4" applyFont="1" applyFill="1" applyBorder="1" applyAlignment="1">
      <alignment horizontal="center" vertical="center"/>
    </xf>
    <xf numFmtId="0" fontId="49" fillId="29" borderId="2" xfId="4" applyFont="1" applyFill="1" applyBorder="1" applyAlignment="1">
      <alignment horizontal="center" vertical="center"/>
    </xf>
    <xf numFmtId="0" fontId="36" fillId="8" borderId="2" xfId="4" applyFont="1" applyFill="1" applyBorder="1" applyAlignment="1">
      <alignment horizontal="center" vertical="center"/>
    </xf>
    <xf numFmtId="0" fontId="37" fillId="8" borderId="5" xfId="4" applyFont="1" applyFill="1" applyBorder="1" applyAlignment="1">
      <alignment horizontal="center" vertical="center"/>
    </xf>
    <xf numFmtId="0" fontId="20" fillId="18" borderId="5" xfId="4" applyFont="1" applyFill="1" applyBorder="1" applyAlignment="1">
      <alignment horizontal="center" vertical="center"/>
    </xf>
    <xf numFmtId="0" fontId="17" fillId="18" borderId="5" xfId="4" applyFont="1" applyFill="1" applyBorder="1" applyAlignment="1">
      <alignment vertical="center"/>
    </xf>
    <xf numFmtId="0" fontId="69" fillId="24" borderId="5" xfId="4" applyFont="1" applyFill="1" applyBorder="1" applyAlignment="1">
      <alignment horizontal="center" vertical="center"/>
    </xf>
    <xf numFmtId="0" fontId="17" fillId="7" borderId="0" xfId="4" applyFont="1" applyFill="1" applyAlignment="1">
      <alignment horizontal="center" vertical="center"/>
    </xf>
    <xf numFmtId="20" fontId="16" fillId="13" borderId="5" xfId="4" applyNumberFormat="1" applyFont="1" applyFill="1" applyBorder="1" applyAlignment="1">
      <alignment horizontal="center" vertical="center" wrapText="1"/>
    </xf>
    <xf numFmtId="49" fontId="17" fillId="18" borderId="5" xfId="4" applyNumberFormat="1" applyFont="1" applyFill="1" applyBorder="1" applyAlignment="1">
      <alignment horizontal="center" vertical="center"/>
    </xf>
    <xf numFmtId="0" fontId="62" fillId="20" borderId="5" xfId="4" applyFont="1" applyFill="1" applyBorder="1" applyAlignment="1">
      <alignment horizontal="center" vertical="center"/>
    </xf>
    <xf numFmtId="0" fontId="15" fillId="14" borderId="5" xfId="4" applyFont="1" applyFill="1" applyBorder="1" applyAlignment="1">
      <alignment vertical="center"/>
    </xf>
    <xf numFmtId="0" fontId="38" fillId="8" borderId="5" xfId="4" applyFont="1" applyFill="1" applyBorder="1" applyAlignment="1">
      <alignment horizontal="center" vertical="center"/>
    </xf>
    <xf numFmtId="0" fontId="97" fillId="2" borderId="5" xfId="4" applyFont="1" applyFill="1" applyBorder="1" applyAlignment="1">
      <alignment horizontal="center" vertical="center"/>
    </xf>
    <xf numFmtId="49" fontId="17" fillId="21" borderId="5" xfId="4" applyNumberFormat="1" applyFont="1" applyFill="1" applyBorder="1" applyAlignment="1">
      <alignment horizontal="center" vertical="center"/>
    </xf>
    <xf numFmtId="49" fontId="17" fillId="20" borderId="5" xfId="4" applyNumberFormat="1" applyFont="1" applyFill="1" applyBorder="1" applyAlignment="1">
      <alignment horizontal="center" vertical="center"/>
    </xf>
    <xf numFmtId="49" fontId="17" fillId="22" borderId="5" xfId="4" applyNumberFormat="1" applyFont="1" applyFill="1" applyBorder="1" applyAlignment="1">
      <alignment horizontal="center" vertical="center"/>
    </xf>
    <xf numFmtId="20" fontId="15" fillId="15" borderId="5" xfId="4" applyNumberFormat="1" applyFont="1" applyFill="1" applyBorder="1" applyAlignment="1">
      <alignment horizontal="center" vertical="center"/>
    </xf>
    <xf numFmtId="0" fontId="20" fillId="17" borderId="5" xfId="4" applyFont="1" applyFill="1" applyBorder="1" applyAlignment="1">
      <alignment horizontal="center" vertical="center"/>
    </xf>
    <xf numFmtId="0" fontId="91" fillId="17" borderId="5" xfId="4" applyFont="1" applyFill="1" applyBorder="1" applyAlignment="1">
      <alignment horizontal="center" vertical="center"/>
    </xf>
    <xf numFmtId="20" fontId="17" fillId="18" borderId="5" xfId="4" applyNumberFormat="1" applyFont="1" applyFill="1" applyBorder="1" applyAlignment="1">
      <alignment horizontal="center" vertical="center" wrapText="1"/>
    </xf>
    <xf numFmtId="0" fontId="83" fillId="17" borderId="5" xfId="4" applyFont="1" applyFill="1" applyBorder="1" applyAlignment="1">
      <alignment horizontal="center" vertical="center"/>
    </xf>
    <xf numFmtId="0" fontId="38" fillId="39" borderId="2" xfId="4" applyFont="1" applyFill="1" applyBorder="1" applyAlignment="1">
      <alignment horizontal="center" vertical="center"/>
    </xf>
    <xf numFmtId="0" fontId="36" fillId="27" borderId="2" xfId="4" applyFont="1" applyFill="1" applyBorder="1" applyAlignment="1">
      <alignment horizontal="center" vertical="center"/>
    </xf>
    <xf numFmtId="20" fontId="15" fillId="13" borderId="5" xfId="4" applyNumberFormat="1" applyFont="1" applyFill="1" applyBorder="1" applyAlignment="1">
      <alignment horizontal="center" vertical="center" wrapText="1"/>
    </xf>
    <xf numFmtId="0" fontId="17" fillId="17" borderId="5" xfId="4" applyFont="1" applyFill="1" applyBorder="1" applyAlignment="1">
      <alignment horizontal="center" vertical="center"/>
    </xf>
    <xf numFmtId="0" fontId="15" fillId="29" borderId="2" xfId="4" applyFont="1" applyFill="1" applyBorder="1" applyAlignment="1">
      <alignment horizontal="center" vertical="center"/>
    </xf>
    <xf numFmtId="0" fontId="38" fillId="29" borderId="2" xfId="4" applyFont="1" applyFill="1" applyBorder="1" applyAlignment="1">
      <alignment horizontal="center" vertical="center"/>
    </xf>
    <xf numFmtId="0" fontId="15" fillId="29" borderId="5" xfId="4" applyFont="1" applyFill="1" applyBorder="1" applyAlignment="1">
      <alignment horizontal="left" vertical="top"/>
    </xf>
    <xf numFmtId="20" fontId="17" fillId="13" borderId="5" xfId="4" applyNumberFormat="1" applyFont="1" applyFill="1" applyBorder="1" applyAlignment="1">
      <alignment horizontal="center" vertical="center" wrapText="1"/>
    </xf>
    <xf numFmtId="0" fontId="38" fillId="14" borderId="5" xfId="4" applyFont="1" applyFill="1" applyBorder="1" applyAlignment="1">
      <alignment horizontal="center" vertical="center"/>
    </xf>
    <xf numFmtId="0" fontId="98" fillId="48" borderId="5" xfId="4" applyFont="1" applyFill="1" applyBorder="1" applyAlignment="1">
      <alignment horizontal="center" vertical="center"/>
    </xf>
    <xf numFmtId="0" fontId="85" fillId="53" borderId="5" xfId="4" applyFont="1" applyFill="1" applyBorder="1" applyAlignment="1">
      <alignment horizontal="center" vertical="center"/>
    </xf>
    <xf numFmtId="0" fontId="15" fillId="16" borderId="5" xfId="4" applyFont="1" applyFill="1" applyBorder="1" applyAlignment="1">
      <alignment horizontal="center" vertical="center"/>
    </xf>
    <xf numFmtId="0" fontId="99" fillId="2" borderId="5" xfId="4" applyFont="1" applyFill="1" applyBorder="1" applyAlignment="1">
      <alignment horizontal="center" vertical="center" wrapText="1"/>
    </xf>
    <xf numFmtId="0" fontId="30" fillId="42" borderId="5" xfId="4" applyFont="1" applyFill="1" applyBorder="1" applyAlignment="1">
      <alignment horizontal="center" vertical="center" wrapText="1"/>
    </xf>
    <xf numFmtId="0" fontId="9" fillId="42" borderId="5" xfId="4" applyFont="1" applyFill="1" applyBorder="1" applyAlignment="1">
      <alignment horizontal="center" vertical="center" wrapText="1"/>
    </xf>
    <xf numFmtId="0" fontId="63" fillId="42" borderId="5" xfId="4" applyFont="1" applyFill="1" applyBorder="1" applyAlignment="1">
      <alignment vertical="center" wrapText="1"/>
    </xf>
    <xf numFmtId="49" fontId="15" fillId="29" borderId="5" xfId="4" applyNumberFormat="1" applyFont="1" applyFill="1" applyBorder="1" applyAlignment="1">
      <alignment horizontal="left" vertical="top"/>
    </xf>
    <xf numFmtId="20" fontId="15" fillId="8" borderId="5" xfId="4" applyNumberFormat="1" applyFont="1" applyFill="1" applyBorder="1" applyAlignment="1">
      <alignment horizontal="center" vertical="center" wrapText="1"/>
    </xf>
    <xf numFmtId="0" fontId="37" fillId="29" borderId="2" xfId="4" applyFont="1" applyFill="1" applyBorder="1" applyAlignment="1">
      <alignment horizontal="center" vertical="center"/>
    </xf>
    <xf numFmtId="0" fontId="41" fillId="21" borderId="2" xfId="4" applyFont="1" applyFill="1" applyBorder="1" applyAlignment="1">
      <alignment horizontal="center" vertical="center"/>
    </xf>
    <xf numFmtId="0" fontId="41" fillId="20" borderId="2" xfId="4" applyFont="1" applyFill="1" applyBorder="1" applyAlignment="1">
      <alignment horizontal="center" vertical="center"/>
    </xf>
    <xf numFmtId="0" fontId="41" fillId="22" borderId="2" xfId="4" applyFont="1" applyFill="1" applyBorder="1" applyAlignment="1">
      <alignment horizontal="center" vertical="center"/>
    </xf>
    <xf numFmtId="0" fontId="36" fillId="14" borderId="5" xfId="4" applyFont="1" applyFill="1" applyBorder="1" applyAlignment="1">
      <alignment horizontal="center" vertical="center"/>
    </xf>
    <xf numFmtId="0" fontId="21" fillId="18" borderId="5" xfId="4" applyFont="1" applyFill="1" applyBorder="1" applyAlignment="1">
      <alignment horizontal="center" vertical="center"/>
    </xf>
    <xf numFmtId="20" fontId="17" fillId="42" borderId="5" xfId="2" applyNumberFormat="1" applyFont="1" applyFill="1" applyBorder="1" applyAlignment="1">
      <alignment horizontal="center" vertical="center" wrapText="1"/>
    </xf>
    <xf numFmtId="0" fontId="37" fillId="39" borderId="5" xfId="2" applyFont="1" applyFill="1" applyBorder="1" applyAlignment="1">
      <alignment horizontal="center" vertical="center"/>
    </xf>
    <xf numFmtId="0" fontId="37" fillId="39" borderId="2" xfId="2" applyFont="1" applyFill="1" applyBorder="1" applyAlignment="1">
      <alignment horizontal="center" vertical="center"/>
    </xf>
    <xf numFmtId="49" fontId="17" fillId="18" borderId="1" xfId="4" applyNumberFormat="1" applyFont="1" applyFill="1" applyBorder="1" applyAlignment="1">
      <alignment horizontal="center" vertical="center"/>
    </xf>
    <xf numFmtId="0" fontId="37" fillId="29" borderId="5" xfId="2" applyFont="1" applyFill="1" applyBorder="1" applyAlignment="1">
      <alignment horizontal="center" vertical="center"/>
    </xf>
    <xf numFmtId="0" fontId="15" fillId="29" borderId="2" xfId="2" applyFont="1" applyFill="1" applyBorder="1" applyAlignment="1">
      <alignment horizontal="center" vertical="center"/>
    </xf>
    <xf numFmtId="0" fontId="37" fillId="29" borderId="2" xfId="2" applyFont="1" applyFill="1" applyBorder="1" applyAlignment="1">
      <alignment horizontal="center" vertical="center"/>
    </xf>
    <xf numFmtId="0" fontId="17" fillId="27" borderId="5" xfId="4" applyFont="1" applyFill="1" applyBorder="1" applyAlignment="1">
      <alignment vertical="center"/>
    </xf>
    <xf numFmtId="0" fontId="15" fillId="42" borderId="5" xfId="4" applyFont="1" applyFill="1" applyBorder="1" applyAlignment="1">
      <alignment vertical="center" wrapText="1"/>
    </xf>
    <xf numFmtId="20" fontId="15" fillId="29" borderId="5" xfId="2" applyNumberFormat="1" applyFont="1" applyFill="1" applyBorder="1" applyAlignment="1">
      <alignment horizontal="left" vertical="top" wrapText="1"/>
    </xf>
    <xf numFmtId="20" fontId="15" fillId="16" borderId="5" xfId="4" applyNumberFormat="1" applyFont="1" applyFill="1" applyBorder="1" applyAlignment="1">
      <alignment horizontal="center" vertical="center"/>
    </xf>
    <xf numFmtId="0" fontId="15" fillId="29" borderId="7" xfId="4" applyFont="1" applyFill="1" applyBorder="1" applyAlignment="1">
      <alignment horizontal="center" vertical="center"/>
    </xf>
    <xf numFmtId="0" fontId="37" fillId="29" borderId="7" xfId="4" applyFont="1" applyFill="1" applyBorder="1" applyAlignment="1">
      <alignment horizontal="center" vertical="center"/>
    </xf>
    <xf numFmtId="20" fontId="15" fillId="29" borderId="6" xfId="2" applyNumberFormat="1" applyFont="1" applyFill="1" applyBorder="1" applyAlignment="1">
      <alignment horizontal="left" vertical="top" wrapText="1"/>
    </xf>
    <xf numFmtId="0" fontId="37" fillId="39" borderId="7" xfId="4" applyFont="1" applyFill="1" applyBorder="1" applyAlignment="1">
      <alignment horizontal="center" vertical="center"/>
    </xf>
    <xf numFmtId="20" fontId="15" fillId="39" borderId="6" xfId="2" applyNumberFormat="1" applyFont="1" applyFill="1" applyBorder="1" applyAlignment="1">
      <alignment horizontal="left" vertical="top" wrapText="1"/>
    </xf>
    <xf numFmtId="20" fontId="15" fillId="8" borderId="2" xfId="4" applyNumberFormat="1" applyFont="1" applyFill="1" applyBorder="1" applyAlignment="1">
      <alignment horizontal="center" vertical="center" wrapText="1"/>
    </xf>
    <xf numFmtId="0" fontId="17" fillId="27" borderId="6" xfId="4" applyFont="1" applyFill="1" applyBorder="1" applyAlignment="1">
      <alignment vertical="center"/>
    </xf>
    <xf numFmtId="0" fontId="15" fillId="13" borderId="6" xfId="4" applyFont="1" applyFill="1" applyBorder="1" applyAlignment="1">
      <alignment vertical="center" wrapText="1"/>
    </xf>
    <xf numFmtId="0" fontId="37" fillId="14" borderId="6" xfId="4" applyFont="1" applyFill="1" applyBorder="1" applyAlignment="1">
      <alignment horizontal="center" vertical="center"/>
    </xf>
    <xf numFmtId="0" fontId="15" fillId="14" borderId="6" xfId="4" applyFont="1" applyFill="1" applyBorder="1" applyAlignment="1">
      <alignment vertical="center"/>
    </xf>
    <xf numFmtId="0" fontId="36" fillId="25" borderId="6" xfId="4" applyFont="1" applyFill="1" applyBorder="1" applyAlignment="1">
      <alignment vertical="center"/>
    </xf>
    <xf numFmtId="0" fontId="15" fillId="16" borderId="6" xfId="4" applyFont="1" applyFill="1" applyBorder="1" applyAlignment="1">
      <alignment horizontal="center" vertical="center"/>
    </xf>
    <xf numFmtId="0" fontId="20" fillId="18" borderId="6" xfId="4" applyFont="1" applyFill="1" applyBorder="1" applyAlignment="1">
      <alignment horizontal="center" vertical="center"/>
    </xf>
    <xf numFmtId="0" fontId="17" fillId="18" borderId="6" xfId="4" applyFont="1" applyFill="1" applyBorder="1" applyAlignment="1">
      <alignment vertical="center"/>
    </xf>
    <xf numFmtId="20" fontId="17" fillId="18" borderId="6" xfId="4" applyNumberFormat="1" applyFont="1" applyFill="1" applyBorder="1" applyAlignment="1">
      <alignment horizontal="center" vertical="center" wrapText="1"/>
    </xf>
    <xf numFmtId="0" fontId="17" fillId="22" borderId="6" xfId="4" applyFont="1" applyFill="1" applyBorder="1" applyAlignment="1">
      <alignment horizontal="center" vertical="center"/>
    </xf>
    <xf numFmtId="0" fontId="15" fillId="29" borderId="4" xfId="4" applyFont="1" applyFill="1" applyBorder="1" applyAlignment="1">
      <alignment horizontal="center" vertical="center"/>
    </xf>
    <xf numFmtId="0" fontId="38" fillId="44" borderId="3" xfId="4" applyFont="1" applyFill="1" applyBorder="1" applyAlignment="1">
      <alignment horizontal="center" vertical="center"/>
    </xf>
    <xf numFmtId="20" fontId="15" fillId="44" borderId="3" xfId="4" applyNumberFormat="1" applyFont="1" applyFill="1" applyBorder="1" applyAlignment="1">
      <alignment horizontal="left" vertical="top" wrapText="1"/>
    </xf>
    <xf numFmtId="0" fontId="30" fillId="2" borderId="3" xfId="2" applyFont="1" applyFill="1" applyBorder="1" applyAlignment="1">
      <alignment horizontal="center" vertical="center" wrapText="1"/>
    </xf>
    <xf numFmtId="0" fontId="17" fillId="7" borderId="3" xfId="4" applyFont="1" applyFill="1" applyBorder="1" applyAlignment="1">
      <alignment horizontal="center" vertical="center"/>
    </xf>
    <xf numFmtId="0" fontId="15" fillId="12" borderId="3" xfId="4" applyFont="1" applyFill="1" applyBorder="1" applyAlignment="1">
      <alignment horizontal="center" vertical="center"/>
    </xf>
    <xf numFmtId="20" fontId="15" fillId="8" borderId="3" xfId="4" applyNumberFormat="1" applyFont="1" applyFill="1" applyBorder="1" applyAlignment="1">
      <alignment horizontal="center" vertical="center"/>
    </xf>
    <xf numFmtId="0" fontId="15" fillId="26" borderId="5" xfId="4" applyFont="1" applyFill="1" applyBorder="1" applyAlignment="1">
      <alignment horizontal="center" vertical="center" wrapText="1"/>
    </xf>
    <xf numFmtId="0" fontId="21" fillId="17" borderId="5" xfId="4" applyFont="1" applyFill="1" applyBorder="1" applyAlignment="1">
      <alignment horizontal="center" vertical="center"/>
    </xf>
    <xf numFmtId="0" fontId="17" fillId="17" borderId="3" xfId="4" applyFont="1" applyFill="1" applyBorder="1" applyAlignment="1">
      <alignment horizontal="center" vertical="center"/>
    </xf>
    <xf numFmtId="49" fontId="17" fillId="17" borderId="5" xfId="4" applyNumberFormat="1" applyFont="1" applyFill="1" applyBorder="1" applyAlignment="1">
      <alignment horizontal="center" vertical="center"/>
    </xf>
    <xf numFmtId="0" fontId="30" fillId="36" borderId="5" xfId="4" applyFont="1" applyFill="1" applyBorder="1" applyAlignment="1">
      <alignment horizontal="center" vertical="center"/>
    </xf>
    <xf numFmtId="0" fontId="15" fillId="19" borderId="3" xfId="4" applyFont="1" applyFill="1" applyBorder="1" applyAlignment="1">
      <alignment horizontal="center" vertical="center"/>
    </xf>
    <xf numFmtId="20" fontId="15" fillId="25" borderId="5" xfId="4" applyNumberFormat="1" applyFont="1" applyFill="1" applyBorder="1" applyAlignment="1">
      <alignment horizontal="center" vertical="center" wrapText="1"/>
    </xf>
    <xf numFmtId="0" fontId="54" fillId="25" borderId="5" xfId="4" applyFont="1" applyFill="1" applyBorder="1" applyAlignment="1">
      <alignment vertical="center"/>
    </xf>
    <xf numFmtId="20" fontId="15" fillId="8" borderId="5" xfId="4" applyNumberFormat="1" applyFont="1" applyFill="1" applyBorder="1" applyAlignment="1">
      <alignment horizontal="center" vertical="center"/>
    </xf>
    <xf numFmtId="0" fontId="15" fillId="26" borderId="5" xfId="4" applyFont="1" applyFill="1" applyBorder="1" applyAlignment="1">
      <alignment vertical="center" wrapText="1"/>
    </xf>
    <xf numFmtId="0" fontId="41" fillId="17" borderId="5" xfId="4" applyFont="1" applyFill="1" applyBorder="1" applyAlignment="1">
      <alignment horizontal="center" vertical="center" wrapText="1"/>
    </xf>
    <xf numFmtId="20" fontId="100" fillId="36" borderId="5" xfId="4" applyNumberFormat="1" applyFont="1" applyFill="1" applyBorder="1" applyAlignment="1">
      <alignment horizontal="center" vertical="center" wrapText="1"/>
    </xf>
    <xf numFmtId="0" fontId="9" fillId="2" borderId="2" xfId="4" applyFont="1" applyFill="1" applyBorder="1" applyAlignment="1">
      <alignment horizontal="center" vertical="center"/>
    </xf>
    <xf numFmtId="0" fontId="41" fillId="17" borderId="5" xfId="4" applyFont="1" applyFill="1" applyBorder="1" applyAlignment="1">
      <alignment horizontal="center" vertical="center"/>
    </xf>
    <xf numFmtId="0" fontId="100" fillId="36" borderId="5" xfId="4" applyFont="1" applyFill="1" applyBorder="1" applyAlignment="1">
      <alignment horizontal="center" vertical="center"/>
    </xf>
    <xf numFmtId="0" fontId="30" fillId="2" borderId="5" xfId="2" applyFont="1" applyFill="1" applyBorder="1" applyAlignment="1">
      <alignment horizontal="center" vertical="center" wrapText="1"/>
    </xf>
    <xf numFmtId="0" fontId="17" fillId="36" borderId="5" xfId="4" applyFont="1" applyFill="1" applyBorder="1" applyAlignment="1">
      <alignment vertical="center" wrapText="1"/>
    </xf>
    <xf numFmtId="0" fontId="42" fillId="2" borderId="5" xfId="2" applyFont="1" applyFill="1" applyBorder="1" applyAlignment="1">
      <alignment horizontal="left" vertical="center" wrapText="1"/>
    </xf>
    <xf numFmtId="0" fontId="17" fillId="17" borderId="5" xfId="4" applyFont="1" applyFill="1" applyBorder="1" applyAlignment="1">
      <alignment vertical="center"/>
    </xf>
    <xf numFmtId="0" fontId="37" fillId="16" borderId="5" xfId="4" applyFont="1" applyFill="1" applyBorder="1" applyAlignment="1">
      <alignment horizontal="center" vertical="center"/>
    </xf>
    <xf numFmtId="20" fontId="15" fillId="15" borderId="1" xfId="4" applyNumberFormat="1" applyFont="1" applyFill="1" applyBorder="1" applyAlignment="1">
      <alignment horizontal="center" vertical="center"/>
    </xf>
    <xf numFmtId="0" fontId="17" fillId="36" borderId="5" xfId="4" applyFont="1" applyFill="1" applyBorder="1" applyAlignment="1">
      <alignment horizontal="center" vertical="center"/>
    </xf>
    <xf numFmtId="0" fontId="17" fillId="18" borderId="1" xfId="4" applyFont="1" applyFill="1" applyBorder="1" applyAlignment="1">
      <alignment horizontal="center" vertical="center"/>
    </xf>
    <xf numFmtId="0" fontId="36" fillId="13" borderId="5" xfId="4" applyFont="1" applyFill="1" applyBorder="1" applyAlignment="1">
      <alignment horizontal="center" vertical="center"/>
    </xf>
    <xf numFmtId="49" fontId="15" fillId="15" borderId="1" xfId="4" applyNumberFormat="1" applyFont="1" applyFill="1" applyBorder="1" applyAlignment="1">
      <alignment horizontal="center" vertical="center"/>
    </xf>
    <xf numFmtId="20" fontId="17" fillId="36" borderId="5" xfId="4" applyNumberFormat="1" applyFont="1" applyFill="1" applyBorder="1" applyAlignment="1">
      <alignment horizontal="center" vertical="center" wrapText="1"/>
    </xf>
    <xf numFmtId="0" fontId="15" fillId="8" borderId="1" xfId="4" applyFont="1" applyFill="1" applyBorder="1" applyAlignment="1">
      <alignment horizontal="center" vertical="center"/>
    </xf>
    <xf numFmtId="0" fontId="21" fillId="18" borderId="2" xfId="4" applyFont="1" applyFill="1" applyBorder="1" applyAlignment="1">
      <alignment horizontal="center" vertical="center"/>
    </xf>
    <xf numFmtId="0" fontId="41" fillId="36" borderId="5" xfId="4" applyFont="1" applyFill="1" applyBorder="1" applyAlignment="1">
      <alignment horizontal="center" vertical="center"/>
    </xf>
    <xf numFmtId="20" fontId="17" fillId="18" borderId="1" xfId="4" applyNumberFormat="1" applyFont="1" applyFill="1" applyBorder="1" applyAlignment="1">
      <alignment horizontal="center" vertical="center" wrapText="1"/>
    </xf>
    <xf numFmtId="0" fontId="38" fillId="12" borderId="5" xfId="4" applyFont="1" applyFill="1" applyBorder="1" applyAlignment="1">
      <alignment vertical="center" wrapText="1"/>
    </xf>
    <xf numFmtId="0" fontId="17" fillId="36" borderId="5" xfId="4" applyFont="1" applyFill="1" applyBorder="1" applyAlignment="1">
      <alignment horizontal="center" vertical="center" wrapText="1"/>
    </xf>
    <xf numFmtId="49" fontId="17" fillId="18" borderId="5" xfId="4" applyNumberFormat="1" applyFont="1" applyFill="1" applyBorder="1" applyAlignment="1">
      <alignment horizontal="center" vertical="center" wrapText="1"/>
    </xf>
    <xf numFmtId="0" fontId="38" fillId="20" borderId="5" xfId="4" applyFont="1" applyFill="1" applyBorder="1" applyAlignment="1">
      <alignment horizontal="center" vertical="center" wrapText="1"/>
    </xf>
    <xf numFmtId="49" fontId="17" fillId="17" borderId="5" xfId="4" applyNumberFormat="1" applyFont="1" applyFill="1" applyBorder="1" applyAlignment="1">
      <alignment horizontal="center" vertical="center" wrapText="1"/>
    </xf>
    <xf numFmtId="0" fontId="15" fillId="24" borderId="5" xfId="4" applyFont="1" applyFill="1" applyBorder="1" applyAlignment="1">
      <alignment vertical="center" wrapText="1"/>
    </xf>
    <xf numFmtId="0" fontId="99" fillId="2" borderId="2" xfId="4" applyFont="1" applyFill="1" applyBorder="1" applyAlignment="1">
      <alignment horizontal="center" vertical="center"/>
    </xf>
    <xf numFmtId="0" fontId="15" fillId="54" borderId="5" xfId="4" applyFont="1" applyFill="1" applyBorder="1" applyAlignment="1">
      <alignment horizontal="center" vertical="center"/>
    </xf>
    <xf numFmtId="49" fontId="15" fillId="54" borderId="5" xfId="4" applyNumberFormat="1" applyFont="1" applyFill="1" applyBorder="1" applyAlignment="1">
      <alignment horizontal="center" vertical="center"/>
    </xf>
    <xf numFmtId="0" fontId="2" fillId="20" borderId="0" xfId="2" applyFill="1">
      <alignment vertical="center"/>
    </xf>
    <xf numFmtId="0" fontId="8" fillId="21" borderId="0" xfId="2" applyFont="1" applyFill="1" applyAlignment="1">
      <alignment horizontal="center" vertical="center"/>
    </xf>
    <xf numFmtId="0" fontId="8" fillId="20" borderId="0" xfId="2" applyFont="1" applyFill="1" applyAlignment="1">
      <alignment horizontal="center" vertical="center"/>
    </xf>
    <xf numFmtId="0" fontId="8" fillId="22" borderId="0" xfId="2" applyFont="1" applyFill="1" applyAlignment="1">
      <alignment horizontal="center" vertical="center"/>
    </xf>
    <xf numFmtId="0" fontId="36" fillId="15" borderId="5" xfId="4" applyFont="1" applyFill="1" applyBorder="1" applyAlignment="1">
      <alignment horizontal="center" vertical="center"/>
    </xf>
    <xf numFmtId="0" fontId="17" fillId="20" borderId="1" xfId="4" applyFont="1" applyFill="1" applyBorder="1" applyAlignment="1">
      <alignment horizontal="center" vertical="center"/>
    </xf>
    <xf numFmtId="0" fontId="36" fillId="8" borderId="5" xfId="4" applyFont="1" applyFill="1" applyBorder="1" applyAlignment="1">
      <alignment horizontal="center" vertical="center"/>
    </xf>
    <xf numFmtId="0" fontId="47" fillId="25" borderId="5" xfId="4" applyFont="1" applyFill="1" applyBorder="1" applyAlignment="1">
      <alignment vertical="center"/>
    </xf>
    <xf numFmtId="0" fontId="17" fillId="17" borderId="5" xfId="4" applyFont="1" applyFill="1" applyBorder="1" applyAlignment="1">
      <alignment horizontal="center" vertical="center" wrapText="1"/>
    </xf>
    <xf numFmtId="0" fontId="17" fillId="2" borderId="5" xfId="4" applyFont="1" applyFill="1" applyBorder="1" applyAlignment="1">
      <alignment vertical="center"/>
    </xf>
    <xf numFmtId="0" fontId="15" fillId="29" borderId="0" xfId="4" applyFont="1" applyFill="1" applyAlignment="1">
      <alignment horizontal="center" vertical="center"/>
    </xf>
    <xf numFmtId="0" fontId="15" fillId="39" borderId="0" xfId="4" applyFont="1" applyFill="1" applyAlignment="1">
      <alignment horizontal="left" vertical="top"/>
    </xf>
    <xf numFmtId="20" fontId="15" fillId="10" borderId="2" xfId="4" applyNumberFormat="1" applyFont="1" applyFill="1" applyBorder="1" applyAlignment="1">
      <alignment horizontal="center" vertical="center" wrapText="1"/>
    </xf>
    <xf numFmtId="0" fontId="36" fillId="27" borderId="5" xfId="4" applyFont="1" applyFill="1" applyBorder="1" applyAlignment="1">
      <alignment horizontal="center" vertical="center"/>
    </xf>
    <xf numFmtId="0" fontId="36" fillId="9" borderId="2" xfId="4" applyFont="1" applyFill="1" applyBorder="1" applyAlignment="1">
      <alignment horizontal="center" vertical="center"/>
    </xf>
    <xf numFmtId="20" fontId="17" fillId="7" borderId="5" xfId="4" applyNumberFormat="1" applyFont="1" applyFill="1" applyBorder="1" applyAlignment="1">
      <alignment horizontal="center" vertical="center"/>
    </xf>
    <xf numFmtId="20" fontId="17" fillId="11" borderId="5" xfId="4" applyNumberFormat="1" applyFont="1" applyFill="1" applyBorder="1" applyAlignment="1">
      <alignment horizontal="center" vertical="center"/>
    </xf>
    <xf numFmtId="0" fontId="15" fillId="16" borderId="5" xfId="4" applyFont="1" applyFill="1" applyBorder="1" applyAlignment="1">
      <alignment horizontal="left" vertical="center"/>
    </xf>
    <xf numFmtId="20" fontId="15" fillId="10" borderId="5" xfId="4" applyNumberFormat="1" applyFont="1" applyFill="1" applyBorder="1" applyAlignment="1">
      <alignment horizontal="center" vertical="center"/>
    </xf>
    <xf numFmtId="0" fontId="17" fillId="17" borderId="5" xfId="4" applyFont="1" applyFill="1" applyBorder="1" applyAlignment="1">
      <alignment vertical="center" wrapText="1"/>
    </xf>
    <xf numFmtId="20" fontId="15" fillId="19" borderId="5" xfId="4" applyNumberFormat="1" applyFont="1" applyFill="1" applyBorder="1" applyAlignment="1">
      <alignment horizontal="center" vertical="center"/>
    </xf>
    <xf numFmtId="0" fontId="15" fillId="29" borderId="6" xfId="4" applyFont="1" applyFill="1" applyBorder="1" applyAlignment="1">
      <alignment horizontal="left" vertical="top"/>
    </xf>
    <xf numFmtId="0" fontId="37" fillId="39" borderId="6" xfId="4" applyFont="1" applyFill="1" applyBorder="1" applyAlignment="1">
      <alignment horizontal="center" vertical="center"/>
    </xf>
    <xf numFmtId="0" fontId="15" fillId="27" borderId="7" xfId="4" applyFont="1" applyFill="1" applyBorder="1" applyAlignment="1">
      <alignment horizontal="center" vertical="center"/>
    </xf>
    <xf numFmtId="0" fontId="36" fillId="27" borderId="7" xfId="4" applyFont="1" applyFill="1" applyBorder="1" applyAlignment="1">
      <alignment horizontal="center" vertical="center"/>
    </xf>
    <xf numFmtId="0" fontId="15" fillId="25" borderId="7" xfId="4" applyFont="1" applyFill="1" applyBorder="1" applyAlignment="1">
      <alignment horizontal="center" vertical="center"/>
    </xf>
    <xf numFmtId="20" fontId="15" fillId="25" borderId="6" xfId="2" applyNumberFormat="1" applyFont="1" applyFill="1" applyBorder="1" applyAlignment="1">
      <alignment horizontal="center" vertical="center" wrapText="1"/>
    </xf>
    <xf numFmtId="0" fontId="36" fillId="9" borderId="6" xfId="4" applyFont="1" applyFill="1" applyBorder="1" applyAlignment="1">
      <alignment horizontal="center" vertical="center"/>
    </xf>
    <xf numFmtId="0" fontId="15" fillId="9" borderId="7" xfId="4" applyFont="1" applyFill="1" applyBorder="1" applyAlignment="1">
      <alignment horizontal="center" vertical="center"/>
    </xf>
    <xf numFmtId="0" fontId="37" fillId="10" borderId="6" xfId="4" applyFont="1" applyFill="1" applyBorder="1" applyAlignment="1">
      <alignment horizontal="center" vertical="center"/>
    </xf>
    <xf numFmtId="49" fontId="17" fillId="7" borderId="6" xfId="4" applyNumberFormat="1" applyFont="1" applyFill="1" applyBorder="1" applyAlignment="1">
      <alignment horizontal="center" vertical="center"/>
    </xf>
    <xf numFmtId="49" fontId="17" fillId="11" borderId="6" xfId="4" applyNumberFormat="1" applyFont="1" applyFill="1" applyBorder="1" applyAlignment="1">
      <alignment horizontal="center" vertical="center"/>
    </xf>
    <xf numFmtId="0" fontId="37" fillId="12" borderId="6" xfId="4" applyFont="1" applyFill="1" applyBorder="1" applyAlignment="1">
      <alignment horizontal="center" vertical="center"/>
    </xf>
    <xf numFmtId="0" fontId="38" fillId="12" borderId="6" xfId="4" applyFont="1" applyFill="1" applyBorder="1" applyAlignment="1">
      <alignment vertical="center" wrapText="1"/>
    </xf>
    <xf numFmtId="49" fontId="15" fillId="12" borderId="6" xfId="4" applyNumberFormat="1" applyFont="1" applyFill="1" applyBorder="1" applyAlignment="1">
      <alignment horizontal="center" vertical="center"/>
    </xf>
    <xf numFmtId="49" fontId="15" fillId="13" borderId="6" xfId="4" applyNumberFormat="1" applyFont="1" applyFill="1" applyBorder="1" applyAlignment="1">
      <alignment horizontal="center" vertical="center"/>
    </xf>
    <xf numFmtId="0" fontId="15" fillId="54" borderId="6" xfId="4" applyFont="1" applyFill="1" applyBorder="1" applyAlignment="1">
      <alignment horizontal="center" vertical="center"/>
    </xf>
    <xf numFmtId="49" fontId="15" fillId="54" borderId="6" xfId="4" applyNumberFormat="1" applyFont="1" applyFill="1" applyBorder="1" applyAlignment="1">
      <alignment horizontal="center" vertical="center"/>
    </xf>
    <xf numFmtId="0" fontId="15" fillId="24" borderId="6" xfId="4" applyFont="1" applyFill="1" applyBorder="1" applyAlignment="1">
      <alignment vertical="center"/>
    </xf>
    <xf numFmtId="49" fontId="15" fillId="15" borderId="6" xfId="4" applyNumberFormat="1" applyFont="1" applyFill="1" applyBorder="1" applyAlignment="1">
      <alignment horizontal="center" vertical="center"/>
    </xf>
    <xf numFmtId="0" fontId="47" fillId="25" borderId="6" xfId="4" applyFont="1" applyFill="1" applyBorder="1" applyAlignment="1">
      <alignment vertical="center"/>
    </xf>
    <xf numFmtId="0" fontId="37" fillId="16" borderId="6" xfId="4" applyFont="1" applyFill="1" applyBorder="1" applyAlignment="1">
      <alignment horizontal="center" vertical="center"/>
    </xf>
    <xf numFmtId="0" fontId="15" fillId="16" borderId="6" xfId="4" applyFont="1" applyFill="1" applyBorder="1" applyAlignment="1">
      <alignment horizontal="left" vertical="center"/>
    </xf>
    <xf numFmtId="49" fontId="15" fillId="16" borderId="6" xfId="4" applyNumberFormat="1" applyFont="1" applyFill="1" applyBorder="1" applyAlignment="1">
      <alignment horizontal="center" vertical="center"/>
    </xf>
    <xf numFmtId="0" fontId="15" fillId="10" borderId="6" xfId="4" applyFont="1" applyFill="1" applyBorder="1" applyAlignment="1">
      <alignment horizontal="center" vertical="center"/>
    </xf>
    <xf numFmtId="0" fontId="17" fillId="10" borderId="6" xfId="4" applyFont="1" applyFill="1" applyBorder="1" applyAlignment="1">
      <alignment vertical="center"/>
    </xf>
    <xf numFmtId="0" fontId="41" fillId="17" borderId="6" xfId="4" applyFont="1" applyFill="1" applyBorder="1" applyAlignment="1">
      <alignment horizontal="center" vertical="center" shrinkToFit="1"/>
    </xf>
    <xf numFmtId="0" fontId="17" fillId="17" borderId="6" xfId="4" applyFont="1" applyFill="1" applyBorder="1" applyAlignment="1">
      <alignment vertical="center" wrapText="1"/>
    </xf>
    <xf numFmtId="49" fontId="17" fillId="17" borderId="6" xfId="4" applyNumberFormat="1" applyFont="1" applyFill="1" applyBorder="1" applyAlignment="1">
      <alignment horizontal="center" vertical="center"/>
    </xf>
    <xf numFmtId="0" fontId="17" fillId="36" borderId="6" xfId="4" applyFont="1" applyFill="1" applyBorder="1" applyAlignment="1">
      <alignment vertical="center" wrapText="1"/>
    </xf>
    <xf numFmtId="49" fontId="17" fillId="18" borderId="6" xfId="4" applyNumberFormat="1" applyFont="1" applyFill="1" applyBorder="1" applyAlignment="1">
      <alignment horizontal="center" vertical="center" wrapText="1"/>
    </xf>
    <xf numFmtId="0" fontId="17" fillId="2" borderId="6" xfId="4" applyFont="1" applyFill="1" applyBorder="1" applyAlignment="1">
      <alignment vertical="center"/>
    </xf>
    <xf numFmtId="0" fontId="2" fillId="20" borderId="6" xfId="2" applyFill="1" applyBorder="1">
      <alignment vertical="center"/>
    </xf>
    <xf numFmtId="49" fontId="15" fillId="20" borderId="6" xfId="4" applyNumberFormat="1" applyFont="1" applyFill="1" applyBorder="1" applyAlignment="1">
      <alignment horizontal="center" vertical="center"/>
    </xf>
    <xf numFmtId="0" fontId="8" fillId="21" borderId="6" xfId="2" applyFont="1" applyFill="1" applyBorder="1" applyAlignment="1">
      <alignment horizontal="center" vertical="center"/>
    </xf>
    <xf numFmtId="49" fontId="17" fillId="21" borderId="6" xfId="4" applyNumberFormat="1" applyFont="1" applyFill="1" applyBorder="1" applyAlignment="1">
      <alignment horizontal="center" vertical="center"/>
    </xf>
    <xf numFmtId="0" fontId="8" fillId="20" borderId="6" xfId="2" applyFont="1" applyFill="1" applyBorder="1" applyAlignment="1">
      <alignment horizontal="center" vertical="center"/>
    </xf>
    <xf numFmtId="49" fontId="17" fillId="20" borderId="6" xfId="4" applyNumberFormat="1" applyFont="1" applyFill="1" applyBorder="1" applyAlignment="1">
      <alignment horizontal="center" vertical="center"/>
    </xf>
    <xf numFmtId="0" fontId="8" fillId="22" borderId="6" xfId="2" applyFont="1" applyFill="1" applyBorder="1" applyAlignment="1">
      <alignment horizontal="center" vertical="center"/>
    </xf>
    <xf numFmtId="49" fontId="17" fillId="22" borderId="6" xfId="4" applyNumberFormat="1" applyFont="1" applyFill="1" applyBorder="1" applyAlignment="1">
      <alignment horizontal="center" vertical="center"/>
    </xf>
    <xf numFmtId="0" fontId="3" fillId="0" borderId="5" xfId="2" applyFont="1" applyBorder="1" applyAlignment="1">
      <alignment horizontal="right" vertical="center"/>
    </xf>
    <xf numFmtId="0" fontId="6" fillId="0" borderId="5" xfId="2" applyFont="1" applyBorder="1" applyAlignment="1">
      <alignment horizontal="center" vertical="center"/>
    </xf>
    <xf numFmtId="0" fontId="3" fillId="0" borderId="5" xfId="2" applyFont="1" applyBorder="1" applyAlignment="1">
      <alignment horizontal="center" vertical="center"/>
    </xf>
    <xf numFmtId="0" fontId="6" fillId="0" borderId="5" xfId="2" applyFont="1" applyBorder="1" applyAlignment="1">
      <alignment horizontal="left" vertical="top"/>
    </xf>
    <xf numFmtId="0" fontId="38" fillId="0" borderId="5" xfId="4" applyFont="1" applyBorder="1" applyAlignment="1">
      <alignment horizontal="center" vertical="center"/>
    </xf>
    <xf numFmtId="49" fontId="15" fillId="0" borderId="5" xfId="4" applyNumberFormat="1" applyFont="1" applyBorder="1" applyAlignment="1">
      <alignment horizontal="center" vertical="center" wrapText="1"/>
    </xf>
    <xf numFmtId="0" fontId="6" fillId="0" borderId="5" xfId="2" applyFont="1" applyBorder="1" applyAlignment="1">
      <alignment horizontal="right" vertical="center"/>
    </xf>
    <xf numFmtId="0" fontId="38" fillId="0" borderId="2" xfId="4" applyFont="1" applyBorder="1" applyAlignment="1">
      <alignment horizontal="center" vertical="center"/>
    </xf>
    <xf numFmtId="0" fontId="36" fillId="24" borderId="5" xfId="4" applyFont="1" applyFill="1" applyBorder="1" applyAlignment="1">
      <alignment horizontal="center" vertical="center"/>
    </xf>
    <xf numFmtId="0" fontId="85" fillId="55" borderId="5" xfId="4" applyFont="1" applyFill="1" applyBorder="1" applyAlignment="1">
      <alignment horizontal="center" vertical="center"/>
    </xf>
    <xf numFmtId="0" fontId="36" fillId="10" borderId="5" xfId="4" applyFont="1" applyFill="1" applyBorder="1" applyAlignment="1">
      <alignment horizontal="center" vertical="center"/>
    </xf>
    <xf numFmtId="49" fontId="17" fillId="10" borderId="1" xfId="4" applyNumberFormat="1" applyFont="1" applyFill="1" applyBorder="1" applyAlignment="1">
      <alignment horizontal="center" vertical="center"/>
    </xf>
    <xf numFmtId="49" fontId="15" fillId="19" borderId="1" xfId="4" applyNumberFormat="1" applyFont="1" applyFill="1" applyBorder="1" applyAlignment="1">
      <alignment horizontal="center" vertical="center"/>
    </xf>
    <xf numFmtId="49" fontId="15" fillId="0" borderId="1" xfId="4" applyNumberFormat="1" applyFont="1" applyBorder="1" applyAlignment="1">
      <alignment horizontal="center" vertical="center" wrapText="1"/>
    </xf>
    <xf numFmtId="0" fontId="3" fillId="0" borderId="2" xfId="2" applyFont="1" applyBorder="1" applyAlignment="1">
      <alignment horizontal="right" vertical="center"/>
    </xf>
    <xf numFmtId="0" fontId="6" fillId="0" borderId="2" xfId="2" applyFont="1" applyBorder="1" applyAlignment="1">
      <alignment horizontal="center" vertical="center"/>
    </xf>
    <xf numFmtId="0" fontId="3" fillId="0" borderId="2" xfId="2" applyFont="1" applyBorder="1" applyAlignment="1">
      <alignment horizontal="center" vertical="center"/>
    </xf>
    <xf numFmtId="0" fontId="6" fillId="0" borderId="2" xfId="2" applyFont="1" applyBorder="1" applyAlignment="1">
      <alignment horizontal="left" vertical="top"/>
    </xf>
    <xf numFmtId="0" fontId="6" fillId="0" borderId="2" xfId="2" applyFont="1" applyBorder="1" applyAlignment="1">
      <alignment horizontal="right" vertical="center"/>
    </xf>
    <xf numFmtId="0" fontId="21" fillId="7" borderId="5" xfId="4" applyFont="1" applyFill="1" applyBorder="1" applyAlignment="1">
      <alignment horizontal="center" vertical="center"/>
    </xf>
    <xf numFmtId="49" fontId="17" fillId="7" borderId="1" xfId="4" applyNumberFormat="1" applyFont="1" applyFill="1" applyBorder="1" applyAlignment="1">
      <alignment horizontal="center" vertical="center"/>
    </xf>
    <xf numFmtId="20" fontId="15" fillId="12" borderId="5" xfId="4" applyNumberFormat="1" applyFont="1" applyFill="1" applyBorder="1" applyAlignment="1">
      <alignment horizontal="center" vertical="center"/>
    </xf>
    <xf numFmtId="0" fontId="21" fillId="36" borderId="5" xfId="4" applyFont="1" applyFill="1" applyBorder="1" applyAlignment="1">
      <alignment horizontal="center" vertical="center" wrapText="1"/>
    </xf>
    <xf numFmtId="176" fontId="3" fillId="0" borderId="22" xfId="2" quotePrefix="1" applyNumberFormat="1" applyFont="1" applyBorder="1" applyAlignment="1">
      <alignment horizontal="right" vertical="center"/>
    </xf>
    <xf numFmtId="0" fontId="3" fillId="0" borderId="2" xfId="2" quotePrefix="1" applyFont="1" applyBorder="1" applyAlignment="1">
      <alignment horizontal="right" vertical="center"/>
    </xf>
    <xf numFmtId="0" fontId="6" fillId="0" borderId="2" xfId="2" quotePrefix="1" applyFont="1" applyBorder="1" applyAlignment="1">
      <alignment horizontal="center" vertical="center"/>
    </xf>
    <xf numFmtId="0" fontId="3" fillId="0" borderId="2" xfId="2" quotePrefix="1" applyFont="1" applyBorder="1" applyAlignment="1">
      <alignment horizontal="center" vertical="center"/>
    </xf>
    <xf numFmtId="0" fontId="6" fillId="0" borderId="2" xfId="2" quotePrefix="1" applyFont="1" applyBorder="1" applyAlignment="1">
      <alignment horizontal="left" vertical="top"/>
    </xf>
    <xf numFmtId="20" fontId="15" fillId="0" borderId="1" xfId="4" applyNumberFormat="1" applyFont="1" applyBorder="1" applyAlignment="1">
      <alignment horizontal="center" vertical="center" wrapText="1"/>
    </xf>
    <xf numFmtId="0" fontId="6" fillId="0" borderId="2" xfId="2" quotePrefix="1" applyFont="1" applyBorder="1" applyAlignment="1">
      <alignment horizontal="right" vertical="center"/>
    </xf>
    <xf numFmtId="20" fontId="17" fillId="17" borderId="1" xfId="4" applyNumberFormat="1" applyFont="1" applyFill="1" applyBorder="1" applyAlignment="1">
      <alignment horizontal="center" vertical="center" wrapText="1"/>
    </xf>
    <xf numFmtId="176" fontId="3" fillId="0" borderId="17" xfId="2" quotePrefix="1" applyNumberFormat="1" applyFont="1" applyBorder="1" applyAlignment="1">
      <alignment horizontal="right" vertical="center"/>
    </xf>
    <xf numFmtId="0" fontId="3" fillId="0" borderId="5" xfId="2" quotePrefix="1" applyFont="1" applyBorder="1" applyAlignment="1">
      <alignment horizontal="right" vertical="center"/>
    </xf>
    <xf numFmtId="0" fontId="6" fillId="0" borderId="5" xfId="2" quotePrefix="1" applyFont="1" applyBorder="1" applyAlignment="1">
      <alignment horizontal="center" vertical="center"/>
    </xf>
    <xf numFmtId="0" fontId="3" fillId="0" borderId="5" xfId="2" quotePrefix="1" applyFont="1" applyBorder="1" applyAlignment="1">
      <alignment horizontal="center" vertical="center"/>
    </xf>
    <xf numFmtId="0" fontId="6" fillId="0" borderId="5" xfId="2" quotePrefix="1" applyFont="1" applyBorder="1" applyAlignment="1">
      <alignment horizontal="left" vertical="top"/>
    </xf>
    <xf numFmtId="0" fontId="6" fillId="0" borderId="5" xfId="2" quotePrefix="1" applyFont="1" applyBorder="1" applyAlignment="1">
      <alignment horizontal="right" vertical="center"/>
    </xf>
    <xf numFmtId="20" fontId="17" fillId="10" borderId="5" xfId="4" applyNumberFormat="1" applyFont="1" applyFill="1" applyBorder="1" applyAlignment="1">
      <alignment horizontal="center" vertical="center"/>
    </xf>
    <xf numFmtId="0" fontId="15" fillId="0" borderId="0" xfId="4" applyFont="1" applyAlignment="1">
      <alignment horizontal="center" vertical="center"/>
    </xf>
    <xf numFmtId="49" fontId="15" fillId="0" borderId="2" xfId="4" applyNumberFormat="1" applyFont="1" applyBorder="1" applyAlignment="1">
      <alignment horizontal="center" vertical="center" wrapText="1"/>
    </xf>
    <xf numFmtId="0" fontId="41" fillId="7" borderId="2" xfId="4" applyFont="1" applyFill="1" applyBorder="1" applyAlignment="1">
      <alignment horizontal="center" vertical="center"/>
    </xf>
    <xf numFmtId="0" fontId="41" fillId="11" borderId="2" xfId="4" applyFont="1" applyFill="1" applyBorder="1" applyAlignment="1">
      <alignment horizontal="center" vertical="center"/>
    </xf>
    <xf numFmtId="0" fontId="38" fillId="10" borderId="2" xfId="4" applyFont="1" applyFill="1" applyBorder="1" applyAlignment="1">
      <alignment horizontal="center" vertical="center"/>
    </xf>
    <xf numFmtId="20" fontId="15" fillId="36" borderId="1" xfId="4" applyNumberFormat="1" applyFont="1" applyFill="1" applyBorder="1" applyAlignment="1">
      <alignment horizontal="center" vertical="center" wrapText="1"/>
    </xf>
    <xf numFmtId="49" fontId="15" fillId="20" borderId="1" xfId="4" applyNumberFormat="1" applyFont="1" applyFill="1" applyBorder="1" applyAlignment="1">
      <alignment horizontal="center" vertical="center"/>
    </xf>
    <xf numFmtId="49" fontId="17" fillId="21" borderId="1" xfId="4" applyNumberFormat="1" applyFont="1" applyFill="1" applyBorder="1" applyAlignment="1">
      <alignment horizontal="center" vertical="center"/>
    </xf>
    <xf numFmtId="49" fontId="17" fillId="20" borderId="1" xfId="4" applyNumberFormat="1" applyFont="1" applyFill="1" applyBorder="1" applyAlignment="1">
      <alignment horizontal="center" vertical="center"/>
    </xf>
    <xf numFmtId="49" fontId="17" fillId="22" borderId="1" xfId="4" applyNumberFormat="1" applyFont="1" applyFill="1" applyBorder="1" applyAlignment="1">
      <alignment horizontal="center" vertical="center"/>
    </xf>
    <xf numFmtId="0" fontId="36" fillId="18" borderId="5" xfId="4" applyFont="1" applyFill="1" applyBorder="1" applyAlignment="1">
      <alignment horizontal="center" vertical="center"/>
    </xf>
    <xf numFmtId="0" fontId="15" fillId="36" borderId="1" xfId="4" applyFont="1" applyFill="1" applyBorder="1" applyAlignment="1">
      <alignment horizontal="center" vertical="center"/>
    </xf>
    <xf numFmtId="49" fontId="15" fillId="18" borderId="5" xfId="4" applyNumberFormat="1" applyFont="1" applyFill="1" applyBorder="1" applyAlignment="1">
      <alignment horizontal="center" vertical="center" wrapText="1"/>
    </xf>
    <xf numFmtId="20" fontId="15" fillId="0" borderId="2" xfId="4" applyNumberFormat="1" applyFont="1" applyBorder="1" applyAlignment="1">
      <alignment horizontal="center" vertical="center" wrapText="1"/>
    </xf>
    <xf numFmtId="0" fontId="17" fillId="11" borderId="2" xfId="4" applyFont="1" applyFill="1" applyBorder="1" applyAlignment="1">
      <alignment horizontal="center" vertical="center"/>
    </xf>
    <xf numFmtId="0" fontId="38" fillId="54" borderId="5" xfId="4" applyFont="1" applyFill="1" applyBorder="1" applyAlignment="1">
      <alignment horizontal="center" vertical="center"/>
    </xf>
    <xf numFmtId="20" fontId="15" fillId="15" borderId="5" xfId="2" applyNumberFormat="1" applyFont="1" applyFill="1" applyBorder="1" applyAlignment="1">
      <alignment horizontal="center" vertical="center" wrapText="1"/>
    </xf>
    <xf numFmtId="20" fontId="17" fillId="36" borderId="1" xfId="4" applyNumberFormat="1" applyFont="1" applyFill="1" applyBorder="1" applyAlignment="1">
      <alignment horizontal="center" vertical="center" wrapText="1"/>
    </xf>
    <xf numFmtId="0" fontId="36" fillId="54" borderId="5" xfId="4" applyFont="1" applyFill="1" applyBorder="1" applyAlignment="1">
      <alignment horizontal="center" vertical="center"/>
    </xf>
    <xf numFmtId="0" fontId="36" fillId="13" borderId="5" xfId="4" applyFont="1" applyFill="1" applyBorder="1" applyAlignment="1">
      <alignment horizontal="center" vertical="center" wrapText="1"/>
    </xf>
    <xf numFmtId="0" fontId="85" fillId="56" borderId="5" xfId="4" applyFont="1" applyFill="1" applyBorder="1" applyAlignment="1">
      <alignment horizontal="center" vertical="center"/>
    </xf>
    <xf numFmtId="0" fontId="17" fillId="21" borderId="2" xfId="4" applyFont="1" applyFill="1" applyBorder="1" applyAlignment="1">
      <alignment horizontal="center" vertical="center"/>
    </xf>
    <xf numFmtId="0" fontId="17" fillId="20" borderId="2" xfId="4" applyFont="1" applyFill="1" applyBorder="1" applyAlignment="1">
      <alignment horizontal="center" vertical="center"/>
    </xf>
    <xf numFmtId="0" fontId="17" fillId="22" borderId="2" xfId="4" applyFont="1" applyFill="1" applyBorder="1" applyAlignment="1">
      <alignment horizontal="center" vertical="center"/>
    </xf>
    <xf numFmtId="0" fontId="42" fillId="18" borderId="5" xfId="4" applyFont="1" applyFill="1" applyBorder="1" applyAlignment="1">
      <alignment horizontal="center" vertical="center"/>
    </xf>
    <xf numFmtId="20" fontId="38" fillId="36" borderId="1" xfId="4" applyNumberFormat="1" applyFont="1" applyFill="1" applyBorder="1" applyAlignment="1">
      <alignment horizontal="center" vertical="center" wrapText="1"/>
    </xf>
    <xf numFmtId="0" fontId="41" fillId="2" borderId="5" xfId="4" applyFont="1" applyFill="1" applyBorder="1" applyAlignment="1">
      <alignment horizontal="center" vertical="center"/>
    </xf>
    <xf numFmtId="20" fontId="41" fillId="36" borderId="1" xfId="4" applyNumberFormat="1" applyFont="1" applyFill="1" applyBorder="1" applyAlignment="1">
      <alignment horizontal="center" vertical="center" wrapText="1"/>
    </xf>
    <xf numFmtId="20" fontId="15" fillId="12" borderId="5" xfId="4" applyNumberFormat="1" applyFont="1" applyFill="1" applyBorder="1" applyAlignment="1">
      <alignment horizontal="center" vertical="center" wrapText="1"/>
    </xf>
    <xf numFmtId="49" fontId="41" fillId="17" borderId="5" xfId="4" applyNumberFormat="1" applyFont="1" applyFill="1" applyBorder="1" applyAlignment="1">
      <alignment horizontal="center" vertical="center" wrapText="1"/>
    </xf>
    <xf numFmtId="20" fontId="17" fillId="36" borderId="1" xfId="2" applyNumberFormat="1" applyFont="1" applyFill="1" applyBorder="1" applyAlignment="1">
      <alignment horizontal="center" vertical="center" wrapText="1"/>
    </xf>
    <xf numFmtId="49" fontId="17" fillId="18" borderId="5" xfId="2" applyNumberFormat="1" applyFont="1" applyFill="1" applyBorder="1" applyAlignment="1">
      <alignment horizontal="center" vertical="center" wrapText="1"/>
    </xf>
    <xf numFmtId="0" fontId="15" fillId="2" borderId="5" xfId="4" applyFont="1" applyFill="1" applyBorder="1" applyAlignment="1">
      <alignment vertical="center"/>
    </xf>
    <xf numFmtId="0" fontId="15" fillId="17" borderId="5" xfId="4" applyFont="1" applyFill="1" applyBorder="1" applyAlignment="1">
      <alignment horizontal="center" vertical="center" shrinkToFit="1"/>
    </xf>
    <xf numFmtId="0" fontId="36" fillId="17" borderId="1" xfId="4" applyFont="1" applyFill="1" applyBorder="1" applyAlignment="1">
      <alignment horizontal="center" vertical="center"/>
    </xf>
    <xf numFmtId="0" fontId="15" fillId="18" borderId="5" xfId="4" applyFont="1" applyFill="1" applyBorder="1" applyAlignment="1">
      <alignment horizontal="center" vertical="center" shrinkToFit="1"/>
    </xf>
    <xf numFmtId="49" fontId="15" fillId="17" borderId="5" xfId="4" applyNumberFormat="1" applyFont="1" applyFill="1" applyBorder="1" applyAlignment="1">
      <alignment horizontal="center" vertical="center"/>
    </xf>
    <xf numFmtId="0" fontId="36" fillId="36" borderId="1" xfId="4" applyFont="1" applyFill="1" applyBorder="1" applyAlignment="1">
      <alignment horizontal="center" vertical="center"/>
    </xf>
    <xf numFmtId="0" fontId="3" fillId="0" borderId="6" xfId="2" applyFont="1" applyBorder="1" applyAlignment="1">
      <alignment horizontal="right" vertical="center"/>
    </xf>
    <xf numFmtId="0" fontId="6" fillId="0" borderId="6" xfId="2" applyFont="1" applyBorder="1" applyAlignment="1">
      <alignment horizontal="center" vertical="center"/>
    </xf>
    <xf numFmtId="0" fontId="3" fillId="0" borderId="6" xfId="2" applyFont="1" applyBorder="1" applyAlignment="1">
      <alignment horizontal="center" vertical="center"/>
    </xf>
    <xf numFmtId="0" fontId="6" fillId="0" borderId="6" xfId="2" applyFont="1" applyBorder="1" applyAlignment="1">
      <alignment horizontal="right" vertical="center"/>
    </xf>
    <xf numFmtId="0" fontId="3" fillId="0" borderId="7" xfId="2" applyFont="1" applyBorder="1" applyAlignment="1">
      <alignment horizontal="right" vertical="center"/>
    </xf>
    <xf numFmtId="20" fontId="15" fillId="12" borderId="6" xfId="4" applyNumberFormat="1" applyFont="1" applyFill="1" applyBorder="1" applyAlignment="1">
      <alignment horizontal="center" vertical="center"/>
    </xf>
    <xf numFmtId="49" fontId="15" fillId="14" borderId="6" xfId="4" applyNumberFormat="1" applyFont="1" applyFill="1" applyBorder="1" applyAlignment="1">
      <alignment horizontal="center" vertical="center"/>
    </xf>
    <xf numFmtId="20" fontId="15" fillId="15" borderId="6" xfId="4" applyNumberFormat="1" applyFont="1" applyFill="1" applyBorder="1" applyAlignment="1">
      <alignment horizontal="center" vertical="center"/>
    </xf>
    <xf numFmtId="0" fontId="38" fillId="8" borderId="6" xfId="4" applyFont="1" applyFill="1" applyBorder="1" applyAlignment="1">
      <alignment horizontal="center" vertical="center"/>
    </xf>
    <xf numFmtId="0" fontId="15" fillId="17" borderId="6" xfId="4" applyFont="1" applyFill="1" applyBorder="1" applyAlignment="1">
      <alignment horizontal="center" vertical="center" shrinkToFit="1"/>
    </xf>
    <xf numFmtId="0" fontId="38" fillId="17" borderId="6" xfId="4" applyFont="1" applyFill="1" applyBorder="1" applyAlignment="1">
      <alignment horizontal="center" vertical="center"/>
    </xf>
    <xf numFmtId="49" fontId="15" fillId="17" borderId="6" xfId="4" applyNumberFormat="1" applyFont="1" applyFill="1" applyBorder="1" applyAlignment="1">
      <alignment horizontal="center" vertical="center"/>
    </xf>
    <xf numFmtId="0" fontId="42" fillId="37" borderId="6" xfId="4" applyFont="1" applyFill="1" applyBorder="1" applyAlignment="1">
      <alignment horizontal="center" vertical="center" shrinkToFit="1"/>
    </xf>
    <xf numFmtId="0" fontId="21" fillId="37" borderId="6" xfId="4" applyFont="1" applyFill="1" applyBorder="1" applyAlignment="1">
      <alignment horizontal="center" vertical="center" wrapText="1"/>
    </xf>
    <xf numFmtId="49" fontId="42" fillId="37" borderId="6" xfId="4" applyNumberFormat="1" applyFont="1" applyFill="1" applyBorder="1" applyAlignment="1">
      <alignment horizontal="center" vertical="center"/>
    </xf>
    <xf numFmtId="0" fontId="15" fillId="20" borderId="7" xfId="4" applyFont="1" applyFill="1" applyBorder="1" applyAlignment="1">
      <alignment horizontal="center" vertical="center"/>
    </xf>
    <xf numFmtId="49" fontId="15" fillId="20" borderId="24" xfId="4" applyNumberFormat="1" applyFont="1" applyFill="1" applyBorder="1" applyAlignment="1">
      <alignment horizontal="center" vertical="center"/>
    </xf>
    <xf numFmtId="0" fontId="17" fillId="21" borderId="7" xfId="4" applyFont="1" applyFill="1" applyBorder="1" applyAlignment="1">
      <alignment horizontal="center" vertical="center"/>
    </xf>
    <xf numFmtId="49" fontId="17" fillId="21" borderId="24" xfId="4" applyNumberFormat="1" applyFont="1" applyFill="1" applyBorder="1" applyAlignment="1">
      <alignment horizontal="center" vertical="center"/>
    </xf>
    <xf numFmtId="0" fontId="17" fillId="20" borderId="7" xfId="4" applyFont="1" applyFill="1" applyBorder="1" applyAlignment="1">
      <alignment horizontal="center" vertical="center"/>
    </xf>
    <xf numFmtId="49" fontId="17" fillId="20" borderId="24" xfId="4" applyNumberFormat="1" applyFont="1" applyFill="1" applyBorder="1" applyAlignment="1">
      <alignment horizontal="center" vertical="center"/>
    </xf>
    <xf numFmtId="0" fontId="17" fillId="22" borderId="7" xfId="4" applyFont="1" applyFill="1" applyBorder="1" applyAlignment="1">
      <alignment horizontal="center" vertical="center"/>
    </xf>
    <xf numFmtId="49" fontId="17" fillId="22" borderId="24" xfId="4" applyNumberFormat="1" applyFont="1" applyFill="1" applyBorder="1" applyAlignment="1">
      <alignment horizontal="center" vertical="center"/>
    </xf>
    <xf numFmtId="0" fontId="6" fillId="0" borderId="4" xfId="2" applyFont="1" applyBorder="1" applyAlignment="1">
      <alignment horizontal="left" vertical="top"/>
    </xf>
    <xf numFmtId="0" fontId="6" fillId="0" borderId="4" xfId="2" applyFont="1" applyBorder="1" applyAlignment="1">
      <alignment horizontal="right" vertical="center"/>
    </xf>
    <xf numFmtId="0" fontId="88" fillId="27" borderId="5" xfId="4" applyFont="1" applyFill="1" applyBorder="1" applyAlignment="1">
      <alignment horizontal="center" vertical="center"/>
    </xf>
    <xf numFmtId="49" fontId="17" fillId="27" borderId="5" xfId="4" applyNumberFormat="1" applyFont="1" applyFill="1" applyBorder="1" applyAlignment="1">
      <alignment horizontal="center" vertical="center"/>
    </xf>
    <xf numFmtId="0" fontId="88" fillId="11" borderId="5" xfId="4" applyFont="1" applyFill="1" applyBorder="1" applyAlignment="1">
      <alignment horizontal="center" vertical="center"/>
    </xf>
    <xf numFmtId="0" fontId="36" fillId="25" borderId="5" xfId="4" applyFont="1" applyFill="1" applyBorder="1" applyAlignment="1">
      <alignment horizontal="center" vertical="center"/>
    </xf>
    <xf numFmtId="0" fontId="17" fillId="18" borderId="3" xfId="4" applyFont="1" applyFill="1" applyBorder="1" applyAlignment="1">
      <alignment horizontal="center" vertical="center"/>
    </xf>
    <xf numFmtId="0" fontId="30" fillId="36" borderId="3" xfId="4" applyFont="1" applyFill="1" applyBorder="1" applyAlignment="1">
      <alignment horizontal="center" vertical="center"/>
    </xf>
    <xf numFmtId="20" fontId="17" fillId="18" borderId="3" xfId="4" applyNumberFormat="1" applyFont="1" applyFill="1" applyBorder="1" applyAlignment="1">
      <alignment horizontal="center" vertical="center" wrapText="1"/>
    </xf>
    <xf numFmtId="0" fontId="71" fillId="20" borderId="5" xfId="4" applyFont="1" applyFill="1" applyBorder="1" applyAlignment="1">
      <alignment horizontal="center" vertical="center"/>
    </xf>
    <xf numFmtId="0" fontId="47" fillId="13" borderId="5" xfId="4" applyFont="1" applyFill="1" applyBorder="1" applyAlignment="1">
      <alignment horizontal="center" vertical="center" wrapText="1"/>
    </xf>
    <xf numFmtId="0" fontId="56" fillId="20" borderId="5" xfId="4" applyFont="1" applyFill="1" applyBorder="1" applyAlignment="1">
      <alignment horizontal="center" vertical="center" wrapText="1"/>
    </xf>
    <xf numFmtId="0" fontId="17" fillId="20" borderId="5" xfId="4" applyFont="1" applyFill="1" applyBorder="1" applyAlignment="1">
      <alignment horizontal="center" vertical="center" wrapText="1"/>
    </xf>
    <xf numFmtId="20" fontId="15" fillId="13" borderId="5" xfId="2" applyNumberFormat="1" applyFont="1" applyFill="1" applyBorder="1" applyAlignment="1">
      <alignment horizontal="center" vertical="center" wrapText="1"/>
    </xf>
    <xf numFmtId="0" fontId="15" fillId="16" borderId="0" xfId="4" applyFont="1" applyFill="1" applyAlignment="1">
      <alignment horizontal="center" vertical="center"/>
    </xf>
    <xf numFmtId="0" fontId="17" fillId="36" borderId="1" xfId="4" applyFont="1" applyFill="1" applyBorder="1" applyAlignment="1">
      <alignment horizontal="center" vertical="center"/>
    </xf>
    <xf numFmtId="20" fontId="15" fillId="0" borderId="5" xfId="4" applyNumberFormat="1" applyFont="1" applyBorder="1" applyAlignment="1">
      <alignment horizontal="center" vertical="center"/>
    </xf>
    <xf numFmtId="0" fontId="15" fillId="0" borderId="2" xfId="4" applyFont="1" applyBorder="1" applyAlignment="1">
      <alignment horizontal="center" vertical="center"/>
    </xf>
    <xf numFmtId="0" fontId="15" fillId="16" borderId="0" xfId="2" applyFont="1" applyFill="1" applyAlignment="1">
      <alignment horizontal="center" vertical="center"/>
    </xf>
    <xf numFmtId="0" fontId="17" fillId="18" borderId="5" xfId="4" applyFont="1" applyFill="1" applyBorder="1" applyAlignment="1">
      <alignment horizontal="center" vertical="center" shrinkToFit="1"/>
    </xf>
    <xf numFmtId="0" fontId="69" fillId="2" borderId="5" xfId="4" applyFont="1" applyFill="1" applyBorder="1" applyAlignment="1">
      <alignment horizontal="center" vertical="center"/>
    </xf>
    <xf numFmtId="0" fontId="15" fillId="13" borderId="0" xfId="2" applyFont="1" applyFill="1" applyAlignment="1">
      <alignment horizontal="center" vertical="center"/>
    </xf>
    <xf numFmtId="0" fontId="15" fillId="14" borderId="0" xfId="4" applyFont="1" applyFill="1" applyAlignment="1">
      <alignment horizontal="center" vertical="center"/>
    </xf>
    <xf numFmtId="20" fontId="17" fillId="27" borderId="5" xfId="4" applyNumberFormat="1" applyFont="1" applyFill="1" applyBorder="1" applyAlignment="1">
      <alignment horizontal="center" vertical="center"/>
    </xf>
    <xf numFmtId="0" fontId="15" fillId="14" borderId="0" xfId="2" applyFont="1" applyFill="1" applyAlignment="1">
      <alignment horizontal="center" vertical="center"/>
    </xf>
    <xf numFmtId="20" fontId="15" fillId="20" borderId="5" xfId="2" applyNumberFormat="1" applyFont="1" applyFill="1" applyBorder="1" applyAlignment="1">
      <alignment horizontal="center" vertical="center" wrapText="1"/>
    </xf>
    <xf numFmtId="20" fontId="17" fillId="21" borderId="5" xfId="2" applyNumberFormat="1" applyFont="1" applyFill="1" applyBorder="1" applyAlignment="1">
      <alignment horizontal="center" vertical="center" wrapText="1"/>
    </xf>
    <xf numFmtId="20" fontId="17" fillId="20" borderId="5" xfId="2" applyNumberFormat="1" applyFont="1" applyFill="1" applyBorder="1" applyAlignment="1">
      <alignment horizontal="center" vertical="center" wrapText="1"/>
    </xf>
    <xf numFmtId="20" fontId="17" fillId="22" borderId="5" xfId="2" applyNumberFormat="1" applyFont="1" applyFill="1" applyBorder="1" applyAlignment="1">
      <alignment horizontal="center" vertical="center" wrapText="1"/>
    </xf>
    <xf numFmtId="0" fontId="20" fillId="42" borderId="5" xfId="4" applyFont="1" applyFill="1" applyBorder="1" applyAlignment="1">
      <alignment horizontal="center" vertical="center"/>
    </xf>
    <xf numFmtId="20" fontId="17" fillId="27" borderId="1" xfId="4" applyNumberFormat="1" applyFont="1" applyFill="1" applyBorder="1" applyAlignment="1">
      <alignment horizontal="center" vertical="center" wrapText="1"/>
    </xf>
    <xf numFmtId="20" fontId="17" fillId="18" borderId="5" xfId="2" applyNumberFormat="1" applyFont="1" applyFill="1" applyBorder="1" applyAlignment="1">
      <alignment horizontal="center" vertical="center" wrapText="1"/>
    </xf>
    <xf numFmtId="20" fontId="15" fillId="18" borderId="5" xfId="2" applyNumberFormat="1" applyFont="1" applyFill="1" applyBorder="1" applyAlignment="1">
      <alignment horizontal="center" vertical="center" wrapText="1"/>
    </xf>
    <xf numFmtId="20" fontId="17" fillId="27" borderId="5" xfId="2" applyNumberFormat="1" applyFont="1" applyFill="1" applyBorder="1" applyAlignment="1">
      <alignment horizontal="center" vertical="center" wrapText="1"/>
    </xf>
    <xf numFmtId="0" fontId="18" fillId="24" borderId="5" xfId="4" applyFont="1" applyFill="1" applyBorder="1" applyAlignment="1">
      <alignment horizontal="center" vertical="center" wrapText="1"/>
    </xf>
    <xf numFmtId="0" fontId="15" fillId="16" borderId="5" xfId="4" applyFont="1" applyFill="1" applyBorder="1" applyAlignment="1">
      <alignment horizontal="center" vertical="center" wrapText="1"/>
    </xf>
    <xf numFmtId="0" fontId="18" fillId="24" borderId="5" xfId="4" applyFont="1" applyFill="1" applyBorder="1" applyAlignment="1">
      <alignment horizontal="center" vertical="center"/>
    </xf>
    <xf numFmtId="49" fontId="15" fillId="8" borderId="1" xfId="4" applyNumberFormat="1" applyFont="1" applyFill="1" applyBorder="1" applyAlignment="1">
      <alignment horizontal="center" vertical="center"/>
    </xf>
    <xf numFmtId="0" fontId="30" fillId="18" borderId="5" xfId="4" applyFont="1" applyFill="1" applyBorder="1" applyAlignment="1">
      <alignment horizontal="center" vertical="center"/>
    </xf>
    <xf numFmtId="0" fontId="18" fillId="13" borderId="5" xfId="4" applyFont="1" applyFill="1" applyBorder="1" applyAlignment="1">
      <alignment horizontal="center" vertical="center"/>
    </xf>
    <xf numFmtId="0" fontId="18" fillId="55" borderId="5" xfId="4" applyFont="1" applyFill="1" applyBorder="1" applyAlignment="1">
      <alignment horizontal="center" vertical="center"/>
    </xf>
    <xf numFmtId="49" fontId="15" fillId="18" borderId="5" xfId="2" applyNumberFormat="1" applyFont="1" applyFill="1" applyBorder="1" applyAlignment="1">
      <alignment horizontal="center" vertical="center" wrapText="1"/>
    </xf>
    <xf numFmtId="0" fontId="3" fillId="0" borderId="0" xfId="2" applyFont="1" applyAlignment="1">
      <alignment horizontal="right" vertical="center"/>
    </xf>
    <xf numFmtId="20" fontId="17" fillId="18" borderId="1" xfId="2" applyNumberFormat="1" applyFont="1" applyFill="1" applyBorder="1" applyAlignment="1">
      <alignment horizontal="center" vertical="center" wrapText="1"/>
    </xf>
    <xf numFmtId="0" fontId="63" fillId="16" borderId="5" xfId="4" applyFont="1" applyFill="1" applyBorder="1" applyAlignment="1">
      <alignment horizontal="center" vertical="center"/>
    </xf>
    <xf numFmtId="0" fontId="36" fillId="0" borderId="5" xfId="4" applyFont="1" applyBorder="1" applyAlignment="1">
      <alignment horizontal="center" vertical="center"/>
    </xf>
    <xf numFmtId="0" fontId="36" fillId="0" borderId="0" xfId="4" applyFont="1" applyAlignment="1">
      <alignment horizontal="center" vertical="center"/>
    </xf>
    <xf numFmtId="20" fontId="16" fillId="18" borderId="5" xfId="4" applyNumberFormat="1" applyFont="1" applyFill="1" applyBorder="1" applyAlignment="1">
      <alignment horizontal="center" vertical="center" wrapText="1"/>
    </xf>
    <xf numFmtId="0" fontId="47" fillId="20" borderId="5" xfId="4" applyFont="1" applyFill="1" applyBorder="1" applyAlignment="1">
      <alignment horizontal="center" vertical="center"/>
    </xf>
    <xf numFmtId="20" fontId="56" fillId="20" borderId="5" xfId="2" applyNumberFormat="1" applyFont="1" applyFill="1" applyBorder="1" applyAlignment="1">
      <alignment horizontal="center" vertical="center" wrapText="1"/>
    </xf>
    <xf numFmtId="0" fontId="6" fillId="0" borderId="6" xfId="2" applyFont="1" applyBorder="1" applyAlignment="1">
      <alignment horizontal="left" vertical="top"/>
    </xf>
    <xf numFmtId="0" fontId="20" fillId="27" borderId="7" xfId="4" applyFont="1" applyFill="1" applyBorder="1" applyAlignment="1">
      <alignment horizontal="center" vertical="center"/>
    </xf>
    <xf numFmtId="0" fontId="91" fillId="27" borderId="6" xfId="4" applyFont="1" applyFill="1" applyBorder="1" applyAlignment="1">
      <alignment horizontal="center" vertical="center"/>
    </xf>
    <xf numFmtId="0" fontId="17" fillId="27" borderId="24" xfId="4" applyFont="1" applyFill="1" applyBorder="1" applyAlignment="1">
      <alignment horizontal="center" vertical="center"/>
    </xf>
    <xf numFmtId="0" fontId="20" fillId="11" borderId="7" xfId="4" applyFont="1" applyFill="1" applyBorder="1" applyAlignment="1">
      <alignment horizontal="center" vertical="center"/>
    </xf>
    <xf numFmtId="0" fontId="91" fillId="11" borderId="6" xfId="4" applyFont="1" applyFill="1" applyBorder="1" applyAlignment="1">
      <alignment horizontal="center" vertical="center"/>
    </xf>
    <xf numFmtId="0" fontId="17" fillId="11" borderId="24" xfId="4" applyFont="1" applyFill="1" applyBorder="1" applyAlignment="1">
      <alignment horizontal="center" vertical="center"/>
    </xf>
    <xf numFmtId="0" fontId="36" fillId="13" borderId="6" xfId="4" applyFont="1" applyFill="1" applyBorder="1" applyAlignment="1">
      <alignment horizontal="center" vertical="center"/>
    </xf>
    <xf numFmtId="0" fontId="17" fillId="10" borderId="6" xfId="4" applyFont="1" applyFill="1" applyBorder="1" applyAlignment="1">
      <alignment horizontal="center" vertical="center"/>
    </xf>
    <xf numFmtId="20" fontId="17" fillId="17" borderId="24" xfId="4" applyNumberFormat="1" applyFont="1" applyFill="1" applyBorder="1" applyAlignment="1">
      <alignment horizontal="center" vertical="center" wrapText="1"/>
    </xf>
    <xf numFmtId="20" fontId="17" fillId="18" borderId="24" xfId="4" applyNumberFormat="1" applyFont="1" applyFill="1" applyBorder="1" applyAlignment="1">
      <alignment horizontal="center" vertical="center" wrapText="1"/>
    </xf>
    <xf numFmtId="0" fontId="15" fillId="2" borderId="6" xfId="4" applyFont="1" applyFill="1" applyBorder="1" applyAlignment="1">
      <alignment horizontal="center" vertical="center"/>
    </xf>
    <xf numFmtId="49" fontId="15" fillId="19" borderId="6" xfId="4" applyNumberFormat="1" applyFont="1" applyFill="1" applyBorder="1" applyAlignment="1">
      <alignment horizontal="center" vertical="center"/>
    </xf>
    <xf numFmtId="20" fontId="15" fillId="20" borderId="6" xfId="4" applyNumberFormat="1" applyFont="1" applyFill="1" applyBorder="1" applyAlignment="1">
      <alignment horizontal="center" vertical="center"/>
    </xf>
    <xf numFmtId="20" fontId="17" fillId="21" borderId="6" xfId="4" applyNumberFormat="1" applyFont="1" applyFill="1" applyBorder="1" applyAlignment="1">
      <alignment horizontal="center" vertical="center"/>
    </xf>
    <xf numFmtId="20" fontId="17" fillId="20" borderId="6" xfId="4" applyNumberFormat="1" applyFont="1" applyFill="1" applyBorder="1" applyAlignment="1">
      <alignment horizontal="center" vertical="center"/>
    </xf>
    <xf numFmtId="0" fontId="3" fillId="0" borderId="3" xfId="2" applyFont="1" applyBorder="1" applyAlignment="1">
      <alignment horizontal="right" vertical="center"/>
    </xf>
    <xf numFmtId="0" fontId="6" fillId="0" borderId="3" xfId="2" applyFont="1" applyBorder="1" applyAlignment="1">
      <alignment horizontal="center" vertical="center"/>
    </xf>
    <xf numFmtId="0" fontId="3" fillId="0" borderId="3" xfId="2" applyFont="1" applyBorder="1" applyAlignment="1">
      <alignment horizontal="center" vertical="center"/>
    </xf>
    <xf numFmtId="0" fontId="6" fillId="0" borderId="3" xfId="2" applyFont="1" applyBorder="1" applyAlignment="1">
      <alignment horizontal="right" vertical="center"/>
    </xf>
    <xf numFmtId="0" fontId="3" fillId="0" borderId="4" xfId="2" applyFont="1" applyBorder="1" applyAlignment="1">
      <alignment horizontal="right" vertical="center"/>
    </xf>
    <xf numFmtId="0" fontId="85" fillId="24" borderId="5" xfId="4" applyFont="1" applyFill="1" applyBorder="1" applyAlignment="1">
      <alignment horizontal="center" vertical="center"/>
    </xf>
    <xf numFmtId="0" fontId="17" fillId="21" borderId="1" xfId="4" applyFont="1" applyFill="1" applyBorder="1" applyAlignment="1">
      <alignment horizontal="center" vertical="center"/>
    </xf>
    <xf numFmtId="0" fontId="17" fillId="22" borderId="1" xfId="4" applyFont="1" applyFill="1" applyBorder="1" applyAlignment="1">
      <alignment horizontal="center" vertical="center"/>
    </xf>
    <xf numFmtId="0" fontId="16" fillId="18" borderId="5" xfId="4" applyFont="1" applyFill="1" applyBorder="1" applyAlignment="1">
      <alignment horizontal="center" vertical="center"/>
    </xf>
    <xf numFmtId="0" fontId="17" fillId="22" borderId="5" xfId="4" applyFont="1" applyFill="1" applyBorder="1" applyAlignment="1">
      <alignment vertical="center"/>
    </xf>
    <xf numFmtId="0" fontId="15" fillId="13" borderId="0" xfId="4" applyFont="1" applyFill="1" applyAlignment="1">
      <alignment horizontal="center" vertical="center"/>
    </xf>
    <xf numFmtId="0" fontId="56" fillId="20" borderId="5" xfId="4" applyFont="1" applyFill="1" applyBorder="1" applyAlignment="1">
      <alignment horizontal="center" vertical="center"/>
    </xf>
    <xf numFmtId="0" fontId="69" fillId="13" borderId="0" xfId="4" applyFont="1" applyFill="1" applyAlignment="1">
      <alignment horizontal="center" vertical="center"/>
    </xf>
    <xf numFmtId="0" fontId="56" fillId="8" borderId="5" xfId="4" applyFont="1" applyFill="1" applyBorder="1" applyAlignment="1">
      <alignment horizontal="center" vertical="center"/>
    </xf>
    <xf numFmtId="0" fontId="17" fillId="18" borderId="5" xfId="4" applyFont="1" applyFill="1" applyBorder="1" applyAlignment="1">
      <alignment horizontal="center" vertical="center" wrapText="1"/>
    </xf>
    <xf numFmtId="0" fontId="74" fillId="11" borderId="5" xfId="4" applyFont="1" applyFill="1" applyBorder="1" applyAlignment="1">
      <alignment horizontal="center" vertical="center"/>
    </xf>
    <xf numFmtId="0" fontId="63" fillId="8" borderId="5" xfId="4" applyFont="1" applyFill="1" applyBorder="1" applyAlignment="1">
      <alignment horizontal="center" vertical="center"/>
    </xf>
    <xf numFmtId="0" fontId="63" fillId="20" borderId="1" xfId="4" applyFont="1" applyFill="1" applyBorder="1" applyAlignment="1">
      <alignment horizontal="center" vertical="center"/>
    </xf>
    <xf numFmtId="0" fontId="38" fillId="12" borderId="5" xfId="4" applyFont="1" applyFill="1" applyBorder="1" applyAlignment="1">
      <alignment horizontal="center" vertical="center" wrapText="1"/>
    </xf>
    <xf numFmtId="0" fontId="63" fillId="13" borderId="5" xfId="4" applyFont="1" applyFill="1" applyBorder="1" applyAlignment="1">
      <alignment horizontal="center" vertical="center"/>
    </xf>
    <xf numFmtId="20" fontId="15" fillId="8" borderId="1" xfId="4" applyNumberFormat="1" applyFont="1" applyFill="1" applyBorder="1" applyAlignment="1">
      <alignment horizontal="center" vertical="center" wrapText="1"/>
    </xf>
    <xf numFmtId="0" fontId="15" fillId="20" borderId="0" xfId="4" applyFont="1" applyFill="1" applyAlignment="1">
      <alignment horizontal="center" vertical="center"/>
    </xf>
    <xf numFmtId="20" fontId="15" fillId="20" borderId="1" xfId="4" applyNumberFormat="1" applyFont="1" applyFill="1" applyBorder="1" applyAlignment="1">
      <alignment horizontal="center" vertical="center"/>
    </xf>
    <xf numFmtId="20" fontId="17" fillId="21" borderId="1" xfId="4" applyNumberFormat="1" applyFont="1" applyFill="1" applyBorder="1" applyAlignment="1">
      <alignment horizontal="center" vertical="center"/>
    </xf>
    <xf numFmtId="20" fontId="17" fillId="20" borderId="1" xfId="4" applyNumberFormat="1" applyFont="1" applyFill="1" applyBorder="1" applyAlignment="1">
      <alignment horizontal="center" vertical="center"/>
    </xf>
    <xf numFmtId="20" fontId="17" fillId="22" borderId="1" xfId="4" applyNumberFormat="1" applyFont="1" applyFill="1" applyBorder="1" applyAlignment="1">
      <alignment horizontal="center" vertical="center"/>
    </xf>
    <xf numFmtId="0" fontId="38" fillId="12" borderId="2" xfId="4" applyFont="1" applyFill="1" applyBorder="1" applyAlignment="1">
      <alignment horizontal="center" vertical="center"/>
    </xf>
    <xf numFmtId="0" fontId="63" fillId="13" borderId="0" xfId="4" applyFont="1" applyFill="1" applyAlignment="1">
      <alignment horizontal="center" vertical="center"/>
    </xf>
    <xf numFmtId="0" fontId="67" fillId="18" borderId="5" xfId="4" applyFont="1" applyFill="1" applyBorder="1" applyAlignment="1">
      <alignment horizontal="center" vertical="center"/>
    </xf>
    <xf numFmtId="20" fontId="56" fillId="8" borderId="1" xfId="4" applyNumberFormat="1" applyFont="1" applyFill="1" applyBorder="1" applyAlignment="1">
      <alignment horizontal="center" vertical="center" wrapText="1"/>
    </xf>
    <xf numFmtId="0" fontId="60" fillId="27" borderId="5" xfId="4" applyFont="1" applyFill="1" applyBorder="1" applyAlignment="1">
      <alignment horizontal="center" vertical="center"/>
    </xf>
    <xf numFmtId="0" fontId="21" fillId="11" borderId="0" xfId="4" applyFont="1" applyFill="1" applyAlignment="1">
      <alignment horizontal="center" vertical="center"/>
    </xf>
    <xf numFmtId="0" fontId="36" fillId="13" borderId="0" xfId="4" applyFont="1" applyFill="1" applyAlignment="1">
      <alignment horizontal="center" vertical="center"/>
    </xf>
    <xf numFmtId="0" fontId="56" fillId="25" borderId="5" xfId="4" applyFont="1" applyFill="1" applyBorder="1" applyAlignment="1">
      <alignment horizontal="center" vertical="center"/>
    </xf>
    <xf numFmtId="0" fontId="36" fillId="20" borderId="2" xfId="4" applyFont="1" applyFill="1" applyBorder="1" applyAlignment="1">
      <alignment horizontal="center" vertical="center"/>
    </xf>
    <xf numFmtId="0" fontId="64" fillId="20" borderId="5" xfId="4" applyFont="1" applyFill="1" applyBorder="1" applyAlignment="1">
      <alignment horizontal="center" vertical="center"/>
    </xf>
    <xf numFmtId="0" fontId="21" fillId="21" borderId="2" xfId="4" applyFont="1" applyFill="1" applyBorder="1" applyAlignment="1">
      <alignment horizontal="center" vertical="center"/>
    </xf>
    <xf numFmtId="0" fontId="21" fillId="20" borderId="2" xfId="4" applyFont="1" applyFill="1" applyBorder="1" applyAlignment="1">
      <alignment horizontal="center" vertical="center"/>
    </xf>
    <xf numFmtId="0" fontId="21" fillId="22" borderId="2" xfId="4" applyFont="1" applyFill="1" applyBorder="1" applyAlignment="1">
      <alignment horizontal="center" vertical="center"/>
    </xf>
    <xf numFmtId="0" fontId="74" fillId="27" borderId="5" xfId="4" applyFont="1" applyFill="1" applyBorder="1" applyAlignment="1">
      <alignment horizontal="center" vertical="center"/>
    </xf>
    <xf numFmtId="20" fontId="17" fillId="18" borderId="5" xfId="4" applyNumberFormat="1" applyFont="1" applyFill="1" applyBorder="1" applyAlignment="1">
      <alignment horizontal="center" vertical="center"/>
    </xf>
    <xf numFmtId="0" fontId="63" fillId="25" borderId="5" xfId="4" applyFont="1" applyFill="1" applyBorder="1" applyAlignment="1">
      <alignment horizontal="center" vertical="center"/>
    </xf>
    <xf numFmtId="0" fontId="47" fillId="25" borderId="5" xfId="4" applyFont="1" applyFill="1" applyBorder="1" applyAlignment="1">
      <alignment horizontal="center" vertical="center"/>
    </xf>
    <xf numFmtId="49" fontId="47" fillId="25" borderId="1" xfId="4" applyNumberFormat="1" applyFont="1" applyFill="1" applyBorder="1" applyAlignment="1">
      <alignment horizontal="center" vertical="center"/>
    </xf>
    <xf numFmtId="20" fontId="41" fillId="17" borderId="1" xfId="4" applyNumberFormat="1" applyFont="1" applyFill="1" applyBorder="1" applyAlignment="1">
      <alignment horizontal="center" vertical="center" wrapText="1"/>
    </xf>
    <xf numFmtId="0" fontId="47" fillId="25" borderId="1" xfId="4" applyFont="1" applyFill="1" applyBorder="1" applyAlignment="1">
      <alignment horizontal="center" vertical="center"/>
    </xf>
    <xf numFmtId="49" fontId="90" fillId="18" borderId="1" xfId="4" applyNumberFormat="1" applyFont="1" applyFill="1" applyBorder="1" applyAlignment="1">
      <alignment horizontal="center" vertical="center"/>
    </xf>
    <xf numFmtId="0" fontId="20" fillId="27" borderId="5" xfId="4" applyFont="1" applyFill="1" applyBorder="1" applyAlignment="1">
      <alignment horizontal="center" vertical="center"/>
    </xf>
    <xf numFmtId="0" fontId="83" fillId="11" borderId="5" xfId="4" applyFont="1" applyFill="1" applyBorder="1" applyAlignment="1">
      <alignment horizontal="center" vertical="center"/>
    </xf>
    <xf numFmtId="0" fontId="36" fillId="13" borderId="1" xfId="4" applyFont="1" applyFill="1" applyBorder="1" applyAlignment="1">
      <alignment horizontal="center" vertical="center"/>
    </xf>
    <xf numFmtId="0" fontId="101" fillId="27" borderId="5" xfId="4" applyFont="1" applyFill="1" applyBorder="1" applyAlignment="1">
      <alignment horizontal="center" vertical="center"/>
    </xf>
    <xf numFmtId="0" fontId="54" fillId="8" borderId="5" xfId="4" applyFont="1" applyFill="1" applyBorder="1" applyAlignment="1">
      <alignment horizontal="center" vertical="center"/>
    </xf>
    <xf numFmtId="0" fontId="83" fillId="18" borderId="5" xfId="4" applyFont="1" applyFill="1" applyBorder="1" applyAlignment="1">
      <alignment horizontal="center" vertical="center"/>
    </xf>
    <xf numFmtId="20" fontId="17" fillId="27" borderId="1" xfId="4" applyNumberFormat="1" applyFont="1" applyFill="1" applyBorder="1" applyAlignment="1">
      <alignment horizontal="center" vertical="center"/>
    </xf>
    <xf numFmtId="0" fontId="91" fillId="10" borderId="5" xfId="4" applyFont="1" applyFill="1" applyBorder="1" applyAlignment="1">
      <alignment horizontal="center" vertical="center"/>
    </xf>
    <xf numFmtId="0" fontId="91" fillId="18" borderId="5" xfId="4" applyFont="1" applyFill="1" applyBorder="1" applyAlignment="1">
      <alignment horizontal="center" vertical="center"/>
    </xf>
    <xf numFmtId="0" fontId="20" fillId="27" borderId="2" xfId="4" applyFont="1" applyFill="1" applyBorder="1" applyAlignment="1">
      <alignment horizontal="center" vertical="center"/>
    </xf>
    <xf numFmtId="0" fontId="102" fillId="27" borderId="5" xfId="4" applyFont="1" applyFill="1" applyBorder="1" applyAlignment="1">
      <alignment horizontal="center" vertical="center"/>
    </xf>
    <xf numFmtId="0" fontId="68" fillId="13" borderId="5" xfId="4" applyFont="1" applyFill="1" applyBorder="1" applyAlignment="1">
      <alignment horizontal="center" vertical="center"/>
    </xf>
    <xf numFmtId="0" fontId="47" fillId="10" borderId="5" xfId="4" applyFont="1" applyFill="1" applyBorder="1" applyAlignment="1">
      <alignment horizontal="center" vertical="center"/>
    </xf>
    <xf numFmtId="0" fontId="90" fillId="18" borderId="5" xfId="4" applyFont="1" applyFill="1" applyBorder="1" applyAlignment="1">
      <alignment horizontal="center" vertical="center"/>
    </xf>
    <xf numFmtId="49" fontId="36" fillId="18" borderId="5" xfId="4" applyNumberFormat="1" applyFont="1" applyFill="1" applyBorder="1" applyAlignment="1">
      <alignment horizontal="center" vertical="center"/>
    </xf>
    <xf numFmtId="49" fontId="17" fillId="27" borderId="5" xfId="4" applyNumberFormat="1" applyFont="1" applyFill="1" applyBorder="1" applyAlignment="1">
      <alignment horizontal="center" vertical="center" wrapText="1"/>
    </xf>
    <xf numFmtId="0" fontId="60" fillId="18" borderId="5" xfId="4" applyFont="1" applyFill="1" applyBorder="1" applyAlignment="1">
      <alignment horizontal="center" vertical="center"/>
    </xf>
    <xf numFmtId="0" fontId="54" fillId="25" borderId="5" xfId="4" applyFont="1" applyFill="1" applyBorder="1" applyAlignment="1">
      <alignment horizontal="center" vertical="center"/>
    </xf>
    <xf numFmtId="0" fontId="47" fillId="18" borderId="5" xfId="4" applyFont="1" applyFill="1" applyBorder="1" applyAlignment="1">
      <alignment horizontal="center" vertical="center"/>
    </xf>
    <xf numFmtId="0" fontId="47" fillId="19" borderId="5" xfId="4" applyFont="1" applyFill="1" applyBorder="1" applyAlignment="1">
      <alignment horizontal="center" vertical="center"/>
    </xf>
    <xf numFmtId="0" fontId="38" fillId="12" borderId="1" xfId="4" applyFont="1" applyFill="1" applyBorder="1" applyAlignment="1">
      <alignment horizontal="center" vertical="center"/>
    </xf>
    <xf numFmtId="0" fontId="92" fillId="18" borderId="5" xfId="4" applyFont="1" applyFill="1" applyBorder="1" applyAlignment="1">
      <alignment horizontal="center" vertical="center"/>
    </xf>
    <xf numFmtId="0" fontId="83" fillId="2" borderId="5" xfId="4" applyFont="1" applyFill="1" applyBorder="1" applyAlignment="1">
      <alignment horizontal="center" vertical="center"/>
    </xf>
    <xf numFmtId="20" fontId="83" fillId="2" borderId="5" xfId="2" applyNumberFormat="1" applyFont="1" applyFill="1" applyBorder="1" applyAlignment="1">
      <alignment horizontal="center" vertical="center" wrapText="1"/>
    </xf>
    <xf numFmtId="0" fontId="63" fillId="15" borderId="5" xfId="4" applyFont="1" applyFill="1" applyBorder="1" applyAlignment="1">
      <alignment horizontal="center" vertical="center"/>
    </xf>
    <xf numFmtId="0" fontId="15" fillId="18" borderId="5" xfId="4" applyFont="1" applyFill="1" applyBorder="1" applyAlignment="1">
      <alignment horizontal="center" vertical="center" wrapText="1"/>
    </xf>
    <xf numFmtId="0" fontId="20" fillId="18" borderId="5" xfId="2" applyFont="1" applyFill="1" applyBorder="1" applyAlignment="1">
      <alignment horizontal="center" vertical="center"/>
    </xf>
    <xf numFmtId="0" fontId="17" fillId="27" borderId="6" xfId="4" applyFont="1" applyFill="1" applyBorder="1" applyAlignment="1">
      <alignment horizontal="center" vertical="center"/>
    </xf>
    <xf numFmtId="49" fontId="17" fillId="27" borderId="6" xfId="4" applyNumberFormat="1" applyFont="1" applyFill="1" applyBorder="1" applyAlignment="1">
      <alignment horizontal="center" vertical="center"/>
    </xf>
    <xf numFmtId="0" fontId="68" fillId="13" borderId="6" xfId="4" applyFont="1" applyFill="1" applyBorder="1" applyAlignment="1">
      <alignment horizontal="center" vertical="center"/>
    </xf>
    <xf numFmtId="0" fontId="54" fillId="13" borderId="6" xfId="4" applyFont="1" applyFill="1" applyBorder="1" applyAlignment="1">
      <alignment horizontal="center" vertical="center"/>
    </xf>
    <xf numFmtId="0" fontId="15" fillId="15" borderId="7" xfId="4" applyFont="1" applyFill="1" applyBorder="1" applyAlignment="1">
      <alignment horizontal="center" vertical="center"/>
    </xf>
    <xf numFmtId="0" fontId="36" fillId="25" borderId="6" xfId="4" applyFont="1" applyFill="1" applyBorder="1" applyAlignment="1">
      <alignment horizontal="center" vertical="center"/>
    </xf>
    <xf numFmtId="49" fontId="15" fillId="25" borderId="6" xfId="4" applyNumberFormat="1" applyFont="1" applyFill="1" applyBorder="1" applyAlignment="1">
      <alignment horizontal="center" vertical="center"/>
    </xf>
    <xf numFmtId="0" fontId="36" fillId="10" borderId="6" xfId="4" applyFont="1" applyFill="1" applyBorder="1" applyAlignment="1">
      <alignment horizontal="center" vertical="center"/>
    </xf>
    <xf numFmtId="0" fontId="20" fillId="18" borderId="7" xfId="2" applyFont="1" applyFill="1" applyBorder="1" applyAlignment="1">
      <alignment horizontal="center" vertical="center"/>
    </xf>
    <xf numFmtId="49" fontId="15" fillId="18" borderId="24" xfId="4" applyNumberFormat="1" applyFont="1" applyFill="1" applyBorder="1" applyAlignment="1">
      <alignment horizontal="center" vertical="center"/>
    </xf>
    <xf numFmtId="0" fontId="36" fillId="19" borderId="6" xfId="4" applyFont="1" applyFill="1" applyBorder="1" applyAlignment="1">
      <alignment horizontal="center" vertical="center"/>
    </xf>
    <xf numFmtId="0" fontId="17" fillId="2" borderId="6" xfId="4" applyFont="1" applyFill="1" applyBorder="1" applyAlignment="1">
      <alignment horizontal="center" vertical="center"/>
    </xf>
    <xf numFmtId="0" fontId="47" fillId="12" borderId="5" xfId="4" applyFont="1" applyFill="1" applyBorder="1" applyAlignment="1">
      <alignment horizontal="center" vertical="center"/>
    </xf>
    <xf numFmtId="49" fontId="36" fillId="12" borderId="5" xfId="4" applyNumberFormat="1" applyFont="1" applyFill="1" applyBorder="1" applyAlignment="1">
      <alignment horizontal="center" vertical="center"/>
    </xf>
    <xf numFmtId="20" fontId="15" fillId="13" borderId="3" xfId="2" applyNumberFormat="1" applyFont="1" applyFill="1" applyBorder="1" applyAlignment="1">
      <alignment vertical="center" wrapText="1"/>
    </xf>
    <xf numFmtId="0" fontId="63" fillId="14" borderId="2" xfId="4" applyFont="1" applyFill="1" applyBorder="1" applyAlignment="1">
      <alignment horizontal="center" vertical="center"/>
    </xf>
    <xf numFmtId="0" fontId="15" fillId="14" borderId="3" xfId="4" applyFont="1" applyFill="1" applyBorder="1" applyAlignment="1">
      <alignment horizontal="center" vertical="center"/>
    </xf>
    <xf numFmtId="0" fontId="56" fillId="15" borderId="5" xfId="4" applyFont="1" applyFill="1" applyBorder="1" applyAlignment="1">
      <alignment horizontal="center" vertical="center"/>
    </xf>
    <xf numFmtId="0" fontId="69" fillId="25" borderId="5" xfId="4" applyFont="1" applyFill="1" applyBorder="1" applyAlignment="1">
      <alignment horizontal="center" vertical="center"/>
    </xf>
    <xf numFmtId="0" fontId="15" fillId="26" borderId="3" xfId="4" applyFont="1" applyFill="1" applyBorder="1" applyAlignment="1">
      <alignment vertical="center"/>
    </xf>
    <xf numFmtId="0" fontId="15" fillId="20" borderId="25" xfId="4" applyFont="1" applyFill="1" applyBorder="1" applyAlignment="1">
      <alignment horizontal="center" vertical="center"/>
    </xf>
    <xf numFmtId="0" fontId="17" fillId="21" borderId="3" xfId="4" applyFont="1" applyFill="1" applyBorder="1" applyAlignment="1">
      <alignment horizontal="center" vertical="center"/>
    </xf>
    <xf numFmtId="0" fontId="17" fillId="21" borderId="25" xfId="4" applyFont="1" applyFill="1" applyBorder="1" applyAlignment="1">
      <alignment horizontal="center" vertical="center"/>
    </xf>
    <xf numFmtId="0" fontId="17" fillId="20" borderId="3" xfId="4" applyFont="1" applyFill="1" applyBorder="1" applyAlignment="1">
      <alignment horizontal="center" vertical="center"/>
    </xf>
    <xf numFmtId="0" fontId="17" fillId="22" borderId="3" xfId="4" applyFont="1" applyFill="1" applyBorder="1" applyAlignment="1">
      <alignment horizontal="center" vertical="center"/>
    </xf>
    <xf numFmtId="20" fontId="15" fillId="13" borderId="5" xfId="2" applyNumberFormat="1" applyFont="1" applyFill="1" applyBorder="1" applyAlignment="1">
      <alignment vertical="center" wrapText="1"/>
    </xf>
    <xf numFmtId="0" fontId="15" fillId="15" borderId="2" xfId="4" applyFont="1" applyFill="1" applyBorder="1" applyAlignment="1">
      <alignment horizontal="center" vertical="center"/>
    </xf>
    <xf numFmtId="0" fontId="15" fillId="26" borderId="5" xfId="4" applyFont="1" applyFill="1" applyBorder="1" applyAlignment="1">
      <alignment vertical="center"/>
    </xf>
    <xf numFmtId="0" fontId="30" fillId="19" borderId="5" xfId="4" applyFont="1" applyFill="1" applyBorder="1" applyAlignment="1">
      <alignment horizontal="center" vertical="center"/>
    </xf>
    <xf numFmtId="0" fontId="56" fillId="14" borderId="5" xfId="4" applyFont="1" applyFill="1" applyBorder="1" applyAlignment="1">
      <alignment horizontal="center" vertical="center"/>
    </xf>
    <xf numFmtId="0" fontId="63" fillId="14" borderId="5" xfId="4" applyFont="1" applyFill="1" applyBorder="1" applyAlignment="1">
      <alignment horizontal="center" vertical="center"/>
    </xf>
    <xf numFmtId="0" fontId="92" fillId="11" borderId="5" xfId="4" applyFont="1" applyFill="1" applyBorder="1" applyAlignment="1">
      <alignment horizontal="center" vertical="center"/>
    </xf>
    <xf numFmtId="0" fontId="38" fillId="15" borderId="2" xfId="4" applyFont="1" applyFill="1" applyBorder="1" applyAlignment="1">
      <alignment horizontal="center" vertical="center"/>
    </xf>
    <xf numFmtId="0" fontId="63" fillId="25" borderId="0" xfId="4" applyFont="1" applyFill="1" applyAlignment="1">
      <alignment horizontal="center" vertical="center"/>
    </xf>
    <xf numFmtId="0" fontId="91" fillId="2" borderId="5" xfId="4" applyFont="1" applyFill="1" applyBorder="1" applyAlignment="1">
      <alignment horizontal="center" vertical="center"/>
    </xf>
    <xf numFmtId="0" fontId="90" fillId="27" borderId="5" xfId="4" applyFont="1" applyFill="1" applyBorder="1" applyAlignment="1">
      <alignment horizontal="center" vertical="center"/>
    </xf>
    <xf numFmtId="49" fontId="21" fillId="27" borderId="5" xfId="4" applyNumberFormat="1" applyFont="1" applyFill="1" applyBorder="1" applyAlignment="1">
      <alignment horizontal="center" vertical="center"/>
    </xf>
    <xf numFmtId="0" fontId="41" fillId="11" borderId="0" xfId="4" applyFont="1" applyFill="1" applyAlignment="1">
      <alignment horizontal="center" vertical="center"/>
    </xf>
    <xf numFmtId="0" fontId="92" fillId="27" borderId="5" xfId="4" applyFont="1" applyFill="1" applyBorder="1" applyAlignment="1">
      <alignment horizontal="center" vertical="center"/>
    </xf>
    <xf numFmtId="0" fontId="87" fillId="25" borderId="5" xfId="4" applyFont="1" applyFill="1" applyBorder="1" applyAlignment="1">
      <alignment horizontal="center" vertical="center"/>
    </xf>
    <xf numFmtId="49" fontId="15" fillId="25" borderId="2" xfId="4" applyNumberFormat="1" applyFont="1" applyFill="1" applyBorder="1" applyAlignment="1">
      <alignment horizontal="center" vertical="center"/>
    </xf>
    <xf numFmtId="49" fontId="15" fillId="13" borderId="2" xfId="4" applyNumberFormat="1" applyFont="1" applyFill="1" applyBorder="1" applyAlignment="1">
      <alignment horizontal="center" vertical="center"/>
    </xf>
    <xf numFmtId="20" fontId="15" fillId="15" borderId="5" xfId="4" applyNumberFormat="1" applyFont="1" applyFill="1" applyBorder="1" applyAlignment="1">
      <alignment vertical="center" wrapText="1"/>
    </xf>
    <xf numFmtId="0" fontId="60" fillId="11" borderId="5" xfId="4" applyFont="1" applyFill="1" applyBorder="1" applyAlignment="1">
      <alignment horizontal="center" vertical="center"/>
    </xf>
    <xf numFmtId="20" fontId="17" fillId="11" borderId="5" xfId="2" applyNumberFormat="1" applyFont="1" applyFill="1" applyBorder="1" applyAlignment="1">
      <alignment horizontal="center" vertical="center" wrapText="1"/>
    </xf>
    <xf numFmtId="0" fontId="54" fillId="12" borderId="5" xfId="4" applyFont="1" applyFill="1" applyBorder="1" applyAlignment="1">
      <alignment horizontal="center" vertical="center" wrapText="1"/>
    </xf>
    <xf numFmtId="0" fontId="38" fillId="24" borderId="5" xfId="4" applyFont="1" applyFill="1" applyBorder="1" applyAlignment="1">
      <alignment horizontal="center" vertical="center"/>
    </xf>
    <xf numFmtId="0" fontId="103" fillId="18" borderId="5" xfId="4" applyFont="1" applyFill="1" applyBorder="1" applyAlignment="1">
      <alignment horizontal="center" vertical="center"/>
    </xf>
    <xf numFmtId="0" fontId="56" fillId="25" borderId="5" xfId="4" applyFont="1" applyFill="1" applyBorder="1" applyAlignment="1">
      <alignment horizontal="center" vertical="center" wrapText="1"/>
    </xf>
    <xf numFmtId="0" fontId="58" fillId="21" borderId="5" xfId="4" applyFont="1" applyFill="1" applyBorder="1" applyAlignment="1">
      <alignment horizontal="center" vertical="center"/>
    </xf>
    <xf numFmtId="0" fontId="58" fillId="20" borderId="5" xfId="4" applyFont="1" applyFill="1" applyBorder="1" applyAlignment="1">
      <alignment horizontal="center" vertical="center"/>
    </xf>
    <xf numFmtId="0" fontId="58" fillId="22" borderId="5" xfId="4" applyFont="1" applyFill="1" applyBorder="1" applyAlignment="1">
      <alignment horizontal="center" vertical="center"/>
    </xf>
    <xf numFmtId="0" fontId="36" fillId="12" borderId="5" xfId="4" applyFont="1" applyFill="1" applyBorder="1" applyAlignment="1">
      <alignment horizontal="center" vertical="center" wrapText="1"/>
    </xf>
    <xf numFmtId="0" fontId="56" fillId="24" borderId="1" xfId="4" applyFont="1" applyFill="1" applyBorder="1" applyAlignment="1">
      <alignment horizontal="center" vertical="center"/>
    </xf>
    <xf numFmtId="0" fontId="41" fillId="10" borderId="2" xfId="4" applyFont="1" applyFill="1" applyBorder="1" applyAlignment="1">
      <alignment horizontal="center" vertical="center"/>
    </xf>
    <xf numFmtId="0" fontId="41" fillId="10" borderId="0" xfId="4" applyFont="1" applyFill="1" applyAlignment="1">
      <alignment horizontal="center" vertical="center"/>
    </xf>
    <xf numFmtId="0" fontId="54" fillId="2" borderId="5" xfId="4" applyFont="1" applyFill="1" applyBorder="1" applyAlignment="1">
      <alignment horizontal="center" vertical="center"/>
    </xf>
    <xf numFmtId="0" fontId="87" fillId="20" borderId="5" xfId="4" applyFont="1" applyFill="1" applyBorder="1" applyAlignment="1">
      <alignment horizontal="center" vertical="center"/>
    </xf>
    <xf numFmtId="0" fontId="74" fillId="21" borderId="5" xfId="4" applyFont="1" applyFill="1" applyBorder="1" applyAlignment="1">
      <alignment horizontal="center" vertical="center"/>
    </xf>
    <xf numFmtId="0" fontId="83" fillId="11" borderId="5" xfId="4" applyFont="1" applyFill="1" applyBorder="1" applyAlignment="1">
      <alignment horizontal="center" vertical="center" wrapText="1"/>
    </xf>
    <xf numFmtId="0" fontId="15" fillId="14" borderId="5" xfId="4" applyFont="1" applyFill="1" applyBorder="1" applyAlignment="1">
      <alignment vertical="center" wrapText="1"/>
    </xf>
    <xf numFmtId="0" fontId="54" fillId="24" borderId="5" xfId="4" applyFont="1" applyFill="1" applyBorder="1" applyAlignment="1">
      <alignment horizontal="center" vertical="center"/>
    </xf>
    <xf numFmtId="0" fontId="83" fillId="2" borderId="5" xfId="4" applyFont="1" applyFill="1" applyBorder="1" applyAlignment="1">
      <alignment horizontal="center" vertical="center" wrapText="1"/>
    </xf>
    <xf numFmtId="0" fontId="104" fillId="20" borderId="1" xfId="4" applyFont="1" applyFill="1" applyBorder="1" applyAlignment="1">
      <alignment horizontal="center" vertical="center"/>
    </xf>
    <xf numFmtId="0" fontId="21" fillId="21" borderId="1" xfId="4" applyFont="1" applyFill="1" applyBorder="1" applyAlignment="1">
      <alignment horizontal="center" vertical="center"/>
    </xf>
    <xf numFmtId="0" fontId="17" fillId="27" borderId="1" xfId="4" applyFont="1" applyFill="1" applyBorder="1" applyAlignment="1">
      <alignment horizontal="center" vertical="center"/>
    </xf>
    <xf numFmtId="0" fontId="63" fillId="25" borderId="1" xfId="4" applyFont="1" applyFill="1" applyBorder="1" applyAlignment="1">
      <alignment horizontal="center" vertical="center"/>
    </xf>
    <xf numFmtId="0" fontId="37" fillId="12" borderId="2" xfId="4" applyFont="1" applyFill="1" applyBorder="1" applyAlignment="1">
      <alignment horizontal="center" vertical="center"/>
    </xf>
    <xf numFmtId="0" fontId="63" fillId="14" borderId="1" xfId="4" applyFont="1" applyFill="1" applyBorder="1" applyAlignment="1">
      <alignment horizontal="center" vertical="center"/>
    </xf>
    <xf numFmtId="0" fontId="21" fillId="10" borderId="1" xfId="4" applyFont="1" applyFill="1" applyBorder="1" applyAlignment="1">
      <alignment horizontal="center" vertical="center"/>
    </xf>
    <xf numFmtId="0" fontId="17" fillId="8" borderId="5" xfId="4" applyFont="1" applyFill="1" applyBorder="1" applyAlignment="1">
      <alignment horizontal="center" vertical="center"/>
    </xf>
    <xf numFmtId="0" fontId="17" fillId="8" borderId="5" xfId="4" applyFont="1" applyFill="1" applyBorder="1" applyAlignment="1">
      <alignment horizontal="center" vertical="top"/>
    </xf>
    <xf numFmtId="0" fontId="17" fillId="20" borderId="5" xfId="4" applyFont="1" applyFill="1" applyBorder="1" applyAlignment="1">
      <alignment vertical="center"/>
    </xf>
    <xf numFmtId="0" fontId="21" fillId="11" borderId="1" xfId="4" applyFont="1" applyFill="1" applyBorder="1" applyAlignment="1">
      <alignment horizontal="center" vertical="center"/>
    </xf>
    <xf numFmtId="0" fontId="54" fillId="14" borderId="5" xfId="4" applyFont="1" applyFill="1" applyBorder="1" applyAlignment="1">
      <alignment horizontal="center" vertical="center"/>
    </xf>
    <xf numFmtId="0" fontId="63" fillId="2" borderId="0" xfId="4" applyFont="1" applyFill="1" applyAlignment="1">
      <alignment horizontal="center" vertical="center"/>
    </xf>
    <xf numFmtId="0" fontId="83" fillId="27" borderId="2" xfId="4" applyFont="1" applyFill="1" applyBorder="1" applyAlignment="1">
      <alignment horizontal="center" vertical="center"/>
    </xf>
    <xf numFmtId="0" fontId="38" fillId="12" borderId="2" xfId="4" applyFont="1" applyFill="1" applyBorder="1" applyAlignment="1">
      <alignment horizontal="center" vertical="center" wrapText="1"/>
    </xf>
    <xf numFmtId="0" fontId="63" fillId="12" borderId="2" xfId="4" applyFont="1" applyFill="1" applyBorder="1" applyAlignment="1">
      <alignment horizontal="center" vertical="center"/>
    </xf>
    <xf numFmtId="0" fontId="41" fillId="7" borderId="5" xfId="2" applyFont="1" applyFill="1" applyBorder="1" applyAlignment="1">
      <alignment horizontal="left" vertical="center" wrapText="1"/>
    </xf>
    <xf numFmtId="0" fontId="56" fillId="2" borderId="5" xfId="4" applyFont="1" applyFill="1" applyBorder="1" applyAlignment="1">
      <alignment horizontal="center" vertical="center" wrapText="1"/>
    </xf>
    <xf numFmtId="0" fontId="68" fillId="24" borderId="5" xfId="4" applyFont="1" applyFill="1" applyBorder="1" applyAlignment="1">
      <alignment horizontal="center" vertical="center"/>
    </xf>
    <xf numFmtId="0" fontId="36" fillId="24" borderId="5" xfId="4" applyFont="1" applyFill="1" applyBorder="1" applyAlignment="1">
      <alignment vertical="center"/>
    </xf>
    <xf numFmtId="0" fontId="17" fillId="10" borderId="5" xfId="4" applyFont="1" applyFill="1" applyBorder="1" applyAlignment="1">
      <alignment horizontal="center" vertical="center" wrapText="1"/>
    </xf>
    <xf numFmtId="0" fontId="20" fillId="7" borderId="5" xfId="2" applyFont="1" applyFill="1" applyBorder="1" applyAlignment="1">
      <alignment horizontal="center" vertical="center" wrapText="1"/>
    </xf>
    <xf numFmtId="0" fontId="105" fillId="14" borderId="5" xfId="4" applyFont="1" applyFill="1" applyBorder="1" applyAlignment="1">
      <alignment vertical="center" wrapText="1"/>
    </xf>
    <xf numFmtId="0" fontId="17" fillId="28" borderId="5" xfId="4" applyFont="1" applyFill="1" applyBorder="1" applyAlignment="1">
      <alignment horizontal="center" vertical="center"/>
    </xf>
    <xf numFmtId="0" fontId="30" fillId="28" borderId="5" xfId="4" applyFont="1" applyFill="1" applyBorder="1" applyAlignment="1">
      <alignment vertical="center"/>
    </xf>
    <xf numFmtId="0" fontId="36" fillId="12" borderId="5" xfId="4" applyFont="1" applyFill="1" applyBorder="1" applyAlignment="1">
      <alignment vertical="center" wrapText="1"/>
    </xf>
    <xf numFmtId="0" fontId="30" fillId="28" borderId="5" xfId="4" applyFont="1" applyFill="1" applyBorder="1" applyAlignment="1">
      <alignment horizontal="center" vertical="center"/>
    </xf>
    <xf numFmtId="0" fontId="15" fillId="20" borderId="5" xfId="4" applyFont="1" applyFill="1" applyBorder="1" applyAlignment="1">
      <alignment vertical="center" wrapText="1"/>
    </xf>
    <xf numFmtId="0" fontId="17" fillId="22" borderId="5" xfId="4" applyFont="1" applyFill="1" applyBorder="1" applyAlignment="1">
      <alignment horizontal="center" vertical="center" wrapText="1"/>
    </xf>
    <xf numFmtId="0" fontId="20" fillId="7" borderId="6" xfId="2" applyFont="1" applyFill="1" applyBorder="1" applyAlignment="1">
      <alignment horizontal="center" vertical="center" wrapText="1"/>
    </xf>
    <xf numFmtId="20" fontId="15" fillId="13" borderId="6" xfId="2" applyNumberFormat="1" applyFont="1" applyFill="1" applyBorder="1" applyAlignment="1">
      <alignment vertical="center" wrapText="1"/>
    </xf>
    <xf numFmtId="20" fontId="15" fillId="13" borderId="6" xfId="4" applyNumberFormat="1" applyFont="1" applyFill="1" applyBorder="1" applyAlignment="1">
      <alignment horizontal="center" vertical="center"/>
    </xf>
    <xf numFmtId="0" fontId="105" fillId="14" borderId="6" xfId="4" applyFont="1" applyFill="1" applyBorder="1" applyAlignment="1">
      <alignment vertical="center" wrapText="1"/>
    </xf>
    <xf numFmtId="0" fontId="36" fillId="24" borderId="6" xfId="4" applyFont="1" applyFill="1" applyBorder="1" applyAlignment="1">
      <alignment vertical="center"/>
    </xf>
    <xf numFmtId="0" fontId="37" fillId="26" borderId="6" xfId="4" applyFont="1" applyFill="1" applyBorder="1" applyAlignment="1">
      <alignment horizontal="center" vertical="center"/>
    </xf>
    <xf numFmtId="0" fontId="15" fillId="26" borderId="6" xfId="4" applyFont="1" applyFill="1" applyBorder="1" applyAlignment="1">
      <alignment vertical="center"/>
    </xf>
    <xf numFmtId="0" fontId="15" fillId="26" borderId="6" xfId="4" applyFont="1" applyFill="1" applyBorder="1" applyAlignment="1">
      <alignment horizontal="center" vertical="center"/>
    </xf>
    <xf numFmtId="0" fontId="23" fillId="10" borderId="6" xfId="4" applyFont="1" applyFill="1" applyBorder="1" applyAlignment="1">
      <alignment horizontal="center" vertical="center"/>
    </xf>
    <xf numFmtId="49" fontId="17" fillId="17" borderId="6" xfId="4" applyNumberFormat="1" applyFont="1" applyFill="1" applyBorder="1" applyAlignment="1">
      <alignment horizontal="center" vertical="center" wrapText="1"/>
    </xf>
    <xf numFmtId="0" fontId="17" fillId="28" borderId="6" xfId="4" applyFont="1" applyFill="1" applyBorder="1" applyAlignment="1">
      <alignment horizontal="center" vertical="center"/>
    </xf>
    <xf numFmtId="0" fontId="30" fillId="28" borderId="6" xfId="4" applyFont="1" applyFill="1" applyBorder="1" applyAlignment="1">
      <alignment vertical="center"/>
    </xf>
    <xf numFmtId="0" fontId="38" fillId="14" borderId="1" xfId="4" applyFont="1" applyFill="1" applyBorder="1" applyAlignment="1">
      <alignment horizontal="center" vertical="center"/>
    </xf>
    <xf numFmtId="0" fontId="15" fillId="25" borderId="3" xfId="4" applyFont="1" applyFill="1" applyBorder="1" applyAlignment="1">
      <alignment horizontal="center" vertical="center"/>
    </xf>
    <xf numFmtId="0" fontId="15" fillId="36" borderId="3" xfId="4" applyFont="1" applyFill="1" applyBorder="1" applyAlignment="1">
      <alignment horizontal="center" vertical="center"/>
    </xf>
    <xf numFmtId="0" fontId="15" fillId="36" borderId="5" xfId="2" applyFont="1" applyFill="1" applyBorder="1" applyAlignment="1">
      <alignment horizontal="center" vertical="center"/>
    </xf>
    <xf numFmtId="0" fontId="36" fillId="19" borderId="5" xfId="2" applyFont="1" applyFill="1" applyBorder="1" applyAlignment="1">
      <alignment horizontal="center" vertical="center" wrapText="1"/>
    </xf>
    <xf numFmtId="20" fontId="17" fillId="18" borderId="2" xfId="4" applyNumberFormat="1" applyFont="1" applyFill="1" applyBorder="1" applyAlignment="1">
      <alignment horizontal="center" vertical="center" wrapText="1"/>
    </xf>
    <xf numFmtId="0" fontId="21" fillId="11" borderId="5" xfId="4" applyFont="1" applyFill="1" applyBorder="1" applyAlignment="1">
      <alignment vertical="center"/>
    </xf>
    <xf numFmtId="0" fontId="17" fillId="18" borderId="5" xfId="4" applyFont="1" applyFill="1" applyBorder="1" applyAlignment="1">
      <alignment vertical="center" wrapText="1"/>
    </xf>
    <xf numFmtId="0" fontId="23" fillId="14" borderId="5" xfId="4" applyFont="1" applyFill="1" applyBorder="1" applyAlignment="1">
      <alignment horizontal="center" vertical="center" wrapText="1"/>
    </xf>
    <xf numFmtId="0" fontId="38" fillId="13" borderId="1" xfId="4" applyFont="1" applyFill="1" applyBorder="1" applyAlignment="1">
      <alignment horizontal="center" vertical="center"/>
    </xf>
    <xf numFmtId="0" fontId="38" fillId="26" borderId="1" xfId="4" applyFont="1" applyFill="1" applyBorder="1" applyAlignment="1">
      <alignment horizontal="center" vertical="center"/>
    </xf>
    <xf numFmtId="0" fontId="38" fillId="24" borderId="5" xfId="4" applyFont="1" applyFill="1" applyBorder="1" applyAlignment="1">
      <alignment horizontal="center" vertical="top" wrapText="1"/>
    </xf>
    <xf numFmtId="0" fontId="63" fillId="42" borderId="0" xfId="4" applyFont="1" applyFill="1" applyAlignment="1">
      <alignment horizontal="center" vertical="center"/>
    </xf>
    <xf numFmtId="0" fontId="56" fillId="42" borderId="5" xfId="4" applyFont="1" applyFill="1" applyBorder="1" applyAlignment="1">
      <alignment horizontal="center" vertical="center" wrapText="1"/>
    </xf>
    <xf numFmtId="0" fontId="17" fillId="18" borderId="2" xfId="4" applyFont="1" applyFill="1" applyBorder="1" applyAlignment="1">
      <alignment horizontal="center" vertical="center" wrapText="1"/>
    </xf>
    <xf numFmtId="20" fontId="17" fillId="2" borderId="5" xfId="4" applyNumberFormat="1" applyFont="1" applyFill="1" applyBorder="1" applyAlignment="1">
      <alignment vertical="center" wrapText="1"/>
    </xf>
    <xf numFmtId="0" fontId="63" fillId="42" borderId="5" xfId="4" applyFont="1" applyFill="1" applyBorder="1" applyAlignment="1">
      <alignment horizontal="center" vertical="center"/>
    </xf>
    <xf numFmtId="0" fontId="36" fillId="13" borderId="5" xfId="4" applyFont="1" applyFill="1" applyBorder="1" applyAlignment="1">
      <alignment vertical="center" wrapText="1"/>
    </xf>
    <xf numFmtId="0" fontId="15" fillId="13" borderId="2" xfId="4" applyFont="1" applyFill="1" applyBorder="1" applyAlignment="1">
      <alignment horizontal="center" vertical="center" wrapText="1"/>
    </xf>
    <xf numFmtId="20" fontId="17" fillId="26" borderId="5" xfId="2" applyNumberFormat="1" applyFont="1" applyFill="1" applyBorder="1" applyAlignment="1">
      <alignment horizontal="center" vertical="center" wrapText="1"/>
    </xf>
    <xf numFmtId="20" fontId="17" fillId="17" borderId="2" xfId="4" applyNumberFormat="1" applyFont="1" applyFill="1" applyBorder="1" applyAlignment="1">
      <alignment horizontal="center" vertical="center" wrapText="1"/>
    </xf>
    <xf numFmtId="0" fontId="23" fillId="27" borderId="5" xfId="4" applyFont="1" applyFill="1" applyBorder="1" applyAlignment="1">
      <alignment horizontal="center" vertical="center" wrapText="1"/>
    </xf>
    <xf numFmtId="0" fontId="37" fillId="14" borderId="1" xfId="4" applyFont="1" applyFill="1" applyBorder="1" applyAlignment="1">
      <alignment horizontal="center" vertical="center"/>
    </xf>
    <xf numFmtId="0" fontId="17" fillId="26" borderId="5" xfId="4" applyFont="1" applyFill="1" applyBorder="1" applyAlignment="1">
      <alignment vertical="center"/>
    </xf>
    <xf numFmtId="0" fontId="15" fillId="8" borderId="5" xfId="4" applyFont="1" applyFill="1" applyBorder="1" applyAlignment="1">
      <alignment horizontal="center" vertical="center" wrapText="1"/>
    </xf>
    <xf numFmtId="0" fontId="23" fillId="18" borderId="5" xfId="4" applyFont="1" applyFill="1" applyBorder="1" applyAlignment="1">
      <alignment horizontal="center" vertical="center" wrapText="1"/>
    </xf>
    <xf numFmtId="0" fontId="17" fillId="12" borderId="1" xfId="4" applyFont="1" applyFill="1" applyBorder="1" applyAlignment="1">
      <alignment horizontal="center" vertical="center"/>
    </xf>
    <xf numFmtId="0" fontId="23" fillId="12" borderId="5" xfId="4" applyFont="1" applyFill="1" applyBorder="1" applyAlignment="1">
      <alignment horizontal="center" vertical="center" wrapText="1"/>
    </xf>
    <xf numFmtId="0" fontId="23" fillId="13" borderId="5" xfId="4" applyFont="1" applyFill="1" applyBorder="1" applyAlignment="1">
      <alignment horizontal="center" vertical="center" wrapText="1"/>
    </xf>
    <xf numFmtId="0" fontId="17" fillId="14" borderId="1" xfId="4" applyFont="1" applyFill="1" applyBorder="1" applyAlignment="1">
      <alignment horizontal="center" vertical="center"/>
    </xf>
    <xf numFmtId="0" fontId="23" fillId="24" borderId="5" xfId="4" applyFont="1" applyFill="1" applyBorder="1" applyAlignment="1">
      <alignment horizontal="center" vertical="center" wrapText="1"/>
    </xf>
    <xf numFmtId="0" fontId="17" fillId="25" borderId="1" xfId="4" applyFont="1" applyFill="1" applyBorder="1" applyAlignment="1">
      <alignment horizontal="center" vertical="center"/>
    </xf>
    <xf numFmtId="0" fontId="17" fillId="26" borderId="1" xfId="4" applyFont="1" applyFill="1" applyBorder="1" applyAlignment="1">
      <alignment horizontal="center" vertical="center"/>
    </xf>
    <xf numFmtId="0" fontId="91" fillId="26" borderId="5" xfId="4" applyFont="1" applyFill="1" applyBorder="1" applyAlignment="1">
      <alignment horizontal="center" vertical="center"/>
    </xf>
    <xf numFmtId="0" fontId="17" fillId="10" borderId="1" xfId="4" applyFont="1" applyFill="1" applyBorder="1" applyAlignment="1">
      <alignment horizontal="center" vertical="center"/>
    </xf>
    <xf numFmtId="0" fontId="23" fillId="10" borderId="5" xfId="4" applyFont="1" applyFill="1" applyBorder="1" applyAlignment="1">
      <alignment horizontal="center" vertical="center" wrapText="1"/>
    </xf>
    <xf numFmtId="0" fontId="17" fillId="19" borderId="1" xfId="4" applyFont="1" applyFill="1" applyBorder="1" applyAlignment="1">
      <alignment horizontal="center" vertical="center"/>
    </xf>
    <xf numFmtId="0" fontId="52" fillId="12" borderId="5" xfId="4" applyFont="1" applyFill="1" applyBorder="1" applyAlignment="1">
      <alignment horizontal="center" vertical="center" wrapText="1"/>
    </xf>
    <xf numFmtId="0" fontId="87" fillId="8" borderId="5" xfId="4" applyFont="1" applyFill="1" applyBorder="1" applyAlignment="1">
      <alignment horizontal="center" vertical="center"/>
    </xf>
    <xf numFmtId="20" fontId="60" fillId="2" borderId="1" xfId="2" applyNumberFormat="1" applyFont="1" applyFill="1" applyBorder="1" applyAlignment="1">
      <alignment horizontal="center" vertical="center" wrapText="1"/>
    </xf>
    <xf numFmtId="20" fontId="60" fillId="26" borderId="1" xfId="2" applyNumberFormat="1" applyFont="1" applyFill="1" applyBorder="1" applyAlignment="1">
      <alignment horizontal="center" vertical="center" wrapText="1"/>
    </xf>
    <xf numFmtId="0" fontId="17" fillId="10" borderId="5" xfId="4" applyFont="1" applyFill="1" applyBorder="1" applyAlignment="1">
      <alignment vertical="center" wrapText="1"/>
    </xf>
    <xf numFmtId="0" fontId="63" fillId="26" borderId="5" xfId="4" applyFont="1" applyFill="1" applyBorder="1" applyAlignment="1">
      <alignment horizontal="center" vertical="center"/>
    </xf>
    <xf numFmtId="0" fontId="41" fillId="2" borderId="1" xfId="4" applyFont="1" applyFill="1" applyBorder="1" applyAlignment="1">
      <alignment horizontal="center" vertical="center"/>
    </xf>
    <xf numFmtId="0" fontId="9" fillId="2" borderId="5" xfId="4" applyFont="1" applyFill="1" applyBorder="1" applyAlignment="1">
      <alignment horizontal="center" vertical="center"/>
    </xf>
    <xf numFmtId="49" fontId="41" fillId="2" borderId="5" xfId="4" applyNumberFormat="1" applyFont="1" applyFill="1" applyBorder="1" applyAlignment="1">
      <alignment horizontal="center" vertical="center"/>
    </xf>
    <xf numFmtId="0" fontId="17" fillId="26" borderId="5" xfId="4" applyFont="1" applyFill="1" applyBorder="1" applyAlignment="1">
      <alignment horizontal="center" vertical="center" wrapText="1"/>
    </xf>
    <xf numFmtId="20" fontId="17" fillId="19" borderId="5" xfId="2" applyNumberFormat="1" applyFont="1" applyFill="1" applyBorder="1" applyAlignment="1">
      <alignment horizontal="center" vertical="center" wrapText="1"/>
    </xf>
    <xf numFmtId="20" fontId="41" fillId="10" borderId="5" xfId="4" applyNumberFormat="1" applyFont="1" applyFill="1" applyBorder="1" applyAlignment="1">
      <alignment horizontal="center" vertical="center" wrapText="1"/>
    </xf>
    <xf numFmtId="0" fontId="60" fillId="7" borderId="5" xfId="4" applyFont="1" applyFill="1" applyBorder="1" applyAlignment="1">
      <alignment horizontal="center" vertical="center"/>
    </xf>
    <xf numFmtId="0" fontId="77" fillId="19" borderId="5" xfId="4" applyFont="1" applyFill="1" applyBorder="1" applyAlignment="1">
      <alignment horizontal="center" vertical="center"/>
    </xf>
    <xf numFmtId="49" fontId="30" fillId="19" borderId="5" xfId="4" applyNumberFormat="1" applyFont="1" applyFill="1" applyBorder="1" applyAlignment="1">
      <alignment horizontal="center" vertical="center"/>
    </xf>
    <xf numFmtId="0" fontId="17" fillId="8" borderId="1" xfId="4" applyFont="1" applyFill="1" applyBorder="1" applyAlignment="1">
      <alignment horizontal="center" vertical="center"/>
    </xf>
    <xf numFmtId="49" fontId="17" fillId="8" borderId="5" xfId="4" applyNumberFormat="1" applyFont="1" applyFill="1" applyBorder="1" applyAlignment="1">
      <alignment horizontal="center" vertical="center"/>
    </xf>
    <xf numFmtId="0" fontId="2" fillId="13" borderId="5" xfId="2" applyFill="1" applyBorder="1">
      <alignment vertical="center"/>
    </xf>
    <xf numFmtId="0" fontId="30" fillId="14" borderId="5" xfId="4" applyFont="1" applyFill="1" applyBorder="1" applyAlignment="1">
      <alignment horizontal="center" vertical="center"/>
    </xf>
    <xf numFmtId="0" fontId="30" fillId="57" borderId="5" xfId="4" applyFont="1" applyFill="1" applyBorder="1" applyAlignment="1">
      <alignment horizontal="center" vertical="center"/>
    </xf>
    <xf numFmtId="0" fontId="89" fillId="58" borderId="5" xfId="4" applyFont="1" applyFill="1" applyBorder="1" applyAlignment="1">
      <alignment horizontal="center" vertical="center"/>
    </xf>
    <xf numFmtId="0" fontId="30" fillId="58" borderId="5" xfId="4" applyFont="1" applyFill="1" applyBorder="1" applyAlignment="1">
      <alignment horizontal="center" vertical="center" wrapText="1"/>
    </xf>
    <xf numFmtId="0" fontId="30" fillId="58" borderId="1" xfId="4" applyFont="1" applyFill="1" applyBorder="1" applyAlignment="1">
      <alignment horizontal="center" vertical="center"/>
    </xf>
    <xf numFmtId="0" fontId="16" fillId="8" borderId="5" xfId="4" applyFont="1" applyFill="1" applyBorder="1" applyAlignment="1">
      <alignment horizontal="center" vertical="center"/>
    </xf>
    <xf numFmtId="0" fontId="99" fillId="26" borderId="5" xfId="4" applyFont="1" applyFill="1" applyBorder="1" applyAlignment="1">
      <alignment horizontal="center" vertical="center"/>
    </xf>
    <xf numFmtId="176" fontId="3" fillId="0" borderId="2" xfId="2" applyNumberFormat="1" applyFont="1" applyBorder="1" applyAlignment="1">
      <alignment horizontal="right" vertical="center"/>
    </xf>
    <xf numFmtId="0" fontId="3" fillId="0" borderId="24" xfId="2" applyFont="1" applyBorder="1" applyAlignment="1">
      <alignment horizontal="right" vertical="center"/>
    </xf>
    <xf numFmtId="0" fontId="41" fillId="7" borderId="6" xfId="4" applyFont="1" applyFill="1" applyBorder="1" applyAlignment="1">
      <alignment horizontal="center" vertical="center"/>
    </xf>
    <xf numFmtId="0" fontId="87" fillId="13" borderId="6" xfId="4" applyFont="1" applyFill="1" applyBorder="1" applyAlignment="1">
      <alignment horizontal="center" vertical="center"/>
    </xf>
    <xf numFmtId="0" fontId="17" fillId="26" borderId="6" xfId="4" applyFont="1" applyFill="1" applyBorder="1" applyAlignment="1">
      <alignment horizontal="center" vertical="center"/>
    </xf>
    <xf numFmtId="0" fontId="15" fillId="17" borderId="6" xfId="4" applyFont="1" applyFill="1" applyBorder="1" applyAlignment="1">
      <alignment horizontal="center" vertical="center"/>
    </xf>
    <xf numFmtId="0" fontId="33" fillId="0" borderId="0" xfId="2" applyFont="1" applyAlignment="1">
      <alignment horizontal="center" vertical="center"/>
    </xf>
    <xf numFmtId="0" fontId="33" fillId="0" borderId="2" xfId="2" applyFont="1" applyBorder="1">
      <alignment vertical="center"/>
    </xf>
    <xf numFmtId="0" fontId="15" fillId="0" borderId="0" xfId="2" applyFont="1" applyAlignment="1">
      <alignment horizontal="center" vertical="center"/>
    </xf>
    <xf numFmtId="0" fontId="15" fillId="0" borderId="0" xfId="2" applyFont="1">
      <alignment vertical="center"/>
    </xf>
    <xf numFmtId="0" fontId="37" fillId="0" borderId="0" xfId="2" applyFont="1" applyAlignment="1">
      <alignment horizontal="center" vertical="center"/>
    </xf>
    <xf numFmtId="0" fontId="15" fillId="0" borderId="0" xfId="2" applyFont="1" applyAlignment="1">
      <alignment horizontal="left" vertical="center"/>
    </xf>
    <xf numFmtId="0" fontId="106" fillId="23" borderId="2" xfId="4" applyFont="1" applyFill="1" applyBorder="1" applyAlignment="1">
      <alignment horizontal="center" vertical="center"/>
    </xf>
    <xf numFmtId="0" fontId="50" fillId="22" borderId="2" xfId="4" applyFont="1" applyFill="1" applyBorder="1" applyAlignment="1">
      <alignment horizontal="center" vertical="center"/>
    </xf>
    <xf numFmtId="0" fontId="107" fillId="31" borderId="5" xfId="4" applyFont="1" applyFill="1" applyBorder="1" applyAlignment="1">
      <alignment horizontal="center" vertical="center"/>
    </xf>
    <xf numFmtId="0" fontId="107" fillId="22" borderId="5" xfId="4" applyFont="1" applyFill="1" applyBorder="1" applyAlignment="1">
      <alignment horizontal="center" vertical="center"/>
    </xf>
    <xf numFmtId="0" fontId="58" fillId="31" borderId="5" xfId="4" applyFont="1" applyFill="1" applyBorder="1" applyAlignment="1">
      <alignment horizontal="center" vertical="center"/>
    </xf>
    <xf numFmtId="0" fontId="17" fillId="31" borderId="5" xfId="4" applyFont="1" applyFill="1" applyBorder="1" applyAlignment="1">
      <alignment horizontal="center" vertical="center"/>
    </xf>
    <xf numFmtId="0" fontId="41" fillId="31" borderId="5" xfId="4" applyFont="1" applyFill="1" applyBorder="1" applyAlignment="1">
      <alignment horizontal="center" vertical="center"/>
    </xf>
    <xf numFmtId="176" fontId="3" fillId="0" borderId="7" xfId="2" applyNumberFormat="1" applyFont="1" applyBorder="1" applyAlignment="1">
      <alignment horizontal="right" vertical="center"/>
    </xf>
    <xf numFmtId="0" fontId="17" fillId="31" borderId="6" xfId="4" applyFont="1" applyFill="1" applyBorder="1" applyAlignment="1">
      <alignment horizontal="center" vertical="center"/>
    </xf>
    <xf numFmtId="20" fontId="33" fillId="0" borderId="4" xfId="2" applyNumberFormat="1" applyFont="1" applyBorder="1">
      <alignment vertical="center"/>
    </xf>
    <xf numFmtId="0" fontId="17" fillId="3" borderId="2" xfId="2" applyFont="1" applyFill="1" applyBorder="1" applyAlignment="1">
      <alignment horizontal="left" vertical="center" wrapText="1"/>
    </xf>
    <xf numFmtId="0" fontId="17" fillId="4" borderId="2" xfId="2" applyFont="1" applyFill="1" applyBorder="1" applyAlignment="1">
      <alignment horizontal="left" vertical="center" wrapText="1"/>
    </xf>
    <xf numFmtId="0" fontId="112" fillId="0" borderId="26" xfId="6" applyFont="1" applyBorder="1" applyAlignment="1">
      <alignment horizontal="left" vertical="center"/>
    </xf>
    <xf numFmtId="0" fontId="112" fillId="0" borderId="14" xfId="6" applyFont="1" applyBorder="1">
      <alignment vertical="center"/>
    </xf>
    <xf numFmtId="0" fontId="112" fillId="0" borderId="14" xfId="6" applyFont="1" applyBorder="1" applyAlignment="1">
      <alignment horizontal="center" vertical="center"/>
    </xf>
    <xf numFmtId="0" fontId="113" fillId="0" borderId="14" xfId="6" applyFont="1" applyBorder="1">
      <alignment vertical="center"/>
    </xf>
    <xf numFmtId="0" fontId="112" fillId="0" borderId="0" xfId="6" applyFont="1" applyAlignment="1">
      <alignment horizontal="center" vertical="center"/>
    </xf>
    <xf numFmtId="0" fontId="112" fillId="0" borderId="24" xfId="6" applyFont="1" applyBorder="1" applyAlignment="1">
      <alignment horizontal="center" vertical="center"/>
    </xf>
    <xf numFmtId="0" fontId="112" fillId="0" borderId="24" xfId="6" applyFont="1" applyBorder="1" applyAlignment="1">
      <alignment horizontal="center" vertical="center" wrapText="1"/>
    </xf>
    <xf numFmtId="0" fontId="113" fillId="0" borderId="26" xfId="6" applyFont="1" applyBorder="1" applyAlignment="1">
      <alignment horizontal="center" vertical="center"/>
    </xf>
    <xf numFmtId="0" fontId="113" fillId="0" borderId="15" xfId="6" applyFont="1" applyBorder="1" applyAlignment="1">
      <alignment horizontal="center" vertical="center"/>
    </xf>
    <xf numFmtId="0" fontId="111" fillId="0" borderId="0" xfId="6">
      <alignment vertical="center"/>
    </xf>
    <xf numFmtId="0" fontId="112" fillId="0" borderId="26" xfId="6" applyFont="1" applyBorder="1" applyAlignment="1">
      <alignment horizontal="left" vertical="center" wrapText="1"/>
    </xf>
    <xf numFmtId="0" fontId="117" fillId="0" borderId="14" xfId="6" applyFont="1" applyBorder="1" applyAlignment="1">
      <alignment horizontal="left" vertical="center"/>
    </xf>
    <xf numFmtId="0" fontId="117" fillId="0" borderId="14" xfId="6" applyFont="1" applyBorder="1" applyAlignment="1">
      <alignment horizontal="center" vertical="center"/>
    </xf>
    <xf numFmtId="0" fontId="118" fillId="0" borderId="14" xfId="6" applyFont="1" applyBorder="1" applyAlignment="1">
      <alignment horizontal="left" vertical="center"/>
    </xf>
    <xf numFmtId="0" fontId="119" fillId="0" borderId="26" xfId="6" applyFont="1" applyBorder="1" applyAlignment="1">
      <alignment horizontal="center" vertical="center"/>
    </xf>
    <xf numFmtId="0" fontId="34" fillId="0" borderId="15" xfId="5" applyBorder="1" applyAlignment="1">
      <alignment horizontal="center" vertical="center"/>
    </xf>
    <xf numFmtId="0" fontId="111" fillId="0" borderId="14" xfId="6" applyBorder="1">
      <alignment vertical="center"/>
    </xf>
    <xf numFmtId="0" fontId="112" fillId="0" borderId="14" xfId="6" applyFont="1" applyBorder="1" applyAlignment="1">
      <alignment horizontal="left" vertical="center"/>
    </xf>
    <xf numFmtId="0" fontId="115" fillId="0" borderId="15" xfId="6" applyFont="1" applyBorder="1" applyAlignment="1">
      <alignment horizontal="center" vertical="center"/>
    </xf>
    <xf numFmtId="0" fontId="113" fillId="0" borderId="14" xfId="6" applyFont="1" applyBorder="1" applyAlignment="1">
      <alignment horizontal="left" vertical="center"/>
    </xf>
    <xf numFmtId="0" fontId="120" fillId="0" borderId="26" xfId="6" applyFont="1" applyBorder="1" applyAlignment="1">
      <alignment horizontal="center" vertical="center"/>
    </xf>
    <xf numFmtId="0" fontId="121" fillId="0" borderId="15" xfId="6" applyFont="1" applyBorder="1" applyAlignment="1">
      <alignment horizontal="center" vertical="center" wrapText="1"/>
    </xf>
    <xf numFmtId="0" fontId="112" fillId="60" borderId="26" xfId="6" applyFont="1" applyFill="1" applyBorder="1" applyAlignment="1">
      <alignment horizontal="left" vertical="center"/>
    </xf>
    <xf numFmtId="0" fontId="34" fillId="0" borderId="26" xfId="5" applyBorder="1" applyAlignment="1">
      <alignment horizontal="center" vertical="center"/>
    </xf>
    <xf numFmtId="14" fontId="121" fillId="0" borderId="15" xfId="6" applyNumberFormat="1" applyFont="1" applyBorder="1" applyAlignment="1">
      <alignment horizontal="center" vertical="center" wrapText="1"/>
    </xf>
    <xf numFmtId="0" fontId="122" fillId="0" borderId="0" xfId="6" applyFont="1">
      <alignment vertical="center"/>
    </xf>
    <xf numFmtId="14" fontId="119" fillId="0" borderId="26" xfId="6" applyNumberFormat="1" applyFont="1" applyBorder="1" applyAlignment="1">
      <alignment horizontal="center" vertical="center"/>
    </xf>
    <xf numFmtId="0" fontId="120" fillId="0" borderId="14" xfId="6" applyFont="1" applyBorder="1">
      <alignment vertical="center"/>
    </xf>
    <xf numFmtId="0" fontId="123" fillId="0" borderId="26" xfId="6" applyFont="1" applyBorder="1" applyAlignment="1">
      <alignment horizontal="center" vertical="center" wrapText="1"/>
    </xf>
    <xf numFmtId="0" fontId="115" fillId="0" borderId="14" xfId="6" applyFont="1" applyBorder="1" applyAlignment="1">
      <alignment horizontal="center" vertical="center"/>
    </xf>
    <xf numFmtId="0" fontId="117" fillId="0" borderId="26" xfId="6" applyFont="1" applyBorder="1" applyAlignment="1">
      <alignment horizontal="left" vertical="center"/>
    </xf>
    <xf numFmtId="0" fontId="34" fillId="0" borderId="3" xfId="5" applyBorder="1">
      <alignment vertical="center"/>
    </xf>
    <xf numFmtId="14" fontId="115" fillId="0" borderId="14" xfId="6" applyNumberFormat="1" applyFont="1" applyBorder="1" applyAlignment="1">
      <alignment horizontal="center" vertical="center"/>
    </xf>
    <xf numFmtId="0" fontId="121" fillId="0" borderId="15" xfId="6" applyFont="1" applyBorder="1" applyAlignment="1">
      <alignment horizontal="center" vertical="center"/>
    </xf>
    <xf numFmtId="0" fontId="118" fillId="59" borderId="0" xfId="6" applyFont="1" applyFill="1" applyAlignment="1">
      <alignment horizontal="left" vertical="center"/>
    </xf>
    <xf numFmtId="0" fontId="124" fillId="0" borderId="14" xfId="6" applyFont="1" applyBorder="1">
      <alignment vertical="center"/>
    </xf>
    <xf numFmtId="0" fontId="120" fillId="0" borderId="14" xfId="6" applyFont="1" applyBorder="1" applyAlignment="1">
      <alignment horizontal="center" vertical="center"/>
    </xf>
    <xf numFmtId="0" fontId="121" fillId="0" borderId="14" xfId="6" applyFont="1" applyBorder="1" applyAlignment="1">
      <alignment horizontal="center" vertical="center"/>
    </xf>
    <xf numFmtId="0" fontId="117" fillId="60" borderId="26" xfId="6" applyFont="1" applyFill="1" applyBorder="1" applyAlignment="1">
      <alignment horizontal="left" vertical="center"/>
    </xf>
    <xf numFmtId="0" fontId="121" fillId="0" borderId="14" xfId="6" applyFont="1" applyBorder="1" applyAlignment="1">
      <alignment horizontal="center" vertical="center" wrapText="1"/>
    </xf>
    <xf numFmtId="0" fontId="125" fillId="0" borderId="14" xfId="6" applyFont="1" applyBorder="1">
      <alignment vertical="center"/>
    </xf>
    <xf numFmtId="0" fontId="126" fillId="0" borderId="1" xfId="6" applyFont="1" applyBorder="1" applyAlignment="1">
      <alignment horizontal="center" vertical="center"/>
    </xf>
    <xf numFmtId="0" fontId="117" fillId="0" borderId="14" xfId="6" applyFont="1" applyBorder="1">
      <alignment vertical="center"/>
    </xf>
    <xf numFmtId="0" fontId="127" fillId="0" borderId="26" xfId="6" applyFont="1" applyBorder="1" applyAlignment="1">
      <alignment horizontal="center" vertical="center"/>
    </xf>
    <xf numFmtId="0" fontId="128" fillId="0" borderId="15" xfId="6" applyFont="1" applyBorder="1" applyAlignment="1">
      <alignment horizontal="center" vertical="center" wrapText="1"/>
    </xf>
    <xf numFmtId="0" fontId="34" fillId="0" borderId="29" xfId="5" applyBorder="1" applyAlignment="1">
      <alignment horizontal="center" vertical="center"/>
    </xf>
    <xf numFmtId="0" fontId="129" fillId="0" borderId="14" xfId="6" applyFont="1" applyBorder="1" applyAlignment="1">
      <alignment horizontal="center" vertical="center"/>
    </xf>
    <xf numFmtId="0" fontId="130" fillId="0" borderId="15" xfId="6" applyFont="1" applyBorder="1" applyAlignment="1">
      <alignment horizontal="center" vertical="center"/>
    </xf>
    <xf numFmtId="0" fontId="126" fillId="0" borderId="26" xfId="6" applyFont="1" applyBorder="1" applyAlignment="1">
      <alignment horizontal="center" vertical="center"/>
    </xf>
    <xf numFmtId="14" fontId="115" fillId="0" borderId="15" xfId="6" applyNumberFormat="1" applyFont="1" applyBorder="1" applyAlignment="1">
      <alignment horizontal="center" vertical="center"/>
    </xf>
    <xf numFmtId="0" fontId="112" fillId="60" borderId="14" xfId="6" applyFont="1" applyFill="1" applyBorder="1">
      <alignment vertical="center"/>
    </xf>
    <xf numFmtId="0" fontId="112" fillId="60" borderId="14" xfId="6" applyFont="1" applyFill="1" applyBorder="1" applyAlignment="1">
      <alignment horizontal="center" vertical="center"/>
    </xf>
    <xf numFmtId="0" fontId="120" fillId="60" borderId="14" xfId="6" applyFont="1" applyFill="1" applyBorder="1">
      <alignment vertical="center"/>
    </xf>
    <xf numFmtId="0" fontId="124" fillId="60" borderId="14" xfId="6" applyFont="1" applyFill="1" applyBorder="1">
      <alignment vertical="center"/>
    </xf>
    <xf numFmtId="0" fontId="120" fillId="0" borderId="15" xfId="6" applyFont="1" applyBorder="1">
      <alignment vertical="center"/>
    </xf>
    <xf numFmtId="0" fontId="113" fillId="60" borderId="14" xfId="6" applyFont="1" applyFill="1" applyBorder="1">
      <alignment vertical="center"/>
    </xf>
    <xf numFmtId="0" fontId="112" fillId="60" borderId="14" xfId="6" applyFont="1" applyFill="1" applyBorder="1" applyAlignment="1">
      <alignment horizontal="left" vertical="center"/>
    </xf>
    <xf numFmtId="0" fontId="113" fillId="60" borderId="14" xfId="6" applyFont="1" applyFill="1" applyBorder="1" applyAlignment="1">
      <alignment horizontal="left" vertical="center"/>
    </xf>
    <xf numFmtId="0" fontId="131" fillId="0" borderId="14" xfId="6" applyFont="1" applyBorder="1">
      <alignment vertical="center"/>
    </xf>
    <xf numFmtId="0" fontId="111" fillId="2" borderId="14" xfId="6" applyFill="1" applyBorder="1">
      <alignment vertical="center"/>
    </xf>
    <xf numFmtId="16" fontId="115" fillId="0" borderId="15" xfId="6" applyNumberFormat="1" applyFont="1" applyBorder="1" applyAlignment="1">
      <alignment horizontal="center" vertical="center"/>
    </xf>
    <xf numFmtId="0" fontId="122" fillId="0" borderId="14" xfId="6" applyFont="1" applyBorder="1">
      <alignment vertical="center"/>
    </xf>
    <xf numFmtId="0" fontId="111" fillId="0" borderId="3" xfId="6" applyBorder="1">
      <alignment vertical="center"/>
    </xf>
    <xf numFmtId="0" fontId="111" fillId="0" borderId="6" xfId="6" applyBorder="1">
      <alignment vertical="center"/>
    </xf>
    <xf numFmtId="0" fontId="126" fillId="0" borderId="0" xfId="6" applyFont="1" applyAlignment="1">
      <alignment horizontal="center" vertical="center"/>
    </xf>
    <xf numFmtId="0" fontId="123" fillId="0" borderId="26" xfId="6" applyFont="1" applyBorder="1" applyAlignment="1">
      <alignment horizontal="center" vertical="center"/>
    </xf>
    <xf numFmtId="0" fontId="112" fillId="0" borderId="14" xfId="6" applyFont="1" applyBorder="1" applyAlignment="1">
      <alignment horizontal="left" vertical="center" wrapText="1"/>
    </xf>
    <xf numFmtId="0" fontId="120" fillId="0" borderId="0" xfId="6" applyFont="1">
      <alignment vertical="center"/>
    </xf>
    <xf numFmtId="0" fontId="120" fillId="0" borderId="0" xfId="6" applyFont="1" applyAlignment="1">
      <alignment horizontal="center" vertical="center"/>
    </xf>
    <xf numFmtId="0" fontId="111" fillId="0" borderId="0" xfId="6" applyAlignment="1">
      <alignment horizontal="center" vertical="center"/>
    </xf>
    <xf numFmtId="0" fontId="125" fillId="0" borderId="0" xfId="6" applyFont="1">
      <alignment vertical="center"/>
    </xf>
    <xf numFmtId="0" fontId="122" fillId="7" borderId="0" xfId="6" applyFont="1" applyFill="1">
      <alignment vertical="center"/>
    </xf>
    <xf numFmtId="0" fontId="111" fillId="7" borderId="0" xfId="6" applyFill="1">
      <alignment vertical="center"/>
    </xf>
    <xf numFmtId="0" fontId="132" fillId="0" borderId="0" xfId="6" applyFont="1">
      <alignment vertical="center"/>
    </xf>
    <xf numFmtId="0" fontId="133" fillId="61" borderId="0" xfId="6" applyFont="1" applyFill="1">
      <alignment vertical="center"/>
    </xf>
    <xf numFmtId="0" fontId="134" fillId="61" borderId="0" xfId="6" applyFont="1" applyFill="1">
      <alignment vertical="center"/>
    </xf>
    <xf numFmtId="0" fontId="113" fillId="45" borderId="0" xfId="6" applyFont="1" applyFill="1">
      <alignment vertical="center"/>
    </xf>
    <xf numFmtId="0" fontId="132" fillId="45" borderId="0" xfId="6" applyFont="1" applyFill="1">
      <alignment vertical="center"/>
    </xf>
    <xf numFmtId="0" fontId="135" fillId="0" borderId="0" xfId="6" applyFont="1">
      <alignment vertical="center"/>
    </xf>
    <xf numFmtId="0" fontId="111" fillId="0" borderId="0" xfId="6" applyAlignment="1">
      <alignment horizontal="right" vertical="center"/>
    </xf>
    <xf numFmtId="0" fontId="122" fillId="2" borderId="0" xfId="6" applyFont="1" applyFill="1">
      <alignment vertical="center"/>
    </xf>
    <xf numFmtId="0" fontId="111" fillId="2" borderId="0" xfId="6" applyFill="1">
      <alignment vertical="center"/>
    </xf>
    <xf numFmtId="0" fontId="122" fillId="62" borderId="0" xfId="6" applyFont="1" applyFill="1">
      <alignment vertical="center"/>
    </xf>
    <xf numFmtId="0" fontId="111" fillId="62" borderId="0" xfId="6" applyFill="1">
      <alignment vertical="center"/>
    </xf>
    <xf numFmtId="0" fontId="34" fillId="62" borderId="0" xfId="5" applyFill="1">
      <alignment vertical="center"/>
    </xf>
    <xf numFmtId="0" fontId="131" fillId="62" borderId="0" xfId="6" applyFont="1" applyFill="1">
      <alignment vertical="center"/>
    </xf>
    <xf numFmtId="0" fontId="125" fillId="62" borderId="0" xfId="6" applyFont="1" applyFill="1">
      <alignment vertical="center"/>
    </xf>
    <xf numFmtId="0" fontId="132" fillId="45" borderId="0" xfId="6" applyFont="1" applyFill="1" applyAlignment="1">
      <alignment horizontal="left" vertical="center"/>
    </xf>
    <xf numFmtId="0" fontId="111" fillId="61" borderId="0" xfId="6" applyFill="1" applyAlignment="1">
      <alignment horizontal="center" vertical="center"/>
    </xf>
    <xf numFmtId="0" fontId="136" fillId="0" borderId="0" xfId="6" applyFont="1">
      <alignment vertical="center"/>
    </xf>
    <xf numFmtId="0" fontId="137" fillId="0" borderId="0" xfId="6" applyFont="1">
      <alignment vertical="center"/>
    </xf>
    <xf numFmtId="0" fontId="138" fillId="0" borderId="0" xfId="6" applyFont="1">
      <alignment vertical="center"/>
    </xf>
    <xf numFmtId="0" fontId="108" fillId="0" borderId="35" xfId="7" applyBorder="1">
      <alignment vertical="center"/>
    </xf>
    <xf numFmtId="0" fontId="108" fillId="0" borderId="0" xfId="7">
      <alignment vertical="center"/>
    </xf>
    <xf numFmtId="0" fontId="110" fillId="0" borderId="0" xfId="7" applyFont="1">
      <alignment vertical="center"/>
    </xf>
    <xf numFmtId="0" fontId="141" fillId="0" borderId="0" xfId="7" applyFont="1">
      <alignment vertical="center"/>
    </xf>
    <xf numFmtId="0" fontId="108" fillId="0" borderId="36" xfId="7" applyBorder="1">
      <alignment vertical="center"/>
    </xf>
    <xf numFmtId="0" fontId="143" fillId="0" borderId="29" xfId="7" applyFont="1" applyBorder="1" applyAlignment="1">
      <alignment horizontal="left" vertical="center"/>
    </xf>
    <xf numFmtId="0" fontId="122" fillId="0" borderId="0" xfId="7" applyFont="1">
      <alignment vertical="center"/>
    </xf>
    <xf numFmtId="0" fontId="108" fillId="0" borderId="37" xfId="7" applyBorder="1">
      <alignment vertical="center"/>
    </xf>
    <xf numFmtId="0" fontId="122" fillId="0" borderId="29" xfId="7" applyFont="1" applyBorder="1" applyAlignment="1">
      <alignment horizontal="center" vertical="center"/>
    </xf>
    <xf numFmtId="0" fontId="132" fillId="0" borderId="0" xfId="7" applyFont="1">
      <alignment vertical="center"/>
    </xf>
    <xf numFmtId="0" fontId="135" fillId="0" borderId="29" xfId="7" applyFont="1" applyBorder="1" applyAlignment="1">
      <alignment horizontal="center" vertical="center"/>
    </xf>
    <xf numFmtId="0" fontId="132" fillId="0" borderId="37" xfId="7" applyFont="1" applyBorder="1">
      <alignment vertical="center"/>
    </xf>
    <xf numFmtId="0" fontId="108" fillId="0" borderId="29" xfId="7" applyBorder="1">
      <alignment vertical="center"/>
    </xf>
    <xf numFmtId="0" fontId="110" fillId="0" borderId="37" xfId="7" applyFont="1" applyBorder="1">
      <alignment vertical="center"/>
    </xf>
    <xf numFmtId="0" fontId="122" fillId="0" borderId="0" xfId="7" applyFont="1" applyAlignment="1">
      <alignment horizontal="center" vertical="center"/>
    </xf>
    <xf numFmtId="0" fontId="135" fillId="0" borderId="0" xfId="7" applyFont="1">
      <alignment vertical="center"/>
    </xf>
    <xf numFmtId="0" fontId="109" fillId="0" borderId="0" xfId="7" applyFont="1" applyAlignment="1">
      <alignment horizontal="right" vertical="center"/>
    </xf>
    <xf numFmtId="0" fontId="131" fillId="0" borderId="0" xfId="7" applyFont="1">
      <alignment vertical="center"/>
    </xf>
    <xf numFmtId="0" fontId="108" fillId="64" borderId="39" xfId="7" applyFill="1" applyBorder="1" applyAlignment="1">
      <alignment horizontal="center" vertical="center"/>
    </xf>
    <xf numFmtId="0" fontId="144" fillId="0" borderId="0" xfId="7" applyFont="1">
      <alignment vertical="center"/>
    </xf>
    <xf numFmtId="0" fontId="108" fillId="8" borderId="39" xfId="7" applyFill="1" applyBorder="1" applyAlignment="1">
      <alignment horizontal="center" vertical="center"/>
    </xf>
    <xf numFmtId="0" fontId="108" fillId="8" borderId="40" xfId="7" applyFill="1" applyBorder="1" applyAlignment="1">
      <alignment horizontal="center" vertical="center"/>
    </xf>
    <xf numFmtId="0" fontId="108" fillId="0" borderId="41" xfId="7" applyBorder="1">
      <alignment vertical="center"/>
    </xf>
    <xf numFmtId="0" fontId="108" fillId="0" borderId="42" xfId="7" applyBorder="1">
      <alignment vertical="center"/>
    </xf>
    <xf numFmtId="0" fontId="112" fillId="0" borderId="43" xfId="6" applyFont="1" applyBorder="1" applyAlignment="1">
      <alignment horizontal="left" vertical="center"/>
    </xf>
    <xf numFmtId="0" fontId="112" fillId="0" borderId="13" xfId="6" applyFont="1" applyBorder="1" applyAlignment="1">
      <alignment horizontal="center" vertical="center"/>
    </xf>
    <xf numFmtId="0" fontId="115" fillId="0" borderId="14" xfId="6" applyFont="1" applyBorder="1">
      <alignment vertical="center"/>
    </xf>
    <xf numFmtId="0" fontId="122" fillId="0" borderId="14" xfId="6" applyFont="1" applyBorder="1" applyAlignment="1">
      <alignment horizontal="center" vertical="center"/>
    </xf>
    <xf numFmtId="0" fontId="112" fillId="0" borderId="15" xfId="6" applyFont="1" applyBorder="1" applyAlignment="1">
      <alignment horizontal="center" vertical="center"/>
    </xf>
    <xf numFmtId="0" fontId="122" fillId="0" borderId="44" xfId="6" applyFont="1" applyBorder="1">
      <alignment vertical="center"/>
    </xf>
    <xf numFmtId="0" fontId="122" fillId="0" borderId="45" xfId="6" applyFont="1" applyBorder="1">
      <alignment vertical="center"/>
    </xf>
    <xf numFmtId="0" fontId="117" fillId="0" borderId="0" xfId="6" applyFont="1" applyAlignment="1">
      <alignment horizontal="left" vertical="center"/>
    </xf>
    <xf numFmtId="0" fontId="118" fillId="0" borderId="0" xfId="6" applyFont="1" applyAlignment="1">
      <alignment horizontal="left" vertical="center"/>
    </xf>
    <xf numFmtId="0" fontId="112" fillId="0" borderId="3" xfId="6" applyFont="1" applyBorder="1" applyAlignment="1">
      <alignment horizontal="left" vertical="center"/>
    </xf>
    <xf numFmtId="0" fontId="112" fillId="0" borderId="3" xfId="6" applyFont="1" applyBorder="1">
      <alignment vertical="center"/>
    </xf>
    <xf numFmtId="0" fontId="113" fillId="0" borderId="3" xfId="6" applyFont="1" applyBorder="1">
      <alignment vertical="center"/>
    </xf>
    <xf numFmtId="0" fontId="122" fillId="0" borderId="3" xfId="6" applyFont="1" applyBorder="1" applyAlignment="1">
      <alignment horizontal="center" vertical="center"/>
    </xf>
    <xf numFmtId="0" fontId="120" fillId="0" borderId="25" xfId="6" applyFont="1" applyBorder="1" applyAlignment="1">
      <alignment horizontal="center" vertical="center"/>
    </xf>
    <xf numFmtId="0" fontId="120" fillId="0" borderId="4" xfId="6" applyFont="1" applyBorder="1">
      <alignment vertical="center"/>
    </xf>
    <xf numFmtId="0" fontId="112" fillId="0" borderId="0" xfId="6" applyFont="1">
      <alignment vertical="center"/>
    </xf>
    <xf numFmtId="0" fontId="112" fillId="0" borderId="0" xfId="6" applyFont="1" applyAlignment="1">
      <alignment horizontal="left" vertical="center"/>
    </xf>
    <xf numFmtId="0" fontId="113" fillId="0" borderId="0" xfId="6" applyFont="1">
      <alignment vertical="center"/>
    </xf>
    <xf numFmtId="0" fontId="122" fillId="0" borderId="0" xfId="6" applyFont="1" applyAlignment="1">
      <alignment horizontal="center" vertical="center"/>
    </xf>
    <xf numFmtId="0" fontId="146" fillId="0" borderId="0" xfId="9" applyFont="1" applyAlignment="1">
      <alignment vertical="center"/>
    </xf>
    <xf numFmtId="0" fontId="147" fillId="0" borderId="0" xfId="9" applyFont="1"/>
    <xf numFmtId="0" fontId="148" fillId="0" borderId="0" xfId="9" applyFont="1" applyAlignment="1">
      <alignment horizontal="left" vertical="center"/>
    </xf>
    <xf numFmtId="0" fontId="148" fillId="0" borderId="0" xfId="9" applyFont="1" applyAlignment="1">
      <alignment vertical="center"/>
    </xf>
    <xf numFmtId="0" fontId="149" fillId="0" borderId="0" xfId="9" applyFont="1" applyAlignment="1">
      <alignment vertical="center"/>
    </xf>
    <xf numFmtId="0" fontId="147" fillId="0" borderId="0" xfId="9" applyFont="1" applyAlignment="1">
      <alignment vertical="center"/>
    </xf>
    <xf numFmtId="0" fontId="150" fillId="0" borderId="0" xfId="9" applyFont="1" applyAlignment="1">
      <alignment horizontal="center" vertical="center"/>
    </xf>
    <xf numFmtId="0" fontId="151" fillId="0" borderId="0" xfId="9" applyFont="1" applyAlignment="1">
      <alignment vertical="center"/>
    </xf>
    <xf numFmtId="0" fontId="150" fillId="0" borderId="0" xfId="9" applyFont="1" applyAlignment="1">
      <alignment vertical="center"/>
    </xf>
    <xf numFmtId="0" fontId="147" fillId="0" borderId="0" xfId="9" applyFont="1" applyAlignment="1">
      <alignment horizontal="left" vertical="center"/>
    </xf>
    <xf numFmtId="0" fontId="156" fillId="0" borderId="0" xfId="10" applyFont="1" applyAlignment="1">
      <alignment vertical="center"/>
    </xf>
    <xf numFmtId="0" fontId="157" fillId="0" borderId="0" xfId="9" applyFont="1" applyAlignment="1">
      <alignment vertical="center"/>
    </xf>
    <xf numFmtId="0" fontId="147" fillId="0" borderId="0" xfId="9" applyFont="1" applyAlignment="1">
      <alignment horizontal="left"/>
    </xf>
    <xf numFmtId="0" fontId="158" fillId="0" borderId="0" xfId="9" applyFont="1" applyAlignment="1">
      <alignment vertical="center"/>
    </xf>
    <xf numFmtId="0" fontId="159" fillId="0" borderId="0" xfId="9" applyFont="1" applyAlignment="1">
      <alignment vertical="center"/>
    </xf>
    <xf numFmtId="0" fontId="157" fillId="0" borderId="0" xfId="9" applyFont="1" applyAlignment="1">
      <alignment horizontal="left"/>
    </xf>
    <xf numFmtId="0" fontId="155" fillId="0" borderId="0" xfId="10" applyFont="1" applyAlignment="1">
      <alignment vertical="center"/>
    </xf>
    <xf numFmtId="0" fontId="160" fillId="0" borderId="0" xfId="9" applyFont="1" applyAlignment="1">
      <alignment vertical="center"/>
    </xf>
    <xf numFmtId="0" fontId="161" fillId="0" borderId="0" xfId="9" applyFont="1" applyAlignment="1">
      <alignment vertical="center"/>
    </xf>
    <xf numFmtId="0" fontId="162" fillId="0" borderId="0" xfId="9" applyFont="1" applyAlignment="1">
      <alignment vertical="center"/>
    </xf>
    <xf numFmtId="0" fontId="163" fillId="0" borderId="0" xfId="9" applyFont="1" applyAlignment="1">
      <alignment vertical="center"/>
    </xf>
    <xf numFmtId="0" fontId="164" fillId="0" borderId="0" xfId="9" applyFont="1" applyAlignment="1">
      <alignment horizontal="center" vertical="center"/>
    </xf>
    <xf numFmtId="0" fontId="165" fillId="0" borderId="0" xfId="9" applyFont="1" applyAlignment="1">
      <alignment horizontal="center" vertical="center"/>
    </xf>
    <xf numFmtId="0" fontId="163" fillId="0" borderId="0" xfId="9" applyFont="1"/>
    <xf numFmtId="0" fontId="158" fillId="0" borderId="0" xfId="9" applyFont="1" applyAlignment="1">
      <alignment horizontal="center" vertical="center"/>
    </xf>
    <xf numFmtId="0" fontId="146" fillId="0" borderId="0" xfId="9" applyFont="1" applyAlignment="1">
      <alignment horizontal="center" vertical="center"/>
    </xf>
    <xf numFmtId="0" fontId="151" fillId="0" borderId="0" xfId="9" applyFont="1"/>
    <xf numFmtId="0" fontId="168" fillId="0" borderId="0" xfId="9" applyFont="1" applyAlignment="1">
      <alignment vertical="center"/>
    </xf>
    <xf numFmtId="0" fontId="165" fillId="0" borderId="0" xfId="9" applyFont="1" applyAlignment="1">
      <alignment vertical="center"/>
    </xf>
    <xf numFmtId="0" fontId="157" fillId="0" borderId="0" xfId="9" applyFont="1"/>
    <xf numFmtId="0" fontId="169" fillId="0" borderId="0" xfId="9" applyFont="1" applyAlignment="1">
      <alignment vertical="center"/>
    </xf>
    <xf numFmtId="0" fontId="146" fillId="65" borderId="0" xfId="9" applyFont="1" applyFill="1"/>
    <xf numFmtId="0" fontId="169" fillId="0" borderId="0" xfId="9" applyFont="1"/>
    <xf numFmtId="0" fontId="170" fillId="0" borderId="0" xfId="9" applyFont="1"/>
    <xf numFmtId="0" fontId="145" fillId="0" borderId="0" xfId="9"/>
    <xf numFmtId="0" fontId="146" fillId="0" borderId="0" xfId="9" applyFont="1" applyAlignment="1">
      <alignment horizontal="left"/>
    </xf>
    <xf numFmtId="0" fontId="151" fillId="0" borderId="0" xfId="9" applyFont="1" applyAlignment="1">
      <alignment horizontal="left"/>
    </xf>
    <xf numFmtId="0" fontId="34" fillId="0" borderId="0" xfId="5" applyAlignment="1">
      <alignment horizontal="left"/>
    </xf>
    <xf numFmtId="0" fontId="171" fillId="0" borderId="0" xfId="10" applyFont="1" applyAlignment="1">
      <alignment horizontal="left"/>
    </xf>
    <xf numFmtId="0" fontId="15" fillId="0" borderId="5" xfId="4" applyFont="1" applyBorder="1" applyAlignment="1">
      <alignment horizontal="center" vertical="center" wrapText="1"/>
    </xf>
    <xf numFmtId="20" fontId="15" fillId="0" borderId="5" xfId="2" applyNumberFormat="1" applyFont="1" applyBorder="1" applyAlignment="1">
      <alignment horizontal="center" vertical="center" wrapText="1"/>
    </xf>
    <xf numFmtId="0" fontId="70" fillId="2" borderId="5" xfId="4" applyFont="1" applyFill="1" applyBorder="1" applyAlignment="1">
      <alignment horizontal="center" vertical="center" wrapText="1"/>
    </xf>
    <xf numFmtId="0" fontId="172" fillId="0" borderId="0" xfId="6" applyFont="1">
      <alignment vertical="center"/>
    </xf>
    <xf numFmtId="0" fontId="34" fillId="0" borderId="14" xfId="5" applyBorder="1" applyAlignment="1">
      <alignment horizontal="left" vertical="center"/>
    </xf>
    <xf numFmtId="0" fontId="34" fillId="0" borderId="5" xfId="5" applyBorder="1">
      <alignment vertical="center"/>
    </xf>
    <xf numFmtId="0" fontId="122" fillId="0" borderId="14" xfId="6" applyFont="1" applyBorder="1" applyAlignment="1">
      <alignment horizontal="left" vertical="center"/>
    </xf>
    <xf numFmtId="0" fontId="34" fillId="0" borderId="35" xfId="5" applyBorder="1" applyAlignment="1">
      <alignment horizontal="center" vertical="center"/>
    </xf>
    <xf numFmtId="0" fontId="34" fillId="0" borderId="14" xfId="5" applyBorder="1" applyAlignment="1">
      <alignment horizontal="center" vertical="center" wrapText="1"/>
    </xf>
    <xf numFmtId="0" fontId="122" fillId="0" borderId="0" xfId="6" applyFont="1" applyAlignment="1">
      <alignment horizontal="left" vertical="center"/>
    </xf>
    <xf numFmtId="0" fontId="16" fillId="68" borderId="2" xfId="4" applyFont="1" applyFill="1" applyBorder="1" applyAlignment="1">
      <alignment horizontal="center" vertical="center"/>
    </xf>
    <xf numFmtId="0" fontId="15" fillId="68" borderId="2" xfId="4" applyFont="1" applyFill="1" applyBorder="1" applyAlignment="1">
      <alignment horizontal="center" vertical="center"/>
    </xf>
    <xf numFmtId="0" fontId="37" fillId="68" borderId="2" xfId="4" applyFont="1" applyFill="1" applyBorder="1" applyAlignment="1">
      <alignment horizontal="center" vertical="center"/>
    </xf>
    <xf numFmtId="20" fontId="30" fillId="4" borderId="2" xfId="2" applyNumberFormat="1" applyFont="1" applyFill="1" applyBorder="1" applyAlignment="1">
      <alignment horizontal="center" vertical="center" wrapText="1"/>
    </xf>
    <xf numFmtId="0" fontId="17" fillId="20" borderId="6" xfId="4" applyFont="1" applyFill="1" applyBorder="1" applyAlignment="1">
      <alignment vertical="center"/>
    </xf>
    <xf numFmtId="0" fontId="30" fillId="20" borderId="3" xfId="4" applyFont="1" applyFill="1" applyBorder="1" applyAlignment="1">
      <alignment horizontal="center" vertical="center"/>
    </xf>
    <xf numFmtId="0" fontId="30" fillId="20" borderId="5" xfId="4" applyFont="1" applyFill="1" applyBorder="1" applyAlignment="1">
      <alignment horizontal="center" vertical="center"/>
    </xf>
    <xf numFmtId="0" fontId="30" fillId="4" borderId="2" xfId="4" applyFont="1" applyFill="1" applyBorder="1" applyAlignment="1">
      <alignment horizontal="center" vertical="center"/>
    </xf>
    <xf numFmtId="0" fontId="30" fillId="5" borderId="2" xfId="4" applyFont="1" applyFill="1" applyBorder="1" applyAlignment="1">
      <alignment horizontal="center" vertical="center"/>
    </xf>
    <xf numFmtId="0" fontId="70" fillId="5" borderId="2" xfId="4" applyFont="1" applyFill="1" applyBorder="1" applyAlignment="1">
      <alignment horizontal="center" vertical="center"/>
    </xf>
    <xf numFmtId="0" fontId="77" fillId="68" borderId="2" xfId="4" applyFont="1" applyFill="1" applyBorder="1" applyAlignment="1">
      <alignment horizontal="center" vertical="center"/>
    </xf>
    <xf numFmtId="0" fontId="15" fillId="0" borderId="6" xfId="4" applyFont="1" applyBorder="1" applyAlignment="1">
      <alignment horizontal="center" vertical="center"/>
    </xf>
    <xf numFmtId="0" fontId="135" fillId="0" borderId="27" xfId="7" applyFont="1" applyBorder="1" applyAlignment="1">
      <alignment horizontal="center" vertical="center"/>
    </xf>
    <xf numFmtId="0" fontId="108" fillId="66" borderId="38" xfId="7" applyFill="1" applyBorder="1" applyAlignment="1">
      <alignment horizontal="center" vertical="center"/>
    </xf>
    <xf numFmtId="0" fontId="108" fillId="66" borderId="39" xfId="7" applyFill="1" applyBorder="1" applyAlignment="1">
      <alignment horizontal="center" vertical="center"/>
    </xf>
    <xf numFmtId="0" fontId="108" fillId="69" borderId="39" xfId="7" applyFill="1" applyBorder="1" applyAlignment="1">
      <alignment horizontal="center" vertical="center"/>
    </xf>
    <xf numFmtId="0" fontId="175" fillId="10" borderId="5" xfId="2" applyFont="1" applyFill="1" applyBorder="1" applyAlignment="1">
      <alignment horizontal="left" vertical="center" wrapText="1"/>
    </xf>
    <xf numFmtId="0" fontId="38" fillId="6" borderId="6" xfId="2" applyFont="1" applyFill="1" applyBorder="1" applyAlignment="1">
      <alignment horizontal="center" vertical="center" wrapText="1"/>
    </xf>
    <xf numFmtId="0" fontId="35" fillId="25" borderId="7" xfId="2" applyFont="1" applyFill="1" applyBorder="1" applyAlignment="1">
      <alignment horizontal="center" vertical="center" wrapText="1"/>
    </xf>
    <xf numFmtId="0" fontId="35" fillId="9" borderId="7" xfId="2" applyFont="1" applyFill="1" applyBorder="1" applyAlignment="1">
      <alignment horizontal="center" vertical="center" wrapText="1"/>
    </xf>
    <xf numFmtId="0" fontId="15" fillId="12" borderId="6" xfId="2" applyFont="1" applyFill="1" applyBorder="1" applyAlignment="1">
      <alignment horizontal="left" vertical="center" wrapText="1"/>
    </xf>
    <xf numFmtId="0" fontId="42" fillId="12" borderId="6" xfId="2" applyFont="1" applyFill="1" applyBorder="1" applyAlignment="1">
      <alignment horizontal="center" vertical="center" wrapText="1"/>
    </xf>
    <xf numFmtId="0" fontId="42" fillId="13" borderId="6" xfId="2" applyFont="1" applyFill="1" applyBorder="1" applyAlignment="1">
      <alignment horizontal="center" vertical="center" wrapText="1"/>
    </xf>
    <xf numFmtId="0" fontId="15" fillId="13" borderId="6" xfId="2" applyFont="1" applyFill="1" applyBorder="1" applyAlignment="1">
      <alignment horizontal="left" vertical="center" wrapText="1"/>
    </xf>
    <xf numFmtId="0" fontId="15" fillId="14" borderId="6" xfId="2" applyFont="1" applyFill="1" applyBorder="1" applyAlignment="1">
      <alignment horizontal="left" vertical="center" wrapText="1"/>
    </xf>
    <xf numFmtId="0" fontId="15" fillId="24" borderId="6" xfId="2" applyFont="1" applyFill="1" applyBorder="1" applyAlignment="1">
      <alignment horizontal="left" vertical="center" wrapText="1"/>
    </xf>
    <xf numFmtId="0" fontId="42" fillId="25" borderId="6" xfId="2" applyFont="1" applyFill="1" applyBorder="1" applyAlignment="1">
      <alignment horizontal="left" vertical="center" wrapText="1"/>
    </xf>
    <xf numFmtId="0" fontId="42" fillId="8" borderId="6" xfId="2" applyFont="1" applyFill="1" applyBorder="1" applyAlignment="1">
      <alignment horizontal="left" vertical="center" wrapText="1"/>
    </xf>
    <xf numFmtId="0" fontId="42" fillId="16" borderId="6" xfId="2" applyFont="1" applyFill="1" applyBorder="1" applyAlignment="1">
      <alignment horizontal="left" vertical="center" wrapText="1"/>
    </xf>
    <xf numFmtId="0" fontId="42" fillId="26" borderId="6" xfId="2" applyFont="1" applyFill="1" applyBorder="1" applyAlignment="1">
      <alignment horizontal="left" vertical="center" wrapText="1"/>
    </xf>
    <xf numFmtId="0" fontId="42" fillId="10" borderId="6" xfId="2" applyFont="1" applyFill="1" applyBorder="1" applyAlignment="1">
      <alignment vertical="top" wrapText="1"/>
    </xf>
    <xf numFmtId="0" fontId="42" fillId="10" borderId="6" xfId="2" applyFont="1" applyFill="1" applyBorder="1" applyAlignment="1">
      <alignment horizontal="left" vertical="center" wrapText="1"/>
    </xf>
    <xf numFmtId="0" fontId="42" fillId="28" borderId="6" xfId="2" applyFont="1" applyFill="1" applyBorder="1" applyAlignment="1">
      <alignment horizontal="left" vertical="center" wrapText="1"/>
    </xf>
    <xf numFmtId="0" fontId="42" fillId="17" borderId="6" xfId="2" applyFont="1" applyFill="1" applyBorder="1" applyAlignment="1">
      <alignment horizontal="left" vertical="center" wrapText="1"/>
    </xf>
    <xf numFmtId="0" fontId="42" fillId="18" borderId="6" xfId="2" applyFont="1" applyFill="1" applyBorder="1" applyAlignment="1">
      <alignment horizontal="left" vertical="center" wrapText="1"/>
    </xf>
    <xf numFmtId="0" fontId="76" fillId="42" borderId="2" xfId="4" applyFont="1" applyFill="1" applyBorder="1" applyAlignment="1">
      <alignment horizontal="center" vertical="center"/>
    </xf>
    <xf numFmtId="0" fontId="37" fillId="0" borderId="5" xfId="4" applyFont="1" applyBorder="1" applyAlignment="1">
      <alignment horizontal="center" vertical="center"/>
    </xf>
    <xf numFmtId="0" fontId="73" fillId="2" borderId="5" xfId="4" applyFont="1" applyFill="1" applyBorder="1" applyAlignment="1">
      <alignment horizontal="center" vertical="center" wrapText="1"/>
    </xf>
    <xf numFmtId="0" fontId="28" fillId="25" borderId="5" xfId="4" applyFont="1" applyFill="1" applyBorder="1" applyAlignment="1">
      <alignment horizontal="center" vertical="center" wrapText="1"/>
    </xf>
    <xf numFmtId="0" fontId="176" fillId="25" borderId="5" xfId="4" applyFont="1" applyFill="1" applyBorder="1" applyAlignment="1">
      <alignment horizontal="center" vertical="center" wrapText="1"/>
    </xf>
    <xf numFmtId="0" fontId="31" fillId="46" borderId="5" xfId="4" applyFont="1" applyFill="1" applyBorder="1" applyAlignment="1">
      <alignment horizontal="center" vertical="center"/>
    </xf>
    <xf numFmtId="0" fontId="38" fillId="28" borderId="5" xfId="4" applyFont="1" applyFill="1" applyBorder="1" applyAlignment="1">
      <alignment horizontal="center" vertical="center"/>
    </xf>
    <xf numFmtId="0" fontId="17" fillId="24" borderId="5" xfId="4" applyFont="1" applyFill="1" applyBorder="1" applyAlignment="1">
      <alignment horizontal="center" vertical="center" wrapText="1"/>
    </xf>
    <xf numFmtId="0" fontId="21" fillId="28" borderId="5" xfId="4" applyFont="1" applyFill="1" applyBorder="1" applyAlignment="1">
      <alignment horizontal="center" vertical="center"/>
    </xf>
    <xf numFmtId="0" fontId="31" fillId="2" borderId="5" xfId="4" applyFont="1" applyFill="1" applyBorder="1" applyAlignment="1">
      <alignment horizontal="center" vertical="center" wrapText="1"/>
    </xf>
    <xf numFmtId="0" fontId="17" fillId="14" borderId="5" xfId="4" applyFont="1" applyFill="1" applyBorder="1" applyAlignment="1">
      <alignment horizontal="center" vertical="center" wrapText="1"/>
    </xf>
    <xf numFmtId="0" fontId="30" fillId="26" borderId="5" xfId="4" applyFont="1" applyFill="1" applyBorder="1" applyAlignment="1">
      <alignment horizontal="center" vertical="center" wrapText="1"/>
    </xf>
    <xf numFmtId="0" fontId="41" fillId="28" borderId="5" xfId="4" applyFont="1" applyFill="1" applyBorder="1" applyAlignment="1">
      <alignment horizontal="center" vertical="center" wrapText="1"/>
    </xf>
    <xf numFmtId="0" fontId="87" fillId="28" borderId="5" xfId="4" applyFont="1" applyFill="1" applyBorder="1" applyAlignment="1">
      <alignment horizontal="center" vertical="center"/>
    </xf>
    <xf numFmtId="0" fontId="74" fillId="2" borderId="5" xfId="4" applyFont="1" applyFill="1" applyBorder="1" applyAlignment="1">
      <alignment horizontal="center" vertical="center" wrapText="1"/>
    </xf>
    <xf numFmtId="0" fontId="73" fillId="28" borderId="5" xfId="4" applyFont="1" applyFill="1" applyBorder="1" applyAlignment="1">
      <alignment horizontal="center" vertical="center" wrapText="1"/>
    </xf>
    <xf numFmtId="0" fontId="73" fillId="28" borderId="5" xfId="4" applyFont="1" applyFill="1" applyBorder="1" applyAlignment="1">
      <alignment horizontal="center" vertical="center"/>
    </xf>
    <xf numFmtId="0" fontId="73" fillId="2" borderId="5" xfId="4" applyFont="1" applyFill="1" applyBorder="1" applyAlignment="1">
      <alignment vertical="center" wrapText="1"/>
    </xf>
    <xf numFmtId="0" fontId="73" fillId="28" borderId="5" xfId="4" applyFont="1" applyFill="1" applyBorder="1" applyAlignment="1">
      <alignment vertical="center"/>
    </xf>
    <xf numFmtId="0" fontId="53" fillId="28" borderId="6" xfId="4" applyFont="1" applyFill="1" applyBorder="1" applyAlignment="1">
      <alignment horizontal="center" vertical="center"/>
    </xf>
    <xf numFmtId="0" fontId="73" fillId="28" borderId="6" xfId="4" applyFont="1" applyFill="1" applyBorder="1" applyAlignment="1">
      <alignment vertical="center"/>
    </xf>
    <xf numFmtId="0" fontId="21" fillId="26" borderId="5" xfId="4" applyFont="1" applyFill="1" applyBorder="1" applyAlignment="1">
      <alignment horizontal="center" vertical="center"/>
    </xf>
    <xf numFmtId="0" fontId="17" fillId="15" borderId="1" xfId="4" applyFont="1" applyFill="1" applyBorder="1" applyAlignment="1">
      <alignment horizontal="center" vertical="center"/>
    </xf>
    <xf numFmtId="0" fontId="20" fillId="15" borderId="6" xfId="4" applyFont="1" applyFill="1" applyBorder="1" applyAlignment="1">
      <alignment horizontal="center" vertical="center"/>
    </xf>
    <xf numFmtId="0" fontId="15" fillId="16" borderId="7" xfId="4" applyFont="1" applyFill="1" applyBorder="1" applyAlignment="1">
      <alignment horizontal="center" vertical="center"/>
    </xf>
    <xf numFmtId="0" fontId="21" fillId="26" borderId="6" xfId="4" applyFont="1" applyFill="1" applyBorder="1" applyAlignment="1">
      <alignment horizontal="center" vertical="center"/>
    </xf>
    <xf numFmtId="0" fontId="15" fillId="16" borderId="24" xfId="4" applyFont="1" applyFill="1" applyBorder="1" applyAlignment="1">
      <alignment horizontal="center" vertical="center"/>
    </xf>
    <xf numFmtId="0" fontId="59" fillId="2" borderId="4" xfId="4" applyFont="1" applyFill="1" applyBorder="1" applyAlignment="1">
      <alignment horizontal="center" vertical="center"/>
    </xf>
    <xf numFmtId="0" fontId="20" fillId="2" borderId="2" xfId="4" applyFont="1" applyFill="1" applyBorder="1" applyAlignment="1">
      <alignment horizontal="center" vertical="center"/>
    </xf>
    <xf numFmtId="0" fontId="20" fillId="13" borderId="5" xfId="4" applyFont="1" applyFill="1" applyBorder="1" applyAlignment="1">
      <alignment horizontal="center" vertical="center"/>
    </xf>
    <xf numFmtId="0" fontId="17" fillId="2" borderId="2" xfId="4" applyFont="1" applyFill="1" applyBorder="1" applyAlignment="1">
      <alignment horizontal="center" vertical="center"/>
    </xf>
    <xf numFmtId="0" fontId="17" fillId="14" borderId="5" xfId="4" applyFont="1" applyFill="1" applyBorder="1" applyAlignment="1">
      <alignment vertical="center"/>
    </xf>
    <xf numFmtId="0" fontId="17" fillId="13" borderId="5" xfId="4" applyFont="1" applyFill="1" applyBorder="1" applyAlignment="1">
      <alignment vertical="center" wrapText="1"/>
    </xf>
    <xf numFmtId="0" fontId="37" fillId="39" borderId="0" xfId="4" applyFont="1" applyFill="1" applyAlignment="1">
      <alignment horizontal="center" vertical="center"/>
    </xf>
    <xf numFmtId="20" fontId="15" fillId="39" borderId="2" xfId="2" applyNumberFormat="1" applyFont="1" applyFill="1" applyBorder="1" applyAlignment="1">
      <alignment horizontal="left" vertical="top" wrapText="1"/>
    </xf>
    <xf numFmtId="0" fontId="17" fillId="14" borderId="6" xfId="4" applyFont="1" applyFill="1" applyBorder="1" applyAlignment="1">
      <alignment vertical="center"/>
    </xf>
    <xf numFmtId="0" fontId="15" fillId="27" borderId="4" xfId="4" applyFont="1" applyFill="1" applyBorder="1" applyAlignment="1">
      <alignment horizontal="center" vertical="center"/>
    </xf>
    <xf numFmtId="0" fontId="37" fillId="27" borderId="3" xfId="4" applyFont="1" applyFill="1" applyBorder="1" applyAlignment="1">
      <alignment horizontal="center" vertical="center"/>
    </xf>
    <xf numFmtId="0" fontId="17" fillId="2" borderId="3" xfId="2" applyFont="1" applyFill="1" applyBorder="1" applyAlignment="1">
      <alignment horizontal="center" vertical="center" wrapText="1"/>
    </xf>
    <xf numFmtId="0" fontId="17" fillId="2" borderId="5" xfId="2" applyFont="1" applyFill="1" applyBorder="1" applyAlignment="1">
      <alignment horizontal="center" vertical="center" wrapText="1"/>
    </xf>
    <xf numFmtId="0" fontId="21" fillId="25" borderId="5" xfId="4" applyFont="1" applyFill="1" applyBorder="1" applyAlignment="1">
      <alignment horizontal="center" vertical="center"/>
    </xf>
    <xf numFmtId="0" fontId="85" fillId="70" borderId="5" xfId="4" applyFont="1" applyFill="1" applyBorder="1" applyAlignment="1">
      <alignment horizontal="center" vertical="center"/>
    </xf>
    <xf numFmtId="0" fontId="38" fillId="17" borderId="1" xfId="4" applyFont="1" applyFill="1" applyBorder="1" applyAlignment="1">
      <alignment horizontal="center" vertical="center"/>
    </xf>
    <xf numFmtId="49" fontId="17" fillId="17" borderId="5" xfId="2" applyNumberFormat="1" applyFont="1" applyFill="1" applyBorder="1" applyAlignment="1">
      <alignment horizontal="center" vertical="center" wrapText="1"/>
    </xf>
    <xf numFmtId="0" fontId="17" fillId="37" borderId="6" xfId="4" applyFont="1" applyFill="1" applyBorder="1" applyAlignment="1">
      <alignment horizontal="center" vertical="center" wrapText="1"/>
    </xf>
    <xf numFmtId="0" fontId="21" fillId="13" borderId="5" xfId="4" applyFont="1" applyFill="1" applyBorder="1" applyAlignment="1">
      <alignment horizontal="center" vertical="center"/>
    </xf>
    <xf numFmtId="20" fontId="17" fillId="2" borderId="1" xfId="4" applyNumberFormat="1" applyFont="1" applyFill="1" applyBorder="1" applyAlignment="1">
      <alignment horizontal="center" vertical="center" wrapText="1"/>
    </xf>
    <xf numFmtId="0" fontId="17" fillId="2" borderId="1" xfId="4" applyFont="1" applyFill="1" applyBorder="1" applyAlignment="1">
      <alignment horizontal="center" vertical="center"/>
    </xf>
    <xf numFmtId="0" fontId="30" fillId="2" borderId="5" xfId="4" applyFont="1" applyFill="1" applyBorder="1" applyAlignment="1">
      <alignment horizontal="center" vertical="center"/>
    </xf>
    <xf numFmtId="20" fontId="17" fillId="2" borderId="5" xfId="4" applyNumberFormat="1" applyFont="1" applyFill="1" applyBorder="1" applyAlignment="1">
      <alignment horizontal="center" vertical="center" wrapText="1"/>
    </xf>
    <xf numFmtId="20" fontId="17" fillId="2" borderId="1" xfId="2" applyNumberFormat="1" applyFont="1" applyFill="1" applyBorder="1" applyAlignment="1">
      <alignment horizontal="center" vertical="center" wrapText="1"/>
    </xf>
    <xf numFmtId="20" fontId="16" fillId="2" borderId="5" xfId="4" applyNumberFormat="1" applyFont="1" applyFill="1" applyBorder="1" applyAlignment="1">
      <alignment horizontal="center" vertical="center" wrapText="1"/>
    </xf>
    <xf numFmtId="20" fontId="17" fillId="2" borderId="24" xfId="4" applyNumberFormat="1" applyFont="1" applyFill="1" applyBorder="1" applyAlignment="1">
      <alignment horizontal="center" vertical="center" wrapText="1"/>
    </xf>
    <xf numFmtId="0" fontId="16" fillId="2" borderId="5" xfId="4" applyFont="1" applyFill="1" applyBorder="1" applyAlignment="1">
      <alignment horizontal="center" vertical="center"/>
    </xf>
    <xf numFmtId="0" fontId="60" fillId="2" borderId="5" xfId="4" applyFont="1" applyFill="1" applyBorder="1" applyAlignment="1">
      <alignment horizontal="center" vertical="center"/>
    </xf>
    <xf numFmtId="0" fontId="92" fillId="2" borderId="5" xfId="4" applyFont="1" applyFill="1" applyBorder="1" applyAlignment="1">
      <alignment horizontal="center" vertical="center"/>
    </xf>
    <xf numFmtId="0" fontId="20" fillId="17" borderId="5" xfId="2" applyFont="1" applyFill="1" applyBorder="1" applyAlignment="1">
      <alignment horizontal="center" vertical="center"/>
    </xf>
    <xf numFmtId="0" fontId="20" fillId="17" borderId="7" xfId="2" applyFont="1" applyFill="1" applyBorder="1" applyAlignment="1">
      <alignment horizontal="center" vertical="center"/>
    </xf>
    <xf numFmtId="49" fontId="17" fillId="17" borderId="24" xfId="4" applyNumberFormat="1" applyFont="1" applyFill="1" applyBorder="1" applyAlignment="1">
      <alignment horizontal="center" vertical="center"/>
    </xf>
    <xf numFmtId="0" fontId="17" fillId="12" borderId="5" xfId="4" applyFont="1" applyFill="1" applyBorder="1" applyAlignment="1">
      <alignment horizontal="center" vertical="center"/>
    </xf>
    <xf numFmtId="49" fontId="21" fillId="12" borderId="5" xfId="4" applyNumberFormat="1" applyFont="1" applyFill="1" applyBorder="1" applyAlignment="1">
      <alignment horizontal="center" vertical="center"/>
    </xf>
    <xf numFmtId="0" fontId="92" fillId="13" borderId="5" xfId="4" applyFont="1" applyFill="1" applyBorder="1" applyAlignment="1">
      <alignment horizontal="center" vertical="center"/>
    </xf>
    <xf numFmtId="20" fontId="17" fillId="13" borderId="3" xfId="2" applyNumberFormat="1" applyFont="1" applyFill="1" applyBorder="1" applyAlignment="1">
      <alignment horizontal="center" vertical="center" wrapText="1"/>
    </xf>
    <xf numFmtId="0" fontId="17" fillId="17" borderId="2" xfId="4" applyFont="1" applyFill="1" applyBorder="1" applyAlignment="1">
      <alignment horizontal="center" vertical="center"/>
    </xf>
    <xf numFmtId="49" fontId="17" fillId="17" borderId="1" xfId="4" applyNumberFormat="1" applyFont="1" applyFill="1" applyBorder="1" applyAlignment="1">
      <alignment horizontal="center" vertical="center"/>
    </xf>
    <xf numFmtId="0" fontId="92" fillId="17" borderId="5" xfId="4" applyFont="1" applyFill="1" applyBorder="1" applyAlignment="1">
      <alignment horizontal="center" vertical="center"/>
    </xf>
    <xf numFmtId="0" fontId="103" fillId="17" borderId="5" xfId="4" applyFont="1" applyFill="1" applyBorder="1" applyAlignment="1">
      <alignment horizontal="center" vertical="center"/>
    </xf>
    <xf numFmtId="20" fontId="17" fillId="13" borderId="5" xfId="2" applyNumberFormat="1" applyFont="1" applyFill="1" applyBorder="1" applyAlignment="1">
      <alignment horizontal="center" vertical="center" wrapText="1"/>
    </xf>
    <xf numFmtId="0" fontId="83" fillId="10" borderId="1" xfId="4" applyFont="1" applyFill="1" applyBorder="1" applyAlignment="1">
      <alignment horizontal="center" vertical="center"/>
    </xf>
    <xf numFmtId="0" fontId="15" fillId="12" borderId="2" xfId="4" applyFont="1" applyFill="1" applyBorder="1" applyAlignment="1">
      <alignment horizontal="center" vertical="center" wrapText="1"/>
    </xf>
    <xf numFmtId="0" fontId="83" fillId="71" borderId="5" xfId="4" applyFont="1" applyFill="1" applyBorder="1" applyAlignment="1">
      <alignment horizontal="center" vertical="center" wrapText="1"/>
    </xf>
    <xf numFmtId="0" fontId="103" fillId="17" borderId="6" xfId="4" applyFont="1" applyFill="1" applyBorder="1" applyAlignment="1">
      <alignment horizontal="center" vertical="center"/>
    </xf>
    <xf numFmtId="0" fontId="92" fillId="17" borderId="6" xfId="4" applyFont="1" applyFill="1" applyBorder="1" applyAlignment="1">
      <alignment horizontal="center" vertical="center"/>
    </xf>
    <xf numFmtId="0" fontId="41" fillId="18" borderId="6" xfId="4" applyFont="1" applyFill="1" applyBorder="1" applyAlignment="1">
      <alignment horizontal="center" vertical="center"/>
    </xf>
    <xf numFmtId="0" fontId="99" fillId="2" borderId="6" xfId="4" applyFont="1" applyFill="1" applyBorder="1" applyAlignment="1">
      <alignment horizontal="center" vertical="center"/>
    </xf>
    <xf numFmtId="20" fontId="41" fillId="2" borderId="5" xfId="4" applyNumberFormat="1" applyFont="1" applyFill="1" applyBorder="1" applyAlignment="1">
      <alignment horizontal="center" vertical="center" wrapText="1"/>
    </xf>
    <xf numFmtId="0" fontId="15" fillId="24" borderId="5" xfId="4" applyFont="1" applyFill="1" applyBorder="1" applyAlignment="1">
      <alignment horizontal="center" vertical="center" wrapText="1"/>
    </xf>
    <xf numFmtId="0" fontId="15" fillId="24" borderId="5" xfId="4" applyFont="1" applyFill="1" applyBorder="1" applyAlignment="1">
      <alignment horizontal="center" vertical="top" wrapText="1"/>
    </xf>
    <xf numFmtId="49" fontId="17" fillId="2" borderId="5" xfId="4" applyNumberFormat="1" applyFont="1" applyFill="1" applyBorder="1" applyAlignment="1">
      <alignment horizontal="center" vertical="center"/>
    </xf>
    <xf numFmtId="0" fontId="21" fillId="8" borderId="5" xfId="4" applyFont="1" applyFill="1" applyBorder="1" applyAlignment="1">
      <alignment horizontal="center" vertical="center"/>
    </xf>
    <xf numFmtId="0" fontId="17" fillId="59" borderId="5" xfId="4" applyFont="1" applyFill="1" applyBorder="1" applyAlignment="1">
      <alignment horizontal="center" vertical="center"/>
    </xf>
    <xf numFmtId="0" fontId="30" fillId="8" borderId="5" xfId="4" applyFont="1" applyFill="1" applyBorder="1" applyAlignment="1">
      <alignment horizontal="center" vertical="center"/>
    </xf>
    <xf numFmtId="0" fontId="89" fillId="72" borderId="5" xfId="4" applyFont="1" applyFill="1" applyBorder="1" applyAlignment="1">
      <alignment horizontal="center" vertical="center"/>
    </xf>
    <xf numFmtId="0" fontId="30" fillId="72" borderId="5" xfId="4" applyFont="1" applyFill="1" applyBorder="1" applyAlignment="1">
      <alignment horizontal="center" vertical="center" wrapText="1"/>
    </xf>
    <xf numFmtId="0" fontId="30" fillId="72" borderId="1" xfId="4" applyFont="1" applyFill="1" applyBorder="1" applyAlignment="1">
      <alignment horizontal="center" vertical="center"/>
    </xf>
    <xf numFmtId="0" fontId="30" fillId="42" borderId="2" xfId="4" applyFont="1" applyFill="1" applyBorder="1" applyAlignment="1">
      <alignment horizontal="center" vertical="center"/>
    </xf>
    <xf numFmtId="0" fontId="15" fillId="42" borderId="5" xfId="4" applyFont="1" applyFill="1" applyBorder="1" applyAlignment="1">
      <alignment vertical="center"/>
    </xf>
    <xf numFmtId="0" fontId="64" fillId="42" borderId="2" xfId="4" applyFont="1" applyFill="1" applyBorder="1" applyAlignment="1">
      <alignment horizontal="center" vertical="center"/>
    </xf>
    <xf numFmtId="0" fontId="6" fillId="42" borderId="2" xfId="2" applyFont="1" applyFill="1" applyBorder="1" applyAlignment="1">
      <alignment horizontal="center" vertical="center"/>
    </xf>
    <xf numFmtId="0" fontId="15" fillId="42" borderId="7" xfId="4" applyFont="1" applyFill="1" applyBorder="1" applyAlignment="1">
      <alignment horizontal="center" vertical="center"/>
    </xf>
    <xf numFmtId="0" fontId="15" fillId="68" borderId="6" xfId="4" applyFont="1" applyFill="1" applyBorder="1" applyAlignment="1">
      <alignment horizontal="center" vertical="center"/>
    </xf>
    <xf numFmtId="0" fontId="83" fillId="42" borderId="5" xfId="4" applyFont="1" applyFill="1" applyBorder="1" applyAlignment="1">
      <alignment horizontal="center" vertical="center"/>
    </xf>
    <xf numFmtId="20" fontId="38" fillId="42" borderId="5" xfId="2" applyNumberFormat="1" applyFont="1" applyFill="1" applyBorder="1" applyAlignment="1">
      <alignment vertical="center" wrapText="1"/>
    </xf>
    <xf numFmtId="0" fontId="2" fillId="0" borderId="13" xfId="2" applyBorder="1">
      <alignment vertical="center"/>
    </xf>
    <xf numFmtId="0" fontId="30" fillId="6" borderId="5" xfId="4" applyFont="1" applyFill="1" applyBorder="1" applyAlignment="1">
      <alignment horizontal="center" vertical="center"/>
    </xf>
    <xf numFmtId="0" fontId="30" fillId="64" borderId="5" xfId="4" applyFont="1" applyFill="1" applyBorder="1" applyAlignment="1">
      <alignment horizontal="center" vertical="center"/>
    </xf>
    <xf numFmtId="0" fontId="17" fillId="71" borderId="5" xfId="4" applyFont="1" applyFill="1" applyBorder="1" applyAlignment="1">
      <alignment horizontal="center" vertical="center"/>
    </xf>
    <xf numFmtId="0" fontId="67" fillId="71" borderId="5" xfId="4" applyFont="1" applyFill="1" applyBorder="1" applyAlignment="1">
      <alignment horizontal="center" vertical="center"/>
    </xf>
    <xf numFmtId="0" fontId="1" fillId="0" borderId="0" xfId="1" applyAlignment="1">
      <alignment horizontal="center" vertical="center"/>
    </xf>
    <xf numFmtId="0" fontId="122" fillId="0" borderId="46" xfId="7" applyFont="1" applyBorder="1" applyAlignment="1">
      <alignment horizontal="center" vertical="center"/>
    </xf>
    <xf numFmtId="0" fontId="122" fillId="66" borderId="38" xfId="7" applyFont="1" applyFill="1" applyBorder="1" applyAlignment="1">
      <alignment horizontal="center" vertical="center"/>
    </xf>
    <xf numFmtId="0" fontId="122" fillId="64" borderId="39" xfId="7" applyFont="1" applyFill="1" applyBorder="1" applyAlignment="1">
      <alignment horizontal="center" vertical="center"/>
    </xf>
    <xf numFmtId="0" fontId="122" fillId="69" borderId="39" xfId="7" applyFont="1" applyFill="1" applyBorder="1" applyAlignment="1">
      <alignment horizontal="center" vertical="center"/>
    </xf>
    <xf numFmtId="0" fontId="122" fillId="8" borderId="40" xfId="7" applyFont="1" applyFill="1" applyBorder="1" applyAlignment="1">
      <alignment horizontal="center" vertical="center"/>
    </xf>
    <xf numFmtId="0" fontId="88" fillId="25" borderId="5" xfId="4" applyFont="1" applyFill="1" applyBorder="1" applyAlignment="1">
      <alignment horizontal="center" vertical="center" wrapText="1"/>
    </xf>
    <xf numFmtId="0" fontId="88" fillId="26" borderId="5" xfId="4" applyFont="1" applyFill="1" applyBorder="1" applyAlignment="1">
      <alignment horizontal="center" vertical="center" wrapText="1"/>
    </xf>
    <xf numFmtId="0" fontId="38" fillId="18" borderId="5" xfId="4" applyFont="1" applyFill="1" applyBorder="1" applyAlignment="1">
      <alignment horizontal="center" vertical="center" wrapText="1"/>
    </xf>
    <xf numFmtId="0" fontId="11" fillId="10" borderId="4" xfId="2" applyFont="1" applyFill="1" applyBorder="1" applyAlignment="1">
      <alignment horizontal="center" vertical="center" wrapText="1"/>
    </xf>
    <xf numFmtId="0" fontId="12" fillId="10" borderId="4" xfId="2" applyFont="1" applyFill="1" applyBorder="1" applyAlignment="1">
      <alignment horizontal="center" vertical="center" wrapText="1"/>
    </xf>
    <xf numFmtId="0" fontId="17" fillId="10" borderId="2" xfId="2" applyFont="1" applyFill="1" applyBorder="1" applyAlignment="1">
      <alignment horizontal="center" vertical="center" wrapText="1"/>
    </xf>
    <xf numFmtId="0" fontId="16" fillId="10" borderId="2" xfId="2" applyFont="1" applyFill="1" applyBorder="1" applyAlignment="1">
      <alignment horizontal="left" vertical="center" wrapText="1"/>
    </xf>
    <xf numFmtId="0" fontId="17" fillId="10" borderId="2" xfId="2" applyFont="1" applyFill="1" applyBorder="1" applyAlignment="1">
      <alignment horizontal="left" vertical="center" wrapText="1"/>
    </xf>
    <xf numFmtId="0" fontId="17" fillId="10" borderId="7" xfId="2" applyFont="1" applyFill="1" applyBorder="1" applyAlignment="1">
      <alignment horizontal="center" vertical="center" wrapText="1"/>
    </xf>
    <xf numFmtId="0" fontId="28" fillId="10" borderId="7" xfId="2" applyFont="1" applyFill="1" applyBorder="1" applyAlignment="1">
      <alignment horizontal="left" wrapText="1"/>
    </xf>
    <xf numFmtId="0" fontId="15" fillId="39" borderId="4" xfId="2" applyFont="1" applyFill="1" applyBorder="1" applyAlignment="1">
      <alignment horizontal="left" vertical="center" wrapText="1"/>
    </xf>
    <xf numFmtId="0" fontId="35" fillId="10" borderId="0" xfId="2" applyFont="1" applyFill="1" applyAlignment="1">
      <alignment horizontal="center" vertical="center" wrapText="1"/>
    </xf>
    <xf numFmtId="0" fontId="36" fillId="10" borderId="4" xfId="2" applyFont="1" applyFill="1" applyBorder="1" applyAlignment="1">
      <alignment horizontal="left" vertical="center" wrapText="1"/>
    </xf>
    <xf numFmtId="0" fontId="15" fillId="39" borderId="2" xfId="2" applyFont="1" applyFill="1" applyBorder="1" applyAlignment="1">
      <alignment horizontal="left" vertical="center" wrapText="1"/>
    </xf>
    <xf numFmtId="0" fontId="36" fillId="10" borderId="2" xfId="2" applyFont="1" applyFill="1" applyBorder="1" applyAlignment="1">
      <alignment horizontal="left" vertical="center" wrapText="1"/>
    </xf>
    <xf numFmtId="0" fontId="15" fillId="39" borderId="5" xfId="2" applyFont="1" applyFill="1" applyBorder="1" applyAlignment="1">
      <alignment horizontal="left" vertical="center" wrapText="1"/>
    </xf>
    <xf numFmtId="0" fontId="35" fillId="9" borderId="2" xfId="2" applyFont="1" applyFill="1" applyBorder="1" applyAlignment="1">
      <alignment horizontal="left" vertical="center" wrapText="1"/>
    </xf>
    <xf numFmtId="0" fontId="35" fillId="9" borderId="8" xfId="2" applyFont="1" applyFill="1" applyBorder="1" applyAlignment="1">
      <alignment horizontal="center" vertical="center" wrapText="1"/>
    </xf>
    <xf numFmtId="0" fontId="45" fillId="9" borderId="11" xfId="2" applyFont="1" applyFill="1" applyBorder="1" applyAlignment="1">
      <alignment horizontal="left" vertical="center" wrapText="1"/>
    </xf>
    <xf numFmtId="0" fontId="15" fillId="10" borderId="2" xfId="2" applyFont="1" applyFill="1" applyBorder="1" applyAlignment="1">
      <alignment horizontal="left" vertical="center" wrapText="1"/>
    </xf>
    <xf numFmtId="0" fontId="17" fillId="9" borderId="2" xfId="2" applyFont="1" applyFill="1" applyBorder="1" applyAlignment="1">
      <alignment horizontal="left" vertical="center" wrapText="1"/>
    </xf>
    <xf numFmtId="0" fontId="21" fillId="9" borderId="2" xfId="2" applyFont="1" applyFill="1" applyBorder="1" applyAlignment="1">
      <alignment horizontal="left" vertical="center" wrapText="1"/>
    </xf>
    <xf numFmtId="0" fontId="15" fillId="6" borderId="2" xfId="2" applyFont="1" applyFill="1" applyBorder="1" applyAlignment="1">
      <alignment horizontal="left" vertical="center" wrapText="1"/>
    </xf>
    <xf numFmtId="0" fontId="36" fillId="10" borderId="12" xfId="2" applyFont="1" applyFill="1" applyBorder="1" applyAlignment="1">
      <alignment horizontal="left" vertical="center" wrapText="1"/>
    </xf>
    <xf numFmtId="0" fontId="35" fillId="10" borderId="10" xfId="2" applyFont="1" applyFill="1" applyBorder="1" applyAlignment="1">
      <alignment horizontal="center" vertical="center" wrapText="1"/>
    </xf>
    <xf numFmtId="0" fontId="35" fillId="10" borderId="2" xfId="2" applyFont="1" applyFill="1" applyBorder="1" applyAlignment="1">
      <alignment horizontal="center" vertical="center" wrapText="1"/>
    </xf>
    <xf numFmtId="0" fontId="15" fillId="9" borderId="2" xfId="2" applyFont="1" applyFill="1" applyBorder="1" applyAlignment="1">
      <alignment horizontal="center" vertical="center" wrapText="1"/>
    </xf>
    <xf numFmtId="0" fontId="26" fillId="9" borderId="5" xfId="2" applyFont="1" applyFill="1" applyBorder="1" applyAlignment="1">
      <alignment horizontal="left" vertical="top" wrapText="1"/>
    </xf>
    <xf numFmtId="0" fontId="15" fillId="9" borderId="5" xfId="2" applyFont="1" applyFill="1" applyBorder="1" applyAlignment="1">
      <alignment vertical="center" wrapText="1"/>
    </xf>
    <xf numFmtId="0" fontId="15" fillId="9" borderId="2" xfId="2" applyFont="1" applyFill="1" applyBorder="1" applyAlignment="1">
      <alignment horizontal="left" vertical="top" wrapText="1"/>
    </xf>
    <xf numFmtId="0" fontId="38" fillId="3" borderId="4" xfId="4" applyFont="1" applyFill="1" applyBorder="1" applyAlignment="1">
      <alignment vertical="center"/>
    </xf>
    <xf numFmtId="0" fontId="49" fillId="9" borderId="5" xfId="4" applyFont="1" applyFill="1" applyBorder="1" applyAlignment="1">
      <alignment vertical="center"/>
    </xf>
    <xf numFmtId="0" fontId="15" fillId="9" borderId="5" xfId="4" applyFont="1" applyFill="1" applyBorder="1" applyAlignment="1">
      <alignment vertical="center"/>
    </xf>
    <xf numFmtId="0" fontId="52" fillId="9" borderId="5" xfId="2" applyFont="1" applyFill="1" applyBorder="1" applyAlignment="1">
      <alignment horizontal="center" vertical="center" wrapText="1"/>
    </xf>
    <xf numFmtId="0" fontId="16" fillId="9" borderId="2" xfId="2" applyFont="1" applyFill="1" applyBorder="1" applyAlignment="1">
      <alignment horizontal="center" vertical="center" wrapText="1"/>
    </xf>
    <xf numFmtId="0" fontId="52" fillId="9" borderId="5" xfId="2" applyFont="1" applyFill="1" applyBorder="1" applyAlignment="1">
      <alignment horizontal="left" vertical="top" wrapText="1"/>
    </xf>
    <xf numFmtId="0" fontId="41" fillId="9" borderId="5" xfId="4" applyFont="1" applyFill="1" applyBorder="1" applyAlignment="1">
      <alignment vertical="center"/>
    </xf>
    <xf numFmtId="20" fontId="17" fillId="9" borderId="5" xfId="4" applyNumberFormat="1" applyFont="1" applyFill="1" applyBorder="1" applyAlignment="1">
      <alignment horizontal="left" vertical="top" wrapText="1"/>
    </xf>
    <xf numFmtId="0" fontId="17" fillId="9" borderId="5" xfId="4" applyFont="1" applyFill="1" applyBorder="1" applyAlignment="1">
      <alignment horizontal="center" vertical="center"/>
    </xf>
    <xf numFmtId="0" fontId="17" fillId="9" borderId="5" xfId="4" applyFont="1" applyFill="1" applyBorder="1" applyAlignment="1">
      <alignment horizontal="left" vertical="top"/>
    </xf>
    <xf numFmtId="0" fontId="17" fillId="9" borderId="5" xfId="4" applyFont="1" applyFill="1" applyBorder="1" applyAlignment="1">
      <alignment vertical="center"/>
    </xf>
    <xf numFmtId="49" fontId="17" fillId="9" borderId="5" xfId="4" applyNumberFormat="1" applyFont="1" applyFill="1" applyBorder="1" applyAlignment="1">
      <alignment horizontal="left" vertical="top" wrapText="1"/>
    </xf>
    <xf numFmtId="20" fontId="17" fillId="9" borderId="5" xfId="2" applyNumberFormat="1" applyFont="1" applyFill="1" applyBorder="1" applyAlignment="1">
      <alignment horizontal="left" vertical="top" wrapText="1"/>
    </xf>
    <xf numFmtId="0" fontId="55" fillId="9" borderId="3" xfId="2" applyFont="1" applyFill="1" applyBorder="1" applyAlignment="1">
      <alignment vertical="center" wrapText="1"/>
    </xf>
    <xf numFmtId="0" fontId="15" fillId="9" borderId="4" xfId="2" applyFont="1" applyFill="1" applyBorder="1" applyAlignment="1">
      <alignment horizontal="center" vertical="center" wrapText="1"/>
    </xf>
    <xf numFmtId="0" fontId="55" fillId="9" borderId="3" xfId="2" applyFont="1" applyFill="1" applyBorder="1" applyAlignment="1">
      <alignment horizontal="left" vertical="top" wrapText="1"/>
    </xf>
    <xf numFmtId="0" fontId="55" fillId="9" borderId="5" xfId="2" applyFont="1" applyFill="1" applyBorder="1" applyAlignment="1">
      <alignment vertical="center" wrapText="1"/>
    </xf>
    <xf numFmtId="0" fontId="55" fillId="9" borderId="5" xfId="2" applyFont="1" applyFill="1" applyBorder="1" applyAlignment="1">
      <alignment horizontal="left" vertical="top" wrapText="1"/>
    </xf>
    <xf numFmtId="0" fontId="55" fillId="9" borderId="6" xfId="2" applyFont="1" applyFill="1" applyBorder="1" applyAlignment="1">
      <alignment vertical="center" wrapText="1"/>
    </xf>
    <xf numFmtId="0" fontId="15" fillId="9" borderId="7" xfId="2" applyFont="1" applyFill="1" applyBorder="1" applyAlignment="1">
      <alignment horizontal="center" vertical="center" wrapText="1"/>
    </xf>
    <xf numFmtId="0" fontId="55" fillId="9" borderId="6" xfId="2" applyFont="1" applyFill="1" applyBorder="1" applyAlignment="1">
      <alignment horizontal="left" vertical="top" wrapText="1"/>
    </xf>
    <xf numFmtId="0" fontId="57" fillId="33" borderId="5" xfId="4" applyFont="1" applyFill="1" applyBorder="1" applyAlignment="1">
      <alignment vertical="center"/>
    </xf>
    <xf numFmtId="0" fontId="15" fillId="33" borderId="2" xfId="4" applyFont="1" applyFill="1" applyBorder="1" applyAlignment="1">
      <alignment horizontal="center" vertical="center"/>
    </xf>
    <xf numFmtId="0" fontId="15" fillId="33" borderId="5" xfId="4" applyFont="1" applyFill="1" applyBorder="1" applyAlignment="1">
      <alignment horizontal="left" vertical="top"/>
    </xf>
    <xf numFmtId="0" fontId="23" fillId="10" borderId="2" xfId="4" applyFont="1" applyFill="1" applyBorder="1" applyAlignment="1">
      <alignment horizontal="center" vertical="center" wrapText="1"/>
    </xf>
    <xf numFmtId="0" fontId="15" fillId="10" borderId="7" xfId="4" applyFont="1" applyFill="1" applyBorder="1" applyAlignment="1">
      <alignment horizontal="center" vertical="center"/>
    </xf>
    <xf numFmtId="49" fontId="15" fillId="10" borderId="3" xfId="4" applyNumberFormat="1" applyFont="1" applyFill="1" applyBorder="1" applyAlignment="1">
      <alignment horizontal="center" vertical="center"/>
    </xf>
    <xf numFmtId="0" fontId="63" fillId="10" borderId="2" xfId="4" applyFont="1" applyFill="1" applyBorder="1" applyAlignment="1">
      <alignment horizontal="center" vertical="center"/>
    </xf>
    <xf numFmtId="0" fontId="15" fillId="10" borderId="0" xfId="2" applyFont="1" applyFill="1" applyAlignment="1">
      <alignment horizontal="center" vertical="center" wrapText="1"/>
    </xf>
    <xf numFmtId="0" fontId="15" fillId="10" borderId="2" xfId="2" applyFont="1" applyFill="1" applyBorder="1" applyAlignment="1">
      <alignment horizontal="center" vertical="center" wrapText="1"/>
    </xf>
    <xf numFmtId="0" fontId="17" fillId="10" borderId="2" xfId="4" applyFont="1" applyFill="1" applyBorder="1" applyAlignment="1">
      <alignment horizontal="center" vertical="center"/>
    </xf>
    <xf numFmtId="0" fontId="62" fillId="10" borderId="2" xfId="4" applyFont="1" applyFill="1" applyBorder="1" applyAlignment="1">
      <alignment horizontal="center" vertical="center"/>
    </xf>
    <xf numFmtId="0" fontId="62" fillId="10" borderId="5" xfId="4" applyFont="1" applyFill="1" applyBorder="1" applyAlignment="1">
      <alignment horizontal="center" vertical="center"/>
    </xf>
    <xf numFmtId="0" fontId="23" fillId="10" borderId="2" xfId="4" applyFont="1" applyFill="1" applyBorder="1" applyAlignment="1">
      <alignment horizontal="center" vertical="center"/>
    </xf>
    <xf numFmtId="0" fontId="15" fillId="10" borderId="5" xfId="4" applyFont="1" applyFill="1" applyBorder="1" applyAlignment="1">
      <alignment horizontal="left" vertical="top"/>
    </xf>
    <xf numFmtId="0" fontId="56" fillId="9" borderId="6" xfId="4" applyFont="1" applyFill="1" applyBorder="1" applyAlignment="1">
      <alignment horizontal="center" vertical="center"/>
    </xf>
    <xf numFmtId="0" fontId="21" fillId="9" borderId="5" xfId="4" applyFont="1" applyFill="1" applyBorder="1" applyAlignment="1">
      <alignment horizontal="center" vertical="center"/>
    </xf>
    <xf numFmtId="20" fontId="38" fillId="10" borderId="2" xfId="2" applyNumberFormat="1" applyFont="1" applyFill="1" applyBorder="1" applyAlignment="1">
      <alignment vertical="center" wrapText="1"/>
    </xf>
    <xf numFmtId="0" fontId="36" fillId="10" borderId="2" xfId="4" applyFont="1" applyFill="1" applyBorder="1" applyAlignment="1">
      <alignment horizontal="center" vertical="center"/>
    </xf>
    <xf numFmtId="20" fontId="15" fillId="10" borderId="3" xfId="4" applyNumberFormat="1" applyFont="1" applyFill="1" applyBorder="1" applyAlignment="1">
      <alignment horizontal="left" vertical="top" wrapText="1"/>
    </xf>
    <xf numFmtId="0" fontId="36" fillId="10" borderId="7" xfId="4" applyFont="1" applyFill="1" applyBorder="1" applyAlignment="1">
      <alignment horizontal="center" vertical="center"/>
    </xf>
    <xf numFmtId="0" fontId="15" fillId="9" borderId="4" xfId="2" applyFont="1" applyFill="1" applyBorder="1" applyAlignment="1">
      <alignment horizontal="left" vertical="center" wrapText="1"/>
    </xf>
    <xf numFmtId="0" fontId="15" fillId="9" borderId="8" xfId="2" applyFont="1" applyFill="1" applyBorder="1" applyAlignment="1">
      <alignment horizontal="left" vertical="center" wrapText="1"/>
    </xf>
    <xf numFmtId="0" fontId="15" fillId="9" borderId="10" xfId="2" applyFont="1" applyFill="1" applyBorder="1" applyAlignment="1">
      <alignment horizontal="left" vertical="center" wrapText="1"/>
    </xf>
    <xf numFmtId="0" fontId="15" fillId="27" borderId="2" xfId="2" applyFont="1" applyFill="1" applyBorder="1" applyAlignment="1">
      <alignment horizontal="left" vertical="center" wrapText="1"/>
    </xf>
    <xf numFmtId="0" fontId="36" fillId="27" borderId="12" xfId="2" applyFont="1" applyFill="1" applyBorder="1" applyAlignment="1">
      <alignment horizontal="left" vertical="center" wrapText="1"/>
    </xf>
    <xf numFmtId="0" fontId="35" fillId="27" borderId="7" xfId="2" applyFont="1" applyFill="1" applyBorder="1" applyAlignment="1">
      <alignment horizontal="center" vertical="center" wrapText="1"/>
    </xf>
    <xf numFmtId="0" fontId="38" fillId="42" borderId="2" xfId="4" applyFont="1" applyFill="1" applyBorder="1" applyAlignment="1">
      <alignment horizontal="center" vertical="center"/>
    </xf>
    <xf numFmtId="0" fontId="37" fillId="9" borderId="7" xfId="4" applyFont="1" applyFill="1" applyBorder="1" applyAlignment="1">
      <alignment horizontal="center" vertical="center"/>
    </xf>
    <xf numFmtId="0" fontId="34" fillId="0" borderId="20" xfId="5" applyBorder="1" applyAlignment="1">
      <alignment horizontal="center" vertical="center"/>
    </xf>
    <xf numFmtId="0" fontId="34" fillId="0" borderId="0" xfId="5" applyAlignment="1">
      <alignment horizontal="center" vertical="center"/>
    </xf>
    <xf numFmtId="0" fontId="34" fillId="0" borderId="13" xfId="5" applyBorder="1" applyAlignment="1">
      <alignment horizontal="center" vertical="center"/>
    </xf>
    <xf numFmtId="0" fontId="34" fillId="0" borderId="25" xfId="5" applyBorder="1" applyAlignment="1">
      <alignment horizontal="center" vertical="center"/>
    </xf>
    <xf numFmtId="0" fontId="34" fillId="0" borderId="1" xfId="5" applyBorder="1" applyAlignment="1">
      <alignment horizontal="center" vertical="center"/>
    </xf>
    <xf numFmtId="0" fontId="34" fillId="0" borderId="24" xfId="5" applyBorder="1" applyAlignment="1">
      <alignment horizontal="center" vertical="center"/>
    </xf>
    <xf numFmtId="0" fontId="34" fillId="0" borderId="30" xfId="5" applyBorder="1" applyAlignment="1">
      <alignment horizontal="center" vertical="center"/>
    </xf>
    <xf numFmtId="0" fontId="34" fillId="0" borderId="3" xfId="5" applyBorder="1" applyAlignment="1">
      <alignment horizontal="center" vertical="center"/>
    </xf>
    <xf numFmtId="0" fontId="34" fillId="0" borderId="5" xfId="5" applyBorder="1" applyAlignment="1">
      <alignment horizontal="center" vertical="center"/>
    </xf>
    <xf numFmtId="0" fontId="34" fillId="0" borderId="14" xfId="5" applyBorder="1" applyAlignment="1">
      <alignment horizontal="center" vertical="center"/>
    </xf>
    <xf numFmtId="0" fontId="112" fillId="0" borderId="1" xfId="6" applyFont="1" applyBorder="1" applyAlignment="1">
      <alignment horizontal="center" vertical="center"/>
    </xf>
    <xf numFmtId="0" fontId="126" fillId="0" borderId="14" xfId="6" applyFont="1" applyBorder="1" applyAlignment="1">
      <alignment horizontal="center" vertical="center"/>
    </xf>
    <xf numFmtId="0" fontId="111" fillId="0" borderId="1" xfId="6" applyBorder="1" applyAlignment="1">
      <alignment horizontal="center" vertical="center"/>
    </xf>
    <xf numFmtId="0" fontId="1" fillId="0" borderId="3" xfId="1" applyBorder="1" applyAlignment="1">
      <alignment horizontal="center" vertical="center"/>
    </xf>
    <xf numFmtId="0" fontId="1" fillId="0" borderId="5" xfId="1" applyBorder="1" applyAlignment="1">
      <alignment horizontal="center" vertical="center"/>
    </xf>
    <xf numFmtId="0" fontId="1" fillId="0" borderId="14" xfId="1" applyBorder="1" applyAlignment="1">
      <alignment horizontal="center" vertical="center"/>
    </xf>
    <xf numFmtId="0" fontId="1" fillId="0" borderId="1" xfId="1" applyBorder="1" applyAlignment="1">
      <alignment horizontal="center" vertical="center"/>
    </xf>
    <xf numFmtId="0" fontId="147" fillId="0" borderId="0" xfId="9" applyFont="1" applyAlignment="1">
      <alignment horizontal="center" vertical="center"/>
    </xf>
    <xf numFmtId="0" fontId="151" fillId="64" borderId="0" xfId="9" applyFont="1" applyFill="1" applyAlignment="1">
      <alignment horizontal="center" vertical="center"/>
    </xf>
    <xf numFmtId="0" fontId="151" fillId="0" borderId="0" xfId="9" applyFont="1" applyAlignment="1">
      <alignment horizontal="center" vertical="center"/>
    </xf>
    <xf numFmtId="0" fontId="179" fillId="0" borderId="0" xfId="9" applyFont="1" applyAlignment="1">
      <alignment vertical="center"/>
    </xf>
    <xf numFmtId="0" fontId="180" fillId="0" borderId="0" xfId="9" applyFont="1"/>
    <xf numFmtId="0" fontId="151" fillId="64" borderId="0" xfId="9" applyFont="1" applyFill="1" applyAlignment="1">
      <alignment horizontal="left" vertical="center"/>
    </xf>
    <xf numFmtId="0" fontId="17" fillId="42" borderId="5" xfId="4" applyFont="1" applyFill="1" applyBorder="1" applyAlignment="1">
      <alignment horizontal="center" vertical="center"/>
    </xf>
    <xf numFmtId="0" fontId="15" fillId="42" borderId="5" xfId="4" applyFont="1" applyFill="1" applyBorder="1" applyAlignment="1">
      <alignment horizontal="center" vertical="center"/>
    </xf>
    <xf numFmtId="0" fontId="15" fillId="42" borderId="5" xfId="4" applyFont="1" applyFill="1" applyBorder="1" applyAlignment="1">
      <alignment horizontal="center" vertical="center" wrapText="1"/>
    </xf>
    <xf numFmtId="20" fontId="15" fillId="42" borderId="5" xfId="2" applyNumberFormat="1" applyFont="1" applyFill="1" applyBorder="1" applyAlignment="1">
      <alignment horizontal="center" vertical="center" wrapText="1"/>
    </xf>
    <xf numFmtId="0" fontId="38" fillId="12" borderId="5" xfId="4" applyFont="1" applyFill="1" applyBorder="1" applyAlignment="1">
      <alignment horizontal="center" vertical="center"/>
    </xf>
    <xf numFmtId="0" fontId="15" fillId="0" borderId="5" xfId="4" applyFont="1" applyBorder="1" applyAlignment="1">
      <alignment horizontal="center" vertical="center"/>
    </xf>
    <xf numFmtId="20" fontId="15" fillId="0" borderId="5" xfId="4" applyNumberFormat="1" applyFont="1" applyBorder="1" applyAlignment="1">
      <alignment horizontal="center" vertical="center" wrapText="1"/>
    </xf>
    <xf numFmtId="0" fontId="99" fillId="2" borderId="5" xfId="4" applyFont="1" applyFill="1" applyBorder="1" applyAlignment="1">
      <alignment horizontal="center" vertical="center"/>
    </xf>
    <xf numFmtId="0" fontId="59" fillId="2" borderId="5" xfId="4" applyFont="1" applyFill="1" applyBorder="1" applyAlignment="1">
      <alignment horizontal="center" vertical="center"/>
    </xf>
    <xf numFmtId="0" fontId="30" fillId="3" borderId="10" xfId="2" applyFont="1" applyFill="1" applyBorder="1" applyAlignment="1">
      <alignment horizontal="left" vertical="center" wrapText="1"/>
    </xf>
    <xf numFmtId="0" fontId="21" fillId="5" borderId="11" xfId="2" applyFont="1" applyFill="1" applyBorder="1" applyAlignment="1">
      <alignment horizontal="left" vertical="center" wrapText="1"/>
    </xf>
    <xf numFmtId="0" fontId="181" fillId="5" borderId="2" xfId="2" applyFont="1" applyFill="1" applyBorder="1" applyAlignment="1">
      <alignment horizontal="left" vertical="center" wrapText="1"/>
    </xf>
    <xf numFmtId="0" fontId="17" fillId="3" borderId="2" xfId="2" applyFont="1" applyFill="1" applyBorder="1" applyAlignment="1">
      <alignment horizontal="left" vertical="top" wrapText="1"/>
    </xf>
    <xf numFmtId="0" fontId="30" fillId="21" borderId="5" xfId="2" applyFont="1" applyFill="1" applyBorder="1" applyAlignment="1">
      <alignment horizontal="left" vertical="center" wrapText="1"/>
    </xf>
    <xf numFmtId="0" fontId="17" fillId="22" borderId="11" xfId="2" applyFont="1" applyFill="1" applyBorder="1" applyAlignment="1">
      <alignment vertical="center" wrapText="1"/>
    </xf>
    <xf numFmtId="0" fontId="42" fillId="22" borderId="5" xfId="2" applyFont="1" applyFill="1" applyBorder="1" applyAlignment="1">
      <alignment horizontal="left" vertical="center" wrapText="1"/>
    </xf>
    <xf numFmtId="0" fontId="35" fillId="6" borderId="47" xfId="2" applyFont="1" applyFill="1" applyBorder="1" applyAlignment="1">
      <alignment horizontal="left" vertical="center" wrapText="1"/>
    </xf>
    <xf numFmtId="0" fontId="15" fillId="6" borderId="48" xfId="2" applyFont="1" applyFill="1" applyBorder="1" applyAlignment="1">
      <alignment horizontal="left" vertical="center" wrapText="1"/>
    </xf>
    <xf numFmtId="0" fontId="30" fillId="17" borderId="6" xfId="2" applyFont="1" applyFill="1" applyBorder="1" applyAlignment="1">
      <alignment horizontal="left" vertical="center" wrapText="1"/>
    </xf>
    <xf numFmtId="0" fontId="182" fillId="52" borderId="5" xfId="4" applyFont="1" applyFill="1" applyBorder="1" applyAlignment="1">
      <alignment horizontal="center" vertical="center"/>
    </xf>
    <xf numFmtId="0" fontId="98" fillId="52" borderId="5" xfId="4" applyFont="1" applyFill="1" applyBorder="1" applyAlignment="1">
      <alignment horizontal="center" vertical="center"/>
    </xf>
    <xf numFmtId="14" fontId="129" fillId="0" borderId="14" xfId="6" applyNumberFormat="1" applyFont="1" applyBorder="1" applyAlignment="1">
      <alignment horizontal="center" vertical="center"/>
    </xf>
    <xf numFmtId="20" fontId="16" fillId="39" borderId="4" xfId="2" applyNumberFormat="1" applyFont="1" applyFill="1" applyBorder="1" applyAlignment="1">
      <alignment horizontal="center" vertical="center" wrapText="1"/>
    </xf>
    <xf numFmtId="0" fontId="1" fillId="0" borderId="25" xfId="1" applyBorder="1" applyAlignment="1">
      <alignment horizontal="center" vertical="center"/>
    </xf>
    <xf numFmtId="0" fontId="87" fillId="18" borderId="5" xfId="2" applyFont="1" applyFill="1" applyBorder="1" applyAlignment="1">
      <alignment horizontal="left" vertical="center" wrapText="1"/>
    </xf>
    <xf numFmtId="0" fontId="183" fillId="0" borderId="14" xfId="6" applyFont="1" applyBorder="1">
      <alignment vertical="center"/>
    </xf>
    <xf numFmtId="0" fontId="183" fillId="0" borderId="14" xfId="6" applyFont="1" applyBorder="1" applyAlignment="1">
      <alignment horizontal="center" vertical="center"/>
    </xf>
    <xf numFmtId="0" fontId="1" fillId="0" borderId="14" xfId="1" applyBorder="1" applyAlignment="1">
      <alignment horizontal="left" vertical="center"/>
    </xf>
    <xf numFmtId="0" fontId="116" fillId="0" borderId="0" xfId="6" applyFont="1" applyAlignment="1">
      <alignment horizontal="left" vertical="center"/>
    </xf>
    <xf numFmtId="0" fontId="122" fillId="0" borderId="31" xfId="6" applyFont="1" applyBorder="1" applyAlignment="1">
      <alignment horizontal="left" vertical="center"/>
    </xf>
    <xf numFmtId="0" fontId="122" fillId="0" borderId="32" xfId="6" applyFont="1" applyBorder="1" applyAlignment="1">
      <alignment horizontal="left" vertical="center"/>
    </xf>
    <xf numFmtId="0" fontId="122" fillId="0" borderId="33" xfId="6" applyFont="1" applyBorder="1" applyAlignment="1">
      <alignment horizontal="left" vertical="center"/>
    </xf>
    <xf numFmtId="20" fontId="38" fillId="0" borderId="5" xfId="2" applyNumberFormat="1" applyFont="1" applyBorder="1" applyAlignment="1">
      <alignment horizontal="center" vertical="center" wrapText="1"/>
    </xf>
    <xf numFmtId="0" fontId="9" fillId="2" borderId="0" xfId="2" applyFont="1" applyFill="1" applyAlignment="1">
      <alignment horizontal="center" vertical="center" wrapText="1"/>
    </xf>
    <xf numFmtId="0" fontId="9" fillId="2" borderId="0" xfId="2" applyFont="1" applyFill="1" applyAlignment="1">
      <alignment horizontal="center" vertical="center"/>
    </xf>
    <xf numFmtId="0" fontId="9" fillId="2" borderId="1" xfId="2" applyFont="1" applyFill="1" applyBorder="1" applyAlignment="1">
      <alignment horizontal="center" vertical="center"/>
    </xf>
    <xf numFmtId="0" fontId="23" fillId="23" borderId="5" xfId="2" applyFont="1" applyFill="1" applyBorder="1" applyAlignment="1">
      <alignment horizontal="left" vertical="center" wrapText="1"/>
    </xf>
    <xf numFmtId="0" fontId="15" fillId="0" borderId="5" xfId="4" applyFont="1" applyBorder="1" applyAlignment="1">
      <alignment horizontal="center" vertical="center"/>
    </xf>
    <xf numFmtId="0" fontId="15" fillId="42" borderId="5" xfId="4" applyFont="1" applyFill="1" applyBorder="1" applyAlignment="1">
      <alignment horizontal="center" vertical="center"/>
    </xf>
    <xf numFmtId="20" fontId="15" fillId="0" borderId="5" xfId="4" applyNumberFormat="1" applyFont="1" applyBorder="1" applyAlignment="1">
      <alignment horizontal="center" vertical="center" wrapText="1"/>
    </xf>
    <xf numFmtId="20" fontId="15" fillId="0" borderId="6" xfId="4" applyNumberFormat="1" applyFont="1" applyBorder="1" applyAlignment="1">
      <alignment horizontal="center" vertical="center" wrapText="1"/>
    </xf>
    <xf numFmtId="49" fontId="38" fillId="42" borderId="5" xfId="4" applyNumberFormat="1" applyFont="1" applyFill="1" applyBorder="1" applyAlignment="1">
      <alignment horizontal="center" vertical="center"/>
    </xf>
    <xf numFmtId="0" fontId="71" fillId="15" borderId="5" xfId="4" applyFont="1" applyFill="1" applyBorder="1" applyAlignment="1">
      <alignment horizontal="center" vertical="center" wrapText="1"/>
    </xf>
    <xf numFmtId="0" fontId="71" fillId="25" borderId="5" xfId="4" applyFont="1" applyFill="1" applyBorder="1" applyAlignment="1">
      <alignment horizontal="center" vertical="center" wrapText="1"/>
    </xf>
    <xf numFmtId="0" fontId="17" fillId="42" borderId="5" xfId="4" applyFont="1" applyFill="1" applyBorder="1" applyAlignment="1">
      <alignment horizontal="center" vertical="center"/>
    </xf>
    <xf numFmtId="0" fontId="17" fillId="42" borderId="6" xfId="4" applyFont="1" applyFill="1" applyBorder="1" applyAlignment="1">
      <alignment horizontal="center" vertical="center"/>
    </xf>
    <xf numFmtId="0" fontId="17" fillId="42" borderId="3" xfId="4" applyFont="1" applyFill="1" applyBorder="1" applyAlignment="1">
      <alignment horizontal="center" vertical="center"/>
    </xf>
    <xf numFmtId="0" fontId="21" fillId="42" borderId="3" xfId="4" applyFont="1" applyFill="1" applyBorder="1" applyAlignment="1">
      <alignment horizontal="center" vertical="center"/>
    </xf>
    <xf numFmtId="0" fontId="21" fillId="42" borderId="5" xfId="4" applyFont="1" applyFill="1" applyBorder="1" applyAlignment="1">
      <alignment horizontal="center" vertical="center"/>
    </xf>
    <xf numFmtId="0" fontId="21" fillId="42" borderId="6" xfId="4" applyFont="1" applyFill="1" applyBorder="1" applyAlignment="1">
      <alignment horizontal="center" vertical="center"/>
    </xf>
    <xf numFmtId="0" fontId="17" fillId="42" borderId="3" xfId="4" applyFont="1" applyFill="1" applyBorder="1" applyAlignment="1">
      <alignment horizontal="center" vertical="center" wrapText="1"/>
    </xf>
    <xf numFmtId="0" fontId="17" fillId="42" borderId="5" xfId="4" applyFont="1" applyFill="1" applyBorder="1" applyAlignment="1">
      <alignment horizontal="center" vertical="center" wrapText="1"/>
    </xf>
    <xf numFmtId="0" fontId="17" fillId="42" borderId="6" xfId="4" applyFont="1" applyFill="1" applyBorder="1" applyAlignment="1">
      <alignment horizontal="center" vertical="center" wrapText="1"/>
    </xf>
    <xf numFmtId="0" fontId="38" fillId="12" borderId="5" xfId="4" applyFont="1" applyFill="1" applyBorder="1" applyAlignment="1">
      <alignment horizontal="center" vertical="center"/>
    </xf>
    <xf numFmtId="0" fontId="36" fillId="42" borderId="5" xfId="4" applyFont="1" applyFill="1" applyBorder="1" applyAlignment="1">
      <alignment horizontal="center" vertical="center" wrapText="1"/>
    </xf>
    <xf numFmtId="0" fontId="15" fillId="42" borderId="6" xfId="4" applyFont="1" applyFill="1" applyBorder="1" applyAlignment="1">
      <alignment horizontal="center" vertical="center"/>
    </xf>
    <xf numFmtId="0" fontId="17" fillId="0" borderId="3" xfId="4" applyFont="1" applyBorder="1" applyAlignment="1">
      <alignment horizontal="center" vertical="center" wrapText="1"/>
    </xf>
    <xf numFmtId="0" fontId="17" fillId="0" borderId="5" xfId="4" applyFont="1" applyBorder="1" applyAlignment="1">
      <alignment horizontal="center" vertical="center" wrapText="1"/>
    </xf>
    <xf numFmtId="0" fontId="17" fillId="0" borderId="6" xfId="4" applyFont="1" applyBorder="1" applyAlignment="1">
      <alignment horizontal="center" vertical="center" wrapText="1"/>
    </xf>
    <xf numFmtId="0" fontId="15" fillId="42" borderId="3" xfId="4" applyFont="1" applyFill="1" applyBorder="1" applyAlignment="1">
      <alignment horizontal="center" vertical="center" wrapText="1"/>
    </xf>
    <xf numFmtId="0" fontId="15" fillId="42" borderId="5" xfId="4" applyFont="1" applyFill="1" applyBorder="1" applyAlignment="1">
      <alignment horizontal="center" vertical="center" wrapText="1"/>
    </xf>
    <xf numFmtId="0" fontId="15" fillId="42" borderId="6" xfId="4" applyFont="1" applyFill="1" applyBorder="1" applyAlignment="1">
      <alignment horizontal="center" vertical="center" wrapText="1"/>
    </xf>
    <xf numFmtId="0" fontId="30" fillId="0" borderId="3" xfId="4" applyFont="1" applyBorder="1" applyAlignment="1">
      <alignment horizontal="center" vertical="center"/>
    </xf>
    <xf numFmtId="0" fontId="30" fillId="0" borderId="5" xfId="4" applyFont="1" applyBorder="1" applyAlignment="1">
      <alignment horizontal="center" vertical="center"/>
    </xf>
    <xf numFmtId="0" fontId="30" fillId="0" borderId="6" xfId="4" applyFont="1" applyBorder="1" applyAlignment="1">
      <alignment horizontal="center" vertical="center"/>
    </xf>
    <xf numFmtId="0" fontId="17" fillId="0" borderId="3" xfId="4" applyFont="1" applyBorder="1" applyAlignment="1">
      <alignment horizontal="center" vertical="center"/>
    </xf>
    <xf numFmtId="0" fontId="17" fillId="0" borderId="5" xfId="4" applyFont="1" applyBorder="1" applyAlignment="1">
      <alignment horizontal="center" vertical="center"/>
    </xf>
    <xf numFmtId="20" fontId="17" fillId="42" borderId="5" xfId="4" applyNumberFormat="1" applyFont="1" applyFill="1" applyBorder="1" applyAlignment="1">
      <alignment horizontal="center" vertical="center" wrapText="1"/>
    </xf>
    <xf numFmtId="20" fontId="17" fillId="42" borderId="6" xfId="4" applyNumberFormat="1" applyFont="1" applyFill="1" applyBorder="1" applyAlignment="1">
      <alignment horizontal="center" vertical="center" wrapText="1"/>
    </xf>
    <xf numFmtId="0" fontId="174" fillId="15" borderId="5" xfId="2" applyFont="1" applyFill="1" applyBorder="1" applyAlignment="1">
      <alignment horizontal="center" vertical="center" wrapText="1"/>
    </xf>
    <xf numFmtId="0" fontId="174" fillId="15" borderId="6" xfId="2" applyFont="1" applyFill="1" applyBorder="1" applyAlignment="1">
      <alignment horizontal="center" vertical="center" wrapText="1"/>
    </xf>
    <xf numFmtId="0" fontId="36" fillId="42" borderId="3" xfId="4" applyFont="1" applyFill="1" applyBorder="1" applyAlignment="1">
      <alignment horizontal="center" vertical="center" wrapText="1"/>
    </xf>
    <xf numFmtId="20" fontId="15" fillId="42" borderId="5" xfId="2" applyNumberFormat="1" applyFont="1" applyFill="1" applyBorder="1" applyAlignment="1">
      <alignment horizontal="center" vertical="center" wrapText="1"/>
    </xf>
    <xf numFmtId="0" fontId="16" fillId="42" borderId="5" xfId="4" applyFont="1" applyFill="1" applyBorder="1" applyAlignment="1">
      <alignment horizontal="center" vertical="center" wrapText="1"/>
    </xf>
    <xf numFmtId="0" fontId="59" fillId="2" borderId="5" xfId="4" applyFont="1" applyFill="1" applyBorder="1" applyAlignment="1">
      <alignment horizontal="center" vertical="center"/>
    </xf>
    <xf numFmtId="0" fontId="59" fillId="42" borderId="5" xfId="4" applyFont="1" applyFill="1" applyBorder="1" applyAlignment="1">
      <alignment horizontal="center" vertical="center"/>
    </xf>
    <xf numFmtId="0" fontId="99" fillId="2" borderId="5" xfId="4" applyFont="1" applyFill="1" applyBorder="1" applyAlignment="1">
      <alignment horizontal="center" vertical="center"/>
    </xf>
    <xf numFmtId="0" fontId="139" fillId="0" borderId="15" xfId="7" applyFont="1" applyBorder="1" applyAlignment="1">
      <alignment horizontal="center" vertical="center"/>
    </xf>
    <xf numFmtId="0" fontId="139" fillId="0" borderId="34" xfId="7" applyFont="1" applyBorder="1" applyAlignment="1">
      <alignment horizontal="center" vertical="center"/>
    </xf>
    <xf numFmtId="56" fontId="140" fillId="0" borderId="34" xfId="7" applyNumberFormat="1" applyFont="1" applyBorder="1" applyAlignment="1">
      <alignment horizontal="center" vertical="center"/>
    </xf>
    <xf numFmtId="0" fontId="140" fillId="0" borderId="26" xfId="7" applyFont="1" applyBorder="1" applyAlignment="1">
      <alignment horizontal="center" vertical="center"/>
    </xf>
    <xf numFmtId="0" fontId="142" fillId="63" borderId="31" xfId="7" applyFont="1" applyFill="1" applyBorder="1" applyAlignment="1">
      <alignment horizontal="center" vertical="center"/>
    </xf>
    <xf numFmtId="0" fontId="142" fillId="63" borderId="32" xfId="7" applyFont="1" applyFill="1" applyBorder="1" applyAlignment="1">
      <alignment horizontal="center" vertical="center"/>
    </xf>
    <xf numFmtId="0" fontId="142" fillId="63" borderId="33" xfId="7" applyFont="1" applyFill="1" applyBorder="1" applyAlignment="1">
      <alignment horizontal="center" vertical="center"/>
    </xf>
    <xf numFmtId="0" fontId="34" fillId="0" borderId="0" xfId="5" applyAlignment="1">
      <alignment horizontal="center" vertical="center"/>
    </xf>
    <xf numFmtId="0" fontId="34" fillId="0" borderId="25" xfId="5" applyBorder="1" applyAlignment="1" applyProtection="1">
      <alignment horizontal="center" vertical="center" wrapText="1"/>
      <protection hidden="1"/>
    </xf>
    <xf numFmtId="0" fontId="34" fillId="0" borderId="1" xfId="5" applyBorder="1" applyAlignment="1" applyProtection="1">
      <alignment horizontal="center" vertical="center" wrapText="1"/>
      <protection hidden="1"/>
    </xf>
    <xf numFmtId="0" fontId="34" fillId="0" borderId="3" xfId="5" applyBorder="1" applyAlignment="1" applyProtection="1">
      <alignment horizontal="center" vertical="center" wrapText="1"/>
      <protection hidden="1"/>
    </xf>
    <xf numFmtId="0" fontId="34" fillId="0" borderId="5" xfId="5" applyBorder="1" applyAlignment="1" applyProtection="1">
      <alignment horizontal="center" vertical="center" wrapText="1"/>
      <protection hidden="1"/>
    </xf>
    <xf numFmtId="0" fontId="34" fillId="0" borderId="6" xfId="5" applyBorder="1" applyAlignment="1" applyProtection="1">
      <alignment horizontal="center" vertical="center" wrapText="1"/>
      <protection hidden="1"/>
    </xf>
    <xf numFmtId="0" fontId="1" fillId="0" borderId="0" xfId="1" applyAlignment="1">
      <alignment horizontal="center" vertical="center"/>
    </xf>
    <xf numFmtId="0" fontId="34" fillId="0" borderId="3" xfId="5" applyBorder="1" applyAlignment="1">
      <alignment horizontal="center" vertical="center"/>
    </xf>
    <xf numFmtId="0" fontId="34" fillId="0" borderId="5" xfId="5" applyBorder="1" applyAlignment="1">
      <alignment horizontal="center" vertical="center"/>
    </xf>
    <xf numFmtId="0" fontId="1" fillId="0" borderId="3" xfId="1" applyBorder="1" applyAlignment="1">
      <alignment horizontal="center" vertical="center"/>
    </xf>
    <xf numFmtId="0" fontId="1" fillId="0" borderId="5" xfId="1" applyBorder="1" applyAlignment="1">
      <alignment horizontal="center" vertical="center"/>
    </xf>
    <xf numFmtId="0" fontId="1" fillId="0" borderId="6" xfId="1" applyBorder="1" applyAlignment="1">
      <alignment horizontal="center" vertical="center"/>
    </xf>
    <xf numFmtId="0" fontId="34" fillId="0" borderId="2" xfId="5" applyBorder="1" applyAlignment="1">
      <alignment horizontal="center" vertical="center"/>
    </xf>
    <xf numFmtId="0" fontId="34" fillId="0" borderId="6" xfId="5" applyBorder="1" applyAlignment="1">
      <alignment horizontal="center" vertical="center"/>
    </xf>
    <xf numFmtId="0" fontId="34" fillId="0" borderId="14" xfId="5" applyBorder="1" applyAlignment="1">
      <alignment horizontal="center" vertical="center"/>
    </xf>
    <xf numFmtId="0" fontId="1" fillId="0" borderId="14" xfId="1" applyBorder="1" applyAlignment="1">
      <alignment horizontal="center" vertical="center"/>
    </xf>
    <xf numFmtId="0" fontId="34" fillId="0" borderId="25" xfId="5" applyBorder="1" applyAlignment="1">
      <alignment horizontal="center" vertical="center"/>
    </xf>
    <xf numFmtId="0" fontId="34" fillId="0" borderId="1" xfId="5" applyBorder="1" applyAlignment="1">
      <alignment horizontal="center" vertical="center"/>
    </xf>
    <xf numFmtId="0" fontId="34" fillId="0" borderId="24" xfId="5" applyBorder="1" applyAlignment="1">
      <alignment horizontal="center" vertical="center"/>
    </xf>
    <xf numFmtId="0" fontId="34" fillId="0" borderId="20" xfId="5" applyBorder="1" applyAlignment="1">
      <alignment horizontal="center" vertical="center"/>
    </xf>
    <xf numFmtId="0" fontId="1" fillId="0" borderId="25" xfId="1" applyBorder="1" applyAlignment="1">
      <alignment horizontal="center" vertical="center"/>
    </xf>
    <xf numFmtId="0" fontId="1" fillId="0" borderId="1" xfId="1" applyBorder="1" applyAlignment="1">
      <alignment horizontal="center" vertical="center"/>
    </xf>
    <xf numFmtId="0" fontId="34" fillId="0" borderId="30" xfId="5" applyBorder="1" applyAlignment="1">
      <alignment horizontal="center" vertical="center"/>
    </xf>
    <xf numFmtId="0" fontId="34" fillId="0" borderId="27" xfId="5" applyBorder="1" applyAlignment="1">
      <alignment horizontal="center" vertical="center"/>
    </xf>
    <xf numFmtId="0" fontId="34" fillId="0" borderId="28" xfId="5" applyBorder="1" applyAlignment="1">
      <alignment horizontal="center" vertical="center"/>
    </xf>
    <xf numFmtId="0" fontId="1" fillId="0" borderId="24" xfId="1" applyBorder="1" applyAlignment="1">
      <alignment horizontal="center" vertical="center"/>
    </xf>
    <xf numFmtId="0" fontId="1" fillId="0" borderId="3" xfId="1" applyBorder="1" applyAlignment="1">
      <alignment horizontal="center" vertical="center" wrapText="1"/>
    </xf>
    <xf numFmtId="0" fontId="34" fillId="0" borderId="0" xfId="5" applyAlignment="1">
      <alignment vertical="center"/>
    </xf>
    <xf numFmtId="0" fontId="146" fillId="66" borderId="0" xfId="9" applyFont="1" applyFill="1" applyAlignment="1">
      <alignment horizontal="center" vertical="center"/>
    </xf>
    <xf numFmtId="0" fontId="148" fillId="67" borderId="0" xfId="9" applyFont="1" applyFill="1" applyAlignment="1">
      <alignment horizontal="center" vertical="center"/>
    </xf>
    <xf numFmtId="0" fontId="147" fillId="0" borderId="0" xfId="9" applyFont="1" applyAlignment="1">
      <alignment horizontal="center" vertical="center"/>
    </xf>
    <xf numFmtId="0" fontId="151" fillId="64" borderId="0" xfId="9" applyFont="1" applyFill="1" applyAlignment="1">
      <alignment horizontal="center" vertical="center"/>
    </xf>
    <xf numFmtId="0" fontId="150" fillId="67" borderId="0" xfId="9" applyFont="1" applyFill="1" applyAlignment="1">
      <alignment horizontal="center" vertical="center"/>
    </xf>
    <xf numFmtId="0" fontId="155" fillId="0" borderId="0" xfId="10" applyFont="1" applyAlignment="1">
      <alignment horizontal="center" vertical="center"/>
    </xf>
    <xf numFmtId="0" fontId="156" fillId="0" borderId="0" xfId="10" applyFont="1" applyAlignment="1">
      <alignment horizontal="center" vertical="center"/>
    </xf>
    <xf numFmtId="0" fontId="151" fillId="0" borderId="0" xfId="9" applyFont="1" applyAlignment="1">
      <alignment horizontal="center" vertical="center"/>
    </xf>
    <xf numFmtId="0" fontId="151" fillId="2" borderId="0" xfId="9" applyFont="1" applyFill="1" applyAlignment="1">
      <alignment horizontal="center" vertical="center"/>
    </xf>
  </cellXfs>
  <cellStyles count="11">
    <cellStyle name="パーセント 2" xfId="3" xr:uid="{A044DC67-B0FD-4FA3-810D-3550431D0ADB}"/>
    <cellStyle name="ハイパーリンク" xfId="1" builtinId="8"/>
    <cellStyle name="ハイパーリンク 2" xfId="5" xr:uid="{B928EA31-EE54-44CD-8413-B02802941EAF}"/>
    <cellStyle name="ハイパーリンク 3" xfId="10" xr:uid="{5E6D4349-3B5D-4650-B443-C86050D1E89B}"/>
    <cellStyle name="ハイパーリンク 4" xfId="4" xr:uid="{D6609CAF-E4B2-4F84-A2E3-C4DC384A50E4}"/>
    <cellStyle name="標準" xfId="0" builtinId="0"/>
    <cellStyle name="標準 3" xfId="6" xr:uid="{6DB7F8CD-F524-4B9C-9F67-800923BF3D66}"/>
    <cellStyle name="標準 4" xfId="9" xr:uid="{6A4CC061-97CD-461C-B843-B50D0ADFB59B}"/>
    <cellStyle name="標準 5" xfId="2" xr:uid="{EE388D6A-EF26-4A74-8DF8-98EAE2881556}"/>
    <cellStyle name="標準 6 2 2 2 2 2 2 2 2 3 2 2 2 4 2 2 4 2 2 2 3 2 2" xfId="8" xr:uid="{A5DF73FC-6757-4EED-82A5-2E1A92A93C92}"/>
    <cellStyle name="標準 6 2 2 2 2 2 2 2 2 3 2 2 2 4 2 2 4 2 2 4 2 2" xfId="7" xr:uid="{35C0FDE1-C74F-4DE2-A11B-32DD9D02A4C9}"/>
  </cellStyles>
  <dxfs count="66">
    <dxf>
      <font>
        <b/>
        <i val="0"/>
      </font>
      <fill>
        <patternFill patternType="solid">
          <bgColor theme="4" tint="0.79995117038483843"/>
        </patternFill>
      </fill>
    </dxf>
    <dxf>
      <font>
        <b/>
        <i val="0"/>
        <color theme="0"/>
      </font>
      <fill>
        <patternFill patternType="solid">
          <bgColor theme="4" tint="-0.499984740745262"/>
        </patternFill>
      </fill>
    </dxf>
    <dxf>
      <font>
        <b/>
        <i val="0"/>
        <color theme="0"/>
      </font>
      <fill>
        <patternFill patternType="solid">
          <bgColor theme="4" tint="-0.499984740745262"/>
        </patternFill>
      </fill>
    </dxf>
    <dxf>
      <font>
        <b/>
        <i val="0"/>
      </font>
      <fill>
        <patternFill patternType="solid">
          <bgColor theme="4" tint="0.79995117038483843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b/>
        <i val="0"/>
        <color theme="0"/>
      </font>
      <fill>
        <patternFill patternType="solid">
          <bgColor theme="4" tint="-0.499984740745262"/>
        </patternFill>
      </fill>
    </dxf>
    <dxf>
      <font>
        <b/>
        <i val="0"/>
      </font>
      <fill>
        <patternFill patternType="solid">
          <bgColor theme="4" tint="0.79995117038483843"/>
        </patternFill>
      </fill>
    </dxf>
    <dxf>
      <font>
        <b/>
        <i val="0"/>
        <color theme="0"/>
      </font>
      <fill>
        <patternFill patternType="solid">
          <bgColor theme="4" tint="-0.499984740745262"/>
        </patternFill>
      </fill>
    </dxf>
    <dxf>
      <font>
        <b/>
        <i val="0"/>
      </font>
      <fill>
        <patternFill patternType="solid">
          <bgColor theme="4" tint="0.79995117038483843"/>
        </patternFill>
      </fill>
    </dxf>
    <dxf>
      <font>
        <b/>
        <i val="0"/>
        <color theme="0"/>
      </font>
      <fill>
        <patternFill patternType="solid">
          <bgColor theme="4" tint="-0.499984740745262"/>
        </patternFill>
      </fill>
    </dxf>
    <dxf>
      <font>
        <b/>
        <i val="0"/>
      </font>
      <fill>
        <patternFill patternType="solid">
          <bgColor theme="4" tint="0.79995117038483843"/>
        </patternFill>
      </fill>
    </dxf>
    <dxf>
      <font>
        <b/>
        <i val="0"/>
      </font>
      <fill>
        <patternFill patternType="solid">
          <bgColor theme="4" tint="0.79995117038483843"/>
        </patternFill>
      </fill>
    </dxf>
    <dxf>
      <font>
        <b/>
        <i val="0"/>
        <color theme="0"/>
      </font>
      <fill>
        <patternFill patternType="solid">
          <bgColor theme="4" tint="-0.499984740745262"/>
        </patternFill>
      </fill>
    </dxf>
    <dxf>
      <font>
        <b/>
        <i val="0"/>
        <color theme="0"/>
      </font>
      <fill>
        <patternFill patternType="solid">
          <bgColor theme="4" tint="-0.499984740745262"/>
        </patternFill>
      </fill>
    </dxf>
    <dxf>
      <font>
        <b/>
        <i val="0"/>
      </font>
      <fill>
        <patternFill patternType="solid">
          <bgColor theme="4" tint="0.79995117038483843"/>
        </patternFill>
      </fill>
    </dxf>
    <dxf>
      <font>
        <b/>
        <i val="0"/>
        <color theme="0"/>
      </font>
      <fill>
        <patternFill patternType="solid">
          <bgColor theme="4" tint="-0.499984740745262"/>
        </patternFill>
      </fill>
    </dxf>
    <dxf>
      <font>
        <b/>
        <i val="0"/>
      </font>
      <fill>
        <patternFill patternType="solid">
          <bgColor theme="4" tint="0.79995117038483843"/>
        </patternFill>
      </fill>
    </dxf>
    <dxf>
      <font>
        <b/>
        <i val="0"/>
        <color theme="0"/>
      </font>
      <fill>
        <patternFill patternType="solid">
          <bgColor theme="4" tint="-0.499984740745262"/>
        </patternFill>
      </fill>
    </dxf>
    <dxf>
      <font>
        <b/>
        <i val="0"/>
      </font>
      <fill>
        <patternFill patternType="solid">
          <bgColor theme="4" tint="0.79995117038483843"/>
        </patternFill>
      </fill>
    </dxf>
    <dxf>
      <font>
        <b/>
        <i val="0"/>
        <color theme="0"/>
      </font>
      <fill>
        <patternFill patternType="solid">
          <bgColor theme="4" tint="-0.499984740745262"/>
        </patternFill>
      </fill>
    </dxf>
    <dxf>
      <font>
        <b/>
        <i val="0"/>
      </font>
      <fill>
        <patternFill patternType="solid">
          <bgColor theme="4" tint="0.79995117038483843"/>
        </patternFill>
      </fill>
    </dxf>
    <dxf>
      <font>
        <b/>
        <i val="0"/>
        <color theme="0"/>
      </font>
      <fill>
        <patternFill patternType="solid">
          <bgColor theme="4" tint="-0.499984740745262"/>
        </patternFill>
      </fill>
    </dxf>
    <dxf>
      <font>
        <b/>
        <i val="0"/>
      </font>
      <fill>
        <patternFill patternType="solid">
          <bgColor theme="4" tint="0.79995117038483843"/>
        </patternFill>
      </fill>
    </dxf>
    <dxf>
      <font>
        <b/>
        <i val="0"/>
        <color theme="0"/>
      </font>
      <fill>
        <patternFill patternType="solid">
          <bgColor theme="4" tint="-0.499984740745262"/>
        </patternFill>
      </fill>
    </dxf>
    <dxf>
      <font>
        <b/>
        <i val="0"/>
      </font>
      <fill>
        <patternFill patternType="solid">
          <bgColor theme="4" tint="0.79995117038483843"/>
        </patternFill>
      </fill>
    </dxf>
    <dxf>
      <font>
        <b/>
        <i val="0"/>
        <color theme="0"/>
      </font>
      <fill>
        <patternFill patternType="solid">
          <bgColor theme="4" tint="-0.499984740745262"/>
        </patternFill>
      </fill>
    </dxf>
    <dxf>
      <font>
        <b/>
        <i val="0"/>
      </font>
      <fill>
        <patternFill patternType="solid">
          <bgColor theme="4" tint="0.79995117038483843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b/>
        <i val="0"/>
        <color auto="1"/>
      </font>
      <fill>
        <patternFill patternType="solid">
          <bgColor rgb="FFFF99FF"/>
        </patternFill>
      </fill>
    </dxf>
    <dxf>
      <font>
        <b/>
        <i val="0"/>
        <color auto="1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rgb="FF92D050"/>
        </patternFill>
      </fill>
    </dxf>
    <dxf>
      <font>
        <b/>
        <i val="0"/>
        <color auto="1"/>
      </font>
      <fill>
        <patternFill patternType="solid">
          <bgColor rgb="FF00B0F0"/>
        </patternFill>
      </fill>
    </dxf>
    <dxf>
      <font>
        <b/>
        <i val="0"/>
        <color auto="1"/>
      </font>
      <fill>
        <patternFill patternType="solid">
          <bgColor rgb="FF9933FF"/>
        </patternFill>
      </fill>
    </dxf>
    <dxf>
      <font>
        <b/>
        <i val="0"/>
        <color auto="1"/>
      </font>
      <fill>
        <patternFill patternType="solid">
          <bgColor rgb="FFFFC000"/>
        </patternFill>
      </fill>
    </dxf>
    <dxf>
      <font>
        <b/>
        <i val="0"/>
        <color auto="1"/>
      </font>
      <fill>
        <patternFill patternType="solid">
          <bgColor rgb="FF00B050"/>
        </patternFill>
      </fill>
    </dxf>
    <dxf>
      <fill>
        <patternFill patternType="solid">
          <bgColor theme="4" tint="0.39991454817346722"/>
        </patternFill>
      </fill>
    </dxf>
    <dxf>
      <fill>
        <patternFill patternType="solid">
          <bgColor theme="7" tint="0.39991454817346722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b/>
        <i val="0"/>
        <color theme="0"/>
      </font>
      <fill>
        <patternFill patternType="solid">
          <bgColor theme="4" tint="-0.499984740745262"/>
        </patternFill>
      </fill>
    </dxf>
    <dxf>
      <font>
        <b/>
        <i val="0"/>
      </font>
      <fill>
        <patternFill patternType="solid">
          <bgColor theme="4" tint="0.79995117038483843"/>
        </patternFill>
      </fill>
    </dxf>
    <dxf>
      <fill>
        <patternFill patternType="solid">
          <bgColor rgb="FFF994FE"/>
        </patternFill>
      </fill>
    </dxf>
    <dxf>
      <fill>
        <patternFill patternType="solid">
          <bgColor rgb="FFF994FE"/>
        </patternFill>
      </fill>
    </dxf>
    <dxf>
      <font>
        <b/>
        <i val="0"/>
        <color theme="0"/>
      </font>
      <fill>
        <patternFill patternType="solid">
          <bgColor theme="4" tint="-0.499984740745262"/>
        </patternFill>
      </fill>
    </dxf>
    <dxf>
      <font>
        <b/>
        <i val="0"/>
      </font>
      <fill>
        <patternFill patternType="solid">
          <bgColor theme="4" tint="0.79995117038483843"/>
        </patternFill>
      </fill>
    </dxf>
    <dxf>
      <fill>
        <patternFill patternType="solid">
          <bgColor rgb="FFF994FE"/>
        </patternFill>
      </fill>
    </dxf>
    <dxf>
      <font>
        <b/>
        <i val="0"/>
        <color theme="0"/>
      </font>
      <fill>
        <patternFill patternType="solid">
          <bgColor theme="4" tint="-0.499984740745262"/>
        </patternFill>
      </fill>
    </dxf>
    <dxf>
      <font>
        <b/>
        <i val="0"/>
      </font>
      <fill>
        <patternFill patternType="solid">
          <bgColor theme="4" tint="0.79995117038483843"/>
        </patternFill>
      </fill>
    </dxf>
    <dxf>
      <fill>
        <patternFill patternType="solid">
          <bgColor rgb="FFF994FE"/>
        </patternFill>
      </fill>
    </dxf>
    <dxf>
      <font>
        <b/>
        <i val="0"/>
        <color theme="0"/>
      </font>
      <fill>
        <patternFill patternType="solid">
          <bgColor theme="4" tint="-0.499984740745262"/>
        </patternFill>
      </fill>
    </dxf>
    <dxf>
      <font>
        <b/>
        <i val="0"/>
      </font>
      <fill>
        <patternFill patternType="solid">
          <bgColor theme="4" tint="0.79995117038483843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00FF"/>
      <color rgb="FF11C1FF"/>
      <color rgb="FF002060"/>
      <color rgb="FFF2F2F2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.png"/><Relationship Id="rId3" Type="http://schemas.openxmlformats.org/officeDocument/2006/relationships/image" Target="../media/image9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5" Type="http://schemas.openxmlformats.org/officeDocument/2006/relationships/image" Target="../media/image11.png"/><Relationship Id="rId10" Type="http://schemas.openxmlformats.org/officeDocument/2006/relationships/image" Target="../media/image16.png"/><Relationship Id="rId4" Type="http://schemas.openxmlformats.org/officeDocument/2006/relationships/image" Target="../media/image10.png"/><Relationship Id="rId9" Type="http://schemas.openxmlformats.org/officeDocument/2006/relationships/image" Target="../media/image1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126</xdr:row>
      <xdr:rowOff>134471</xdr:rowOff>
    </xdr:from>
    <xdr:to>
      <xdr:col>11</xdr:col>
      <xdr:colOff>328706</xdr:colOff>
      <xdr:row>127</xdr:row>
      <xdr:rowOff>179295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BEEC6399-EB01-4D34-AA8F-DC4299198490}"/>
            </a:ext>
          </a:extLst>
        </xdr:cNvPr>
        <xdr:cNvSpPr/>
      </xdr:nvSpPr>
      <xdr:spPr>
        <a:xfrm>
          <a:off x="0" y="23889821"/>
          <a:ext cx="7418481" cy="276599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13</xdr:col>
      <xdr:colOff>35274</xdr:colOff>
      <xdr:row>32</xdr:row>
      <xdr:rowOff>66305</xdr:rowOff>
    </xdr:from>
    <xdr:to>
      <xdr:col>19</xdr:col>
      <xdr:colOff>313765</xdr:colOff>
      <xdr:row>36</xdr:row>
      <xdr:rowOff>10820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64D8E369-E44F-44A5-98A9-8AA8A68DF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493474" y="7546605"/>
          <a:ext cx="5421991" cy="855740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 editAs="oneCell">
    <xdr:from>
      <xdr:col>1</xdr:col>
      <xdr:colOff>72090</xdr:colOff>
      <xdr:row>32</xdr:row>
      <xdr:rowOff>67235</xdr:rowOff>
    </xdr:from>
    <xdr:to>
      <xdr:col>9</xdr:col>
      <xdr:colOff>659099</xdr:colOff>
      <xdr:row>37</xdr:row>
      <xdr:rowOff>219261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42D47F95-C08F-4835-BCD3-38AE1CB751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7515" y="7541185"/>
          <a:ext cx="6076584" cy="1298201"/>
        </a:xfrm>
        <a:prstGeom prst="rect">
          <a:avLst/>
        </a:prstGeom>
      </xdr:spPr>
    </xdr:pic>
    <xdr:clientData/>
  </xdr:twoCellAnchor>
  <xdr:twoCellAnchor>
    <xdr:from>
      <xdr:col>6</xdr:col>
      <xdr:colOff>123264</xdr:colOff>
      <xdr:row>32</xdr:row>
      <xdr:rowOff>78441</xdr:rowOff>
    </xdr:from>
    <xdr:to>
      <xdr:col>7</xdr:col>
      <xdr:colOff>28761</xdr:colOff>
      <xdr:row>37</xdr:row>
      <xdr:rowOff>190500</xdr:rowOff>
    </xdr:to>
    <xdr:sp macro="" textlink="">
      <xdr:nvSpPr>
        <xdr:cNvPr id="5" name="四角形: 角を丸くする 4">
          <a:extLst>
            <a:ext uri="{FF2B5EF4-FFF2-40B4-BE49-F238E27FC236}">
              <a16:creationId xmlns:a16="http://schemas.microsoft.com/office/drawing/2014/main" id="{2184437A-8E70-4D3F-A1F6-6F17E4184E01}"/>
            </a:ext>
          </a:extLst>
        </xdr:cNvPr>
        <xdr:cNvSpPr/>
      </xdr:nvSpPr>
      <xdr:spPr>
        <a:xfrm>
          <a:off x="3784039" y="7555566"/>
          <a:ext cx="584947" cy="1255059"/>
        </a:xfrm>
        <a:prstGeom prst="roundRect">
          <a:avLst/>
        </a:prstGeom>
        <a:solidFill>
          <a:schemeClr val="accent1">
            <a:alpha val="0"/>
          </a:schemeClr>
        </a:solidFill>
        <a:ln w="6032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1</xdr:col>
      <xdr:colOff>25587</xdr:colOff>
      <xdr:row>42</xdr:row>
      <xdr:rowOff>84792</xdr:rowOff>
    </xdr:from>
    <xdr:to>
      <xdr:col>12</xdr:col>
      <xdr:colOff>255127</xdr:colOff>
      <xdr:row>48</xdr:row>
      <xdr:rowOff>123265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47EEE09B-FDF0-404F-A20C-60101E2C12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57362" y="9851092"/>
          <a:ext cx="7770165" cy="1406898"/>
        </a:xfrm>
        <a:prstGeom prst="rect">
          <a:avLst/>
        </a:prstGeom>
      </xdr:spPr>
    </xdr:pic>
    <xdr:clientData/>
  </xdr:twoCellAnchor>
  <xdr:twoCellAnchor editAs="oneCell">
    <xdr:from>
      <xdr:col>13</xdr:col>
      <xdr:colOff>795617</xdr:colOff>
      <xdr:row>42</xdr:row>
      <xdr:rowOff>56030</xdr:rowOff>
    </xdr:from>
    <xdr:to>
      <xdr:col>17</xdr:col>
      <xdr:colOff>371008</xdr:colOff>
      <xdr:row>58</xdr:row>
      <xdr:rowOff>26644</xdr:rowOff>
    </xdr:to>
    <xdr:pic>
      <xdr:nvPicPr>
        <xdr:cNvPr id="7" name="図 6">
          <a:extLst>
            <a:ext uri="{FF2B5EF4-FFF2-40B4-BE49-F238E27FC236}">
              <a16:creationId xmlns:a16="http://schemas.microsoft.com/office/drawing/2014/main" id="{84138570-78F0-4734-A4C0-E40174A6F5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250642" y="9819155"/>
          <a:ext cx="3350466" cy="3628214"/>
        </a:xfrm>
        <a:prstGeom prst="rect">
          <a:avLst/>
        </a:prstGeom>
      </xdr:spPr>
    </xdr:pic>
    <xdr:clientData/>
  </xdr:twoCellAnchor>
  <xdr:twoCellAnchor>
    <xdr:from>
      <xdr:col>11</xdr:col>
      <xdr:colOff>638735</xdr:colOff>
      <xdr:row>49</xdr:row>
      <xdr:rowOff>123265</xdr:rowOff>
    </xdr:from>
    <xdr:to>
      <xdr:col>13</xdr:col>
      <xdr:colOff>403411</xdr:colOff>
      <xdr:row>51</xdr:row>
      <xdr:rowOff>67235</xdr:rowOff>
    </xdr:to>
    <xdr:sp macro="" textlink="">
      <xdr:nvSpPr>
        <xdr:cNvPr id="8" name="矢印: 右 7">
          <a:extLst>
            <a:ext uri="{FF2B5EF4-FFF2-40B4-BE49-F238E27FC236}">
              <a16:creationId xmlns:a16="http://schemas.microsoft.com/office/drawing/2014/main" id="{EFDCA808-9210-47C1-8CD2-788125E63C3B}"/>
            </a:ext>
          </a:extLst>
        </xdr:cNvPr>
        <xdr:cNvSpPr/>
      </xdr:nvSpPr>
      <xdr:spPr>
        <a:xfrm>
          <a:off x="7722160" y="11489765"/>
          <a:ext cx="1142626" cy="39482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1</xdr:col>
      <xdr:colOff>475130</xdr:colOff>
      <xdr:row>10</xdr:row>
      <xdr:rowOff>224119</xdr:rowOff>
    </xdr:from>
    <xdr:to>
      <xdr:col>3</xdr:col>
      <xdr:colOff>609600</xdr:colOff>
      <xdr:row>16</xdr:row>
      <xdr:rowOff>20519</xdr:rowOff>
    </xdr:to>
    <xdr:pic>
      <xdr:nvPicPr>
        <xdr:cNvPr id="9" name="図 8">
          <a:extLst>
            <a:ext uri="{FF2B5EF4-FFF2-40B4-BE49-F238E27FC236}">
              <a16:creationId xmlns:a16="http://schemas.microsoft.com/office/drawing/2014/main" id="{E3B5AC13-7946-4780-8C09-3C5CBC3F7F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03730" y="2583144"/>
          <a:ext cx="1506070" cy="1171175"/>
        </a:xfrm>
        <a:prstGeom prst="rect">
          <a:avLst/>
        </a:prstGeom>
      </xdr:spPr>
    </xdr:pic>
    <xdr:clientData/>
  </xdr:twoCellAnchor>
  <xdr:twoCellAnchor editAs="oneCell">
    <xdr:from>
      <xdr:col>5</xdr:col>
      <xdr:colOff>46931</xdr:colOff>
      <xdr:row>11</xdr:row>
      <xdr:rowOff>19417</xdr:rowOff>
    </xdr:from>
    <xdr:to>
      <xdr:col>8</xdr:col>
      <xdr:colOff>30069</xdr:colOff>
      <xdr:row>16</xdr:row>
      <xdr:rowOff>121556</xdr:rowOff>
    </xdr:to>
    <xdr:pic>
      <xdr:nvPicPr>
        <xdr:cNvPr id="10" name="図 9">
          <a:extLst>
            <a:ext uri="{FF2B5EF4-FFF2-40B4-BE49-F238E27FC236}">
              <a16:creationId xmlns:a16="http://schemas.microsoft.com/office/drawing/2014/main" id="{2F77E02B-8910-4A45-8792-F2DA92435D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021906" y="2610217"/>
          <a:ext cx="2037363" cy="1245139"/>
        </a:xfrm>
        <a:prstGeom prst="rect">
          <a:avLst/>
        </a:prstGeom>
      </xdr:spPr>
    </xdr:pic>
    <xdr:clientData/>
  </xdr:twoCellAnchor>
  <xdr:twoCellAnchor>
    <xdr:from>
      <xdr:col>4</xdr:col>
      <xdr:colOff>161365</xdr:colOff>
      <xdr:row>13</xdr:row>
      <xdr:rowOff>53788</xdr:rowOff>
    </xdr:from>
    <xdr:to>
      <xdr:col>4</xdr:col>
      <xdr:colOff>645459</xdr:colOff>
      <xdr:row>14</xdr:row>
      <xdr:rowOff>62753</xdr:rowOff>
    </xdr:to>
    <xdr:sp macro="" textlink="">
      <xdr:nvSpPr>
        <xdr:cNvPr id="11" name="矢印: 右 10">
          <a:extLst>
            <a:ext uri="{FF2B5EF4-FFF2-40B4-BE49-F238E27FC236}">
              <a16:creationId xmlns:a16="http://schemas.microsoft.com/office/drawing/2014/main" id="{40D441EA-0384-4DC5-92CF-83D25785427B}"/>
            </a:ext>
          </a:extLst>
        </xdr:cNvPr>
        <xdr:cNvSpPr/>
      </xdr:nvSpPr>
      <xdr:spPr>
        <a:xfrm>
          <a:off x="2450540" y="3098613"/>
          <a:ext cx="480919" cy="24391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30479</xdr:colOff>
      <xdr:row>23</xdr:row>
      <xdr:rowOff>40638</xdr:rowOff>
    </xdr:from>
    <xdr:to>
      <xdr:col>19</xdr:col>
      <xdr:colOff>601569</xdr:colOff>
      <xdr:row>48</xdr:row>
      <xdr:rowOff>37041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3D00433-F61D-4B21-98D2-6D6232DDEF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7679" y="6517638"/>
          <a:ext cx="5527265" cy="6082878"/>
        </a:xfrm>
        <a:prstGeom prst="rect">
          <a:avLst/>
        </a:prstGeom>
        <a:ln w="25400">
          <a:solidFill>
            <a:srgbClr val="FFC000"/>
          </a:solidFill>
        </a:ln>
      </xdr:spPr>
    </xdr:pic>
    <xdr:clientData/>
  </xdr:twoCellAnchor>
  <xdr:twoCellAnchor editAs="oneCell">
    <xdr:from>
      <xdr:col>21</xdr:col>
      <xdr:colOff>30480</xdr:colOff>
      <xdr:row>23</xdr:row>
      <xdr:rowOff>30480</xdr:rowOff>
    </xdr:from>
    <xdr:to>
      <xdr:col>29</xdr:col>
      <xdr:colOff>545465</xdr:colOff>
      <xdr:row>48</xdr:row>
      <xdr:rowOff>12814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4513B24A-E506-4CC0-A199-689ABA7599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028930" y="6504305"/>
          <a:ext cx="5471160" cy="6068809"/>
        </a:xfrm>
        <a:prstGeom prst="rect">
          <a:avLst/>
        </a:prstGeom>
        <a:ln w="31750">
          <a:solidFill>
            <a:srgbClr val="FFC000"/>
          </a:solidFill>
        </a:ln>
      </xdr:spPr>
    </xdr:pic>
    <xdr:clientData/>
  </xdr:twoCellAnchor>
  <xdr:twoCellAnchor editAs="oneCell">
    <xdr:from>
      <xdr:col>1</xdr:col>
      <xdr:colOff>326576</xdr:colOff>
      <xdr:row>59</xdr:row>
      <xdr:rowOff>31974</xdr:rowOff>
    </xdr:from>
    <xdr:to>
      <xdr:col>7</xdr:col>
      <xdr:colOff>303456</xdr:colOff>
      <xdr:row>89</xdr:row>
      <xdr:rowOff>37779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35467138-32D9-44C0-8459-09A40AA691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701" y="15002099"/>
          <a:ext cx="3691630" cy="6628855"/>
        </a:xfrm>
        <a:prstGeom prst="rect">
          <a:avLst/>
        </a:prstGeom>
        <a:ln w="25400">
          <a:solidFill>
            <a:srgbClr val="FFC000"/>
          </a:solidFill>
        </a:ln>
      </xdr:spPr>
    </xdr:pic>
    <xdr:clientData/>
  </xdr:twoCellAnchor>
  <xdr:twoCellAnchor editAs="oneCell">
    <xdr:from>
      <xdr:col>10</xdr:col>
      <xdr:colOff>44927</xdr:colOff>
      <xdr:row>70</xdr:row>
      <xdr:rowOff>42422</xdr:rowOff>
    </xdr:from>
    <xdr:to>
      <xdr:col>18</xdr:col>
      <xdr:colOff>10045</xdr:colOff>
      <xdr:row>82</xdr:row>
      <xdr:rowOff>11428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D7B59D45-AC80-4088-8260-57D0E13D24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9352" y="17428722"/>
          <a:ext cx="4914943" cy="2620131"/>
        </a:xfrm>
        <a:prstGeom prst="rect">
          <a:avLst/>
        </a:prstGeom>
        <a:ln w="25400">
          <a:solidFill>
            <a:srgbClr val="FFC000"/>
          </a:solidFill>
        </a:ln>
      </xdr:spPr>
    </xdr:pic>
    <xdr:clientData/>
  </xdr:twoCellAnchor>
  <xdr:twoCellAnchor>
    <xdr:from>
      <xdr:col>12</xdr:col>
      <xdr:colOff>464894</xdr:colOff>
      <xdr:row>75</xdr:row>
      <xdr:rowOff>203146</xdr:rowOff>
    </xdr:from>
    <xdr:to>
      <xdr:col>15</xdr:col>
      <xdr:colOff>83414</xdr:colOff>
      <xdr:row>78</xdr:row>
      <xdr:rowOff>196086</xdr:rowOff>
    </xdr:to>
    <xdr:sp macro="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3417BF26-2D6A-49B7-8BD9-CCEF9384E831}"/>
            </a:ext>
          </a:extLst>
        </xdr:cNvPr>
        <xdr:cNvSpPr/>
      </xdr:nvSpPr>
      <xdr:spPr>
        <a:xfrm>
          <a:off x="7897569" y="18678471"/>
          <a:ext cx="1475895" cy="694615"/>
        </a:xfrm>
        <a:prstGeom prst="roundRect">
          <a:avLst/>
        </a:prstGeom>
        <a:noFill/>
        <a:ln w="38100">
          <a:solidFill>
            <a:srgbClr val="33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15</xdr:col>
      <xdr:colOff>191111</xdr:colOff>
      <xdr:row>75</xdr:row>
      <xdr:rowOff>187455</xdr:rowOff>
    </xdr:from>
    <xdr:to>
      <xdr:col>16</xdr:col>
      <xdr:colOff>282629</xdr:colOff>
      <xdr:row>78</xdr:row>
      <xdr:rowOff>173328</xdr:rowOff>
    </xdr:to>
    <xdr:pic>
      <xdr:nvPicPr>
        <xdr:cNvPr id="7" name="図 6">
          <a:extLst>
            <a:ext uri="{FF2B5EF4-FFF2-40B4-BE49-F238E27FC236}">
              <a16:creationId xmlns:a16="http://schemas.microsoft.com/office/drawing/2014/main" id="{BAFD0850-5B3D-4938-9386-0C7E1C8AA5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77986" y="18665955"/>
          <a:ext cx="710643" cy="6811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22</xdr:col>
      <xdr:colOff>91440</xdr:colOff>
      <xdr:row>40</xdr:row>
      <xdr:rowOff>254000</xdr:rowOff>
    </xdr:from>
    <xdr:to>
      <xdr:col>24</xdr:col>
      <xdr:colOff>142240</xdr:colOff>
      <xdr:row>47</xdr:row>
      <xdr:rowOff>81280</xdr:rowOff>
    </xdr:to>
    <xdr:sp macro="" textlink="">
      <xdr:nvSpPr>
        <xdr:cNvPr id="8" name="四角形: 角を丸くする 7">
          <a:extLst>
            <a:ext uri="{FF2B5EF4-FFF2-40B4-BE49-F238E27FC236}">
              <a16:creationId xmlns:a16="http://schemas.microsoft.com/office/drawing/2014/main" id="{C5683ED9-FD2B-496F-B758-028DE5D6CE98}"/>
            </a:ext>
          </a:extLst>
        </xdr:cNvPr>
        <xdr:cNvSpPr/>
      </xdr:nvSpPr>
      <xdr:spPr>
        <a:xfrm>
          <a:off x="13709015" y="10877550"/>
          <a:ext cx="1295400" cy="1551305"/>
        </a:xfrm>
        <a:prstGeom prst="round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284480</xdr:colOff>
      <xdr:row>27</xdr:row>
      <xdr:rowOff>203200</xdr:rowOff>
    </xdr:from>
    <xdr:to>
      <xdr:col>23</xdr:col>
      <xdr:colOff>518160</xdr:colOff>
      <xdr:row>29</xdr:row>
      <xdr:rowOff>193040</xdr:rowOff>
    </xdr:to>
    <xdr:sp macro="" textlink="">
      <xdr:nvSpPr>
        <xdr:cNvPr id="9" name="四角形: 角を丸くする 8">
          <a:extLst>
            <a:ext uri="{FF2B5EF4-FFF2-40B4-BE49-F238E27FC236}">
              <a16:creationId xmlns:a16="http://schemas.microsoft.com/office/drawing/2014/main" id="{7AD66EBA-88C9-4B6A-9282-529AFD52CDC3}"/>
            </a:ext>
          </a:extLst>
        </xdr:cNvPr>
        <xdr:cNvSpPr/>
      </xdr:nvSpPr>
      <xdr:spPr>
        <a:xfrm>
          <a:off x="13905230" y="7867650"/>
          <a:ext cx="855980" cy="535940"/>
        </a:xfrm>
        <a:prstGeom prst="round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9</xdr:col>
      <xdr:colOff>609600</xdr:colOff>
      <xdr:row>57</xdr:row>
      <xdr:rowOff>0</xdr:rowOff>
    </xdr:from>
    <xdr:to>
      <xdr:col>17</xdr:col>
      <xdr:colOff>50038</xdr:colOff>
      <xdr:row>64</xdr:row>
      <xdr:rowOff>125255</xdr:rowOff>
    </xdr:to>
    <xdr:pic>
      <xdr:nvPicPr>
        <xdr:cNvPr id="10" name="図 9">
          <a:extLst>
            <a:ext uri="{FF2B5EF4-FFF2-40B4-BE49-F238E27FC236}">
              <a16:creationId xmlns:a16="http://schemas.microsoft.com/office/drawing/2014/main" id="{DFE3308E-9E03-47FB-B69D-81AAF22B23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181725" y="14535150"/>
          <a:ext cx="4393438" cy="1655605"/>
        </a:xfrm>
        <a:prstGeom prst="rect">
          <a:avLst/>
        </a:prstGeom>
      </xdr:spPr>
    </xdr:pic>
    <xdr:clientData/>
  </xdr:twoCellAnchor>
  <xdr:twoCellAnchor editAs="oneCell">
    <xdr:from>
      <xdr:col>10</xdr:col>
      <xdr:colOff>223520</xdr:colOff>
      <xdr:row>61</xdr:row>
      <xdr:rowOff>121920</xdr:rowOff>
    </xdr:from>
    <xdr:to>
      <xdr:col>11</xdr:col>
      <xdr:colOff>448002</xdr:colOff>
      <xdr:row>64</xdr:row>
      <xdr:rowOff>53</xdr:rowOff>
    </xdr:to>
    <xdr:pic>
      <xdr:nvPicPr>
        <xdr:cNvPr id="11" name="図 10">
          <a:extLst>
            <a:ext uri="{FF2B5EF4-FFF2-40B4-BE49-F238E27FC236}">
              <a16:creationId xmlns:a16="http://schemas.microsoft.com/office/drawing/2014/main" id="{C15649E8-6AEF-4896-9BA2-5650561B2D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411595" y="15536545"/>
          <a:ext cx="846782" cy="532183"/>
        </a:xfrm>
        <a:prstGeom prst="rect">
          <a:avLst/>
        </a:prstGeom>
      </xdr:spPr>
    </xdr:pic>
    <xdr:clientData/>
  </xdr:twoCellAnchor>
  <xdr:twoCellAnchor editAs="oneCell">
    <xdr:from>
      <xdr:col>11</xdr:col>
      <xdr:colOff>528320</xdr:colOff>
      <xdr:row>58</xdr:row>
      <xdr:rowOff>193040</xdr:rowOff>
    </xdr:from>
    <xdr:to>
      <xdr:col>12</xdr:col>
      <xdr:colOff>502813</xdr:colOff>
      <xdr:row>62</xdr:row>
      <xdr:rowOff>80649</xdr:rowOff>
    </xdr:to>
    <xdr:pic>
      <xdr:nvPicPr>
        <xdr:cNvPr id="12" name="図 11">
          <a:extLst>
            <a:ext uri="{FF2B5EF4-FFF2-40B4-BE49-F238E27FC236}">
              <a16:creationId xmlns:a16="http://schemas.microsoft.com/office/drawing/2014/main" id="{A4EA82F9-7785-4AEA-AC9E-0C73ED49EBA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3053905" flipH="1">
          <a:off x="7335520" y="14947265"/>
          <a:ext cx="596793" cy="7670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294640</xdr:colOff>
      <xdr:row>27</xdr:row>
      <xdr:rowOff>162560</xdr:rowOff>
    </xdr:from>
    <xdr:to>
      <xdr:col>13</xdr:col>
      <xdr:colOff>561798</xdr:colOff>
      <xdr:row>29</xdr:row>
      <xdr:rowOff>191060</xdr:rowOff>
    </xdr:to>
    <xdr:pic>
      <xdr:nvPicPr>
        <xdr:cNvPr id="13" name="図 12">
          <a:extLst>
            <a:ext uri="{FF2B5EF4-FFF2-40B4-BE49-F238E27FC236}">
              <a16:creationId xmlns:a16="http://schemas.microsoft.com/office/drawing/2014/main" id="{FCAAEBA1-847D-49EB-A464-AA3FFF7DDA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7727315" y="7827010"/>
          <a:ext cx="883108" cy="574600"/>
        </a:xfrm>
        <a:prstGeom prst="rect">
          <a:avLst/>
        </a:prstGeom>
      </xdr:spPr>
    </xdr:pic>
    <xdr:clientData/>
  </xdr:twoCellAnchor>
  <xdr:twoCellAnchor editAs="oneCell">
    <xdr:from>
      <xdr:col>12</xdr:col>
      <xdr:colOff>101600</xdr:colOff>
      <xdr:row>41</xdr:row>
      <xdr:rowOff>30480</xdr:rowOff>
    </xdr:from>
    <xdr:to>
      <xdr:col>14</xdr:col>
      <xdr:colOff>181852</xdr:colOff>
      <xdr:row>47</xdr:row>
      <xdr:rowOff>107199</xdr:rowOff>
    </xdr:to>
    <xdr:pic>
      <xdr:nvPicPr>
        <xdr:cNvPr id="14" name="図 13">
          <a:extLst>
            <a:ext uri="{FF2B5EF4-FFF2-40B4-BE49-F238E27FC236}">
              <a16:creationId xmlns:a16="http://schemas.microsoft.com/office/drawing/2014/main" id="{64AC7474-8C66-41A5-BADE-797FA883AF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7534275" y="10914380"/>
          <a:ext cx="1315327" cy="1534044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lcharuka/Downloads/Tool_Routine%20Board%20(5)(&#33258;&#21205;&#22238;&#24489;&#28168;&#12415;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outine Board（-1）"/>
      <sheetName val="SOP"/>
      <sheetName val="Routine Board"/>
      <sheetName val="Sheet1"/>
      <sheetName val="Duplo"/>
      <sheetName val="Large, MiniDS LINK"/>
      <sheetName val="Shinka LINK"/>
      <sheetName val="SIM SOP"/>
      <sheetName val="SIM Link"/>
      <sheetName val="DS I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">
          <cell r="B1" t="str">
            <v>Node</v>
          </cell>
          <cell r="D1" t="str">
            <v>CORTEX</v>
          </cell>
        </row>
        <row r="2">
          <cell r="B2" t="str">
            <v>DAI1</v>
          </cell>
          <cell r="C2" t="str">
            <v>b3a55f49-bb47-4ea3-b862-15573f001cb2</v>
          </cell>
          <cell r="D2" t="str">
            <v>https://logistics.amazon.co.jp/internal/operations/execution/itineraries?operationView=true&amp;provider=ALL_DRIVERS&amp;selectedDay=2024-06-14&amp;serviceAreaId=b3a55f49-bb47-4ea3-b862-15573f001cb2</v>
          </cell>
        </row>
        <row r="3">
          <cell r="B3" t="str">
            <v>ONGA</v>
          </cell>
          <cell r="C3" t="str">
            <v>307ef0d7-3147-456c-b184-34e8e5ffa7ae</v>
          </cell>
          <cell r="D3" t="str">
            <v>https://logistics.amazon.co.jp/internal/operations/execution/itineraries?operationView=true&amp;provider=ALL_DRIVERS&amp;selectedDay=2024-06-14&amp;serviceAreaId=307ef0d7-3147-456c-b184-34e8e5ffa7ae</v>
          </cell>
        </row>
        <row r="4">
          <cell r="B4" t="str">
            <v>ONGD</v>
          </cell>
          <cell r="C4" t="str">
            <v>3cf5af5a-d6f7-4318-b2d4-86861d0b72ac</v>
          </cell>
          <cell r="D4" t="str">
            <v>https://logistics.amazon.co.jp/internal/operations/execution/itineraries?operationView=true&amp;provider=ALL_DRIVERS&amp;selectedDay=2024-06-14&amp;serviceAreaId=3cf5af5a-d6f7-4318-b2d4-86861d0b72ac</v>
          </cell>
        </row>
        <row r="5">
          <cell r="B5" t="str">
            <v>OCJ5</v>
          </cell>
          <cell r="C5" t="str">
            <v>4891c74e-bc70-4055-8987-04846dd94bd7</v>
          </cell>
          <cell r="D5" t="str">
            <v>https://logistics.amazon.co.jp/internal/operations/execution/itineraries?operationView=true&amp;provider=ALL_DRIVERS&amp;selectedDay=2024-06-14&amp;serviceAreaId=4891c74e-bc70-4055-8987-04846dd94bd7</v>
          </cell>
        </row>
        <row r="6">
          <cell r="B6" t="str">
            <v>DAI2</v>
          </cell>
          <cell r="C6" t="str">
            <v>9807b9f9-5b4a-4feb-b5da-f36daff053a6</v>
          </cell>
          <cell r="D6" t="str">
            <v>https://logistics.amazon.co.jp/operations/execution/itineraries?operationView=true&amp;providerFilter=ALL_DSPS&amp;selectedDay=2022-08-30&amp;serviceAreaId=9807b9f9-5b4a-4feb-b5da-f36daff053a6</v>
          </cell>
        </row>
        <row r="7">
          <cell r="B7" t="str">
            <v>ONGC</v>
          </cell>
          <cell r="C7" t="str">
            <v>2d6c9f1c-4728-4805-b823-e8c16b071503</v>
          </cell>
          <cell r="D7" t="str">
            <v>https://logistics.amazon.co.jp/operations/execution/itineraries?operationView=true&amp;providerFilter=UNASSIGNED&amp;routesFilter=InProgress&amp;selectedDay=2022-10-18&amp;serviceAreaId=2d6c9f1c-4728-4805-b823-e8c16b071503</v>
          </cell>
        </row>
        <row r="8">
          <cell r="B8" t="str">
            <v>ONG9</v>
          </cell>
          <cell r="C8" t="str">
            <v>038dcaef-f4c2-4a75-8372-ef4a46803b89</v>
          </cell>
          <cell r="D8" t="str">
            <v>https://logistics.amazon.co.jp/internal/operations/execution/itineraries?operationView=true&amp;provider=ALL_DRIVERS&amp;selectedDay=2024-06-14&amp;serviceAreaId=038dcaef-f4c2-4a75-8372-ef4a46803b89</v>
          </cell>
        </row>
        <row r="9">
          <cell r="B9" t="str">
            <v>DEJ1</v>
          </cell>
          <cell r="C9" t="str">
            <v>12dff135-eddb-4dea-af32-c2c336f0dd1f</v>
          </cell>
          <cell r="D9" t="str">
            <v>https://logistics.amazon.co.jp/operations/execution/itineraries?operationView=true&amp;providerFilter=ALL_DRIVERS&amp;serviceAreaId=12dff135-eddb-4dea-af32-c2c336f0dd1f</v>
          </cell>
        </row>
        <row r="10">
          <cell r="B10" t="str">
            <v>OTKN</v>
          </cell>
          <cell r="C10" t="str">
            <v>efbcb1d1-04c8-4ebf-ac90-da0c0c4aa92a</v>
          </cell>
          <cell r="D10" t="str">
            <v>https://logistics.amazon.co.jp/internal/operations/execution/itineraries?operationView=true&amp;provider=ALL_DRIVERS&amp;selectedDay=2024-06-14&amp;serviceAreaId=efbcb1d1-04c8-4ebf-ac90-da0c0c4aa92a</v>
          </cell>
        </row>
        <row r="11">
          <cell r="B11" t="str">
            <v>PTKL</v>
          </cell>
          <cell r="C11" t="str">
            <v>1f34e182-43ae-420b-9b98-bebdfd7904bb</v>
          </cell>
          <cell r="D11" t="str">
            <v>https://logistics.amazon.co.jp/operations/execution/itineraries?cortexv2=true&amp;operationView=true&amp;progressStatusFilterValue&amp;providerFilter=ALL_DPS&amp;selectedDay=2024-05-29&amp;serviceAreaId=1f34e182-43ae-420b-9b98-bebdfd7904bb</v>
          </cell>
        </row>
        <row r="12">
          <cell r="B12" t="str">
            <v>DEJ2</v>
          </cell>
          <cell r="C12" t="str">
            <v>098c0bcc-fc72-4759-afff-ce288fc5bd75</v>
          </cell>
          <cell r="D12" t="str">
            <v>https://logistics.amazon.co.jp/internal/operations/execution/itineraries?operationView=true&amp;provider=ALL_DRIVERS&amp;selectedDay=2024-06-14&amp;serviceAreaId=098c0bcc-fc72-4759-afff-ce288fc5bd75</v>
          </cell>
        </row>
        <row r="13">
          <cell r="B13" t="str">
            <v>OEJ4</v>
          </cell>
          <cell r="C13" t="str">
            <v>41ac8f29-38de-41aa-96d7-e4dd81e7ee18</v>
          </cell>
          <cell r="D13" t="str">
            <v>https://logistics.amazon.co.jp/internal/operations/execution/itineraries?operationView=true&amp;provider=ALL_DRIVERS&amp;selectedDay=2024-06-14&amp;serviceAreaId=41ac8f29-38de-41aa-96d7-e4dd81e7ee18</v>
          </cell>
        </row>
        <row r="14">
          <cell r="B14" t="str">
            <v>OEJ9</v>
          </cell>
          <cell r="C14" t="str">
            <v>f731fad6-9a80-4505-90aa-ff64f465201f</v>
          </cell>
          <cell r="D14" t="str">
            <v>https://logistics.amazon.co.jp/internal/operations/execution/itineraries?operationView=true&amp;provider=ALL_DRIVERS&amp;selectedDay=2024-06-14&amp;serviceAreaId=f731fad6-9a80-4505-90aa-ff64f465201f</v>
          </cell>
        </row>
        <row r="15">
          <cell r="B15" t="str">
            <v>OEJS</v>
          </cell>
          <cell r="C15" t="str">
            <v>e08194d9-3b20-4e8d-9ac4-fb2ee67774f8</v>
          </cell>
          <cell r="D15" t="str">
            <v>https://logistics.amazon.co.jp/internal/operations/execution/itineraries?operationView=true&amp;provider=ALL_DRIVERS&amp;selectedDay=2024-06-14&amp;serviceAreaId=e08194d9-3b20-4e8d-9ac4-fb2ee67774f8</v>
          </cell>
        </row>
        <row r="16">
          <cell r="B16" t="str">
            <v>DEJ3</v>
          </cell>
          <cell r="C16" t="str">
            <v>87d1b9f0-9baf-468e-8c29-5082739a84b4</v>
          </cell>
          <cell r="D16" t="str">
            <v>https://logistics.amazon.co.jp/internal/operations/execution/itineraries?operationView=true&amp;provider=ALL_DRIVERS&amp;selectedDay=2024-06-14&amp;serviceAreaId=87d1b9f0-9baf-468e-8c29-5082739a84b4</v>
          </cell>
        </row>
        <row r="17">
          <cell r="B17" t="str">
            <v>OEJE</v>
          </cell>
          <cell r="C17" t="str">
            <v>1068b140-7b4c-43e3-b2c8-a5e5e22c7697</v>
          </cell>
          <cell r="D17" t="str">
            <v>https://logistics.amazon.co.jp/operations/execution/routes?InProgress=ALL&amp;providerFilter=UNASSIGNED&amp;routesFilter&amp;=ALL&amp;serviceAreaId=1068b140-7b4c-43e3-b2c8-a5e5e22c7697</v>
          </cell>
        </row>
        <row r="18">
          <cell r="B18" t="str">
            <v>DEJ4</v>
          </cell>
          <cell r="C18" t="str">
            <v>c602037f-bc42-4022-a6c4-3a9726d28b8c</v>
          </cell>
          <cell r="D18" t="str">
            <v>https://logistics.amazon.co.jp/internal/operations/execution/itineraries?operationView=true&amp;provider=ALL_DRIVERS&amp;selectedDay=2024-06-14&amp;serviceAreaId=c602037f-bc42-4022-a6c4-3a9726d28b8c</v>
          </cell>
        </row>
        <row r="19">
          <cell r="B19" t="str">
            <v>PTK7</v>
          </cell>
          <cell r="C19" t="str">
            <v>2593cc94-3b8f-494c-acb2-ae101a5367c4</v>
          </cell>
          <cell r="D19" t="str">
            <v>https://logistics.amazon.co.jp/internal/operations/execution/itineraries?operationView=true&amp;provider=ALL_DRIVERS&amp;selectedDay=2024-06-14&amp;serviceAreaId=2593cc94-3b8f-494c-acb2-ae101a5367c4</v>
          </cell>
        </row>
        <row r="20">
          <cell r="B20" t="str">
            <v>PEJ8</v>
          </cell>
          <cell r="C20" t="str">
            <v>35dd3fdb-e7c5-4fae-918d-1fcbd3ac43de</v>
          </cell>
          <cell r="D20" t="str">
            <v>https://logistics.amazon.co.jp/operations/execution/routes?providerFilter=UNASSIGNED&amp;selectedDay=2023-06-14&amp;serviceAreaId=35dd3fdb-e7c5-4fae-918d-1fcbd3ac43de</v>
          </cell>
        </row>
        <row r="21">
          <cell r="B21" t="str">
            <v>DEJ5</v>
          </cell>
          <cell r="C21" t="str">
            <v>ca982ae8-45ca-4735-b439-c29bd2b9bd21</v>
          </cell>
          <cell r="D21" t="str">
            <v>https://logistics.amazon.co.jp/operations/execution/routes?providerFilter=UNASSIGNED&amp;selectedDay=2022-03-18&amp;serviceAreaId=ca982ae8-45ca-4735-b439-c29bd2b9bd21</v>
          </cell>
        </row>
        <row r="22">
          <cell r="B22" t="str">
            <v>OEJP</v>
          </cell>
          <cell r="C22" t="str">
            <v>2dcfcdc5-5269-4c94-a4af-115c9b8ac930</v>
          </cell>
          <cell r="D22" t="str">
            <v>https://logistics.amazon.co.jp/operations/execution/routes?providerFilter=UNASSIGNED&amp;selectedDay=2022-03-24&amp;serviceAreaId=2dcfcdc5-5269-4c94-a4af-115c9b8ac930</v>
          </cell>
        </row>
        <row r="23">
          <cell r="B23" t="str">
            <v>OEJO</v>
          </cell>
          <cell r="C23" t="str">
            <v>5b6dc7ea-e6a4-4595-b306-9699a01e5cca</v>
          </cell>
          <cell r="D23" t="str">
            <v>https://logistics.amazon.co.jp/operations/execution/routes?providerFilter=UNASSIGNED&amp;routesFilter=&amp;selectedDay=2022-04-12&amp;serviceAreaId=5b6dc7ea-e6a4-4595-b306-9699a01e5cca</v>
          </cell>
        </row>
        <row r="24">
          <cell r="B24" t="str">
            <v>DEJ6</v>
          </cell>
          <cell r="C24" t="str">
            <v>ba14f694-ccfd-465f-81cc-94533ea1ca4e</v>
          </cell>
          <cell r="D24" t="str">
            <v>https://logistics.amazon.co.jp/operations/execution/itineraries?operationView=true&amp;providerFilter=UNASSIGNED&amp;routesFilter=InProgress&amp;selectedDay=2022-07-07&amp;serviceAreaId=ba14f694-ccfd-465f-81cc-94533ea1ca4e</v>
          </cell>
        </row>
        <row r="25">
          <cell r="B25" t="str">
            <v>PTK5</v>
          </cell>
          <cell r="C25" t="str">
            <v>617650a0-6cbd-4da5-b803-caa7f9e651b4</v>
          </cell>
          <cell r="D25" t="str">
            <v>https://logistics.amazon.co.jp/operations/execution/routes?providerFilter=UNASSIGNED&amp;routesFilter=&amp;selectedDay=2021-11-01&amp;serviceAreaId=617650a0-6cbd-4da5-b803-caa7f9e651b4</v>
          </cell>
        </row>
        <row r="26">
          <cell r="B26" t="str">
            <v>DEJ7</v>
          </cell>
          <cell r="C26" t="str">
            <v>2b96ce36-baba-4be3-9708-0103b5055907</v>
          </cell>
          <cell r="D26" t="str">
            <v>https://logistics.amazon.co.jp/internal/operations/execution/itineraries?operationView=true&amp;provider=ALL_DRIVERS&amp;selectedDay=2024-06-14&amp;serviceAreaId=2b96ce36-baba-4be3-9708-0103b5055907</v>
          </cell>
        </row>
        <row r="27">
          <cell r="B27" t="str">
            <v>OEJM</v>
          </cell>
          <cell r="C27" t="str">
            <v>90ca5176-693a-4603-903d-4436f38cc663</v>
          </cell>
          <cell r="D27" t="str">
            <v>https://logistics.amazon.co.jp/operations/execution/routes?InProgress=ALL&amp;providerFilter=UNASSIGNED&amp;routesFilter&amp;=ALL&amp;serviceAreaId=90ca5176-693a-4603-903d-4436f38cc663</v>
          </cell>
        </row>
        <row r="28">
          <cell r="B28" t="str">
            <v>OEJY</v>
          </cell>
          <cell r="C28" t="str">
            <v>870fe0c6-5011-4f4b-ba28-cd71b44cca17</v>
          </cell>
          <cell r="D28" t="str">
            <v>https://logistics.amazon.co.jp/operations/execution/routes?providerFilter=UNASSIGNED&amp;routesFilter=InProgress&amp;selectedDay=2022-09-27&amp;serviceAreaId=870fe0c6-5011-4f4b-ba28-cd71b44cca17</v>
          </cell>
        </row>
        <row r="29">
          <cell r="B29" t="str">
            <v>PTKW</v>
          </cell>
          <cell r="C29" t="str">
            <v>a08d35cf-4369-4bd1-94e7-e953c06ea066</v>
          </cell>
          <cell r="D29" t="str">
            <v>https://logistics.amazon.co.jp/internal/operations/execution/itineraries?operationView=true&amp;provider=ALL_DRIVERS&amp;selectedDay=2024-08-27&amp;serviceAreaId=a08d35cf-4369-4bd1-94e7-e953c06ea066</v>
          </cell>
        </row>
        <row r="30">
          <cell r="B30" t="str">
            <v>DEJ8</v>
          </cell>
          <cell r="C30" t="str">
            <v>0cb2d63a-fea4-4267-9e74-c4317bdbdfb3</v>
          </cell>
          <cell r="D30" t="str">
            <v>https://logistics.amazon.co.jp/operations/execution/routes?InProgress=ALL&amp;providerFilter=UNASSIGNED&amp;routesFilter&amp;=ALL&amp;serviceAreaId=0cb2d63a-fea4-4267-9e74-c4317bdbdfb3</v>
          </cell>
        </row>
        <row r="31">
          <cell r="B31" t="str">
            <v>PEJ4</v>
          </cell>
          <cell r="C31" t="str">
            <v>a3c360cc-ce30-48cc-9744-73071d9c39f8</v>
          </cell>
          <cell r="D31" t="str">
            <v>https://logistics.amazon.co.jp/internal/operations/execution/itineraries?operationView=true&amp;provider=ALL_DRIVERS&amp;selectedDay=2024-06-14&amp;serviceAreaId=a3c360cc-ce30-48cc-9744-73071d9c39f8</v>
          </cell>
        </row>
        <row r="32">
          <cell r="B32" t="str">
            <v>PEJ1</v>
          </cell>
          <cell r="C32" t="str">
            <v>468c4eaf-f67e-4aef-b164-117cd4be1d6a</v>
          </cell>
          <cell r="D32" t="str">
            <v>https://logistics.amazon.co.jp/operations/execution/itineraries?operationView=true&amp;providerFilter=UNASSIGNED&amp;routesFilter=InProgress&amp;selectedDay=2022-10-18&amp;serviceAreaId=468c4eaf-f67e-4aef-b164-117cd4be1d6a</v>
          </cell>
        </row>
        <row r="33">
          <cell r="B33" t="str">
            <v>PEJ5</v>
          </cell>
          <cell r="C33" t="str">
            <v>4a435088-5ac4-4018-ac82-7e01f9c57197</v>
          </cell>
          <cell r="D33" t="str">
            <v>https://logistics.amazon.co.jp/operations/execution/itineraries?operationView=true&amp;providerFilter=UNASSIGNED&amp;routesFilter=InProgress&amp;selectedDay=2022-10-25&amp;serviceAreaId=4a435088-5ac4-4018-ac82-7e01f9c57197</v>
          </cell>
        </row>
        <row r="34">
          <cell r="B34" t="str">
            <v>PEJ2</v>
          </cell>
          <cell r="C34" t="str">
            <v>93bdf769-7057-4d56-8dfa-2b69864c04a6</v>
          </cell>
          <cell r="D34" t="str">
            <v>https://logistics.amazon.co.jp/operations/execution/itineraries?operationView=true&amp;providerFilter=UNASSIGNED&amp;routesFilter=InProgress&amp;selectedDay=2022-11-01&amp;serviceAreaId=93bdf769-7057-4d56-8dfa-2b69864c04a6</v>
          </cell>
        </row>
        <row r="35">
          <cell r="B35" t="str">
            <v>PEJ3</v>
          </cell>
          <cell r="C35" t="str">
            <v>2eb5db5e-778f-49ec-a51a-db12c195ea90</v>
          </cell>
          <cell r="D35" t="str">
            <v>https://logistics.amazon.co.jp/operations/execution/itineraries?operationView=true&amp;selectedDay=2022-11-09&amp;serviceAreaId=2eb5db5e-778f-49ec-a51a-db12c195ea90</v>
          </cell>
        </row>
        <row r="36">
          <cell r="B36" t="str">
            <v>DEJ9</v>
          </cell>
          <cell r="C36" t="str">
            <v>6c267ad3-0201-4bf6-8905-9d3c1bf736b1</v>
          </cell>
          <cell r="D36" t="str">
            <v>https://logistics.amazon.co.jp/operations/execution/routes?providerFilter=UNASSIGNED&amp;routeTypeFilter=ALL&amp;selectedDay=2022-07-21&amp;serviceAreaId=6c267ad3-0201-4bf6-8905-9d3c1bf736b1</v>
          </cell>
        </row>
        <row r="37">
          <cell r="B37" t="str">
            <v>OEJW</v>
          </cell>
          <cell r="C37" t="str">
            <v>359ad6d6-5319-420e-839f-a892c1eef9a7</v>
          </cell>
          <cell r="D37" t="str">
            <v>https://logistics.amazon.co.jp/operations/execution/routes?providerFilter=UNASSIGNED&amp;routeTypeFilter=ALL&amp;selectedDay=2022-07-21&amp;serviceAreaId=359ad6d6-5319-420e-839f-a892c1eef9a7</v>
          </cell>
        </row>
        <row r="38">
          <cell r="B38" t="str">
            <v>OEJT</v>
          </cell>
          <cell r="C38" t="str">
            <v>ff067663-3d95-4fdc-b6f6-1ada214a837e</v>
          </cell>
          <cell r="D38" t="str">
            <v>https://logistics.amazon.co.jp/operations/execution/routes?providerFilter=UNASSIGNED&amp;routeTypeFilter=ALL&amp;selectedDay=2022-07-21&amp;serviceAreaId=ff067663-3d95-4fdc-b6f6-1ada214a837e</v>
          </cell>
        </row>
        <row r="39">
          <cell r="B39" t="str">
            <v>OEJX</v>
          </cell>
          <cell r="C39" t="str">
            <v>6a99db6d-34fb-4cae-b22e-d0a24df9269c</v>
          </cell>
          <cell r="D39" t="str">
            <v>https://logistics.amazon.co.jp/operations/execution/routes?providerFilter=UNASSIGNED&amp;routeTypeFilter=ALL&amp;selectedDay=2022-07-21&amp;serviceAreaId=6a99db6d-34fb-4cae-b22e-d0a24df9269c</v>
          </cell>
        </row>
        <row r="40">
          <cell r="B40" t="str">
            <v>OEJU</v>
          </cell>
          <cell r="C40" t="str">
            <v>a0439440-f1d8-47a8-bfa1-f28ca7e1189c</v>
          </cell>
          <cell r="D40" t="str">
            <v>https://logistics.amazon.co.jp/operations/execution/routes?providerFilter=UNASSIGNED&amp;routeTypeFilter=ALL&amp;selectedDay=2022-07-21&amp;serviceAreaId=a0439440-f1d8-47a8-bfa1-f28ca7e1189c</v>
          </cell>
        </row>
        <row r="41">
          <cell r="B41" t="str">
            <v>DFK1</v>
          </cell>
          <cell r="C41" t="str">
            <v>4a2b115e-34d3-4836-b841-049a67247e59</v>
          </cell>
          <cell r="D41" t="str">
            <v>https://logistics.amazon.co.jp/internal/operations/execution/itineraries?operationView=true&amp;provider=ALL_DRIVERS&amp;selectedDay=2024-06-14&amp;serviceAreaId=4a2b115e-34d3-4836-b841-049a67247e59</v>
          </cell>
        </row>
        <row r="42">
          <cell r="B42" t="str">
            <v>OFK1</v>
          </cell>
          <cell r="C42" t="str">
            <v>1dac55ac-4242-45b2-8249-81db8278fd78</v>
          </cell>
          <cell r="D42" t="str">
            <v>https://logistics.amazon.co.jp/operations/execution/itineraries?operationView=true&amp;providerFilter=UNASSIGNED&amp;routesFilter=mx3&amp;selectedDay=2023-01-24&amp;serviceAreaId=1dac55ac-4242-45b2-8249-81db8278fd78</v>
          </cell>
        </row>
        <row r="43">
          <cell r="B43" t="str">
            <v>DFK2</v>
          </cell>
          <cell r="C43" t="str">
            <v>fd1ee245-da92-4c42-a06a-8fdcdf16e3a8</v>
          </cell>
          <cell r="D43" t="str">
            <v>https://logistics.amazon.co.jp/operations/execution/itineraries?operationView=true&amp;providerFilter=InProgress&amp;selectedDay=2023-09-14&amp;serviceAreaId=fd1ee245-da92-4c42-a06a-8fdcdf16e3a8</v>
          </cell>
        </row>
        <row r="44">
          <cell r="B44" t="str">
            <v>OFK3</v>
          </cell>
          <cell r="C44" t="str">
            <v>4b1373ef-71d3-4239-98e1-4d7fafc93877</v>
          </cell>
          <cell r="D44" t="str">
            <v>https://logistics.amazon.co.jp/operations/execution/itineraries?operationView=true&amp;providerFilter=ALL_DSPS&amp;selectedDay=2024-02-13&amp;serviceAreaId=4b1373ef-71d3-4239-98e1-4d7fafc93877</v>
          </cell>
        </row>
        <row r="45">
          <cell r="B45" t="str">
            <v>OFK4</v>
          </cell>
          <cell r="C45" t="str">
            <v>cd5dcc48-6dba-409e-9173-5405dcd56c1f</v>
          </cell>
          <cell r="D45" t="str">
            <v>https://logistics.amazon.co.jp/operations/execution/itineraries?operationView=true&amp;providerFilter=UNASSIGNED&amp;routesFilter=InProgress&amp;selectedDay=2023-09-14&amp;serviceAreaId=cd5dcc48-6dba-409e-9173-5405dcd56c1f</v>
          </cell>
        </row>
        <row r="46">
          <cell r="B46" t="str">
            <v>OFK5</v>
          </cell>
          <cell r="C46" t="str">
            <v>41cf3aa7-3445-4991-bfad-901aefb5ac2e</v>
          </cell>
          <cell r="D46" t="str">
            <v>https://logistics.amazon.co.jp/operations/execution/itineraries?operationView=true&amp;providerFilter=UNASSIGNED&amp;routesFilter=InProgress&amp;selectedDay=2023-09-14&amp;serviceAreaId=41cf3aa7-3445-4991-bfad-901aefb5ac2e</v>
          </cell>
        </row>
        <row r="47">
          <cell r="B47" t="str">
            <v>OFK6</v>
          </cell>
          <cell r="C47" t="str">
            <v>3097c9ab-3a0b-481e-af9e-cb26b58f3975</v>
          </cell>
          <cell r="D47" t="str">
            <v>https://logistics.amazon.co.jp/operations/execution/itineraries?operationView=true&amp;providerFilter=UNASSIGNED&amp;routesFilter=InProgress&amp;selectedDay=2023-09-14&amp;serviceAreaId=3097c9ab-3a0b-481e-af9e-cb26b58f3975</v>
          </cell>
        </row>
        <row r="48">
          <cell r="B48" t="str">
            <v>OFK7</v>
          </cell>
          <cell r="C48" t="str">
            <v>241fed0e-ec48-4c01-9a62-885a76306f49</v>
          </cell>
          <cell r="D48" t="str">
            <v>https://logistics.amazon.co.jp/operations/execution/itineraries?cortexv2=true&amp;operationView=true&amp;progressStatusFilterValue&amp;providerFilter=ALL_DPS&amp;selectedDay=2024-06-11&amp;serviceAreaId=241fed0e-ec48-4c01-9a62-885a76306f49</v>
          </cell>
        </row>
        <row r="49">
          <cell r="B49" t="str">
            <v>DFK4</v>
          </cell>
          <cell r="C49" t="str">
            <v>cfcc42ac-afb0-4d8b-b3d3-3f394256a1b9</v>
          </cell>
          <cell r="D49" t="str">
            <v>https://logistics.amazon.co.jp/operations/execution/routes?operationView=true&amp;providerFilter=InProgress&amp;serviceAreaId=cfcc42ac-afb0-4d8b-b3d3-3f394256a1b9</v>
          </cell>
        </row>
        <row r="50">
          <cell r="B50" t="str">
            <v>DHK1</v>
          </cell>
          <cell r="C50" t="str">
            <v>f1e542dd-2abf-44c9-927e-56c9a17bd6f1</v>
          </cell>
          <cell r="D50" t="str">
            <v>https://logistics.amazon.co.jp/internal/operations/execution/itineraries?operationView=true&amp;provider=ALL_DRIVERS&amp;selectedDay=2024-06-14&amp;serviceAreaId=f1e542dd-2abf-44c9-927e-56c9a17bd6f1</v>
          </cell>
        </row>
        <row r="51">
          <cell r="B51" t="str">
            <v>OHK1</v>
          </cell>
          <cell r="C51" t="str">
            <v>3baba50d-9d9c-44a0-8adb-4667c6f2439b</v>
          </cell>
          <cell r="D51" t="str">
            <v>https://logistics.amazon.co.jp/operations/execution/routes?providerFilter=UNASSIGNED&amp;routesFilter==InProgress&amp;selectedDay=2022-01-18&amp;serviceAreaId=3baba50d-9d9c-44a0-8adb-4667c6f2439b</v>
          </cell>
        </row>
        <row r="52">
          <cell r="B52" t="str">
            <v>OHK2</v>
          </cell>
          <cell r="C52" t="str">
            <v>79aa660b-2101-47e4-89cb-a636dcaf81ff</v>
          </cell>
          <cell r="D52" t="str">
            <v>https://logistics.amazon.co.jp/internal/operations/execution/itineraries?operationView=true&amp;provider=ALL_DRIVERS&amp;selectedDay=2024-06-14&amp;serviceAreaId=79aa660b-2101-47e4-89cb-a636dcaf81ff</v>
          </cell>
        </row>
        <row r="53">
          <cell r="B53" t="str">
            <v>OSP4</v>
          </cell>
          <cell r="C53" t="str">
            <v>e4302272-74c7-4086-aecc-812660ffcafb</v>
          </cell>
          <cell r="D53" t="str">
            <v>https://logistics.amazon.co.jp/operations/execution/itineraries?operationView=true&amp;providerFilter=UNASSIGNED&amp;routesFilter=InProgress&amp;selectedDay=2022-11-01&amp;serviceAreaId=e4302272-74c7-4086-aecc-812660ffcafb</v>
          </cell>
        </row>
        <row r="54">
          <cell r="B54" t="str">
            <v>DHR1</v>
          </cell>
          <cell r="C54" t="str">
            <v>9c92f3b3-b26d-437e-bb2f-0bc59d516930</v>
          </cell>
          <cell r="D54" t="str">
            <v>https://logistics.amazon.co.jp/internal/operations/execution/itineraries?operationView=true&amp;provider=ALL_DRIVERS&amp;selectedDay=2024-06-14&amp;serviceAreaId=9c92f3b3-b26d-437e-bb2f-0bc59d516930</v>
          </cell>
        </row>
        <row r="55">
          <cell r="B55" t="str">
            <v>OHR4</v>
          </cell>
          <cell r="C55" t="str">
            <v>f87fbb74-526a-4bd4-8752-208dd9d22edb</v>
          </cell>
          <cell r="D55" t="str">
            <v>https://logistics.amazon.co.jp/operations/execution/routes?providerFilter=ALL_DSPS&amp;routesFilter=&amp;selectedDay=2022-05-30&amp;serviceAreaId=f87fbb74-526a-4bd4-8752-208dd9d22edb</v>
          </cell>
        </row>
        <row r="56">
          <cell r="B56" t="str">
            <v>OHR5</v>
          </cell>
          <cell r="C56" t="str">
            <v>9d843565-9ed4-4ad5-9937-351ab940f21e</v>
          </cell>
          <cell r="D56" t="str">
            <v>https://logistics.amazon.co.jp/internal/operations/execution/itineraries?operationView=true&amp;provider=ALL_DRIVERS&amp;selectedDay=2024-06-14&amp;serviceAreaId=9d843565-9ed4-4ad5-9937-351ab940f21e</v>
          </cell>
        </row>
        <row r="57">
          <cell r="B57" t="str">
            <v>OHR6</v>
          </cell>
          <cell r="C57" t="str">
            <v>0ef37ed0-1931-4211-80c2-dbf1da80752a</v>
          </cell>
          <cell r="D57" t="str">
            <v>https://logistics.amazon.co.jp/operations/execution/routes?providerFilter=UNASSIGNED&amp;routesFilter=InProgress&amp;selectedDay=2022-09-27&amp;serviceAreaId=0ef37ed0-1931-4211-80c2-dbf1da80752a</v>
          </cell>
        </row>
        <row r="58">
          <cell r="B58" t="str">
            <v>OHR7</v>
          </cell>
          <cell r="C58" t="str">
            <v>e87e511d-7322-4c98-9696-d87625272033</v>
          </cell>
          <cell r="D58" t="str">
            <v>https://logistics.amazon.co.jp/operations/execution/itineraries?cortexv2=true&amp;operationView=true&amp;progressStatusFilterValue&amp;providerFilter=ALL_DPS&amp;selectedDay=2023-09-19&amp;serviceAreaId=e87e511d-7322-4c98-9696-d87625272033</v>
          </cell>
        </row>
        <row r="59">
          <cell r="B59" t="str">
            <v>DKJ1</v>
          </cell>
          <cell r="C59" t="str">
            <v>b05651e7-a12f-4469-9479-163ebb25779e</v>
          </cell>
          <cell r="D59" t="str">
            <v>https://logistics.amazon.co.jp/internal/operations/execution/itineraries?selectedDay=2024-08-21&amp;serviceAreaId=b05651e7-a12f-4469-9479-163ebb25779e</v>
          </cell>
        </row>
        <row r="60">
          <cell r="B60" t="str">
            <v>DKJ4</v>
          </cell>
          <cell r="C60" t="str">
            <v>6b95cc4c-9689-4369-b821-ed1cbd66adf2</v>
          </cell>
          <cell r="D60" t="str">
            <v>https://logistics.amazon.co.jp/operations/execution/itineraries?operationView=true&amp;providerFilter=UNASSIGNED&amp;routesFilter=InProgress&amp;selectedDay=2023-03-21&amp;serviceAreaId=6b95cc4c-9689-4369-b821-ed1cbd66adf2</v>
          </cell>
        </row>
        <row r="61">
          <cell r="B61" t="str">
            <v>PEJ7</v>
          </cell>
          <cell r="C61" t="str">
            <v>c667b799-492d-4600-8a15-45495d62d097</v>
          </cell>
          <cell r="D61" t="str">
            <v>https://logistics.amazon.co.jp/operations/execution/itineraries?operationView=true&amp;selectedDay=2023-03-28&amp;serviceAreaId=c667b799-492d-4600-8a15-45495d62d097</v>
          </cell>
        </row>
        <row r="62">
          <cell r="B62" t="str">
            <v>PEJA</v>
          </cell>
          <cell r="C62" t="str">
            <v>2fcbfe03-ffa5-4ef0-bbd7-19241c14776a</v>
          </cell>
          <cell r="D62" t="str">
            <v>https://logistics.amazon.co.jp/internal/operations/execution/itineraries?operationView=true&amp;provider=ALL_DRIVERS&amp;selectedDay=2024-08-23&amp;serviceAreaId=2fcbfe03-ffa5-4ef0-bbd7-19241c14776a</v>
          </cell>
        </row>
        <row r="63">
          <cell r="B63" t="str">
            <v>DKJ5</v>
          </cell>
          <cell r="C63" t="str">
            <v>432098d2-611a-4306-b9bb-249fbd1b618c</v>
          </cell>
          <cell r="D63" t="str">
            <v>https://logistics.amazon.co.jp/operations/execution/itineraries?cortexv2=true&amp;operationView=true&amp;progressStatusFilterValue&amp;providerFilter=ALL_DPS&amp;serviceAreaId=432098d2-611a-4306-b9bb-249fbd1b618c</v>
          </cell>
        </row>
        <row r="64">
          <cell r="B64" t="str">
            <v>PEJD</v>
          </cell>
          <cell r="C64" t="str">
            <v>a6b1fd2b-39d2-4064-81d9-da8431e1c136</v>
          </cell>
          <cell r="D64" t="str">
            <v>https://logistics.amazon.co.jp/operations/execution/itineraries?cortexv2=true&amp;operationView=true&amp;progressStatusFilterValue&amp;provider=ALL_DRIVERS&amp;providerFilter=ALL_DPS&amp;routesFilter=HasReturnedPackages&amp;selectedDay=2024-05-07&amp;serviceAreaId=a6b1fd2b-39d2-4064-81d9-da8431e1c136</v>
          </cell>
        </row>
        <row r="65">
          <cell r="B65" t="str">
            <v>DMG1</v>
          </cell>
          <cell r="C65" t="str">
            <v>d23763e2-be09-41ba-82a0-dca9ae9a640e</v>
          </cell>
          <cell r="D65" t="str">
            <v>https://logistics.amazon.co.jp/internal/operations/execution/itineraries?operationView=true&amp;provider=ALL_DRIVERS&amp;selectedDay=2024-06-14&amp;serviceAreaId=d23763e2-be09-41ba-82a0-dca9ae9a640e</v>
          </cell>
        </row>
        <row r="66">
          <cell r="B66" t="str">
            <v>OMG2</v>
          </cell>
          <cell r="C66" t="str">
            <v>d7db73da-54dd-4645-aed5-b3f505db9225</v>
          </cell>
          <cell r="D66" t="str">
            <v>https://logistics.amazon.co.jp/operations/execution/routes?InProgress=ALL&amp;providerFilter=UNASSIGNED&amp;routesFilter&amp;=ALL&amp;serviceAreaId=d7db73da-54dd-4645-aed5-b3f505db9225</v>
          </cell>
        </row>
        <row r="67">
          <cell r="B67" t="str">
            <v>OSN2</v>
          </cell>
          <cell r="C67" t="str">
            <v>e9d7f967-f4c4-42dd-b7eb-9d9328cdb7cb</v>
          </cell>
          <cell r="D67" t="str">
            <v>https://logistics.amazon.co.jp/operations/execution/routes?providerFilter=UNASSIGNED&amp;routesFilter=&amp;serviceAreaId=e9d7f967-f4c4-42dd-b7eb-9d9328cdb7cb</v>
          </cell>
        </row>
        <row r="68">
          <cell r="B68" t="str">
            <v>OMG6</v>
          </cell>
          <cell r="C68" t="str">
            <v>c93b643e-3b0f-4b15-8c31-a0a08d841f11</v>
          </cell>
          <cell r="D68" t="str">
            <v>https://logistics.amazon.co.jp/internal/operations/execution/itineraries?operationView=true&amp;provider=ALL_DRIVERS&amp;selectedDay=2024-08-27&amp;serviceAreaId=c93b643e-3b0f-4b15-8c31-a0a08d841f11</v>
          </cell>
        </row>
        <row r="69">
          <cell r="B69" t="str">
            <v>DMG3</v>
          </cell>
          <cell r="C69" t="str">
            <v>4739f582-00c4-4a88-8da5-6410e95f137e</v>
          </cell>
          <cell r="D69" t="str">
            <v>https://logistics.amazon.co.jp/internal/operations/execution/itineraries?operationView=true&amp;provider=ALL_DRIVERS&amp;selectedDay=2024-08-16&amp;serviceAreaId=4739f582-00c4-4a88-8da5-6410e95f137e</v>
          </cell>
        </row>
        <row r="70">
          <cell r="B70" t="str">
            <v>OMG3</v>
          </cell>
          <cell r="C70" t="str">
            <v>cc0e564e-0a40-4c1d-bc72-8c6dc9ac3f25</v>
          </cell>
          <cell r="D70" t="str">
            <v>https://logistics.amazon.co.jp/internal/operations/execution/itineraries?operationView=true&amp;provider=ALL_DRIVERS&amp;selectedDay=2024-08-16&amp;serviceAreaId=cc0e564e-0a40-4c1d-bc72-8c6dc9ac3f25</v>
          </cell>
        </row>
        <row r="71">
          <cell r="B71" t="str">
            <v>OMG4</v>
          </cell>
          <cell r="C71" t="str">
            <v>24c3b04e-29e7-4a72-ad86-e92574bb6766</v>
          </cell>
          <cell r="D71" t="str">
            <v>https://logistics.amazon.co.jp/internal/operations/execution/itineraries?operationView=true&amp;provider=ALL_DRIVERS&amp;selectedDay=2024-08-16&amp;serviceAreaId=24c3b04e-29e7-4a72-ad86-e92574bb6766</v>
          </cell>
        </row>
        <row r="72">
          <cell r="B72" t="str">
            <v>DOO1</v>
          </cell>
          <cell r="C72" t="str">
            <v>3f2f0269-4515-46b9-b6cb-17a21efee7c2</v>
          </cell>
          <cell r="D72" t="str">
            <v>https://logistics.amazon.co.jp/internal/operations/execution/itineraries?operationView=true&amp;provider=ALL_DRIVERS&amp;selectedDay=2024-06-14&amp;serviceAreaId=3f2f0269-4515-46b9-b6cb-17a21efee7c2</v>
          </cell>
        </row>
        <row r="73">
          <cell r="B73" t="str">
            <v>OOOD</v>
          </cell>
          <cell r="C73" t="str">
            <v>d3e3ce19-5c73-4bca-b063-88b462896df8</v>
          </cell>
          <cell r="D73" t="str">
            <v>https://logistics.amazon.co.jp/operations/execution/routes?providerFilter=UNASSIGNED&amp;routesFilter=InProgress&amp;selectedDay=2022-02-09&amp;serviceAreaId=d3e3ce19-5c73-4bca-b063-88b462896df8</v>
          </cell>
        </row>
        <row r="74">
          <cell r="B74" t="str">
            <v>OOOF</v>
          </cell>
          <cell r="C74" t="str">
            <v>38ec882d-2122-4e12-90b6-2900d6cb3fb1</v>
          </cell>
          <cell r="D74" t="str">
            <v>https://logistics.amazon.co.jp/operations/execution/routes?providerFilter=UNASSIGNED&amp;routesFilter=InProgress&amp;selectedDay=2022-02-09&amp;serviceAreaId=38ec882d-2122-4e12-90b6-2900d6cb3fb1</v>
          </cell>
        </row>
        <row r="75">
          <cell r="B75" t="str">
            <v>OOOJ</v>
          </cell>
          <cell r="C75" t="str">
            <v>e7da3285-4883-4bd0-a0cc-7a946e1f1090</v>
          </cell>
          <cell r="D75" t="str">
            <v>https://logistics.amazon.co.jp/operations/execution/itineraries?operationView=true&amp;providerFilter=UNASSIGNED&amp;routesFilter=InProgress&amp;selectedDay=2022-10-25&amp;serviceAreaId=e7da3285-4883-4bd0-a0cc-7a946e1f1090</v>
          </cell>
        </row>
        <row r="76">
          <cell r="B76" t="str">
            <v>OWJK</v>
          </cell>
          <cell r="C76" t="str">
            <v>f361d472-8cca-4e5f-94aa-e2547c90660f</v>
          </cell>
          <cell r="D76" t="str">
            <v>https://logistics.amazon.co.jp/operations/execution/itineraries?cortexv2=true&amp;operationView=true&amp;progressStatusFilterValue&amp;providerFilter=ALL_DPS&amp;selectedDay=2024-02-20&amp;serviceAreaId=f361d472-8cca-4e5f-94aa-e2547c90660f</v>
          </cell>
        </row>
        <row r="77">
          <cell r="B77" t="str">
            <v>DOO2</v>
          </cell>
          <cell r="C77" t="str">
            <v>15b5584e-1c8d-463f-8a4a-bd2363bba18f</v>
          </cell>
          <cell r="D77" t="str">
            <v>https://logistics.amazon.co.jp/operations/execution/routes?providerFilter=UNASSIGNED&amp;routesFilter=InProgress&amp;selectedDay=2022-02-09&amp;serviceAreaId=15b5584e-1c8d-463f-8a4a-bd2363bba18f</v>
          </cell>
        </row>
        <row r="78">
          <cell r="B78" t="str">
            <v>OOO1</v>
          </cell>
          <cell r="C78" t="str">
            <v>88ec1386-c808-4480-9d48-bd171fc9257c</v>
          </cell>
          <cell r="D78" t="str">
            <v>https://logistics.amazon.co.jp/operations/execution/routes?providerFilter=UNASSIGNED&amp;routesFilter=InProgress&amp;selectedDay=2022-02-09&amp;serviceAreaId=88ec1386-c808-4480-9d48-bd171fc9257c</v>
          </cell>
        </row>
        <row r="79">
          <cell r="B79" t="str">
            <v>OOOG</v>
          </cell>
          <cell r="C79" t="str">
            <v>6b1213e0-98c4-428f-937f-19319ea0948e</v>
          </cell>
          <cell r="D79" t="str">
            <v>https://logistics.amazon.co.jp/operations/execution/routes?cortexv2=true&amp;progressStatusFilterValue&amp;providerFilter=ALL_DSPS&amp;selectedDay=2022-02-23&amp;serviceAreaId=6b1213e0-98c4-428f-937f-19319ea0948e</v>
          </cell>
        </row>
        <row r="80">
          <cell r="B80" t="str">
            <v>OOOH</v>
          </cell>
          <cell r="C80" t="str">
            <v>56c60c15-f2fb-41c1-afaa-453b50aacd58</v>
          </cell>
          <cell r="D80" t="str">
            <v>https://logistics.amazon.co.jp/operations/execution/routes?providerFilter=UNASSIGNED&amp;selectedDay=2022-06-01&amp;serviceAreaId=56c60c15-f2fb-41c1-afaa-453b50aacd58</v>
          </cell>
        </row>
        <row r="81">
          <cell r="B81" t="str">
            <v>OWJ6</v>
          </cell>
          <cell r="C81" t="str">
            <v>cf4e3dca-4a98-4d77-b4ea-b0b32d28bc03</v>
          </cell>
          <cell r="D81" t="str">
            <v>https://logistics.amazon.co.jp/operations/execution/routes?providerFilter=UNASSIGNED&amp;routesFilter=InProgress&amp;selectedDay=2022-02-09&amp;serviceAreaId=cf4e3dca-4a98-4d77-b4ea-b0b32d28bc03</v>
          </cell>
        </row>
        <row r="82">
          <cell r="B82" t="str">
            <v>OOOL</v>
          </cell>
          <cell r="C82" t="str">
            <v>418e2c8e-d21c-4965-ad08-ef242173d98d</v>
          </cell>
          <cell r="D82" t="str">
            <v>https://logistics.amazon.co.jp/internal/operations/execution/itineraries?operationView=true&amp;provider=ALL_DRIVERS&amp;selectedDay=2024-08-27&amp;serviceAreaId=418e2c8e-d21c-4965-ad08-ef242173d98d</v>
          </cell>
        </row>
        <row r="83">
          <cell r="B83" t="str">
            <v>DOO4</v>
          </cell>
          <cell r="C83" t="str">
            <v>786f02db-9c33-45be-9fee-067dde027e93</v>
          </cell>
          <cell r="D83" t="str">
            <v>https://logistics.amazon.co.jp/operations/execution/routes?providerFilter=UNASSIGNED&amp;routesFilter=InProgress&amp;selectedDay=2022-02-09&amp;serviceAreaId=786f02db-9c33-45be-9fee-067dde027e93</v>
          </cell>
        </row>
        <row r="84">
          <cell r="B84" t="str">
            <v>OWJ2</v>
          </cell>
          <cell r="C84" t="str">
            <v>d3b50969-1d2c-43e7-a4d3-3fbc281d1e92</v>
          </cell>
          <cell r="D84" t="str">
            <v>https://logistics.amazon.co.jp/operations/execution/routes?providerFilter=UNASSIGNED&amp;routesFilter=InProgress&amp;selectedDay=2022-02-09&amp;serviceAreaId=d3b50969-1d2c-43e7-a4d3-3fbc281d1e92</v>
          </cell>
        </row>
        <row r="85">
          <cell r="B85" t="str">
            <v>OWJ3</v>
          </cell>
          <cell r="C85" t="str">
            <v>ab43a126-00a0-45eb-8bba-d7b3f7edc378</v>
          </cell>
          <cell r="D85" t="str">
            <v>https://logistics.amazon.co.jp/operations/execution/routes?providerFilter=UNASSIGNED&amp;routesFilter=InProgress&amp;selectedDay=2022-02-09&amp;serviceAreaId=ab43a126-00a0-45eb-8bba-d7b3f7edc378</v>
          </cell>
        </row>
        <row r="86">
          <cell r="B86" t="str">
            <v>OWJ4</v>
          </cell>
          <cell r="C86" t="str">
            <v>5f91f814-52ce-492d-9202-2bdf9c05a753</v>
          </cell>
          <cell r="D86" t="str">
            <v>https://logistics.amazon.co.jp/operations/execution/routes?providerFilter=UNASSIGNED&amp;routesFilter=InProgress&amp;selectedDay=2022-02-09&amp;serviceAreaId=5f91f814-52ce-492d-9202-2bdf9c05a753</v>
          </cell>
        </row>
        <row r="87">
          <cell r="B87" t="str">
            <v>OWJ7</v>
          </cell>
          <cell r="C87" t="str">
            <v>a95a0318-bba0-4a93-a5b4-16a6627b69b5</v>
          </cell>
          <cell r="D87" t="str">
            <v>https://logistics.amazon.co.jp/operations/execution/routes?providerFilter=UNASSIGNED&amp;routesFilter=InProgress&amp;selectedDay=2022-02-09&amp;serviceAreaId=a95a0318-bba0-4a93-a5b4-16a6627b69b5</v>
          </cell>
        </row>
        <row r="88">
          <cell r="B88" t="str">
            <v>OWJ8</v>
          </cell>
          <cell r="C88" t="str">
            <v>200f4773-c4c8-40d6-9376-25b6d96241f4</v>
          </cell>
          <cell r="D88" t="str">
            <v>https://logistics.amazon.co.jp/operations/execution/routes?providerFilter=UNASSIGNED&amp;routesFilter=InProgress&amp;selectedDay=2022-02-09&amp;serviceAreaId=200f4773-c4c8-40d6-9376-25b6d96241f4</v>
          </cell>
        </row>
        <row r="89">
          <cell r="B89" t="str">
            <v>OWJD</v>
          </cell>
          <cell r="C89" t="str">
            <v>b9e93b39-59d8-4815-8e14-84e229a4913d</v>
          </cell>
          <cell r="D89" t="str">
            <v>https://logistics.amazon.co.jp/operations/execution/routes?providerFilter=UNASSIGNED&amp;routesFilter=InProgress&amp;selectedDay=2022-02-09&amp;serviceAreaId=b9e93b39-59d8-4815-8e14-84e229a4913d</v>
          </cell>
        </row>
        <row r="90">
          <cell r="B90" t="str">
            <v>OWJE</v>
          </cell>
          <cell r="C90" t="str">
            <v>90d9544c-d1f5-4065-a0b5-7822f6038f07</v>
          </cell>
          <cell r="D90" t="str">
            <v>https://logistics.amazon.co.jp/operations/execution/routes?providerFilter=UNASSIGNED&amp;routesFilter=InProgress&amp;selectedDay=2022-06-08&amp;serviceAreaId=90d9544c-d1f5-4065-a0b5-7822f6038f07</v>
          </cell>
        </row>
        <row r="91">
          <cell r="B91" t="str">
            <v>OWJP</v>
          </cell>
          <cell r="C91" t="str">
            <v>58b5a3e0-11fb-494a-9f54-9dc88d70cc19</v>
          </cell>
          <cell r="D91" t="str">
            <v>https://logistics.amazon.co.jp/internal/operations/execution/itineraries?operationView=true&amp;provider=ALL_DRIVERS&amp;selectedDay=2024-08-15&amp;serviceAreaId=58b5a3e0-11fb-494a-9f54-9dc88d70cc19</v>
          </cell>
        </row>
        <row r="92">
          <cell r="B92" t="str">
            <v>DOW2</v>
          </cell>
          <cell r="C92" t="str">
            <v>41ac1005-1059-4dfe-ad97-a9e8a759820f</v>
          </cell>
          <cell r="D92" t="str">
            <v>https://logistics.amazon.co.jp/operations/execution/routes?providerFilter=UNASSIGNED&amp;routesFilter=&amp;selectedDay=2022-08-14&amp;serviceAreaId=41ac1005-1059-4dfe-ad97-a9e8a759820f</v>
          </cell>
        </row>
        <row r="93">
          <cell r="B93" t="str">
            <v>DTK2</v>
          </cell>
          <cell r="C93" t="str">
            <v>0a653711-b8de-455a-a63c-37acbfff2e85</v>
          </cell>
          <cell r="D93" t="str">
            <v>https://logistics.amazon.co.jp/internal/operations/execution/itineraries?operationView=true&amp;provider=ALL_DRIVERS&amp;selectedDay=2024-06-14&amp;serviceAreaId=0a653711-b8de-455a-a63c-37acbfff2e85</v>
          </cell>
        </row>
        <row r="94">
          <cell r="B94" t="str">
            <v>DTK3</v>
          </cell>
          <cell r="C94" t="str">
            <v>1395af67-471a-4287-bcec-7d7c3303260b</v>
          </cell>
          <cell r="D94" t="str">
            <v>https://logistics.amazon.co.jp/internal/operations/execution/itineraries?operationView=true&amp;provider=ALL_DRIVERS&amp;selectedDay=2024-06-14&amp;serviceAreaId=1395af67-471a-4287-bcec-7d7c3303260b</v>
          </cell>
        </row>
        <row r="95">
          <cell r="B95" t="str">
            <v>OTKO</v>
          </cell>
          <cell r="C95" t="str">
            <v>0042ec5e-f298-40a5-b6cd-81949f096825</v>
          </cell>
          <cell r="D95" t="str">
            <v>https://logistics.amazon.co.jp/operations/execution/routes?providerFilter=UNASSIGNED&amp;selectedDay=2021-09-28&amp;serviceAreaId=0042ec5e-f298-40a5-b6cd-81949f096825</v>
          </cell>
        </row>
        <row r="96">
          <cell r="B96" t="str">
            <v>PTK8</v>
          </cell>
          <cell r="C96" t="str">
            <v>d2b0537b-f38c-4c4b-b38a-a7f90b543567</v>
          </cell>
          <cell r="D96" t="str">
            <v>https://logistics.amazon.co.jp/operations/execution/routes?providerFilter=ALL_DSPS&amp;routesFilter=InProgress&amp;selectedDay=2022-08-30&amp;serviceAreaId=d2b0537b-f38c-4c4b-b38a-a7f90b543567</v>
          </cell>
        </row>
        <row r="97">
          <cell r="B97" t="str">
            <v>DTK4</v>
          </cell>
          <cell r="C97" t="str">
            <v>3c3baeda-e6d7-424b-ab84-dd8fb2e1489b</v>
          </cell>
          <cell r="D97" t="str">
            <v>https://logistics.amazon.co.jp/internal/operations/execution/itineraries?operationView=true&amp;provider=ALL_DRIVERS&amp;selectedDay=2024-06-14&amp;serviceAreaId=3c3baeda-e6d7-424b-ab84-dd8fb2e1489b</v>
          </cell>
        </row>
        <row r="98">
          <cell r="B98" t="str">
            <v>OTK5</v>
          </cell>
          <cell r="C98" t="str">
            <v>bfafab60-7c2d-4088-9d1c-2ad2b7259f18</v>
          </cell>
          <cell r="D98" t="str">
            <v>https://logistics.amazon.co.jp/internal/operations/execution/itineraries?operationView=true&amp;provider=ALL_DRIVERS&amp;selectedDay=2024-06-14&amp;serviceAreaId=bfafab60-7c2d-4088-9d1c-2ad2b7259f18</v>
          </cell>
        </row>
        <row r="99">
          <cell r="B99" t="str">
            <v>OTK6</v>
          </cell>
          <cell r="C99" t="str">
            <v>b43e9828-f26a-4f30-8f5b-4f4ddeadc34c</v>
          </cell>
          <cell r="D99" t="str">
            <v>https://logistics.amazon.co.jp/internal/operations/execution/itineraries?operationView=true&amp;provider=ALL_DRIVERS&amp;selectedDay=2024-06-14&amp;serviceAreaId=b43e9828-f26a-4f30-8f5b-4f4ddeadc34c</v>
          </cell>
        </row>
        <row r="100">
          <cell r="B100" t="str">
            <v>PTKH</v>
          </cell>
          <cell r="C100" t="str">
            <v>c5c3422c-710d-4d7a-bb19-6e9c6644cff7</v>
          </cell>
          <cell r="D100" t="str">
            <v>https://logistics.amazon.co.jp/operations/execution/itineraries?operationView=true&amp;providerFilter=ALL_DSPS&amp;routesFilter=InProgress&amp;serviceAreaId=c5c3422c-710d-4d7a-bb19-6e9c6644cff7</v>
          </cell>
        </row>
        <row r="101">
          <cell r="B101" t="str">
            <v>PTKM</v>
          </cell>
          <cell r="C101" t="str">
            <v>bb0501bb-5865-4a0e-a1b5-55c57d64f438</v>
          </cell>
          <cell r="D101" t="str">
            <v>https://logistics.amazon.co.jp/operations/execution/itineraries?operationView=true&amp;providerFilter=ALL_DSPS&amp;routesFilter=InProgress&amp;serviceAreaId=bb0501bb-5865-4a0e-a1b5-55c57d64f438</v>
          </cell>
        </row>
        <row r="102">
          <cell r="B102" t="str">
            <v>DTK5</v>
          </cell>
          <cell r="C102" t="str">
            <v>f9cac106-463a-401f-8f26-1144d9c3999e</v>
          </cell>
          <cell r="D102" t="str">
            <v>https://logistics.amazon.co.jp/internal/operations/execution/itineraries?operationView=true&amp;provider=ALL_DRIVERS&amp;selectedDay=2024-06-14&amp;serviceAreaId=f9cac106-463a-401f-8f26-1144d9c3999e</v>
          </cell>
        </row>
        <row r="103">
          <cell r="B103" t="str">
            <v>OEJA</v>
          </cell>
          <cell r="C103" t="str">
            <v>937753c9-2776-4687-8915-86ca9ecd1161</v>
          </cell>
          <cell r="D103" t="str">
            <v>https://logistics.amazon.co.jp/internal/operations/execution/itineraries?operationView=true&amp;provider=ALL_DRIVERS&amp;selectedDay=2024-06-14&amp;serviceAreaId=937753c9-2776-4687-8915-86ca9ecd1161</v>
          </cell>
        </row>
        <row r="104">
          <cell r="B104" t="str">
            <v>OEJH</v>
          </cell>
          <cell r="C104" t="str">
            <v>a4d74334-20d3-4279-b463-9da78527d6bc</v>
          </cell>
          <cell r="D104" t="str">
            <v>https://logistics.amazon.co.jp/internal/operations/execution/itineraries?operationView=true&amp;provider=ALL_DRIVERS&amp;selectedDay=2024-06-14&amp;serviceAreaId=a4d74334-20d3-4279-b463-9da78527d6bc</v>
          </cell>
        </row>
        <row r="105">
          <cell r="B105" t="str">
            <v>OTKS</v>
          </cell>
          <cell r="C105" t="str">
            <v>7e8377fa-f118-41de-b1b7-583439ff75c8</v>
          </cell>
          <cell r="D105" t="str">
            <v>https://logistics.amazon.co.jp/internal/operations/execution/itineraries?operationView=true&amp;provider=ALL_DRIVERS&amp;selectedDay=2024-06-14&amp;serviceAreaId=7e8377fa-f118-41de-b1b7-583439ff75c8</v>
          </cell>
        </row>
        <row r="106">
          <cell r="B106" t="str">
            <v>DTK6</v>
          </cell>
          <cell r="C106" t="str">
            <v>e0139fd4-3cac-49fe-a193-73c460f05a92</v>
          </cell>
          <cell r="D106" t="str">
            <v>https://logistics.amazon.co.jp/internal/operations/execution/itineraries?operationView=true&amp;provider=ALL_DRIVERS&amp;selectedDay=2024-06-14&amp;serviceAreaId=e0139fd4-3cac-49fe-a193-73c460f05a92</v>
          </cell>
        </row>
        <row r="107">
          <cell r="B107" t="str">
            <v>OTK7</v>
          </cell>
          <cell r="C107" t="str">
            <v>8bac7a96-786f-41ef-97e8-3caba3631bb7</v>
          </cell>
          <cell r="D107" t="str">
            <v>https://logistics.amazon.co.jp/internal/operations/execution/itineraries?operationView=true&amp;provider=ALL_DRIVERS&amp;selectedDay=2024-06-14&amp;serviceAreaId=8bac7a96-786f-41ef-97e8-3caba3631bb7</v>
          </cell>
        </row>
        <row r="108">
          <cell r="B108" t="str">
            <v>OTKX</v>
          </cell>
          <cell r="C108" t="str">
            <v>bedd4f56-74be-40a6-aaf4-7f53f587935e</v>
          </cell>
          <cell r="D108" t="str">
            <v>https://logistics.amazon.co.jp/internal/operations/execution/itineraries?operationView=true&amp;provider=ALL_DRIVERS&amp;selectedDay=2024-06-14&amp;serviceAreaId=bedd4f56-74be-40a6-aaf4-7f53f587935e</v>
          </cell>
        </row>
        <row r="109">
          <cell r="B109" t="str">
            <v>OTKY</v>
          </cell>
          <cell r="C109" t="str">
            <v>cd8e70ef-6569-4676-aa5d-fcba363c4c28</v>
          </cell>
          <cell r="D109" t="str">
            <v>https://logistics.amazon.co.jp/internal/operations/execution/itineraries?operationView=true&amp;provider=ALL_DRIVERS&amp;selectedDay=2024-06-14&amp;serviceAreaId=cd8e70ef-6569-4676-aa5d-fcba363c4c28</v>
          </cell>
        </row>
        <row r="110">
          <cell r="B110" t="str">
            <v>PTK1</v>
          </cell>
          <cell r="C110" t="str">
            <v>c564d4ae-26a1-41fa-b436-03c8c35d8d89</v>
          </cell>
          <cell r="D110" t="str">
            <v>https://logistics.amazon.co.jp/internal/operations/execution/itineraries?operationView=true&amp;provider=ALL_DRIVERS&amp;selectedDay=2024-06-14&amp;serviceAreaId=c564d4ae-26a1-41fa-b436-03c8c35d8d89</v>
          </cell>
        </row>
        <row r="111">
          <cell r="B111" t="str">
            <v>PTK2</v>
          </cell>
          <cell r="C111" t="str">
            <v>add40db1-dbeb-476c-9bdd-957a26575aa4</v>
          </cell>
          <cell r="D111" t="str">
            <v>https://logistics.amazon.co.jp/internal/operations/execution/itineraries?operationView=true&amp;provider=ALL_DRIVERS&amp;selectedDay=2024-06-14&amp;serviceAreaId=add40db1-dbeb-476c-9bdd-957a26575aa4</v>
          </cell>
        </row>
        <row r="112">
          <cell r="B112" t="str">
            <v>PTK3</v>
          </cell>
          <cell r="C112" t="str">
            <v>02a2bf90-8916-4b8f-97a8-220b443f8515</v>
          </cell>
          <cell r="D112" t="str">
            <v>https://logistics.amazon.co.jp/operations/execution/routes?providerFilter=UNASSIGNED&amp;routesFilter%20=InProgress&amp;selectedDay=2021-11-15&amp;serviceAreaId=02a2bf90-8916-4b8f-97a8-220b443f8515</v>
          </cell>
        </row>
        <row r="113">
          <cell r="B113" t="str">
            <v>PTK4</v>
          </cell>
          <cell r="C113" t="str">
            <v>bf8c4b47-f559-43b0-9675-5b7d87d65dcf</v>
          </cell>
          <cell r="D113" t="str">
            <v>https://logistics.amazon.co.jp/operations/execution/routes?InProgress=ALL&amp;providerFilter=UNASSIGNED&amp;routesFilter&amp;=ALL&amp;serviceAreaId=bf8c4b47-f559-43b0-9675-5b7d87d65dcf</v>
          </cell>
        </row>
        <row r="114">
          <cell r="B114" t="str">
            <v>PTK9</v>
          </cell>
          <cell r="C114" t="str">
            <v>5cedb550-fbec-4e14-8c8e-04789e01adec</v>
          </cell>
          <cell r="D114" t="str">
            <v>https://logistics.amazon.co.jp/operations/execution/routes?providerFilter=ALL_DSPS&amp;routesFilter=InProgress&amp;selectedDay=2022-07-02&amp;serviceAreaId=5cedb550-fbec-4e14-8c8e-04789e01adec</v>
          </cell>
        </row>
        <row r="115">
          <cell r="B115" t="str">
            <v>PTKC</v>
          </cell>
          <cell r="C115" t="str">
            <v>c26efb51-1d7a-4a51-917a-e5b94d02f76a</v>
          </cell>
          <cell r="D115" t="str">
            <v>https://logistics.amazon.co.jp/internal/operations/execution/itineraries?operationView=true&amp;provider=ALL_DRIVERS&amp;selectedDay=2024-06-14&amp;serviceAreaId=c26efb51-1d7a-4a51-917a-e5b94d02f76a</v>
          </cell>
        </row>
        <row r="116">
          <cell r="B116" t="str">
            <v>PTKE</v>
          </cell>
          <cell r="C116" t="str">
            <v>4526bd04-0d95-4918-8d96-d26f5a479453</v>
          </cell>
          <cell r="D116" t="str">
            <v>https://logistics.amazon.co.jp/operations/execution/itineraries?operationView=true&amp;providerFilter=UNASSIGNED&amp;routesFilter=InProgress&amp;selectedDay=2022-09-02&amp;serviceAreaId=4526bd04-0d95-4918-8d96-d26f5a479453</v>
          </cell>
        </row>
        <row r="117">
          <cell r="B117" t="str">
            <v>PTKX</v>
          </cell>
          <cell r="C117" t="str">
            <v>b346f4d9-67c5-4113-b1ff-a3ac89abfc14</v>
          </cell>
          <cell r="D117" t="str">
            <v>https://logistics.amazon.co.jp/internal/operations/execution/itineraries?operationView=true&amp;provider=ALL_DRIVERS&amp;selectedDay=2025-04-08&amp;serviceAreaId=b346f4d9-67c5-4113-b1ff-a3ac89abfc14</v>
          </cell>
        </row>
        <row r="118">
          <cell r="B118" t="str">
            <v>DTK7</v>
          </cell>
          <cell r="C118" t="str">
            <v>7c4e220a-b724-40f7-8ccb-836a38c4a376</v>
          </cell>
          <cell r="D118" t="str">
            <v>https://logistics.amazon.co.jp/operations/execution/routes?providerFilter=UNASSIGNED&amp;routesFilter=InProgress&amp;selectedDay=2022-09-27&amp;serviceAreaId=7c4e220a-b724-40f7-8ccb-836a38c4a376</v>
          </cell>
        </row>
        <row r="119">
          <cell r="B119" t="str">
            <v>PTKG</v>
          </cell>
          <cell r="C119" t="str">
            <v>ed6f69ba-9c9f-433b-8388-b3dbec7c7396</v>
          </cell>
          <cell r="D119" t="str">
            <v>https://logistics.amazon.co.jp/operations/execution/itineraries?operationView=true&amp;providerFilter=UNASSIGNED&amp;routesFilter=InProgress&amp;serviceAreaId=ed6f69ba-9c9f-433b-8388-b3dbec7c7396</v>
          </cell>
        </row>
        <row r="120">
          <cell r="B120" t="str">
            <v>DTK8</v>
          </cell>
          <cell r="C120" t="str">
            <v>889b6ea0-e443-44fe-aafa-fddcf0b701b4</v>
          </cell>
          <cell r="D120" t="str">
            <v>https://logistics.amazon.co.jp/operations/execution/itineraries?operationView=true&amp;providerFilter=UNASSIGNED&amp;routesFilter=InProgress&amp;selectedDay=2023-03-18&amp;serviceAreaId=889b6ea0-e443-44fe-aafa-fddcf0b701b4</v>
          </cell>
        </row>
        <row r="121">
          <cell r="B121" t="str">
            <v>PEJ6</v>
          </cell>
          <cell r="C121" t="str">
            <v>e728a783-fdcd-4eea-a86c-a589ca02e074</v>
          </cell>
          <cell r="D121" t="str">
            <v>https://logistics.amazon.co.jp/operations/execution/itineraries?operationView=true&amp;providerFilter=UNASSIGNED&amp;routesFilter=InProgress&amp;selectedDay=2023-03-18&amp;serviceAreaId=e728a783-fdcd-4eea-a86c-a589ca02e074</v>
          </cell>
        </row>
        <row r="122">
          <cell r="B122" t="str">
            <v>DWJ1</v>
          </cell>
          <cell r="C122" t="str">
            <v>85d7b491-9d83-41ca-b99d-b23bbd0d74c6</v>
          </cell>
          <cell r="D122" t="str">
            <v>https://logistics.amazon.co.jp/operations/execution/itineraries?operationView=true&amp;providerFilter=UNASSIGNED&amp;routesFilter=MX8&amp;selectedDay=2023-09-19&amp;serviceAreaId=85d7b491-9d83-41ca-b99d-b23bbd0d74c6</v>
          </cell>
        </row>
        <row r="123">
          <cell r="B123" t="str">
            <v>OWJH</v>
          </cell>
          <cell r="C123" t="str">
            <v>08aae9b1-88d1-4abf-803c-917854a6d7b8</v>
          </cell>
          <cell r="D123" t="str">
            <v>https://logistics.amazon.co.jp/operations/execution/itineraries?cortexv2=true&amp;operationView=true&amp;progressStatusFilterValue&amp;providerFilter=ALL_DPS&amp;selectedDay=2023-10-24&amp;serviceAreaId=08aae9b1-88d1-4abf-803c-917854a6d7b8</v>
          </cell>
        </row>
        <row r="124">
          <cell r="B124" t="str">
            <v>OWJJ</v>
          </cell>
          <cell r="C124" t="str">
            <v>af5d6211-6f71-4b2a-a0dd-b9142ada1629</v>
          </cell>
          <cell r="D124" t="str">
            <v>https://logistics.amazon.co.jp/operations/execution/itineraries?cortexv2=true&amp;operationView=true&amp;progressStatusFilterValue&amp;providerFilter=ALL_DPS&amp;selectedDay=2023-11-01&amp;serviceAreaId=af5d6211-6f71-4b2a-a0dd-b9142ada1629</v>
          </cell>
        </row>
        <row r="125">
          <cell r="B125" t="str">
            <v>OWJL</v>
          </cell>
          <cell r="C125" t="str">
            <v>ea9569a8-e80b-442c-a73b-b244c033c3cc</v>
          </cell>
          <cell r="D125" t="str">
            <v>https://logistics.amazon.co.jp/operations/execution/itineraries?cortexv2=true&amp;operationView=true&amp;progressStatusFilterValue&amp;providerFilter=ALL_DPS&amp;selectedDay=2024-05-14&amp;serviceAreaId=ea9569a8-e80b-442c-a73b-b244c033c3cc</v>
          </cell>
        </row>
        <row r="126">
          <cell r="B126" t="str">
            <v>DWJ3</v>
          </cell>
          <cell r="C126" t="str">
            <v>21303578-7d65-4662-b7e9-cff28863abc5</v>
          </cell>
          <cell r="D126" t="str">
            <v>https://logistics.amazon.co.jp/internal/operations/execution/itineraries?operationView=true&amp;provider=ALL_DRIVERS&amp;selectedDay=2024-06-14&amp;serviceAreaId=21303578-7d65-4662-b7e9-cff28863abc5</v>
          </cell>
        </row>
        <row r="127">
          <cell r="B127" t="str">
            <v>OOO8</v>
          </cell>
          <cell r="C127" t="str">
            <v>20bc0c87-e7f1-4fc7-ab55-ad122f674cb4</v>
          </cell>
          <cell r="D127" t="str">
            <v>https://logistics.amazon.co.jp/internal/operations/execution/itineraries?operationView=true&amp;provider=ALL_DRIVERS&amp;selectedDay=2024-06-14&amp;serviceAreaId=20bc0c87-e7f1-4fc7-ab55-ad122f674cb4</v>
          </cell>
        </row>
        <row r="128">
          <cell r="B128" t="str">
            <v>OOO9</v>
          </cell>
          <cell r="C128" t="str">
            <v>982f1f64-987a-4c62-9d95-1816faa38ee9</v>
          </cell>
          <cell r="D128" t="str">
            <v>https://logistics.amazon.co.jp/internal/operations/execution/itineraries?operationView=true&amp;provider=ALL_DRIVERS&amp;selectedDay=2024-06-14&amp;serviceAreaId=982f1f64-987a-4c62-9d95-1816faa38ee9</v>
          </cell>
        </row>
        <row r="129">
          <cell r="B129" t="str">
            <v>OOO3</v>
          </cell>
          <cell r="C129" t="str">
            <v>db5ce6e6-38e6-4584-a8cb-0c92bf9f92db</v>
          </cell>
          <cell r="D129" t="str">
            <v>https://logistics.amazon.co.jp/operations/execution/routes?providerFilter=UNASSIGNED&amp;routesFilter=InProgress&amp;selectedDay=2022-02-09&amp;serviceAreaId=db5ce6e6-38e6-4584-a8cb-0c92bf9f92db</v>
          </cell>
        </row>
        <row r="130">
          <cell r="B130" t="str">
            <v>OOOB</v>
          </cell>
          <cell r="C130" t="str">
            <v>4a1b9e19-e1a4-46a9-9873-d8d3e26e88bc</v>
          </cell>
          <cell r="D130" t="str">
            <v>https://logistics.amazon.co.jp/internal/operations/execution/itineraries?operationView=true&amp;provider=ALL_DRIVERS&amp;selectedDay=2024-06-14&amp;serviceAreaId=4a1b9e19-e1a4-46a9-9873-d8d3e26e88bc</v>
          </cell>
        </row>
        <row r="131">
          <cell r="B131" t="str">
            <v>OOO7</v>
          </cell>
          <cell r="C131" t="str">
            <v>2bcf57a1-ba44-4949-8518-42d68c328e0e</v>
          </cell>
          <cell r="D131" t="str">
            <v>https://logistics.amazon.co.jp/operations/execution/routes?providerFilter=UNASSIGNED&amp;routesFilter=InProgress&amp;selectedDay=2022-02-09&amp;serviceAreaId=2bcf57a1-ba44-4949-8518-42d68c328e0e</v>
          </cell>
        </row>
        <row r="132">
          <cell r="B132" t="str">
            <v>OWJB</v>
          </cell>
          <cell r="C132" t="str">
            <v>7c266549-6b13-404f-be03-c9cc3b5d3c42</v>
          </cell>
          <cell r="D132" t="str">
            <v>https://logistics.amazon.co.jp/internal/operations/execution/itineraries?operationView=true&amp;provider=ALL_DRIVERS&amp;selectedDay=2024-06-14&amp;serviceAreaId=7c266549-6b13-404f-be03-c9cc3b5d3c42</v>
          </cell>
        </row>
        <row r="133">
          <cell r="B133" t="str">
            <v>OWJC</v>
          </cell>
          <cell r="C133" t="str">
            <v>c2328099-15b0-4251-bf74-218677433725</v>
          </cell>
          <cell r="D133" t="str">
            <v>https://logistics.amazon.co.jp/internal/operations/execution/itineraries?operationView=true&amp;provider=ALL_DRIVERS&amp;selectedDay=2024-06-14&amp;serviceAreaId=c2328099-15b0-4251-bf74-218677433725</v>
          </cell>
        </row>
        <row r="134">
          <cell r="B134" t="str">
            <v>OWJM</v>
          </cell>
          <cell r="C134" t="str">
            <v>8f3c82ed-0717-4ca9-aedf-6589b2943e24</v>
          </cell>
          <cell r="D134" t="str">
            <v>https://logistics.amazon.co.jp/internal/operations/execution/itineraries?operationView=true&amp;provider=ALL_DRIVERS&amp;selectedDay=2024-08-27&amp;serviceAreaId=8f3c82ed-0717-4ca9-aedf-6589b2943e24</v>
          </cell>
        </row>
        <row r="135">
          <cell r="B135" t="str">
            <v>DWJ4</v>
          </cell>
          <cell r="C135" t="str">
            <v>85fef29e-2d31-4cc1-b6b6-b3db82d95290</v>
          </cell>
          <cell r="D135" t="str">
            <v>https://logistics.amazon.co.jp/operations/execution/itineraries?cortexv2=true&amp;operationView=true&amp;progressStatusFilterValue&amp;providerFilter=ALL_DPS&amp;selectedDay=2023-08-26&amp;serviceAreaId=85fef29e-2d31-4cc1-b6b6-b3db82d95290</v>
          </cell>
        </row>
        <row r="136">
          <cell r="B136" t="str">
            <v>MCB1</v>
          </cell>
          <cell r="C136" t="str">
            <v>ec5b8c5a-90df-444f-b977-b828f9d8351b</v>
          </cell>
          <cell r="D136" t="str">
            <v>https://logistics.amazon.co.jp/internal/operations/execution/itineraries?operationView=true&amp;provider=ALL_DRIVERS&amp;selectedDay=2024-06-14&amp;serviceAreaId=ec5b8c5a-90df-444f-b977-b828f9d8351b</v>
          </cell>
        </row>
        <row r="137">
          <cell r="B137" t="str">
            <v>MCJ1</v>
          </cell>
          <cell r="C137" t="str">
            <v>fc089426-6237-418d-80af-6fd0580ecdad</v>
          </cell>
          <cell r="D137" t="str">
            <v>https://logistics.amazon.co.jp/internal/operations/execution/itineraries?operationView=true&amp;provider=ALL_DRIVERS&amp;selectedDay=2024-06-14&amp;serviceAreaId=fc089426-6237-418d-80af-6fd0580ecdad</v>
          </cell>
        </row>
        <row r="138">
          <cell r="B138" t="str">
            <v>MCJ2</v>
          </cell>
          <cell r="C138" t="str">
            <v>4382c9fc-8400-4dcf-a6f4-2b5c7a7ce05a</v>
          </cell>
          <cell r="D138" t="str">
            <v>https://logistics.amazon.co.jp/operations/execution/itineraries?operationView=true&amp;provider=ALL_DRIVERS&amp;providerFilter=UNASSIGNED&amp;routesFilter=InProgress&amp;selectedDay=2024-05-14&amp;serviceAreaId=4382c9fc-8400-4dcf-a6f4-2b5c7a7ce05a</v>
          </cell>
        </row>
        <row r="139">
          <cell r="B139" t="str">
            <v>MCJ3</v>
          </cell>
          <cell r="C139" t="str">
            <v>9fd10d82-7cbd-44cd-b303-1834a41a3c09</v>
          </cell>
          <cell r="D139" t="str">
            <v>https://logistics.amazon.co.jp/operations/execution/routes?providerFilter=UNASSIGNED&amp;routesFilter=InProgress&amp;selectedDay=2022-08-20&amp;serviceAreaId=9fd10d82-7cbd-44cd-b303-1834a41a3c09</v>
          </cell>
        </row>
        <row r="140">
          <cell r="B140" t="str">
            <v>MCJ4</v>
          </cell>
          <cell r="C140" t="str">
            <v>901399df-d23b-4ad8-a5fd-e65fdccd4225</v>
          </cell>
          <cell r="D140" t="str">
            <v>https://logistics.amazon.co.jp/operations/execution/itineraries?operationView=true&amp;providerFilter=UNASSIGNED&amp;routesFilter=InProgress&amp;selectedDay=2022-07-14&amp;serviceAreaId=901399df-d23b-4ad8-a5fd-e65fdccd4225</v>
          </cell>
        </row>
        <row r="141">
          <cell r="B141" t="str">
            <v>MCJ5</v>
          </cell>
          <cell r="C141" t="str">
            <v>3fb526e4-f09e-4934-aad3-74b9fe161c80</v>
          </cell>
          <cell r="D141" t="str">
            <v>https://logistics.amazon.co.jp/operations/execution/itineraries?operationView=true&amp;providerFilter=UNASSIGNED&amp;routesFilter=InProgress&amp;selectedDay=2023-09-07&amp;serviceAreaId=3fb526e4-f09e-4934-aad3-74b9fe161c80</v>
          </cell>
        </row>
        <row r="142">
          <cell r="B142" t="str">
            <v>MCJ6</v>
          </cell>
          <cell r="C142" t="str">
            <v>1a02b1c6-2667-4225-9fb8-58c226392067</v>
          </cell>
          <cell r="D142" t="str">
            <v>https://logistics.amazon.co.jp/operations/execution/itineraries?cortexv2=true&amp;operationView=true&amp;progressStatusFilterValue&amp;providerFilter=ALL_DPS&amp;selectedDay=2023-08-03&amp;serviceAreaId=1a02b1c6-2667-4225-9fb8-58c226392067</v>
          </cell>
        </row>
        <row r="143">
          <cell r="B143" t="str">
            <v>MCJ7</v>
          </cell>
          <cell r="C143" t="str">
            <v>078a3314-4b4d-4481-b512-fe97878bbd01</v>
          </cell>
          <cell r="D143" t="str">
            <v>https://logistics.amazon.co.jp/operations/execution/itineraries?operationView=true&amp;provider=ALL_DRIVERS&amp;providerFilter=UNASSIGNED&amp;routesFilter=InProgress&amp;selectedDay=2024-04-28&amp;serviceAreaId=078a3314-4b4d-4481-b512-fe97878bbd01</v>
          </cell>
        </row>
        <row r="144">
          <cell r="B144" t="str">
            <v>MCJ9</v>
          </cell>
          <cell r="C144" t="str">
            <v>5f9f0ce8-b940-479d-bf84-30c0fc928038</v>
          </cell>
          <cell r="D144" t="str">
            <v>https://logistics.amazon.co.jp/operations/execution/itineraries?cortexv2=true&amp;operationView=true&amp;progressStatusFilterValue&amp;providerFilter=ALL_DPS&amp;selectedDay=2023-09-19&amp;serviceAreaId=5f9f0ce8-b940-479d-bf84-30c0fc928038</v>
          </cell>
        </row>
        <row r="145">
          <cell r="B145" t="str">
            <v>MEJ1</v>
          </cell>
          <cell r="C145" t="str">
            <v>fa00bc2b-67f9-4c99-a8c3-07390c29c132</v>
          </cell>
          <cell r="D145" t="str">
            <v>https://logistics.amazon.co.jp/operations/execution/itineraries?operationView=true&amp;providerFilter=UNASSIGNED&amp;routesFilter=InProgress&amp;selectedDay=2023-09-04&amp;serviceAreaId=fa00bc2b-67f9-4c99-a8c3-07390c29c132</v>
          </cell>
        </row>
        <row r="146">
          <cell r="B146" t="str">
            <v>MFK1</v>
          </cell>
          <cell r="C146" t="str">
            <v>8e74ea47-3eea-4efb-a394-2cc33aa8cb74</v>
          </cell>
          <cell r="D146" t="str">
            <v>https://logistics.amazon.co.jp/internal/operations/execution/itineraries?operationView=true&amp;provider=ALL_DRIVERS&amp;selectedDay=2024-06-14&amp;serviceAreaId=8e74ea47-3eea-4efb-a394-2cc33aa8cb74</v>
          </cell>
        </row>
        <row r="147">
          <cell r="B147" t="str">
            <v>MFK3</v>
          </cell>
          <cell r="C147" t="str">
            <v>5027a3e7-64db-4936-b46e-9899f8a9092d</v>
          </cell>
          <cell r="D147" t="str">
            <v>https://logistics.amazon.co.jp/operations/execution/itineraries?operationView=true&amp;provider=ALL_DRIVERS&amp;providerFilter=UNASSIGNED&amp;routesFilter=InProgress&amp;selectedDay=2024-05-14&amp;serviceAreaId=5027a3e7-64db-4936-b46e-9899f8a9092d</v>
          </cell>
        </row>
        <row r="148">
          <cell r="B148" t="str">
            <v>MHR1</v>
          </cell>
          <cell r="C148" t="str">
            <v>12420a0c-848b-4c0e-909a-03ea0a909301</v>
          </cell>
          <cell r="D148" t="str">
            <v>https://logistics.amazon.co.jp/operations/execution/itineraries?operationView=true&amp;providerFilter=UNASSIGNED&amp;routesFilter=InProgress&amp;selectedDay=2023-09-02&amp;serviceAreaId=12420a0c-848b-4c0e-909a-03ea0a909301</v>
          </cell>
        </row>
        <row r="149">
          <cell r="B149" t="str">
            <v>MKG1</v>
          </cell>
          <cell r="C149" t="str">
            <v>222070a2-6f48-48d8-b83d-14a32b5ba455</v>
          </cell>
          <cell r="D149" t="str">
            <v>https://logistics.amazon.co.jp/operations/execution/itineraries?operationView=true&amp;selectedDay=2022-07-17&amp;serviceAreaId=222070a2-6f48-48d8-b83d-14a32b5ba455</v>
          </cell>
        </row>
        <row r="150">
          <cell r="B150" t="str">
            <v>MKG2</v>
          </cell>
          <cell r="C150" t="str">
            <v>70d8ddb0-5235-4da6-90d0-41c0b1a0db70</v>
          </cell>
          <cell r="D150" t="str">
            <v>https://logistics.amazon.co.jp/operations/execution/itineraries?operationView=true&amp;selectedDay=2022-09-18&amp;serviceAreaId=70d8ddb0-5235-4da6-90d0-41c0b1a0db70</v>
          </cell>
        </row>
        <row r="151">
          <cell r="B151" t="str">
            <v>MKG3</v>
          </cell>
          <cell r="C151" t="str">
            <v>1d0987d5-f90e-4d70-ab69-72b2326e8e9e</v>
          </cell>
          <cell r="D151" t="str">
            <v>https://logistics.amazon.co.jp/internal/operations/execution/itineraries?operationView=true&amp;provider=ALL_DRIVERS&amp;selectedDay=2024-06-14&amp;serviceAreaId=1d0987d5-f90e-4d70-ab69-72b2326e8e9e</v>
          </cell>
        </row>
        <row r="152">
          <cell r="B152" t="str">
            <v>MKG4</v>
          </cell>
          <cell r="C152" t="str">
            <v>09bf3475-261d-4167-9cfb-02afd1bf24a5</v>
          </cell>
          <cell r="D152" t="str">
            <v>https://logistics.amazon.co.jp/operations/execution/itineraries?operationView=true&amp;providerFilter=UNASSIGNED&amp;routesFilter=InProgress&amp;selectedDay=2022-07-17&amp;serviceAreaId=09bf3475-261d-4167-9cfb-02afd1bf24a5</v>
          </cell>
        </row>
        <row r="153">
          <cell r="B153" t="str">
            <v>MMG1</v>
          </cell>
          <cell r="C153" t="str">
            <v>522f5c9e-03c8-432c-8bd3-248ee905035e</v>
          </cell>
          <cell r="D153" t="str">
            <v>https://logistics.amazon.co.jp/internal/operations/execution/itineraries?operationView=true&amp;provider=ALL_DRIVERS&amp;selectedDay=2024-06-14&amp;serviceAreaId=522f5c9e-03c8-432c-8bd3-248ee905035e</v>
          </cell>
        </row>
        <row r="154">
          <cell r="B154" t="str">
            <v>MMG2</v>
          </cell>
          <cell r="C154" t="str">
            <v>11e21a84-b910-4b58-a56a-196cb942b4fa</v>
          </cell>
          <cell r="D154" t="str">
            <v>https://logistics.amazon.co.jp/internal/operations/execution/itineraries?operationView=true&amp;provider=ALL_DRIVERS&amp;selectedDay=2024-06-14&amp;serviceAreaId=11e21a84-b910-4b58-a56a-196cb942b4fa</v>
          </cell>
        </row>
        <row r="155">
          <cell r="B155" t="str">
            <v>MMG3</v>
          </cell>
          <cell r="C155" t="str">
            <v>27768c1f-7451-4c57-a5bb-bf5634f8e90c</v>
          </cell>
          <cell r="D155" t="str">
            <v>https://logistics.amazon.co.jp/internal/operations/execution/itineraries?operationView=true&amp;provider=ALL_DRIVERS&amp;selectedDay=2024-06-14&amp;serviceAreaId=
27768c1f-7451-4c57-a5bb-bf5634f8e90c</v>
          </cell>
        </row>
        <row r="156">
          <cell r="B156" t="str">
            <v>MMG4</v>
          </cell>
          <cell r="C156" t="str">
            <v>a7f4f04a-adfa-4afd-8b9f-7858067978e0</v>
          </cell>
          <cell r="D156" t="str">
            <v>https://logistics.amazon.co.jp/internal/operations/execution/itineraries?operationView=true&amp;provider=ALL_DRIVERS&amp;selectedDay=2024-06-14&amp;serviceAreaId=a7f4f04a-adfa-4afd-8b9f-7858067978e0</v>
          </cell>
        </row>
        <row r="157">
          <cell r="B157" t="str">
            <v>JAE8</v>
          </cell>
          <cell r="C157" t="str">
            <v>ba94e152-90de-49fd-8623-5e97b202200c</v>
          </cell>
          <cell r="D157" t="str">
            <v>https://logistics.amazon.co.jp/operations/execution/routes?providerFilter=ALL_DSPS&amp;selectedDay=2022-02-23&amp;serviceAreaId=ba94e152-90de-49fd-8623-5e97b202200c</v>
          </cell>
        </row>
        <row r="158">
          <cell r="B158" t="str">
            <v>JEA5</v>
          </cell>
          <cell r="C158" t="str">
            <v>df69be21-d5cc-4b60-8fd7-04d26198853e</v>
          </cell>
          <cell r="D158" t="str">
            <v>https://logistics.amazon.co.jp/operations/execution/routes?providerFilter=ALL_DSPS&amp;selectedDay=2022-02-23&amp;serviceAreaId=df69be21-d5cc-4b60-8fd7-04d26198853e</v>
          </cell>
        </row>
        <row r="159">
          <cell r="B159" t="str">
            <v>JEB8</v>
          </cell>
          <cell r="C159" t="str">
            <v>f4cf0ba1-597e-47a4-90dc-f09bdeed6b3f</v>
          </cell>
          <cell r="D159" t="str">
            <v>https://logistics.amazon.co.jp/operations/execution/routes?providerFilter=ALL_DSPS&amp;selectedDay=2022-02-23&amp;serviceAreaId=f4cf0ba1-597e-47a4-90dc-f09bdeed6b3f</v>
          </cell>
        </row>
        <row r="160">
          <cell r="B160" t="str">
            <v>JBA7</v>
          </cell>
          <cell r="C160" t="str">
            <v>bb82b4c0-d175-4087-9592-b5f4561604cc</v>
          </cell>
          <cell r="D160" t="str">
            <v>https://logistics.amazon.co.jp/operations/execution/routes?providerFilter=ALL_DSPS&amp;selectedDay=2022-02-23&amp;serviceAreaId=bb82b4c0-d175-4087-9592-b5f4561604cc</v>
          </cell>
        </row>
        <row r="161">
          <cell r="B161" t="str">
            <v>JBB6</v>
          </cell>
          <cell r="C161" t="str">
            <v>7b498b23-2397-422b-8133-917a61ad07fd</v>
          </cell>
          <cell r="D161" t="str">
            <v>https://logistics.amazon.co.jp/operations/execution/routes?providerFilter=ALL_DSPS&amp;selectedDay=2022-02-23&amp;serviceAreaId=7b498b23-2397-422b-8133-917a61ad07fd</v>
          </cell>
        </row>
        <row r="162">
          <cell r="B162" t="str">
            <v>JBB5</v>
          </cell>
          <cell r="C162" t="str">
            <v>85081d66-afae-43b7-bce3-c1f3535edf36</v>
          </cell>
          <cell r="D162" t="str">
            <v>https://logistics.amazon.co.jp/operations/execution/routes?providerFilter=ALL_DSPS&amp;selectedDay=2022-02-23&amp;serviceAreaId=85081d66-afae-43b7-bce3-c1f3535edf36</v>
          </cell>
        </row>
        <row r="163">
          <cell r="B163" t="str">
            <v>JBF4</v>
          </cell>
          <cell r="C163" t="str">
            <v>9e8327d8-e7dd-4f7b-a417-dcdadd47f70a</v>
          </cell>
          <cell r="D163" t="str">
            <v>https://logistics.amazon.co.jp/operations/execution/routes?providerFilter=ALL_DSPS&amp;selectedDay=2022-02-23&amp;serviceAreaId=9e8327d8-e7dd-4f7b-a417-dcdadd47f70a</v>
          </cell>
        </row>
        <row r="164">
          <cell r="B164" t="str">
            <v>JBF2</v>
          </cell>
          <cell r="C164" t="str">
            <v>ab96ab9a-820e-490e-a193-90d331f3b038</v>
          </cell>
          <cell r="D164" t="str">
            <v>https://logistics.amazon.co.jp/operations/execution/routes?providerFilter=ALL_DSPS&amp;selectedDay=2022-02-23&amp;serviceAreaId=ab96ab9a-820e-490e-a193-90d331f3b038</v>
          </cell>
        </row>
        <row r="165">
          <cell r="B165" t="str">
            <v>JDH5</v>
          </cell>
          <cell r="C165" t="str">
            <v>35e14d21-9d76-49b2-9404-e2aa201e54dd</v>
          </cell>
          <cell r="D165" t="str">
            <v>https://logistics.amazon.co.jp/operations/execution/routes?providerFilter=ALL_DSPS&amp;selectedDay=2022-02-23&amp;serviceAreaId=35e14d21-9d76-49b2-9404-e2aa201e54dd</v>
          </cell>
        </row>
        <row r="166">
          <cell r="B166" t="str">
            <v>JAF4</v>
          </cell>
          <cell r="C166" t="str">
            <v>88451d6e-dc20-4b20-9124-68f0076edfac</v>
          </cell>
          <cell r="D166" t="str">
            <v>https://logistics.amazon.co.jp/operations/execution/routes?providerFilter=ALL_DSPS&amp;selectedDay=2022-02-23&amp;serviceAreaId=88451d6e-dc20-4b20-9124-68f0076edfac</v>
          </cell>
        </row>
        <row r="167">
          <cell r="B167" t="str">
            <v>JAF7</v>
          </cell>
          <cell r="C167" t="str">
            <v>8027d08f-7a86-43de-8974-111c2cca8386</v>
          </cell>
          <cell r="D167" t="str">
            <v>https://logistics.amazon.co.jp/operations/execution/routes?providerFilter=ALL_DSPS&amp;selectedDay=2022-02-23&amp;serviceAreaId=8027d08f-7a86-43de-8974-111c2cca8386</v>
          </cell>
        </row>
        <row r="168">
          <cell r="B168" t="str">
            <v>JAC4</v>
          </cell>
          <cell r="C168" t="str">
            <v>f0304074-2078-4744-b3c8-c086f837b587</v>
          </cell>
          <cell r="D168" t="str">
            <v>https://logistics.amazon.co.jp/operations/execution/routes?providerFilter=ALL_DSPS&amp;selectedDay=2022-02-23&amp;serviceAreaId=f0304074-2078-4744-b3c8-c086f837b587</v>
          </cell>
        </row>
        <row r="169">
          <cell r="B169" t="str">
            <v>JGA2</v>
          </cell>
          <cell r="C169" t="str">
            <v>d1c9449f-e3a0-485e-80e0-ae5357f4eab7</v>
          </cell>
          <cell r="D169" t="str">
            <v>https://logistics.amazon.co.jp/operations/execution/routes?providerFilter=ALL_DSPS&amp;selectedDay=2022-02-23&amp;serviceAreaId=d1c9449f-e3a0-485e-80e0-ae5357f4eab7</v>
          </cell>
        </row>
        <row r="170">
          <cell r="B170" t="str">
            <v>JDG3</v>
          </cell>
          <cell r="C170" t="str">
            <v>9a76fed5-6d4a-407c-a508-8e6136e7cdbf</v>
          </cell>
          <cell r="D170" t="str">
            <v>https://logistics.amazon.co.jp/operations/execution/routes?providerFilter=ALL_DSPS&amp;selectedDay=2022-02-23&amp;serviceAreaId=9a76fed5-6d4a-407c-a508-8e6136e7cdbf</v>
          </cell>
        </row>
        <row r="171">
          <cell r="B171" t="str">
            <v>HAC2</v>
          </cell>
          <cell r="C171" t="str">
            <v>1768fbc6-9746-4852-b776-066465fadb20</v>
          </cell>
          <cell r="D171" t="str">
            <v>https://logistics.amazon.co.jp/operations/execution/routes?providerFilter=ALL_DSPS&amp;selectedDay=2022-02-23&amp;serviceAreaId=1768fbc6-9746-4852-b776-066465fadb20</v>
          </cell>
        </row>
        <row r="172">
          <cell r="B172" t="str">
            <v>JEC1</v>
          </cell>
          <cell r="C172" t="str">
            <v>18e5f619-0bb5-45a5-a475-666dc9883b83</v>
          </cell>
          <cell r="D172" t="str">
            <v>https://logistics.amazon.co.jp/operations/execution/routes?providerFilter=ALL_DSPS&amp;selectedDay=2022-06-21&amp;serviceAreaId=18e5f619-0bb5-45a5-a475-666dc9883b83</v>
          </cell>
        </row>
        <row r="173">
          <cell r="B173" t="str">
            <v>JEC2</v>
          </cell>
          <cell r="C173" t="str">
            <v>3b256365-cb05-4213-98c8-a60921fa83c4</v>
          </cell>
          <cell r="D173" t="str">
            <v>https://logistics.amazon.co.jp/operations/execution/routes?providerFilter=UNASSIGNED&amp;selectedDay=2022-07-02&amp;serviceAreaId=3b256365-cb05-4213-98c8-a60921fa83c4</v>
          </cell>
        </row>
        <row r="174">
          <cell r="B174" t="str">
            <v>JCA7</v>
          </cell>
          <cell r="C174" t="str">
            <v>ee944bf7-a246-4131-b4c3-e5070da5407e</v>
          </cell>
          <cell r="D174" t="str">
            <v>https://logistics.amazon.co.jp/operations/execution/routes?providerFilter=UNASSIGNED&amp;routesFilter=&amp;selectedDay=2022-04-08&amp;serviceAreaId=ee944bf7-a246-4131-b4c3-e5070da5407e</v>
          </cell>
        </row>
        <row r="175">
          <cell r="B175" t="str">
            <v>JDH8</v>
          </cell>
          <cell r="C175" t="str">
            <v>3e6f2ba2-3f7c-4834-ab68-ef8437b4e214</v>
          </cell>
          <cell r="D175" t="str">
            <v>https://logistics.amazon.co.jp/operations/execution/routes?providerFilter=UNASSIGNED&amp;routesFilter=InProgress&amp;selectedDay=2022-05-31&amp;serviceAreaId=3e6f2ba2-3f7c-4834-ab68-ef8437b4e214</v>
          </cell>
        </row>
        <row r="176">
          <cell r="B176" t="str">
            <v>JEB9</v>
          </cell>
          <cell r="C176" t="str">
            <v>a063f571-363a-48db-baf8-0ec7afb6dfad</v>
          </cell>
          <cell r="D176" t="str">
            <v>https://logistics.amazon.co.jp/operations/execution/routes?providerFilter=UNASSIGNED&amp;routesFilter=InProgress&amp;selectedDay=2022-05-31&amp;serviceAreaId=a063f571-363a-48db-baf8-0ec7afb6dfad</v>
          </cell>
        </row>
        <row r="177">
          <cell r="B177" t="str">
            <v>JEB2</v>
          </cell>
          <cell r="C177" t="str">
            <v>95ac48a0-2b4d-4618-ab33-b1cbf18f1611</v>
          </cell>
          <cell r="D177" t="str">
            <v>https://logistics.amazon.co.jp/operations/execution/routes?providerFilter=UNASSIGNED&amp;routesFilter=InProgress&amp;selectedDay=2022-05-31&amp;serviceAreaId=95ac48a0-2b4d-4618-ab33-b1cbf18f1611</v>
          </cell>
        </row>
        <row r="178">
          <cell r="B178" t="str">
            <v>JDE8</v>
          </cell>
          <cell r="C178" t="str">
            <v>c401ca44-05ad-46b1-a2c7-89af197e6cbf</v>
          </cell>
          <cell r="D178" t="str">
            <v>https://logistics.amazon.co.jp/operations/execution/routes?providerFilter=ALL_DSPS&amp;routesFilter=InProgress&amp;selectedDay=2022-05-31&amp;serviceAreaId=c401ca44-05ad-46b1-a2c7-89af197e6cbf</v>
          </cell>
        </row>
        <row r="179">
          <cell r="B179" t="str">
            <v>JHB3</v>
          </cell>
          <cell r="C179" t="str">
            <v>d02eb31b-5384-4e5b-add4-349725c6de6c</v>
          </cell>
          <cell r="D179" t="str">
            <v>https://logistics.amazon.co.jp/operations/execution/routes?providerFilter=ALL_DSPS&amp;routesFilter=InProgress&amp;selectedDay=2022-05-31&amp;serviceAreaId=d02eb31b-5384-4e5b-add4-349725c6de6c</v>
          </cell>
        </row>
        <row r="180">
          <cell r="B180" t="str">
            <v>JEB3</v>
          </cell>
          <cell r="C180" t="str">
            <v>6c548915-5be8-4c2c-88a0-2ea30dbe9204</v>
          </cell>
          <cell r="D180" t="str">
            <v>https://logistics.amazon.co.jp/operations/execution/routes?providerFilter=UNASSIGNED&amp;routesFilter=InProgress&amp;selectedDay=2022-06-13&amp;serviceAreaId=6c548915-5be8-4c2c-88a0-2ea30dbe9204</v>
          </cell>
        </row>
        <row r="181">
          <cell r="B181" t="str">
            <v>JAF5</v>
          </cell>
          <cell r="C181" t="str">
            <v>5d676ffc-32f1-458c-b2dc-2010b9376d06</v>
          </cell>
          <cell r="D181" t="str">
            <v>https://logistics.amazon.co.jp/operations/execution/itineraries?operationView=true&amp;providerFilter=UNASSIGNED&amp;routesFilter=InProgress&amp;selectedDay=2022-06-18&amp;serviceAreaId=5d676ffc-32f1-458c-b2dc-2010b9376d06</v>
          </cell>
        </row>
        <row r="182">
          <cell r="B182" t="str">
            <v>JHA8</v>
          </cell>
          <cell r="C182" t="str">
            <v>ed571468-154f-4589-967b-a2fb4da25947</v>
          </cell>
          <cell r="D182" t="str">
            <v>https://logistics.amazon.co.jp/operations/execution/itineraries?operationView=true&amp;providerFilter=UNASSIGNED&amp;routesFilter=InProgress&amp;selectedDay=2022-06-18&amp;serviceAreaId=ed571468-154f-4589-967b-a2fb4da25947</v>
          </cell>
        </row>
        <row r="183">
          <cell r="B183" t="str">
            <v>JAF2</v>
          </cell>
          <cell r="C183" t="str">
            <v>7076bab7-31eb-40ce-b3fd-000691dfdd57</v>
          </cell>
          <cell r="D183" t="str">
            <v>https://logistics.amazon.co.jp/operations/execution/routes?providerFilter=ALL_DSPS&amp;routesFilter=InProgress&amp;selectedDay=2022-06-24&amp;serviceAreaId=7076bab7-31eb-40ce-b3fd-000691dfdd57</v>
          </cell>
        </row>
        <row r="184">
          <cell r="B184" t="str">
            <v>JAG1</v>
          </cell>
          <cell r="C184" t="str">
            <v>fb5f7b17-b363-4293-812a-790ce3d0c81b</v>
          </cell>
          <cell r="D184" t="str">
            <v>https://logistics.amazon.co.jp/operations/execution/routes?providerFilter=ALL_DSPS&amp;routesFilter=InProgress&amp;selectedDay=2022-06-21&amp;serviceAreaId=fb5f7b17-b363-4293-812a-790ce3d0c81b</v>
          </cell>
        </row>
        <row r="185">
          <cell r="B185" t="str">
            <v>JAE1</v>
          </cell>
          <cell r="C185" t="str">
            <v>9449a60d-fdab-4da0-b1e6-b4c29abe21ad</v>
          </cell>
          <cell r="D185" t="str">
            <v>https://logistics.amazon.co.jp/operations/execution/routes?providerFilter=ALL_DSPS&amp;routesFilter=InProgress&amp;selectedDay=2022-06-24&amp;serviceAreaId=9449a60d-fdab-4da0-b1e6-b4c29abe21ad</v>
          </cell>
        </row>
        <row r="186">
          <cell r="B186" t="str">
            <v>JAE4</v>
          </cell>
          <cell r="C186" t="str">
            <v>645a3f86-fd8f-45e4-8f6c-7150f014c725</v>
          </cell>
          <cell r="D186" t="str">
            <v>https://logistics.amazon.co.jp/operations/execution/routes?providerFilter=ALL_DSPS&amp;routesFilter=InProgress&amp;selectedDay=2022-06-24&amp;serviceAreaId=645a3f86-fd8f-45e4-8f6c-7150f014c725</v>
          </cell>
        </row>
        <row r="187">
          <cell r="B187" t="str">
            <v>JAE5</v>
          </cell>
          <cell r="C187" t="str">
            <v>8c161541-70df-4ac8-97af-506d956e237a</v>
          </cell>
          <cell r="D187" t="str">
            <v>https://logistics.amazon.co.jp/operations/execution/routes?providerFilter=ALL_DSPS&amp;routesFilter=InProgress&amp;selectedDay=2022-06-24&amp;serviceAreaId=8c161541-70df-4ac8-97af-506d956e237a</v>
          </cell>
        </row>
        <row r="188">
          <cell r="B188" t="str">
            <v>JAC2</v>
          </cell>
          <cell r="C188" t="str">
            <v>6d8e6780-b557-4be5-9c8c-95051b97d63d</v>
          </cell>
          <cell r="D188" t="str">
            <v>https://logistics.amazon.co.jp/operations/execution/routes?providerFilter=ALL_DSPS&amp;routesFilter=InProgress&amp;selectedDay=2022-06-24&amp;serviceAreaId=6d8e6780-b557-4be5-9c8c-95051b97d63d</v>
          </cell>
        </row>
        <row r="189">
          <cell r="B189" t="str">
            <v>JAD7</v>
          </cell>
          <cell r="C189" t="str">
            <v>f7b0bdc9-dadd-46a8-8f9f-9e97fd181c85</v>
          </cell>
          <cell r="D189" t="str">
            <v>https://logistics.amazon.co.jp/operations/execution/routes?providerFilter=ALL_DSPS&amp;routesFilter=InProgress&amp;selectedDay=2022-06-24&amp;serviceAreaId=f7b0bdc9-dadd-46a8-8f9f-9e97fd181c85</v>
          </cell>
        </row>
        <row r="190">
          <cell r="B190" t="str">
            <v>JBB8</v>
          </cell>
          <cell r="C190" t="str">
            <v>3a0aa760-60ad-4c67-8758-7932924079aa</v>
          </cell>
          <cell r="D190" t="str">
            <v>https://logistics.amazon.co.jp/operations/execution/routes?providerFilter=ALL_DSPS&amp;routesFilter=InProgress&amp;selectedDay=2022-06-24&amp;serviceAreaId=3a0aa760-60ad-4c67-8758-7932924079aa</v>
          </cell>
        </row>
        <row r="191">
          <cell r="B191" t="str">
            <v>JBE8</v>
          </cell>
          <cell r="C191" t="str">
            <v>41205e66-425d-4b40-ae87-24322fefba15</v>
          </cell>
          <cell r="D191" t="str">
            <v>https://logistics.amazon.co.jp/operations/execution/routes?providerFilter=ALL_DSPS&amp;routesFilter=InProgress&amp;selectedDay=2022-06-24&amp;serviceAreaId=41205e66-425d-4b40-ae87-24322fefba15</v>
          </cell>
        </row>
        <row r="192">
          <cell r="B192" t="str">
            <v>JHA9</v>
          </cell>
          <cell r="C192" t="str">
            <v>dc0ae190-1d9a-4977-8f1a-8110d3d4ce96</v>
          </cell>
          <cell r="D192" t="str">
            <v>https://logistics.amazon.co.jp/operations/execution/routes?providerFilter=ALL_DSPS&amp;routesFilter=InProgress&amp;selectedDay=2022-06-24&amp;serviceAreaId=dc0ae190-1d9a-4977-8f1a-8110d3d4ce96</v>
          </cell>
        </row>
        <row r="193">
          <cell r="B193" t="str">
            <v>JDI9</v>
          </cell>
          <cell r="C193" t="str">
            <v>efb3b337-840e-46e3-9a0e-5509be030320</v>
          </cell>
          <cell r="D193" t="str">
            <v>https://logistics.amazon.co.jp/operations/execution/routes?providerFilter=ALL_DSPS&amp;routesFilter=InProgress&amp;selectedDay=2022-06-25&amp;serviceAreaId=efb3b337-840e-46e3-9a0e-5509be030320</v>
          </cell>
        </row>
        <row r="194">
          <cell r="B194" t="str">
            <v>JDH7</v>
          </cell>
          <cell r="C194" t="str">
            <v>fed5a14a-20b9-477c-b1c0-e6b2a8f94d91</v>
          </cell>
          <cell r="D194" t="str">
            <v>https://logistics.amazon.co.jp/operations/execution/itineraries?operationView=true&amp;providerFilter=UNASSIGNED&amp;routesFilter=InProgress&amp;selectedDay=2022-07-12&amp;serviceAreaId=fed5a14a-20b9-477c-b1c0-e6b2a8f94d91</v>
          </cell>
        </row>
        <row r="195">
          <cell r="B195" t="str">
            <v>JBG6</v>
          </cell>
          <cell r="C195" t="str">
            <v>b4f2e771-7137-4854-bd31-2cff12a26129</v>
          </cell>
          <cell r="D195" t="str">
            <v>https://logistics.amazon.co.jp/operations/execution/itineraries?operationView=true&amp;providerFilter=UNASSIGNED&amp;routesFilter=InProgress&amp;selectedDay=2022-07-24&amp;serviceAreaId=b4f2e771-7137-4854-bd31-2cff12a26129</v>
          </cell>
        </row>
        <row r="196">
          <cell r="B196" t="str">
            <v>JAG4</v>
          </cell>
          <cell r="C196" t="str">
            <v>18d4572b-e491-46b6-89c7-71711bb1e3b1</v>
          </cell>
          <cell r="D196" t="str">
            <v>https://logistics.amazon.co.jp/operations/execution/itineraries?operationView=true&amp;providerFilter=UNASSIGNED&amp;routesFilter=InProgress&amp;selectedDay=2022-07-27&amp;serviceAreaId=18d4572b-e491-46b6-89c7-71711bb1e3b1</v>
          </cell>
        </row>
        <row r="197">
          <cell r="B197" t="str">
            <v>JBG2</v>
          </cell>
          <cell r="C197" t="str">
            <v>dbff5efb-aa67-408e-bf85-a4b698058de3</v>
          </cell>
          <cell r="D197" t="str">
            <v>https://logistics.amazon.co.jp/operations/execution/itineraries?operationView=true&amp;providerFilter=UNASSIGNED&amp;routesFilter=InProgress&amp;selectedDay=2022-07-27&amp;serviceAreaId=dbff5efb-aa67-408e-bf85-a4b698058de3</v>
          </cell>
        </row>
        <row r="198">
          <cell r="B198" t="str">
            <v>JDF2</v>
          </cell>
          <cell r="C198" t="str">
            <v>699e43be-e9c3-4ca7-92d1-09e561720d2d</v>
          </cell>
          <cell r="D198" t="str">
            <v>https://logistics.amazon.co.jp/operations/execution/itineraries?operationView=true&amp;providerFilter=UNASSIGNED&amp;routesFilter=InProgress&amp;selectedDay=2022-07-27&amp;serviceAreaId=699e43be-e9c3-4ca7-92d1-09e561720d2d</v>
          </cell>
        </row>
        <row r="199">
          <cell r="B199" t="str">
            <v>JDG7</v>
          </cell>
          <cell r="C199" t="str">
            <v>f23fe327-edb9-49fb-bccc-03cfda4b0dc6</v>
          </cell>
          <cell r="D199" t="str">
            <v>https://logistics.amazon.co.jp/operations/execution/itineraries?operationView=true&amp;providerFilter=UNASSIGNED&amp;routesFilter=InProgress&amp;selectedDay=2022-07-27&amp;serviceAreaId=f23fe327-edb9-49fb-bccc-03cfda4b0dc6</v>
          </cell>
        </row>
        <row r="200">
          <cell r="B200" t="str">
            <v>JKA9</v>
          </cell>
          <cell r="C200" t="str">
            <v>e33a8a1f-3099-443e-9c72-089b2b1806b0</v>
          </cell>
          <cell r="D200" t="str">
            <v>https://logistics.amazon.co.jp/operations/execution/itineraries?operationView=true&amp;providerFilter=UNASSIGNED&amp;routesFilter=InProgress&amp;selectedDay=2022-07-28&amp;serviceAreaId=e33a8a1f-3099-443e-9c72-089b2b1806b0</v>
          </cell>
        </row>
        <row r="201">
          <cell r="B201" t="str">
            <v>JKB5</v>
          </cell>
          <cell r="C201" t="str">
            <v>18ee062c-a292-4678-b167-63676c866602</v>
          </cell>
          <cell r="D201" t="str">
            <v>https://logistics.amazon.co.jp/internal/operations/execution/itineraries?provider=ALL_DRIVERS&amp;selectedDay=2024-10-08&amp;serviceAreaId=18ee062c-a292-4678-b167-63676c866602</v>
          </cell>
        </row>
        <row r="202">
          <cell r="B202" t="str">
            <v>JKB7</v>
          </cell>
          <cell r="C202" t="str">
            <v>bda61e8b-593b-4d82-b06a-74631b2de0b8</v>
          </cell>
          <cell r="D202" t="str">
            <v>https://logistics.amazon.co.jp/operations/execution/itineraries?operationView=true&amp;providerFilter=UNASSIGNED&amp;routesFilter=InProgress&amp;selectedDay=2022-07-28&amp;serviceAreaId=bda61e8b-593b-4d82-b06a-74631b2de0b8</v>
          </cell>
        </row>
        <row r="203">
          <cell r="B203" t="str">
            <v>JBE3</v>
          </cell>
          <cell r="C203" t="str">
            <v>21d7eb81-45fa-4fc6-be2b-180fd8400e0b</v>
          </cell>
          <cell r="D203" t="str">
            <v>https://logistics.amazon.co.jp/operations/execution/itineraries?operationView=true&amp;providerFilter=UNASSIGNED&amp;routesFilter=InProgress&amp;selectedDay=2022-07-31&amp;serviceAreaId=21d7eb81-45fa-4fc6-be2b-180fd8400e0b</v>
          </cell>
        </row>
        <row r="204">
          <cell r="B204" t="str">
            <v>JDJ7</v>
          </cell>
          <cell r="C204" t="str">
            <v>30410755-4a54-4f3b-9012-4d1427ad4f3c</v>
          </cell>
          <cell r="D204" t="str">
            <v>https://logistics.amazon.co.jp/operations/execution/itineraries?operationView=true&amp;providerFilter=UNASSIGNED&amp;routesFilter=InProgress&amp;selectedDay=2022-07-31&amp;serviceAreaId=30410755-4a54-4f3b-9012-4d1427ad4f3c</v>
          </cell>
        </row>
        <row r="205">
          <cell r="B205" t="str">
            <v>JKB4</v>
          </cell>
          <cell r="C205" t="str">
            <v>e7ff713c-f7ab-4468-8c7f-4db293c2727e</v>
          </cell>
          <cell r="D205" t="str">
            <v>https://logistics.amazon.co.jp/operations/execution/itineraries?operationView=true&amp;providerFilter=UNASSIGNED&amp;routesFilter=InProgress&amp;selectedDay=2022-07-31&amp;serviceAreaId=e7ff713c-f7ab-4468-8c7f-4db293c2727e</v>
          </cell>
        </row>
        <row r="206">
          <cell r="B206" t="str">
            <v>JKB6</v>
          </cell>
          <cell r="C206" t="str">
            <v>b5673d08-e750-48eb-9f50-e8f624a42b06</v>
          </cell>
          <cell r="D206" t="str">
            <v>https://logistics.amazon.co.jp/internal/operations/execution/itineraries?provider=ALL_DRIVERS&amp;selectedDay=2024-10-08&amp;serviceAreaId=b5673d08-e750-48eb-9f50-e8f624a42b06</v>
          </cell>
        </row>
        <row r="207">
          <cell r="B207" t="str">
            <v>JDI7</v>
          </cell>
          <cell r="C207" t="str">
            <v>14f5a3c8-5cdb-4713-b303-ce0d954dcdee</v>
          </cell>
          <cell r="D207" t="str">
            <v>https://logistics.amazon.co.jp/operations/execution/itineraries?operationView=true&amp;providerFilter=ALL_DSPS&amp;selectedDay=2022-08-03&amp;serviceAreaId=14f5a3c8-5cdb-4713-b303-ce0d954dcdee</v>
          </cell>
        </row>
        <row r="208">
          <cell r="B208" t="str">
            <v>DAI2</v>
          </cell>
          <cell r="C208" t="str">
            <v>9807b9f9-5b4a-4feb-b5da-f36daff053a6</v>
          </cell>
          <cell r="D208" t="str">
            <v>https://logistics.amazon.co.jp/operations/execution/itineraries?operationView=true&amp;providerFilter=ALL_DSPS&amp;selectedDay=2022-08-30&amp;serviceAreaId=9807b9f9-5b4a-4feb-b5da-f36daff053a6</v>
          </cell>
        </row>
        <row r="209">
          <cell r="B209" t="str">
            <v>ONGC</v>
          </cell>
          <cell r="C209" t="str">
            <v>2d6c9f1c-4728-4805-b823-e8c16b071503</v>
          </cell>
          <cell r="D209" t="str">
            <v>https://logistics.amazon.co.jp/operations/execution/itineraries?operationView=true&amp;providerFilter=UNASSIGNED&amp;routesFilter=InProgress&amp;selectedDay=2022-10-18&amp;serviceAreaId=2d6c9f1c-4728-4805-b823-e8c16b071503</v>
          </cell>
        </row>
        <row r="210">
          <cell r="B210" t="str">
            <v>JAA8</v>
          </cell>
          <cell r="C210" t="str">
            <v>33-bf900cd4063f&amp;summariesTextFilter=</v>
          </cell>
          <cell r="D210" t="str">
            <v>https://logistics.amazon.co.jp/operations/execution/routes?providerFilter=UNASSIGNED&amp;routesFilter=&amp;selectedDay=2022-12-22&amp;serviceAreaId=ae407948-8b74-4435-bb33-bf900cd4063f&amp;summariesTextFilter=</v>
          </cell>
        </row>
        <row r="211">
          <cell r="B211" t="str">
            <v>JAA9</v>
          </cell>
          <cell r="C211" t="str">
            <v>d851b3bb-dc1f-4912-aefc-7153e183ac70</v>
          </cell>
          <cell r="D211" t="str">
            <v>https://logistics.amazon.co.jp/operations/execution/routes?providerFilter=ALL_DSPS&amp;selectedDay=2022-12-24&amp;serviceAreaId=d851b3bb-dc1f-4912-aefc-7153e183ac70</v>
          </cell>
        </row>
        <row r="212">
          <cell r="B212" t="str">
            <v>JAE6</v>
          </cell>
          <cell r="C212" t="str">
            <v>1fd1df81-556e-453b-aba5-fe38dd66709c</v>
          </cell>
          <cell r="D212" t="str">
            <v>https://logistics.amazon.co.jp/operations/execution/itineraries?operationView=true&amp;providerFilter=ALL_DSPS&amp;selectedDay=2022-12-24&amp;serviceAreaId=1fd1df81-556e-453b-aba5-fe38dd66709c</v>
          </cell>
        </row>
        <row r="213">
          <cell r="B213" t="str">
            <v>JAG2</v>
          </cell>
          <cell r="C213" t="str">
            <v>e1a05c1b-5689-4c7d-9446-fad83f277477</v>
          </cell>
          <cell r="D213" t="str">
            <v>https://logistics.amazon.co.jp/operations/execution/itineraries?operationView=true&amp;providerFilter=ALL_DSPS&amp;selectedDay=2022-12-24&amp;serviceAreaId=e1a05c1b-5689-4c7d-9446-fad83f277477</v>
          </cell>
        </row>
        <row r="214">
          <cell r="B214" t="str">
            <v>JBF8</v>
          </cell>
          <cell r="C214" t="str">
            <v>a8ea0d1f-6538-40cb-8e28-c5d8eca080da</v>
          </cell>
          <cell r="D214" t="str">
            <v>https://logistics.amazon.co.jp/operations/execution/itineraries?operationView=true&amp;providerFilter=ALL_DSPS&amp;selectedDay=2022-12-24&amp;serviceAreaId=a8ea0d1f-6538-40cb-8e28-c5d8eca080da</v>
          </cell>
        </row>
        <row r="215">
          <cell r="B215" t="str">
            <v>JKA1</v>
          </cell>
          <cell r="C215" t="str">
            <v>823b0343-2ec3-4c17-9281-8d629971eb62</v>
          </cell>
          <cell r="D215" t="str">
            <v>https://logistics.amazon.co.jp/operations/execution/itineraries?operationView=true&amp;providerFilter=ALL_DSPS&amp;selectedDay=2022-12-24&amp;serviceAreaId=823b0343-2ec3-4c17-9281-8d629971eb62</v>
          </cell>
        </row>
        <row r="216">
          <cell r="B216" t="str">
            <v>JKA2</v>
          </cell>
          <cell r="C216" t="str">
            <v>a40af997-1d2b-4252-af40-0b944246497d</v>
          </cell>
          <cell r="D216" t="str">
            <v>https://logistics.amazon.co.jp/operations/execution/itineraries?operationView=true&amp;providerFilter=ALL_DSPS&amp;selectedDay=2022-12-24&amp;serviceAreaId=a40af997-1d2b-4252-af40-0b944246497d</v>
          </cell>
        </row>
        <row r="217">
          <cell r="B217" t="str">
            <v>JKA3</v>
          </cell>
          <cell r="C217" t="str">
            <v>470fece0-1837-411c-b506-d6f317ac1d8d</v>
          </cell>
          <cell r="D217" t="str">
            <v>https://logistics.amazon.co.jp/operations/execution/itineraries?operationView=true&amp;providerFilter=ALL_DSPS&amp;selectedDay=2022-12-24&amp;serviceAreaId=470fece0-1837-411c-b506-d6f317ac1d8d</v>
          </cell>
        </row>
        <row r="218">
          <cell r="B218" t="str">
            <v>JKB3</v>
          </cell>
          <cell r="C218" t="str">
            <v>061aedf3-f0d0-4277-b19f-0508b398ff47</v>
          </cell>
          <cell r="D218" t="str">
            <v>https://logistics.amazon.co.jp/internal/operations/execution/itineraries?provider=ALL_DRIVERS&amp;selectedDay=2024-10-31&amp;serviceAreaId=061aedf3-f0d0-4277-b19f-0508b398ff47</v>
          </cell>
        </row>
        <row r="219">
          <cell r="B219" t="str">
            <v>JMA2</v>
          </cell>
          <cell r="C219" t="str">
            <v>eaf81d81-f857-4681-9941-8e0bb6a4aa1c</v>
          </cell>
          <cell r="D219" t="str">
            <v>https://logistics.amazon.co.jp/operations/execution/itineraries?operationView=true&amp;providerFilter=UNASSIGNED&amp;routesFilter=InProgress&amp;selectedDay=2023-06-17&amp;serviceAreaId=eaf81d81-f857-4681-9941-8e0bb6a4aa1c</v>
          </cell>
        </row>
        <row r="220">
          <cell r="B220" t="str">
            <v>JMA3</v>
          </cell>
          <cell r="C220" t="str">
            <v>cda79656-1068-4cdc-85e2-4783a5497f3b</v>
          </cell>
          <cell r="D220" t="str">
            <v>https://logistics.amazon.co.jp/operations/execution/itineraries?operationView=true&amp;providerFilter=UNASSIGNED&amp;routesFilter=InProgress&amp;selectedDay=2023-06-17&amp;serviceAreaId=cda79656-1068-4cdc-85e2-4783a5497f3b</v>
          </cell>
        </row>
        <row r="221">
          <cell r="B221" t="str">
            <v>JAG1</v>
          </cell>
          <cell r="C221" t="str">
            <v>fb5f7b17-b363-4293-812a-790ce3d0c81b</v>
          </cell>
          <cell r="D221" t="str">
            <v>https://logistics.amazon.co.jp/operations/execution/routes?providerFilter=ALL_DSPS&amp;routesFilter=InProgress&amp;selectedDay=2022-06-21&amp;serviceAreaId=fb5f7b17-b363-4293-812a-790ce3d0c81b</v>
          </cell>
        </row>
        <row r="222">
          <cell r="B222" t="str">
            <v>JAE1</v>
          </cell>
          <cell r="C222" t="str">
            <v>9449a60d-fdab-4da0-b1e6-b4c29abe21ad</v>
          </cell>
          <cell r="D222" t="str">
            <v>https://logistics.amazon.co.jp/operations/execution/routes?providerFilter=ALL_DSPS&amp;routesFilter=InProgress&amp;selectedDay=2022-06-24&amp;serviceAreaId=9449a60d-fdab-4da0-b1e6-b4c29abe21ad</v>
          </cell>
        </row>
        <row r="223">
          <cell r="B223" t="str">
            <v>JAE4</v>
          </cell>
          <cell r="C223" t="str">
            <v>645a3f86-fd8f-45e4-8f6c-7150f014c725</v>
          </cell>
          <cell r="D223" t="str">
            <v>https://logistics.amazon.co.jp/operations/execution/routes?providerFilter=ALL_DSPS&amp;routesFilter=InProgress&amp;selectedDay=2022-06-24&amp;serviceAreaId=645a3f86-fd8f-45e4-8f6c-7150f014c725</v>
          </cell>
        </row>
        <row r="224">
          <cell r="B224" t="str">
            <v>JAE5</v>
          </cell>
          <cell r="C224" t="str">
            <v>8c161541-70df-4ac8-97af-506d956e237a</v>
          </cell>
          <cell r="D224" t="str">
            <v>https://logistics.amazon.co.jp/operations/execution/routes?providerFilter=ALL_DSPS&amp;routesFilter=InProgress&amp;selectedDay=2022-06-24&amp;serviceAreaId=8c161541-70df-4ac8-97af-506d956e237a</v>
          </cell>
        </row>
        <row r="225">
          <cell r="B225" t="str">
            <v>JAF1</v>
          </cell>
          <cell r="C225" t="str">
            <v>d0b0f5f1-d31e-487d-b6d4-d70783e71024</v>
          </cell>
          <cell r="D225" t="str">
            <v>https://logistics.amazon.co.jp/operations/execution/routes?providerFilter=ALL_DSPS&amp;routesFilter=InProgress&amp;selectedDay=2022-06-24&amp;serviceAreaId=d0b0f5f1-d31e-487d-b6d4-d70783e71024</v>
          </cell>
        </row>
        <row r="226">
          <cell r="B226" t="str">
            <v>JAC2</v>
          </cell>
          <cell r="C226" t="str">
            <v>6d8e6780-b557-4be5-9c8c-95051b97d63d</v>
          </cell>
          <cell r="D226" t="str">
            <v>https://logistics.amazon.co.jp/operations/execution/routes?providerFilter=ALL_DSPS&amp;routesFilter=InProgress&amp;selectedDay=2022-06-24&amp;serviceAreaId=6d8e6780-b557-4be5-9c8c-95051b97d63d</v>
          </cell>
        </row>
        <row r="227">
          <cell r="B227" t="str">
            <v>JAD7</v>
          </cell>
          <cell r="C227" t="str">
            <v>f7b0bdc9-dadd-46a8-8f9f-9e97fd181c85</v>
          </cell>
          <cell r="D227" t="str">
            <v>https://logistics.amazon.co.jp/operations/execution/routes?providerFilter=ALL_DSPS&amp;routesFilter=InProgress&amp;selectedDay=2022-06-24&amp;serviceAreaId=f7b0bdc9-dadd-46a8-8f9f-9e97fd181c85</v>
          </cell>
        </row>
        <row r="228">
          <cell r="B228" t="str">
            <v>JBB8</v>
          </cell>
          <cell r="C228" t="str">
            <v>3a0aa760-60ad-4c67-8758-7932924079aa</v>
          </cell>
          <cell r="D228" t="str">
            <v>https://logistics.amazon.co.jp/operations/execution/routes?providerFilter=ALL_DSPS&amp;routesFilter=InProgress&amp;selectedDay=2022-06-24&amp;serviceAreaId=3a0aa760-60ad-4c67-8758-7932924079aa</v>
          </cell>
        </row>
        <row r="229">
          <cell r="B229" t="str">
            <v>JBE8</v>
          </cell>
          <cell r="C229" t="str">
            <v>41205e66-425d-4b40-ae87-24322fefba15</v>
          </cell>
          <cell r="D229" t="str">
            <v>https://logistics.amazon.co.jp/operations/execution/routes?providerFilter=ALL_DSPS&amp;routesFilter=InProgress&amp;selectedDay=2022-06-24&amp;serviceAreaId=41205e66-425d-4b40-ae87-24322fefba15</v>
          </cell>
        </row>
        <row r="230">
          <cell r="B230" t="str">
            <v>JHA9</v>
          </cell>
          <cell r="C230" t="str">
            <v>dc0ae190-1d9a-4977-8f1a-8110d3d4ce96</v>
          </cell>
          <cell r="D230" t="str">
            <v>https://logistics.amazon.co.jp/operations/execution/routes?providerFilter=ALL_DSPS&amp;routesFilter=InProgress&amp;selectedDay=2022-06-24&amp;serviceAreaId=dc0ae190-1d9a-4977-8f1a-8110d3d4ce96</v>
          </cell>
        </row>
        <row r="231">
          <cell r="B231" t="str">
            <v>JDI9</v>
          </cell>
          <cell r="C231" t="str">
            <v>efb3b337-840e-46e3-9a0e-5509be030320</v>
          </cell>
          <cell r="D231" t="str">
            <v>https://logistics.amazon.co.jp/operations/execution/routes?providerFilter=ALL_DSPS&amp;routesFilter=InProgress&amp;selectedDay=2022-06-25&amp;serviceAreaId=efb3b337-840e-46e3-9a0e-5509be030320</v>
          </cell>
        </row>
        <row r="232">
          <cell r="B232" t="str">
            <v>JEC4</v>
          </cell>
          <cell r="C232" t="str">
            <v>aa76c571-7276-45b9-b018-597a0faa8bda</v>
          </cell>
          <cell r="D232" t="str">
            <v>https://logistics.amazon.co.jp/operations/execution/itineraries?operationView=true&amp;providerFilter=UNASSIGNED&amp;routesFilter=InProgress&amp;selectedDay=2022-06-27&amp;serviceAreaId=aa76c571-7276-45b9-b018-597a0faa8bda</v>
          </cell>
        </row>
        <row r="233">
          <cell r="B233" t="str">
            <v>JBG5</v>
          </cell>
          <cell r="C233" t="str">
            <v>45f84225-5ada-4a39-8e00-8398d192fd79</v>
          </cell>
          <cell r="D233" t="str">
            <v>https://logistics.amazon.co.jp/operations/execution/itineraries?operationView=true&amp;providerFilter=UNASSIGNED&amp;routesFilter=InProgress&amp;selectedDay=2022-07-12&amp;serviceAreaId=45f84225-5ada-4a39-8e00-8398d192fd79</v>
          </cell>
        </row>
        <row r="234">
          <cell r="B234" t="str">
            <v>JAF9</v>
          </cell>
          <cell r="C234" t="str">
            <v>304d46de-0ce8-41d5-b1a5-aff70cfbfa25</v>
          </cell>
          <cell r="D234" t="str">
            <v>https://logistics.amazon.co.jp/operations/execution/itineraries?operationView=true&amp;providerFilter=UNASSIGNED&amp;routesFilter=InProgress&amp;selectedDay=2022-07-24&amp;serviceAreaId=304d46de-0ce8-41d5-b1a5-aff70cfbfa25</v>
          </cell>
        </row>
        <row r="235">
          <cell r="B235" t="str">
            <v>JBG6</v>
          </cell>
          <cell r="C235" t="str">
            <v>b4f2e771-7137-4854-bd31-2cff12a26129</v>
          </cell>
          <cell r="D235" t="str">
            <v>https://logistics.amazon.co.jp/operations/execution/itineraries?operationView=true&amp;providerFilter=UNASSIGNED&amp;routesFilter=InProgress&amp;selectedDay=2022-07-24&amp;serviceAreaId=b4f2e771-7137-4854-bd31-2cff12a26129</v>
          </cell>
        </row>
        <row r="236">
          <cell r="B236" t="str">
            <v>JBG2</v>
          </cell>
          <cell r="C236" t="str">
            <v>dbff5efb-aa67-408e-bf85-a4b698058de3</v>
          </cell>
          <cell r="D236" t="str">
            <v>https://logistics.amazon.co.jp/operations/execution/itineraries?operationView=true&amp;providerFilter=UNASSIGNED&amp;routesFilter=InProgress&amp;selectedDay=2022-07-27&amp;serviceAreaId=dbff5efb-aa67-408e-bf85-a4b698058de3</v>
          </cell>
        </row>
        <row r="237">
          <cell r="B237" t="str">
            <v>JDF1</v>
          </cell>
          <cell r="C237" t="str">
            <v>0e96e6e2-8472-477b-9ef5-c520ea2a56fd</v>
          </cell>
          <cell r="D237" t="str">
            <v>https://logistics.amazon.co.jp/operations/execution/itineraries?operationView=true&amp;providerFilter=UNASSIGNED&amp;routesFilter=InProgress&amp;selectedDay=2022-07-27&amp;serviceAreaId=0e96e6e2-8472-477b-9ef5-c520ea2a56fd</v>
          </cell>
        </row>
        <row r="238">
          <cell r="B238" t="str">
            <v>JKA7</v>
          </cell>
          <cell r="C238" t="str">
            <v>1e1dfaa0-8a70-4622-b580-4ab466294ba5</v>
          </cell>
          <cell r="D238" t="str">
            <v>https://logistics.amazon.co.jp/operations/execution/itineraries?operationView=true&amp;providerFilter=UNASSIGNED&amp;routesFilter=InProgress&amp;selectedDay=2022-07-28&amp;serviceAreaId=1e1dfaa0-8a70-4622-b580-4ab466294ba5</v>
          </cell>
        </row>
        <row r="239">
          <cell r="B239" t="str">
            <v>JKA9</v>
          </cell>
          <cell r="C239" t="str">
            <v>e33a8a1f-3099-443e-9c72-089b2b1806b0</v>
          </cell>
          <cell r="D239" t="str">
            <v>https://logistics.amazon.co.jp/operations/execution/itineraries?operationView=true&amp;providerFilter=UNASSIGNED&amp;routesFilter=InProgress&amp;selectedDay=2022-07-28&amp;serviceAreaId=e33a8a1f-3099-443e-9c72-089b2b1806b0</v>
          </cell>
        </row>
        <row r="240">
          <cell r="B240" t="str">
            <v>JKB5</v>
          </cell>
          <cell r="C240" t="str">
            <v>18ee062c-a292-4678-b167-63676c866602</v>
          </cell>
          <cell r="D240" t="str">
            <v>https://logistics.amazon.co.jp/operations/execution/itineraries?operationView=true&amp;providerFilter=UNASSIGNED&amp;routesFilter=InProgress&amp;selectedDay=2022-07-28&amp;serviceAreaId=18ee062c-a292-4678-b167-63676c866602</v>
          </cell>
        </row>
        <row r="241">
          <cell r="B241" t="str">
            <v>JKB7</v>
          </cell>
          <cell r="C241" t="str">
            <v>bda61e8b-593b-4d82-b06a-74631b2de0b8</v>
          </cell>
          <cell r="D241" t="str">
            <v>https://logistics.amazon.co.jp/operations/execution/itineraries?operationView=true&amp;providerFilter=UNASSIGNED&amp;routesFilter=InProgress&amp;selectedDay=2022-07-28&amp;serviceAreaId=bda61e8b-593b-4d82-b06a-74631b2de0b8</v>
          </cell>
        </row>
        <row r="242">
          <cell r="B242" t="str">
            <v>JBE3</v>
          </cell>
          <cell r="C242" t="str">
            <v>21d7eb81-45fa-4fc6-be2b-180fd8400e0b</v>
          </cell>
          <cell r="D242" t="str">
            <v>https://logistics.amazon.co.jp/operations/execution/itineraries?operationView=true&amp;providerFilter=UNASSIGNED&amp;routesFilter=InProgress&amp;selectedDay=2022-07-31&amp;serviceAreaId=21d7eb81-45fa-4fc6-be2b-180fd8400e0b</v>
          </cell>
        </row>
        <row r="243">
          <cell r="B243" t="str">
            <v>JDJ7</v>
          </cell>
          <cell r="C243" t="str">
            <v>30410755-4a54-4f3b-9012-4d1427ad4f3c</v>
          </cell>
          <cell r="D243" t="str">
            <v>https://logistics.amazon.co.jp/operations/execution/itineraries?operationView=true&amp;providerFilter=UNASSIGNED&amp;routesFilter=InProgress&amp;selectedDay=2022-07-31&amp;serviceAreaId=30410755-4a54-4f3b-9012-4d1427ad4f3c</v>
          </cell>
        </row>
        <row r="244">
          <cell r="B244" t="str">
            <v>JKB6</v>
          </cell>
          <cell r="C244" t="str">
            <v>b5673d08-e750-48eb-9f50-e8f624a42b06</v>
          </cell>
          <cell r="D244" t="str">
            <v>https://logistics.amazon.co.jp/operations/execution/itineraries?operationView=true&amp;providerFilter=UNASSIGNED&amp;routesFilter=InProgress&amp;selectedDay=2022-07-31&amp;serviceAreaId=b5673d08-e750-48eb-9f50-e8f624a42b06</v>
          </cell>
        </row>
        <row r="245">
          <cell r="B245" t="str">
            <v>JBA3</v>
          </cell>
          <cell r="C245" t="str">
            <v>4ecf2954-d74d-4aee-9ced-81ef1b313038</v>
          </cell>
          <cell r="D245" t="str">
            <v>https://logistics.amazon.co.jp/operations/execution/itineraries?operationView=true&amp;providerFilter=UNASSIGNED&amp;routesFilter=InProgress&amp;selectedDay=2022-08-01&amp;serviceAreaId=4ecf2954-d74d-4aee-9ced-81ef1b313038</v>
          </cell>
        </row>
        <row r="246">
          <cell r="B246" t="str">
            <v>JDI7</v>
          </cell>
          <cell r="C246" t="str">
            <v>14f5a3c8-5cdb-4713-b303-ce0d954dcdee</v>
          </cell>
          <cell r="D246" t="str">
            <v>https://logistics.amazon.co.jp/operations/execution/itineraries?operationView=true&amp;providerFilter=ALL_DSPS&amp;selectedDay=2022-08-03&amp;serviceAreaId=14f5a3c8-5cdb-4713-b303-ce0d954dcdee</v>
          </cell>
        </row>
        <row r="247">
          <cell r="B247" t="str">
            <v>JKA8</v>
          </cell>
          <cell r="C247" t="str">
            <v>fc8a39e7-7b05-4363-83d7-9255c46fcc4b</v>
          </cell>
          <cell r="D247" t="str">
            <v>https://logistics.amazon.co.jp/operations/execution/itineraries?operationView=true&amp;providerFilter=ALL_DSPS&amp;selectedDay=2022-08-15&amp;serviceAreaId=fc8a39e7-7b05-4363-83d7-9255c46fcc4b</v>
          </cell>
        </row>
        <row r="248">
          <cell r="B248" t="str">
            <v>DAI2</v>
          </cell>
          <cell r="C248" t="str">
            <v>9807b9f9-5b4a-4feb-b5da-f36daff053a6</v>
          </cell>
          <cell r="D248" t="str">
            <v>https://logistics.amazon.co.jp/operations/execution/itineraries?operationView=true&amp;providerFilter=ALL_DSPS&amp;selectedDay=2022-08-30&amp;serviceAreaId=9807b9f9-5b4a-4feb-b5da-f36daff053a6</v>
          </cell>
        </row>
        <row r="249">
          <cell r="B249" t="str">
            <v>ONGC</v>
          </cell>
          <cell r="C249" t="str">
            <v>2d6c9f1c-4728-4805-b823-e8c16b071503</v>
          </cell>
          <cell r="D249" t="str">
            <v>https://logistics.amazon.co.jp/operations/execution/itineraries?operationView=true&amp;providerFilter=UNASSIGNED&amp;routesFilter=InProgress&amp;selectedDay=2022-10-18&amp;serviceAreaId=2d6c9f1c-4728-4805-b823-e8c16b071503</v>
          </cell>
        </row>
        <row r="250">
          <cell r="B250" t="str">
            <v>JAA8</v>
          </cell>
          <cell r="C250" t="str">
            <v>33-bf900cd4063f&amp;summariesTextFilter=</v>
          </cell>
          <cell r="D250" t="str">
            <v>https://logistics.amazon.co.jp/operations/execution/routes?providerFilter=UNASSIGNED&amp;routesFilter=&amp;selectedDay=2022-12-22&amp;serviceAreaId=ae407948-8b74-4435-bb33-bf900cd4063f&amp;summariesTextFilter=</v>
          </cell>
        </row>
        <row r="251">
          <cell r="B251" t="str">
            <v>JAA9</v>
          </cell>
          <cell r="C251" t="str">
            <v>d851b3bb-dc1f-4912-aefc-7153e183ac70</v>
          </cell>
          <cell r="D251" t="str">
            <v>https://logistics.amazon.co.jp/operations/execution/routes?providerFilter=ALL_DSPS&amp;selectedDay=2022-12-24&amp;serviceAreaId=d851b3bb-dc1f-4912-aefc-7153e183ac70</v>
          </cell>
        </row>
        <row r="252">
          <cell r="B252" t="str">
            <v>JAE6</v>
          </cell>
          <cell r="C252" t="str">
            <v>1fd1df81-556e-453b-aba5-fe38dd66709c</v>
          </cell>
          <cell r="D252" t="str">
            <v>https://logistics.amazon.co.jp/operations/execution/itineraries?operationView=true&amp;providerFilter=ALL_DSPS&amp;selectedDay=2022-12-24&amp;serviceAreaId=1fd1df81-556e-453b-aba5-fe38dd66709c</v>
          </cell>
        </row>
        <row r="253">
          <cell r="B253" t="str">
            <v>JAG2</v>
          </cell>
          <cell r="C253" t="str">
            <v>e1a05c1b-5689-4c7d-9446-fad83f277477</v>
          </cell>
          <cell r="D253" t="str">
            <v>https://logistics.amazon.co.jp/operations/execution/itineraries?operationView=true&amp;providerFilter=ALL_DSPS&amp;selectedDay=2022-12-24&amp;serviceAreaId=e1a05c1b-5689-4c7d-9446-fad83f277477</v>
          </cell>
        </row>
        <row r="254">
          <cell r="B254" t="str">
            <v>JBF8</v>
          </cell>
          <cell r="C254" t="str">
            <v>a8ea0d1f-6538-40cb-8e28-c5d8eca080da</v>
          </cell>
          <cell r="D254" t="str">
            <v>https://logistics.amazon.co.jp/operations/execution/itineraries?operationView=true&amp;providerFilter=ALL_DSPS&amp;selectedDay=2022-12-24&amp;serviceAreaId=a8ea0d1f-6538-40cb-8e28-c5d8eca080da</v>
          </cell>
        </row>
        <row r="255">
          <cell r="B255" t="str">
            <v>JBG3</v>
          </cell>
          <cell r="C255" t="str">
            <v>da41c446-9a10-4b0c-b96a-e9f23421e5d7</v>
          </cell>
          <cell r="D255" t="str">
            <v>https://logistics.amazon.co.jp/operations/execution/itineraries?operationView=true&amp;providerFilter=ALL_DSPS&amp;selectedDay=2022-12-24&amp;serviceAreaId=da41c446-9a10-4b0c-b96a-e9f23421e5d7</v>
          </cell>
        </row>
        <row r="256">
          <cell r="B256" t="str">
            <v>JHB1</v>
          </cell>
          <cell r="C256" t="str">
            <v>def2c6fb-c67f-4b5d-af70-71b46d579b80</v>
          </cell>
          <cell r="D256" t="str">
            <v>https://logistics.amazon.co.jp/operations/execution/itineraries?operationView=true&amp;providerFilter=ALL_DSPS&amp;selectedDay=2022-12-24&amp;serviceAreaId=def2c6fb-c67f-4b5d-af70-71b46d579b80</v>
          </cell>
        </row>
        <row r="257">
          <cell r="B257" t="str">
            <v>JKA1</v>
          </cell>
          <cell r="C257" t="str">
            <v>823b0343-2ec3-4c17-9281-8d629971eb62</v>
          </cell>
          <cell r="D257" t="str">
            <v>https://logistics.amazon.co.jp/operations/execution/itineraries?operationView=true&amp;providerFilter=ALL_DSPS&amp;selectedDay=2022-12-24&amp;serviceAreaId=823b0343-2ec3-4c17-9281-8d629971eb62</v>
          </cell>
        </row>
        <row r="258">
          <cell r="B258" t="str">
            <v>JKA2</v>
          </cell>
          <cell r="C258" t="str">
            <v>a40af997-1d2b-4252-af40-0b944246497d</v>
          </cell>
          <cell r="D258" t="str">
            <v>https://logistics.amazon.co.jp/operations/execution/itineraries?operationView=true&amp;providerFilter=ALL_DSPS&amp;selectedDay=2022-12-24&amp;serviceAreaId=a40af997-1d2b-4252-af40-0b944246497d</v>
          </cell>
        </row>
        <row r="259">
          <cell r="B259" t="str">
            <v>JKA3</v>
          </cell>
          <cell r="C259" t="str">
            <v>470fece0-1837-411c-b506-d6f317ac1d8d</v>
          </cell>
          <cell r="D259" t="str">
            <v>https://logistics.amazon.co.jp/operations/execution/itineraries?operationView=true&amp;providerFilter=ALL_DSPS&amp;selectedDay=2022-12-24&amp;serviceAreaId=470fece0-1837-411c-b506-d6f317ac1d8d</v>
          </cell>
        </row>
        <row r="260">
          <cell r="B260" t="str">
            <v>JKA4</v>
          </cell>
          <cell r="C260" t="str">
            <v>276e96be-cf6c-4bc0-a589-044779fb2581</v>
          </cell>
          <cell r="D260" t="str">
            <v>https://logistics.amazon.co.jp/operations/execution/itineraries?operationView=true&amp;providerFilter=ALL_DSPS&amp;selectedDay=2022-12-24&amp;serviceAreaId=276e96be-cf6c-4bc0-a589-044779fb2581</v>
          </cell>
        </row>
        <row r="261">
          <cell r="B261" t="str">
            <v>JKA5</v>
          </cell>
          <cell r="C261" t="str">
            <v>f7b5e420-630e-40e7-9abe-2e80847939a9</v>
          </cell>
          <cell r="D261" t="str">
            <v>https://logistics.amazon.co.jp/operations/execution/itineraries?operationView=true&amp;providerFilter=ALL_DSPS&amp;selectedDay=2022-12-24&amp;serviceAreaId=f7b5e420-630e-40e7-9abe-2e80847939a9</v>
          </cell>
        </row>
        <row r="262">
          <cell r="B262" t="str">
            <v>JKB3</v>
          </cell>
          <cell r="C262" t="str">
            <v>061aedf3-f0d0-4277-b19f-0508b398ff47</v>
          </cell>
          <cell r="D262" t="str">
            <v>https://logistics.amazon.co.jp/operations/execution/itineraries?operationView=true&amp;providerFilter=ALL_DSPS&amp;selectedDay=2022-12-24&amp;serviceAreaId=061aedf3-f0d0-4277-b19f-0508b398ff47</v>
          </cell>
        </row>
        <row r="263">
          <cell r="B263" t="str">
            <v>JKB8</v>
          </cell>
          <cell r="C263" t="str">
            <v>6e2e8866-2db9-461e-b371-70c3c8e1950b</v>
          </cell>
          <cell r="D263" t="str">
            <v>https://logistics.amazon.co.jp/operations/execution/itineraries?operationView=true&amp;providerFilter=ALL_DSPS&amp;selectedDay=2022-12-24&amp;serviceAreaId=6e2e8866-2db9-461e-b371-70c3c8e1950b</v>
          </cell>
        </row>
        <row r="264">
          <cell r="B264" t="str">
            <v>OFK1</v>
          </cell>
          <cell r="C264" t="str">
            <v>1dac55ac-4242-45b2-8249-81db8278fd78</v>
          </cell>
          <cell r="D264" t="str">
            <v>https://logistics.amazon.co.jp/operations/execution/itineraries?operationView=true&amp;providerFilter=UNASSIGNED&amp;routesFilter=mx3&amp;selectedDay=2023-01-24&amp;serviceAreaId=1dac55ac-4242-45b2-8249-81db8278fd78</v>
          </cell>
        </row>
        <row r="265">
          <cell r="B265" t="str">
            <v>DTK8</v>
          </cell>
          <cell r="C265" t="str">
            <v>889b6ea0-e443-44fe-aafa-fddcf0b701b4</v>
          </cell>
          <cell r="D265" t="str">
            <v>https://logistics.amazon.co.jp/operations/execution/itineraries?operationView=true&amp;providerFilter=UNASSIGNED&amp;routesFilter=InProgress&amp;selectedDay=2023-03-18&amp;serviceAreaId=889b6ea0-e443-44fe-aafa-fddcf0b701b4</v>
          </cell>
        </row>
        <row r="266">
          <cell r="B266" t="str">
            <v>PEJ6</v>
          </cell>
          <cell r="C266" t="str">
            <v>e728a783-fdcd-4eea-a86c-a589ca02e074</v>
          </cell>
          <cell r="D266" t="str">
            <v>https://logistics.amazon.co.jp/operations/execution/itineraries?operationView=true&amp;providerFilter=UNASSIGNED&amp;routesFilter=InProgress&amp;selectedDay=2023-03-18&amp;serviceAreaId=e728a783-fdcd-4eea-a86c-a589ca02e074</v>
          </cell>
        </row>
        <row r="267">
          <cell r="B267" t="str">
            <v>DKJ4</v>
          </cell>
          <cell r="C267" t="str">
            <v>6b95cc4c-9689-4369-b821-ed1cbd66adf2</v>
          </cell>
          <cell r="D267" t="str">
            <v>https://logistics.amazon.co.jp/operations/execution/itineraries?operationView=true&amp;providerFilter=UNASSIGNED&amp;routesFilter=InProgress&amp;selectedDay=2023-03-21&amp;serviceAreaId=6b95cc4c-9689-4369-b821-ed1cbd66adf2</v>
          </cell>
        </row>
        <row r="268">
          <cell r="B268" t="str">
            <v>PEJ7</v>
          </cell>
          <cell r="C268" t="str">
            <v>c667b799-492d-4600-8a15-45495d62d097</v>
          </cell>
          <cell r="D268" t="str">
            <v>https://logistics.amazon.co.jp/operations/execution/itineraries?operationView=true&amp;selectedDay=2023-03-28&amp;serviceAreaId=c667b799-492d-4600-8a15-45495d62d097</v>
          </cell>
        </row>
        <row r="269">
          <cell r="B269" t="str">
            <v>PEJA</v>
          </cell>
          <cell r="C269" t="str">
            <v>c667b799-492d-4600-8a15-45495d62d097</v>
          </cell>
          <cell r="D269" t="str">
            <v>https://logistics.amazon.co.jp/operations/execution/itineraries?operationView=true&amp;selectedDay=2023-03-28&amp;serviceAreaId=c667b799-492d-4600-8a15-45495d62d097</v>
          </cell>
        </row>
        <row r="270">
          <cell r="B270" t="str">
            <v>JMA2</v>
          </cell>
          <cell r="C270" t="str">
            <v>eaf81d81-f857-4681-9941-8e0bb6a4aa1c</v>
          </cell>
          <cell r="D270" t="str">
            <v>https://logistics.amazon.co.jp/operations/execution/itineraries?operationView=true&amp;providerFilter=UNASSIGNED&amp;routesFilter=InProgress&amp;selectedDay=2023-06-17&amp;serviceAreaId=eaf81d81-f857-4681-9941-8e0bb6a4aa1c</v>
          </cell>
        </row>
        <row r="271">
          <cell r="B271" t="str">
            <v>JMA3</v>
          </cell>
          <cell r="C271" t="str">
            <v>cda79656-1068-4cdc-85e2-4783a5497f3b</v>
          </cell>
          <cell r="D271" t="str">
            <v>https://logistics.amazon.co.jp/operations/execution/itineraries?operationView=true&amp;providerFilter=UNASSIGNED&amp;routesFilter=InProgress&amp;selectedDay=2023-06-17&amp;serviceAreaId=cda79656-1068-4cdc-85e2-4783a5497f3b</v>
          </cell>
        </row>
        <row r="272">
          <cell r="B272" t="str">
            <v>MEJ1</v>
          </cell>
          <cell r="C272" t="str">
            <v>fa00bc2b-67f9-4c99-a8c3-07390c29c132</v>
          </cell>
          <cell r="D272" t="str">
            <v>https://logistics.amazon.co.jp/operations/execution/itineraries?operationView=true&amp;providerFilter=UNASSIGNED&amp;routesFilter=InProgress&amp;selectedDay=2023-09-04&amp;serviceAreaId=fa00bc2b-67f9-4c99-a8c3-07390c29c132</v>
          </cell>
        </row>
        <row r="273">
          <cell r="B273" t="str">
            <v>JMA1</v>
          </cell>
          <cell r="C273" t="str">
            <v>3a58ac61-870f-41e7-8f21-a30499f303e3</v>
          </cell>
          <cell r="D273" t="str">
            <v>https://logistics.amazon.co.jp/operations/execution/itineraries?operationView=true&amp;providerFilter=UNASSIGNED&amp;routesFilter=InProgress&amp;selectedDay=2024-02-26&amp;serviceAreaId=3a58ac61-870f-41e7-8f21-a30499f303e3</v>
          </cell>
        </row>
        <row r="274">
          <cell r="B274" t="str">
            <v>JLB2</v>
          </cell>
          <cell r="C274" t="str">
            <v>ddf1c2ec-20c2-43d0-88a2-71adac7b1f45</v>
          </cell>
          <cell r="D274" t="str">
            <v>https://logistics.amazon.co.jp/operations/execution/itineraries?cortexv2=true&amp;operationView=true&amp;progressStatusFilterValue&amp;providerFilter=ALL_DPS&amp;selectedDay=2024-03-05&amp;serviceAreaId=ddf1c2ec-20c2-43d0-88a2-71adac7b1f45</v>
          </cell>
        </row>
        <row r="275">
          <cell r="B275" t="str">
            <v>JLB4</v>
          </cell>
          <cell r="C275" t="str">
            <v>83470f8d-6344-4f6d-b2b8-7408698a8be9</v>
          </cell>
          <cell r="D275" t="str">
            <v>https://logistics.amazon.co.jp/operations/execution/itineraries?cortexv2=true&amp;operationView=true&amp;progressStatusFilterValue&amp;providerFilter=ALL_DPS&amp;selectedDay=2024-03-05&amp;serviceAreaId=83470f8d-6344-4f6d-b2b8-7408698a8be9</v>
          </cell>
        </row>
        <row r="276">
          <cell r="B276" t="str">
            <v>JLB6</v>
          </cell>
          <cell r="C276" t="str">
            <v>946af397-1cf4-4eeb-881e-68e0de41b49a</v>
          </cell>
          <cell r="D276" t="str">
            <v>https://logistics.amazon.co.jp/operations/execution/itineraries?cortexv2=true&amp;operationView=true&amp;progressStatusFilterValue&amp;providerFilter=ALL_DPS&amp;selectedDay=2024-03-05&amp;serviceAreaId=946af397-1cf4-4eeb-881e-68e0de41b49a</v>
          </cell>
        </row>
        <row r="277">
          <cell r="B277" t="str">
            <v>OOW1</v>
          </cell>
          <cell r="C277" t="str">
            <v>729e869e-0e78-4cb7-aa60-d09f50d4aa7c</v>
          </cell>
          <cell r="D277" t="str">
            <v>https://logistics.amazon.co.jp/operations/execution/itineraries?cortexv2=true&amp;operationView=true&amp;progressStatusFilterValue&amp;providerFilter=ALL_DPS&amp;selectedDay=2024-03-12&amp;serviceAreaId=729e869e-0e78-4cb7-aa60-d09f50d4aa7c</v>
          </cell>
        </row>
        <row r="278">
          <cell r="B278" t="str">
            <v>JLB1</v>
          </cell>
          <cell r="C278" t="str">
            <v>c76a63a2-418c-4d5b-963d-e229226edc9d</v>
          </cell>
          <cell r="D278" t="str">
            <v>https://logistics.amazon.co.jp/operations/execution/itineraries?cortexv2=true&amp;operationView=true&amp;progressStatusFilterValue&amp;providerFilter=ALL_DPS&amp;selectedDay=2024-03-12&amp;serviceAreaId=c76a63a2-418c-4d5b-963d-e229226edc9d</v>
          </cell>
        </row>
        <row r="279">
          <cell r="B279" t="str">
            <v>JLB8</v>
          </cell>
          <cell r="C279" t="str">
            <v>49c51e9e-60ef-437f-9f2d-8b02a860bc72</v>
          </cell>
          <cell r="D279" t="str">
            <v>https://logistics.amazon.co.jp/operations/execution/itineraries?cortexv2=true&amp;operationView=true&amp;progressStatusFilterValue&amp;providerFilter=ALL_DPS&amp;selectedDay=2024-03-12&amp;serviceAreaId=49c51e9e-60ef-437f-9f2d-8b02a860bc72</v>
          </cell>
        </row>
        <row r="280">
          <cell r="B280" t="str">
            <v>JLC1</v>
          </cell>
          <cell r="C280" t="str">
            <v>de22bc32-1b96-40e9-ac20-0f8b0fd6fcb4</v>
          </cell>
          <cell r="D280" t="str">
            <v>https://logistics.amazon.co.jp/operations/execution/itineraries?cortexv2=true&amp;operationView=true&amp;progressStatusFilterValue&amp;providerFilter=ALL_DPS&amp;selectedDay=2024-03-12&amp;serviceAreaId=de22bc32-1b96-40e9-ac20-0f8b0fd6fcb4</v>
          </cell>
        </row>
        <row r="281">
          <cell r="B281" t="str">
            <v>JLC3</v>
          </cell>
          <cell r="C281" t="str">
            <v>2547c690-4b46-4e07-8c6f-4a4d559f34c5</v>
          </cell>
          <cell r="D281" t="str">
            <v>https://logistics.amazon.co.jp/operations/execution/itineraries?cortexv2=true&amp;operationView=true&amp;progressStatusFilterValue&amp;providerFilter=ALL_DPS&amp;selectedDay=2024-03-12&amp;serviceAreaId=2547c690-4b46-4e07-8c6f-4a4d559f34c5</v>
          </cell>
        </row>
        <row r="282">
          <cell r="B282" t="str">
            <v>JLC4</v>
          </cell>
          <cell r="C282" t="str">
            <v>d05c0ab9-85eb-4543-9388-e2a87c1353a5</v>
          </cell>
          <cell r="D282" t="str">
            <v>https://logistics.amazon.co.jp/operations/execution/itineraries?cortexv2=true&amp;operationView=true&amp;progressStatusFilterValue&amp;providerFilter=ALL_DPS&amp;selectedDay=2024-03-12&amp;serviceAreaId=d05c0ab9-85eb-4543-9388-e2a87c1353a5</v>
          </cell>
        </row>
        <row r="283">
          <cell r="B283" t="str">
            <v>JLD6</v>
          </cell>
          <cell r="C283" t="str">
            <v>0c757662-ae86-46a9-a516-fda1da7ac738</v>
          </cell>
          <cell r="D283" t="str">
            <v>https://logistics.amazon.co.jp/operations/execution/itineraries?cortexv2=true&amp;operationView=true&amp;progressStatusFilterValue&amp;providerFilter=ALL_DPS&amp;selectedDay=2024-03-12&amp;serviceAreaId=0c757662-ae86-46a9-a516-fda1da7ac738</v>
          </cell>
        </row>
        <row r="284">
          <cell r="B284" t="str">
            <v>DCJ1</v>
          </cell>
          <cell r="C284" t="str">
            <v>94a4cdee-bfc8-4347-8bee-2df0295f0910</v>
          </cell>
          <cell r="D284" t="str">
            <v>https://logistics.amazon.co.jp/operations/execution/itineraries?cortexv2=true&amp;operationView=true&amp;progressStatusFilterValue&amp;providerFilter=ALL_DPS&amp;selectedDay=2024-03-09&amp;serviceAreaId=94a4cdee-bfc8-4347-8bee-2df0295f0910</v>
          </cell>
        </row>
        <row r="285">
          <cell r="B285" t="str">
            <v>OCJ2</v>
          </cell>
          <cell r="C285" t="str">
            <v>d0335ca8-4629-4968-a456-198f6f8788c3</v>
          </cell>
          <cell r="D285" t="str">
            <v>https://logistics.amazon.co.jp/internal/operations/execution/itineraries?operationView=true&amp;provider=ALL_DRIVERS&amp;selectedDay=2024-06-14&amp;serviceAreaId=d0335ca8-4629-4968-a456-198f6f8788c3</v>
          </cell>
        </row>
        <row r="286">
          <cell r="B286" t="str">
            <v>OCJ1</v>
          </cell>
          <cell r="C286" t="str">
            <v>3f927836-fa6e-499a-b653-bccc904f1bf5</v>
          </cell>
          <cell r="D286" t="str">
            <v>https://logistics.amazon.co.jp/operations/execution/itineraries?operationView=true&amp;provider=ALL_DRIVERS&amp;providerFilter=UNASSIGNED&amp;routesFilter=InProgress&amp;selectedDay=2024-05-04&amp;serviceAreaId=3f927836-fa6e-499a-b653-bccc904f1bf5</v>
          </cell>
        </row>
        <row r="287">
          <cell r="B287" t="str">
            <v>OCJ3</v>
          </cell>
          <cell r="C287" t="str">
            <v>ff86ad37-2dd7-4a46-9f09-d8ca77df800f</v>
          </cell>
          <cell r="D287" t="str">
            <v>https://logistics.amazon.co.jp/operations/execution/itineraries?operationView=true&amp;provider=ALL_DRIVERS&amp;providerFilter=UNASSIGNED&amp;routesFilter=InProgress&amp;selectedDay=2024-05-04&amp;serviceAreaId=ff86ad37-2dd7-4a46-9f09-d8ca77df800f</v>
          </cell>
        </row>
        <row r="288">
          <cell r="B288" t="str">
            <v>OCJ4</v>
          </cell>
          <cell r="C288" t="str">
            <v>819fae7a-cb02-44c2-a66b-6dfa0e502e8f</v>
          </cell>
          <cell r="D288" t="str">
            <v>https://logistics.amazon.co.jp/operations/execution/itineraries?operationView=true&amp;provider=ALL_DRIVERS&amp;providerFilter=UNASSIGNED&amp;routesFilter=InProgress&amp;selectedDay=2024-05-04&amp;serviceAreaId=819fae7a-cb02-44c2-a66b-6dfa0e502e8f</v>
          </cell>
        </row>
        <row r="289">
          <cell r="B289" t="str">
            <v>OWJO</v>
          </cell>
          <cell r="C289" t="str">
            <v>d53b4a2b-cf28-4f7e-b927-fea3009b1921</v>
          </cell>
          <cell r="D289" t="str">
            <v>https://logistics.amazon.co.jp/internal/operations/execution/itineraries?operationView=true&amp;provider=ALL_DRIVERS&amp;selectedDay=2024-10-04&amp;serviceAreaId=d53b4a2b-cf28-4f7e-b927-fea3009b1921</v>
          </cell>
        </row>
        <row r="290">
          <cell r="B290" t="str">
            <v>JLC7</v>
          </cell>
          <cell r="C290" t="str">
            <v>9e7ce4d8-599a-44fb-8d9e-d69346ff933c</v>
          </cell>
          <cell r="D290" t="str">
            <v>https://logistics.amazon.co.jp/operations/execution/itineraries?cortexv2=true&amp;operationView=true&amp;progressStatusFilterValue&amp;provider=ALL_DRIVERS&amp;providerFilter=ALL_DRIVERS&amp;selectedDay=2024-04-17&amp;serviceAreaId=9e7ce4d8-599a-44fb-8d9e-d69346ff933c</v>
          </cell>
        </row>
        <row r="291">
          <cell r="B291" t="str">
            <v>JLD8</v>
          </cell>
          <cell r="C291" t="str">
            <v>b0ca1208-cfa4-4e52-907f-4845e000ec0b</v>
          </cell>
          <cell r="D291" t="str">
            <v>https://logistics.amazon.co.jp/operations/execution/itineraries?cortexv2=true&amp;operationView=true&amp;progressStatusFilterValue&amp;providerFilter=ALL_DRIVERS&amp;selectedDay=2024-03-15&amp;serviceAreaId=b0ca1208-cfa4-4e52-907f-4845e000ec0b</v>
          </cell>
        </row>
        <row r="292">
          <cell r="B292" t="str">
            <v>JLB2</v>
          </cell>
          <cell r="C292" t="str">
            <v>ddf1c2ec-20c2-43d0-88a2-71adac7b1f45</v>
          </cell>
          <cell r="D292" t="str">
            <v>https://logistics.amazon.co.jp/operations/execution/itineraries?cortexv2=true&amp;operationView=true&amp;progressStatusFilterValue&amp;providerFilter=ALL_DPS&amp;selectedDay=2024-03-16&amp;serviceAreaId=ddf1c2ec-20c2-43d0-88a2-71adac7b1f45</v>
          </cell>
        </row>
        <row r="293">
          <cell r="B293" t="str">
            <v>JLD7</v>
          </cell>
          <cell r="C293" t="str">
            <v>81f67534-5398-4bb9-be61-eb89459bb69b</v>
          </cell>
          <cell r="D293" t="str">
            <v>https://logistics.amazon.co.jp/operations/execution/itineraries?operationView=true&amp;providerFilter=UNASSIGNED&amp;routesFilter=InProgress&amp;selectedDay=2024-03-19&amp;serviceAreaId=81f67534-5398-4bb9-be61-eb89459bb69b</v>
          </cell>
        </row>
        <row r="294">
          <cell r="B294" t="str">
            <v>JLD1</v>
          </cell>
          <cell r="C294" t="str">
            <v>80e79bfd-75f3-4ac1-8885-908499427d28</v>
          </cell>
          <cell r="D294" t="str">
            <v>https://logistics.amazon.co.jp/operations/execution/itineraries?operationView=true&amp;providerFilter=UNASSIGNED&amp;routesFilter=InProgress&amp;selectedDay=2024-03-19&amp;serviceAreaId=80e79bfd-75f3-4ac1-8885-908499427d28</v>
          </cell>
        </row>
        <row r="295">
          <cell r="B295" t="str">
            <v>JLC9</v>
          </cell>
          <cell r="C295" t="str">
            <v>ff638af1-2524-4b1e-9bff-9285baf9bd57</v>
          </cell>
          <cell r="D295" t="str">
            <v>https://logistics.amazon.co.jp/operations/execution/itineraries?operationView=true&amp;providerFilter=UNASSIGNED&amp;routesFilter=InProgress&amp;selectedDay=2024-03-19&amp;serviceAreaId=ff638af1-2524-4b1e-9bff-9285baf9bd57</v>
          </cell>
        </row>
        <row r="296">
          <cell r="B296" t="str">
            <v>JLB3</v>
          </cell>
          <cell r="C296" t="str">
            <v>93cadf83-9c79-4888-9b33-17b47378b577</v>
          </cell>
          <cell r="D296" t="str">
            <v>https://logistics.amazon.co.jp/operations/execution/itineraries?operationView=true&amp;providerFilter=UNASSIGNED&amp;routesFilter=InProgress&amp;selectedDay=2024-03-19&amp;serviceAreaId=93cadf83-9c79-4888-9b33-17b47378b577</v>
          </cell>
        </row>
        <row r="297">
          <cell r="B297" t="str">
            <v>JLC5</v>
          </cell>
          <cell r="C297" t="str">
            <v>d876261a-84b4-41f1-aa4b-e55cd43de0d1</v>
          </cell>
          <cell r="D297" t="str">
            <v>https://logistics.amazon.co.jp/operations/execution/itineraries?operationView=true&amp;providerFilter=UNASSIGNED&amp;routesFilter=InProgress&amp;selectedDay=2024-03-19&amp;serviceAreaId=d876261a-84b4-41f1-aa4b-e55cd43de0d1</v>
          </cell>
        </row>
        <row r="298">
          <cell r="B298" t="str">
            <v>JLE5</v>
          </cell>
          <cell r="C298" t="str">
            <v>a54db9a3-9906-46d4-9ac2-b2a5cb22ddce</v>
          </cell>
          <cell r="D298" t="str">
            <v>https://logistics.amazon.co.jp/operations/execution/itineraries?operationView=true&amp;providerFilter=UNASSIGNED&amp;routesFilter=InProgress&amp;selectedDay=2024-03-19&amp;serviceAreaId=a54db9a3-9906-46d4-9ac2-b2a5cb22ddce</v>
          </cell>
        </row>
        <row r="299">
          <cell r="B299" t="str">
            <v>JLC2</v>
          </cell>
          <cell r="C299" t="str">
            <v>4b7b0cbc-a5be-44ff-8983-f1aad359a2b1</v>
          </cell>
          <cell r="D299" t="str">
            <v>https://logistics.amazon.co.jp/operations/execution/itineraries?operationView=true&amp;providerFilter=UNASSIGNED&amp;routesFilter=InProgress&amp;selectedDay=2024-03-19&amp;serviceAreaId=4b7b0cbc-a5be-44ff-8983-f1aad359a2b1</v>
          </cell>
        </row>
        <row r="300">
          <cell r="B300" t="str">
            <v>JLB9</v>
          </cell>
          <cell r="C300" t="str">
            <v>ec5c4c63-614a-478e-8860-21e95b79a195</v>
          </cell>
          <cell r="D300" t="str">
            <v>https://logistics.amazon.co.jp/operations/execution/itineraries?operationView=true&amp;providerFilter=UNASSIGNED&amp;routesFilter=InProgress&amp;selectedDay=2024-03-19&amp;serviceAreaId=ec5c4c63-614a-478e-8860-21e95b79a195</v>
          </cell>
        </row>
        <row r="301">
          <cell r="B301" t="str">
            <v>JLC8</v>
          </cell>
          <cell r="C301" t="str">
            <v>4f29aee9-0620-4c6c-8ec6-c881bf9e2c98</v>
          </cell>
          <cell r="D301" t="str">
            <v>https://logistics.amazon.co.jp/operations/execution/itineraries?operationView=true&amp;providerFilter=UNASSIGNED&amp;routesFilter=InProgress&amp;selectedDay=2024-03-19&amp;serviceAreaId=4f29aee9-0620-4c6c-8ec6-c881bf9e2c98</v>
          </cell>
        </row>
        <row r="302">
          <cell r="B302" t="str">
            <v>JLE4</v>
          </cell>
          <cell r="C302" t="str">
            <v>8251c561-b077-4a61-b1bc-b4372542f95c</v>
          </cell>
          <cell r="D302" t="str">
            <v>https://logistics.amazon.co.jp/internal/operations/execution/itineraries?operationView=true&amp;provider=ALL_DRIVERS&amp;selectedDay=2024-06-14&amp;serviceAreaId=8251c561-b077-4a61-b1bc-b4372542f95c</v>
          </cell>
        </row>
        <row r="303">
          <cell r="B303" t="str">
            <v>JLE2</v>
          </cell>
          <cell r="C303" t="str">
            <v>c9c61759-a9bd-49cc-8115-ff3e448ef9ec</v>
          </cell>
          <cell r="D303" t="str">
            <v>https://logistics.amazon.co.jp/internal/operations/execution/itineraries?operationView=true&amp;provider=ALL_DRIVERS&amp;selectedDay=2024-06-14&amp;serviceAreaId=c9c61759-a9bd-49cc-8115-ff3e448ef9ec</v>
          </cell>
        </row>
        <row r="304">
          <cell r="B304" t="str">
            <v>JLE3</v>
          </cell>
          <cell r="C304" t="str">
            <v>40ed7c89-dfa4-4beb-832c-13bca8f04e9c</v>
          </cell>
          <cell r="D304" t="str">
            <v>https://logistics.amazon.co.jp/internal/operations/execution/itineraries?operationView=true&amp;provider=ALL_DRIVERS&amp;selectedDay=2024-06-14&amp;serviceAreaId=40ed7c89-dfa4-4beb-832c-13bca8f04e9c</v>
          </cell>
        </row>
        <row r="305">
          <cell r="B305" t="str">
            <v>JLE6</v>
          </cell>
          <cell r="C305" t="str">
            <v>9ff2f4d5-512f-4645-8428-dc7ecdf0e4b1</v>
          </cell>
          <cell r="D305" t="str">
            <v>https://logistics.amazon.co.jp/internal/operations/execution/itineraries?operationView=true&amp;provider=ALL_DRIVERS&amp;selectedDay=2024-06-14&amp;serviceAreaId=9ff2f4d5-512f-4645-8428-dc7ecdf0e4b1</v>
          </cell>
        </row>
        <row r="306">
          <cell r="B306" t="str">
            <v>JLD4</v>
          </cell>
          <cell r="C306" t="str">
            <v>5355ab25-a28e-4e47-af0f-212675234bbf</v>
          </cell>
          <cell r="D306" t="str">
            <v>https://logistics.amazon.co.jp/internal/operations/execution/itineraries?operationView=true&amp;provider=ALL_DRIVERS&amp;selectedDay=2024-06-14&amp;serviceAreaId=5355ab25-a28e-4e47-af0f-212675234bbf</v>
          </cell>
        </row>
        <row r="307">
          <cell r="B307" t="str">
            <v>JLB7</v>
          </cell>
          <cell r="C307" t="str">
            <v>37c4e595-a471-41c4-9ea4-648558981796</v>
          </cell>
          <cell r="D307" t="str">
            <v>https://logistics.amazon.co.jp/operations/execution/itineraries?operationView=true&amp;providerFilter=UNASSIGNED&amp;routesFilter=InProgress&amp;selectedDay=2024-04-02&amp;serviceAreaId=37c4e595-a471-41c4-9ea4-648558981796</v>
          </cell>
        </row>
        <row r="308">
          <cell r="B308" t="str">
            <v>OCJ6</v>
          </cell>
          <cell r="C308" t="str">
            <v>7e973a5c-6540-475c-8629-1045639f6982</v>
          </cell>
          <cell r="D308" t="str">
            <v>https://logistics.amazon.co.jp/internal/operations/execution/itineraries?operationView=true&amp;provider=ALL_DRIVERS&amp;selectedDay=2024-09-10&amp;serviceAreaId=7e973a5c-6540-475c-8629-1045639f6982</v>
          </cell>
        </row>
        <row r="309">
          <cell r="B309" t="str">
            <v>JLE7</v>
          </cell>
          <cell r="C309" t="str">
            <v>4103f386-ae0f-4dd8-ac7f-3cfc67c8a327</v>
          </cell>
          <cell r="D309" t="str">
            <v>https://logistics.amazon.co.jp/operations/execution/itineraries?cortexv2=true&amp;operationView=true&amp;progressStatusFilterValue&amp;providerFilter=ALL_DPS&amp;selectedDay=2024-04-09&amp;serviceAreaId=4103f386-ae0f-4dd8-ac7f-3cfc67c8a327</v>
          </cell>
        </row>
        <row r="310">
          <cell r="B310" t="str">
            <v>JLD9</v>
          </cell>
          <cell r="C310" t="str">
            <v>0b241e4a-1858-4278-bcf0-f492c4e87199</v>
          </cell>
          <cell r="D310" t="str">
            <v>https://logistics.amazon.co.jp/operations/execution/itineraries?operationView=true&amp;provider=ALL_DRIVERS&amp;providerFilter=UNASSIGNED&amp;routesFilter=&amp;selectedDay=2024-05-21&amp;serviceAreaId=0b241e4a-1858-4278-bcf0-f492c4e87199</v>
          </cell>
        </row>
        <row r="311">
          <cell r="B311" t="str">
            <v>MCJ8</v>
          </cell>
          <cell r="C311" t="str">
            <v>51c33fc9-ad2b-4b32-851d-8570f8fd4f25</v>
          </cell>
          <cell r="D311" t="str">
            <v>https://logistics.amazon.co.jp/internal/operations/execution/itineraries?operationView=true&amp;provider=ALL_DRIVERS&amp;selectedDay=2024-07-14&amp;serviceAreaId=51c33fc9-ad2b-4b32-851d-8570f8fd4f25</v>
          </cell>
        </row>
        <row r="312">
          <cell r="B312" t="str">
            <v>DOO3</v>
          </cell>
          <cell r="C312" t="str">
            <v>cc56da96-1cf0-4e9d-ab9b-e0a24613803f</v>
          </cell>
          <cell r="D312" t="str">
            <v>https://logistics.amazon.co.jp/internal/operations/execution/itineraries?operationView=true&amp;provider=ALL_DRIVERS&amp;selectedDay=2024-07-15&amp;serviceAreaId=cc56da96-1cf0-4e9d-ab9b-e0a24613803f</v>
          </cell>
        </row>
        <row r="313">
          <cell r="B313" t="str">
            <v>OOOS</v>
          </cell>
          <cell r="C313" t="str">
            <v>e43f00ca-06f9-4ee2-b8d5-58a10c4cfbed</v>
          </cell>
          <cell r="D313" t="str">
            <v>https://logistics.amazon.co.jp/internal/operations/execution/itineraries?operationView=true&amp;provider=ALL_DRIVERS&amp;routesFilter=mx&amp;selectedDay=2024-07-16&amp;serviceAreaId=e43f00ca-06f9-4ee2-b8d5-58a10c4cfbed</v>
          </cell>
        </row>
        <row r="314">
          <cell r="B314" t="str">
            <v>OOOM</v>
          </cell>
          <cell r="C314" t="str">
            <v>e74b1813-6749-46e8-8a03-2e78bb88af8e</v>
          </cell>
          <cell r="D314" t="str">
            <v>https://logistics.amazon.co.jp/internal/operations/execution/itineraries?operationView=true&amp;provider=ALL_DRIVERS&amp;routesFilter=mx&amp;selectedDay=2024-07-16&amp;serviceAreaId=e74b1813-6749-46e8-8a03-2e78bb88af8e</v>
          </cell>
        </row>
        <row r="315">
          <cell r="B315" t="str">
            <v>DTK1</v>
          </cell>
          <cell r="C315" t="str">
            <v>1d0075ee-ec09-4c66-83f3-f3b9a8aa9cf3</v>
          </cell>
          <cell r="D315" t="str">
            <v>https://logistics.amazon.co.jp/internal/operations/execution/itineraries?operationView=true&amp;provider=ALL_DRIVERS&amp;selectedDay=2024-08-14&amp;serviceAreaId=1d0075ee-ec09-4c66-83f3-f3b9a8aa9cf3</v>
          </cell>
        </row>
        <row r="316">
          <cell r="B316" t="str">
            <v>PTKJ</v>
          </cell>
          <cell r="C316" t="str">
            <v>1b01d473-fd64-4152-a546-b2b09f84eba3</v>
          </cell>
          <cell r="D316" t="str">
            <v>https://logistics.amazon.co.jp/internal/operations/execution/dv/routes?provider=ALL_DRIVERS&amp;selectedDay=2025-02-12&amp;serviceAreaId=1b01d473-fd64-4152-a546-b2b09f84eba3</v>
          </cell>
        </row>
        <row r="317">
          <cell r="B317" t="str">
            <v>JLF1</v>
          </cell>
          <cell r="C317" t="str">
            <v>391817c2-af3a-4881-85ae-6d17290de137</v>
          </cell>
          <cell r="D317" t="str">
            <v>https://logistics.amazon.co.jp/internal/operations/execution/itineraries?operationView=true&amp;provider=ALL_DRIVERS&amp;selectedDay=2024-08-27&amp;serviceAreaId=391817c2-af3a-4881-85ae-6d17290de137</v>
          </cell>
        </row>
        <row r="318">
          <cell r="B318" t="str">
            <v>JLF3</v>
          </cell>
          <cell r="C318" t="str">
            <v>71b8b006-8e5d-4149-b745-451ef7e7c02b</v>
          </cell>
          <cell r="D318" t="str">
            <v>https://logistics.amazon.co.jp/internal/operations/execution/itineraries?operationView=true&amp;provider=ALL_DRIVERS&amp;selectedDay=2024-08-27&amp;serviceAreaId=71b8b006-8e5d-4149-b745-451ef7e7c02b</v>
          </cell>
        </row>
        <row r="319">
          <cell r="B319" t="str">
            <v>DCJ4</v>
          </cell>
          <cell r="C319" t="str">
            <v>3aff95c8-bb13-4a87-96d9-aff06b9b205f</v>
          </cell>
          <cell r="D319" t="str">
            <v>https://logistics.amazon.co.jp/internal/operations/execution/itineraries?operationView=true&amp;provider=ALL_DRIVERS&amp;selectedDay=2024-09-04&amp;serviceAreaId=3aff95c8-bb13-4a87-96d9-aff06b9b205f</v>
          </cell>
        </row>
        <row r="320">
          <cell r="B320" t="str">
            <v>DCJ3</v>
          </cell>
          <cell r="C320" t="str">
            <v>2fde8664-eb33-4c2c-a406-532fd037b810</v>
          </cell>
          <cell r="D320" t="str">
            <v>https://logistics.amazon.co.jp/internal/operations/execution/itineraries?operationView=true&amp;provider=ALL_DRIVERS&amp;selectedDay=2024-09-08&amp;serviceAreaId=2fde8664-eb33-4c2c-a406-532fd037b810</v>
          </cell>
        </row>
        <row r="321">
          <cell r="B321" t="str">
            <v>MFK2</v>
          </cell>
          <cell r="C321" t="str">
            <v>7ba1b7d4-0fc3-437f-b7e6-71e268691f65</v>
          </cell>
          <cell r="D321" t="str">
            <v>https://logistics.amazon.co.jp/internal/operations/execution/itineraries?operationView=true&amp;provider=ALL_DRIVERS&amp;selectedDay=2024-09-10&amp;serviceAreaId=7ba1b7d4-0fc3-437f-b7e6-71e268691f65</v>
          </cell>
        </row>
        <row r="322">
          <cell r="B322" t="str">
            <v>JLF6</v>
          </cell>
          <cell r="C322" t="str">
            <v>93a608be-fe75-48b2-8cdf-a87e0aa20066</v>
          </cell>
          <cell r="D322" t="str">
            <v>https://logistics.amazon.co.jp/internal/operations/execution/itineraries?operationView=true&amp;provider=ALL_DRIVERS&amp;selectedDay=2024-09-10&amp;serviceAreaId=93a608be-fe75-48b2-8cdf-a87e0aa20066</v>
          </cell>
        </row>
        <row r="323">
          <cell r="B323" t="str">
            <v>OCJ7</v>
          </cell>
          <cell r="C323" t="str">
            <v>cb1ccc79-0dd8-4e8e-a1de-1f709007424f</v>
          </cell>
          <cell r="D323" t="str">
            <v>https://logistics.amazon.co.jp/internal/operations/execution/itineraries?operationView=true&amp;provider=ALL_DRIVERS&amp;selectedDay=2024-09-10&amp;serviceAreaId=cb1ccc79-0dd8-4e8e-a1de-1f709007424f</v>
          </cell>
        </row>
        <row r="324">
          <cell r="B324" t="str">
            <v>DCJ5</v>
          </cell>
          <cell r="C324" t="str">
            <v>db031f70-ea25-4fce-bda0-a619601fa7f5</v>
          </cell>
          <cell r="D324" t="str">
            <v>https://logistics.amazon.co.jp/internal/operations/execution/itineraries?operationView=true&amp;provider=ALL_DRIVERS&amp;selectedDay=2024-09-11&amp;serviceAreaId=db031f70-ea25-4fce-bda0-a619601fa7f5</v>
          </cell>
        </row>
        <row r="325">
          <cell r="B325" t="str">
            <v>MEJ8</v>
          </cell>
          <cell r="C325" t="str">
            <v>f22f9db5-360c-41b8-b86b-5b9e8d166737</v>
          </cell>
          <cell r="D325" t="str">
            <v>https://logistics.amazon.co.jp/internal/operations/execution/itineraries?operationView=true&amp;provider=ALL_DRIVERS&amp;selectedDay=2024-09-13&amp;serviceAreaId=f22f9db5-360c-41b8-b86b-5b9e8d166737</v>
          </cell>
        </row>
        <row r="326">
          <cell r="B326" t="str">
            <v>OOW2</v>
          </cell>
          <cell r="C326" t="str">
            <v>1a5f120f-4253-4c26-bb85-4e6ba47f1f90</v>
          </cell>
          <cell r="D326" t="str">
            <v>https://logistics.amazon.co.jp/internal/operations/execution/itineraries?operationView=true&amp;provider=ALL_DRIVERS&amp;selectedDay=2024-09-17&amp;serviceAreaId=1a5f120f-4253-4c26-bb85-4e6ba47f1f90</v>
          </cell>
        </row>
        <row r="327">
          <cell r="B327" t="str">
            <v>JLH1</v>
          </cell>
          <cell r="C327" t="str">
            <v>64fc2e6a-bf7d-4e5f-b9c6-464289daa809</v>
          </cell>
          <cell r="D327" t="str">
            <v>https://logistics.amazon.co.jp/internal/operations/execution/itineraries?operationView=true&amp;provider=ALL_DRIVERS&amp;selectedDay=2024-09-24&amp;serviceAreaId=64fc2e6a-bf7d-4e5f-b9c6-464289daa809</v>
          </cell>
        </row>
        <row r="328">
          <cell r="B328" t="str">
            <v>ONG6</v>
          </cell>
          <cell r="C328" t="str">
            <v>bcc45cff-7379-4603-bbe9-193c141d2d96</v>
          </cell>
          <cell r="D328" t="str">
            <v>https://logistics.amazon.co.jp/internal/operations/execution/itineraries?operationView=true&amp;provider=ALL_DRIVERS&amp;selectedDay=2024-06-14&amp;serviceAreaId=bcc45cff-7379-4603-bbe9-193c141d2d96</v>
          </cell>
        </row>
        <row r="329">
          <cell r="B329" t="str">
            <v>OCJ8</v>
          </cell>
          <cell r="C329" t="str">
            <v>4ff15d30-941e-4046-8db0-99cd5fe84f1d</v>
          </cell>
          <cell r="D329" t="str">
            <v>https://logistics.amazon.co.jp/internal/operations/execution/itineraries?operationView=true&amp;provider=ALL_DRIVERS&amp;selectedDay=2024-10-01&amp;serviceAreaId=4ff15d30-941e-4046-8db0-99cd5fe84f1d</v>
          </cell>
        </row>
        <row r="330">
          <cell r="B330" t="str">
            <v>OCJ9</v>
          </cell>
          <cell r="C330" t="str">
            <v>5730fe55-e085-47b0-9d90-368a2f262ccb</v>
          </cell>
          <cell r="D330" t="str">
            <v>https://logistics.amazon.co.jp/internal/operations/execution/itineraries?operationView=true&amp;provider=ALL_DRIVERS&amp;selectedDay=2024-10-01&amp;serviceAreaId=5730fe55-e085-47b0-9d90-368a2f262ccb</v>
          </cell>
        </row>
        <row r="331">
          <cell r="B331" t="str">
            <v>JKA6</v>
          </cell>
          <cell r="C331" t="str">
            <v>b97f4323-b659-475e-afbf-924f72d1bb28</v>
          </cell>
          <cell r="D331" t="str">
            <v>https://logistics.amazon.co.jp/internal/operations/execution/itineraries?operationView=true&amp;provider=ALL_DRIVERS&amp;selectedDay=2024-10-05&amp;serviceAreaId=b97f4323-b659-475e-afbf-924f72d1bb28</v>
          </cell>
        </row>
        <row r="332">
          <cell r="B332" t="str">
            <v>DFK5</v>
          </cell>
          <cell r="C332" t="str">
            <v>e0de3453-89ca-4961-8f74-5980f5579fbf</v>
          </cell>
          <cell r="D332" t="str">
            <v>https://logistics.amazon.co.jp/internal/operations/execution/itineraries?operationView=true&amp;provider=ALL_DRIVERS&amp;selectedDay=2024-10-09&amp;serviceAreaId=e0de3453-89ca-4961-8f74-5980f5579fbf</v>
          </cell>
        </row>
        <row r="333">
          <cell r="B333" t="str">
            <v>OFK8</v>
          </cell>
          <cell r="C333" t="str">
            <v>9c3143b2-9d73-45e4-8f4a-a77f9598d078</v>
          </cell>
          <cell r="D333" t="str">
            <v>https://logistics.amazon.co.jp/internal/operations/execution/itineraries?operationView=true&amp;provider=ALL_DRIVERS&amp;selectedDay=2024-10-09&amp;serviceAreaId=9c3143b2-9d73-45e4-8f4a-a77f9598d078</v>
          </cell>
        </row>
        <row r="334">
          <cell r="B334" t="str">
            <v>OFK9</v>
          </cell>
          <cell r="C334" t="str">
            <v>96029db4-7254-4aa8-938c-a916d70615ae</v>
          </cell>
          <cell r="D334" t="str">
            <v>https://logistics.amazon.co.jp/internal/operations/execution/itineraries?operationView=true&amp;provider=ALL_DRIVERS&amp;selectedDay=2024-10-09&amp;serviceAreaId=96029db4-7254-4aa8-938c-a916d70615ae</v>
          </cell>
        </row>
        <row r="335">
          <cell r="B335" t="str">
            <v>JLH6</v>
          </cell>
          <cell r="C335" t="str">
            <v>de274d4e-f586-44d6-8716-0dc6ce739500</v>
          </cell>
          <cell r="D335" t="str">
            <v>https://logistics.amazon.co.jp/internal/operations/execution/itineraries?operationView=true&amp;provider=ALL_DRIVERS&amp;selectedDay=2024-10-09&amp;serviceAreaId=de274d4e-f586-44d6-8716-0dc6ce739500</v>
          </cell>
        </row>
        <row r="336">
          <cell r="B336" t="str">
            <v>JLF5</v>
          </cell>
          <cell r="C336" t="str">
            <v>ef51b76f-f31b-43cd-a4e4-b3111a78d952</v>
          </cell>
          <cell r="D336" t="str">
            <v>https://logistics.amazon.co.jp/internal/operations/execution/itineraries?operationView=true&amp;provider=ALL_DRIVERS&amp;selectedDay=2024-11-11&amp;serviceAreaId=ef51b76f-f31b-43cd-a4e4-b3111a78d952</v>
          </cell>
        </row>
        <row r="337">
          <cell r="B337" t="str">
            <v>JKB1</v>
          </cell>
          <cell r="C337" t="str">
            <v>8f5394a9-c33f-48bb-9681-1a18002e586a</v>
          </cell>
          <cell r="D337" t="str">
            <v>https://logistics.amazon.co.jp/internal/operations/execution/dv/routes?provider=ALL_DRIVERS&amp;providerFilter=ALL_DSPS&amp;selectedDay=2024-11-18&amp;serviceAreaId=8f5394a9-c33f-48bb-9681-1a18002e586a</v>
          </cell>
        </row>
        <row r="338">
          <cell r="B338" t="str">
            <v>VIT1</v>
          </cell>
          <cell r="C338" t="str">
            <v>550c5816-ff49-44b8-9776-4ce3e376e62d</v>
          </cell>
          <cell r="D338" t="str">
            <v>https://logistics.amazon.co.jp/internal/operations/execution/itineraries?operationView=true&amp;provider=ALL_DRIVERS&amp;selectedDay=2025-01-09&amp;serviceAreaId=550c5816-ff49-44b8-9776-4ce3e376e62d</v>
          </cell>
        </row>
        <row r="339">
          <cell r="B339" t="str">
            <v>VSJ1</v>
          </cell>
          <cell r="C339" t="str">
            <v>a5723567-d1c6-4874-918c-cf82c14e9375</v>
          </cell>
          <cell r="D339" t="str">
            <v>https://logistics.amazon.co.jp/internal/operations/execution/itineraries?operationView=true&amp;provider=ALL_DRIVERS&amp;selectedDay=2025-01-09&amp;serviceAreaId=a5723567-d1c6-4874-918c-cf82c14e9375</v>
          </cell>
        </row>
        <row r="340">
          <cell r="B340" t="str">
            <v>DHR2</v>
          </cell>
          <cell r="C340" t="str">
            <v>f4807e4a-e5fa-4332-9f5c-3be7961c1e05</v>
          </cell>
          <cell r="D340" t="str">
            <v>https://logistics.amazon.co.jp/internal/operations/execution/itineraries?operationView=true&amp;provider=ALL_DRIVERS&amp;selectedDay=2025-04-04&amp;serviceAreaId=f4807e4a-e5fa-4332-9f5c-3be7961c1e05</v>
          </cell>
        </row>
        <row r="341">
          <cell r="B341" t="str">
            <v>DKJ3</v>
          </cell>
          <cell r="C341" t="str">
            <v>4026ab3e-84be-426c-a4fb-e009fa0cb698</v>
          </cell>
          <cell r="D341" t="str">
            <v>https://logistics.amazon.co.jp/internal/operations/execution/itineraries?operationView=true&amp;provider=ALL_DRIVERS&amp;selectedDay=2025-04-04&amp;serviceAreaId=4026ab3e-84be-426c-a4fb-e009fa0cb698</v>
          </cell>
        </row>
        <row r="342">
          <cell r="C342" t="str">
            <v/>
          </cell>
        </row>
        <row r="343">
          <cell r="C343" t="str">
            <v/>
          </cell>
        </row>
        <row r="344">
          <cell r="C344" t="str">
            <v/>
          </cell>
        </row>
        <row r="345">
          <cell r="C345" t="str">
            <v/>
          </cell>
        </row>
        <row r="346">
          <cell r="C346" t="str">
            <v/>
          </cell>
        </row>
        <row r="347">
          <cell r="C347" t="str">
            <v/>
          </cell>
        </row>
        <row r="348">
          <cell r="C348" t="str">
            <v/>
          </cell>
        </row>
        <row r="349">
          <cell r="C349" t="str">
            <v/>
          </cell>
        </row>
        <row r="350">
          <cell r="C350" t="str">
            <v/>
          </cell>
        </row>
        <row r="351">
          <cell r="C351" t="str">
            <v/>
          </cell>
        </row>
        <row r="352">
          <cell r="C352" t="str">
            <v/>
          </cell>
        </row>
        <row r="353">
          <cell r="C353" t="str">
            <v/>
          </cell>
        </row>
        <row r="354">
          <cell r="C354" t="str">
            <v/>
          </cell>
        </row>
        <row r="355">
          <cell r="C355" t="str">
            <v/>
          </cell>
        </row>
        <row r="356">
          <cell r="C356" t="str">
            <v/>
          </cell>
        </row>
        <row r="357">
          <cell r="C357" t="str">
            <v/>
          </cell>
        </row>
        <row r="358">
          <cell r="C358" t="str">
            <v/>
          </cell>
        </row>
        <row r="359">
          <cell r="C359" t="str">
            <v/>
          </cell>
        </row>
        <row r="360">
          <cell r="C360" t="str">
            <v/>
          </cell>
        </row>
        <row r="361">
          <cell r="C361" t="str">
            <v/>
          </cell>
        </row>
        <row r="362">
          <cell r="C362" t="str">
            <v/>
          </cell>
        </row>
        <row r="363">
          <cell r="C363" t="str">
            <v/>
          </cell>
        </row>
        <row r="364">
          <cell r="C364" t="str">
            <v/>
          </cell>
        </row>
        <row r="365">
          <cell r="C365" t="str">
            <v/>
          </cell>
        </row>
        <row r="366">
          <cell r="C366" t="str">
            <v/>
          </cell>
        </row>
        <row r="367">
          <cell r="C367" t="str">
            <v/>
          </cell>
        </row>
        <row r="368">
          <cell r="C368" t="str">
            <v/>
          </cell>
        </row>
        <row r="369">
          <cell r="C369" t="str">
            <v/>
          </cell>
        </row>
        <row r="370">
          <cell r="C370" t="str">
            <v/>
          </cell>
        </row>
        <row r="371">
          <cell r="C371" t="str">
            <v/>
          </cell>
        </row>
        <row r="372">
          <cell r="C372" t="str">
            <v/>
          </cell>
        </row>
        <row r="373">
          <cell r="C373" t="str">
            <v/>
          </cell>
        </row>
        <row r="374">
          <cell r="C374" t="str">
            <v/>
          </cell>
        </row>
        <row r="375">
          <cell r="C375" t="str">
            <v/>
          </cell>
        </row>
        <row r="376">
          <cell r="C376" t="str">
            <v/>
          </cell>
        </row>
        <row r="377">
          <cell r="C377" t="str">
            <v/>
          </cell>
        </row>
        <row r="378">
          <cell r="C378" t="str">
            <v/>
          </cell>
        </row>
        <row r="379">
          <cell r="C379" t="str">
            <v/>
          </cell>
        </row>
        <row r="380">
          <cell r="C380" t="str">
            <v/>
          </cell>
        </row>
        <row r="381">
          <cell r="C381" t="str">
            <v/>
          </cell>
        </row>
        <row r="382">
          <cell r="C382" t="str">
            <v/>
          </cell>
        </row>
        <row r="383">
          <cell r="C383" t="str">
            <v/>
          </cell>
        </row>
        <row r="384">
          <cell r="C384" t="str">
            <v/>
          </cell>
        </row>
        <row r="385">
          <cell r="C385" t="str">
            <v/>
          </cell>
        </row>
        <row r="386">
          <cell r="C386" t="str">
            <v/>
          </cell>
        </row>
        <row r="387">
          <cell r="C387" t="str">
            <v/>
          </cell>
        </row>
        <row r="388">
          <cell r="C388" t="str">
            <v/>
          </cell>
        </row>
        <row r="389">
          <cell r="C389" t="str">
            <v/>
          </cell>
        </row>
        <row r="390">
          <cell r="C390" t="str">
            <v/>
          </cell>
        </row>
        <row r="391">
          <cell r="C391" t="str">
            <v/>
          </cell>
        </row>
        <row r="392">
          <cell r="C392" t="str">
            <v/>
          </cell>
        </row>
        <row r="393">
          <cell r="C393" t="str">
            <v/>
          </cell>
        </row>
        <row r="394">
          <cell r="C394" t="str">
            <v/>
          </cell>
        </row>
        <row r="395">
          <cell r="C395" t="str">
            <v/>
          </cell>
        </row>
        <row r="396">
          <cell r="C396" t="str">
            <v/>
          </cell>
        </row>
        <row r="397">
          <cell r="C397" t="str">
            <v/>
          </cell>
        </row>
        <row r="398">
          <cell r="C398" t="str">
            <v/>
          </cell>
        </row>
        <row r="399">
          <cell r="C399" t="str">
            <v/>
          </cell>
        </row>
        <row r="400">
          <cell r="C400" t="str">
            <v/>
          </cell>
        </row>
        <row r="401">
          <cell r="C401" t="str">
            <v/>
          </cell>
        </row>
        <row r="402">
          <cell r="C402" t="str">
            <v/>
          </cell>
        </row>
        <row r="403">
          <cell r="C403" t="str">
            <v/>
          </cell>
        </row>
        <row r="404">
          <cell r="C404" t="str">
            <v/>
          </cell>
        </row>
        <row r="405">
          <cell r="C405" t="str">
            <v/>
          </cell>
        </row>
        <row r="406">
          <cell r="C406" t="str">
            <v/>
          </cell>
        </row>
        <row r="407">
          <cell r="C407" t="str">
            <v/>
          </cell>
        </row>
        <row r="408">
          <cell r="C408" t="str">
            <v/>
          </cell>
        </row>
        <row r="409">
          <cell r="C409" t="str">
            <v/>
          </cell>
        </row>
        <row r="410">
          <cell r="C410" t="str">
            <v/>
          </cell>
        </row>
        <row r="411">
          <cell r="C411" t="str">
            <v/>
          </cell>
        </row>
        <row r="412">
          <cell r="C412" t="str">
            <v/>
          </cell>
        </row>
        <row r="413">
          <cell r="C413" t="str">
            <v/>
          </cell>
        </row>
        <row r="414">
          <cell r="C414" t="str">
            <v/>
          </cell>
        </row>
        <row r="415">
          <cell r="C415" t="str">
            <v/>
          </cell>
        </row>
        <row r="416">
          <cell r="C416" t="str">
            <v/>
          </cell>
        </row>
        <row r="417">
          <cell r="C417" t="str">
            <v/>
          </cell>
        </row>
        <row r="418">
          <cell r="C418" t="str">
            <v/>
          </cell>
        </row>
        <row r="419">
          <cell r="C419" t="str">
            <v/>
          </cell>
        </row>
        <row r="420">
          <cell r="C420" t="str">
            <v/>
          </cell>
        </row>
        <row r="421">
          <cell r="C421" t="str">
            <v/>
          </cell>
        </row>
        <row r="422">
          <cell r="C422" t="str">
            <v/>
          </cell>
        </row>
        <row r="423">
          <cell r="C423" t="str">
            <v/>
          </cell>
        </row>
        <row r="424">
          <cell r="C424" t="str">
            <v/>
          </cell>
        </row>
        <row r="425">
          <cell r="C425" t="str">
            <v/>
          </cell>
        </row>
        <row r="426">
          <cell r="C426" t="str">
            <v/>
          </cell>
        </row>
        <row r="427">
          <cell r="C427" t="str">
            <v/>
          </cell>
        </row>
        <row r="428">
          <cell r="C428" t="str">
            <v/>
          </cell>
        </row>
        <row r="429">
          <cell r="C429" t="str">
            <v/>
          </cell>
        </row>
        <row r="430">
          <cell r="C430" t="str">
            <v/>
          </cell>
        </row>
        <row r="431">
          <cell r="C431" t="str">
            <v/>
          </cell>
        </row>
        <row r="432">
          <cell r="C432" t="str">
            <v/>
          </cell>
        </row>
        <row r="433">
          <cell r="C433" t="str">
            <v/>
          </cell>
        </row>
        <row r="434">
          <cell r="C434" t="str">
            <v/>
          </cell>
        </row>
        <row r="435">
          <cell r="C435" t="str">
            <v/>
          </cell>
        </row>
        <row r="436">
          <cell r="C436" t="str">
            <v/>
          </cell>
        </row>
        <row r="437">
          <cell r="C437" t="str">
            <v/>
          </cell>
        </row>
        <row r="438">
          <cell r="C438" t="str">
            <v/>
          </cell>
        </row>
        <row r="439">
          <cell r="C439" t="str">
            <v/>
          </cell>
        </row>
        <row r="440">
          <cell r="C440" t="str">
            <v/>
          </cell>
        </row>
        <row r="441">
          <cell r="C441" t="str">
            <v/>
          </cell>
        </row>
        <row r="442">
          <cell r="C442" t="str">
            <v/>
          </cell>
        </row>
        <row r="443">
          <cell r="C443" t="str">
            <v/>
          </cell>
        </row>
        <row r="444">
          <cell r="C444" t="str">
            <v/>
          </cell>
        </row>
        <row r="445">
          <cell r="C445" t="str">
            <v/>
          </cell>
        </row>
        <row r="446">
          <cell r="C446" t="str">
            <v/>
          </cell>
        </row>
        <row r="447">
          <cell r="C447" t="str">
            <v/>
          </cell>
        </row>
        <row r="448">
          <cell r="C448" t="str">
            <v/>
          </cell>
        </row>
        <row r="449">
          <cell r="C449" t="str">
            <v/>
          </cell>
        </row>
        <row r="450">
          <cell r="C450" t="str">
            <v/>
          </cell>
        </row>
        <row r="451">
          <cell r="C451" t="str">
            <v/>
          </cell>
        </row>
        <row r="452">
          <cell r="C452" t="str">
            <v/>
          </cell>
        </row>
        <row r="453">
          <cell r="C453" t="str">
            <v/>
          </cell>
        </row>
        <row r="454">
          <cell r="C454" t="str">
            <v/>
          </cell>
        </row>
        <row r="455">
          <cell r="C455" t="str">
            <v/>
          </cell>
        </row>
        <row r="456">
          <cell r="C456" t="str">
            <v/>
          </cell>
        </row>
        <row r="457">
          <cell r="C457" t="str">
            <v/>
          </cell>
        </row>
        <row r="458">
          <cell r="C458" t="str">
            <v/>
          </cell>
        </row>
        <row r="459">
          <cell r="C459" t="str">
            <v/>
          </cell>
        </row>
        <row r="460">
          <cell r="C460" t="str">
            <v/>
          </cell>
        </row>
        <row r="461">
          <cell r="C461" t="str">
            <v/>
          </cell>
        </row>
        <row r="462">
          <cell r="C462" t="str">
            <v/>
          </cell>
        </row>
        <row r="463">
          <cell r="C463" t="str">
            <v/>
          </cell>
        </row>
        <row r="464">
          <cell r="C464" t="str">
            <v/>
          </cell>
        </row>
        <row r="465">
          <cell r="C465" t="str">
            <v/>
          </cell>
        </row>
        <row r="466">
          <cell r="C466" t="str">
            <v/>
          </cell>
        </row>
        <row r="467">
          <cell r="C467" t="str">
            <v/>
          </cell>
        </row>
        <row r="468">
          <cell r="C468" t="str">
            <v/>
          </cell>
        </row>
        <row r="469">
          <cell r="C469" t="str">
            <v/>
          </cell>
        </row>
        <row r="470">
          <cell r="C470" t="str">
            <v/>
          </cell>
        </row>
        <row r="471">
          <cell r="C471" t="str">
            <v/>
          </cell>
        </row>
        <row r="472">
          <cell r="C472" t="str">
            <v/>
          </cell>
        </row>
        <row r="473">
          <cell r="C473" t="str">
            <v/>
          </cell>
        </row>
        <row r="474">
          <cell r="C474" t="str">
            <v/>
          </cell>
        </row>
        <row r="475">
          <cell r="C475" t="str">
            <v/>
          </cell>
        </row>
        <row r="476">
          <cell r="C476" t="str">
            <v/>
          </cell>
        </row>
        <row r="477">
          <cell r="C477" t="str">
            <v/>
          </cell>
        </row>
        <row r="478">
          <cell r="C478" t="str">
            <v/>
          </cell>
        </row>
        <row r="479">
          <cell r="C479" t="str">
            <v/>
          </cell>
        </row>
        <row r="480">
          <cell r="C480" t="str">
            <v/>
          </cell>
        </row>
        <row r="481">
          <cell r="C481" t="str">
            <v/>
          </cell>
        </row>
        <row r="482">
          <cell r="C482" t="str">
            <v/>
          </cell>
        </row>
        <row r="483">
          <cell r="C483" t="str">
            <v/>
          </cell>
        </row>
        <row r="484">
          <cell r="C484" t="str">
            <v/>
          </cell>
        </row>
        <row r="485">
          <cell r="C485" t="str">
            <v/>
          </cell>
        </row>
        <row r="486">
          <cell r="C486" t="str">
            <v/>
          </cell>
        </row>
        <row r="487">
          <cell r="C487" t="str">
            <v/>
          </cell>
        </row>
        <row r="488">
          <cell r="C488" t="str">
            <v/>
          </cell>
        </row>
        <row r="489">
          <cell r="C489" t="str">
            <v/>
          </cell>
        </row>
        <row r="490">
          <cell r="C490" t="str">
            <v/>
          </cell>
        </row>
        <row r="491">
          <cell r="C491" t="str">
            <v/>
          </cell>
        </row>
        <row r="492">
          <cell r="C492" t="str">
            <v/>
          </cell>
        </row>
        <row r="493">
          <cell r="C493" t="str">
            <v/>
          </cell>
        </row>
        <row r="494">
          <cell r="C494" t="str">
            <v/>
          </cell>
        </row>
        <row r="495">
          <cell r="C495" t="str">
            <v/>
          </cell>
        </row>
        <row r="496">
          <cell r="C496" t="str">
            <v/>
          </cell>
        </row>
        <row r="497">
          <cell r="C497" t="str">
            <v/>
          </cell>
        </row>
        <row r="498">
          <cell r="C498" t="str">
            <v/>
          </cell>
        </row>
        <row r="499">
          <cell r="C499" t="str">
            <v/>
          </cell>
        </row>
        <row r="500">
          <cell r="C500" t="str">
            <v/>
          </cell>
        </row>
        <row r="501">
          <cell r="C501" t="str">
            <v/>
          </cell>
        </row>
        <row r="502">
          <cell r="C502" t="str">
            <v/>
          </cell>
        </row>
        <row r="503">
          <cell r="C503" t="str">
            <v/>
          </cell>
        </row>
        <row r="504">
          <cell r="C504" t="str">
            <v/>
          </cell>
        </row>
        <row r="505">
          <cell r="C505" t="str">
            <v/>
          </cell>
        </row>
        <row r="506">
          <cell r="C506" t="str">
            <v/>
          </cell>
        </row>
        <row r="507">
          <cell r="C507" t="str">
            <v/>
          </cell>
        </row>
        <row r="508">
          <cell r="C508" t="str">
            <v/>
          </cell>
        </row>
        <row r="509">
          <cell r="C509" t="str">
            <v/>
          </cell>
        </row>
        <row r="510">
          <cell r="C510" t="str">
            <v/>
          </cell>
        </row>
        <row r="511">
          <cell r="C511" t="str">
            <v/>
          </cell>
        </row>
        <row r="512">
          <cell r="C512" t="str">
            <v/>
          </cell>
        </row>
        <row r="513">
          <cell r="C513" t="str">
            <v/>
          </cell>
        </row>
        <row r="514">
          <cell r="C514" t="str">
            <v/>
          </cell>
        </row>
        <row r="515">
          <cell r="C515" t="str">
            <v/>
          </cell>
        </row>
        <row r="516">
          <cell r="C516" t="str">
            <v/>
          </cell>
        </row>
        <row r="517">
          <cell r="C517" t="str">
            <v/>
          </cell>
        </row>
        <row r="518">
          <cell r="C518" t="str">
            <v/>
          </cell>
        </row>
        <row r="519">
          <cell r="C519" t="str">
            <v/>
          </cell>
        </row>
        <row r="520">
          <cell r="C520" t="str">
            <v/>
          </cell>
        </row>
        <row r="521">
          <cell r="C521" t="str">
            <v/>
          </cell>
        </row>
        <row r="522">
          <cell r="C522" t="str">
            <v/>
          </cell>
        </row>
        <row r="523">
          <cell r="C523" t="str">
            <v/>
          </cell>
        </row>
        <row r="524">
          <cell r="C524" t="str">
            <v/>
          </cell>
        </row>
        <row r="525">
          <cell r="C525" t="str">
            <v/>
          </cell>
        </row>
        <row r="526">
          <cell r="C526" t="str">
            <v/>
          </cell>
        </row>
        <row r="527">
          <cell r="C527" t="str">
            <v/>
          </cell>
        </row>
        <row r="528">
          <cell r="C528" t="str">
            <v/>
          </cell>
        </row>
        <row r="529">
          <cell r="C529" t="str">
            <v/>
          </cell>
        </row>
        <row r="530">
          <cell r="C530" t="str">
            <v/>
          </cell>
        </row>
        <row r="531">
          <cell r="C531" t="str">
            <v/>
          </cell>
        </row>
        <row r="532">
          <cell r="C532" t="str">
            <v/>
          </cell>
        </row>
        <row r="533">
          <cell r="C533" t="str">
            <v/>
          </cell>
        </row>
        <row r="534">
          <cell r="C534" t="str">
            <v/>
          </cell>
        </row>
        <row r="535">
          <cell r="C535" t="str">
            <v/>
          </cell>
        </row>
        <row r="536">
          <cell r="C536" t="str">
            <v/>
          </cell>
        </row>
        <row r="537">
          <cell r="C537" t="str">
            <v/>
          </cell>
        </row>
        <row r="538">
          <cell r="C538" t="str">
            <v/>
          </cell>
        </row>
        <row r="539">
          <cell r="C539" t="str">
            <v/>
          </cell>
        </row>
        <row r="540">
          <cell r="C540" t="str">
            <v/>
          </cell>
        </row>
        <row r="541">
          <cell r="C541" t="str">
            <v/>
          </cell>
        </row>
        <row r="542">
          <cell r="C542" t="str">
            <v/>
          </cell>
        </row>
        <row r="543">
          <cell r="C543" t="str">
            <v/>
          </cell>
        </row>
        <row r="544">
          <cell r="C544" t="str">
            <v/>
          </cell>
        </row>
        <row r="545">
          <cell r="C545" t="str">
            <v/>
          </cell>
        </row>
        <row r="546">
          <cell r="C546" t="str">
            <v/>
          </cell>
        </row>
        <row r="547">
          <cell r="C547" t="str">
            <v/>
          </cell>
        </row>
        <row r="548">
          <cell r="C548" t="str">
            <v/>
          </cell>
        </row>
        <row r="549">
          <cell r="C549" t="str">
            <v/>
          </cell>
        </row>
        <row r="550">
          <cell r="C550" t="str">
            <v/>
          </cell>
        </row>
        <row r="551">
          <cell r="C551" t="str">
            <v/>
          </cell>
        </row>
        <row r="552">
          <cell r="C552" t="str">
            <v/>
          </cell>
        </row>
        <row r="553">
          <cell r="C553" t="str">
            <v/>
          </cell>
        </row>
        <row r="554">
          <cell r="C554" t="str">
            <v/>
          </cell>
        </row>
        <row r="555">
          <cell r="C555" t="str">
            <v/>
          </cell>
        </row>
        <row r="556">
          <cell r="C556" t="str">
            <v/>
          </cell>
        </row>
        <row r="557">
          <cell r="C557" t="str">
            <v/>
          </cell>
        </row>
        <row r="558">
          <cell r="C558" t="str">
            <v/>
          </cell>
        </row>
        <row r="559">
          <cell r="C559" t="str">
            <v/>
          </cell>
        </row>
        <row r="560">
          <cell r="C560" t="str">
            <v/>
          </cell>
        </row>
        <row r="561">
          <cell r="C561" t="str">
            <v/>
          </cell>
        </row>
        <row r="562">
          <cell r="C562" t="str">
            <v/>
          </cell>
        </row>
        <row r="563">
          <cell r="C563" t="str">
            <v/>
          </cell>
        </row>
        <row r="564">
          <cell r="C564" t="str">
            <v/>
          </cell>
        </row>
        <row r="565">
          <cell r="C565" t="str">
            <v/>
          </cell>
        </row>
        <row r="566">
          <cell r="C566" t="str">
            <v/>
          </cell>
        </row>
        <row r="567">
          <cell r="C567" t="str">
            <v/>
          </cell>
        </row>
        <row r="568">
          <cell r="C568" t="str">
            <v/>
          </cell>
        </row>
        <row r="569">
          <cell r="C569" t="str">
            <v/>
          </cell>
        </row>
        <row r="570">
          <cell r="C570" t="str">
            <v/>
          </cell>
        </row>
        <row r="571">
          <cell r="C571" t="str">
            <v/>
          </cell>
        </row>
        <row r="572">
          <cell r="C572" t="str">
            <v/>
          </cell>
        </row>
        <row r="573">
          <cell r="C573" t="str">
            <v/>
          </cell>
        </row>
        <row r="574">
          <cell r="C574" t="str">
            <v/>
          </cell>
        </row>
        <row r="575">
          <cell r="C575" t="str">
            <v/>
          </cell>
        </row>
        <row r="576">
          <cell r="C576" t="str">
            <v/>
          </cell>
        </row>
        <row r="577">
          <cell r="C577" t="str">
            <v/>
          </cell>
        </row>
        <row r="578">
          <cell r="C578" t="str">
            <v/>
          </cell>
        </row>
        <row r="579">
          <cell r="C579" t="str">
            <v/>
          </cell>
        </row>
        <row r="580">
          <cell r="C580" t="str">
            <v/>
          </cell>
        </row>
        <row r="581">
          <cell r="C581" t="str">
            <v/>
          </cell>
        </row>
        <row r="582">
          <cell r="C582" t="str">
            <v/>
          </cell>
        </row>
        <row r="583">
          <cell r="C583" t="str">
            <v/>
          </cell>
        </row>
        <row r="584">
          <cell r="C584" t="str">
            <v/>
          </cell>
        </row>
        <row r="585">
          <cell r="C585" t="str">
            <v/>
          </cell>
        </row>
        <row r="586">
          <cell r="C586" t="str">
            <v/>
          </cell>
        </row>
        <row r="587">
          <cell r="C587" t="str">
            <v/>
          </cell>
        </row>
        <row r="588">
          <cell r="C588" t="str">
            <v/>
          </cell>
        </row>
        <row r="589">
          <cell r="C589" t="str">
            <v/>
          </cell>
        </row>
        <row r="590">
          <cell r="C590" t="str">
            <v/>
          </cell>
        </row>
        <row r="591">
          <cell r="C591" t="str">
            <v/>
          </cell>
        </row>
        <row r="592">
          <cell r="C592" t="str">
            <v/>
          </cell>
        </row>
        <row r="593">
          <cell r="C593" t="str">
            <v/>
          </cell>
        </row>
        <row r="594">
          <cell r="C594" t="str">
            <v/>
          </cell>
        </row>
        <row r="595">
          <cell r="C595" t="str">
            <v/>
          </cell>
        </row>
        <row r="596">
          <cell r="C596" t="str">
            <v/>
          </cell>
        </row>
        <row r="597">
          <cell r="C597" t="str">
            <v/>
          </cell>
        </row>
        <row r="598">
          <cell r="C598" t="str">
            <v/>
          </cell>
        </row>
        <row r="599">
          <cell r="C599" t="str">
            <v/>
          </cell>
        </row>
        <row r="600">
          <cell r="C600" t="str">
            <v/>
          </cell>
        </row>
        <row r="601">
          <cell r="C601" t="str">
            <v/>
          </cell>
        </row>
        <row r="602">
          <cell r="C602" t="str">
            <v/>
          </cell>
        </row>
        <row r="603">
          <cell r="C603" t="str">
            <v/>
          </cell>
        </row>
        <row r="604">
          <cell r="C604" t="str">
            <v/>
          </cell>
        </row>
        <row r="605">
          <cell r="C605" t="str">
            <v/>
          </cell>
        </row>
        <row r="606">
          <cell r="C606" t="str">
            <v/>
          </cell>
        </row>
        <row r="607">
          <cell r="C607" t="str">
            <v/>
          </cell>
        </row>
        <row r="608">
          <cell r="C608" t="str">
            <v/>
          </cell>
        </row>
        <row r="609">
          <cell r="C609" t="str">
            <v/>
          </cell>
        </row>
        <row r="610">
          <cell r="C610" t="str">
            <v/>
          </cell>
        </row>
        <row r="611">
          <cell r="C611" t="str">
            <v/>
          </cell>
        </row>
        <row r="612">
          <cell r="C612" t="str">
            <v/>
          </cell>
        </row>
        <row r="613">
          <cell r="C613" t="str">
            <v/>
          </cell>
        </row>
        <row r="614">
          <cell r="C614" t="str">
            <v/>
          </cell>
        </row>
        <row r="615">
          <cell r="C615" t="str">
            <v/>
          </cell>
        </row>
        <row r="616">
          <cell r="C616" t="str">
            <v/>
          </cell>
        </row>
        <row r="617">
          <cell r="C617" t="str">
            <v/>
          </cell>
        </row>
        <row r="618">
          <cell r="C618" t="str">
            <v/>
          </cell>
        </row>
        <row r="619">
          <cell r="C619" t="str">
            <v/>
          </cell>
        </row>
        <row r="620">
          <cell r="C620" t="str">
            <v/>
          </cell>
        </row>
        <row r="621">
          <cell r="C621" t="str">
            <v/>
          </cell>
        </row>
        <row r="622">
          <cell r="C622" t="str">
            <v/>
          </cell>
        </row>
        <row r="623">
          <cell r="C623" t="str">
            <v/>
          </cell>
        </row>
        <row r="624">
          <cell r="C624" t="str">
            <v/>
          </cell>
        </row>
        <row r="625">
          <cell r="C625" t="str">
            <v/>
          </cell>
        </row>
        <row r="626">
          <cell r="C626" t="str">
            <v/>
          </cell>
        </row>
        <row r="627">
          <cell r="C627" t="str">
            <v/>
          </cell>
        </row>
        <row r="628">
          <cell r="C628" t="str">
            <v/>
          </cell>
        </row>
        <row r="629">
          <cell r="C629" t="str">
            <v/>
          </cell>
        </row>
        <row r="630">
          <cell r="C630" t="str">
            <v/>
          </cell>
        </row>
        <row r="631">
          <cell r="C631" t="str">
            <v/>
          </cell>
        </row>
        <row r="632">
          <cell r="C632" t="str">
            <v/>
          </cell>
        </row>
        <row r="633">
          <cell r="C633" t="str">
            <v/>
          </cell>
        </row>
        <row r="634">
          <cell r="C634" t="str">
            <v/>
          </cell>
        </row>
        <row r="635">
          <cell r="C635" t="str">
            <v/>
          </cell>
        </row>
        <row r="636">
          <cell r="C636" t="str">
            <v/>
          </cell>
        </row>
        <row r="637">
          <cell r="C637" t="str">
            <v/>
          </cell>
        </row>
        <row r="638">
          <cell r="C638" t="str">
            <v/>
          </cell>
        </row>
        <row r="639">
          <cell r="C639" t="str">
            <v/>
          </cell>
        </row>
        <row r="640">
          <cell r="C640" t="str">
            <v/>
          </cell>
        </row>
        <row r="641">
          <cell r="C641" t="str">
            <v/>
          </cell>
        </row>
        <row r="642">
          <cell r="C642" t="str">
            <v/>
          </cell>
        </row>
        <row r="643">
          <cell r="C643" t="str">
            <v/>
          </cell>
        </row>
        <row r="644">
          <cell r="C644" t="str">
            <v/>
          </cell>
        </row>
        <row r="645">
          <cell r="C645" t="str">
            <v/>
          </cell>
        </row>
        <row r="646">
          <cell r="C646" t="str">
            <v/>
          </cell>
        </row>
        <row r="647">
          <cell r="C647" t="str">
            <v/>
          </cell>
        </row>
        <row r="648">
          <cell r="C648" t="str">
            <v/>
          </cell>
        </row>
        <row r="649">
          <cell r="C649" t="str">
            <v/>
          </cell>
        </row>
        <row r="650">
          <cell r="C650" t="str">
            <v/>
          </cell>
        </row>
        <row r="651">
          <cell r="C651" t="str">
            <v/>
          </cell>
        </row>
        <row r="652">
          <cell r="C652" t="str">
            <v/>
          </cell>
        </row>
        <row r="653">
          <cell r="C653" t="str">
            <v/>
          </cell>
        </row>
        <row r="654">
          <cell r="C654" t="str">
            <v/>
          </cell>
        </row>
        <row r="655">
          <cell r="C655" t="str">
            <v/>
          </cell>
        </row>
        <row r="656">
          <cell r="C656" t="str">
            <v/>
          </cell>
        </row>
        <row r="657">
          <cell r="C657" t="str">
            <v/>
          </cell>
        </row>
        <row r="658">
          <cell r="C658" t="str">
            <v/>
          </cell>
        </row>
        <row r="659">
          <cell r="C659" t="str">
            <v/>
          </cell>
        </row>
        <row r="660">
          <cell r="C660" t="str">
            <v/>
          </cell>
        </row>
        <row r="661">
          <cell r="C661" t="str">
            <v/>
          </cell>
        </row>
        <row r="662">
          <cell r="C662" t="str">
            <v/>
          </cell>
        </row>
        <row r="663">
          <cell r="C663" t="str">
            <v/>
          </cell>
        </row>
        <row r="664">
          <cell r="C664" t="str">
            <v/>
          </cell>
        </row>
        <row r="665">
          <cell r="C665" t="str">
            <v/>
          </cell>
        </row>
        <row r="666">
          <cell r="C666" t="str">
            <v/>
          </cell>
        </row>
        <row r="667">
          <cell r="C667" t="str">
            <v/>
          </cell>
        </row>
        <row r="668">
          <cell r="C668" t="str">
            <v/>
          </cell>
        </row>
        <row r="669">
          <cell r="C669" t="str">
            <v/>
          </cell>
        </row>
        <row r="670">
          <cell r="C670" t="str">
            <v/>
          </cell>
        </row>
        <row r="671">
          <cell r="C671" t="str">
            <v/>
          </cell>
        </row>
        <row r="672">
          <cell r="C672" t="str">
            <v/>
          </cell>
        </row>
        <row r="673">
          <cell r="C673" t="str">
            <v/>
          </cell>
        </row>
        <row r="674">
          <cell r="C674" t="str">
            <v/>
          </cell>
        </row>
        <row r="675">
          <cell r="C675" t="str">
            <v/>
          </cell>
        </row>
        <row r="676">
          <cell r="C676" t="str">
            <v/>
          </cell>
        </row>
        <row r="677">
          <cell r="C677" t="str">
            <v/>
          </cell>
        </row>
        <row r="678">
          <cell r="C678" t="str">
            <v/>
          </cell>
        </row>
        <row r="679">
          <cell r="C679" t="str">
            <v/>
          </cell>
        </row>
        <row r="680">
          <cell r="C680" t="str">
            <v/>
          </cell>
        </row>
        <row r="681">
          <cell r="C681" t="str">
            <v/>
          </cell>
        </row>
        <row r="682">
          <cell r="C682" t="str">
            <v/>
          </cell>
        </row>
        <row r="683">
          <cell r="C683" t="str">
            <v/>
          </cell>
        </row>
        <row r="684">
          <cell r="C684" t="str">
            <v/>
          </cell>
        </row>
        <row r="685">
          <cell r="C685" t="str">
            <v/>
          </cell>
        </row>
        <row r="686">
          <cell r="C686" t="str">
            <v/>
          </cell>
        </row>
        <row r="687">
          <cell r="C687" t="str">
            <v/>
          </cell>
        </row>
        <row r="688">
          <cell r="C688" t="str">
            <v/>
          </cell>
        </row>
        <row r="689">
          <cell r="C689" t="str">
            <v/>
          </cell>
        </row>
        <row r="690">
          <cell r="C690" t="str">
            <v/>
          </cell>
        </row>
        <row r="691">
          <cell r="C691" t="str">
            <v/>
          </cell>
        </row>
        <row r="692">
          <cell r="C692" t="str">
            <v/>
          </cell>
        </row>
        <row r="693">
          <cell r="C693" t="str">
            <v/>
          </cell>
        </row>
        <row r="694">
          <cell r="C694" t="str">
            <v/>
          </cell>
        </row>
        <row r="695">
          <cell r="C695" t="str">
            <v/>
          </cell>
        </row>
        <row r="696">
          <cell r="C696" t="str">
            <v/>
          </cell>
        </row>
        <row r="697">
          <cell r="C697" t="str">
            <v/>
          </cell>
        </row>
        <row r="698">
          <cell r="C698" t="str">
            <v/>
          </cell>
        </row>
        <row r="699">
          <cell r="C699" t="str">
            <v/>
          </cell>
        </row>
        <row r="700">
          <cell r="C700" t="str">
            <v/>
          </cell>
        </row>
        <row r="701">
          <cell r="C701" t="str">
            <v/>
          </cell>
        </row>
        <row r="702">
          <cell r="C702" t="str">
            <v/>
          </cell>
        </row>
        <row r="703">
          <cell r="C703" t="str">
            <v/>
          </cell>
        </row>
        <row r="704">
          <cell r="C704" t="str">
            <v/>
          </cell>
        </row>
        <row r="705">
          <cell r="C705" t="str">
            <v/>
          </cell>
        </row>
        <row r="706">
          <cell r="C706" t="str">
            <v/>
          </cell>
        </row>
        <row r="707">
          <cell r="C707" t="str">
            <v/>
          </cell>
        </row>
        <row r="708">
          <cell r="C708" t="str">
            <v/>
          </cell>
        </row>
        <row r="709">
          <cell r="C709" t="str">
            <v/>
          </cell>
        </row>
        <row r="710">
          <cell r="C710" t="str">
            <v/>
          </cell>
        </row>
        <row r="711">
          <cell r="C711" t="str">
            <v/>
          </cell>
        </row>
        <row r="712">
          <cell r="C712" t="str">
            <v/>
          </cell>
        </row>
        <row r="713">
          <cell r="C713" t="str">
            <v/>
          </cell>
        </row>
        <row r="714">
          <cell r="C714" t="str">
            <v/>
          </cell>
        </row>
        <row r="715">
          <cell r="C715" t="str">
            <v/>
          </cell>
        </row>
        <row r="716">
          <cell r="C716" t="str">
            <v/>
          </cell>
        </row>
        <row r="717">
          <cell r="C717" t="str">
            <v/>
          </cell>
        </row>
        <row r="718">
          <cell r="C718" t="str">
            <v/>
          </cell>
        </row>
        <row r="719">
          <cell r="C719" t="str">
            <v/>
          </cell>
        </row>
        <row r="720">
          <cell r="C720" t="str">
            <v/>
          </cell>
        </row>
        <row r="721">
          <cell r="C721" t="str">
            <v/>
          </cell>
        </row>
        <row r="722">
          <cell r="C722" t="str">
            <v/>
          </cell>
        </row>
        <row r="723">
          <cell r="C723" t="str">
            <v/>
          </cell>
        </row>
        <row r="724">
          <cell r="C724" t="str">
            <v/>
          </cell>
        </row>
        <row r="725">
          <cell r="C725" t="str">
            <v/>
          </cell>
        </row>
        <row r="726">
          <cell r="C726" t="str">
            <v/>
          </cell>
        </row>
        <row r="727">
          <cell r="C727" t="str">
            <v/>
          </cell>
        </row>
        <row r="728">
          <cell r="C728" t="str">
            <v/>
          </cell>
        </row>
        <row r="729">
          <cell r="C729" t="str">
            <v/>
          </cell>
        </row>
        <row r="730">
          <cell r="C730" t="str">
            <v/>
          </cell>
        </row>
        <row r="731">
          <cell r="C731" t="str">
            <v/>
          </cell>
        </row>
        <row r="732">
          <cell r="C732" t="str">
            <v/>
          </cell>
        </row>
        <row r="733">
          <cell r="C733" t="str">
            <v/>
          </cell>
        </row>
        <row r="734">
          <cell r="C734" t="str">
            <v/>
          </cell>
        </row>
        <row r="735">
          <cell r="C735" t="str">
            <v/>
          </cell>
        </row>
        <row r="736">
          <cell r="C736" t="str">
            <v/>
          </cell>
        </row>
        <row r="737">
          <cell r="C737" t="str">
            <v/>
          </cell>
        </row>
        <row r="738">
          <cell r="C738" t="str">
            <v/>
          </cell>
        </row>
        <row r="739">
          <cell r="C739" t="str">
            <v/>
          </cell>
        </row>
        <row r="740">
          <cell r="C740" t="str">
            <v/>
          </cell>
        </row>
        <row r="741">
          <cell r="C741" t="str">
            <v/>
          </cell>
        </row>
        <row r="742">
          <cell r="C742" t="str">
            <v/>
          </cell>
        </row>
        <row r="743">
          <cell r="C743" t="str">
            <v/>
          </cell>
        </row>
        <row r="744">
          <cell r="C744" t="str">
            <v/>
          </cell>
        </row>
        <row r="745">
          <cell r="C745" t="str">
            <v/>
          </cell>
        </row>
        <row r="746">
          <cell r="C746" t="str">
            <v/>
          </cell>
        </row>
        <row r="747">
          <cell r="C747" t="str">
            <v/>
          </cell>
        </row>
        <row r="748">
          <cell r="C748" t="str">
            <v/>
          </cell>
        </row>
        <row r="749">
          <cell r="C749" t="str">
            <v/>
          </cell>
        </row>
        <row r="750">
          <cell r="C750" t="str">
            <v/>
          </cell>
        </row>
        <row r="751">
          <cell r="C751" t="str">
            <v/>
          </cell>
        </row>
        <row r="752">
          <cell r="C752" t="str">
            <v/>
          </cell>
        </row>
        <row r="753">
          <cell r="C753" t="str">
            <v/>
          </cell>
        </row>
        <row r="754">
          <cell r="C754" t="str">
            <v/>
          </cell>
        </row>
        <row r="755">
          <cell r="C755" t="str">
            <v/>
          </cell>
        </row>
        <row r="756">
          <cell r="C756" t="str">
            <v/>
          </cell>
        </row>
        <row r="757">
          <cell r="C757" t="str">
            <v/>
          </cell>
        </row>
        <row r="758">
          <cell r="C758" t="str">
            <v/>
          </cell>
        </row>
        <row r="759">
          <cell r="C759" t="str">
            <v/>
          </cell>
        </row>
        <row r="760">
          <cell r="C760" t="str">
            <v/>
          </cell>
        </row>
        <row r="761">
          <cell r="C761" t="str">
            <v/>
          </cell>
        </row>
        <row r="762">
          <cell r="C762" t="str">
            <v/>
          </cell>
        </row>
        <row r="763">
          <cell r="C763" t="str">
            <v/>
          </cell>
        </row>
        <row r="764">
          <cell r="C764" t="str">
            <v/>
          </cell>
        </row>
        <row r="765">
          <cell r="C765" t="str">
            <v/>
          </cell>
        </row>
        <row r="766">
          <cell r="C766" t="str">
            <v/>
          </cell>
        </row>
        <row r="767">
          <cell r="C767" t="str">
            <v/>
          </cell>
        </row>
        <row r="768">
          <cell r="C768" t="str">
            <v/>
          </cell>
        </row>
        <row r="769">
          <cell r="C769" t="str">
            <v/>
          </cell>
        </row>
        <row r="770">
          <cell r="C770" t="str">
            <v/>
          </cell>
        </row>
        <row r="771">
          <cell r="C771" t="str">
            <v/>
          </cell>
        </row>
        <row r="772">
          <cell r="C772" t="str">
            <v/>
          </cell>
        </row>
        <row r="773">
          <cell r="C773" t="str">
            <v/>
          </cell>
        </row>
        <row r="774">
          <cell r="C774" t="str">
            <v/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app.asana.com/0/1207406183797017/1207406183797017" TargetMode="External"/><Relationship Id="rId2" Type="http://schemas.openxmlformats.org/officeDocument/2006/relationships/hyperlink" Target="https://quip-amazon.com/icG4AwRkk6V9/AMZL-Japan-Network-Expansion-tracker" TargetMode="External"/><Relationship Id="rId1" Type="http://schemas.openxmlformats.org/officeDocument/2006/relationships/hyperlink" Target="../../../../../Forms/AllItems.aspx?RootFolder=%2Fsites%2FCOJP%5FORM%2FShared%20Documents%2F05%5FDS%5FRescue%2F2023%2FQ3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w.amazon.com/bin/view/AMZLJP_Launch_Execution/Projects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hyperlink" Target="../AppData/_layouts/15/WopiFrame2.aspx?sourcedoc=%7b5870B620-6DE7-49F9-B6A6-753D7B82040E%7d&amp;file=Rescue_DWJ3_2023.xlsx&amp;action=default" TargetMode="External"/><Relationship Id="rId21" Type="http://schemas.openxmlformats.org/officeDocument/2006/relationships/hyperlink" Target="../AppData/_layouts/15/WopiFrame2.aspx?sourcedoc=%7b2C8CCFD2-40D9-4666-8AAE-D051A6E8B46B%7d&amp;file=Rescue_DTK5_23Q3.xlsx&amp;action=default" TargetMode="External"/><Relationship Id="rId42" Type="http://schemas.openxmlformats.org/officeDocument/2006/relationships/hyperlink" Target="../AppData/_layouts/15/WopiFrame2.aspx?sourcedoc=%7bFA578C12-1794-42CA-A0E5-3C3E7B7B328A%7d&amp;file=DOO1%20RP%202023.xlsx&amp;action=default" TargetMode="External"/><Relationship Id="rId47" Type="http://schemas.openxmlformats.org/officeDocument/2006/relationships/hyperlink" Target="../../../_layouts/15/WopiFrame2.aspx?sourcedoc=%7b60664CD8-832A-4C5D-AA78-150AB7FB26FD%7d&amp;file=DFK1%20RP%202025.xlsm&amp;action=default" TargetMode="External"/><Relationship Id="rId63" Type="http://schemas.openxmlformats.org/officeDocument/2006/relationships/hyperlink" Target="../AppData/Roaming/05_DS_Rescue/2025/RP/DEJ9%20RP%202025.xlsm?d=wce73256f758d44bb8089636da060a567" TargetMode="External"/><Relationship Id="rId68" Type="http://schemas.openxmlformats.org/officeDocument/2006/relationships/hyperlink" Target="../../../_layouts/15/WopiFrame2.aspx?sourcedoc=%7b88D9AC87-8BFA-4360-B470-E7E3583E1494%7d&amp;file=DTK7%20RP%202025.xlsm&amp;action=default" TargetMode="External"/><Relationship Id="rId84" Type="http://schemas.openxmlformats.org/officeDocument/2006/relationships/hyperlink" Target="../AppData/Roaming/05_DS_Rescue/2025/RP/DKJ1%20RP%202025.xlsm?d=w9616ae7893e7496eb5cd7a63019c48cb" TargetMode="External"/><Relationship Id="rId89" Type="http://schemas.openxmlformats.org/officeDocument/2006/relationships/hyperlink" Target="../AppData/_layouts/15/WopiFrame2.aspx?sourcedoc=%7b39FB9E09-7313-4076-8622-6C4993F9CC0F%7d&amp;file=Rescue_DFK4_23Q3.xlsx&amp;action=default" TargetMode="External"/><Relationship Id="rId112" Type="http://schemas.openxmlformats.org/officeDocument/2006/relationships/hyperlink" Target="../../../_layouts/15/WopiFrame.aspx?sourcedoc=%7b08EA8ADD-E200-48D8-BAAB-0D50BE41084C%7d&amp;file=VKI1%20RP%202025.xlsm&amp;action=default" TargetMode="External"/><Relationship Id="rId16" Type="http://schemas.openxmlformats.org/officeDocument/2006/relationships/hyperlink" Target="../AppData/_layouts/15/WopiFrame2.aspx?sourcedoc=%7b42E8F86C-CFB0-4114-87F6-0AFC42866954%7d&amp;file=Rescue_DMG1_23Q3.xlsx&amp;action=default" TargetMode="External"/><Relationship Id="rId107" Type="http://schemas.openxmlformats.org/officeDocument/2006/relationships/hyperlink" Target="../../../_layouts/15/WopiFrame2.aspx?sourcedoc=%7b5386D2C8-C5B4-4758-BECF-7C522D49D2F0%7d&amp;file=DKJ3%20RP%202025.xlsm&amp;action=default" TargetMode="External"/><Relationship Id="rId11" Type="http://schemas.openxmlformats.org/officeDocument/2006/relationships/hyperlink" Target="../AppData/_layouts/15/WopiFrame2.aspx?sourcedoc=%7bBAE7F576-5958-4811-98BE-FFC55D67AE12%7d&amp;file=Rescue_DEJ9_23Q3.xlsx&amp;action=default" TargetMode="External"/><Relationship Id="rId32" Type="http://schemas.openxmlformats.org/officeDocument/2006/relationships/hyperlink" Target="../AppData/_layouts/15/WopiFrame2.aspx?sourcedoc=%7b9EB1D313-CED0-4F4F-B221-4B769023497E%7d&amp;file=Rescue_MMG1_23Q3.xlsx&amp;action=default" TargetMode="External"/><Relationship Id="rId37" Type="http://schemas.openxmlformats.org/officeDocument/2006/relationships/hyperlink" Target="../AppData/_layouts/15/WopiFrame2.aspx?sourcedoc=%7b0BA52926-E885-4BA7-93AC-A381C61E0C26%7d&amp;file=RP%20DOO2%202023.xlsx&amp;action=default" TargetMode="External"/><Relationship Id="rId53" Type="http://schemas.openxmlformats.org/officeDocument/2006/relationships/hyperlink" Target="../../../_layouts/15/WopiFrame2.aspx?sourcedoc=%7b2D2A3AE5-0310-4257-889C-C414747B26D3%7d&amp;file=DOO2%20RP%202025.xlsm&amp;action=default" TargetMode="External"/><Relationship Id="rId58" Type="http://schemas.openxmlformats.org/officeDocument/2006/relationships/hyperlink" Target="../../../_layouts/15/WopiFrame2.aspx?sourcedoc=%7bF5AAD9B0-13C7-4AB5-9B0C-28C7F58F0C4C%7d&amp;file=DTK8%20RP%202025.xlsm&amp;action=default" TargetMode="External"/><Relationship Id="rId74" Type="http://schemas.openxmlformats.org/officeDocument/2006/relationships/hyperlink" Target="../AppData/Roaming/05_DS_Rescue/2025/RP/DHK1%20RP%202025.xlsm?d=w34dca7b30b8b4404b1cc2813dda4b3f0" TargetMode="External"/><Relationship Id="rId79" Type="http://schemas.openxmlformats.org/officeDocument/2006/relationships/hyperlink" Target="../AppData/_layouts/15/WopiFrame2.aspx?sourcedoc=%7b76263C13-A3CF-4892-9510-D65F12F35D49%7d&amp;file=DTK1%20RP%202025.xlsm&amp;action=default" TargetMode="External"/><Relationship Id="rId102" Type="http://schemas.openxmlformats.org/officeDocument/2006/relationships/hyperlink" Target="../AppData/Roaming/05_DS_Rescue/2025/RP/DOW2%20RP%202025.xlsm?d=w3c92d0de1223473ba7005912df9ff7d0" TargetMode="External"/><Relationship Id="rId5" Type="http://schemas.openxmlformats.org/officeDocument/2006/relationships/hyperlink" Target="../AppData/_layouts/15/WopiFrame2.aspx?sourcedoc=%7bDEAA34B1-11E8-4582-B783-38EADDE7B19F%7d&amp;file=Rescue_DEJ1_23Q3.xlsx&amp;action=default" TargetMode="External"/><Relationship Id="rId90" Type="http://schemas.openxmlformats.org/officeDocument/2006/relationships/hyperlink" Target="../../../_layouts/15/WopiFrame2.aspx?sourcedoc=%7bD4EE3BBA-B0D2-4F88-83F3-55A452ACBB6F%7d&amp;file=DFK5%20RP%202025.xlsm&amp;action=default" TargetMode="External"/><Relationship Id="rId95" Type="http://schemas.openxmlformats.org/officeDocument/2006/relationships/hyperlink" Target="../../../_layouts/15/WopiFrame2.aspx?sourcedoc=%7b9C1D24E6-5FEA-4A16-95D5-FD0935D5B3D0%7d&amp;file=DEJ1%20RP%202025.xlsm&amp;action=default" TargetMode="External"/><Relationship Id="rId22" Type="http://schemas.openxmlformats.org/officeDocument/2006/relationships/hyperlink" Target="../AppData/_layouts/15/WopiFrame2.aspx?sourcedoc=%7bD2A1CA16-96C7-44F1-A54C-25716769DFA9%7d&amp;file=Rescue_DTK6_23Q3.xlsx&amp;action=default" TargetMode="External"/><Relationship Id="rId27" Type="http://schemas.openxmlformats.org/officeDocument/2006/relationships/hyperlink" Target="../AppData/_layouts/15/WopiFrame2.aspx?sourcedoc=%7b16F02146-3579-4937-A0F5-41EB964649F2%7d&amp;file=Rescue_DWJ4_23Q3.xlsx&amp;action=default" TargetMode="External"/><Relationship Id="rId43" Type="http://schemas.openxmlformats.org/officeDocument/2006/relationships/hyperlink" Target="../AppData/_layouts/15/WopiFrame2.aspx?sourcedoc=%7bD91434BA-4BAA-49AA-A0A8-967BFE47431A%7d&amp;file=DEJ7%20RP%202024.xlsm&amp;action=default" TargetMode="External"/><Relationship Id="rId48" Type="http://schemas.openxmlformats.org/officeDocument/2006/relationships/hyperlink" Target="../AppData/_layouts/15/WopiFrame2.aspx?sourcedoc=%7bFA175BC8-C172-411A-AA7E-B2961B879A36%7d&amp;file=DFK2%20RP%202024.xlsm&amp;action=default" TargetMode="External"/><Relationship Id="rId64" Type="http://schemas.openxmlformats.org/officeDocument/2006/relationships/hyperlink" Target="../../../_layouts/15/WopiFrame2.aspx?sourcedoc=%7b61EA2747-1FDE-4BB2-8BDF-8DCA7C8FEC56%7d&amp;file=DKJ5%20RP%202025.xlsm&amp;action=default" TargetMode="External"/><Relationship Id="rId69" Type="http://schemas.openxmlformats.org/officeDocument/2006/relationships/hyperlink" Target="../../../_layouts/15/WopiFrame2.aspx?sourcedoc=%7b77F50F4B-8F17-4C24-9727-1DB75718BB35%7d&amp;file=DHR1%20RP%202025.xlsm&amp;action=default" TargetMode="External"/><Relationship Id="rId113" Type="http://schemas.openxmlformats.org/officeDocument/2006/relationships/printerSettings" Target="../printerSettings/printerSettings5.bin"/><Relationship Id="rId80" Type="http://schemas.openxmlformats.org/officeDocument/2006/relationships/hyperlink" Target="../AppData/_layouts/15/WopiFrame2.aspx?sourcedoc=%7b5B00C9C3-9141-45D3-8DDB-5644CEAE7C51%7d&amp;file=Rescue_DOO1_23Q3.xlsx&amp;action=default" TargetMode="External"/><Relationship Id="rId85" Type="http://schemas.openxmlformats.org/officeDocument/2006/relationships/hyperlink" Target="../../../_layouts/15/WopiFrame2.aspx?sourcedoc=%7bEDBF8E5D-AE1B-4A65-9D10-D78899C9AB54%7d&amp;file=DMG3%20RP%202025.xlsm&amp;action=default" TargetMode="External"/><Relationship Id="rId12" Type="http://schemas.openxmlformats.org/officeDocument/2006/relationships/hyperlink" Target="../AppData/_layouts/15/WopiFrame2.aspx?sourcedoc=%7b4D25EAA9-8C47-4BF9-AD43-0A3B28F9FAF5%7d&amp;file=Rescue_DFK2_23Q3.xlsx&amp;action=default" TargetMode="External"/><Relationship Id="rId17" Type="http://schemas.openxmlformats.org/officeDocument/2006/relationships/hyperlink" Target="../AppData/_layouts/15/WopiFrame2.aspx?sourcedoc=%7b5B00C9C3-9141-45D3-8DDB-5644CEAE7C51%7d&amp;file=Rescue_DOO1_23Q3.xlsx&amp;action=default" TargetMode="External"/><Relationship Id="rId33" Type="http://schemas.openxmlformats.org/officeDocument/2006/relationships/hyperlink" Target="../AppData/_layouts/15/WopiFrame2.aspx?sourcedoc=%7b0377CBA3-321E-47EB-9B9A-EDC8D0836504%7d&amp;file=Rescue_MMG2_23Q3.xlsx&amp;action=default" TargetMode="External"/><Relationship Id="rId38" Type="http://schemas.openxmlformats.org/officeDocument/2006/relationships/hyperlink" Target="../AppData/_layouts/15/WopiFrame2.aspx?sourcedoc=%7b25A260C3-39DE-4542-8A2B-AFA7469D2483%7d&amp;file=Mini%20RP%20Master.xlsx&amp;action=default" TargetMode="External"/><Relationship Id="rId59" Type="http://schemas.openxmlformats.org/officeDocument/2006/relationships/hyperlink" Target="../../../_layouts/15/WopiFrame2.aspx?sourcedoc=%7bDC1AB222-FA14-419B-B4EE-3876062A3DAF%7d&amp;file=DTK4%20RP%202025.xlsm&amp;action=default" TargetMode="External"/><Relationship Id="rId103" Type="http://schemas.openxmlformats.org/officeDocument/2006/relationships/hyperlink" Target="../../../_layouts/15/WopiFrame2.aspx?sourcedoc=%7b92DF8117-1F90-4BC4-884C-033C06D6C8FF%7d&amp;file=DAI1%20RP%202025.xlsm&amp;action=default" TargetMode="External"/><Relationship Id="rId108" Type="http://schemas.openxmlformats.org/officeDocument/2006/relationships/hyperlink" Target="../../../_layouts/15/WopiFrame2.aspx?sourcedoc=%7b9BFB8740-D9D1-4563-A282-87B7B42BA417%7d&amp;file=DWJ1%20RP%202025.xlsm&amp;action=default" TargetMode="External"/><Relationship Id="rId54" Type="http://schemas.openxmlformats.org/officeDocument/2006/relationships/hyperlink" Target="../AppData/Roaming/05_DS_Rescue/2025/RP/DWJ4%20RP%202025.xlsm?d=w75f1e37f54a04d34a244bbf01f5a2b92" TargetMode="External"/><Relationship Id="rId70" Type="http://schemas.openxmlformats.org/officeDocument/2006/relationships/hyperlink" Target="../../../_layouts/15/WopiFrame2.aspx?sourcedoc=%7bBED629BD-0E2A-4DD4-9C4F-E523C7BBBFB3%7d&amp;file=DEJ8%20RP%202025.xlsm&amp;action=default" TargetMode="External"/><Relationship Id="rId75" Type="http://schemas.openxmlformats.org/officeDocument/2006/relationships/hyperlink" Target="../../../_layouts/15/WopiFrame2.aspx?sourcedoc=%7b66839AD1-8DCB-460D-AE16-1C2572404F66%7d&amp;file=DEJ5%20RP%202025.xlsm&amp;action=default" TargetMode="External"/><Relationship Id="rId91" Type="http://schemas.openxmlformats.org/officeDocument/2006/relationships/hyperlink" Target="../../../_layouts/15/WopiFrame2.aspx?sourcedoc=%7bF5231067-D8D3-444B-8692-3BC961B4394F%7d&amp;file=DCJ1%20RP%202025.xlsm&amp;action=default" TargetMode="External"/><Relationship Id="rId96" Type="http://schemas.openxmlformats.org/officeDocument/2006/relationships/hyperlink" Target="../../../_layouts/15/WopiFrame2.aspx?sourcedoc=%7b6DA817D9-A63F-4D5A-841B-57EE5D521697%7d&amp;file=DEJ7%20RP%202025.xlsm&amp;action=default" TargetMode="External"/><Relationship Id="rId1" Type="http://schemas.openxmlformats.org/officeDocument/2006/relationships/hyperlink" Target="../../_layouts/15/WopiFrame2.aspx?sourcedoc=%7bB59F4C0B-96DC-4131-A7D7-69940D0809EF%7d&amp;file=Rescue_MHR1_23Q3.xlsx&amp;action=default" TargetMode="External"/><Relationship Id="rId6" Type="http://schemas.openxmlformats.org/officeDocument/2006/relationships/hyperlink" Target="../AppData/_layouts/15/WopiFrame2.aspx?sourcedoc=%7bCE47D83F-6700-49DF-83F5-459C12B27992%7d&amp;file=Rescue_DEJ2_23Q3.xlsx&amp;action=default" TargetMode="External"/><Relationship Id="rId15" Type="http://schemas.openxmlformats.org/officeDocument/2006/relationships/hyperlink" Target="../AppData/_layouts/15/WopiFrame2.aspx?sourcedoc=%7bE83FD9D5-7C0A-4BD9-AB49-0380D41F497B%7d&amp;file=Rescue_DHR1_23Q3.xlsx&amp;action=default" TargetMode="External"/><Relationship Id="rId23" Type="http://schemas.openxmlformats.org/officeDocument/2006/relationships/hyperlink" Target="../AppData/_layouts/15/WopiFrame2.aspx?sourcedoc=%7b886EA1AB-1BF0-478E-ACAC-30625C80C2F3%7d&amp;file=Rescue_DTK7_23Q3.xlsx&amp;action=default" TargetMode="External"/><Relationship Id="rId28" Type="http://schemas.openxmlformats.org/officeDocument/2006/relationships/hyperlink" Target="../AppData/_layouts/15/WopiFrame2.aspx?sourcedoc=%7bA164B177-B3F9-4899-B4C9-C624F4ADCEC2%7d&amp;file=Rescue_DOW2_23Q3.xlsx&amp;action=default" TargetMode="External"/><Relationship Id="rId36" Type="http://schemas.openxmlformats.org/officeDocument/2006/relationships/hyperlink" Target="../AppData/_layouts/15/WopiFrame2.aspx?sourcedoc=%7b43FEFA1F-AA73-4376-8149-FB1BC92A3831%7d&amp;file=RP%20MCJ3%202023.xlsx&amp;action=default" TargetMode="External"/><Relationship Id="rId49" Type="http://schemas.openxmlformats.org/officeDocument/2006/relationships/hyperlink" Target="../AppData/Roaming/05_DS_Rescue/2025/RP/DFK4%20RP%202025.xlsm?d=w41971dffbc364cec87950a303f76ee58" TargetMode="External"/><Relationship Id="rId57" Type="http://schemas.openxmlformats.org/officeDocument/2006/relationships/hyperlink" Target="../../../_layouts/15/WopiFrame2.aspx?sourcedoc=%7bB3ED2AF9-6D07-4AFA-B37E-03FB306E93AA%7d&amp;file=DEJ4%20RP%202025.xlsm&amp;action=default" TargetMode="External"/><Relationship Id="rId106" Type="http://schemas.openxmlformats.org/officeDocument/2006/relationships/hyperlink" Target="../../../_layouts/15/WopiFrame2.aspx?sourcedoc=%7b424D013A-77CD-4F81-B34F-1B029FC00D75%7d&amp;file=DHR2%20RP%202025.xlsm&amp;action=default" TargetMode="External"/><Relationship Id="rId10" Type="http://schemas.openxmlformats.org/officeDocument/2006/relationships/hyperlink" Target="../AppData/_layouts/15/WopiFrame2.aspx?sourcedoc=%7b88C5D755-D8E9-40A1-9770-B3AA56B85B79%7d&amp;file=Rescue_DEJ6_23Q3.xlsx&amp;action=default" TargetMode="External"/><Relationship Id="rId31" Type="http://schemas.openxmlformats.org/officeDocument/2006/relationships/hyperlink" Target="../AppData/_layouts/15/WopiFrame2.aspx?sourcedoc=%7bA5C30568-D11F-4514-A686-3D04E6855AD6%7d&amp;file=Rescue_MFK1_23Q3.xlsx&amp;action=default" TargetMode="External"/><Relationship Id="rId44" Type="http://schemas.openxmlformats.org/officeDocument/2006/relationships/hyperlink" Target="../AppData/_layouts/15/WopiFrame2.aspx?sourcedoc=%7bFFEA7E2E-203B-4876-B7F2-B121C4C4F60C%7d&amp;file=DOO1%20RP%202024.xlsm&amp;action=default" TargetMode="External"/><Relationship Id="rId52" Type="http://schemas.openxmlformats.org/officeDocument/2006/relationships/hyperlink" Target="../AppData/_layouts/15/WopiFrame2.aspx?sourcedoc=%7bC446738F-4354-466B-ADD9-5D205510A9BD%7d&amp;file=DOO4%20RP%202024.xlsm&amp;action=default" TargetMode="External"/><Relationship Id="rId60" Type="http://schemas.openxmlformats.org/officeDocument/2006/relationships/hyperlink" Target="../AppData/_layouts/15/WopiFrame2.aspx?sourcedoc=%7b328BC664-A706-47C3-B129-190289900051%7d&amp;file=DEJ1%20RP%202024.xlsm&amp;action=default" TargetMode="External"/><Relationship Id="rId65" Type="http://schemas.openxmlformats.org/officeDocument/2006/relationships/hyperlink" Target="../../../_layouts/15/WopiFrame2.aspx?sourcedoc=%7bAEC54C0D-BACE-4E98-988E-4FA5DC453E30%7d&amp;file=DTK5%20RP%202025.xlsm&amp;action=default" TargetMode="External"/><Relationship Id="rId73" Type="http://schemas.openxmlformats.org/officeDocument/2006/relationships/hyperlink" Target="../AppData/_layouts/15/WopiFrame2.aspx?sourcedoc=%7b9F065973-B485-4BEC-B219-B13AA1138396%7d&amp;file=DWJ3%20RP%202024.xlsm&amp;action=default" TargetMode="External"/><Relationship Id="rId78" Type="http://schemas.openxmlformats.org/officeDocument/2006/relationships/hyperlink" Target="../../../_layouts/15/WopiFrame.aspx?sourcedoc=%7b094A680C-B5AE-46AD-87FA-2BBF33676002%7d&amp;file=DOO3%20RP%202025.xlsm&amp;action=default" TargetMode="External"/><Relationship Id="rId81" Type="http://schemas.openxmlformats.org/officeDocument/2006/relationships/hyperlink" Target="../AppData/_layouts/15/WopiFrame2.aspx?sourcedoc=%7bFA578C12-1794-42CA-A0E5-3C3E7B7B328A%7d&amp;file=DOO1%20RP%202023.xlsx&amp;action=default" TargetMode="External"/><Relationship Id="rId86" Type="http://schemas.openxmlformats.org/officeDocument/2006/relationships/hyperlink" Target="../AppData/_layouts/15/WopiFrame2.aspx?sourcedoc=%7b9CFB0F06-0849-4DFB-9605-AF8E29D9764C%7d&amp;file=DCJ4%20RP%202024.xlsm&amp;action=default" TargetMode="External"/><Relationship Id="rId94" Type="http://schemas.openxmlformats.org/officeDocument/2006/relationships/hyperlink" Target="../../../_layouts/15/WopiFrame2.aspx?sourcedoc=%7b02C8C08F-F826-44E5-B057-EA373E22B361%7d&amp;file=DCJ5%20RP%202025.xlsm&amp;action=default" TargetMode="External"/><Relationship Id="rId99" Type="http://schemas.openxmlformats.org/officeDocument/2006/relationships/hyperlink" Target="../../../_layouts/15/WopiFrame2.aspx?sourcedoc=%7b9469E662-5494-4D51-A250-8AF792DDD7E5%7d&amp;file=DOO1%20RP%202025.xlsm&amp;action=default" TargetMode="External"/><Relationship Id="rId101" Type="http://schemas.openxmlformats.org/officeDocument/2006/relationships/hyperlink" Target="../../../_layouts/15/WopiFrame2.aspx?sourcedoc=%7bA70D15E6-41BA-4674-8AF1-093679B2A190%7d&amp;file=DWJ3%20RP%202025.xlsm&amp;action=default" TargetMode="External"/><Relationship Id="rId4" Type="http://schemas.openxmlformats.org/officeDocument/2006/relationships/hyperlink" Target="../AppData/_layouts/15/WopiFrame2.aspx?sourcedoc=%7b895D673E-87EF-4C6B-8967-76E1C5D0C61A%7d&amp;file=RP%20DKJ4%202023.xlsx&amp;action=default" TargetMode="External"/><Relationship Id="rId9" Type="http://schemas.openxmlformats.org/officeDocument/2006/relationships/hyperlink" Target="../AppData/_layouts/15/WopiFrame2.aspx?sourcedoc=%7b4767D223-A7B4-4989-A1D6-C693097AF69F%7d&amp;file=Rescue_DEJ5_23Q3.xlsx&amp;action=default" TargetMode="External"/><Relationship Id="rId13" Type="http://schemas.openxmlformats.org/officeDocument/2006/relationships/hyperlink" Target="../AppData/_layouts/15/WopiFrame2.aspx?sourcedoc=%7b39FB9E09-7313-4076-8622-6C4993F9CC0F%7d&amp;file=Rescue_DFK4_23Q3.xlsx&amp;action=default" TargetMode="External"/><Relationship Id="rId18" Type="http://schemas.openxmlformats.org/officeDocument/2006/relationships/hyperlink" Target="../AppData/_layouts/15/WopiFrame2.aspx?sourcedoc=%7bE4166764-A0A8-43CE-80B0-CE1EB93D75AC%7d&amp;file=Rescue_DOO4_23Q3.xlsx&amp;action=default" TargetMode="External"/><Relationship Id="rId39" Type="http://schemas.openxmlformats.org/officeDocument/2006/relationships/hyperlink" Target="../AppData/_layouts/15/WopiFrame2.aspx?sourcedoc=%7b53CE0DF5-DF50-4F7F-B8EC-DA835E5661E7%7d&amp;file=Rescue_DEJ8_2023.xlsx&amp;action=default" TargetMode="External"/><Relationship Id="rId109" Type="http://schemas.openxmlformats.org/officeDocument/2006/relationships/hyperlink" Target="../../../_layouts/15/WopiFrame2.aspx?sourcedoc=%7b76263C13-A3CF-4892-9510-D65F12F35D49%7d&amp;file=DTK1%20RP%202025.xlsm&amp;action=default" TargetMode="External"/><Relationship Id="rId34" Type="http://schemas.openxmlformats.org/officeDocument/2006/relationships/hyperlink" Target="../AppData/_layouts/15/WopiFrame2.aspx?sourcedoc=%7b8B4251F1-D8C6-4F98-B702-AF6B8B141674%7d&amp;file=Rescue_MMG3_23Q3.xlsx&amp;action=default" TargetMode="External"/><Relationship Id="rId50" Type="http://schemas.openxmlformats.org/officeDocument/2006/relationships/hyperlink" Target="../AppData/_layouts/15/WopiFrame2.aspx?sourcedoc=%7b5B00C9C3-9141-45D3-8DDB-5644CEAE7C51%7d&amp;file=Rescue_DOO1_23Q3.xlsx&amp;action=default" TargetMode="External"/><Relationship Id="rId55" Type="http://schemas.openxmlformats.org/officeDocument/2006/relationships/hyperlink" Target="../AppData/_layouts/15/WopiFrame2.aspx?sourcedoc=%7bA164B177-B3F9-4899-B4C9-C624F4ADCEC2%7d&amp;file=Rescue_DOW2_23Q3.xlsx&amp;action=default" TargetMode="External"/><Relationship Id="rId76" Type="http://schemas.openxmlformats.org/officeDocument/2006/relationships/hyperlink" Target="../AppData/_layouts/15/WopiFrame.aspx?sourcedoc=%7b23BACF68-1516-47B1-8E43-12B94BE75264%7d&amp;file=DOW2%20RP%202024.xlsm&amp;action=default" TargetMode="External"/><Relationship Id="rId97" Type="http://schemas.openxmlformats.org/officeDocument/2006/relationships/hyperlink" Target="../../../_layouts/15/WopiFrame2.aspx?sourcedoc=%7b09535969-183B-4F36-AB89-4551767751E3%7d&amp;file=DFK2%20RP%202025.xlsm&amp;action=default" TargetMode="External"/><Relationship Id="rId104" Type="http://schemas.openxmlformats.org/officeDocument/2006/relationships/hyperlink" Target="../../../_layouts/15/WopiFrame2.aspx?sourcedoc=%7b4E0ED036-332C-4C41-8BC3-2EDABAB36C43%7d&amp;file=VSJ1%20RP%202025.xlsm&amp;action=default" TargetMode="External"/><Relationship Id="rId7" Type="http://schemas.openxmlformats.org/officeDocument/2006/relationships/hyperlink" Target="../AppData/_layouts/15/WopiFrame2.aspx?sourcedoc=%7b981E77BB-A676-4523-8D34-32EC45CFB545%7d&amp;file=Rescue_DEJ3_23Q3.xlsx&amp;action=default" TargetMode="External"/><Relationship Id="rId71" Type="http://schemas.openxmlformats.org/officeDocument/2006/relationships/hyperlink" Target="../../../_layouts/15/WopiFrame2.aspx?sourcedoc=%7bD96CAFB5-74C0-4998-82C4-0994896663D2%7d&amp;file=DEJ6%20RP%202025.xlsm&amp;action=default" TargetMode="External"/><Relationship Id="rId92" Type="http://schemas.openxmlformats.org/officeDocument/2006/relationships/hyperlink" Target="../../../_layouts/15/WopiFrame2.aspx?sourcedoc=%7bA6B22D33-33A4-4464-B96C-11E16BA25DA6%7d&amp;file=DCJ3%20RP%202025.xlsm&amp;action=default" TargetMode="External"/><Relationship Id="rId2" Type="http://schemas.openxmlformats.org/officeDocument/2006/relationships/hyperlink" Target="../AppData/_layouts/15/WopiFrame2.aspx?sourcedoc=%7b192A32F3-B897-4462-BCF9-85F0E612FAE0%7d&amp;file=RP%20DAI1%202023.xlsx&amp;action=default" TargetMode="External"/><Relationship Id="rId29" Type="http://schemas.openxmlformats.org/officeDocument/2006/relationships/hyperlink" Target="../AppData/_layouts/15/WopiFrame2.aspx?sourcedoc=%7bA2B47038-E45A-4281-9F7B-010F20E8E9F2%7d&amp;file=Rescue_DKJ5_23Q3.xlsx&amp;action=default" TargetMode="External"/><Relationship Id="rId24" Type="http://schemas.openxmlformats.org/officeDocument/2006/relationships/hyperlink" Target="../AppData/_layouts/15/WopiFrame2.aspx?sourcedoc=%7b2BA749AC-C140-4C1B-AA1B-044749081B8B%7d&amp;file=Rescue_DTK8_23Q3.xlsx&amp;action=default" TargetMode="External"/><Relationship Id="rId40" Type="http://schemas.openxmlformats.org/officeDocument/2006/relationships/hyperlink" Target="../AppData/_layouts/15/WopiFrame2.aspx?sourcedoc=%7bBCB0E458-D088-4968-A9A7-0A514409968C%7d&amp;file=Rescue_DFK1_2023.xlsx&amp;action=default" TargetMode="External"/><Relationship Id="rId45" Type="http://schemas.openxmlformats.org/officeDocument/2006/relationships/hyperlink" Target="../../../_layouts/15/WopiFrame2.aspx?sourcedoc=%7b8325CF18-032A-4366-8FFA-EB55E52F1720%7d&amp;file=DKJ4%20RP%202025.xlsm&amp;action=default" TargetMode="External"/><Relationship Id="rId66" Type="http://schemas.openxmlformats.org/officeDocument/2006/relationships/hyperlink" Target="../AppData/_layouts/15/WopiFrame2.aspx?sourcedoc=%7bF716C0DC-4E7A-4A30-8558-D5C0C0D7A690%7d&amp;file=DTK6%20RP%202025.xlsm&amp;action=default" TargetMode="External"/><Relationship Id="rId87" Type="http://schemas.openxmlformats.org/officeDocument/2006/relationships/hyperlink" Target="../AppData/_layouts/15/WopiFrame2.aspx?sourcedoc=%7b00FF5F5C-3D1D-49D6-8471-01176731E26E%7d&amp;file=DCJ3%20RP%202024.xlsm&amp;action=default" TargetMode="External"/><Relationship Id="rId110" Type="http://schemas.openxmlformats.org/officeDocument/2006/relationships/hyperlink" Target="../../../_layouts/15/WopiFrame2.aspx?sourcedoc=%7bF716C0DC-4E7A-4A30-8558-D5C0C0D7A690%7d&amp;file=DTK6%20RP%202025.xlsm&amp;action=default" TargetMode="External"/><Relationship Id="rId61" Type="http://schemas.openxmlformats.org/officeDocument/2006/relationships/hyperlink" Target="../../../_layouts/15/WopiFrame2.aspx?sourcedoc=%7b1E83783A-217B-4F1F-BDB0-EF45AD68733D%7d&amp;file=DEJ2%20RP%202025.xlsm&amp;action=default" TargetMode="External"/><Relationship Id="rId82" Type="http://schemas.openxmlformats.org/officeDocument/2006/relationships/hyperlink" Target="../AppData/_layouts/15/WopiFrame2.aspx?sourcedoc=%7b42E8F86C-CFB0-4114-87F6-0AFC42866954%7d&amp;file=Rescue_DMG1_23Q3.xlsx&amp;action=default" TargetMode="External"/><Relationship Id="rId19" Type="http://schemas.openxmlformats.org/officeDocument/2006/relationships/hyperlink" Target="../AppData/_layouts/15/WopiFrame2.aspx?sourcedoc=%7b2EA16BB2-FBD4-4206-BC0C-B4B49A7694DC%7d&amp;file=Rescue_DTK3_23Q3.xlsx&amp;action=default" TargetMode="External"/><Relationship Id="rId14" Type="http://schemas.openxmlformats.org/officeDocument/2006/relationships/hyperlink" Target="../AppData/_layouts/15/WopiFrame2.aspx?sourcedoc=%7b31F4414B-EB80-43A0-9B63-493A7444D588%7d&amp;file=Rescue_DHK1_23Q3.xlsx&amp;action=default" TargetMode="External"/><Relationship Id="rId30" Type="http://schemas.openxmlformats.org/officeDocument/2006/relationships/hyperlink" Target="../AppData/_layouts/15/WopiFrame2.aspx?sourcedoc=%7b49A8E48A-A569-4464-AE46-10FDE1D4B4CB%7d&amp;file=Rescue_MCB1_23Q3.xlsx&amp;action=default" TargetMode="External"/><Relationship Id="rId35" Type="http://schemas.openxmlformats.org/officeDocument/2006/relationships/hyperlink" Target="../AppData/_layouts/15/WopiFrame2.aspx?sourcedoc=%7bE29C7530-9D88-4497-9FCA-E5CFB32DD074%7d&amp;file=Rescue_MMG4_23Q3.xlsx&amp;action=default" TargetMode="External"/><Relationship Id="rId56" Type="http://schemas.openxmlformats.org/officeDocument/2006/relationships/hyperlink" Target="../AppData/_layouts/15/WopiFrame2.aspx?sourcedoc=%7bD7FFF36B-CDD0-4A2A-A4B7-13098B6E69F8%7d&amp;file=DCJ1%20RP%202024.xlsm&amp;action=default" TargetMode="External"/><Relationship Id="rId77" Type="http://schemas.openxmlformats.org/officeDocument/2006/relationships/hyperlink" Target="../../_layouts/15/WopiFrame2.aspx?sourcedoc=%7bB59F4C0B-96DC-4131-A7D7-69940D0809EF%7d&amp;file=Rescue_MHR1_23Q3.xlsx&amp;action=default" TargetMode="External"/><Relationship Id="rId100" Type="http://schemas.openxmlformats.org/officeDocument/2006/relationships/hyperlink" Target="../../../_layouts/15/WopiFrame2.aspx?sourcedoc=%7bA0E878B0-D79A-45A3-8991-8B156C09605E%7d&amp;file=DOO4%20RP%202025.xlsm&amp;action=default" TargetMode="External"/><Relationship Id="rId105" Type="http://schemas.openxmlformats.org/officeDocument/2006/relationships/hyperlink" Target="../AppData/_layouts/15/WopiFrame2.aspx?sourcedoc=%7b9BB1C9BB-8875-4AE8-A06F-D43475150579%7d&amp;file=Rescue_DTK4_23Q3.xlsx&amp;action=default" TargetMode="External"/><Relationship Id="rId8" Type="http://schemas.openxmlformats.org/officeDocument/2006/relationships/hyperlink" Target="../AppData/_layouts/15/WopiFrame2.aspx?sourcedoc=%7b31ED3E7D-BAAA-4F73-829F-25FB0BB0C712%7d&amp;file=Rescue_DEJ4_23Q3.xlsx&amp;action=default" TargetMode="External"/><Relationship Id="rId51" Type="http://schemas.openxmlformats.org/officeDocument/2006/relationships/hyperlink" Target="../AppData/_layouts/15/WopiFrame2.aspx?sourcedoc=%7bFA578C12-1794-42CA-A0E5-3C3E7B7B328A%7d&amp;file=DOO1%20RP%202023.xlsx&amp;action=default" TargetMode="External"/><Relationship Id="rId72" Type="http://schemas.openxmlformats.org/officeDocument/2006/relationships/hyperlink" Target="../AppData/_layouts/15/WopiFrame.aspx?sourcedoc=%7b54AFE613-5D8C-425D-9392-A7AC65B870E7%7d&amp;file=DMG1%20RP%202024.xlsm&amp;action=default" TargetMode="External"/><Relationship Id="rId93" Type="http://schemas.openxmlformats.org/officeDocument/2006/relationships/hyperlink" Target="../../../_layouts/15/WopiFrame2.aspx?sourcedoc=%7b5A18E850-E8C7-4F8C-963F-9EED1B912B56%7d&amp;file=DCJ4%20RP%202025.xlsm&amp;action=default" TargetMode="External"/><Relationship Id="rId98" Type="http://schemas.openxmlformats.org/officeDocument/2006/relationships/hyperlink" Target="../../../_layouts/15/WopiFrame2.aspx?sourcedoc=%7b51DE9810-9F28-447F-89E8-410EAB9C520C%7d&amp;file=DMG1%20RP%202025.xlsm&amp;action=default" TargetMode="External"/><Relationship Id="rId3" Type="http://schemas.openxmlformats.org/officeDocument/2006/relationships/hyperlink" Target="../AppData/_layouts/15/WopiFrame2.aspx?sourcedoc=%7b57AE1DE3-F291-4EAA-94C2-16D656843F3F%7d&amp;file=RP%20DEJ7%202023.xlsx&amp;action=default" TargetMode="External"/><Relationship Id="rId25" Type="http://schemas.openxmlformats.org/officeDocument/2006/relationships/hyperlink" Target="../AppData/_layouts/15/WopiFrame2.aspx?sourcedoc=%7bE7F1A279-1ADD-4FB5-B6A5-9C6D9655EFBD%7d&amp;file=Rescue_DWJ1_23Q3.xlsx&amp;action=default" TargetMode="External"/><Relationship Id="rId46" Type="http://schemas.openxmlformats.org/officeDocument/2006/relationships/hyperlink" Target="../../../_layouts/15/WopiFrame2.aspx?sourcedoc=%7b4A305343-69B1-477A-BC0E-CA8D0A0F6CD0%7d&amp;file=Mini%20RP%20Master%202025.xlsm&amp;action=default" TargetMode="External"/><Relationship Id="rId67" Type="http://schemas.openxmlformats.org/officeDocument/2006/relationships/hyperlink" Target="../../../_layouts/15/WopiFrame2.aspx?sourcedoc=%7b2A34F23F-55AA-49E7-93EC-B000A6B6C588%7d&amp;file=DTK3%20RP%202025.xlsm&amp;action=default" TargetMode="External"/><Relationship Id="rId20" Type="http://schemas.openxmlformats.org/officeDocument/2006/relationships/hyperlink" Target="../AppData/_layouts/15/WopiFrame2.aspx?sourcedoc=%7b9BB1C9BB-8875-4AE8-A06F-D43475150579%7d&amp;file=Rescue_DTK4_23Q3.xlsx&amp;action=default" TargetMode="External"/><Relationship Id="rId41" Type="http://schemas.openxmlformats.org/officeDocument/2006/relationships/hyperlink" Target="../AppData/_layouts/15/WopiFrame2.aspx?sourcedoc=%7bA273C920-90B7-46A2-BD48-115BB577078B%7d&amp;file=DOO4%20RP%202023.xlsx&amp;action=default" TargetMode="External"/><Relationship Id="rId62" Type="http://schemas.openxmlformats.org/officeDocument/2006/relationships/hyperlink" Target="../AppData/Roaming/05_DS_Rescue/2025/RP/DEJ3%20RP%202025.xlsm?d=w683b2070af8a4ae99bc6f47b64337a35" TargetMode="External"/><Relationship Id="rId83" Type="http://schemas.openxmlformats.org/officeDocument/2006/relationships/hyperlink" Target="../AppData/_layouts/15/WopiFrame2.aspx?sourcedoc=%7b42E8F86C-CFB0-4114-87F6-0AFC42866954%7d&amp;file=Rescue_DMG1_23Q3.xlsx&amp;action=default" TargetMode="External"/><Relationship Id="rId88" Type="http://schemas.openxmlformats.org/officeDocument/2006/relationships/hyperlink" Target="../AppData/_layouts/15/WopiFrame2.aspx?sourcedoc=%7b57B1F2A9-F99A-4C22-8325-FBCAE5699B57%7d&amp;file=DCJ5%20RP%202024.xlsm&amp;action=default" TargetMode="External"/><Relationship Id="rId111" Type="http://schemas.openxmlformats.org/officeDocument/2006/relationships/hyperlink" Target="../../../_layouts/15/WopiFrame2.aspx?sourcedoc=%7bCA1BFC5A-AEDA-413F-B7FD-BC59B546F299%7d&amp;file=VIT1%20RP%202025.xlsm&amp;action=default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hyperlink" Target="../AppData/Roaming/05_DS_Rescue/2025/RP/%E4%BD%99%E3%82%8A%E3%83%AB%E3%83%BC%E3%83%88%E5%B0%82%E7%94%A8%20Shinka%202025.xlsm?d=wed7b30a79bc346a6a6db30d10c7231a2" TargetMode="External"/><Relationship Id="rId1" Type="http://schemas.openxmlformats.org/officeDocument/2006/relationships/hyperlink" Target="../AppData/Roaming/05_DS_Rescue/2025/RP/Shinka%20RP%202025.xlsm?d=w56e0ea9b69b3409bb668a332fc8b7a8b" TargetMode="Externa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2.xml"/><Relationship Id="rId3" Type="http://schemas.openxmlformats.org/officeDocument/2006/relationships/hyperlink" Target="https://form.asana.com/?k=VVnqt2gL4VPOSD4Q2aUHZg&amp;d=8442528107068" TargetMode="External"/><Relationship Id="rId7" Type="http://schemas.openxmlformats.org/officeDocument/2006/relationships/printerSettings" Target="../printerSettings/printerSettings7.bin"/><Relationship Id="rId2" Type="http://schemas.openxmlformats.org/officeDocument/2006/relationships/hyperlink" Target="https://form.asana.com/?k=VVnqt2gL4VPOSD4Q2aUHZg&amp;d=8442528107068" TargetMode="External"/><Relationship Id="rId1" Type="http://schemas.openxmlformats.org/officeDocument/2006/relationships/hyperlink" Target="https://form.asana.com/?k=XxFwbGVnEvdOfbANFL4kQA&amp;d=8442528107068" TargetMode="External"/><Relationship Id="rId6" Type="http://schemas.openxmlformats.org/officeDocument/2006/relationships/hyperlink" Target="https://form.asana.com/?k=kYFG1nhZA-bm7bIyeapMWg&amp;d=8442528107068" TargetMode="External"/><Relationship Id="rId5" Type="http://schemas.openxmlformats.org/officeDocument/2006/relationships/hyperlink" Target="https://form.asana.com/?k=bilumte--t_gI8uNKJ0zgg&amp;d=8442528107068" TargetMode="External"/><Relationship Id="rId4" Type="http://schemas.openxmlformats.org/officeDocument/2006/relationships/hyperlink" Target="https://form.asana.com/?k=bilumte--t_gI8uNKJ0zgg&amp;d=8442528107068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https://form.asana.com/?k=kYFG1nhZA-bm7bIyeapMWg&amp;d=8442528107068" TargetMode="External"/><Relationship Id="rId2" Type="http://schemas.openxmlformats.org/officeDocument/2006/relationships/hyperlink" Target="https://form.asana.com/?k=bilumte--t_gI8uNKJ0zgg&amp;d=8442528107068" TargetMode="External"/><Relationship Id="rId1" Type="http://schemas.openxmlformats.org/officeDocument/2006/relationships/hyperlink" Target="https://form.asana.com/?k=VVnqt2gL4VPOSD4Q2aUHZg&amp;d=8442528107068" TargetMode="External"/><Relationship Id="rId4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6" Type="http://schemas.openxmlformats.org/officeDocument/2006/relationships/hyperlink" Target="https://logistics.amazon.co.jp/operations/execution/routes?providerFilter=UNASSIGNED&amp;routesFilter=InProgress&amp;selectedDay=2022-06-21&amp;serviceAreaId=bf9d4225-0fc6-43ec-acdc-c42b1302eea5" TargetMode="External"/><Relationship Id="rId21" Type="http://schemas.openxmlformats.org/officeDocument/2006/relationships/hyperlink" Target="https://logistics.amazon.co.jp/operations/execution/routes?providerFilter=ALL_DSPS&amp;selectedDay=2022-02-23&amp;serviceAreaId=d1c9449f-e3a0-485e-80e0-ae5357f4eab7" TargetMode="External"/><Relationship Id="rId42" Type="http://schemas.openxmlformats.org/officeDocument/2006/relationships/hyperlink" Target="https://logistics.amazon.co.jp/operations/execution/routes?providerFilter=UNASSIGNED&amp;selectedDay=2022-07-02&amp;serviceAreaId=3b256365-cb05-4213-98c8-a60921fa83c4" TargetMode="External"/><Relationship Id="rId47" Type="http://schemas.openxmlformats.org/officeDocument/2006/relationships/hyperlink" Target="https://logistics.amazon.co.jp/operations/execution/itineraries?operationView=true&amp;selectedDay=2022-07-17&amp;serviceAreaId=222070a2-6f48-48d8-b83d-14a32b5ba455" TargetMode="External"/><Relationship Id="rId63" Type="http://schemas.openxmlformats.org/officeDocument/2006/relationships/hyperlink" Target="https://logistics.amazon.co.jp/operations/execution/itineraries?operationView=true&amp;providerFilter=ALL_DSPS&amp;selectedDay=2022-08-03&amp;serviceAreaId=14f5a3c8-5cdb-4713-b303-ce0d954dcdee" TargetMode="External"/><Relationship Id="rId68" Type="http://schemas.openxmlformats.org/officeDocument/2006/relationships/hyperlink" Target="https://logistics.amazon.co.jp/operations/execution/itineraries?operationView=true&amp;providerFilter=UNASSIGNED&amp;routesFilter=InProgress&amp;selectedDay=2022-10-18&amp;serviceAreaId=2d6c9f1c-4728-4805-b823-e8c16b071503" TargetMode="External"/><Relationship Id="rId84" Type="http://schemas.openxmlformats.org/officeDocument/2006/relationships/hyperlink" Target="https://logistics.amazon.co.jp/operations/execution/itineraries?cortexv2=true&amp;operationView=true&amp;progressStatusFilterValue&amp;providerFilter=ALL_DPS&amp;selectedDay=2024-03-12&amp;serviceAreaId=2547c690-4b46-4e07-8c6f-4a4d559f34c5" TargetMode="External"/><Relationship Id="rId89" Type="http://schemas.openxmlformats.org/officeDocument/2006/relationships/hyperlink" Target="https://logistics.amazon.co.jp/operations/execution/itineraries?cortexv2=true&amp;operationView=true&amp;progressStatusFilterValue&amp;providerFilter=ALL_DPS&amp;selectedDay=2024-04-09&amp;serviceAreaId=4103f386-ae0f-4dd8-ac7f-3cfc67c8a327" TargetMode="External"/><Relationship Id="rId16" Type="http://schemas.openxmlformats.org/officeDocument/2006/relationships/hyperlink" Target="https://logistics.amazon.co.jp/operations/execution/routes?providerFilter=ALL_DSPS&amp;selectedDay=2022-02-23&amp;serviceAreaId=9e8327d8-e7dd-4f7b-a417-dcdadd47f70a" TargetMode="External"/><Relationship Id="rId107" Type="http://schemas.openxmlformats.org/officeDocument/2006/relationships/hyperlink" Target="https://logistics.amazon.co.jp/internal/operations/execution/itineraries?operationView=true&amp;provider=ALL_DRIVERS&amp;selectedDay=2025-04-12&amp;serviceAreaId=0d793b93-52d8-4f61-8369-256e68b5d5f0" TargetMode="External"/><Relationship Id="rId11" Type="http://schemas.openxmlformats.org/officeDocument/2006/relationships/hyperlink" Target="https://logistics.amazon.co.jp/operations/execution/routes?providerFilter=UNASSIGNED&amp;selectedDay=2022-02-23&amp;serviceAreaId=c87f6832-437c-4105-898f-101a90912c3e" TargetMode="External"/><Relationship Id="rId32" Type="http://schemas.openxmlformats.org/officeDocument/2006/relationships/hyperlink" Target="https://logistics.amazon.co.jp/operations/execution/routes?providerFilter=ALL_DSPS&amp;routesFilter=InProgress&amp;selectedDay=2022-06-24&amp;serviceAreaId=d0b0f5f1-d31e-487d-b6d4-d70783e71024" TargetMode="External"/><Relationship Id="rId37" Type="http://schemas.openxmlformats.org/officeDocument/2006/relationships/hyperlink" Target="https://logistics.amazon.co.jp/operations/execution/routes?providerFilter=ALL_DSPS&amp;routesFilter=InProgress&amp;selectedDay=2022-06-24&amp;serviceAreaId=dc0ae190-1d9a-4977-8f1a-8110d3d4ce96" TargetMode="External"/><Relationship Id="rId53" Type="http://schemas.openxmlformats.org/officeDocument/2006/relationships/hyperlink" Target="https://logistics.amazon.co.jp/operations/execution/itineraries?operationView=true&amp;providerFilter=UNASSIGNED&amp;routesFilter=InProgress&amp;selectedDay=2022-07-27&amp;serviceAreaId=dbff5efb-aa67-408e-bf85-a4b698058de3" TargetMode="External"/><Relationship Id="rId58" Type="http://schemas.openxmlformats.org/officeDocument/2006/relationships/hyperlink" Target="https://logistics.amazon.co.jp/operations/execution/itineraries?operationView=true&amp;providerFilter=UNASSIGNED&amp;routesFilter=InProgress&amp;selectedDay=2022-07-28&amp;serviceAreaId=bda61e8b-593b-4d82-b06a-74631b2de0b8" TargetMode="External"/><Relationship Id="rId74" Type="http://schemas.openxmlformats.org/officeDocument/2006/relationships/hyperlink" Target="https://logistics.amazon.co.jp/operations/execution/routes?providerFilter=ALL_DSPS&amp;routesFilter=InProgress&amp;serviceAreaId=24918961-bdcc-4940-b4f9-e594595bfec9" TargetMode="External"/><Relationship Id="rId79" Type="http://schemas.openxmlformats.org/officeDocument/2006/relationships/hyperlink" Target="https://logistics.amazon.co.jp/operations/execution/itineraries?operationView=true&amp;selectedDay=2023-03-28&amp;serviceAreaId=c667b799-492d-4600-8a15-45495d62d097" TargetMode="External"/><Relationship Id="rId102" Type="http://schemas.openxmlformats.org/officeDocument/2006/relationships/hyperlink" Target="https://logistics.amazon.co.jp/internal/operations/execution/itineraries?provider=ALL_DRIVERS&amp;selectedDay=2024-10-08&amp;serviceAreaId=18ee062c-a292-4678-b167-63676c866602" TargetMode="External"/><Relationship Id="rId5" Type="http://schemas.openxmlformats.org/officeDocument/2006/relationships/hyperlink" Target="https://logistics.amazon.co.jp/operations/execution/routes?providerFilter=UNASSIGNED&amp;routesFilter=InProgress&amp;serviceAreaId=c2328099-15b0-4251-bf74-218677433725" TargetMode="External"/><Relationship Id="rId90" Type="http://schemas.openxmlformats.org/officeDocument/2006/relationships/hyperlink" Target="https://logistics.amazon.co.jp/operations/execution/itineraries?operationView=true&amp;provider=ALL_DRIVERS&amp;providerFilter=UNASSIGNED&amp;routesFilter=&amp;selectedDay=2024-05-21&amp;serviceAreaId=0b241e4a-1858-4278-bcf0-f492c4e87199" TargetMode="External"/><Relationship Id="rId95" Type="http://schemas.openxmlformats.org/officeDocument/2006/relationships/hyperlink" Target="https://logistics.amazon.co.jp/internal/operations/execution/itineraries?operationView=true&amp;provider=ALL_DRIVERS&amp;selectedDay=2024-08-27&amp;serviceAreaId=418e2c8e-d21c-4965-ad08-ef242173d98d" TargetMode="External"/><Relationship Id="rId22" Type="http://schemas.openxmlformats.org/officeDocument/2006/relationships/hyperlink" Target="https://logistics.amazon.co.jp/operations/execution/routes?providerFilter=ALL_DSPS&amp;selectedDay=2022-02-23&amp;serviceAreaId=b675f418-2844-4fda-837f-2a92dc86a874" TargetMode="External"/><Relationship Id="rId27" Type="http://schemas.openxmlformats.org/officeDocument/2006/relationships/hyperlink" Target="https://logistics.amazon.co.jp/operations/execution/routes?providerFilter=ALL_DSPS&amp;routesFilter=InProgress&amp;selectedDay=2022-06-21&amp;serviceAreaId=00d2c4c5-5385-4c6f-92e4-dbb13517f75c" TargetMode="External"/><Relationship Id="rId43" Type="http://schemas.openxmlformats.org/officeDocument/2006/relationships/hyperlink" Target="https://logistics.amazon.co.jp/operations/execution/itineraries?operationView=true&amp;providerFilter=UNASSIGNED&amp;routesFilter=InProgress&amp;selectedDay=2022-07-12&amp;serviceAreaId=45f84225-5ada-4a39-8e00-8398d192fd79" TargetMode="External"/><Relationship Id="rId48" Type="http://schemas.openxmlformats.org/officeDocument/2006/relationships/hyperlink" Target="https://logistics.amazon.co.jp/operations/execution/routes?providerFilter=UNASSIGNED&amp;routeTypeFilter=ALL&amp;selectedDay=2022-07-21&amp;serviceAreaId=359ad6d6-5319-420e-839f-a892c1eef9a7" TargetMode="External"/><Relationship Id="rId64" Type="http://schemas.openxmlformats.org/officeDocument/2006/relationships/hyperlink" Target="https://logistics.amazon.co.jp/operations/execution/itineraries?operationView=true&amp;providerFilter=ALL_DSPS&amp;selectedDay=2022-08-15&amp;serviceAreaId=fc8a39e7-7b05-4363-83d7-9255c46fcc4b" TargetMode="External"/><Relationship Id="rId69" Type="http://schemas.openxmlformats.org/officeDocument/2006/relationships/hyperlink" Target="https://logistics.amazon.co.jp/operations/execution/itineraries?operationView=true&amp;providerFilter=UNASSIGNED&amp;routesFilter=mx3&amp;selectedDay=2023-01-24&amp;serviceAreaId=1dac55ac-4242-45b2-8249-81db8278fd78" TargetMode="External"/><Relationship Id="rId80" Type="http://schemas.openxmlformats.org/officeDocument/2006/relationships/hyperlink" Target="https://logistics.amazon.co.jp/operations/execution/itineraries?operationView=true&amp;providerFilter=UNASSIGNED&amp;routesFilter=InProgress&amp;selectedDay=2024-02-26&amp;serviceAreaId=3a58ac61-870f-41e7-8f21-a30499f303e3" TargetMode="External"/><Relationship Id="rId85" Type="http://schemas.openxmlformats.org/officeDocument/2006/relationships/hyperlink" Target="https://logistics.amazon.co.jp/operations/execution/itineraries?cortexv2=true&amp;operationView=true&amp;progressStatusFilterValue&amp;providerFilter=ALL_DPS&amp;selectedDay=2024-03-12&amp;serviceAreaId=0c757662-ae86-46a9-a516-fda1da7ac738" TargetMode="External"/><Relationship Id="rId12" Type="http://schemas.openxmlformats.org/officeDocument/2006/relationships/hyperlink" Target="https://logistics.amazon.co.jp/operations/execution/routes?providerFilter=UNASSIGNED&amp;selectedDay=2022-02-23&amp;serviceAreaId=ac616bda-f444-43a3-9f53-502a48914afc" TargetMode="External"/><Relationship Id="rId17" Type="http://schemas.openxmlformats.org/officeDocument/2006/relationships/hyperlink" Target="https://logistics.amazon.co.jp/operations/execution/routes?providerFilter=ALL_DSPS&amp;selectedDay=2022-02-23&amp;serviceAreaId=ab96ab9a-820e-490e-a193-90d331f3b038" TargetMode="External"/><Relationship Id="rId33" Type="http://schemas.openxmlformats.org/officeDocument/2006/relationships/hyperlink" Target="https://logistics.amazon.co.jp/operations/execution/routes?providerFilter=ALL_DSPS&amp;routesFilter=InProgress&amp;selectedDay=2022-06-24&amp;serviceAreaId=6d8e6780-b557-4be5-9c8c-95051b97d63d" TargetMode="External"/><Relationship Id="rId38" Type="http://schemas.openxmlformats.org/officeDocument/2006/relationships/hyperlink" Target="https://logistics.amazon.co.jp/operations/execution/routes?providerFilter=ALL_DSPS&amp;routesFilter=InProgress&amp;selectedDay=2022-06-25&amp;serviceAreaId=efb3b337-840e-46e3-9a0e-5509be030320" TargetMode="External"/><Relationship Id="rId59" Type="http://schemas.openxmlformats.org/officeDocument/2006/relationships/hyperlink" Target="https://logistics.amazon.co.jp/operations/execution/itineraries?operationView=true&amp;providerFilter=UNASSIGNED&amp;routesFilter=InProgress&amp;selectedDay=2022-07-31&amp;serviceAreaId=21d7eb81-45fa-4fc6-be2b-180fd8400e0b" TargetMode="External"/><Relationship Id="rId103" Type="http://schemas.openxmlformats.org/officeDocument/2006/relationships/hyperlink" Target="https://logistics.amazon.co.jp/internal/operations/execution/itineraries?operationView=true&amp;provider=ALL_DRIVERS&amp;selectedDay=2024-10-09&amp;serviceAreaId=e0de3453-89ca-4961-8f74-5980f5579fbf" TargetMode="External"/><Relationship Id="rId108" Type="http://schemas.openxmlformats.org/officeDocument/2006/relationships/hyperlink" Target="https://logistics.amazon.co.jp/internal/operations/execution/itineraries?operationView=true&amp;provider=ALL_DRIVERS&amp;selectedDay=2024-06-14&amp;serviceAreaId=9d843565-9ed4-4ad5-9937-351ab940f21e" TargetMode="External"/><Relationship Id="rId54" Type="http://schemas.openxmlformats.org/officeDocument/2006/relationships/hyperlink" Target="https://logistics.amazon.co.jp/operations/execution/itineraries?operationView=true&amp;providerFilter=UNASSIGNED&amp;routesFilter=InProgress&amp;selectedDay=2022-07-27&amp;serviceAreaId=0e96e6e2-8472-477b-9ef5-c520ea2a56fd" TargetMode="External"/><Relationship Id="rId70" Type="http://schemas.openxmlformats.org/officeDocument/2006/relationships/hyperlink" Target="https://logistics.amazon.co.jp/operations/execution/itineraries?operationView=true&amp;providerFilter=UNASSIGNED&amp;routesFilter=InProgress&amp;selectedDay=2023-03-18&amp;serviceAreaId=e728a783-fdcd-4eea-a86c-a589ca02e074" TargetMode="External"/><Relationship Id="rId75" Type="http://schemas.openxmlformats.org/officeDocument/2006/relationships/hyperlink" Target="https://logistics.amazon.co.jp/operations/execution/itineraries?cortexv2=true&amp;operationView=true&amp;progressStatusFilterValue&amp;providerFilter=ALL_DPS&amp;selectedDay=2023-08-03&amp;serviceAreaId=1a02b1c6-2667-4225-9fb8-58c226392067" TargetMode="External"/><Relationship Id="rId91" Type="http://schemas.openxmlformats.org/officeDocument/2006/relationships/hyperlink" Target="https://logistics.amazon.co.jp/internal/operations/execution/itineraries?operationView=true&amp;provider=ALL_DRIVERS&amp;selectedDay=2024-06-14&amp;serviceAreaId=b3a55f49-bb47-4ea3-b862-15573f001cb2" TargetMode="External"/><Relationship Id="rId96" Type="http://schemas.openxmlformats.org/officeDocument/2006/relationships/hyperlink" Target="https://logistics.amazon.co.jp/internal/operations/execution/itineraries?operationView=true&amp;provider=ALL_DRIVERS&amp;selectedDay=2024-08-27&amp;serviceAreaId=8f3c82ed-0717-4ca9-aedf-6589b2943e24" TargetMode="External"/><Relationship Id="rId1" Type="http://schemas.openxmlformats.org/officeDocument/2006/relationships/hyperlink" Target="https://logistics.amazon.co.jp/operations/execution/routes?providerFilter=UNASSIGNED&amp;routesFilter=InProgress&amp;serviceAreaId=20bc0c87-e7f1-4fc7-ab55-ad122f674cb4" TargetMode="External"/><Relationship Id="rId6" Type="http://schemas.openxmlformats.org/officeDocument/2006/relationships/hyperlink" Target="https://logistics.amazon.co.jp/operations/execution/routes?providerFilter=UNASSIGNED&amp;routesFilter=InProgress&amp;serviceAreaId=fc089426-6237-418d-80af-6fd0580ecdad" TargetMode="External"/><Relationship Id="rId15" Type="http://schemas.openxmlformats.org/officeDocument/2006/relationships/hyperlink" Target="https://logistics.amazon.co.jp/operations/execution/routes?providerFilter=ALL_DSPS&amp;selectedDay=2022-02-23&amp;serviceAreaId=85081d66-afae-43b7-bce3-c1f3535edf36" TargetMode="External"/><Relationship Id="rId23" Type="http://schemas.openxmlformats.org/officeDocument/2006/relationships/hyperlink" Target="https://logistics.amazon.co.jp/operations/execution/routes?providerFilter=ALL_DSPS&amp;selectedDay=2022-02-23&amp;serviceAreaId=06f4b3c5-54b0-41ba-9b8c-ef6c8eff5b30" TargetMode="External"/><Relationship Id="rId28" Type="http://schemas.openxmlformats.org/officeDocument/2006/relationships/hyperlink" Target="https://logistics.amazon.co.jp/operations/execution/routes?providerFilter=ALL_DSPS&amp;routesFilter=InProgress&amp;selectedDay=2022-06-21&amp;serviceAreaId=fb5f7b17-b363-4293-812a-790ce3d0c81b" TargetMode="External"/><Relationship Id="rId36" Type="http://schemas.openxmlformats.org/officeDocument/2006/relationships/hyperlink" Target="https://logistics.amazon.co.jp/operations/execution/routes?providerFilter=ALL_DSPS&amp;routesFilter=InProgress&amp;selectedDay=2022-06-24&amp;serviceAreaId=41205e66-425d-4b40-ae87-24322fefba15" TargetMode="External"/><Relationship Id="rId49" Type="http://schemas.openxmlformats.org/officeDocument/2006/relationships/hyperlink" Target="https://logistics.amazon.co.jp/operations/execution/routes?providerFilter=UNASSIGNED&amp;routeTypeFilter=ALL&amp;selectedDay=2022-07-21&amp;serviceAreaId=6a99db6d-34fb-4cae-b22e-d0a24df9269c" TargetMode="External"/><Relationship Id="rId57" Type="http://schemas.openxmlformats.org/officeDocument/2006/relationships/hyperlink" Target="https://logistics.amazon.co.jp/operations/execution/itineraries?operationView=true&amp;providerFilter=UNASSIGNED&amp;routesFilter=InProgress&amp;selectedDay=2022-07-28&amp;serviceAreaId=18ee062c-a292-4678-b167-63676c866602" TargetMode="External"/><Relationship Id="rId106" Type="http://schemas.openxmlformats.org/officeDocument/2006/relationships/hyperlink" Target="https://logistics.amazon.co.jp/internal/operations/execution/itineraries?operationView=true&amp;provider=ALL_DRIVERS&amp;selectedDay=2025-04-08&amp;serviceAreaId=b346f4d9-67c5-4113-b1ff-a3ac89abfc14" TargetMode="External"/><Relationship Id="rId10" Type="http://schemas.openxmlformats.org/officeDocument/2006/relationships/hyperlink" Target="https://logistics.amazon.co.jp/operations/execution/routes?providerFilter=ALL_DSPS&amp;selectedDay=2022-02-23&amp;serviceAreaId=fd796ca4-9624-4f2a-8160-818f5e6bc117" TargetMode="External"/><Relationship Id="rId31" Type="http://schemas.openxmlformats.org/officeDocument/2006/relationships/hyperlink" Target="https://logistics.amazon.co.jp/operations/execution/routes?providerFilter=ALL_DSPS&amp;routesFilter=InProgress&amp;selectedDay=2022-06-24&amp;serviceAreaId=8c161541-70df-4ac8-97af-506d956e237a" TargetMode="External"/><Relationship Id="rId44" Type="http://schemas.openxmlformats.org/officeDocument/2006/relationships/hyperlink" Target="https://logistics.amazon.co.jp/operations/execution/itineraries?operationView=true&amp;providerFilter=UNASSIGNED&amp;routesFilter=InProgress&amp;selectedDay=2022-07-17&amp;serviceAreaId=09bf3475-261d-4167-9cfb-02afd1bf24a5" TargetMode="External"/><Relationship Id="rId52" Type="http://schemas.openxmlformats.org/officeDocument/2006/relationships/hyperlink" Target="https://logistics.amazon.co.jp/operations/execution/itineraries?operationView=true&amp;providerFilter=UNASSIGNED&amp;routesFilter=InProgress&amp;selectedDay=2022-07-24&amp;serviceAreaId=b4f2e771-7137-4854-bd31-2cff12a26129" TargetMode="External"/><Relationship Id="rId60" Type="http://schemas.openxmlformats.org/officeDocument/2006/relationships/hyperlink" Target="https://logistics.amazon.co.jp/operations/execution/itineraries?operationView=true&amp;providerFilter=UNASSIGNED&amp;routesFilter=InProgress&amp;selectedDay=2022-07-31&amp;serviceAreaId=30410755-4a54-4f3b-9012-4d1427ad4f3c" TargetMode="External"/><Relationship Id="rId65" Type="http://schemas.openxmlformats.org/officeDocument/2006/relationships/hyperlink" Target="https://logistics.amazon.co.jp/operations/execution/itineraries?operationView=true&amp;providerFilter=ALL_DSPS&amp;selectedDay=2022-08-30&amp;serviceAreaId=9807b9f9-5b4a-4feb-b5da-f36daff053a6" TargetMode="External"/><Relationship Id="rId73" Type="http://schemas.openxmlformats.org/officeDocument/2006/relationships/hyperlink" Target="https://logistics.amazon.co.jp/operations/execution/itineraries?operationView=true&amp;selectedDay=2023-03-28&amp;serviceAreaId=c667b799-492d-4600-8a15-45495d62d097" TargetMode="External"/><Relationship Id="rId78" Type="http://schemas.openxmlformats.org/officeDocument/2006/relationships/hyperlink" Target="https://logistics.amazon.co.jp/operations/execution/itineraries?cortexv2=true&amp;operationView=true&amp;progressStatusFilterValue&amp;providerFilter=ALL_DPS&amp;selectedDay=2023-09-19&amp;serviceAreaId=5f9f0ce8-b940-479d-bf84-30c0fc928038" TargetMode="External"/><Relationship Id="rId81" Type="http://schemas.openxmlformats.org/officeDocument/2006/relationships/hyperlink" Target="https://logistics.amazon.co.jp/operations/execution/itineraries?cortexv2=true&amp;operationView=true&amp;progressStatusFilterValue&amp;providerFilter=ALL_DPS&amp;selectedDay=2024-03-12&amp;serviceAreaId=729e869e-0e78-4cb7-aa60-d09f50d4aa7c" TargetMode="External"/><Relationship Id="rId86" Type="http://schemas.openxmlformats.org/officeDocument/2006/relationships/hyperlink" Target="https://logistics.amazon.co.jp/operations/execution/itineraries?cortexv2=true&amp;operationView=true&amp;progressStatusFilterValue&amp;providerFilter=ALL_DRIVERS&amp;selectedDay=2024-03-15&amp;serviceAreaId=b0ca1208-cfa4-4e52-907f-4845e000ec0b" TargetMode="External"/><Relationship Id="rId94" Type="http://schemas.openxmlformats.org/officeDocument/2006/relationships/hyperlink" Target="https://logistics.amazon.co.jp/internal/operations/execution/itineraries?selectedDay=2024-08-21&amp;serviceAreaId=b05651e7-a12f-4469-9479-163ebb25779e" TargetMode="External"/><Relationship Id="rId99" Type="http://schemas.openxmlformats.org/officeDocument/2006/relationships/hyperlink" Target="https://logistics.amazon.co.jp/internal/operations/execution/itineraries?operationView=true&amp;provider=ALL_DRIVERS&amp;selectedDay=2024-09-04&amp;serviceAreaId=3aff95c8-bb13-4a87-96d9-aff06b9b205f" TargetMode="External"/><Relationship Id="rId101" Type="http://schemas.openxmlformats.org/officeDocument/2006/relationships/hyperlink" Target="https://logistics.amazon.co.jp/internal/operations/execution/itineraries?operationView=true&amp;provider=ALL_DRIVERS&amp;selectedDay=2024-10-01&amp;serviceAreaId=5730fe55-e085-47b0-9d90-368a2f262ccb" TargetMode="External"/><Relationship Id="rId4" Type="http://schemas.openxmlformats.org/officeDocument/2006/relationships/hyperlink" Target="https://logistics.amazon.co.jp/operations/execution/routes?providerFilter=UNASSIGNED&amp;routesFilter=InProgress&amp;serviceAreaId=7c266549-6b13-404f-be03-c9cc3b5d3c42" TargetMode="External"/><Relationship Id="rId9" Type="http://schemas.openxmlformats.org/officeDocument/2006/relationships/hyperlink" Target="https://logistics.amazon.co.jp/operations/execution/routes?providerFilter=ALL_DSPS&amp;selectedDay=2022-02-23&amp;serviceAreaId=c30abc18-abcd-4fbb-839e-f00bd51f12a1" TargetMode="External"/><Relationship Id="rId13" Type="http://schemas.openxmlformats.org/officeDocument/2006/relationships/hyperlink" Target="https://logistics.amazon.co.jp/operations/execution/routes?providerFilter=ALL_DSPS&amp;selectedDay=2022-02-23&amp;serviceAreaId=f4cf0ba1-597e-47a4-90dc-f09bdeed6b3f" TargetMode="External"/><Relationship Id="rId18" Type="http://schemas.openxmlformats.org/officeDocument/2006/relationships/hyperlink" Target="https://logistics.amazon.co.jp/operations/execution/routes?providerFilter=ALL_DSPS&amp;selectedDay=2022-02-23&amp;serviceAreaId=35e14d21-9d76-49b2-9404-e2aa201e54dd" TargetMode="External"/><Relationship Id="rId39" Type="http://schemas.openxmlformats.org/officeDocument/2006/relationships/hyperlink" Target="https://logistics.amazon.co.jp/operations/execution/itineraries?operationView=true&amp;providerFilter=UNASSIGNED&amp;routesFilter=InProgress&amp;selectedDay=2022-06-27&amp;serviceAreaId=aa76c571-7276-45b9-b018-597a0faa8bda" TargetMode="External"/><Relationship Id="rId109" Type="http://schemas.openxmlformats.org/officeDocument/2006/relationships/printerSettings" Target="../printerSettings/printerSettings9.bin"/><Relationship Id="rId34" Type="http://schemas.openxmlformats.org/officeDocument/2006/relationships/hyperlink" Target="https://logistics.amazon.co.jp/operations/execution/routes?providerFilter=ALL_DSPS&amp;routesFilter=InProgress&amp;selectedDay=2022-06-24&amp;serviceAreaId=f7b0bdc9-dadd-46a8-8f9f-9e97fd181c85" TargetMode="External"/><Relationship Id="rId50" Type="http://schemas.openxmlformats.org/officeDocument/2006/relationships/hyperlink" Target="https://logistics.amazon.co.jp/operations/execution/routes?providerFilter=UNASSIGNED&amp;routeTypeFilter=ALL&amp;selectedDay=2022-07-21&amp;serviceAreaId=a0439440-f1d8-47a8-bfa1-f28ca7e1189c" TargetMode="External"/><Relationship Id="rId55" Type="http://schemas.openxmlformats.org/officeDocument/2006/relationships/hyperlink" Target="https://logistics.amazon.co.jp/operations/execution/itineraries?operationView=true&amp;providerFilter=UNASSIGNED&amp;routesFilter=InProgress&amp;selectedDay=2022-07-28&amp;serviceAreaId=1e1dfaa0-8a70-4622-b580-4ab466294ba5" TargetMode="External"/><Relationship Id="rId76" Type="http://schemas.openxmlformats.org/officeDocument/2006/relationships/hyperlink" Target="https://logistics.amazon.co.jp/operations/execution/itineraries?operationView=true&amp;providerFilter=UNASSIGNED&amp;routesFilter=InProgress&amp;selectedDay=2023-06-17&amp;serviceAreaId=eaf81d81-f857-4681-9941-8e0bb6a4aa1c" TargetMode="External"/><Relationship Id="rId97" Type="http://schemas.openxmlformats.org/officeDocument/2006/relationships/hyperlink" Target="https://logistics.amazon.co.jp/internal/operations/execution/itineraries?operationView=true&amp;provider=ALL_DRIVERS&amp;selectedDay=2024-08-27&amp;serviceAreaId=c93b643e-3b0f-4b15-8c31-a0a08d841f11" TargetMode="External"/><Relationship Id="rId104" Type="http://schemas.openxmlformats.org/officeDocument/2006/relationships/hyperlink" Target="https://logistics.amazon.co.jp/operations/execution/routes?providerFilter=UNASSIGNED&amp;routesFilter=InProgress&amp;serviceAreaId=dbe0070e-2ccf-45ad-b5eb-3a8ac3fb5a52" TargetMode="External"/><Relationship Id="rId7" Type="http://schemas.openxmlformats.org/officeDocument/2006/relationships/hyperlink" Target="https://logistics.amazon.co.jp/operations/execution/routes?providerFilter=UNASSIGNED&amp;routesFilter=InProgress&amp;serviceAreaId=bff17328-a270-4809-bac6-f6af06ecdb35" TargetMode="External"/><Relationship Id="rId71" Type="http://schemas.openxmlformats.org/officeDocument/2006/relationships/hyperlink" Target="https://logistics.amazon.co.jp/operations/execution/itineraries?operationView=true&amp;providerFilter=UNASSIGNED&amp;routesFilter=InProgress&amp;selectedDay=2023-03-18&amp;serviceAreaId=889b6ea0-e443-44fe-aafa-fddcf0b701b4" TargetMode="External"/><Relationship Id="rId92" Type="http://schemas.openxmlformats.org/officeDocument/2006/relationships/hyperlink" Target="https://logistics.amazon.co.jp/internal/operations/execution/itineraries?operationView=true&amp;provider=ALL_DRIVERS&amp;selectedDay=2024-06-14&amp;serviceAreaId=d0335ca8-4629-4968-a456-198f6f8788c3" TargetMode="External"/><Relationship Id="rId2" Type="http://schemas.openxmlformats.org/officeDocument/2006/relationships/hyperlink" Target="https://logistics.amazon.co.jp/operations/execution/routes?providerFilter=UNASSIGNED&amp;routesFilter=InProgress&amp;serviceAreaId=082d951d-3477-43bb-b2c6-5957ed375876" TargetMode="External"/><Relationship Id="rId29" Type="http://schemas.openxmlformats.org/officeDocument/2006/relationships/hyperlink" Target="https://logistics.amazon.co.jp/operations/execution/routes?providerFilter=ALL_DSPS&amp;routesFilter=InProgress&amp;selectedDay=2022-06-24&amp;serviceAreaId=9449a60d-fdab-4da0-b1e6-b4c29abe21ad" TargetMode="External"/><Relationship Id="rId24" Type="http://schemas.openxmlformats.org/officeDocument/2006/relationships/hyperlink" Target="https://logistics.amazon.co.jp/operations/execution/routes?providerFilter=UNASSIGNED&amp;routesFilter=InProgress&amp;serviceAreaId=a7f4f04a-adfa-4afd-8b9f-7858067978e0" TargetMode="External"/><Relationship Id="rId40" Type="http://schemas.openxmlformats.org/officeDocument/2006/relationships/hyperlink" Target="https://logistics.amazon.co.jp/operations/execution/routes?providerFilter=UNASSIGNED&amp;routesFilter=InProgress&amp;serviceAreaId=71a1a266-cc17-49f0-a740-ec504e8e0029" TargetMode="External"/><Relationship Id="rId45" Type="http://schemas.openxmlformats.org/officeDocument/2006/relationships/hyperlink" Target="https://logistics.amazon.co.jp/operations/execution/itineraries?operationView=true&amp;providerFilter=UNASSIGNED&amp;routesFilter=InProgress&amp;selectedDay=2022-07-17&amp;serviceAreaId=09bf3475-261d-4167-9cfb-02afd1bf24a5" TargetMode="External"/><Relationship Id="rId66" Type="http://schemas.openxmlformats.org/officeDocument/2006/relationships/hyperlink" Target="https://logistics.amazon.co.jp/operations/execution/itineraries?operationView=true&amp;selectedDay=2022-09-18&amp;serviceAreaId=70d8ddb0-5235-4da6-90d0-41c0b1a0db70" TargetMode="External"/><Relationship Id="rId87" Type="http://schemas.openxmlformats.org/officeDocument/2006/relationships/hyperlink" Target="https://logistics.amazon.co.jp/operations/execution/itineraries?cortexv2=true&amp;operationView=true&amp;progressStatusFilterValue&amp;providerFilter=ALL_DPS&amp;selectedDay=2024-03-16&amp;serviceAreaId=ddf1c2ec-20c2-43d0-88a2-71adac7b1f45" TargetMode="External"/><Relationship Id="rId61" Type="http://schemas.openxmlformats.org/officeDocument/2006/relationships/hyperlink" Target="https://logistics.amazon.co.jp/operations/execution/itineraries?operationView=true&amp;providerFilter=UNASSIGNED&amp;routesFilter=InProgress&amp;selectedDay=2022-07-31&amp;serviceAreaId=b5673d08-e750-48eb-9f50-e8f624a42b06" TargetMode="External"/><Relationship Id="rId82" Type="http://schemas.openxmlformats.org/officeDocument/2006/relationships/hyperlink" Target="https://logistics.amazon.co.jp/operations/execution/itineraries?cortexv2=true&amp;operationView=true&amp;progressStatusFilterValue&amp;providerFilter=ALL_DPS&amp;selectedDay=2024-03-12&amp;serviceAreaId=c76a63a2-418c-4d5b-963d-e229226edc9d" TargetMode="External"/><Relationship Id="rId19" Type="http://schemas.openxmlformats.org/officeDocument/2006/relationships/hyperlink" Target="https://logistics.amazon.co.jp/operations/execution/routes?providerFilter=ALL_DSPS&amp;selectedDay=2022-02-23&amp;serviceAreaId=f26c0114-5a92-4c56-86a6-229fcd10d3e0" TargetMode="External"/><Relationship Id="rId14" Type="http://schemas.openxmlformats.org/officeDocument/2006/relationships/hyperlink" Target="https://logistics.amazon.co.jp/operations/execution/routes?providerFilter=ALL_DSPS&amp;selectedDay=2022-02-23&amp;serviceAreaId=5eb698cb-cf70-4e5b-9d57-7e116aa7ef00" TargetMode="External"/><Relationship Id="rId30" Type="http://schemas.openxmlformats.org/officeDocument/2006/relationships/hyperlink" Target="https://logistics.amazon.co.jp/operations/execution/routes?providerFilter=ALL_DSPS&amp;routesFilter=InProgress&amp;selectedDay=2022-06-24&amp;serviceAreaId=645a3f86-fd8f-45e4-8f6c-7150f014c725" TargetMode="External"/><Relationship Id="rId35" Type="http://schemas.openxmlformats.org/officeDocument/2006/relationships/hyperlink" Target="https://logistics.amazon.co.jp/operations/execution/routes?providerFilter=ALL_DSPS&amp;routesFilter=InProgress&amp;selectedDay=2022-06-24&amp;serviceAreaId=3a0aa760-60ad-4c67-8758-7932924079aa" TargetMode="External"/><Relationship Id="rId56" Type="http://schemas.openxmlformats.org/officeDocument/2006/relationships/hyperlink" Target="https://logistics.amazon.co.jp/operations/execution/itineraries?operationView=true&amp;providerFilter=UNASSIGNED&amp;routesFilter=InProgress&amp;selectedDay=2022-07-28&amp;serviceAreaId=e33a8a1f-3099-443e-9c72-089b2b1806b0" TargetMode="External"/><Relationship Id="rId77" Type="http://schemas.openxmlformats.org/officeDocument/2006/relationships/hyperlink" Target="https://logistics.amazon.co.jp/operations/execution/itineraries?operationView=true&amp;providerFilter=UNASSIGNED&amp;routesFilter=InProgress&amp;selectedDay=2023-09-04&amp;serviceAreaId=fa00bc2b-67f9-4c99-a8c3-07390c29c132" TargetMode="External"/><Relationship Id="rId100" Type="http://schemas.openxmlformats.org/officeDocument/2006/relationships/hyperlink" Target="https://logistics.amazon.co.jp/internal/operations/execution/itineraries?operationView=true&amp;provider=ALL_DRIVERS&amp;selectedDay=2024-06-14&amp;serviceAreaId=bcc45cff-7379-4603-bbe9-193c141d2d96" TargetMode="External"/><Relationship Id="rId105" Type="http://schemas.openxmlformats.org/officeDocument/2006/relationships/hyperlink" Target="https://logistics.amazon.co.jp/internal/operations/execution/itineraries?operationView=true&amp;provider=ALL_DRIVERS&amp;selectedDay=2024-08-27&amp;serviceAreaId=391817c2-af3a-4881-85ae-6d17290de137" TargetMode="External"/><Relationship Id="rId8" Type="http://schemas.openxmlformats.org/officeDocument/2006/relationships/hyperlink" Target="https://logistics.amazon.co.jp/operations/execution/routes?providerFilter=UNASSIGNED&amp;routesFilter=InProgress&amp;serviceAreaId=8e74ea47-3eea-4efb-a394-2cc33aa8cb74" TargetMode="External"/><Relationship Id="rId51" Type="http://schemas.openxmlformats.org/officeDocument/2006/relationships/hyperlink" Target="https://logistics.amazon.co.jp/operations/execution/itineraries?operationView=true&amp;providerFilter=UNASSIGNED&amp;routesFilter=InProgress&amp;selectedDay=2022-07-24&amp;serviceAreaId=304d46de-0ce8-41d5-b1a5-aff70cfbfa25" TargetMode="External"/><Relationship Id="rId72" Type="http://schemas.openxmlformats.org/officeDocument/2006/relationships/hyperlink" Target="https://logistics.amazon.co.jp/operations/execution/itineraries?operationView=true&amp;providerFilter=UNASSIGNED&amp;routesFilter=InProgress&amp;selectedDay=2023-03-21&amp;serviceAreaId=6b95cc4c-9689-4369-b821-ed1cbd66adf2" TargetMode="External"/><Relationship Id="rId93" Type="http://schemas.openxmlformats.org/officeDocument/2006/relationships/hyperlink" Target="https://logistics.amazon.co.jp/internal/operations/execution/itineraries?operationView=true&amp;provider=ALL_DRIVERS&amp;selectedDay=2024-08-15&amp;serviceAreaId=58b5a3e0-11fb-494a-9f54-9dc88d70cc19" TargetMode="External"/><Relationship Id="rId98" Type="http://schemas.openxmlformats.org/officeDocument/2006/relationships/hyperlink" Target="https://logistics.amazon.co.jp/internal/operations/execution/itineraries?operationView=true&amp;provider=ALL_DRIVERS&amp;selectedDay=2024-09-08&amp;serviceAreaId=2fde8664-eb33-4c2c-a406-532fd037b810" TargetMode="External"/><Relationship Id="rId3" Type="http://schemas.openxmlformats.org/officeDocument/2006/relationships/hyperlink" Target="https://logistics.amazon.co.jp/operations/execution/routes?providerFilter=UNASSIGNED&amp;routesFilter=InProgress&amp;serviceAreaId=23296570-cfd4-4133-9a38-2b085b1d160f" TargetMode="External"/><Relationship Id="rId25" Type="http://schemas.openxmlformats.org/officeDocument/2006/relationships/hyperlink" Target="https://logistics.amazon.co.jp/operations/execution/routes?providerFilter=UNASSIGNED&amp;routesFilter=InProgress&amp;selectedDay=2022-06-13&amp;serviceAreaId=6c548915-5be8-4c2c-88a0-2ea30dbe9204" TargetMode="External"/><Relationship Id="rId46" Type="http://schemas.openxmlformats.org/officeDocument/2006/relationships/hyperlink" Target="https://logistics.amazon.co.jp/operations/execution/itineraries?operationView=true&amp;selectedDay=2022-07-17&amp;serviceAreaId=222070a2-6f48-48d8-b83d-14a32b5ba455" TargetMode="External"/><Relationship Id="rId67" Type="http://schemas.openxmlformats.org/officeDocument/2006/relationships/hyperlink" Target="https://logistics.amazon.co.jp/operations/execution/itineraries?operationView=true&amp;selectedDay=2022-09-18&amp;serviceAreaId=70d8ddb0-5235-4da6-90d0-41c0b1a0db70" TargetMode="External"/><Relationship Id="rId20" Type="http://schemas.openxmlformats.org/officeDocument/2006/relationships/hyperlink" Target="https://logistics.amazon.co.jp/operations/execution/routes?providerFilter=UNASSIGNED&amp;selectedDay=2022-04-11&amp;serviceAreaId=fa4f9f12-8dda-4ae2-96ae-e5bdbb606e8d" TargetMode="External"/><Relationship Id="rId41" Type="http://schemas.openxmlformats.org/officeDocument/2006/relationships/hyperlink" Target="https://logistics.amazon.co.jp/operations/execution/routes?providerFilter=UNASSIGNED&amp;routesFilter=InProgress&amp;serviceAreaId=27768c1f-7451-4c57-a5bb-bf5634f8e90c" TargetMode="External"/><Relationship Id="rId62" Type="http://schemas.openxmlformats.org/officeDocument/2006/relationships/hyperlink" Target="https://logistics.amazon.co.jp/operations/execution/itineraries?operationView=true&amp;providerFilter=UNASSIGNED&amp;routesFilter=InProgress&amp;selectedDay=2022-08-01&amp;serviceAreaId=4ecf2954-d74d-4aee-9ced-81ef1b313038" TargetMode="External"/><Relationship Id="rId83" Type="http://schemas.openxmlformats.org/officeDocument/2006/relationships/hyperlink" Target="https://logistics.amazon.co.jp/operations/execution/itineraries?cortexv2=true&amp;operationView=true&amp;progressStatusFilterValue&amp;providerFilter=ALL_DPS&amp;selectedDay=2024-03-12&amp;serviceAreaId=49c51e9e-60ef-437f-9f2d-8b02a860bc72" TargetMode="External"/><Relationship Id="rId88" Type="http://schemas.openxmlformats.org/officeDocument/2006/relationships/hyperlink" Target="https://logistics.amazon.co.jp/operations/execution/itineraries?operationView=true&amp;providerFilter=UNASSIGNED&amp;routesFilter=InProgress&amp;selectedDay=2024-03-19&amp;serviceAreaId=80e79bfd-75f3-4ac1-8885-908499427d28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797047-936A-40C7-825B-0524E6969102}">
  <dimension ref="A1:T96"/>
  <sheetViews>
    <sheetView topLeftCell="A19" zoomScale="85" zoomScaleNormal="85" workbookViewId="0">
      <selection activeCell="M89" sqref="M89"/>
    </sheetView>
  </sheetViews>
  <sheetFormatPr defaultColWidth="9" defaultRowHeight="18.75" x14ac:dyDescent="0.4"/>
  <cols>
    <col min="1" max="1" width="3" style="2386" customWidth="1"/>
    <col min="2" max="13" width="9" style="2386"/>
    <col min="14" max="14" width="22.5" style="2386" customWidth="1"/>
    <col min="15" max="16384" width="9" style="2386"/>
  </cols>
  <sheetData>
    <row r="1" spans="1:15" ht="24" x14ac:dyDescent="0.4">
      <c r="A1" s="2830" t="s">
        <v>0</v>
      </c>
      <c r="B1" s="2830"/>
      <c r="C1" s="2830"/>
      <c r="D1" s="2830"/>
      <c r="E1" s="2830"/>
      <c r="F1" s="2830"/>
      <c r="G1" s="2830"/>
      <c r="H1" s="2830"/>
      <c r="I1" s="2830"/>
      <c r="J1" s="2830"/>
      <c r="K1" s="2830"/>
      <c r="L1" s="2830"/>
      <c r="M1" s="2830"/>
    </row>
    <row r="2" spans="1:15" x14ac:dyDescent="0.4">
      <c r="A2" s="2402" t="s">
        <v>1</v>
      </c>
      <c r="N2" s="2402"/>
      <c r="O2" s="301"/>
    </row>
    <row r="3" spans="1:15" x14ac:dyDescent="0.4">
      <c r="A3" s="2447" t="s">
        <v>2</v>
      </c>
      <c r="N3" s="2402"/>
      <c r="O3" s="301"/>
    </row>
    <row r="4" spans="1:15" x14ac:dyDescent="0.4">
      <c r="A4" s="2448" t="s">
        <v>3</v>
      </c>
      <c r="B4" s="2449"/>
      <c r="C4" s="2449"/>
      <c r="D4" s="2449"/>
      <c r="E4" s="2449"/>
      <c r="F4" s="2449"/>
      <c r="G4" s="2449"/>
    </row>
    <row r="5" spans="1:15" x14ac:dyDescent="0.4">
      <c r="A5" s="2448" t="s">
        <v>4</v>
      </c>
      <c r="B5" s="2449"/>
      <c r="C5" s="2449"/>
      <c r="D5" s="2449"/>
      <c r="E5" s="2449"/>
      <c r="F5" s="2449"/>
      <c r="G5" s="2449"/>
    </row>
    <row r="6" spans="1:15" x14ac:dyDescent="0.4">
      <c r="A6" s="2448" t="s">
        <v>5</v>
      </c>
      <c r="B6" s="2449"/>
      <c r="C6" s="2449"/>
      <c r="D6" s="2449"/>
      <c r="E6" s="2449"/>
      <c r="F6" s="2449"/>
      <c r="G6" s="2449"/>
    </row>
    <row r="7" spans="1:15" ht="19.5" thickBot="1" x14ac:dyDescent="0.45">
      <c r="A7" s="2402"/>
    </row>
    <row r="8" spans="1:15" ht="19.5" thickBot="1" x14ac:dyDescent="0.45">
      <c r="A8" s="2831" t="s">
        <v>6</v>
      </c>
      <c r="B8" s="2832"/>
      <c r="C8" s="2832"/>
      <c r="D8" s="2832"/>
      <c r="E8" s="2833"/>
      <c r="N8" s="301"/>
    </row>
    <row r="9" spans="1:15" x14ac:dyDescent="0.4">
      <c r="A9" s="2447" t="s">
        <v>7</v>
      </c>
      <c r="B9" s="2447" t="s">
        <v>8</v>
      </c>
      <c r="N9" s="301"/>
    </row>
    <row r="10" spans="1:15" x14ac:dyDescent="0.4">
      <c r="A10" s="2447"/>
      <c r="B10" s="2450" t="s">
        <v>9</v>
      </c>
      <c r="N10" s="301"/>
    </row>
    <row r="11" spans="1:15" x14ac:dyDescent="0.4">
      <c r="A11" s="2447"/>
      <c r="B11" s="2450" t="s">
        <v>10</v>
      </c>
      <c r="N11" s="301"/>
    </row>
    <row r="12" spans="1:15" x14ac:dyDescent="0.4">
      <c r="A12" s="2447"/>
      <c r="B12" s="2450"/>
      <c r="N12" s="301"/>
    </row>
    <row r="13" spans="1:15" x14ac:dyDescent="0.4">
      <c r="A13" s="2447"/>
      <c r="B13" s="2450"/>
      <c r="N13" s="301"/>
    </row>
    <row r="14" spans="1:15" x14ac:dyDescent="0.4">
      <c r="A14" s="2447"/>
      <c r="B14" s="2450"/>
      <c r="N14" s="301"/>
    </row>
    <row r="15" spans="1:15" x14ac:dyDescent="0.4">
      <c r="A15" s="2447"/>
      <c r="B15" s="2450"/>
      <c r="N15" s="301"/>
    </row>
    <row r="16" spans="1:15" x14ac:dyDescent="0.4">
      <c r="A16" s="2447"/>
      <c r="B16" s="2450"/>
      <c r="N16" s="301"/>
    </row>
    <row r="17" spans="1:15" x14ac:dyDescent="0.4">
      <c r="A17" s="2447"/>
      <c r="B17" s="2450"/>
      <c r="N17" s="301"/>
    </row>
    <row r="18" spans="1:15" x14ac:dyDescent="0.4">
      <c r="A18" s="2447" t="s">
        <v>11</v>
      </c>
      <c r="B18" s="2447" t="s">
        <v>12</v>
      </c>
      <c r="N18" s="301"/>
    </row>
    <row r="19" spans="1:15" x14ac:dyDescent="0.4">
      <c r="A19" s="2447"/>
      <c r="B19" s="2386" t="s">
        <v>13</v>
      </c>
      <c r="N19" s="301"/>
    </row>
    <row r="20" spans="1:15" x14ac:dyDescent="0.4">
      <c r="A20" s="2447"/>
      <c r="N20" s="301"/>
    </row>
    <row r="21" spans="1:15" ht="24" x14ac:dyDescent="0.4">
      <c r="A21" s="2447" t="s">
        <v>14</v>
      </c>
      <c r="B21" s="2451" t="s">
        <v>15</v>
      </c>
      <c r="C21" s="2452"/>
      <c r="E21" s="2386" t="s">
        <v>16</v>
      </c>
      <c r="N21" s="301"/>
    </row>
    <row r="22" spans="1:15" x14ac:dyDescent="0.4">
      <c r="B22" s="2450" t="s">
        <v>17</v>
      </c>
      <c r="N22" s="301"/>
    </row>
    <row r="23" spans="1:15" x14ac:dyDescent="0.4">
      <c r="B23" s="2450" t="s">
        <v>18</v>
      </c>
      <c r="N23" s="301"/>
    </row>
    <row r="24" spans="1:15" x14ac:dyDescent="0.4">
      <c r="B24" s="2450"/>
      <c r="N24" s="301"/>
    </row>
    <row r="25" spans="1:15" ht="19.5" x14ac:dyDescent="0.4">
      <c r="A25" s="2447" t="s">
        <v>19</v>
      </c>
      <c r="B25" s="2453" t="s">
        <v>20</v>
      </c>
      <c r="C25" s="2454"/>
      <c r="D25" s="2454"/>
      <c r="E25" s="2386" t="s">
        <v>21</v>
      </c>
      <c r="N25" s="301"/>
    </row>
    <row r="26" spans="1:15" x14ac:dyDescent="0.4">
      <c r="A26" s="2455" t="s">
        <v>22</v>
      </c>
      <c r="B26" s="2386" t="s">
        <v>23</v>
      </c>
      <c r="N26" s="301"/>
    </row>
    <row r="27" spans="1:15" x14ac:dyDescent="0.4">
      <c r="A27" s="2447"/>
      <c r="B27" s="2386" t="s">
        <v>24</v>
      </c>
      <c r="N27" s="301"/>
    </row>
    <row r="28" spans="1:15" x14ac:dyDescent="0.4">
      <c r="A28" s="2402" t="s">
        <v>22</v>
      </c>
      <c r="B28" s="2386" t="s">
        <v>25</v>
      </c>
      <c r="N28" s="301"/>
    </row>
    <row r="29" spans="1:15" x14ac:dyDescent="0.4">
      <c r="A29" s="2402" t="s">
        <v>22</v>
      </c>
      <c r="B29" s="2386" t="s">
        <v>26</v>
      </c>
      <c r="N29" s="301"/>
      <c r="O29" s="2386" t="s">
        <v>27</v>
      </c>
    </row>
    <row r="30" spans="1:15" x14ac:dyDescent="0.4">
      <c r="B30" s="2386" t="s">
        <v>28</v>
      </c>
      <c r="N30" s="301"/>
    </row>
    <row r="31" spans="1:15" x14ac:dyDescent="0.4">
      <c r="B31" s="2386" t="s">
        <v>29</v>
      </c>
      <c r="N31" s="301"/>
    </row>
    <row r="32" spans="1:15" x14ac:dyDescent="0.4">
      <c r="A32" s="2386" t="s">
        <v>30</v>
      </c>
      <c r="B32" s="301" t="s">
        <v>31</v>
      </c>
      <c r="M32" s="2456" t="s">
        <v>32</v>
      </c>
      <c r="N32" s="301" t="s">
        <v>33</v>
      </c>
    </row>
    <row r="33" spans="2:19" x14ac:dyDescent="0.4">
      <c r="N33" s="301"/>
    </row>
    <row r="34" spans="2:19" x14ac:dyDescent="0.4">
      <c r="N34" s="301"/>
    </row>
    <row r="35" spans="2:19" x14ac:dyDescent="0.4">
      <c r="N35" s="301"/>
    </row>
    <row r="36" spans="2:19" x14ac:dyDescent="0.4">
      <c r="N36" s="301"/>
    </row>
    <row r="37" spans="2:19" x14ac:dyDescent="0.4">
      <c r="N37" s="301"/>
    </row>
    <row r="38" spans="2:19" x14ac:dyDescent="0.4">
      <c r="N38" s="301"/>
    </row>
    <row r="39" spans="2:19" x14ac:dyDescent="0.4">
      <c r="E39" s="2447" t="s">
        <v>34</v>
      </c>
      <c r="N39" s="301"/>
    </row>
    <row r="40" spans="2:19" x14ac:dyDescent="0.4">
      <c r="N40" s="301"/>
    </row>
    <row r="41" spans="2:19" x14ac:dyDescent="0.4">
      <c r="B41" s="2402" t="s">
        <v>35</v>
      </c>
      <c r="N41" s="301"/>
    </row>
    <row r="42" spans="2:19" x14ac:dyDescent="0.4">
      <c r="B42" s="301" t="s">
        <v>36</v>
      </c>
      <c r="N42" s="301"/>
    </row>
    <row r="43" spans="2:19" x14ac:dyDescent="0.4">
      <c r="N43" s="301"/>
    </row>
    <row r="44" spans="2:19" x14ac:dyDescent="0.4">
      <c r="N44" s="301"/>
    </row>
    <row r="45" spans="2:19" x14ac:dyDescent="0.4">
      <c r="N45" s="301"/>
    </row>
    <row r="46" spans="2:19" x14ac:dyDescent="0.4">
      <c r="N46" s="301"/>
    </row>
    <row r="47" spans="2:19" x14ac:dyDescent="0.4">
      <c r="N47" s="301"/>
    </row>
    <row r="48" spans="2:19" x14ac:dyDescent="0.4">
      <c r="N48" s="301"/>
      <c r="S48" s="2386" t="s">
        <v>37</v>
      </c>
    </row>
    <row r="49" spans="1:20" x14ac:dyDescent="0.4">
      <c r="N49" s="301"/>
    </row>
    <row r="50" spans="1:20" x14ac:dyDescent="0.4">
      <c r="B50" s="2386" t="s">
        <v>38</v>
      </c>
      <c r="N50" s="301"/>
    </row>
    <row r="51" spans="1:20" x14ac:dyDescent="0.4">
      <c r="N51" s="301"/>
    </row>
    <row r="52" spans="1:20" x14ac:dyDescent="0.4">
      <c r="N52" s="301"/>
    </row>
    <row r="53" spans="1:20" x14ac:dyDescent="0.4">
      <c r="N53" s="301"/>
    </row>
    <row r="54" spans="1:20" x14ac:dyDescent="0.4">
      <c r="N54" s="301"/>
    </row>
    <row r="55" spans="1:20" x14ac:dyDescent="0.4">
      <c r="N55" s="301"/>
    </row>
    <row r="56" spans="1:20" x14ac:dyDescent="0.4">
      <c r="N56" s="301"/>
    </row>
    <row r="57" spans="1:20" x14ac:dyDescent="0.4">
      <c r="N57" s="301"/>
    </row>
    <row r="58" spans="1:20" x14ac:dyDescent="0.4">
      <c r="A58" s="2447" t="s">
        <v>39</v>
      </c>
      <c r="B58" s="2447" t="s">
        <v>40</v>
      </c>
    </row>
    <row r="59" spans="1:20" ht="19.5" thickBot="1" x14ac:dyDescent="0.45">
      <c r="A59" s="2402"/>
    </row>
    <row r="60" spans="1:20" ht="19.5" hidden="1" thickBot="1" x14ac:dyDescent="0.45">
      <c r="A60" s="2457" t="s">
        <v>41</v>
      </c>
      <c r="B60" s="2457" t="s">
        <v>42</v>
      </c>
      <c r="C60" s="2457"/>
      <c r="D60" s="2457"/>
      <c r="E60" s="2457"/>
      <c r="F60" s="2457"/>
      <c r="G60" s="2457"/>
      <c r="H60" s="2457"/>
      <c r="I60" s="2457"/>
      <c r="J60" s="2457"/>
      <c r="K60" s="2457"/>
      <c r="L60" s="2457"/>
      <c r="M60" s="2457"/>
      <c r="N60" s="2458"/>
      <c r="O60" s="2458"/>
      <c r="P60" s="2458"/>
      <c r="Q60" s="2458"/>
      <c r="R60" s="2458"/>
      <c r="S60" s="2458"/>
      <c r="T60" s="2458"/>
    </row>
    <row r="61" spans="1:20" ht="19.5" hidden="1" thickBot="1" x14ac:dyDescent="0.45">
      <c r="A61" s="2457"/>
      <c r="B61" s="2457" t="s">
        <v>43</v>
      </c>
      <c r="C61" s="2457"/>
      <c r="D61" s="2457"/>
      <c r="E61" s="2457"/>
      <c r="F61" s="2457"/>
      <c r="G61" s="2457"/>
      <c r="H61" s="2457"/>
      <c r="I61" s="2457"/>
      <c r="J61" s="2457"/>
      <c r="K61" s="2457"/>
      <c r="L61" s="2457"/>
      <c r="M61" s="2457"/>
      <c r="N61" s="2458"/>
      <c r="O61" s="2458"/>
      <c r="P61" s="2458"/>
      <c r="Q61" s="2458"/>
      <c r="R61" s="2458"/>
      <c r="S61" s="2458"/>
      <c r="T61" s="2458"/>
    </row>
    <row r="62" spans="1:20" ht="19.5" hidden="1" thickBot="1" x14ac:dyDescent="0.45">
      <c r="A62" s="2457"/>
      <c r="B62" s="2457" t="s">
        <v>44</v>
      </c>
      <c r="C62" s="2457"/>
      <c r="D62" s="2457"/>
      <c r="E62" s="2457"/>
      <c r="F62" s="2457"/>
      <c r="G62" s="2457"/>
      <c r="H62" s="2457"/>
      <c r="I62" s="2457"/>
      <c r="J62" s="2457"/>
      <c r="K62" s="2457"/>
      <c r="L62" s="2457"/>
      <c r="M62" s="2457"/>
      <c r="N62" s="2458"/>
      <c r="O62" s="2458"/>
      <c r="P62" s="2458"/>
      <c r="Q62" s="2458"/>
      <c r="R62" s="2458"/>
      <c r="S62" s="2458"/>
      <c r="T62" s="2458"/>
    </row>
    <row r="63" spans="1:20" ht="19.5" thickBot="1" x14ac:dyDescent="0.45">
      <c r="A63" s="2831" t="s">
        <v>45</v>
      </c>
      <c r="B63" s="2832" t="s">
        <v>46</v>
      </c>
      <c r="C63" s="2832"/>
      <c r="D63" s="2832"/>
      <c r="E63" s="2833"/>
    </row>
    <row r="64" spans="1:20" hidden="1" x14ac:dyDescent="0.4">
      <c r="A64" s="2459" t="s">
        <v>47</v>
      </c>
      <c r="B64" s="2460"/>
      <c r="C64" s="2460"/>
      <c r="D64" s="2460"/>
      <c r="E64" s="2460"/>
      <c r="F64" s="2460"/>
      <c r="G64" s="2460"/>
      <c r="H64" s="2460"/>
      <c r="I64" s="2460"/>
      <c r="J64" s="2460"/>
      <c r="K64" s="2460"/>
      <c r="L64" s="2460"/>
      <c r="M64" s="2460"/>
      <c r="N64" s="2460"/>
      <c r="O64" s="2460"/>
      <c r="P64" s="2460"/>
      <c r="Q64" s="2460"/>
      <c r="R64" s="2460"/>
    </row>
    <row r="65" spans="1:18" hidden="1" x14ac:dyDescent="0.4">
      <c r="A65" s="2460" t="s">
        <v>48</v>
      </c>
      <c r="B65" s="2460"/>
      <c r="C65" s="2460"/>
      <c r="D65" s="2460"/>
      <c r="E65" s="2460"/>
      <c r="F65" s="2460"/>
      <c r="G65" s="2460"/>
      <c r="H65" s="2460"/>
      <c r="I65" s="2460"/>
      <c r="J65" s="2460"/>
      <c r="K65" s="2460"/>
      <c r="L65" s="2460"/>
      <c r="M65" s="2460"/>
      <c r="N65" s="2460"/>
      <c r="O65" s="2460"/>
      <c r="P65" s="2460"/>
      <c r="Q65" s="2460"/>
      <c r="R65" s="2460"/>
    </row>
    <row r="66" spans="1:18" hidden="1" x14ac:dyDescent="0.4">
      <c r="A66" s="2460" t="s">
        <v>49</v>
      </c>
      <c r="B66" s="2460"/>
      <c r="C66" s="2460"/>
      <c r="D66" s="2460"/>
      <c r="E66" s="2460"/>
      <c r="F66" s="2460"/>
      <c r="G66" s="2460"/>
      <c r="H66" s="2460"/>
      <c r="I66" s="2460"/>
      <c r="J66" s="2460"/>
      <c r="K66" s="2460"/>
      <c r="L66" s="2460"/>
      <c r="M66" s="2460"/>
      <c r="N66" s="2460"/>
      <c r="O66" s="2460"/>
      <c r="P66" s="2460"/>
      <c r="Q66" s="2460"/>
      <c r="R66" s="2460"/>
    </row>
    <row r="67" spans="1:18" ht="0.75" hidden="1" customHeight="1" x14ac:dyDescent="0.4">
      <c r="A67" s="2460"/>
      <c r="B67" s="2460"/>
      <c r="C67" s="2460"/>
      <c r="D67" s="2460"/>
      <c r="E67" s="2460"/>
      <c r="F67" s="2460"/>
      <c r="G67" s="2460"/>
      <c r="H67" s="2460"/>
      <c r="I67" s="2460"/>
      <c r="J67" s="2460"/>
      <c r="K67" s="2460"/>
      <c r="L67" s="2460"/>
      <c r="M67" s="2460"/>
      <c r="N67" s="2460"/>
      <c r="O67" s="2460"/>
      <c r="P67" s="2460"/>
      <c r="Q67" s="2460"/>
      <c r="R67" s="2460"/>
    </row>
    <row r="68" spans="1:18" hidden="1" x14ac:dyDescent="0.4">
      <c r="A68" s="2460"/>
      <c r="B68" s="2460"/>
      <c r="C68" s="2460"/>
      <c r="D68" s="2460"/>
      <c r="E68" s="2460"/>
      <c r="F68" s="2460"/>
      <c r="G68" s="2460"/>
      <c r="H68" s="2460"/>
      <c r="I68" s="2460"/>
      <c r="J68" s="2460"/>
      <c r="K68" s="2460"/>
      <c r="L68" s="2460"/>
      <c r="M68" s="2460"/>
      <c r="N68" s="2460"/>
      <c r="O68" s="2460"/>
      <c r="P68" s="2460"/>
      <c r="Q68" s="2460"/>
      <c r="R68" s="2460"/>
    </row>
    <row r="69" spans="1:18" hidden="1" x14ac:dyDescent="0.4">
      <c r="A69" s="2460"/>
      <c r="B69" s="2460"/>
      <c r="C69" s="2460"/>
      <c r="D69" s="2460"/>
      <c r="E69" s="2460"/>
      <c r="F69" s="2460"/>
      <c r="G69" s="2460"/>
      <c r="H69" s="2460"/>
      <c r="I69" s="2460"/>
      <c r="J69" s="2460"/>
      <c r="K69" s="2460"/>
      <c r="L69" s="2460"/>
      <c r="M69" s="2460"/>
      <c r="N69" s="2460"/>
      <c r="O69" s="2460"/>
      <c r="P69" s="2460"/>
      <c r="Q69" s="2460"/>
      <c r="R69" s="2460"/>
    </row>
    <row r="70" spans="1:18" hidden="1" x14ac:dyDescent="0.4">
      <c r="A70" s="2460"/>
      <c r="B70" s="2461" t="s">
        <v>50</v>
      </c>
      <c r="C70" s="2460"/>
      <c r="D70" s="2460"/>
      <c r="E70" s="2462" t="s">
        <v>51</v>
      </c>
      <c r="F70" s="2460"/>
      <c r="G70" s="2460"/>
      <c r="H70" s="2460"/>
      <c r="I70" s="2460"/>
      <c r="J70" s="2460"/>
      <c r="K70" s="2460"/>
      <c r="L70" s="2460"/>
      <c r="M70" s="2460"/>
      <c r="N70" s="2460"/>
      <c r="O70" s="2460"/>
      <c r="P70" s="2460"/>
      <c r="Q70" s="2460"/>
      <c r="R70" s="2460"/>
    </row>
    <row r="71" spans="1:18" hidden="1" x14ac:dyDescent="0.4">
      <c r="A71" s="2460"/>
      <c r="B71" s="2461"/>
      <c r="C71" s="2460"/>
      <c r="D71" s="2460"/>
      <c r="E71" s="2462"/>
      <c r="F71" s="2460"/>
      <c r="G71" s="2460"/>
      <c r="H71" s="2460"/>
      <c r="I71" s="2460"/>
      <c r="J71" s="2460"/>
      <c r="K71" s="2460"/>
      <c r="L71" s="2460"/>
      <c r="M71" s="2460"/>
      <c r="N71" s="2460"/>
      <c r="O71" s="2460"/>
      <c r="P71" s="2460"/>
      <c r="Q71" s="2460"/>
      <c r="R71" s="2460"/>
    </row>
    <row r="72" spans="1:18" hidden="1" x14ac:dyDescent="0.4">
      <c r="A72" s="2460" t="s">
        <v>52</v>
      </c>
      <c r="B72" s="2460" t="s">
        <v>53</v>
      </c>
      <c r="C72" s="2460"/>
      <c r="D72" s="2460"/>
      <c r="E72" s="2460"/>
      <c r="F72" s="2460"/>
      <c r="G72" s="2460"/>
      <c r="H72" s="2463" t="s">
        <v>54</v>
      </c>
      <c r="I72" s="2460"/>
      <c r="J72" s="2460"/>
      <c r="K72" s="2460"/>
      <c r="L72" s="2460"/>
      <c r="M72" s="2460"/>
      <c r="N72" s="2460"/>
      <c r="O72" s="2463"/>
      <c r="P72" s="2460"/>
      <c r="Q72" s="2460"/>
      <c r="R72" s="2460"/>
    </row>
    <row r="73" spans="1:18" hidden="1" x14ac:dyDescent="0.4">
      <c r="A73" s="2460" t="s">
        <v>11</v>
      </c>
      <c r="B73" s="2460" t="s">
        <v>55</v>
      </c>
      <c r="C73" s="2460"/>
      <c r="D73" s="2460"/>
      <c r="E73" s="2460"/>
      <c r="F73" s="2460"/>
      <c r="G73" s="2460"/>
      <c r="H73" s="2460"/>
      <c r="I73" s="2460"/>
      <c r="J73" s="2460"/>
      <c r="K73" s="2460"/>
      <c r="L73" s="2460"/>
      <c r="M73" s="2460"/>
      <c r="N73" s="2460"/>
      <c r="O73" s="2460"/>
      <c r="P73" s="2460"/>
      <c r="Q73" s="2460"/>
      <c r="R73" s="2460"/>
    </row>
    <row r="74" spans="1:18" hidden="1" x14ac:dyDescent="0.4">
      <c r="A74" s="2460"/>
      <c r="B74" s="2460"/>
      <c r="C74" s="2460"/>
      <c r="D74" s="2460"/>
      <c r="E74" s="2460"/>
      <c r="F74" s="2460"/>
      <c r="G74" s="2460"/>
      <c r="H74" s="2460"/>
      <c r="I74" s="2460"/>
      <c r="J74" s="2460"/>
      <c r="K74" s="2460"/>
      <c r="L74" s="2460"/>
      <c r="M74" s="2460"/>
      <c r="N74" s="2460"/>
      <c r="O74" s="2460"/>
      <c r="P74" s="2460"/>
      <c r="Q74" s="2460"/>
      <c r="R74" s="2460"/>
    </row>
    <row r="75" spans="1:18" hidden="1" x14ac:dyDescent="0.4">
      <c r="A75" s="2460"/>
      <c r="B75" s="2460"/>
      <c r="C75" s="2460"/>
      <c r="D75" s="2460"/>
      <c r="E75" s="2460"/>
      <c r="F75" s="2460"/>
      <c r="G75" s="2460"/>
      <c r="H75" s="2460"/>
      <c r="I75" s="2460"/>
      <c r="J75" s="2460"/>
      <c r="K75" s="2460"/>
      <c r="L75" s="2460"/>
      <c r="M75" s="2460"/>
      <c r="N75" s="2460"/>
      <c r="O75" s="2460"/>
      <c r="P75" s="2460"/>
      <c r="Q75" s="2460"/>
      <c r="R75" s="2460"/>
    </row>
    <row r="76" spans="1:18" hidden="1" x14ac:dyDescent="0.4">
      <c r="A76" s="2460"/>
      <c r="B76" s="2460"/>
      <c r="C76" s="2460"/>
      <c r="D76" s="2460"/>
      <c r="E76" s="2460"/>
      <c r="F76" s="2460"/>
      <c r="G76" s="2460"/>
      <c r="H76" s="2460"/>
      <c r="I76" s="2460"/>
      <c r="J76" s="2460"/>
      <c r="K76" s="2460"/>
      <c r="L76" s="2460"/>
      <c r="M76" s="2460"/>
      <c r="N76" s="2460"/>
      <c r="O76" s="2460"/>
      <c r="P76" s="2460"/>
      <c r="Q76" s="2460"/>
      <c r="R76" s="2460"/>
    </row>
    <row r="77" spans="1:18" hidden="1" x14ac:dyDescent="0.4">
      <c r="A77" s="2460"/>
      <c r="B77" s="2460"/>
      <c r="C77" s="2460"/>
      <c r="D77" s="2460"/>
      <c r="E77" s="2460"/>
      <c r="F77" s="2460"/>
      <c r="G77" s="2460"/>
      <c r="H77" s="2460"/>
      <c r="I77" s="2460"/>
      <c r="J77" s="2460"/>
      <c r="K77" s="2460"/>
      <c r="L77" s="2460"/>
      <c r="M77" s="2460"/>
      <c r="N77" s="2460"/>
      <c r="O77" s="2460"/>
      <c r="P77" s="2460"/>
      <c r="Q77" s="2460"/>
      <c r="R77" s="2460"/>
    </row>
    <row r="78" spans="1:18" hidden="1" x14ac:dyDescent="0.4">
      <c r="A78" s="2460"/>
      <c r="B78" s="2460" t="s">
        <v>56</v>
      </c>
      <c r="C78" s="2460"/>
      <c r="D78" s="2460"/>
      <c r="E78" s="2460"/>
      <c r="F78" s="2460"/>
      <c r="G78" s="2460"/>
      <c r="H78" s="2460"/>
      <c r="I78" s="2460"/>
      <c r="J78" s="2460"/>
      <c r="K78" s="2460"/>
      <c r="L78" s="2460"/>
      <c r="M78" s="2460"/>
      <c r="N78" s="2460"/>
      <c r="O78" s="2460"/>
      <c r="P78" s="2460"/>
      <c r="Q78" s="2460"/>
      <c r="R78" s="2460"/>
    </row>
    <row r="79" spans="1:18" hidden="1" x14ac:dyDescent="0.4">
      <c r="A79" s="2460"/>
      <c r="B79" s="2460" t="s">
        <v>57</v>
      </c>
      <c r="C79" s="2460"/>
      <c r="D79" s="2460"/>
      <c r="E79" s="2460"/>
      <c r="F79" s="2460"/>
      <c r="G79" s="2460"/>
      <c r="H79" s="2460"/>
      <c r="I79" s="2460"/>
      <c r="J79" s="2460"/>
      <c r="K79" s="2460"/>
      <c r="L79" s="2460"/>
      <c r="M79" s="2460"/>
      <c r="N79" s="2460"/>
      <c r="O79" s="2460"/>
      <c r="P79" s="2460"/>
      <c r="Q79" s="2460"/>
      <c r="R79" s="2460"/>
    </row>
    <row r="80" spans="1:18" hidden="1" x14ac:dyDescent="0.4">
      <c r="A80" s="2460"/>
      <c r="B80" s="2460" t="s">
        <v>58</v>
      </c>
      <c r="C80" s="2460"/>
      <c r="D80" s="2460"/>
      <c r="E80" s="2460"/>
      <c r="F80" s="2460"/>
      <c r="G80" s="2460"/>
      <c r="H80" s="2460"/>
      <c r="I80" s="2460"/>
      <c r="J80" s="2460"/>
      <c r="K80" s="2460"/>
      <c r="L80" s="2460"/>
      <c r="M80" s="2460"/>
      <c r="N80" s="2460"/>
      <c r="O80" s="2460"/>
      <c r="P80" s="2460"/>
      <c r="Q80" s="2460"/>
      <c r="R80" s="2460"/>
    </row>
    <row r="81" spans="1:18" ht="0.75" customHeight="1" x14ac:dyDescent="0.4">
      <c r="A81" s="2460"/>
      <c r="B81" s="2460" t="s">
        <v>59</v>
      </c>
      <c r="C81" s="2460"/>
      <c r="D81" s="2460"/>
      <c r="E81" s="2460"/>
      <c r="F81" s="2460"/>
      <c r="G81" s="2460"/>
      <c r="H81" s="2460"/>
      <c r="I81" s="2460"/>
      <c r="J81" s="2460"/>
      <c r="K81" s="2460"/>
      <c r="L81" s="2460"/>
      <c r="M81" s="2460"/>
      <c r="N81" s="2460"/>
      <c r="O81" s="2460"/>
      <c r="P81" s="2460"/>
      <c r="Q81" s="2460"/>
      <c r="R81" s="2460"/>
    </row>
    <row r="82" spans="1:18" ht="0.75" customHeight="1" x14ac:dyDescent="0.4">
      <c r="A82" s="2460"/>
      <c r="B82" s="2460"/>
      <c r="C82" s="2460"/>
      <c r="D82" s="2460"/>
      <c r="E82" s="2460"/>
      <c r="F82" s="2460"/>
      <c r="G82" s="2460"/>
      <c r="H82" s="2460"/>
      <c r="I82" s="2460"/>
      <c r="J82" s="2460"/>
      <c r="K82" s="2460"/>
      <c r="L82" s="2460"/>
      <c r="M82" s="2460"/>
      <c r="N82" s="2460"/>
      <c r="O82" s="2460"/>
      <c r="P82" s="2460"/>
      <c r="Q82" s="2460"/>
      <c r="R82" s="2460"/>
    </row>
    <row r="83" spans="1:18" ht="0.75" customHeight="1" x14ac:dyDescent="0.4">
      <c r="A83" s="2460"/>
      <c r="B83" s="2460"/>
      <c r="C83" s="2460"/>
      <c r="D83" s="2460"/>
      <c r="E83" s="2460"/>
      <c r="F83" s="2460"/>
      <c r="G83" s="2460"/>
      <c r="H83" s="2460"/>
      <c r="I83" s="2460"/>
      <c r="J83" s="2460"/>
      <c r="K83" s="2460"/>
      <c r="L83" s="2460"/>
      <c r="M83" s="2460"/>
      <c r="N83" s="2460"/>
      <c r="O83" s="2460"/>
      <c r="P83" s="2460"/>
      <c r="Q83" s="2460"/>
      <c r="R83" s="2460"/>
    </row>
    <row r="84" spans="1:18" x14ac:dyDescent="0.4">
      <c r="A84" s="2464" t="s">
        <v>60</v>
      </c>
      <c r="B84" s="2464"/>
      <c r="C84" s="2386" t="s">
        <v>61</v>
      </c>
      <c r="D84" s="2465" t="s">
        <v>62</v>
      </c>
      <c r="E84" s="2386" t="s">
        <v>63</v>
      </c>
    </row>
    <row r="85" spans="1:18" x14ac:dyDescent="0.4">
      <c r="A85" s="2402"/>
      <c r="B85" s="2386" t="s">
        <v>64</v>
      </c>
    </row>
    <row r="86" spans="1:18" x14ac:dyDescent="0.4">
      <c r="A86" s="2466"/>
    </row>
    <row r="87" spans="1:18" x14ac:dyDescent="0.4">
      <c r="A87" s="2466"/>
      <c r="B87" s="301"/>
    </row>
    <row r="88" spans="1:18" x14ac:dyDescent="0.4">
      <c r="A88" s="2466"/>
    </row>
    <row r="89" spans="1:18" x14ac:dyDescent="0.4">
      <c r="A89" s="2467"/>
      <c r="B89" s="2468"/>
      <c r="C89" s="2468"/>
    </row>
    <row r="90" spans="1:18" x14ac:dyDescent="0.4">
      <c r="A90" s="2402"/>
    </row>
    <row r="96" spans="1:18" x14ac:dyDescent="0.4">
      <c r="A96" s="2402"/>
    </row>
  </sheetData>
  <mergeCells count="3">
    <mergeCell ref="A1:M1"/>
    <mergeCell ref="A8:E8"/>
    <mergeCell ref="A63:E63"/>
  </mergeCells>
  <phoneticPr fontId="4"/>
  <hyperlinks>
    <hyperlink ref="B70" r:id="rId1" xr:uid="{1B8088BB-C941-4755-9C16-0E297BE8EF19}"/>
    <hyperlink ref="B32" r:id="rId2" location="temp:C:JYYb6591c2df49e4c61921deb036" xr:uid="{77C71269-0D03-4A31-9D1F-31FAEE5C4DCE}"/>
    <hyperlink ref="N32" r:id="rId3" xr:uid="{15F4C2F6-ED25-43E7-938B-AF4488D724BF}"/>
    <hyperlink ref="B42" r:id="rId4" location="HListofProjects" xr:uid="{064B9D09-24C7-4CB7-9E6C-239D4FABFCBB}"/>
  </hyperlinks>
  <pageMargins left="0.7" right="0.7" top="0.75" bottom="0.75" header="0.3" footer="0.3"/>
  <pageSetup paperSize="9" orientation="portrait" horizontalDpi="90" verticalDpi="90" r:id="rId5"/>
  <drawing r:id="rId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2AA025-950B-48A4-8FD8-9D10337B7315}">
  <sheetPr>
    <tabColor rgb="FFFFFF00"/>
  </sheetPr>
  <dimension ref="A1:CA552"/>
  <sheetViews>
    <sheetView topLeftCell="A2" zoomScale="55" zoomScaleNormal="55" workbookViewId="0">
      <pane xSplit="3" ySplit="34" topLeftCell="D246" activePane="bottomRight" state="frozen"/>
      <selection pane="topRight" activeCell="AL347" sqref="AL347"/>
      <selection pane="bottomLeft" activeCell="AL347" sqref="AL347"/>
      <selection pane="bottomRight" activeCell="BJ12" sqref="BJ12:BJ18"/>
    </sheetView>
  </sheetViews>
  <sheetFormatPr defaultRowHeight="18.75" x14ac:dyDescent="0.4"/>
  <cols>
    <col min="1" max="1" width="1.125" customWidth="1"/>
    <col min="2" max="2" width="0.625" customWidth="1"/>
    <col min="3" max="3" width="8.125" customWidth="1"/>
    <col min="4" max="4" width="6.625" customWidth="1"/>
    <col min="5" max="5" width="71.625" customWidth="1"/>
    <col min="6" max="6" width="6.125" customWidth="1"/>
    <col min="7" max="7" width="6.625" customWidth="1"/>
    <col min="8" max="8" width="71.625" customWidth="1"/>
    <col min="9" max="9" width="6.125" customWidth="1"/>
    <col min="10" max="10" width="9" customWidth="1"/>
    <col min="11" max="11" width="71.625" customWidth="1"/>
    <col min="12" max="12" width="6.125" customWidth="1"/>
    <col min="13" max="13" width="9" customWidth="1"/>
    <col min="14" max="14" width="71.625" customWidth="1"/>
    <col min="15" max="15" width="6.125" customWidth="1"/>
    <col min="16" max="16" width="6.625" customWidth="1"/>
    <col min="17" max="17" width="71.625" customWidth="1"/>
    <col min="18" max="18" width="6.125" customWidth="1"/>
    <col min="19" max="19" width="9" customWidth="1"/>
    <col min="20" max="20" width="71.625" customWidth="1"/>
    <col min="21" max="21" width="6.125" customWidth="1"/>
    <col min="22" max="22" width="9.625" customWidth="1"/>
    <col min="23" max="23" width="71.625" customWidth="1"/>
    <col min="24" max="24" width="6.125" customWidth="1"/>
    <col min="25" max="25" width="9" hidden="1" customWidth="1"/>
    <col min="26" max="26" width="71.625" hidden="1" customWidth="1"/>
    <col min="27" max="27" width="6.125" hidden="1" customWidth="1"/>
    <col min="28" max="30" width="0" hidden="1" customWidth="1"/>
    <col min="31" max="31" width="6.625" customWidth="1"/>
    <col min="32" max="32" width="64.625" customWidth="1"/>
    <col min="33" max="33" width="6.125" customWidth="1"/>
    <col min="34" max="34" width="6.625" customWidth="1"/>
    <col min="35" max="35" width="64.625" customWidth="1"/>
    <col min="36" max="36" width="6.125" customWidth="1"/>
    <col min="37" max="37" width="6.625" customWidth="1"/>
    <col min="38" max="38" width="64.625" customWidth="1"/>
    <col min="39" max="39" width="6.125" customWidth="1"/>
    <col min="40" max="40" width="6.625" customWidth="1"/>
    <col min="41" max="41" width="64.625" customWidth="1"/>
    <col min="42" max="42" width="6.125" customWidth="1"/>
    <col min="43" max="43" width="6.625" customWidth="1"/>
    <col min="44" max="44" width="64.625" customWidth="1"/>
    <col min="45" max="45" width="6.125" customWidth="1"/>
    <col min="46" max="46" width="6.625" customWidth="1"/>
    <col min="47" max="47" width="64.625" customWidth="1"/>
    <col min="48" max="48" width="6.125" customWidth="1"/>
    <col min="49" max="49" width="6.625" customWidth="1"/>
    <col min="50" max="50" width="64.625" customWidth="1"/>
    <col min="51" max="51" width="6.125" customWidth="1"/>
    <col min="52" max="52" width="6.625" customWidth="1"/>
    <col min="53" max="53" width="64.625" customWidth="1"/>
    <col min="54" max="54" width="6.125" customWidth="1"/>
    <col min="55" max="55" width="6.625" customWidth="1"/>
    <col min="56" max="56" width="64.625" customWidth="1"/>
    <col min="57" max="57" width="6.125" customWidth="1"/>
    <col min="58" max="58" width="6.625" customWidth="1"/>
    <col min="59" max="59" width="64.625" customWidth="1"/>
    <col min="60" max="60" width="6.125" customWidth="1"/>
    <col min="61" max="61" width="6.625" customWidth="1"/>
    <col min="62" max="62" width="64.625" customWidth="1"/>
    <col min="63" max="63" width="6.125" customWidth="1"/>
    <col min="64" max="64" width="7.625" customWidth="1"/>
    <col min="65" max="65" width="65.625" customWidth="1"/>
    <col min="66" max="66" width="6.625" customWidth="1"/>
    <col min="67" max="67" width="7.625" hidden="1" customWidth="1"/>
    <col min="68" max="68" width="65.625" hidden="1" customWidth="1"/>
    <col min="69" max="69" width="6.625" hidden="1" customWidth="1"/>
    <col min="70" max="70" width="7.625" hidden="1" customWidth="1"/>
    <col min="71" max="71" width="7.625" customWidth="1"/>
    <col min="72" max="72" width="57.625" customWidth="1"/>
    <col min="73" max="73" width="6.625" customWidth="1"/>
    <col min="74" max="74" width="7.625" customWidth="1"/>
    <col min="75" max="75" width="57.625" customWidth="1"/>
    <col min="76" max="76" width="6.625" customWidth="1"/>
    <col min="77" max="77" width="7.625" hidden="1" customWidth="1"/>
    <col min="78" max="78" width="57.625" hidden="1" customWidth="1"/>
    <col min="79" max="79" width="6.625" hidden="1" customWidth="1"/>
    <col min="80" max="82" width="0" hidden="1" customWidth="1"/>
  </cols>
  <sheetData>
    <row r="1" spans="1:79" ht="18" hidden="1" customHeight="1" x14ac:dyDescent="0.4">
      <c r="A1" s="1"/>
      <c r="B1" s="1"/>
      <c r="C1" s="1"/>
      <c r="D1" s="2"/>
      <c r="E1" s="2"/>
      <c r="F1" s="2"/>
      <c r="G1" s="2"/>
      <c r="H1" s="2"/>
      <c r="I1" s="3"/>
      <c r="J1" s="2"/>
      <c r="K1" s="2"/>
      <c r="L1" s="3"/>
      <c r="M1" s="4"/>
      <c r="N1" s="4"/>
      <c r="O1" s="6"/>
      <c r="P1" s="2"/>
      <c r="Q1" s="2"/>
      <c r="R1" s="3"/>
      <c r="S1" s="2"/>
      <c r="T1" s="4"/>
      <c r="U1" s="5"/>
      <c r="V1" s="2"/>
      <c r="W1" s="2"/>
      <c r="X1" s="4"/>
      <c r="Y1" s="4"/>
      <c r="Z1" s="4"/>
      <c r="AA1" s="6"/>
      <c r="AB1" s="7"/>
      <c r="AC1" s="7"/>
      <c r="AD1" s="7"/>
      <c r="AE1" s="2"/>
      <c r="AF1" s="8"/>
      <c r="AG1" s="4"/>
      <c r="AH1" s="7"/>
      <c r="AI1" s="9"/>
      <c r="AJ1" s="4"/>
      <c r="AK1" s="1"/>
      <c r="AL1" s="1"/>
      <c r="AM1" s="4"/>
      <c r="AN1" s="1"/>
      <c r="AO1" s="1"/>
      <c r="AP1" s="4"/>
      <c r="AQ1" s="1"/>
      <c r="AR1" s="1"/>
      <c r="AS1" s="4"/>
      <c r="AT1" s="1"/>
      <c r="AU1" s="1"/>
      <c r="AV1" s="4"/>
      <c r="AW1" s="1"/>
      <c r="AX1" s="1"/>
      <c r="AY1" s="4"/>
      <c r="AZ1" s="10"/>
      <c r="BA1" s="10"/>
      <c r="BB1" s="10"/>
      <c r="BC1" s="10"/>
      <c r="BD1" s="10"/>
      <c r="BE1" s="10"/>
      <c r="BF1" s="1"/>
      <c r="BG1" s="1"/>
      <c r="BH1" s="4"/>
      <c r="BI1" s="1"/>
      <c r="BJ1" s="1"/>
      <c r="BK1" s="4"/>
      <c r="BL1" s="12"/>
      <c r="BM1" s="12"/>
      <c r="BN1" s="12"/>
      <c r="BO1" s="11" t="e">
        <f>#REF!/(7.5*60)</f>
        <v>#REF!</v>
      </c>
      <c r="BP1" s="10"/>
      <c r="BQ1" s="10"/>
      <c r="BR1" s="10"/>
      <c r="BS1" s="12"/>
      <c r="BT1" s="12"/>
      <c r="BU1" s="12"/>
      <c r="BV1" s="12"/>
      <c r="BW1" s="12"/>
      <c r="BX1" s="12"/>
      <c r="BY1" s="10"/>
      <c r="BZ1" s="10"/>
      <c r="CA1" s="10"/>
    </row>
    <row r="2" spans="1:79" ht="28.35" customHeight="1" x14ac:dyDescent="0.4">
      <c r="A2" s="2835" t="s">
        <v>65</v>
      </c>
      <c r="B2" s="2836"/>
      <c r="C2" s="2837"/>
      <c r="D2" s="13"/>
      <c r="E2" s="14" t="s">
        <v>66</v>
      </c>
      <c r="F2" s="14"/>
      <c r="G2" s="15"/>
      <c r="H2" s="16" t="s">
        <v>67</v>
      </c>
      <c r="I2" s="17"/>
      <c r="J2" s="18"/>
      <c r="K2" s="19" t="s">
        <v>68</v>
      </c>
      <c r="L2" s="20"/>
      <c r="M2" s="30"/>
      <c r="N2" s="31" t="s">
        <v>69</v>
      </c>
      <c r="O2" s="30"/>
      <c r="P2" s="21"/>
      <c r="Q2" s="22" t="s">
        <v>70</v>
      </c>
      <c r="R2" s="23"/>
      <c r="S2" s="24"/>
      <c r="T2" s="25" t="s">
        <v>71</v>
      </c>
      <c r="U2" s="26"/>
      <c r="V2" s="27"/>
      <c r="W2" s="28" t="s">
        <v>72</v>
      </c>
      <c r="X2" s="29"/>
      <c r="Y2" s="30"/>
      <c r="Z2" s="31" t="s">
        <v>73</v>
      </c>
      <c r="AA2" s="30"/>
      <c r="AB2" s="32"/>
      <c r="AC2" s="33" t="s">
        <v>74</v>
      </c>
      <c r="AD2" s="32"/>
      <c r="AE2" s="34"/>
      <c r="AF2" s="35" t="s">
        <v>75</v>
      </c>
      <c r="AG2" s="26"/>
      <c r="AH2" s="36"/>
      <c r="AI2" s="37" t="s">
        <v>76</v>
      </c>
      <c r="AJ2" s="38"/>
      <c r="AK2" s="39"/>
      <c r="AL2" s="40" t="s">
        <v>77</v>
      </c>
      <c r="AM2" s="41"/>
      <c r="AN2" s="42"/>
      <c r="AO2" s="43" t="s">
        <v>78</v>
      </c>
      <c r="AP2" s="44"/>
      <c r="AQ2" s="45"/>
      <c r="AR2" s="46" t="s">
        <v>79</v>
      </c>
      <c r="AS2" s="47"/>
      <c r="AT2" s="48"/>
      <c r="AU2" s="49" t="s">
        <v>80</v>
      </c>
      <c r="AV2" s="50"/>
      <c r="AW2" s="51"/>
      <c r="AX2" s="52" t="s">
        <v>81</v>
      </c>
      <c r="AY2" s="29"/>
      <c r="AZ2" s="53"/>
      <c r="BA2" s="54" t="s">
        <v>82</v>
      </c>
      <c r="BB2" s="55"/>
      <c r="BC2" s="56"/>
      <c r="BD2" s="57" t="s">
        <v>83</v>
      </c>
      <c r="BE2" s="32"/>
      <c r="BF2" s="58"/>
      <c r="BG2" s="59" t="s">
        <v>84</v>
      </c>
      <c r="BH2" s="58"/>
      <c r="BI2" s="60"/>
      <c r="BJ2" s="61" t="s">
        <v>85</v>
      </c>
      <c r="BK2" s="60"/>
      <c r="BL2" s="69"/>
      <c r="BM2" s="70" t="s">
        <v>86</v>
      </c>
      <c r="BN2" s="71"/>
      <c r="BO2" s="65" t="s">
        <v>87</v>
      </c>
      <c r="BP2" s="66"/>
      <c r="BQ2" s="67" t="s">
        <v>88</v>
      </c>
      <c r="BR2" s="68"/>
      <c r="BS2" s="66"/>
      <c r="BT2" s="67" t="s">
        <v>89</v>
      </c>
      <c r="BU2" s="68"/>
      <c r="BV2" s="72"/>
      <c r="BW2" s="73" t="s">
        <v>90</v>
      </c>
      <c r="BX2" s="74"/>
      <c r="BY2" s="66"/>
      <c r="BZ2" s="67" t="s">
        <v>89</v>
      </c>
      <c r="CA2" s="68"/>
    </row>
    <row r="3" spans="1:79" ht="16.350000000000001" customHeight="1" x14ac:dyDescent="0.4">
      <c r="A3" s="2836"/>
      <c r="B3" s="2836"/>
      <c r="C3" s="2837"/>
      <c r="D3" s="75"/>
      <c r="E3" s="76" t="s">
        <v>91</v>
      </c>
      <c r="F3" s="77"/>
      <c r="G3" s="78"/>
      <c r="H3" s="79" t="s">
        <v>92</v>
      </c>
      <c r="I3" s="80"/>
      <c r="J3" s="81"/>
      <c r="K3" s="82" t="s">
        <v>93</v>
      </c>
      <c r="L3" s="83"/>
      <c r="M3" s="93" t="s">
        <v>94</v>
      </c>
      <c r="N3" s="94" t="s">
        <v>91</v>
      </c>
      <c r="O3" s="93"/>
      <c r="P3" s="84"/>
      <c r="Q3" s="85" t="s">
        <v>93</v>
      </c>
      <c r="R3" s="86"/>
      <c r="S3" s="87" t="s">
        <v>94</v>
      </c>
      <c r="T3" s="88" t="s">
        <v>93</v>
      </c>
      <c r="U3" s="89"/>
      <c r="V3" s="90" t="s">
        <v>94</v>
      </c>
      <c r="W3" s="91" t="s">
        <v>91</v>
      </c>
      <c r="X3" s="92"/>
      <c r="Y3" s="93" t="s">
        <v>94</v>
      </c>
      <c r="Z3" s="94" t="s">
        <v>91</v>
      </c>
      <c r="AA3" s="93"/>
      <c r="AB3" s="95" t="s">
        <v>94</v>
      </c>
      <c r="AC3" s="96" t="s">
        <v>95</v>
      </c>
      <c r="AD3" s="95"/>
      <c r="AE3" s="97" t="s">
        <v>94</v>
      </c>
      <c r="AF3" s="98" t="s">
        <v>96</v>
      </c>
      <c r="AG3" s="99"/>
      <c r="AH3" s="100" t="s">
        <v>94</v>
      </c>
      <c r="AI3" s="101" t="s">
        <v>97</v>
      </c>
      <c r="AJ3" s="102"/>
      <c r="AK3" s="103" t="s">
        <v>94</v>
      </c>
      <c r="AL3" s="104" t="s">
        <v>98</v>
      </c>
      <c r="AM3" s="105"/>
      <c r="AN3" s="106" t="s">
        <v>94</v>
      </c>
      <c r="AO3" s="107" t="s">
        <v>98</v>
      </c>
      <c r="AP3" s="108"/>
      <c r="AQ3" s="109" t="s">
        <v>94</v>
      </c>
      <c r="AR3" s="110" t="s">
        <v>99</v>
      </c>
      <c r="AS3" s="111"/>
      <c r="AT3" s="112" t="s">
        <v>94</v>
      </c>
      <c r="AU3" s="113" t="s">
        <v>99</v>
      </c>
      <c r="AV3" s="114"/>
      <c r="AW3" s="115" t="s">
        <v>94</v>
      </c>
      <c r="AX3" s="116" t="s">
        <v>100</v>
      </c>
      <c r="AY3" s="92"/>
      <c r="AZ3" s="117" t="s">
        <v>94</v>
      </c>
      <c r="BA3" s="118" t="s">
        <v>100</v>
      </c>
      <c r="BB3" s="119"/>
      <c r="BC3" s="120" t="s">
        <v>94</v>
      </c>
      <c r="BD3" s="121" t="s">
        <v>101</v>
      </c>
      <c r="BE3" s="95"/>
      <c r="BF3" s="122" t="s">
        <v>94</v>
      </c>
      <c r="BG3" s="123" t="s">
        <v>101</v>
      </c>
      <c r="BH3" s="122"/>
      <c r="BI3" s="124"/>
      <c r="BJ3" s="125"/>
      <c r="BK3" s="124"/>
      <c r="BL3" s="133" t="s">
        <v>102</v>
      </c>
      <c r="BM3" s="134" t="s">
        <v>91</v>
      </c>
      <c r="BN3" s="135"/>
      <c r="BO3" s="129"/>
      <c r="BP3" s="130" t="s">
        <v>102</v>
      </c>
      <c r="BQ3" s="131" t="s">
        <v>95</v>
      </c>
      <c r="BR3" s="132"/>
      <c r="BS3" s="130" t="s">
        <v>102</v>
      </c>
      <c r="BT3" s="136" t="s">
        <v>103</v>
      </c>
      <c r="BU3" s="132"/>
      <c r="BV3" s="137" t="s">
        <v>102</v>
      </c>
      <c r="BW3" s="138" t="s">
        <v>93</v>
      </c>
      <c r="BX3" s="139"/>
      <c r="BY3" s="130" t="s">
        <v>102</v>
      </c>
      <c r="BZ3" s="131" t="s">
        <v>95</v>
      </c>
      <c r="CA3" s="132"/>
    </row>
    <row r="4" spans="1:79" ht="18" customHeight="1" x14ac:dyDescent="0.4">
      <c r="A4" s="2836"/>
      <c r="B4" s="2836"/>
      <c r="C4" s="2837"/>
      <c r="D4" s="140"/>
      <c r="E4" s="76"/>
      <c r="F4" s="76"/>
      <c r="G4" s="141"/>
      <c r="H4" s="79"/>
      <c r="I4" s="80"/>
      <c r="J4" s="142"/>
      <c r="K4" s="82"/>
      <c r="L4" s="83"/>
      <c r="M4" s="148"/>
      <c r="N4" s="94"/>
      <c r="O4" s="148"/>
      <c r="P4" s="143"/>
      <c r="Q4" s="85"/>
      <c r="R4" s="86"/>
      <c r="S4" s="144"/>
      <c r="T4" s="88"/>
      <c r="U4" s="145"/>
      <c r="V4" s="146"/>
      <c r="W4" s="91">
        <v>1</v>
      </c>
      <c r="X4" s="147"/>
      <c r="Y4" s="148"/>
      <c r="Z4" s="94">
        <v>2</v>
      </c>
      <c r="AA4" s="148"/>
      <c r="AB4" s="149"/>
      <c r="AC4" s="150"/>
      <c r="AD4" s="149"/>
      <c r="AE4" s="151"/>
      <c r="AF4" s="152" t="s">
        <v>104</v>
      </c>
      <c r="AG4" s="153"/>
      <c r="AH4" s="101"/>
      <c r="AI4" s="154" t="s">
        <v>105</v>
      </c>
      <c r="AJ4" s="155"/>
      <c r="AK4" s="156"/>
      <c r="AL4" s="156">
        <v>2</v>
      </c>
      <c r="AM4" s="157"/>
      <c r="AN4" s="158"/>
      <c r="AO4" s="159">
        <v>3</v>
      </c>
      <c r="AP4" s="160"/>
      <c r="AQ4" s="161"/>
      <c r="AR4" s="162">
        <v>6</v>
      </c>
      <c r="AS4" s="163"/>
      <c r="AT4" s="164"/>
      <c r="AU4" s="165">
        <v>7</v>
      </c>
      <c r="AV4" s="166"/>
      <c r="AW4" s="167"/>
      <c r="AX4" s="168">
        <v>5</v>
      </c>
      <c r="AY4" s="147"/>
      <c r="AZ4" s="169"/>
      <c r="BA4" s="170">
        <v>4</v>
      </c>
      <c r="BB4" s="171"/>
      <c r="BC4" s="172"/>
      <c r="BD4" s="2577">
        <v>8</v>
      </c>
      <c r="BE4" s="149"/>
      <c r="BF4" s="173"/>
      <c r="BG4" s="123">
        <v>9</v>
      </c>
      <c r="BH4" s="173"/>
      <c r="BI4" s="174"/>
      <c r="BJ4" s="175" t="s">
        <v>106</v>
      </c>
      <c r="BK4" s="174"/>
      <c r="BL4" s="133"/>
      <c r="BM4" s="182"/>
      <c r="BN4" s="135"/>
      <c r="BO4" s="179"/>
      <c r="BP4" s="180"/>
      <c r="BQ4" s="136"/>
      <c r="BR4" s="181"/>
      <c r="BS4" s="130"/>
      <c r="BT4" s="183"/>
      <c r="BU4" s="132"/>
      <c r="BV4" s="137"/>
      <c r="BW4" s="184"/>
      <c r="BX4" s="139"/>
      <c r="BY4" s="180"/>
      <c r="BZ4" s="136"/>
      <c r="CA4" s="181"/>
    </row>
    <row r="5" spans="1:79" ht="23.85" customHeight="1" x14ac:dyDescent="0.3">
      <c r="A5" s="2836"/>
      <c r="B5" s="2836"/>
      <c r="C5" s="2837"/>
      <c r="D5" s="185"/>
      <c r="E5" s="186"/>
      <c r="F5" s="186"/>
      <c r="G5" s="187"/>
      <c r="H5" s="188"/>
      <c r="I5" s="189"/>
      <c r="J5" s="190"/>
      <c r="K5" s="191" t="s">
        <v>107</v>
      </c>
      <c r="L5" s="192"/>
      <c r="M5" s="202"/>
      <c r="N5" s="203" t="s">
        <v>108</v>
      </c>
      <c r="O5" s="202"/>
      <c r="P5" s="193"/>
      <c r="Q5" s="194"/>
      <c r="R5" s="195"/>
      <c r="S5" s="196"/>
      <c r="T5" s="197"/>
      <c r="U5" s="198"/>
      <c r="V5" s="199"/>
      <c r="W5" s="200"/>
      <c r="X5" s="201"/>
      <c r="Y5" s="202"/>
      <c r="Z5" s="203" t="s">
        <v>109</v>
      </c>
      <c r="AA5" s="202"/>
      <c r="AB5" s="204"/>
      <c r="AC5" s="204"/>
      <c r="AD5" s="204"/>
      <c r="AE5" s="205"/>
      <c r="AF5" s="206" t="s">
        <v>110</v>
      </c>
      <c r="AG5" s="207"/>
      <c r="AH5" s="208"/>
      <c r="AI5" s="209" t="s">
        <v>111</v>
      </c>
      <c r="AJ5" s="210"/>
      <c r="AK5" s="211"/>
      <c r="AL5" s="212"/>
      <c r="AM5" s="213"/>
      <c r="AN5" s="214"/>
      <c r="AO5" s="214"/>
      <c r="AP5" s="215"/>
      <c r="AQ5" s="216"/>
      <c r="AR5" s="217"/>
      <c r="AS5" s="217"/>
      <c r="AT5" s="218"/>
      <c r="AU5" s="219"/>
      <c r="AV5" s="220"/>
      <c r="AW5" s="221"/>
      <c r="AX5" s="222"/>
      <c r="AY5" s="223"/>
      <c r="AZ5" s="224"/>
      <c r="BA5" s="225"/>
      <c r="BB5" s="226"/>
      <c r="BC5" s="227"/>
      <c r="BD5" s="228" t="s">
        <v>112</v>
      </c>
      <c r="BE5" s="229"/>
      <c r="BF5" s="230"/>
      <c r="BG5" s="123" t="s">
        <v>112</v>
      </c>
      <c r="BH5" s="231"/>
      <c r="BI5" s="232"/>
      <c r="BJ5" s="233"/>
      <c r="BK5" s="234"/>
      <c r="BL5" s="242"/>
      <c r="BM5" s="243"/>
      <c r="BN5" s="244"/>
      <c r="BO5" s="238"/>
      <c r="BP5" s="239"/>
      <c r="BQ5" s="240"/>
      <c r="BR5" s="241"/>
      <c r="BS5" s="239"/>
      <c r="BT5" s="245"/>
      <c r="BU5" s="241"/>
      <c r="BV5" s="246"/>
      <c r="BW5" s="247" t="s">
        <v>107</v>
      </c>
      <c r="BX5" s="248"/>
      <c r="BY5" s="239"/>
      <c r="BZ5" s="240"/>
      <c r="CA5" s="241"/>
    </row>
    <row r="6" spans="1:79" ht="15" customHeight="1" x14ac:dyDescent="0.4">
      <c r="A6" s="249"/>
      <c r="B6" s="249"/>
      <c r="C6" s="250" t="s">
        <v>113</v>
      </c>
      <c r="D6" s="251"/>
      <c r="E6" s="252"/>
      <c r="F6" s="253"/>
      <c r="G6" s="254"/>
      <c r="H6" s="255"/>
      <c r="I6" s="256"/>
      <c r="J6" s="257"/>
      <c r="K6" s="258"/>
      <c r="L6" s="259"/>
      <c r="M6" s="268"/>
      <c r="N6" s="2771"/>
      <c r="O6" s="270"/>
      <c r="P6" s="260"/>
      <c r="Q6" s="2710" t="s">
        <v>114</v>
      </c>
      <c r="R6" s="261"/>
      <c r="S6" s="262"/>
      <c r="T6" s="263" t="s">
        <v>115</v>
      </c>
      <c r="U6" s="264"/>
      <c r="V6" s="265"/>
      <c r="W6" s="266" t="s">
        <v>116</v>
      </c>
      <c r="X6" s="267"/>
      <c r="Y6" s="268"/>
      <c r="Z6" s="269" t="s">
        <v>115</v>
      </c>
      <c r="AA6" s="270"/>
      <c r="AB6" s="271"/>
      <c r="AC6" s="149"/>
      <c r="AD6" s="271"/>
      <c r="AE6" s="272"/>
      <c r="AF6" s="272"/>
      <c r="AG6" s="89"/>
      <c r="AH6" s="273"/>
      <c r="AI6" s="273"/>
      <c r="AJ6" s="274"/>
      <c r="AK6" s="275"/>
      <c r="AL6" s="276" t="s">
        <v>117</v>
      </c>
      <c r="AM6" s="277"/>
      <c r="AN6" s="278"/>
      <c r="AO6" s="279" t="s">
        <v>117</v>
      </c>
      <c r="AP6" s="280"/>
      <c r="AQ6" s="281"/>
      <c r="AR6" s="282" t="s">
        <v>117</v>
      </c>
      <c r="AS6" s="283"/>
      <c r="AT6" s="284"/>
      <c r="AU6" s="285" t="s">
        <v>117</v>
      </c>
      <c r="AV6" s="286"/>
      <c r="AW6" s="287"/>
      <c r="AX6" s="288" t="s">
        <v>117</v>
      </c>
      <c r="AY6" s="267"/>
      <c r="AZ6" s="289"/>
      <c r="BA6" s="290" t="s">
        <v>117</v>
      </c>
      <c r="BB6" s="291"/>
      <c r="BC6" s="95" t="s">
        <v>118</v>
      </c>
      <c r="BD6" s="149" t="s">
        <v>119</v>
      </c>
      <c r="BE6" s="271"/>
      <c r="BF6" s="292" t="s">
        <v>118</v>
      </c>
      <c r="BG6" s="293" t="s">
        <v>120</v>
      </c>
      <c r="BH6" s="122"/>
      <c r="BI6" s="124"/>
      <c r="BJ6" s="174" t="s">
        <v>121</v>
      </c>
      <c r="BK6" s="124"/>
      <c r="BL6" s="135"/>
      <c r="BM6" s="298"/>
      <c r="BN6" s="135"/>
      <c r="BO6" s="132"/>
      <c r="BP6" s="132"/>
      <c r="BQ6" s="297"/>
      <c r="BR6" s="132"/>
      <c r="BS6" s="132"/>
      <c r="BT6" s="299"/>
      <c r="BU6" s="132"/>
      <c r="BV6" s="139"/>
      <c r="BW6" s="300"/>
      <c r="BX6" s="139"/>
      <c r="BY6" s="132"/>
      <c r="BZ6" s="297"/>
      <c r="CA6" s="132"/>
    </row>
    <row r="7" spans="1:79" ht="15" customHeight="1" x14ac:dyDescent="0.4">
      <c r="A7" s="249"/>
      <c r="B7" s="249"/>
      <c r="C7" s="301" t="s">
        <v>122</v>
      </c>
      <c r="D7" s="302"/>
      <c r="E7" s="303"/>
      <c r="F7" s="304"/>
      <c r="G7" s="305"/>
      <c r="H7" s="306"/>
      <c r="I7" s="256"/>
      <c r="J7" s="307"/>
      <c r="K7" s="308"/>
      <c r="L7" s="259"/>
      <c r="M7" s="268"/>
      <c r="N7" s="473"/>
      <c r="O7" s="314"/>
      <c r="P7" s="309"/>
      <c r="Q7" s="2713" t="s">
        <v>123</v>
      </c>
      <c r="R7" s="261"/>
      <c r="S7" s="262"/>
      <c r="T7" s="310" t="s">
        <v>124</v>
      </c>
      <c r="U7" s="264"/>
      <c r="V7" s="311"/>
      <c r="W7" s="312" t="s">
        <v>125</v>
      </c>
      <c r="X7" s="267"/>
      <c r="Y7" s="268"/>
      <c r="Z7" s="313" t="s">
        <v>124</v>
      </c>
      <c r="AA7" s="314"/>
      <c r="AB7" s="271"/>
      <c r="AC7" s="149"/>
      <c r="AD7" s="271"/>
      <c r="AE7" s="272"/>
      <c r="AF7" s="315"/>
      <c r="AG7" s="89"/>
      <c r="AH7" s="273"/>
      <c r="AI7" s="316"/>
      <c r="AJ7" s="274"/>
      <c r="AK7" s="317"/>
      <c r="AL7" s="157" t="s">
        <v>126</v>
      </c>
      <c r="AM7" s="105"/>
      <c r="AN7" s="318"/>
      <c r="AO7" s="319" t="s">
        <v>127</v>
      </c>
      <c r="AP7" s="320"/>
      <c r="AQ7" s="321"/>
      <c r="AR7" s="322" t="s">
        <v>128</v>
      </c>
      <c r="AS7" s="283"/>
      <c r="AT7" s="323"/>
      <c r="AU7" s="324" t="s">
        <v>129</v>
      </c>
      <c r="AV7" s="114"/>
      <c r="AW7" s="325"/>
      <c r="AX7" s="326" t="s">
        <v>130</v>
      </c>
      <c r="AY7" s="267"/>
      <c r="AZ7" s="327"/>
      <c r="BA7" s="328" t="s">
        <v>131</v>
      </c>
      <c r="BB7" s="119"/>
      <c r="BC7" s="329" t="s">
        <v>132</v>
      </c>
      <c r="BD7" s="330" t="s">
        <v>133</v>
      </c>
      <c r="BE7" s="95"/>
      <c r="BF7" s="331" t="s">
        <v>132</v>
      </c>
      <c r="BG7" s="332" t="s">
        <v>134</v>
      </c>
      <c r="BH7" s="122"/>
      <c r="BI7" s="333"/>
      <c r="BJ7" s="174" t="s">
        <v>135</v>
      </c>
      <c r="BK7" s="124"/>
      <c r="BL7" s="135"/>
      <c r="BM7" s="135"/>
      <c r="BN7" s="337"/>
      <c r="BO7" s="336"/>
      <c r="BP7" s="132"/>
      <c r="BQ7" s="181"/>
      <c r="BR7" s="336"/>
      <c r="BS7" s="132"/>
      <c r="BT7" s="132"/>
      <c r="BU7" s="336"/>
      <c r="BV7" s="139"/>
      <c r="BW7" s="139"/>
      <c r="BX7" s="338"/>
      <c r="BY7" s="132"/>
      <c r="BZ7" s="181"/>
      <c r="CA7" s="336"/>
    </row>
    <row r="8" spans="1:79" ht="15" customHeight="1" x14ac:dyDescent="0.4">
      <c r="A8" s="249"/>
      <c r="B8" s="249"/>
      <c r="C8" s="301" t="s">
        <v>136</v>
      </c>
      <c r="D8" s="302"/>
      <c r="E8" s="303"/>
      <c r="F8" s="304"/>
      <c r="G8" s="305"/>
      <c r="H8" s="306"/>
      <c r="I8" s="256"/>
      <c r="J8" s="307"/>
      <c r="K8" s="308"/>
      <c r="L8" s="259"/>
      <c r="M8" s="268"/>
      <c r="N8" s="473"/>
      <c r="O8" s="314"/>
      <c r="P8" s="309"/>
      <c r="Q8" s="2713" t="s">
        <v>137</v>
      </c>
      <c r="R8" s="261"/>
      <c r="S8" s="262"/>
      <c r="T8" s="310" t="s">
        <v>138</v>
      </c>
      <c r="U8" s="264"/>
      <c r="V8" s="311"/>
      <c r="W8" s="312" t="s">
        <v>139</v>
      </c>
      <c r="X8" s="267"/>
      <c r="Y8" s="268"/>
      <c r="Z8" s="313" t="s">
        <v>138</v>
      </c>
      <c r="AA8" s="314"/>
      <c r="AB8" s="271"/>
      <c r="AC8" s="149"/>
      <c r="AD8" s="271"/>
      <c r="AE8" s="272"/>
      <c r="AF8" s="315"/>
      <c r="AG8" s="89"/>
      <c r="AH8" s="273"/>
      <c r="AI8" s="339"/>
      <c r="AJ8" s="274"/>
      <c r="AK8" s="317"/>
      <c r="AL8" s="340" t="s">
        <v>140</v>
      </c>
      <c r="AM8" s="105"/>
      <c r="AN8" s="318"/>
      <c r="AO8" s="341" t="s">
        <v>141</v>
      </c>
      <c r="AP8" s="320"/>
      <c r="AQ8" s="321"/>
      <c r="AR8" s="342" t="s">
        <v>142</v>
      </c>
      <c r="AS8" s="283"/>
      <c r="AT8" s="323"/>
      <c r="AU8" s="343" t="s">
        <v>143</v>
      </c>
      <c r="AV8" s="114"/>
      <c r="AW8" s="325"/>
      <c r="AX8" s="326" t="s">
        <v>144</v>
      </c>
      <c r="AY8" s="267"/>
      <c r="AZ8" s="327"/>
      <c r="BA8" s="328" t="s">
        <v>145</v>
      </c>
      <c r="BB8" s="291"/>
      <c r="BC8" s="329"/>
      <c r="BD8" s="344" t="s">
        <v>146</v>
      </c>
      <c r="BE8" s="271"/>
      <c r="BF8" s="331"/>
      <c r="BG8" s="345" t="s">
        <v>147</v>
      </c>
      <c r="BH8" s="122"/>
      <c r="BI8" s="346"/>
      <c r="BJ8" s="405" t="s">
        <v>148</v>
      </c>
      <c r="BK8" s="124"/>
      <c r="BL8" s="135"/>
      <c r="BM8" s="135"/>
      <c r="BN8" s="337"/>
      <c r="BO8" s="336"/>
      <c r="BP8" s="132"/>
      <c r="BQ8" s="181"/>
      <c r="BR8" s="336"/>
      <c r="BS8" s="132"/>
      <c r="BT8" s="132"/>
      <c r="BU8" s="336"/>
      <c r="BV8" s="139"/>
      <c r="BW8" s="139"/>
      <c r="BX8" s="338"/>
      <c r="BY8" s="132"/>
      <c r="BZ8" s="181"/>
      <c r="CA8" s="336"/>
    </row>
    <row r="9" spans="1:79" ht="15" customHeight="1" x14ac:dyDescent="0.4">
      <c r="A9" s="249"/>
      <c r="B9" s="249"/>
      <c r="C9" s="301" t="s">
        <v>149</v>
      </c>
      <c r="D9" s="302"/>
      <c r="E9" s="303"/>
      <c r="F9" s="304"/>
      <c r="G9" s="305"/>
      <c r="H9" s="306"/>
      <c r="I9" s="256"/>
      <c r="J9" s="307"/>
      <c r="K9" s="308"/>
      <c r="L9" s="259"/>
      <c r="M9" s="268"/>
      <c r="N9" s="473"/>
      <c r="O9" s="314"/>
      <c r="P9" s="309"/>
      <c r="Q9" s="2713" t="s">
        <v>150</v>
      </c>
      <c r="R9" s="261"/>
      <c r="S9" s="262"/>
      <c r="T9" s="310" t="s">
        <v>151</v>
      </c>
      <c r="U9" s="264"/>
      <c r="V9" s="311"/>
      <c r="W9" s="312" t="s">
        <v>152</v>
      </c>
      <c r="X9" s="267"/>
      <c r="Y9" s="268"/>
      <c r="Z9" s="313" t="s">
        <v>151</v>
      </c>
      <c r="AA9" s="314"/>
      <c r="AB9" s="271"/>
      <c r="AC9" s="149"/>
      <c r="AD9" s="271"/>
      <c r="AE9" s="272"/>
      <c r="AF9" s="315"/>
      <c r="AG9" s="89"/>
      <c r="AH9" s="273"/>
      <c r="AI9" s="348"/>
      <c r="AJ9" s="274"/>
      <c r="AK9" s="317"/>
      <c r="AL9" s="349" t="s">
        <v>153</v>
      </c>
      <c r="AM9" s="105"/>
      <c r="AN9" s="318"/>
      <c r="AO9" s="350" t="s">
        <v>154</v>
      </c>
      <c r="AP9" s="320"/>
      <c r="AQ9" s="321"/>
      <c r="AR9" s="342" t="s">
        <v>155</v>
      </c>
      <c r="AS9" s="283"/>
      <c r="AT9" s="323"/>
      <c r="AU9" s="343" t="s">
        <v>156</v>
      </c>
      <c r="AV9" s="114"/>
      <c r="AW9" s="351"/>
      <c r="AX9" s="326" t="s">
        <v>157</v>
      </c>
      <c r="AY9" s="267"/>
      <c r="AZ9" s="327"/>
      <c r="BA9" s="328" t="s">
        <v>158</v>
      </c>
      <c r="BB9" s="291"/>
      <c r="BC9" s="95"/>
      <c r="BD9" s="344" t="s">
        <v>159</v>
      </c>
      <c r="BE9" s="271"/>
      <c r="BF9" s="292"/>
      <c r="BG9" s="345" t="s">
        <v>160</v>
      </c>
      <c r="BH9" s="122"/>
      <c r="BI9" s="346"/>
      <c r="BJ9" s="354"/>
      <c r="BK9" s="124"/>
      <c r="BL9" s="135"/>
      <c r="BM9" s="135"/>
      <c r="BN9" s="337"/>
      <c r="BO9" s="336"/>
      <c r="BP9" s="132"/>
      <c r="BQ9" s="181"/>
      <c r="BR9" s="336"/>
      <c r="BS9" s="132"/>
      <c r="BT9" s="132"/>
      <c r="BU9" s="336"/>
      <c r="BV9" s="139"/>
      <c r="BW9" s="139"/>
      <c r="BX9" s="338"/>
      <c r="BY9" s="132"/>
      <c r="BZ9" s="181"/>
      <c r="CA9" s="336"/>
    </row>
    <row r="10" spans="1:79" ht="15" customHeight="1" x14ac:dyDescent="0.4">
      <c r="A10" s="249"/>
      <c r="B10" s="249"/>
      <c r="C10" s="301" t="s">
        <v>161</v>
      </c>
      <c r="D10" s="302"/>
      <c r="E10" s="303"/>
      <c r="F10" s="304"/>
      <c r="G10" s="305"/>
      <c r="H10" s="306"/>
      <c r="I10" s="256"/>
      <c r="J10" s="307"/>
      <c r="K10" s="308"/>
      <c r="L10" s="259"/>
      <c r="M10" s="268"/>
      <c r="N10" s="473"/>
      <c r="O10" s="314"/>
      <c r="P10" s="309"/>
      <c r="Q10" s="2713" t="s">
        <v>162</v>
      </c>
      <c r="R10" s="261"/>
      <c r="S10" s="262"/>
      <c r="T10" s="310" t="s">
        <v>163</v>
      </c>
      <c r="U10" s="264"/>
      <c r="V10" s="311"/>
      <c r="W10" s="312" t="s">
        <v>164</v>
      </c>
      <c r="X10" s="267"/>
      <c r="Y10" s="268"/>
      <c r="Z10" s="313" t="s">
        <v>163</v>
      </c>
      <c r="AA10" s="314"/>
      <c r="AB10" s="271"/>
      <c r="AC10" s="149"/>
      <c r="AD10" s="271"/>
      <c r="AE10" s="272"/>
      <c r="AF10" s="315"/>
      <c r="AG10" s="89"/>
      <c r="AH10" s="355"/>
      <c r="AI10" s="356"/>
      <c r="AJ10" s="274"/>
      <c r="AK10" s="317"/>
      <c r="AL10" s="340" t="s">
        <v>165</v>
      </c>
      <c r="AM10" s="105"/>
      <c r="AN10" s="318"/>
      <c r="AO10" s="341" t="s">
        <v>166</v>
      </c>
      <c r="AP10" s="320"/>
      <c r="AQ10" s="357"/>
      <c r="AR10" s="342" t="s">
        <v>167</v>
      </c>
      <c r="AS10" s="283"/>
      <c r="AT10" s="323"/>
      <c r="AU10" s="343" t="s">
        <v>168</v>
      </c>
      <c r="AV10" s="114"/>
      <c r="AW10" s="351"/>
      <c r="AX10" s="326" t="s">
        <v>169</v>
      </c>
      <c r="AY10" s="358"/>
      <c r="AZ10" s="327"/>
      <c r="BA10" s="328" t="s">
        <v>170</v>
      </c>
      <c r="BB10" s="291"/>
      <c r="BC10" s="329"/>
      <c r="BD10" s="344" t="s">
        <v>171</v>
      </c>
      <c r="BE10" s="271"/>
      <c r="BF10" s="331"/>
      <c r="BG10" s="345" t="s">
        <v>172</v>
      </c>
      <c r="BH10" s="122"/>
      <c r="BI10" s="346"/>
      <c r="BJ10" s="334"/>
      <c r="BK10" s="124"/>
      <c r="BL10" s="360"/>
      <c r="BM10" s="135"/>
      <c r="BN10" s="337"/>
      <c r="BO10" s="336"/>
      <c r="BP10" s="359"/>
      <c r="BQ10" s="181"/>
      <c r="BR10" s="336"/>
      <c r="BS10" s="359"/>
      <c r="BT10" s="132"/>
      <c r="BU10" s="336"/>
      <c r="BV10" s="361"/>
      <c r="BW10" s="139"/>
      <c r="BX10" s="338"/>
      <c r="BY10" s="359"/>
      <c r="BZ10" s="181"/>
      <c r="CA10" s="336"/>
    </row>
    <row r="11" spans="1:79" ht="15" customHeight="1" x14ac:dyDescent="0.4">
      <c r="A11" s="249"/>
      <c r="B11" s="249"/>
      <c r="C11" s="301" t="s">
        <v>173</v>
      </c>
      <c r="D11" s="302"/>
      <c r="E11" s="303"/>
      <c r="F11" s="304"/>
      <c r="G11" s="305"/>
      <c r="H11" s="306"/>
      <c r="I11" s="256"/>
      <c r="J11" s="307"/>
      <c r="K11" s="308"/>
      <c r="L11" s="259"/>
      <c r="M11" s="268"/>
      <c r="N11" s="473"/>
      <c r="O11" s="314"/>
      <c r="P11" s="309"/>
      <c r="Q11" s="2713" t="s">
        <v>174</v>
      </c>
      <c r="R11" s="261"/>
      <c r="S11" s="262"/>
      <c r="T11" s="310" t="s">
        <v>175</v>
      </c>
      <c r="U11" s="264"/>
      <c r="V11" s="311"/>
      <c r="W11" s="312" t="s">
        <v>176</v>
      </c>
      <c r="X11" s="267"/>
      <c r="Y11" s="268"/>
      <c r="Z11" s="313" t="s">
        <v>175</v>
      </c>
      <c r="AA11" s="314"/>
      <c r="AB11" s="271"/>
      <c r="AC11" s="149"/>
      <c r="AD11" s="271"/>
      <c r="AE11" s="362"/>
      <c r="AF11" s="363"/>
      <c r="AG11" s="89"/>
      <c r="AH11" s="355"/>
      <c r="AI11" s="356"/>
      <c r="AJ11" s="274"/>
      <c r="AK11" s="364"/>
      <c r="AL11" s="340" t="s">
        <v>177</v>
      </c>
      <c r="AM11" s="105"/>
      <c r="AN11" s="365"/>
      <c r="AO11" s="341" t="s">
        <v>178</v>
      </c>
      <c r="AP11" s="320"/>
      <c r="AQ11" s="366"/>
      <c r="AR11" s="342" t="s">
        <v>179</v>
      </c>
      <c r="AS11" s="367"/>
      <c r="AT11" s="368"/>
      <c r="AU11" s="343" t="s">
        <v>180</v>
      </c>
      <c r="AV11" s="114"/>
      <c r="AW11" s="369"/>
      <c r="AX11" s="326" t="s">
        <v>181</v>
      </c>
      <c r="AY11" s="358"/>
      <c r="AZ11" s="370"/>
      <c r="BA11" s="328" t="s">
        <v>182</v>
      </c>
      <c r="BB11" s="291"/>
      <c r="BC11" s="329"/>
      <c r="BD11" s="344" t="s">
        <v>183</v>
      </c>
      <c r="BE11" s="271"/>
      <c r="BF11" s="331"/>
      <c r="BG11" s="345" t="s">
        <v>184</v>
      </c>
      <c r="BH11" s="122"/>
      <c r="BI11" s="371"/>
      <c r="BJ11" s="334"/>
      <c r="BK11" s="124"/>
      <c r="BL11" s="360"/>
      <c r="BM11" s="374"/>
      <c r="BN11" s="337"/>
      <c r="BO11" s="336"/>
      <c r="BP11" s="359"/>
      <c r="BQ11" s="373"/>
      <c r="BR11" s="336"/>
      <c r="BS11" s="359"/>
      <c r="BT11" s="375"/>
      <c r="BU11" s="336"/>
      <c r="BV11" s="361"/>
      <c r="BW11" s="376"/>
      <c r="BX11" s="338"/>
      <c r="BY11" s="359"/>
      <c r="BZ11" s="373"/>
      <c r="CA11" s="336"/>
    </row>
    <row r="12" spans="1:79" ht="15" customHeight="1" x14ac:dyDescent="0.4">
      <c r="A12" s="249"/>
      <c r="B12" s="249"/>
      <c r="C12" s="301" t="s">
        <v>185</v>
      </c>
      <c r="D12" s="302"/>
      <c r="E12" s="303"/>
      <c r="F12" s="304"/>
      <c r="G12" s="305"/>
      <c r="H12" s="306"/>
      <c r="I12" s="256"/>
      <c r="J12" s="307"/>
      <c r="K12" s="308"/>
      <c r="L12" s="259"/>
      <c r="M12" s="268"/>
      <c r="N12" s="473"/>
      <c r="O12" s="377"/>
      <c r="P12" s="309"/>
      <c r="Q12" s="2715" t="s">
        <v>186</v>
      </c>
      <c r="R12" s="261"/>
      <c r="S12" s="262"/>
      <c r="T12" s="310" t="s">
        <v>187</v>
      </c>
      <c r="U12" s="264"/>
      <c r="V12" s="311"/>
      <c r="W12" s="312" t="s">
        <v>188</v>
      </c>
      <c r="X12" s="267"/>
      <c r="Y12" s="268"/>
      <c r="Z12" s="313" t="s">
        <v>187</v>
      </c>
      <c r="AA12" s="377"/>
      <c r="AB12" s="271"/>
      <c r="AC12" s="149"/>
      <c r="AD12" s="271"/>
      <c r="AE12" s="378"/>
      <c r="AF12" s="363"/>
      <c r="AG12" s="89"/>
      <c r="AH12" s="355"/>
      <c r="AI12" s="316"/>
      <c r="AJ12" s="274"/>
      <c r="AK12" s="364"/>
      <c r="AL12" s="340" t="s">
        <v>189</v>
      </c>
      <c r="AM12" s="105"/>
      <c r="AN12" s="365"/>
      <c r="AO12" s="341" t="s">
        <v>190</v>
      </c>
      <c r="AP12" s="320"/>
      <c r="AQ12" s="366"/>
      <c r="AR12" s="342" t="s">
        <v>191</v>
      </c>
      <c r="AS12" s="367"/>
      <c r="AT12" s="368"/>
      <c r="AU12" s="343" t="s">
        <v>115</v>
      </c>
      <c r="AV12" s="114"/>
      <c r="AW12" s="369"/>
      <c r="AX12" s="326" t="s">
        <v>192</v>
      </c>
      <c r="AY12" s="358"/>
      <c r="AZ12" s="379"/>
      <c r="BA12" s="328" t="s">
        <v>193</v>
      </c>
      <c r="BB12" s="380"/>
      <c r="BC12" s="329"/>
      <c r="BD12" s="344" t="s">
        <v>194</v>
      </c>
      <c r="BE12" s="381"/>
      <c r="BF12" s="331"/>
      <c r="BG12" s="345" t="s">
        <v>195</v>
      </c>
      <c r="BH12" s="122"/>
      <c r="BI12" s="371"/>
      <c r="BJ12" s="2826"/>
      <c r="BK12" s="124"/>
      <c r="BL12" s="386"/>
      <c r="BM12" s="360"/>
      <c r="BN12" s="337"/>
      <c r="BO12" s="336"/>
      <c r="BP12" s="384"/>
      <c r="BQ12" s="385"/>
      <c r="BR12" s="336"/>
      <c r="BS12" s="387"/>
      <c r="BT12" s="359"/>
      <c r="BU12" s="336"/>
      <c r="BV12" s="388"/>
      <c r="BW12" s="361"/>
      <c r="BX12" s="338"/>
      <c r="BY12" s="384"/>
      <c r="BZ12" s="385"/>
      <c r="CA12" s="336"/>
    </row>
    <row r="13" spans="1:79" ht="15" customHeight="1" x14ac:dyDescent="0.4">
      <c r="A13" s="249"/>
      <c r="B13" s="249"/>
      <c r="C13" s="301" t="s">
        <v>196</v>
      </c>
      <c r="D13" s="302"/>
      <c r="E13" s="303"/>
      <c r="F13" s="389"/>
      <c r="G13" s="305"/>
      <c r="H13" s="306"/>
      <c r="I13" s="256"/>
      <c r="J13" s="307"/>
      <c r="K13" s="390"/>
      <c r="L13" s="259"/>
      <c r="M13" s="268"/>
      <c r="N13" s="473"/>
      <c r="O13" s="314"/>
      <c r="P13" s="309"/>
      <c r="Q13" s="2713" t="s">
        <v>197</v>
      </c>
      <c r="R13" s="261"/>
      <c r="S13" s="262"/>
      <c r="T13" s="310" t="s">
        <v>198</v>
      </c>
      <c r="U13" s="264"/>
      <c r="V13" s="311"/>
      <c r="W13" s="312" t="s">
        <v>199</v>
      </c>
      <c r="X13" s="267"/>
      <c r="Y13" s="268"/>
      <c r="Z13" s="313" t="s">
        <v>198</v>
      </c>
      <c r="AA13" s="314"/>
      <c r="AB13" s="271"/>
      <c r="AC13" s="149"/>
      <c r="AD13" s="271"/>
      <c r="AE13" s="378"/>
      <c r="AF13" s="363"/>
      <c r="AG13" s="89"/>
      <c r="AH13" s="355"/>
      <c r="AI13" s="348"/>
      <c r="AJ13" s="274"/>
      <c r="AK13" s="364"/>
      <c r="AL13" s="340" t="s">
        <v>200</v>
      </c>
      <c r="AM13" s="105"/>
      <c r="AN13" s="318"/>
      <c r="AO13" s="341" t="s">
        <v>201</v>
      </c>
      <c r="AP13" s="320"/>
      <c r="AQ13" s="366"/>
      <c r="AR13" s="342" t="s">
        <v>202</v>
      </c>
      <c r="AS13" s="367"/>
      <c r="AT13" s="368"/>
      <c r="AU13" s="343" t="s">
        <v>203</v>
      </c>
      <c r="AV13" s="114"/>
      <c r="AW13" s="369"/>
      <c r="AX13" s="391" t="s">
        <v>204</v>
      </c>
      <c r="AY13" s="358"/>
      <c r="AZ13" s="379"/>
      <c r="BA13" s="392" t="s">
        <v>205</v>
      </c>
      <c r="BB13" s="380"/>
      <c r="BC13" s="329"/>
      <c r="BD13" s="352" t="s">
        <v>206</v>
      </c>
      <c r="BE13" s="381"/>
      <c r="BF13" s="331"/>
      <c r="BG13" s="353" t="s">
        <v>206</v>
      </c>
      <c r="BH13" s="122"/>
      <c r="BI13" s="371"/>
      <c r="BJ13" s="174"/>
      <c r="BK13" s="124"/>
      <c r="BL13" s="360"/>
      <c r="BM13" s="360"/>
      <c r="BN13" s="337"/>
      <c r="BO13" s="336"/>
      <c r="BP13" s="359"/>
      <c r="BQ13" s="385"/>
      <c r="BR13" s="336"/>
      <c r="BS13" s="359"/>
      <c r="BT13" s="359"/>
      <c r="BU13" s="336"/>
      <c r="BV13" s="361"/>
      <c r="BW13" s="361"/>
      <c r="BX13" s="338"/>
      <c r="BY13" s="359"/>
      <c r="BZ13" s="385"/>
      <c r="CA13" s="336"/>
    </row>
    <row r="14" spans="1:79" ht="15" customHeight="1" x14ac:dyDescent="0.4">
      <c r="A14" s="249"/>
      <c r="B14" s="249"/>
      <c r="C14" s="301" t="s">
        <v>207</v>
      </c>
      <c r="D14" s="302"/>
      <c r="E14" s="303"/>
      <c r="F14" s="389"/>
      <c r="G14" s="305"/>
      <c r="H14" s="306"/>
      <c r="I14" s="256"/>
      <c r="J14" s="307"/>
      <c r="K14" s="390"/>
      <c r="L14" s="259"/>
      <c r="M14" s="268"/>
      <c r="N14" s="473"/>
      <c r="O14" s="314"/>
      <c r="P14" s="309"/>
      <c r="Q14" s="2713" t="s">
        <v>208</v>
      </c>
      <c r="R14" s="261"/>
      <c r="S14" s="262"/>
      <c r="T14" s="310" t="s">
        <v>209</v>
      </c>
      <c r="U14" s="264"/>
      <c r="V14" s="311"/>
      <c r="W14" s="312" t="s">
        <v>189</v>
      </c>
      <c r="X14" s="267"/>
      <c r="Y14" s="268"/>
      <c r="Z14" s="313" t="s">
        <v>209</v>
      </c>
      <c r="AA14" s="314"/>
      <c r="AB14" s="271"/>
      <c r="AC14" s="149"/>
      <c r="AD14" s="271"/>
      <c r="AE14" s="393"/>
      <c r="AF14" s="394"/>
      <c r="AG14" s="89"/>
      <c r="AH14" s="355"/>
      <c r="AI14" s="348"/>
      <c r="AJ14" s="274"/>
      <c r="AK14" s="364"/>
      <c r="AL14" s="340" t="s">
        <v>210</v>
      </c>
      <c r="AM14" s="105"/>
      <c r="AN14" s="318"/>
      <c r="AO14" s="341" t="s">
        <v>211</v>
      </c>
      <c r="AP14" s="320"/>
      <c r="AQ14" s="366"/>
      <c r="AR14" s="395" t="s">
        <v>212</v>
      </c>
      <c r="AS14" s="367"/>
      <c r="AT14" s="396"/>
      <c r="AU14" s="397" t="s">
        <v>188</v>
      </c>
      <c r="AV14" s="114"/>
      <c r="AW14" s="369"/>
      <c r="AX14" s="326" t="s">
        <v>213</v>
      </c>
      <c r="AY14" s="358"/>
      <c r="AZ14" s="379"/>
      <c r="BA14" s="328" t="s">
        <v>214</v>
      </c>
      <c r="BB14" s="380"/>
      <c r="BC14" s="398"/>
      <c r="BD14" s="352"/>
      <c r="BE14" s="381"/>
      <c r="BF14" s="399"/>
      <c r="BG14" s="353"/>
      <c r="BH14" s="122"/>
      <c r="BI14" s="400"/>
      <c r="BJ14" s="174"/>
      <c r="BK14" s="124"/>
      <c r="BL14" s="360"/>
      <c r="BM14" s="360"/>
      <c r="BN14" s="337"/>
      <c r="BO14" s="336"/>
      <c r="BP14" s="359"/>
      <c r="BQ14" s="385"/>
      <c r="BR14" s="336"/>
      <c r="BS14" s="359"/>
      <c r="BT14" s="359"/>
      <c r="BU14" s="336"/>
      <c r="BV14" s="361"/>
      <c r="BW14" s="361"/>
      <c r="BX14" s="338"/>
      <c r="BY14" s="359"/>
      <c r="BZ14" s="385"/>
      <c r="CA14" s="336"/>
    </row>
    <row r="15" spans="1:79" ht="15" customHeight="1" x14ac:dyDescent="0.4">
      <c r="A15" s="249"/>
      <c r="B15" s="249"/>
      <c r="C15" s="301" t="s">
        <v>215</v>
      </c>
      <c r="D15" s="302"/>
      <c r="E15" s="303"/>
      <c r="F15" s="389"/>
      <c r="G15" s="305"/>
      <c r="H15" s="306"/>
      <c r="I15" s="256"/>
      <c r="J15" s="307"/>
      <c r="K15" s="390"/>
      <c r="L15" s="259"/>
      <c r="M15" s="268"/>
      <c r="N15" s="473"/>
      <c r="O15" s="314"/>
      <c r="P15" s="309"/>
      <c r="Q15" s="2713" t="s">
        <v>147</v>
      </c>
      <c r="R15" s="261"/>
      <c r="S15" s="262"/>
      <c r="T15" s="310" t="s">
        <v>216</v>
      </c>
      <c r="U15" s="264"/>
      <c r="V15" s="311"/>
      <c r="W15" s="312" t="s">
        <v>182</v>
      </c>
      <c r="X15" s="267"/>
      <c r="Y15" s="268"/>
      <c r="Z15" s="313" t="s">
        <v>216</v>
      </c>
      <c r="AA15" s="314"/>
      <c r="AB15" s="271"/>
      <c r="AC15" s="149"/>
      <c r="AD15" s="271"/>
      <c r="AE15" s="393"/>
      <c r="AF15" s="394"/>
      <c r="AG15" s="89"/>
      <c r="AH15" s="273"/>
      <c r="AI15" s="356"/>
      <c r="AJ15" s="274"/>
      <c r="AK15" s="317"/>
      <c r="AL15" s="340" t="s">
        <v>217</v>
      </c>
      <c r="AM15" s="105"/>
      <c r="AN15" s="318"/>
      <c r="AO15" s="341" t="s">
        <v>218</v>
      </c>
      <c r="AP15" s="320"/>
      <c r="AQ15" s="366"/>
      <c r="AR15" s="342" t="s">
        <v>219</v>
      </c>
      <c r="AS15" s="367"/>
      <c r="AT15" s="396"/>
      <c r="AU15" s="343" t="s">
        <v>220</v>
      </c>
      <c r="AV15" s="114"/>
      <c r="AW15" s="311"/>
      <c r="AX15" s="326" t="s">
        <v>216</v>
      </c>
      <c r="AY15" s="358"/>
      <c r="AZ15" s="379"/>
      <c r="BA15" s="328" t="s">
        <v>221</v>
      </c>
      <c r="BB15" s="380"/>
      <c r="BC15" s="398"/>
      <c r="BD15" s="401"/>
      <c r="BE15" s="381"/>
      <c r="BF15" s="402"/>
      <c r="BG15" s="403"/>
      <c r="BH15" s="122"/>
      <c r="BI15" s="404"/>
      <c r="BJ15" s="174"/>
      <c r="BK15" s="124"/>
      <c r="BL15" s="360"/>
      <c r="BM15" s="407"/>
      <c r="BN15" s="337"/>
      <c r="BO15" s="336"/>
      <c r="BP15" s="359"/>
      <c r="BQ15" s="406"/>
      <c r="BR15" s="336"/>
      <c r="BS15" s="359"/>
      <c r="BT15" s="408"/>
      <c r="BU15" s="336"/>
      <c r="BV15" s="361"/>
      <c r="BW15" s="409"/>
      <c r="BX15" s="338"/>
      <c r="BY15" s="359"/>
      <c r="BZ15" s="406"/>
      <c r="CA15" s="336"/>
    </row>
    <row r="16" spans="1:79" ht="15" customHeight="1" x14ac:dyDescent="0.4">
      <c r="A16" s="249"/>
      <c r="B16" s="249"/>
      <c r="C16" s="301" t="s">
        <v>222</v>
      </c>
      <c r="D16" s="302"/>
      <c r="E16" s="303"/>
      <c r="F16" s="389"/>
      <c r="G16" s="305"/>
      <c r="H16" s="306"/>
      <c r="I16" s="256"/>
      <c r="J16" s="307"/>
      <c r="K16" s="390"/>
      <c r="L16" s="259"/>
      <c r="M16" s="268"/>
      <c r="N16" s="473"/>
      <c r="O16" s="314"/>
      <c r="P16" s="309"/>
      <c r="Q16" s="2713" t="s">
        <v>223</v>
      </c>
      <c r="R16" s="261"/>
      <c r="S16" s="262"/>
      <c r="T16" s="310" t="s">
        <v>224</v>
      </c>
      <c r="U16" s="264"/>
      <c r="V16" s="311"/>
      <c r="W16" s="312" t="s">
        <v>225</v>
      </c>
      <c r="X16" s="267"/>
      <c r="Y16" s="268"/>
      <c r="Z16" s="313" t="s">
        <v>224</v>
      </c>
      <c r="AA16" s="314"/>
      <c r="AB16" s="271"/>
      <c r="AC16" s="149"/>
      <c r="AD16" s="271"/>
      <c r="AE16" s="393"/>
      <c r="AF16" s="394"/>
      <c r="AG16" s="89"/>
      <c r="AH16" s="273"/>
      <c r="AI16" s="356"/>
      <c r="AJ16" s="274"/>
      <c r="AK16" s="317"/>
      <c r="AL16" s="349" t="s">
        <v>226</v>
      </c>
      <c r="AM16" s="105"/>
      <c r="AN16" s="318"/>
      <c r="AO16" s="350" t="s">
        <v>227</v>
      </c>
      <c r="AP16" s="320"/>
      <c r="AQ16" s="321"/>
      <c r="AR16" s="342" t="s">
        <v>228</v>
      </c>
      <c r="AS16" s="283"/>
      <c r="AT16" s="284"/>
      <c r="AU16" s="343" t="s">
        <v>199</v>
      </c>
      <c r="AV16" s="410"/>
      <c r="AW16" s="411"/>
      <c r="AX16" s="326" t="s">
        <v>176</v>
      </c>
      <c r="AY16" s="358"/>
      <c r="AZ16" s="379"/>
      <c r="BA16" s="328" t="s">
        <v>229</v>
      </c>
      <c r="BB16" s="380"/>
      <c r="BC16" s="398"/>
      <c r="BD16" s="401"/>
      <c r="BE16" s="381"/>
      <c r="BF16" s="412"/>
      <c r="BG16" s="403"/>
      <c r="BH16" s="122"/>
      <c r="BI16" s="400"/>
      <c r="BJ16" s="174"/>
      <c r="BK16" s="124"/>
      <c r="BL16" s="415"/>
      <c r="BM16" s="360"/>
      <c r="BN16" s="337"/>
      <c r="BO16" s="336"/>
      <c r="BP16" s="414"/>
      <c r="BQ16" s="385"/>
      <c r="BR16" s="336"/>
      <c r="BS16" s="416"/>
      <c r="BT16" s="359"/>
      <c r="BU16" s="336"/>
      <c r="BV16" s="417"/>
      <c r="BW16" s="361"/>
      <c r="BX16" s="338"/>
      <c r="BY16" s="414"/>
      <c r="BZ16" s="385"/>
      <c r="CA16" s="336"/>
    </row>
    <row r="17" spans="1:79" ht="15" customHeight="1" x14ac:dyDescent="0.4">
      <c r="A17" s="249"/>
      <c r="B17" s="249"/>
      <c r="C17" s="301" t="s">
        <v>230</v>
      </c>
      <c r="D17" s="302"/>
      <c r="E17" s="303"/>
      <c r="F17" s="389"/>
      <c r="G17" s="305"/>
      <c r="H17" s="306"/>
      <c r="I17" s="256"/>
      <c r="J17" s="307"/>
      <c r="K17" s="390"/>
      <c r="L17" s="259"/>
      <c r="M17" s="268"/>
      <c r="N17" s="473"/>
      <c r="O17" s="314"/>
      <c r="P17" s="309"/>
      <c r="Q17" s="2713" t="s">
        <v>231</v>
      </c>
      <c r="R17" s="261"/>
      <c r="S17" s="262"/>
      <c r="T17" s="310" t="s">
        <v>141</v>
      </c>
      <c r="U17" s="264"/>
      <c r="V17" s="418"/>
      <c r="W17" s="312" t="s">
        <v>232</v>
      </c>
      <c r="X17" s="267"/>
      <c r="Y17" s="268"/>
      <c r="Z17" s="313" t="s">
        <v>141</v>
      </c>
      <c r="AA17" s="314"/>
      <c r="AB17" s="271"/>
      <c r="AC17" s="149"/>
      <c r="AD17" s="271"/>
      <c r="AE17" s="393"/>
      <c r="AF17" s="394"/>
      <c r="AG17" s="89"/>
      <c r="AH17" s="419"/>
      <c r="AI17" s="356"/>
      <c r="AJ17" s="274"/>
      <c r="AK17" s="317"/>
      <c r="AL17" s="340" t="s">
        <v>233</v>
      </c>
      <c r="AM17" s="105"/>
      <c r="AN17" s="318"/>
      <c r="AO17" s="279" t="s">
        <v>234</v>
      </c>
      <c r="AP17" s="320"/>
      <c r="AQ17" s="321"/>
      <c r="AR17" s="322" t="s">
        <v>235</v>
      </c>
      <c r="AS17" s="283"/>
      <c r="AT17" s="284"/>
      <c r="AU17" s="324" t="s">
        <v>236</v>
      </c>
      <c r="AV17" s="286"/>
      <c r="AW17" s="287"/>
      <c r="AX17" s="326" t="s">
        <v>237</v>
      </c>
      <c r="AY17" s="267"/>
      <c r="AZ17" s="327"/>
      <c r="BA17" s="328" t="s">
        <v>238</v>
      </c>
      <c r="BB17" s="291"/>
      <c r="BC17" s="329"/>
      <c r="BD17" s="420"/>
      <c r="BE17" s="271"/>
      <c r="BF17" s="421"/>
      <c r="BG17" s="422"/>
      <c r="BH17" s="122"/>
      <c r="BI17" s="413"/>
      <c r="BJ17" s="174"/>
      <c r="BK17" s="124"/>
      <c r="BL17" s="415"/>
      <c r="BM17" s="424"/>
      <c r="BN17" s="337"/>
      <c r="BO17" s="336"/>
      <c r="BP17" s="414"/>
      <c r="BQ17" s="423"/>
      <c r="BR17" s="336"/>
      <c r="BS17" s="416"/>
      <c r="BT17" s="425"/>
      <c r="BU17" s="336"/>
      <c r="BV17" s="417"/>
      <c r="BW17" s="426"/>
      <c r="BX17" s="338"/>
      <c r="BY17" s="414"/>
      <c r="BZ17" s="423"/>
      <c r="CA17" s="336"/>
    </row>
    <row r="18" spans="1:79" ht="15" customHeight="1" x14ac:dyDescent="0.4">
      <c r="A18" s="249"/>
      <c r="B18" s="249"/>
      <c r="C18" s="301" t="s">
        <v>239</v>
      </c>
      <c r="D18" s="302"/>
      <c r="E18" s="303"/>
      <c r="F18" s="389"/>
      <c r="G18" s="305"/>
      <c r="H18" s="306"/>
      <c r="I18" s="256"/>
      <c r="J18" s="307"/>
      <c r="K18" s="390"/>
      <c r="L18" s="259"/>
      <c r="M18" s="268"/>
      <c r="N18" s="473"/>
      <c r="O18" s="377"/>
      <c r="P18" s="309"/>
      <c r="Q18" s="2713" t="s">
        <v>240</v>
      </c>
      <c r="R18" s="261"/>
      <c r="S18" s="262"/>
      <c r="T18" s="310" t="s">
        <v>241</v>
      </c>
      <c r="U18" s="264"/>
      <c r="V18" s="418"/>
      <c r="W18" s="428" t="s">
        <v>235</v>
      </c>
      <c r="X18" s="267"/>
      <c r="Y18" s="268"/>
      <c r="Z18" s="313" t="s">
        <v>241</v>
      </c>
      <c r="AA18" s="377"/>
      <c r="AB18" s="271"/>
      <c r="AC18" s="149"/>
      <c r="AD18" s="271"/>
      <c r="AE18" s="429"/>
      <c r="AF18" s="363"/>
      <c r="AG18" s="89"/>
      <c r="AH18" s="419"/>
      <c r="AI18" s="316"/>
      <c r="AJ18" s="274"/>
      <c r="AK18" s="317"/>
      <c r="AL18" s="340"/>
      <c r="AM18" s="105"/>
      <c r="AN18" s="318"/>
      <c r="AO18" s="279"/>
      <c r="AP18" s="320"/>
      <c r="AQ18" s="321"/>
      <c r="AR18" s="322" t="s">
        <v>242</v>
      </c>
      <c r="AS18" s="283"/>
      <c r="AT18" s="284"/>
      <c r="AU18" s="324" t="s">
        <v>243</v>
      </c>
      <c r="AV18" s="286"/>
      <c r="AW18" s="287"/>
      <c r="AX18" s="430" t="s">
        <v>244</v>
      </c>
      <c r="AY18" s="267"/>
      <c r="AZ18" s="289"/>
      <c r="BA18" s="431" t="s">
        <v>245</v>
      </c>
      <c r="BB18" s="291"/>
      <c r="BC18" s="432"/>
      <c r="BD18" s="433"/>
      <c r="BE18" s="271"/>
      <c r="BF18" s="122"/>
      <c r="BG18" s="434"/>
      <c r="BH18" s="122"/>
      <c r="BI18" s="124"/>
      <c r="BJ18" s="435"/>
      <c r="BK18" s="124"/>
      <c r="BL18" s="415"/>
      <c r="BM18" s="424"/>
      <c r="BN18" s="337"/>
      <c r="BO18" s="336"/>
      <c r="BP18" s="414"/>
      <c r="BQ18" s="423"/>
      <c r="BR18" s="336"/>
      <c r="BS18" s="416"/>
      <c r="BT18" s="425"/>
      <c r="BU18" s="336"/>
      <c r="BV18" s="417"/>
      <c r="BW18" s="426"/>
      <c r="BX18" s="338"/>
      <c r="BY18" s="414"/>
      <c r="BZ18" s="423"/>
      <c r="CA18" s="336"/>
    </row>
    <row r="19" spans="1:79" ht="15" customHeight="1" x14ac:dyDescent="0.4">
      <c r="A19" s="249"/>
      <c r="B19" s="249"/>
      <c r="C19" s="301"/>
      <c r="D19" s="302"/>
      <c r="E19" s="303"/>
      <c r="F19" s="389"/>
      <c r="G19" s="305"/>
      <c r="H19" s="306"/>
      <c r="I19" s="256"/>
      <c r="J19" s="307"/>
      <c r="K19" s="390"/>
      <c r="L19" s="259"/>
      <c r="M19" s="268"/>
      <c r="N19" s="473"/>
      <c r="O19" s="314"/>
      <c r="P19" s="309"/>
      <c r="Q19" s="2715" t="s">
        <v>246</v>
      </c>
      <c r="R19" s="261"/>
      <c r="S19" s="89"/>
      <c r="T19" s="310" t="s">
        <v>247</v>
      </c>
      <c r="U19" s="264"/>
      <c r="V19" s="418"/>
      <c r="W19" s="312" t="s">
        <v>248</v>
      </c>
      <c r="X19" s="267"/>
      <c r="Y19" s="268"/>
      <c r="Z19" s="313" t="s">
        <v>247</v>
      </c>
      <c r="AA19" s="314"/>
      <c r="AB19" s="271"/>
      <c r="AC19" s="149"/>
      <c r="AD19" s="271"/>
      <c r="AE19" s="393"/>
      <c r="AF19" s="394"/>
      <c r="AG19" s="264"/>
      <c r="AH19" s="436"/>
      <c r="AI19" s="348"/>
      <c r="AJ19" s="274"/>
      <c r="AK19" s="317"/>
      <c r="AL19" s="340"/>
      <c r="AM19" s="105"/>
      <c r="AN19" s="318"/>
      <c r="AO19" s="318"/>
      <c r="AP19" s="320"/>
      <c r="AQ19" s="321"/>
      <c r="AR19" s="342" t="s">
        <v>248</v>
      </c>
      <c r="AS19" s="283"/>
      <c r="AT19" s="284"/>
      <c r="AU19" s="343" t="s">
        <v>249</v>
      </c>
      <c r="AV19" s="286"/>
      <c r="AW19" s="287"/>
      <c r="AX19" s="430"/>
      <c r="AY19" s="267"/>
      <c r="AZ19" s="289"/>
      <c r="BA19" s="431"/>
      <c r="BB19" s="291"/>
      <c r="BC19" s="432"/>
      <c r="BD19" s="432"/>
      <c r="BE19" s="271"/>
      <c r="BF19" s="122"/>
      <c r="BG19" s="122"/>
      <c r="BH19" s="122"/>
      <c r="BI19" s="124"/>
      <c r="BJ19" s="124"/>
      <c r="BK19" s="124"/>
      <c r="BL19" s="386"/>
      <c r="BM19" s="439"/>
      <c r="BN19" s="337"/>
      <c r="BO19" s="336"/>
      <c r="BP19" s="384"/>
      <c r="BQ19" s="438"/>
      <c r="BR19" s="336"/>
      <c r="BS19" s="387"/>
      <c r="BT19" s="440"/>
      <c r="BU19" s="336"/>
      <c r="BV19" s="388"/>
      <c r="BW19" s="441"/>
      <c r="BX19" s="338"/>
      <c r="BY19" s="384"/>
      <c r="BZ19" s="438"/>
      <c r="CA19" s="336"/>
    </row>
    <row r="20" spans="1:79" ht="15" customHeight="1" x14ac:dyDescent="0.4">
      <c r="A20" s="249"/>
      <c r="B20" s="249"/>
      <c r="C20" s="301"/>
      <c r="D20" s="302"/>
      <c r="E20" s="303"/>
      <c r="F20" s="303"/>
      <c r="G20" s="305"/>
      <c r="H20" s="306"/>
      <c r="I20" s="256"/>
      <c r="J20" s="307"/>
      <c r="K20" s="390"/>
      <c r="L20" s="259"/>
      <c r="M20" s="443"/>
      <c r="N20" s="473"/>
      <c r="O20" s="377"/>
      <c r="P20" s="309"/>
      <c r="Q20" s="2713" t="s">
        <v>250</v>
      </c>
      <c r="R20" s="261"/>
      <c r="S20" s="89"/>
      <c r="T20" s="310" t="s">
        <v>166</v>
      </c>
      <c r="U20" s="264"/>
      <c r="V20" s="442"/>
      <c r="W20" s="312" t="s">
        <v>251</v>
      </c>
      <c r="X20" s="267"/>
      <c r="Y20" s="443"/>
      <c r="Z20" s="313" t="s">
        <v>252</v>
      </c>
      <c r="AA20" s="377"/>
      <c r="AB20" s="271"/>
      <c r="AC20" s="149"/>
      <c r="AD20" s="271"/>
      <c r="AE20" s="393"/>
      <c r="AF20" s="394"/>
      <c r="AG20" s="264"/>
      <c r="AH20" s="436"/>
      <c r="AI20" s="348"/>
      <c r="AJ20" s="274"/>
      <c r="AK20" s="317"/>
      <c r="AL20" s="340"/>
      <c r="AM20" s="105"/>
      <c r="AN20" s="318"/>
      <c r="AO20" s="318"/>
      <c r="AP20" s="320"/>
      <c r="AQ20" s="321"/>
      <c r="AR20" s="342" t="s">
        <v>253</v>
      </c>
      <c r="AS20" s="283"/>
      <c r="AT20" s="284"/>
      <c r="AU20" s="343" t="s">
        <v>254</v>
      </c>
      <c r="AV20" s="286"/>
      <c r="AW20" s="287"/>
      <c r="AX20" s="326"/>
      <c r="AY20" s="267"/>
      <c r="AZ20" s="289"/>
      <c r="BA20" s="437"/>
      <c r="BB20" s="291"/>
      <c r="BC20" s="432"/>
      <c r="BD20" s="432"/>
      <c r="BE20" s="271"/>
      <c r="BF20" s="412"/>
      <c r="BG20" s="444"/>
      <c r="BH20" s="122"/>
      <c r="BI20" s="400"/>
      <c r="BJ20" s="445"/>
      <c r="BK20" s="124"/>
      <c r="BL20" s="135"/>
      <c r="BM20" s="135"/>
      <c r="BN20" s="337"/>
      <c r="BO20" s="336"/>
      <c r="BP20" s="132"/>
      <c r="BQ20" s="132"/>
      <c r="BR20" s="336"/>
      <c r="BS20" s="132"/>
      <c r="BT20" s="132"/>
      <c r="BU20" s="336"/>
      <c r="BV20" s="139"/>
      <c r="BW20" s="139"/>
      <c r="BX20" s="338"/>
      <c r="BY20" s="132"/>
      <c r="BZ20" s="132"/>
      <c r="CA20" s="336"/>
    </row>
    <row r="21" spans="1:79" ht="15" customHeight="1" x14ac:dyDescent="0.4">
      <c r="A21" s="249"/>
      <c r="B21" s="249"/>
      <c r="C21" s="301"/>
      <c r="D21" s="446"/>
      <c r="E21" s="447"/>
      <c r="F21" s="448"/>
      <c r="G21" s="449"/>
      <c r="H21" s="450"/>
      <c r="I21" s="256"/>
      <c r="J21" s="451"/>
      <c r="K21" s="452"/>
      <c r="L21" s="259"/>
      <c r="M21" s="443"/>
      <c r="N21" s="2772"/>
      <c r="O21" s="455"/>
      <c r="P21" s="453"/>
      <c r="Q21" s="2713" t="s">
        <v>255</v>
      </c>
      <c r="R21" s="261"/>
      <c r="S21" s="454"/>
      <c r="T21" s="310" t="s">
        <v>256</v>
      </c>
      <c r="U21" s="264"/>
      <c r="V21" s="442"/>
      <c r="W21" s="312" t="s">
        <v>257</v>
      </c>
      <c r="X21" s="267"/>
      <c r="Y21" s="443"/>
      <c r="Z21" s="313" t="s">
        <v>256</v>
      </c>
      <c r="AA21" s="455"/>
      <c r="AB21" s="456"/>
      <c r="AC21" s="457"/>
      <c r="AD21" s="271"/>
      <c r="AE21" s="429"/>
      <c r="AF21" s="458"/>
      <c r="AG21" s="99"/>
      <c r="AH21" s="459"/>
      <c r="AI21" s="460"/>
      <c r="AJ21" s="102"/>
      <c r="AK21" s="317"/>
      <c r="AL21" s="461"/>
      <c r="AM21" s="105"/>
      <c r="AN21" s="318"/>
      <c r="AO21" s="462"/>
      <c r="AP21" s="320"/>
      <c r="AQ21" s="321"/>
      <c r="AR21" s="342" t="s">
        <v>258</v>
      </c>
      <c r="AS21" s="283"/>
      <c r="AT21" s="284"/>
      <c r="AU21" s="343" t="s">
        <v>259</v>
      </c>
      <c r="AV21" s="286"/>
      <c r="AW21" s="287"/>
      <c r="AX21" s="463"/>
      <c r="AY21" s="267"/>
      <c r="AZ21" s="289"/>
      <c r="BA21" s="464"/>
      <c r="BB21" s="291"/>
      <c r="BC21" s="432"/>
      <c r="BD21" s="465"/>
      <c r="BE21" s="271"/>
      <c r="BF21" s="402"/>
      <c r="BG21" s="466"/>
      <c r="BH21" s="122"/>
      <c r="BI21" s="404"/>
      <c r="BJ21" s="467"/>
      <c r="BK21" s="124"/>
      <c r="BL21" s="135"/>
      <c r="BM21" s="470"/>
      <c r="BN21" s="337"/>
      <c r="BO21" s="336"/>
      <c r="BP21" s="132"/>
      <c r="BQ21" s="469"/>
      <c r="BR21" s="336"/>
      <c r="BS21" s="132"/>
      <c r="BT21" s="469"/>
      <c r="BU21" s="336"/>
      <c r="BV21" s="139"/>
      <c r="BW21" s="471"/>
      <c r="BX21" s="338"/>
      <c r="BY21" s="132"/>
      <c r="BZ21" s="469"/>
      <c r="CA21" s="336"/>
    </row>
    <row r="22" spans="1:79" ht="15" customHeight="1" x14ac:dyDescent="0.4">
      <c r="A22" s="249"/>
      <c r="B22" s="249"/>
      <c r="C22" s="301"/>
      <c r="D22" s="75"/>
      <c r="E22" s="2811" t="s">
        <v>260</v>
      </c>
      <c r="F22" s="389"/>
      <c r="G22" s="78"/>
      <c r="H22" s="2376" t="s">
        <v>261</v>
      </c>
      <c r="I22" s="256"/>
      <c r="J22" s="81"/>
      <c r="K22" s="2812" t="s">
        <v>261</v>
      </c>
      <c r="L22" s="259"/>
      <c r="M22" s="472"/>
      <c r="N22" s="2773"/>
      <c r="O22" s="455"/>
      <c r="P22" s="84"/>
      <c r="Q22" s="2713" t="s">
        <v>262</v>
      </c>
      <c r="R22" s="261"/>
      <c r="S22" s="264"/>
      <c r="T22" s="2774" t="s">
        <v>263</v>
      </c>
      <c r="U22" s="264"/>
      <c r="V22" s="92"/>
      <c r="W22" s="312" t="s">
        <v>264</v>
      </c>
      <c r="X22" s="267"/>
      <c r="Y22" s="472"/>
      <c r="Z22" s="473" t="s">
        <v>263</v>
      </c>
      <c r="AA22" s="455"/>
      <c r="AB22" s="271"/>
      <c r="AC22" s="271"/>
      <c r="AD22" s="271"/>
      <c r="AE22" s="378"/>
      <c r="AF22" s="363"/>
      <c r="AG22" s="99"/>
      <c r="AH22" s="100"/>
      <c r="AI22" s="100"/>
      <c r="AJ22" s="102"/>
      <c r="AK22" s="317"/>
      <c r="AL22" s="474"/>
      <c r="AM22" s="475"/>
      <c r="AN22" s="476"/>
      <c r="AO22" s="477"/>
      <c r="AP22" s="320"/>
      <c r="AQ22" s="321"/>
      <c r="AR22" s="478" t="s">
        <v>198</v>
      </c>
      <c r="AS22" s="111"/>
      <c r="AT22" s="112"/>
      <c r="AU22" s="479" t="s">
        <v>265</v>
      </c>
      <c r="AV22" s="410"/>
      <c r="AW22" s="411"/>
      <c r="AX22" s="480"/>
      <c r="AY22" s="358"/>
      <c r="AZ22" s="481"/>
      <c r="BA22" s="482"/>
      <c r="BB22" s="380"/>
      <c r="BC22" s="381"/>
      <c r="BD22" s="483" t="s">
        <v>266</v>
      </c>
      <c r="BE22" s="271"/>
      <c r="BF22" s="412"/>
      <c r="BG22" s="484" t="s">
        <v>267</v>
      </c>
      <c r="BH22" s="122"/>
      <c r="BI22" s="400"/>
      <c r="BJ22" s="485" t="s">
        <v>268</v>
      </c>
      <c r="BK22" s="124"/>
      <c r="BL22" s="135"/>
      <c r="BM22" s="2815" t="s">
        <v>269</v>
      </c>
      <c r="BN22" s="337"/>
      <c r="BO22" s="336"/>
      <c r="BP22" s="132"/>
      <c r="BQ22" s="132"/>
      <c r="BR22" s="336"/>
      <c r="BS22" s="132"/>
      <c r="BT22" s="179" t="s">
        <v>270</v>
      </c>
      <c r="BU22" s="336"/>
      <c r="BV22" s="139"/>
      <c r="BW22" s="2816" t="s">
        <v>270</v>
      </c>
      <c r="BX22" s="338"/>
      <c r="BY22" s="132"/>
      <c r="BZ22" s="132"/>
      <c r="CA22" s="336"/>
    </row>
    <row r="23" spans="1:79" ht="15" customHeight="1" x14ac:dyDescent="0.4">
      <c r="A23" s="249"/>
      <c r="B23" s="249"/>
      <c r="C23" s="301"/>
      <c r="D23" s="75"/>
      <c r="E23" s="2375" t="s">
        <v>271</v>
      </c>
      <c r="F23" s="389"/>
      <c r="G23" s="78"/>
      <c r="H23" s="2376" t="s">
        <v>271</v>
      </c>
      <c r="I23" s="256"/>
      <c r="J23" s="81"/>
      <c r="K23" s="500" t="s">
        <v>272</v>
      </c>
      <c r="L23" s="259"/>
      <c r="M23" s="93"/>
      <c r="N23" s="2720" t="s">
        <v>273</v>
      </c>
      <c r="O23" s="270"/>
      <c r="P23" s="84"/>
      <c r="Q23" s="2713" t="s">
        <v>274</v>
      </c>
      <c r="R23" s="261"/>
      <c r="S23" s="264"/>
      <c r="T23" s="2774" t="s">
        <v>204</v>
      </c>
      <c r="U23" s="264"/>
      <c r="V23" s="92"/>
      <c r="W23" s="312" t="s">
        <v>180</v>
      </c>
      <c r="X23" s="267"/>
      <c r="Y23" s="93"/>
      <c r="Z23" s="473" t="s">
        <v>204</v>
      </c>
      <c r="AA23" s="270"/>
      <c r="AB23" s="271"/>
      <c r="AC23" s="271"/>
      <c r="AD23" s="271"/>
      <c r="AE23" s="378"/>
      <c r="AF23" s="363"/>
      <c r="AG23" s="99"/>
      <c r="AH23" s="100"/>
      <c r="AI23" s="100"/>
      <c r="AJ23" s="102"/>
      <c r="AK23" s="317"/>
      <c r="AL23" s="487"/>
      <c r="AM23" s="105"/>
      <c r="AN23" s="318"/>
      <c r="AO23" s="341"/>
      <c r="AP23" s="320"/>
      <c r="AQ23" s="321"/>
      <c r="AR23" s="342" t="s">
        <v>275</v>
      </c>
      <c r="AS23" s="283"/>
      <c r="AT23" s="284"/>
      <c r="AU23" s="343" t="s">
        <v>276</v>
      </c>
      <c r="AV23" s="114"/>
      <c r="AW23" s="351"/>
      <c r="AX23" s="488"/>
      <c r="AY23" s="267"/>
      <c r="AZ23" s="370"/>
      <c r="BA23" s="431"/>
      <c r="BB23" s="291"/>
      <c r="BC23" s="489"/>
      <c r="BD23" s="483"/>
      <c r="BE23" s="271"/>
      <c r="BF23" s="490"/>
      <c r="BG23" s="332"/>
      <c r="BH23" s="122"/>
      <c r="BI23" s="491"/>
      <c r="BJ23" s="174"/>
      <c r="BK23" s="124"/>
      <c r="BL23" s="298"/>
      <c r="BM23" s="493" t="s">
        <v>277</v>
      </c>
      <c r="BN23" s="494"/>
      <c r="BO23" s="129"/>
      <c r="BP23" s="299"/>
      <c r="BQ23" s="297"/>
      <c r="BR23" s="129"/>
      <c r="BS23" s="299"/>
      <c r="BT23" s="495" t="s">
        <v>278</v>
      </c>
      <c r="BU23" s="129"/>
      <c r="BV23" s="300"/>
      <c r="BW23" s="504" t="s">
        <v>279</v>
      </c>
      <c r="BX23" s="496"/>
      <c r="BY23" s="299"/>
      <c r="BZ23" s="297"/>
      <c r="CA23" s="129"/>
    </row>
    <row r="24" spans="1:79" ht="15" customHeight="1" x14ac:dyDescent="0.4">
      <c r="A24" s="249"/>
      <c r="B24" s="249"/>
      <c r="C24" s="301"/>
      <c r="D24" s="497"/>
      <c r="E24" s="2375" t="s">
        <v>261</v>
      </c>
      <c r="F24" s="389"/>
      <c r="G24" s="498"/>
      <c r="H24" s="2376" t="s">
        <v>272</v>
      </c>
      <c r="I24" s="256"/>
      <c r="J24" s="499"/>
      <c r="K24" s="500" t="s">
        <v>280</v>
      </c>
      <c r="L24" s="259"/>
      <c r="M24" s="93"/>
      <c r="N24" s="2720"/>
      <c r="O24" s="270"/>
      <c r="P24" s="501"/>
      <c r="Q24" s="2713" t="s">
        <v>281</v>
      </c>
      <c r="R24" s="261"/>
      <c r="S24" s="264"/>
      <c r="T24" s="310" t="s">
        <v>282</v>
      </c>
      <c r="U24" s="264"/>
      <c r="V24" s="267"/>
      <c r="W24" s="428" t="s">
        <v>283</v>
      </c>
      <c r="X24" s="267"/>
      <c r="Y24" s="93"/>
      <c r="Z24" s="313" t="s">
        <v>282</v>
      </c>
      <c r="AA24" s="270"/>
      <c r="AB24" s="271"/>
      <c r="AC24" s="271"/>
      <c r="AD24" s="271"/>
      <c r="AE24" s="393"/>
      <c r="AF24" s="394"/>
      <c r="AG24" s="99"/>
      <c r="AH24" s="355"/>
      <c r="AI24" s="356"/>
      <c r="AJ24" s="102"/>
      <c r="AK24" s="502"/>
      <c r="AL24" s="487"/>
      <c r="AM24" s="105"/>
      <c r="AN24" s="365"/>
      <c r="AO24" s="319"/>
      <c r="AP24" s="320"/>
      <c r="AQ24" s="282"/>
      <c r="AR24" s="342" t="s">
        <v>284</v>
      </c>
      <c r="AS24" s="283"/>
      <c r="AT24" s="503"/>
      <c r="AU24" s="343" t="s">
        <v>285</v>
      </c>
      <c r="AV24" s="114"/>
      <c r="AW24" s="442"/>
      <c r="AX24" s="430"/>
      <c r="AY24" s="267"/>
      <c r="AZ24" s="370"/>
      <c r="BA24" s="431"/>
      <c r="BB24" s="291"/>
      <c r="BC24" s="489"/>
      <c r="BD24" s="483"/>
      <c r="BE24" s="271"/>
      <c r="BF24" s="490"/>
      <c r="BG24" s="345"/>
      <c r="BH24" s="122"/>
      <c r="BI24" s="491"/>
      <c r="BJ24" s="174"/>
      <c r="BK24" s="124"/>
      <c r="BL24" s="298"/>
      <c r="BM24" s="493" t="s">
        <v>270</v>
      </c>
      <c r="BN24" s="337"/>
      <c r="BO24" s="129"/>
      <c r="BP24" s="299"/>
      <c r="BQ24" s="297"/>
      <c r="BR24" s="336"/>
      <c r="BS24" s="299"/>
      <c r="BT24" s="495" t="s">
        <v>286</v>
      </c>
      <c r="BU24" s="336"/>
      <c r="BV24" s="300"/>
      <c r="BW24" s="504" t="s">
        <v>287</v>
      </c>
      <c r="BX24" s="338"/>
      <c r="BY24" s="299"/>
      <c r="BZ24" s="297"/>
      <c r="CA24" s="336"/>
    </row>
    <row r="25" spans="1:79" ht="15" customHeight="1" x14ac:dyDescent="0.4">
      <c r="A25" s="249"/>
      <c r="B25" s="249"/>
      <c r="C25" s="301"/>
      <c r="D25" s="497"/>
      <c r="E25" s="2375" t="s">
        <v>272</v>
      </c>
      <c r="F25" s="389"/>
      <c r="G25" s="498"/>
      <c r="H25" s="2376" t="s">
        <v>280</v>
      </c>
      <c r="I25" s="256"/>
      <c r="J25" s="499"/>
      <c r="K25" s="2813" t="s">
        <v>288</v>
      </c>
      <c r="L25" s="259"/>
      <c r="M25" s="270"/>
      <c r="N25" s="473"/>
      <c r="O25" s="270"/>
      <c r="P25" s="501"/>
      <c r="Q25" s="2713" t="s">
        <v>289</v>
      </c>
      <c r="R25" s="261"/>
      <c r="S25" s="264"/>
      <c r="T25" s="310" t="s">
        <v>290</v>
      </c>
      <c r="U25" s="264"/>
      <c r="V25" s="267"/>
      <c r="W25" s="312" t="s">
        <v>244</v>
      </c>
      <c r="X25" s="267"/>
      <c r="Y25" s="270"/>
      <c r="Z25" s="313" t="s">
        <v>290</v>
      </c>
      <c r="AA25" s="270"/>
      <c r="AB25" s="271"/>
      <c r="AC25" s="271"/>
      <c r="AD25" s="271"/>
      <c r="AE25" s="393"/>
      <c r="AF25" s="363"/>
      <c r="AG25" s="99"/>
      <c r="AH25" s="100"/>
      <c r="AI25" s="100"/>
      <c r="AJ25" s="102"/>
      <c r="AK25" s="505"/>
      <c r="AL25" s="506"/>
      <c r="AM25" s="507"/>
      <c r="AN25" s="508"/>
      <c r="AO25" s="319"/>
      <c r="AP25" s="108"/>
      <c r="AQ25" s="509"/>
      <c r="AR25" s="342" t="s">
        <v>290</v>
      </c>
      <c r="AS25" s="283"/>
      <c r="AT25" s="284"/>
      <c r="AU25" s="343" t="s">
        <v>291</v>
      </c>
      <c r="AV25" s="286"/>
      <c r="AW25" s="287"/>
      <c r="AX25" s="488"/>
      <c r="AY25" s="267"/>
      <c r="AZ25" s="289"/>
      <c r="BA25" s="431"/>
      <c r="BB25" s="291"/>
      <c r="BC25" s="432"/>
      <c r="BD25" s="510"/>
      <c r="BE25" s="271"/>
      <c r="BF25" s="292"/>
      <c r="BG25" s="353"/>
      <c r="BH25" s="122"/>
      <c r="BI25" s="124"/>
      <c r="BJ25" s="174"/>
      <c r="BK25" s="124"/>
      <c r="BL25" s="513"/>
      <c r="BM25" s="493" t="s">
        <v>279</v>
      </c>
      <c r="BN25" s="337"/>
      <c r="BO25" s="336"/>
      <c r="BP25" s="511"/>
      <c r="BQ25" s="512"/>
      <c r="BR25" s="336"/>
      <c r="BS25" s="511"/>
      <c r="BT25" s="495" t="s">
        <v>292</v>
      </c>
      <c r="BU25" s="336"/>
      <c r="BV25" s="514"/>
      <c r="BW25" s="2817" t="s">
        <v>293</v>
      </c>
      <c r="BX25" s="338"/>
      <c r="BY25" s="511"/>
      <c r="BZ25" s="512"/>
      <c r="CA25" s="336"/>
    </row>
    <row r="26" spans="1:79" ht="13.5" customHeight="1" x14ac:dyDescent="0.4">
      <c r="A26" s="249"/>
      <c r="B26" s="249"/>
      <c r="C26" s="301"/>
      <c r="D26" s="497"/>
      <c r="E26" s="2814" t="s">
        <v>280</v>
      </c>
      <c r="F26" s="389"/>
      <c r="G26" s="498"/>
      <c r="H26" s="2838" t="s">
        <v>294</v>
      </c>
      <c r="I26" s="256"/>
      <c r="J26" s="499"/>
      <c r="K26" s="390"/>
      <c r="L26" s="259"/>
      <c r="M26" s="270"/>
      <c r="N26" s="473"/>
      <c r="O26" s="270"/>
      <c r="P26" s="501"/>
      <c r="Q26" s="2722" t="s">
        <v>295</v>
      </c>
      <c r="R26" s="261"/>
      <c r="S26" s="264"/>
      <c r="T26" s="2774" t="s">
        <v>233</v>
      </c>
      <c r="U26" s="264"/>
      <c r="V26" s="267"/>
      <c r="W26" s="312" t="s">
        <v>284</v>
      </c>
      <c r="X26" s="267"/>
      <c r="Y26" s="270"/>
      <c r="Z26" s="473" t="s">
        <v>296</v>
      </c>
      <c r="AA26" s="270"/>
      <c r="AB26" s="271"/>
      <c r="AC26" s="271"/>
      <c r="AD26" s="271"/>
      <c r="AE26" s="454"/>
      <c r="AF26" s="363"/>
      <c r="AG26" s="99"/>
      <c r="AH26" s="100"/>
      <c r="AI26" s="100"/>
      <c r="AJ26" s="102"/>
      <c r="AK26" s="505"/>
      <c r="AL26" s="157"/>
      <c r="AM26" s="475"/>
      <c r="AN26" s="515"/>
      <c r="AO26" s="319"/>
      <c r="AP26" s="508"/>
      <c r="AQ26" s="516"/>
      <c r="AR26" s="322"/>
      <c r="AS26" s="283"/>
      <c r="AT26" s="284"/>
      <c r="AU26" s="517"/>
      <c r="AV26" s="286"/>
      <c r="AW26" s="287"/>
      <c r="AX26" s="326"/>
      <c r="AY26" s="267"/>
      <c r="AZ26" s="289"/>
      <c r="BA26" s="328"/>
      <c r="BB26" s="291"/>
      <c r="BC26" s="432"/>
      <c r="BD26" s="433"/>
      <c r="BE26" s="271"/>
      <c r="BF26" s="292"/>
      <c r="BG26" s="345"/>
      <c r="BH26" s="122"/>
      <c r="BI26" s="124"/>
      <c r="BJ26" s="334"/>
      <c r="BK26" s="124"/>
      <c r="BL26" s="513"/>
      <c r="BM26" s="493" t="s">
        <v>287</v>
      </c>
      <c r="BN26" s="337"/>
      <c r="BO26" s="336"/>
      <c r="BP26" s="511"/>
      <c r="BQ26" s="512"/>
      <c r="BR26" s="336"/>
      <c r="BS26" s="511"/>
      <c r="BT26" s="2838" t="s">
        <v>297</v>
      </c>
      <c r="BU26" s="336"/>
      <c r="BV26" s="514"/>
      <c r="BW26" s="2817"/>
      <c r="BX26" s="338"/>
      <c r="BY26" s="511"/>
      <c r="BZ26" s="512"/>
      <c r="CA26" s="336"/>
    </row>
    <row r="27" spans="1:79" ht="13.5" customHeight="1" x14ac:dyDescent="0.4">
      <c r="A27" s="249"/>
      <c r="B27" s="249"/>
      <c r="C27" s="301"/>
      <c r="D27" s="446"/>
      <c r="E27" s="303"/>
      <c r="F27" s="389"/>
      <c r="G27" s="449"/>
      <c r="H27" s="2838"/>
      <c r="I27" s="256"/>
      <c r="J27" s="451"/>
      <c r="K27" s="390"/>
      <c r="L27" s="259"/>
      <c r="M27" s="270"/>
      <c r="N27" s="473"/>
      <c r="O27" s="270"/>
      <c r="P27" s="453"/>
      <c r="Q27" s="2713" t="s">
        <v>298</v>
      </c>
      <c r="R27" s="261"/>
      <c r="S27" s="264"/>
      <c r="T27" s="2774"/>
      <c r="U27" s="264"/>
      <c r="V27" s="267"/>
      <c r="W27" s="312"/>
      <c r="X27" s="267"/>
      <c r="Y27" s="270"/>
      <c r="Z27" s="473" t="s">
        <v>255</v>
      </c>
      <c r="AA27" s="270"/>
      <c r="AB27" s="271"/>
      <c r="AC27" s="271"/>
      <c r="AD27" s="271"/>
      <c r="AE27" s="454"/>
      <c r="AF27" s="363"/>
      <c r="AG27" s="99"/>
      <c r="AH27" s="100"/>
      <c r="AI27" s="100"/>
      <c r="AJ27" s="102"/>
      <c r="AK27" s="505"/>
      <c r="AL27" s="157"/>
      <c r="AM27" s="507"/>
      <c r="AN27" s="508"/>
      <c r="AO27" s="341"/>
      <c r="AP27" s="108"/>
      <c r="AQ27" s="509"/>
      <c r="AR27" s="518"/>
      <c r="AS27" s="283"/>
      <c r="AT27" s="284"/>
      <c r="AU27" s="519"/>
      <c r="AV27" s="286"/>
      <c r="AW27" s="287"/>
      <c r="AX27" s="326"/>
      <c r="AY27" s="520"/>
      <c r="AZ27" s="521"/>
      <c r="BA27" s="522"/>
      <c r="BB27" s="521"/>
      <c r="BC27" s="432"/>
      <c r="BD27" s="523"/>
      <c r="BE27" s="523"/>
      <c r="BF27" s="484"/>
      <c r="BG27" s="345"/>
      <c r="BH27" s="524"/>
      <c r="BI27" s="485"/>
      <c r="BJ27" s="334"/>
      <c r="BK27" s="124"/>
      <c r="BL27" s="513"/>
      <c r="BM27" s="513"/>
      <c r="BN27" s="337"/>
      <c r="BO27" s="336"/>
      <c r="BP27" s="511"/>
      <c r="BQ27" s="512"/>
      <c r="BR27" s="336"/>
      <c r="BS27" s="511"/>
      <c r="BT27" s="2838"/>
      <c r="BU27" s="336"/>
      <c r="BV27" s="514"/>
      <c r="BW27" s="514"/>
      <c r="BX27" s="338"/>
      <c r="BY27" s="511"/>
      <c r="BZ27" s="512"/>
      <c r="CA27" s="336"/>
    </row>
    <row r="28" spans="1:79" ht="13.5" customHeight="1" x14ac:dyDescent="0.4">
      <c r="A28" s="249"/>
      <c r="B28" s="249"/>
      <c r="C28" s="301"/>
      <c r="D28" s="446"/>
      <c r="E28" s="303"/>
      <c r="F28" s="389"/>
      <c r="G28" s="449"/>
      <c r="H28" s="306"/>
      <c r="I28" s="256"/>
      <c r="J28" s="451"/>
      <c r="K28" s="390"/>
      <c r="L28" s="259"/>
      <c r="M28" s="270"/>
      <c r="N28" s="473"/>
      <c r="O28" s="270"/>
      <c r="P28" s="453"/>
      <c r="Q28" s="2722" t="s">
        <v>299</v>
      </c>
      <c r="R28" s="261"/>
      <c r="S28" s="264"/>
      <c r="T28" s="310"/>
      <c r="U28" s="264"/>
      <c r="V28" s="267"/>
      <c r="W28" s="312"/>
      <c r="X28" s="267"/>
      <c r="Y28" s="270"/>
      <c r="Z28" s="313" t="s">
        <v>300</v>
      </c>
      <c r="AA28" s="270"/>
      <c r="AB28" s="271"/>
      <c r="AC28" s="271"/>
      <c r="AD28" s="271"/>
      <c r="AE28" s="454"/>
      <c r="AF28" s="363"/>
      <c r="AG28" s="99"/>
      <c r="AH28" s="100"/>
      <c r="AI28" s="100"/>
      <c r="AJ28" s="102"/>
      <c r="AK28" s="505"/>
      <c r="AL28" s="157"/>
      <c r="AM28" s="507"/>
      <c r="AN28" s="508"/>
      <c r="AO28" s="341"/>
      <c r="AP28" s="108"/>
      <c r="AQ28" s="509"/>
      <c r="AR28" s="395"/>
      <c r="AS28" s="283"/>
      <c r="AT28" s="284"/>
      <c r="AU28" s="324"/>
      <c r="AV28" s="286"/>
      <c r="AW28" s="287"/>
      <c r="AX28" s="480"/>
      <c r="AY28" s="520"/>
      <c r="AZ28" s="521"/>
      <c r="BA28" s="522"/>
      <c r="BB28" s="521"/>
      <c r="BC28" s="432"/>
      <c r="BD28" s="523"/>
      <c r="BE28" s="523"/>
      <c r="BF28" s="484"/>
      <c r="BG28" s="345"/>
      <c r="BH28" s="524"/>
      <c r="BI28" s="485"/>
      <c r="BJ28" s="485"/>
      <c r="BK28" s="124"/>
      <c r="BL28" s="513"/>
      <c r="BM28" s="513"/>
      <c r="BN28" s="337"/>
      <c r="BO28" s="336"/>
      <c r="BP28" s="511"/>
      <c r="BQ28" s="512"/>
      <c r="BR28" s="336"/>
      <c r="BS28" s="511"/>
      <c r="BT28" s="511"/>
      <c r="BU28" s="336"/>
      <c r="BV28" s="514"/>
      <c r="BW28" s="514"/>
      <c r="BX28" s="338"/>
      <c r="BY28" s="511"/>
      <c r="BZ28" s="512"/>
      <c r="CA28" s="336"/>
    </row>
    <row r="29" spans="1:79" ht="13.5" customHeight="1" x14ac:dyDescent="0.4">
      <c r="A29" s="249"/>
      <c r="B29" s="249"/>
      <c r="C29" s="301"/>
      <c r="D29" s="446"/>
      <c r="E29" s="303"/>
      <c r="F29" s="389"/>
      <c r="G29" s="449"/>
      <c r="H29" s="306"/>
      <c r="I29" s="256"/>
      <c r="J29" s="451"/>
      <c r="K29" s="390"/>
      <c r="L29" s="259"/>
      <c r="M29" s="270"/>
      <c r="N29" s="473"/>
      <c r="O29" s="270"/>
      <c r="P29" s="453"/>
      <c r="Q29" s="2722" t="s">
        <v>301</v>
      </c>
      <c r="R29" s="261"/>
      <c r="S29" s="264"/>
      <c r="T29" s="310"/>
      <c r="U29" s="264"/>
      <c r="V29" s="267"/>
      <c r="W29" s="312"/>
      <c r="X29" s="267"/>
      <c r="Y29" s="270"/>
      <c r="Z29" s="313" t="s">
        <v>302</v>
      </c>
      <c r="AA29" s="270"/>
      <c r="AB29" s="271"/>
      <c r="AC29" s="271"/>
      <c r="AD29" s="271"/>
      <c r="AE29" s="454"/>
      <c r="AF29" s="363"/>
      <c r="AG29" s="99"/>
      <c r="AH29" s="100"/>
      <c r="AI29" s="100"/>
      <c r="AJ29" s="102"/>
      <c r="AK29" s="505"/>
      <c r="AL29" s="157"/>
      <c r="AM29" s="507"/>
      <c r="AN29" s="508"/>
      <c r="AO29" s="341"/>
      <c r="AP29" s="108"/>
      <c r="AQ29" s="509"/>
      <c r="AR29" s="322"/>
      <c r="AS29" s="283"/>
      <c r="AT29" s="284"/>
      <c r="AU29" s="324"/>
      <c r="AV29" s="286"/>
      <c r="AW29" s="287"/>
      <c r="AX29" s="480"/>
      <c r="AY29" s="520"/>
      <c r="AZ29" s="521"/>
      <c r="BA29" s="328"/>
      <c r="BB29" s="521"/>
      <c r="BC29" s="432"/>
      <c r="BD29" s="523"/>
      <c r="BE29" s="523"/>
      <c r="BF29" s="484"/>
      <c r="BG29" s="345"/>
      <c r="BH29" s="524"/>
      <c r="BI29" s="485"/>
      <c r="BJ29" s="485"/>
      <c r="BK29" s="124"/>
      <c r="BL29" s="513"/>
      <c r="BM29" s="513"/>
      <c r="BN29" s="337"/>
      <c r="BO29" s="336"/>
      <c r="BP29" s="511"/>
      <c r="BQ29" s="512"/>
      <c r="BR29" s="336"/>
      <c r="BS29" s="511"/>
      <c r="BT29" s="511"/>
      <c r="BU29" s="336"/>
      <c r="BV29" s="514"/>
      <c r="BW29" s="514"/>
      <c r="BX29" s="338"/>
      <c r="BY29" s="511"/>
      <c r="BZ29" s="512"/>
      <c r="CA29" s="336"/>
    </row>
    <row r="30" spans="1:79" ht="13.5" customHeight="1" x14ac:dyDescent="0.4">
      <c r="A30" s="249"/>
      <c r="B30" s="249"/>
      <c r="C30" s="301"/>
      <c r="D30" s="446"/>
      <c r="E30" s="303"/>
      <c r="F30" s="389"/>
      <c r="G30" s="449"/>
      <c r="H30" s="306"/>
      <c r="I30" s="256"/>
      <c r="J30" s="451"/>
      <c r="K30" s="307"/>
      <c r="L30" s="259"/>
      <c r="M30" s="270"/>
      <c r="N30" s="473"/>
      <c r="O30" s="270"/>
      <c r="P30" s="453"/>
      <c r="Q30" s="2819" t="s">
        <v>303</v>
      </c>
      <c r="R30" s="261"/>
      <c r="S30" s="264"/>
      <c r="T30" s="2775"/>
      <c r="U30" s="264"/>
      <c r="V30" s="267"/>
      <c r="W30" s="312"/>
      <c r="X30" s="267"/>
      <c r="Y30" s="270"/>
      <c r="Z30" s="525" t="s">
        <v>304</v>
      </c>
      <c r="AA30" s="270"/>
      <c r="AB30" s="271"/>
      <c r="AC30" s="271"/>
      <c r="AD30" s="271"/>
      <c r="AE30" s="454"/>
      <c r="AF30" s="363"/>
      <c r="AG30" s="99"/>
      <c r="AH30" s="100"/>
      <c r="AI30" s="100"/>
      <c r="AJ30" s="102"/>
      <c r="AK30" s="505"/>
      <c r="AL30" s="157"/>
      <c r="AM30" s="507"/>
      <c r="AN30" s="508"/>
      <c r="AO30" s="341"/>
      <c r="AP30" s="108"/>
      <c r="AQ30" s="509"/>
      <c r="AR30" s="322"/>
      <c r="AS30" s="283"/>
      <c r="AT30" s="284"/>
      <c r="AU30" s="324"/>
      <c r="AV30" s="286"/>
      <c r="AW30" s="287"/>
      <c r="AX30" s="480"/>
      <c r="AY30" s="520"/>
      <c r="AZ30" s="521"/>
      <c r="BA30" s="522"/>
      <c r="BB30" s="521"/>
      <c r="BC30" s="432"/>
      <c r="BD30" s="523"/>
      <c r="BE30" s="523"/>
      <c r="BF30" s="484"/>
      <c r="BG30" s="353"/>
      <c r="BH30" s="524"/>
      <c r="BI30" s="485"/>
      <c r="BJ30" s="485"/>
      <c r="BK30" s="124"/>
      <c r="BL30" s="513"/>
      <c r="BM30" s="513"/>
      <c r="BN30" s="337"/>
      <c r="BO30" s="336"/>
      <c r="BP30" s="511"/>
      <c r="BQ30" s="512"/>
      <c r="BR30" s="336"/>
      <c r="BS30" s="511"/>
      <c r="BT30" s="511"/>
      <c r="BU30" s="336"/>
      <c r="BV30" s="514"/>
      <c r="BW30" s="514"/>
      <c r="BX30" s="338"/>
      <c r="BY30" s="511"/>
      <c r="BZ30" s="512"/>
      <c r="CA30" s="336"/>
    </row>
    <row r="31" spans="1:79" ht="13.5" customHeight="1" x14ac:dyDescent="0.4">
      <c r="A31" s="249"/>
      <c r="B31" s="249"/>
      <c r="C31" s="301"/>
      <c r="D31" s="446"/>
      <c r="E31" s="303"/>
      <c r="F31" s="389"/>
      <c r="G31" s="449"/>
      <c r="H31" s="306"/>
      <c r="I31" s="256"/>
      <c r="J31" s="451"/>
      <c r="K31" s="390"/>
      <c r="L31" s="259"/>
      <c r="M31" s="270"/>
      <c r="N31" s="473"/>
      <c r="O31" s="270"/>
      <c r="P31" s="453"/>
      <c r="Q31" s="2819"/>
      <c r="R31" s="261"/>
      <c r="S31" s="264"/>
      <c r="T31" s="526"/>
      <c r="U31" s="264"/>
      <c r="V31" s="267"/>
      <c r="W31" s="527"/>
      <c r="X31" s="267"/>
      <c r="Y31" s="270"/>
      <c r="Z31" s="528"/>
      <c r="AA31" s="270"/>
      <c r="AB31" s="271"/>
      <c r="AC31" s="271"/>
      <c r="AD31" s="271"/>
      <c r="AE31" s="454"/>
      <c r="AF31" s="363"/>
      <c r="AG31" s="99"/>
      <c r="AH31" s="100"/>
      <c r="AI31" s="100"/>
      <c r="AJ31" s="102"/>
      <c r="AK31" s="505"/>
      <c r="AL31" s="157"/>
      <c r="AM31" s="507"/>
      <c r="AN31" s="508"/>
      <c r="AO31" s="319"/>
      <c r="AP31" s="108"/>
      <c r="AQ31" s="509"/>
      <c r="AR31" s="322"/>
      <c r="AS31" s="283"/>
      <c r="AT31" s="284"/>
      <c r="AU31" s="324"/>
      <c r="AV31" s="286"/>
      <c r="AW31" s="287"/>
      <c r="AX31" s="480"/>
      <c r="AY31" s="520"/>
      <c r="AZ31" s="521"/>
      <c r="BA31" s="522"/>
      <c r="BB31" s="521"/>
      <c r="BC31" s="432"/>
      <c r="BD31" s="483"/>
      <c r="BE31" s="523"/>
      <c r="BF31" s="484"/>
      <c r="BG31" s="484"/>
      <c r="BH31" s="524"/>
      <c r="BI31" s="485"/>
      <c r="BJ31" s="485"/>
      <c r="BK31" s="124"/>
      <c r="BL31" s="513"/>
      <c r="BM31" s="513"/>
      <c r="BN31" s="337"/>
      <c r="BO31" s="336"/>
      <c r="BP31" s="511"/>
      <c r="BQ31" s="512"/>
      <c r="BR31" s="336"/>
      <c r="BS31" s="511"/>
      <c r="BT31" s="511"/>
      <c r="BU31" s="336"/>
      <c r="BV31" s="514"/>
      <c r="BW31" s="514"/>
      <c r="BX31" s="338"/>
      <c r="BY31" s="511"/>
      <c r="BZ31" s="512"/>
      <c r="CA31" s="336"/>
    </row>
    <row r="32" spans="1:79" ht="13.5" customHeight="1" x14ac:dyDescent="0.4">
      <c r="A32" s="249"/>
      <c r="B32" s="249"/>
      <c r="C32" s="301"/>
      <c r="D32" s="446"/>
      <c r="E32" s="303"/>
      <c r="F32" s="389"/>
      <c r="G32" s="449"/>
      <c r="H32" s="306"/>
      <c r="I32" s="256"/>
      <c r="J32" s="451"/>
      <c r="K32" s="390"/>
      <c r="L32" s="259"/>
      <c r="M32" s="202"/>
      <c r="N32" s="473"/>
      <c r="O32" s="202"/>
      <c r="P32" s="2578"/>
      <c r="Q32" s="2818"/>
      <c r="R32" s="195"/>
      <c r="S32" s="198"/>
      <c r="T32" s="2776"/>
      <c r="U32" s="198"/>
      <c r="V32" s="201"/>
      <c r="W32" s="2579"/>
      <c r="X32" s="201"/>
      <c r="Y32" s="202"/>
      <c r="Z32" s="2580"/>
      <c r="AA32" s="202"/>
      <c r="AB32" s="204"/>
      <c r="AC32" s="204"/>
      <c r="AD32" s="204"/>
      <c r="AE32" s="543"/>
      <c r="AF32" s="544"/>
      <c r="AG32" s="207"/>
      <c r="AH32" s="208"/>
      <c r="AI32" s="208"/>
      <c r="AJ32" s="210"/>
      <c r="AK32" s="545"/>
      <c r="AL32" s="2581"/>
      <c r="AM32" s="2582"/>
      <c r="AN32" s="2583"/>
      <c r="AO32" s="2584"/>
      <c r="AP32" s="550"/>
      <c r="AQ32" s="551"/>
      <c r="AR32" s="2585"/>
      <c r="AS32" s="552"/>
      <c r="AT32" s="553"/>
      <c r="AU32" s="2586"/>
      <c r="AV32" s="220"/>
      <c r="AW32" s="221"/>
      <c r="AX32" s="2587"/>
      <c r="AY32" s="2588"/>
      <c r="AZ32" s="2589"/>
      <c r="BA32" s="2590"/>
      <c r="BB32" s="2589"/>
      <c r="BC32" s="558"/>
      <c r="BD32" s="2591"/>
      <c r="BE32" s="2592"/>
      <c r="BF32" s="2593"/>
      <c r="BG32" s="2593"/>
      <c r="BH32" s="2594"/>
      <c r="BI32" s="2595"/>
      <c r="BJ32" s="2595"/>
      <c r="BK32" s="561"/>
      <c r="BL32" s="531"/>
      <c r="BM32" s="531"/>
      <c r="BN32" s="244"/>
      <c r="BO32" s="241"/>
      <c r="BP32" s="532"/>
      <c r="BQ32" s="533"/>
      <c r="BR32" s="241"/>
      <c r="BS32" s="532"/>
      <c r="BT32" s="532"/>
      <c r="BU32" s="241"/>
      <c r="BV32" s="534"/>
      <c r="BW32" s="534"/>
      <c r="BX32" s="248"/>
      <c r="BY32" s="511"/>
      <c r="BZ32" s="512"/>
      <c r="CA32" s="336"/>
    </row>
    <row r="33" spans="1:79" ht="18" hidden="1" customHeight="1" x14ac:dyDescent="0.4">
      <c r="A33" s="249"/>
      <c r="B33" s="249"/>
      <c r="C33" s="301"/>
      <c r="D33" s="446"/>
      <c r="E33" s="535"/>
      <c r="F33" s="536"/>
      <c r="G33" s="449"/>
      <c r="H33" s="537"/>
      <c r="I33" s="256"/>
      <c r="J33" s="451"/>
      <c r="K33" s="538"/>
      <c r="L33" s="259"/>
      <c r="M33" s="270"/>
      <c r="N33" s="528"/>
      <c r="O33" s="270"/>
      <c r="P33" s="453"/>
      <c r="Q33" s="539"/>
      <c r="R33" s="261"/>
      <c r="S33" s="264"/>
      <c r="T33" s="529"/>
      <c r="U33" s="264"/>
      <c r="V33" s="267"/>
      <c r="W33" s="540"/>
      <c r="X33" s="267"/>
      <c r="Y33" s="270"/>
      <c r="Z33" s="528"/>
      <c r="AA33" s="270"/>
      <c r="AB33" s="271"/>
      <c r="AC33" s="271"/>
      <c r="AD33" s="271"/>
      <c r="AE33" s="454"/>
      <c r="AF33" s="363"/>
      <c r="AG33" s="99"/>
      <c r="AH33" s="100"/>
      <c r="AI33" s="100"/>
      <c r="AJ33" s="102"/>
      <c r="AK33" s="505"/>
      <c r="AL33" s="157"/>
      <c r="AM33" s="507"/>
      <c r="AN33" s="508"/>
      <c r="AO33" s="319"/>
      <c r="AP33" s="108"/>
      <c r="AQ33" s="509"/>
      <c r="AR33" s="322"/>
      <c r="AS33" s="283"/>
      <c r="AT33" s="284"/>
      <c r="AU33" s="324"/>
      <c r="AV33" s="286"/>
      <c r="AW33" s="287"/>
      <c r="AX33" s="430"/>
      <c r="AY33" s="520"/>
      <c r="AZ33" s="521"/>
      <c r="BA33" s="482"/>
      <c r="BB33" s="521"/>
      <c r="BC33" s="432"/>
      <c r="BD33" s="523"/>
      <c r="BE33" s="523"/>
      <c r="BF33" s="484"/>
      <c r="BG33" s="484"/>
      <c r="BH33" s="524"/>
      <c r="BI33" s="485"/>
      <c r="BJ33" s="485"/>
      <c r="BK33" s="124"/>
      <c r="BL33" s="511"/>
      <c r="BM33" s="511"/>
      <c r="BN33" s="336"/>
      <c r="BO33" s="336"/>
      <c r="BP33" s="511"/>
      <c r="BQ33" s="512"/>
      <c r="BR33" s="336"/>
      <c r="BS33" s="511"/>
      <c r="BT33" s="511"/>
      <c r="BU33" s="336"/>
      <c r="BV33" s="514"/>
      <c r="BW33" s="514"/>
      <c r="BX33" s="338"/>
      <c r="BY33" s="511"/>
      <c r="BZ33" s="512"/>
      <c r="CA33" s="336"/>
    </row>
    <row r="34" spans="1:79" ht="18" hidden="1" customHeight="1" x14ac:dyDescent="0.4">
      <c r="A34" s="249"/>
      <c r="B34" s="249"/>
      <c r="C34" s="301"/>
      <c r="D34" s="446"/>
      <c r="E34" s="535"/>
      <c r="F34" s="536"/>
      <c r="G34" s="449"/>
      <c r="H34" s="537"/>
      <c r="I34" s="256"/>
      <c r="J34" s="451"/>
      <c r="K34" s="538"/>
      <c r="L34" s="259"/>
      <c r="M34" s="270"/>
      <c r="N34" s="528"/>
      <c r="O34" s="270"/>
      <c r="P34" s="453"/>
      <c r="Q34" s="539"/>
      <c r="R34" s="261"/>
      <c r="S34" s="264"/>
      <c r="T34" s="529"/>
      <c r="U34" s="264"/>
      <c r="V34" s="267"/>
      <c r="W34" s="540"/>
      <c r="X34" s="267"/>
      <c r="Y34" s="270"/>
      <c r="Z34" s="528"/>
      <c r="AA34" s="270"/>
      <c r="AB34" s="271"/>
      <c r="AC34" s="271"/>
      <c r="AD34" s="271"/>
      <c r="AE34" s="454"/>
      <c r="AF34" s="363"/>
      <c r="AG34" s="99"/>
      <c r="AH34" s="100"/>
      <c r="AI34" s="100"/>
      <c r="AJ34" s="102"/>
      <c r="AK34" s="505"/>
      <c r="AL34" s="157"/>
      <c r="AM34" s="507"/>
      <c r="AN34" s="508"/>
      <c r="AO34" s="319"/>
      <c r="AP34" s="108"/>
      <c r="AQ34" s="509"/>
      <c r="AR34" s="322"/>
      <c r="AS34" s="283"/>
      <c r="AT34" s="284"/>
      <c r="AU34" s="519"/>
      <c r="AV34" s="286"/>
      <c r="AW34" s="287"/>
      <c r="AX34" s="480"/>
      <c r="AY34" s="520"/>
      <c r="AZ34" s="521"/>
      <c r="BA34" s="521"/>
      <c r="BB34" s="521"/>
      <c r="BC34" s="432"/>
      <c r="BD34" s="523"/>
      <c r="BE34" s="523"/>
      <c r="BF34" s="484"/>
      <c r="BG34" s="484"/>
      <c r="BH34" s="524"/>
      <c r="BI34" s="485"/>
      <c r="BJ34" s="485"/>
      <c r="BK34" s="124"/>
      <c r="BL34" s="511"/>
      <c r="BM34" s="511"/>
      <c r="BN34" s="336"/>
      <c r="BO34" s="336"/>
      <c r="BP34" s="511"/>
      <c r="BQ34" s="512"/>
      <c r="BR34" s="336"/>
      <c r="BS34" s="511"/>
      <c r="BT34" s="511"/>
      <c r="BU34" s="336"/>
      <c r="BV34" s="514"/>
      <c r="BW34" s="514"/>
      <c r="BX34" s="338"/>
      <c r="BY34" s="511"/>
      <c r="BZ34" s="512"/>
      <c r="CA34" s="336"/>
    </row>
    <row r="35" spans="1:79" ht="18" hidden="1" customHeight="1" x14ac:dyDescent="0.4">
      <c r="A35" s="541"/>
      <c r="B35" s="541"/>
      <c r="C35" s="542"/>
      <c r="D35" s="185"/>
      <c r="E35" s="535"/>
      <c r="F35" s="536"/>
      <c r="G35" s="187"/>
      <c r="H35" s="537"/>
      <c r="I35" s="189"/>
      <c r="J35" s="190"/>
      <c r="K35" s="538"/>
      <c r="L35" s="192"/>
      <c r="M35" s="270"/>
      <c r="N35" s="528"/>
      <c r="O35" s="270"/>
      <c r="P35" s="193"/>
      <c r="Q35" s="539"/>
      <c r="R35" s="195"/>
      <c r="S35" s="264"/>
      <c r="T35" s="529"/>
      <c r="U35" s="264"/>
      <c r="V35" s="201"/>
      <c r="W35" s="540"/>
      <c r="X35" s="267"/>
      <c r="Y35" s="270"/>
      <c r="Z35" s="528"/>
      <c r="AA35" s="270"/>
      <c r="AB35" s="271"/>
      <c r="AC35" s="271"/>
      <c r="AD35" s="271"/>
      <c r="AE35" s="543"/>
      <c r="AF35" s="544"/>
      <c r="AG35" s="207"/>
      <c r="AH35" s="208"/>
      <c r="AI35" s="208"/>
      <c r="AJ35" s="210"/>
      <c r="AK35" s="545"/>
      <c r="AL35" s="546"/>
      <c r="AM35" s="547"/>
      <c r="AN35" s="548"/>
      <c r="AO35" s="549"/>
      <c r="AP35" s="550"/>
      <c r="AQ35" s="551"/>
      <c r="AR35" s="551"/>
      <c r="AS35" s="552"/>
      <c r="AT35" s="553"/>
      <c r="AU35" s="554"/>
      <c r="AV35" s="220"/>
      <c r="AW35" s="221"/>
      <c r="AX35" s="555"/>
      <c r="AY35" s="201"/>
      <c r="AZ35" s="556"/>
      <c r="BA35" s="556"/>
      <c r="BB35" s="557"/>
      <c r="BC35" s="558"/>
      <c r="BD35" s="558"/>
      <c r="BE35" s="204"/>
      <c r="BF35" s="559"/>
      <c r="BG35" s="559"/>
      <c r="BH35" s="560"/>
      <c r="BI35" s="561"/>
      <c r="BJ35" s="561"/>
      <c r="BK35" s="561"/>
      <c r="BL35" s="532"/>
      <c r="BM35" s="532"/>
      <c r="BN35" s="241"/>
      <c r="BO35" s="241"/>
      <c r="BP35" s="532"/>
      <c r="BQ35" s="533"/>
      <c r="BR35" s="241"/>
      <c r="BS35" s="532"/>
      <c r="BT35" s="532"/>
      <c r="BU35" s="241"/>
      <c r="BV35" s="534"/>
      <c r="BW35" s="534"/>
      <c r="BX35" s="248"/>
      <c r="BY35" s="532"/>
      <c r="BZ35" s="533"/>
      <c r="CA35" s="241"/>
    </row>
    <row r="36" spans="1:79" ht="14.1" customHeight="1" x14ac:dyDescent="0.4">
      <c r="A36" s="249"/>
      <c r="B36" s="249"/>
      <c r="C36" s="564"/>
      <c r="D36" s="446"/>
      <c r="E36" s="535"/>
      <c r="F36" s="536"/>
      <c r="G36" s="449"/>
      <c r="H36" s="537"/>
      <c r="I36" s="256"/>
      <c r="J36" s="451"/>
      <c r="K36" s="390"/>
      <c r="L36" s="259"/>
      <c r="M36" s="443"/>
      <c r="N36" s="2726"/>
      <c r="O36" s="2727"/>
      <c r="P36" s="565"/>
      <c r="Q36" s="566"/>
      <c r="R36" s="565"/>
      <c r="S36" s="566"/>
      <c r="T36" s="567"/>
      <c r="U36" s="568"/>
      <c r="V36" s="566"/>
      <c r="W36" s="567"/>
      <c r="X36" s="568"/>
      <c r="Y36" s="566"/>
      <c r="Z36" s="567"/>
      <c r="AA36" s="568"/>
      <c r="AB36" s="566"/>
      <c r="AC36" s="567"/>
      <c r="AD36" s="567"/>
      <c r="AE36" s="565"/>
      <c r="AF36" s="566"/>
      <c r="AG36" s="567"/>
      <c r="AH36" s="568"/>
      <c r="AI36" s="566"/>
      <c r="AJ36" s="567"/>
      <c r="AK36" s="568"/>
      <c r="AL36" s="566"/>
      <c r="AM36" s="567"/>
      <c r="AN36" s="568"/>
      <c r="AO36" s="566"/>
      <c r="AP36" s="567"/>
      <c r="AQ36" s="568"/>
      <c r="AR36" s="566"/>
      <c r="AS36" s="567"/>
      <c r="AT36" s="568"/>
      <c r="AU36" s="566"/>
      <c r="AV36" s="567"/>
      <c r="AW36" s="568"/>
      <c r="AX36" s="566"/>
      <c r="AY36" s="567"/>
      <c r="AZ36" s="568"/>
      <c r="BA36" s="566"/>
      <c r="BB36" s="567"/>
      <c r="BC36" s="568"/>
      <c r="BD36" s="566"/>
      <c r="BE36" s="567"/>
      <c r="BF36" s="567"/>
      <c r="BG36" s="569"/>
      <c r="BH36" s="567"/>
      <c r="BI36" s="567"/>
      <c r="BJ36" s="569"/>
      <c r="BK36" s="567"/>
      <c r="BL36" s="568"/>
      <c r="BM36" s="567"/>
      <c r="BN36" s="567"/>
      <c r="BO36" s="567"/>
      <c r="BP36" s="568"/>
      <c r="BQ36" s="566"/>
      <c r="BR36" s="567"/>
      <c r="BS36" s="568"/>
      <c r="BT36" s="567"/>
      <c r="BU36" s="567"/>
      <c r="BV36" s="568"/>
      <c r="BW36" s="567"/>
      <c r="BX36" s="2807"/>
      <c r="BY36" s="568"/>
      <c r="BZ36" s="566"/>
      <c r="CA36" s="567"/>
    </row>
    <row r="37" spans="1:79" ht="13.5" customHeight="1" x14ac:dyDescent="0.4">
      <c r="A37" s="249"/>
      <c r="B37" s="249"/>
      <c r="C37" s="564"/>
      <c r="D37" s="570"/>
      <c r="E37" s="535"/>
      <c r="F37" s="535"/>
      <c r="G37" s="571"/>
      <c r="H37" s="537"/>
      <c r="I37" s="572"/>
      <c r="J37" s="451"/>
      <c r="K37" s="390"/>
      <c r="L37" s="259"/>
      <c r="M37" s="2728"/>
      <c r="N37" s="2726"/>
      <c r="O37" s="2729"/>
      <c r="P37" s="568"/>
      <c r="Q37" s="566"/>
      <c r="R37" s="565"/>
      <c r="S37" s="566"/>
      <c r="T37" s="567"/>
      <c r="U37" s="568"/>
      <c r="V37" s="566"/>
      <c r="W37" s="567"/>
      <c r="X37" s="568"/>
      <c r="Y37" s="566"/>
      <c r="Z37" s="567"/>
      <c r="AA37" s="568"/>
      <c r="AB37" s="566"/>
      <c r="AC37" s="567"/>
      <c r="AD37" s="567"/>
      <c r="AE37" s="565"/>
      <c r="AF37" s="566"/>
      <c r="AG37" s="567"/>
      <c r="AH37" s="568"/>
      <c r="AI37" s="566"/>
      <c r="AJ37" s="567"/>
      <c r="AK37" s="568"/>
      <c r="AL37" s="566"/>
      <c r="AM37" s="567"/>
      <c r="AN37" s="568"/>
      <c r="AO37" s="566"/>
      <c r="AP37" s="567"/>
      <c r="AQ37" s="568"/>
      <c r="AR37" s="566"/>
      <c r="AS37" s="567"/>
      <c r="AT37" s="568"/>
      <c r="AU37" s="566"/>
      <c r="AV37" s="567"/>
      <c r="AW37" s="568"/>
      <c r="AX37" s="566"/>
      <c r="AY37" s="567"/>
      <c r="AZ37" s="568"/>
      <c r="BA37" s="566"/>
      <c r="BB37" s="567"/>
      <c r="BC37" s="568"/>
      <c r="BD37" s="566"/>
      <c r="BE37" s="567"/>
      <c r="BF37" s="567"/>
      <c r="BG37" s="569"/>
      <c r="BH37" s="567"/>
      <c r="BI37" s="567"/>
      <c r="BJ37" s="569"/>
      <c r="BK37" s="567"/>
      <c r="BL37" s="568"/>
      <c r="BM37" s="567"/>
      <c r="BN37" s="567"/>
      <c r="BO37" s="567"/>
      <c r="BP37" s="568"/>
      <c r="BQ37" s="566"/>
      <c r="BR37" s="567"/>
      <c r="BS37" s="568"/>
      <c r="BT37" s="567"/>
      <c r="BU37" s="567"/>
      <c r="BV37" s="568"/>
      <c r="BW37" s="567"/>
      <c r="BX37" s="2807"/>
      <c r="BY37" s="568"/>
      <c r="BZ37" s="566"/>
      <c r="CA37" s="567"/>
    </row>
    <row r="38" spans="1:79" ht="21" customHeight="1" x14ac:dyDescent="0.4">
      <c r="A38" s="249"/>
      <c r="B38" s="249"/>
      <c r="C38" s="573"/>
      <c r="D38" s="574"/>
      <c r="E38" s="575" t="s">
        <v>305</v>
      </c>
      <c r="F38" s="576"/>
      <c r="G38" s="576"/>
      <c r="H38" s="575" t="s">
        <v>305</v>
      </c>
      <c r="I38" s="577"/>
      <c r="J38" s="576"/>
      <c r="K38" s="575" t="s">
        <v>305</v>
      </c>
      <c r="L38" s="577"/>
      <c r="M38" s="576"/>
      <c r="N38" s="575" t="s">
        <v>305</v>
      </c>
      <c r="O38" s="577"/>
      <c r="P38" s="565"/>
      <c r="Q38" s="566"/>
      <c r="R38" s="565"/>
      <c r="S38" s="566"/>
      <c r="T38" s="567"/>
      <c r="U38" s="568"/>
      <c r="V38" s="566"/>
      <c r="W38" s="567"/>
      <c r="X38" s="568"/>
      <c r="Y38" s="566"/>
      <c r="Z38" s="567"/>
      <c r="AA38" s="568"/>
      <c r="AB38" s="566"/>
      <c r="AC38" s="567"/>
      <c r="AD38" s="567"/>
      <c r="AE38" s="565"/>
      <c r="AF38" s="566"/>
      <c r="AG38" s="567"/>
      <c r="AH38" s="568"/>
      <c r="AI38" s="566"/>
      <c r="AJ38" s="567"/>
      <c r="AK38" s="568"/>
      <c r="AL38" s="566"/>
      <c r="AM38" s="567"/>
      <c r="AN38" s="568"/>
      <c r="AO38" s="566"/>
      <c r="AP38" s="567"/>
      <c r="AQ38" s="568"/>
      <c r="AR38" s="566"/>
      <c r="AS38" s="567"/>
      <c r="AT38" s="568"/>
      <c r="AU38" s="566"/>
      <c r="AV38" s="567"/>
      <c r="AW38" s="568"/>
      <c r="AX38" s="566"/>
      <c r="AY38" s="567"/>
      <c r="AZ38" s="568"/>
      <c r="BA38" s="566"/>
      <c r="BB38" s="567"/>
      <c r="BC38" s="568"/>
      <c r="BD38" s="566"/>
      <c r="BE38" s="567"/>
      <c r="BF38" s="567"/>
      <c r="BG38" s="569"/>
      <c r="BH38" s="567"/>
      <c r="BI38" s="567"/>
      <c r="BJ38" s="569"/>
      <c r="BK38" s="567"/>
      <c r="BL38" s="568"/>
      <c r="BM38" s="567"/>
      <c r="BN38" s="567"/>
      <c r="BO38" s="567"/>
      <c r="BP38" s="568"/>
      <c r="BQ38" s="566"/>
      <c r="BR38" s="567"/>
      <c r="BS38" s="568"/>
      <c r="BT38" s="567"/>
      <c r="BU38" s="567"/>
      <c r="BV38" s="568"/>
      <c r="BW38" s="567"/>
      <c r="BX38" s="2807"/>
      <c r="BY38" s="568"/>
      <c r="BZ38" s="566"/>
      <c r="CA38" s="567"/>
    </row>
    <row r="39" spans="1:79" ht="21" customHeight="1" x14ac:dyDescent="0.4">
      <c r="A39" s="249"/>
      <c r="B39" s="249"/>
      <c r="C39" s="578">
        <v>0.25</v>
      </c>
      <c r="D39" s="2730"/>
      <c r="E39" s="614"/>
      <c r="F39" s="673"/>
      <c r="G39" s="581"/>
      <c r="H39" s="612"/>
      <c r="I39" s="581"/>
      <c r="J39" s="579"/>
      <c r="K39" s="583" t="s">
        <v>306</v>
      </c>
      <c r="L39" s="580"/>
      <c r="M39" s="2731"/>
      <c r="N39" s="1126"/>
      <c r="O39" s="2731"/>
      <c r="P39" s="568"/>
      <c r="Q39" s="566"/>
      <c r="R39" s="568"/>
      <c r="S39" s="566"/>
      <c r="T39" s="567"/>
      <c r="U39" s="568"/>
      <c r="V39" s="566"/>
      <c r="W39" s="567"/>
      <c r="X39" s="568"/>
      <c r="Y39" s="566"/>
      <c r="Z39" s="567"/>
      <c r="AA39" s="568"/>
      <c r="AB39" s="566"/>
      <c r="AC39" s="567"/>
      <c r="AD39" s="567"/>
      <c r="AE39" s="568"/>
      <c r="AF39" s="566"/>
      <c r="AG39" s="567"/>
      <c r="AH39" s="568"/>
      <c r="AI39" s="566"/>
      <c r="AJ39" s="567"/>
      <c r="AK39" s="568"/>
      <c r="AL39" s="566"/>
      <c r="AM39" s="567"/>
      <c r="AN39" s="568"/>
      <c r="AO39" s="566"/>
      <c r="AP39" s="567"/>
      <c r="AQ39" s="568"/>
      <c r="AR39" s="566"/>
      <c r="AS39" s="567"/>
      <c r="AT39" s="568"/>
      <c r="AU39" s="566"/>
      <c r="AV39" s="567"/>
      <c r="AW39" s="568"/>
      <c r="AX39" s="566"/>
      <c r="AY39" s="567"/>
      <c r="AZ39" s="568"/>
      <c r="BA39" s="566"/>
      <c r="BB39" s="567"/>
      <c r="BC39" s="568"/>
      <c r="BD39" s="566"/>
      <c r="BE39" s="567"/>
      <c r="BF39" s="567"/>
      <c r="BG39" s="569"/>
      <c r="BH39" s="567"/>
      <c r="BI39" s="567"/>
      <c r="BJ39" s="569"/>
      <c r="BK39" s="567"/>
      <c r="BL39" s="568"/>
      <c r="BM39" s="567"/>
      <c r="BN39" s="567"/>
      <c r="BO39" s="567"/>
      <c r="BP39" s="568"/>
      <c r="BQ39" s="566"/>
      <c r="BR39" s="567"/>
      <c r="BS39" s="568"/>
      <c r="BT39" s="567"/>
      <c r="BU39" s="567"/>
      <c r="BV39" s="568"/>
      <c r="BW39" s="567"/>
      <c r="BX39" s="2807"/>
      <c r="BY39" s="568"/>
      <c r="BZ39" s="566"/>
      <c r="CA39" s="567"/>
    </row>
    <row r="40" spans="1:79" ht="21" customHeight="1" x14ac:dyDescent="0.4">
      <c r="A40" s="249"/>
      <c r="B40" s="249"/>
      <c r="C40" s="584" t="s">
        <v>307</v>
      </c>
      <c r="D40" s="585"/>
      <c r="E40" s="614"/>
      <c r="F40" s="585"/>
      <c r="G40" s="581"/>
      <c r="H40" s="612"/>
      <c r="I40" s="581"/>
      <c r="J40" s="582"/>
      <c r="K40" s="586"/>
      <c r="L40" s="582"/>
      <c r="M40" s="2731"/>
      <c r="N40" s="1126"/>
      <c r="O40" s="2731"/>
      <c r="P40" s="568"/>
      <c r="Q40" s="566"/>
      <c r="R40" s="568"/>
      <c r="S40" s="566"/>
      <c r="T40" s="567"/>
      <c r="U40" s="568"/>
      <c r="V40" s="566"/>
      <c r="W40" s="567"/>
      <c r="X40" s="568"/>
      <c r="Y40" s="566"/>
      <c r="Z40" s="567"/>
      <c r="AA40" s="568"/>
      <c r="AB40" s="566"/>
      <c r="AC40" s="567"/>
      <c r="AD40" s="567"/>
      <c r="AE40" s="568"/>
      <c r="AF40" s="566"/>
      <c r="AG40" s="567"/>
      <c r="AH40" s="568"/>
      <c r="AI40" s="566"/>
      <c r="AJ40" s="567"/>
      <c r="AK40" s="568"/>
      <c r="AL40" s="566"/>
      <c r="AM40" s="567"/>
      <c r="AN40" s="568"/>
      <c r="AO40" s="566"/>
      <c r="AP40" s="567"/>
      <c r="AQ40" s="568"/>
      <c r="AR40" s="566"/>
      <c r="AS40" s="567"/>
      <c r="AT40" s="568"/>
      <c r="AU40" s="566"/>
      <c r="AV40" s="567"/>
      <c r="AW40" s="568"/>
      <c r="AX40" s="566"/>
      <c r="AY40" s="567"/>
      <c r="AZ40" s="568"/>
      <c r="BA40" s="566"/>
      <c r="BB40" s="567"/>
      <c r="BC40" s="568"/>
      <c r="BD40" s="566"/>
      <c r="BE40" s="567"/>
      <c r="BF40" s="567"/>
      <c r="BG40" s="569"/>
      <c r="BH40" s="567"/>
      <c r="BI40" s="567"/>
      <c r="BJ40" s="569"/>
      <c r="BK40" s="567"/>
      <c r="BL40" s="568"/>
      <c r="BM40" s="567"/>
      <c r="BN40" s="567"/>
      <c r="BO40" s="567"/>
      <c r="BP40" s="568"/>
      <c r="BQ40" s="566"/>
      <c r="BR40" s="567"/>
      <c r="BS40" s="568"/>
      <c r="BT40" s="567"/>
      <c r="BU40" s="567"/>
      <c r="BV40" s="568"/>
      <c r="BW40" s="567"/>
      <c r="BX40" s="2807"/>
      <c r="BY40" s="568"/>
      <c r="BZ40" s="566"/>
      <c r="CA40" s="567"/>
    </row>
    <row r="41" spans="1:79" ht="21" customHeight="1" x14ac:dyDescent="0.4">
      <c r="A41" s="249"/>
      <c r="B41" s="249"/>
      <c r="C41" s="584">
        <v>0.25347222222222221</v>
      </c>
      <c r="D41" s="587"/>
      <c r="E41" s="614"/>
      <c r="F41" s="587"/>
      <c r="G41" s="588"/>
      <c r="H41" s="612"/>
      <c r="I41" s="588"/>
      <c r="J41" s="582"/>
      <c r="K41" s="586"/>
      <c r="L41" s="582"/>
      <c r="M41" s="685"/>
      <c r="N41" s="1126"/>
      <c r="O41" s="685"/>
      <c r="P41" s="568"/>
      <c r="Q41" s="566"/>
      <c r="R41" s="568"/>
      <c r="S41" s="566"/>
      <c r="T41" s="567"/>
      <c r="U41" s="568"/>
      <c r="V41" s="566"/>
      <c r="W41" s="567"/>
      <c r="X41" s="568"/>
      <c r="Y41" s="566"/>
      <c r="Z41" s="567"/>
      <c r="AA41" s="568"/>
      <c r="AB41" s="566"/>
      <c r="AC41" s="567"/>
      <c r="AD41" s="567"/>
      <c r="AE41" s="568"/>
      <c r="AF41" s="566"/>
      <c r="AG41" s="567"/>
      <c r="AH41" s="568"/>
      <c r="AI41" s="566"/>
      <c r="AJ41" s="567"/>
      <c r="AK41" s="568"/>
      <c r="AL41" s="566"/>
      <c r="AM41" s="567"/>
      <c r="AN41" s="568"/>
      <c r="AO41" s="566"/>
      <c r="AP41" s="567"/>
      <c r="AQ41" s="568"/>
      <c r="AR41" s="566"/>
      <c r="AS41" s="567"/>
      <c r="AT41" s="568"/>
      <c r="AU41" s="566"/>
      <c r="AV41" s="567"/>
      <c r="AW41" s="568"/>
      <c r="AX41" s="566"/>
      <c r="AY41" s="567"/>
      <c r="AZ41" s="568"/>
      <c r="BA41" s="566"/>
      <c r="BB41" s="567"/>
      <c r="BC41" s="568"/>
      <c r="BD41" s="566"/>
      <c r="BE41" s="567"/>
      <c r="BF41" s="567"/>
      <c r="BG41" s="569"/>
      <c r="BH41" s="567"/>
      <c r="BI41" s="567"/>
      <c r="BJ41" s="569"/>
      <c r="BK41" s="567"/>
      <c r="BL41" s="568"/>
      <c r="BM41" s="567"/>
      <c r="BN41" s="567"/>
      <c r="BO41" s="567"/>
      <c r="BP41" s="568"/>
      <c r="BQ41" s="566"/>
      <c r="BR41" s="567"/>
      <c r="BS41" s="568"/>
      <c r="BT41" s="567"/>
      <c r="BU41" s="567"/>
      <c r="BV41" s="568"/>
      <c r="BW41" s="567"/>
      <c r="BX41" s="2807"/>
      <c r="BY41" s="568"/>
      <c r="BZ41" s="566"/>
      <c r="CA41" s="567"/>
    </row>
    <row r="42" spans="1:79" ht="21" customHeight="1" x14ac:dyDescent="0.4">
      <c r="A42" s="249"/>
      <c r="B42" s="249"/>
      <c r="C42" s="584" t="s">
        <v>307</v>
      </c>
      <c r="D42" s="589"/>
      <c r="E42" s="614"/>
      <c r="F42" s="589"/>
      <c r="G42" s="590"/>
      <c r="H42" s="612"/>
      <c r="I42" s="590"/>
      <c r="J42" s="582"/>
      <c r="K42" s="586"/>
      <c r="L42" s="582"/>
      <c r="M42" s="2732"/>
      <c r="N42" s="1126"/>
      <c r="O42" s="2732"/>
      <c r="P42" s="568"/>
      <c r="Q42" s="566"/>
      <c r="R42" s="568"/>
      <c r="S42" s="566"/>
      <c r="T42" s="567"/>
      <c r="U42" s="568"/>
      <c r="V42" s="566"/>
      <c r="W42" s="567"/>
      <c r="X42" s="568"/>
      <c r="Y42" s="566"/>
      <c r="Z42" s="567"/>
      <c r="AA42" s="568"/>
      <c r="AB42" s="566"/>
      <c r="AC42" s="567"/>
      <c r="AD42" s="567"/>
      <c r="AE42" s="568"/>
      <c r="AF42" s="566"/>
      <c r="AG42" s="567"/>
      <c r="AH42" s="568"/>
      <c r="AI42" s="566"/>
      <c r="AJ42" s="567"/>
      <c r="AK42" s="568"/>
      <c r="AL42" s="566"/>
      <c r="AM42" s="567"/>
      <c r="AN42" s="568"/>
      <c r="AO42" s="566"/>
      <c r="AP42" s="567"/>
      <c r="AQ42" s="568"/>
      <c r="AR42" s="566"/>
      <c r="AS42" s="567"/>
      <c r="AT42" s="568"/>
      <c r="AU42" s="566"/>
      <c r="AV42" s="567"/>
      <c r="AW42" s="568"/>
      <c r="AX42" s="566"/>
      <c r="AY42" s="567"/>
      <c r="AZ42" s="568"/>
      <c r="BA42" s="566"/>
      <c r="BB42" s="567"/>
      <c r="BC42" s="568"/>
      <c r="BD42" s="566"/>
      <c r="BE42" s="567"/>
      <c r="BF42" s="567"/>
      <c r="BG42" s="569"/>
      <c r="BH42" s="567"/>
      <c r="BI42" s="567"/>
      <c r="BJ42" s="569"/>
      <c r="BK42" s="567"/>
      <c r="BL42" s="568"/>
      <c r="BM42" s="567"/>
      <c r="BN42" s="567"/>
      <c r="BO42" s="567"/>
      <c r="BP42" s="568"/>
      <c r="BQ42" s="566"/>
      <c r="BR42" s="567"/>
      <c r="BS42" s="568"/>
      <c r="BT42" s="567"/>
      <c r="BU42" s="567"/>
      <c r="BV42" s="568"/>
      <c r="BW42" s="567"/>
      <c r="BX42" s="2807"/>
      <c r="BY42" s="568"/>
      <c r="BZ42" s="566"/>
      <c r="CA42" s="567"/>
    </row>
    <row r="43" spans="1:79" ht="21" customHeight="1" x14ac:dyDescent="0.4">
      <c r="A43" s="249"/>
      <c r="B43" s="249"/>
      <c r="C43" s="584">
        <v>0.25694444444444442</v>
      </c>
      <c r="D43" s="589"/>
      <c r="E43" s="614"/>
      <c r="F43" s="589"/>
      <c r="G43" s="590"/>
      <c r="H43" s="612"/>
      <c r="I43" s="590"/>
      <c r="J43" s="582"/>
      <c r="K43" s="586"/>
      <c r="L43" s="582"/>
      <c r="M43" s="2732"/>
      <c r="N43" s="1126"/>
      <c r="O43" s="2732"/>
      <c r="P43" s="568"/>
      <c r="Q43" s="566"/>
      <c r="R43" s="568"/>
      <c r="S43" s="566"/>
      <c r="T43" s="567"/>
      <c r="U43" s="568"/>
      <c r="V43" s="566"/>
      <c r="W43" s="567"/>
      <c r="X43" s="568"/>
      <c r="Y43" s="566"/>
      <c r="Z43" s="567"/>
      <c r="AA43" s="568"/>
      <c r="AB43" s="566"/>
      <c r="AC43" s="567"/>
      <c r="AD43" s="567"/>
      <c r="AE43" s="568"/>
      <c r="AF43" s="566"/>
      <c r="AG43" s="567"/>
      <c r="AH43" s="568"/>
      <c r="AI43" s="566"/>
      <c r="AJ43" s="567"/>
      <c r="AK43" s="568"/>
      <c r="AL43" s="566"/>
      <c r="AM43" s="567"/>
      <c r="AN43" s="568"/>
      <c r="AO43" s="566"/>
      <c r="AP43" s="567"/>
      <c r="AQ43" s="568"/>
      <c r="AR43" s="566"/>
      <c r="AS43" s="567"/>
      <c r="AT43" s="568"/>
      <c r="AU43" s="566"/>
      <c r="AV43" s="567"/>
      <c r="AW43" s="568"/>
      <c r="AX43" s="566"/>
      <c r="AY43" s="567"/>
      <c r="AZ43" s="568"/>
      <c r="BA43" s="566"/>
      <c r="BB43" s="567"/>
      <c r="BC43" s="568"/>
      <c r="BD43" s="566"/>
      <c r="BE43" s="567"/>
      <c r="BF43" s="567"/>
      <c r="BG43" s="569"/>
      <c r="BH43" s="567"/>
      <c r="BI43" s="567"/>
      <c r="BJ43" s="569"/>
      <c r="BK43" s="567"/>
      <c r="BL43" s="568"/>
      <c r="BM43" s="567"/>
      <c r="BN43" s="567"/>
      <c r="BO43" s="567"/>
      <c r="BP43" s="568"/>
      <c r="BQ43" s="566"/>
      <c r="BR43" s="567"/>
      <c r="BS43" s="568"/>
      <c r="BT43" s="567"/>
      <c r="BU43" s="567"/>
      <c r="BV43" s="568"/>
      <c r="BW43" s="567"/>
      <c r="BX43" s="2807"/>
      <c r="BY43" s="568"/>
      <c r="BZ43" s="566"/>
      <c r="CA43" s="567"/>
    </row>
    <row r="44" spans="1:79" ht="21" customHeight="1" x14ac:dyDescent="0.4">
      <c r="A44" s="249"/>
      <c r="B44" s="249"/>
      <c r="C44" s="584" t="s">
        <v>307</v>
      </c>
      <c r="D44" s="585"/>
      <c r="E44" s="614"/>
      <c r="F44" s="585"/>
      <c r="G44" s="581"/>
      <c r="H44" s="612"/>
      <c r="I44" s="581"/>
      <c r="J44" s="582"/>
      <c r="K44" s="586"/>
      <c r="L44" s="582"/>
      <c r="M44" s="2731"/>
      <c r="N44" s="1126"/>
      <c r="O44" s="2731"/>
      <c r="P44" s="568"/>
      <c r="Q44" s="566"/>
      <c r="R44" s="568"/>
      <c r="S44" s="566"/>
      <c r="T44" s="567"/>
      <c r="U44" s="568"/>
      <c r="V44" s="566"/>
      <c r="W44" s="567"/>
      <c r="X44" s="568"/>
      <c r="Y44" s="566"/>
      <c r="Z44" s="567"/>
      <c r="AA44" s="568"/>
      <c r="AB44" s="566"/>
      <c r="AC44" s="567"/>
      <c r="AD44" s="567"/>
      <c r="AE44" s="568"/>
      <c r="AF44" s="566"/>
      <c r="AG44" s="567"/>
      <c r="AH44" s="568"/>
      <c r="AI44" s="566"/>
      <c r="AJ44" s="567"/>
      <c r="AK44" s="568"/>
      <c r="AL44" s="566"/>
      <c r="AM44" s="567"/>
      <c r="AN44" s="568"/>
      <c r="AO44" s="566"/>
      <c r="AP44" s="567"/>
      <c r="AQ44" s="568"/>
      <c r="AR44" s="566"/>
      <c r="AS44" s="567"/>
      <c r="AT44" s="568"/>
      <c r="AU44" s="566"/>
      <c r="AV44" s="567"/>
      <c r="AW44" s="568"/>
      <c r="AX44" s="566"/>
      <c r="AY44" s="567"/>
      <c r="AZ44" s="568"/>
      <c r="BA44" s="566"/>
      <c r="BB44" s="567"/>
      <c r="BC44" s="568"/>
      <c r="BD44" s="566"/>
      <c r="BE44" s="567"/>
      <c r="BF44" s="567"/>
      <c r="BG44" s="569"/>
      <c r="BH44" s="567"/>
      <c r="BI44" s="567"/>
      <c r="BJ44" s="569"/>
      <c r="BK44" s="567"/>
      <c r="BL44" s="568"/>
      <c r="BM44" s="567"/>
      <c r="BN44" s="567"/>
      <c r="BO44" s="567"/>
      <c r="BP44" s="568"/>
      <c r="BQ44" s="566"/>
      <c r="BR44" s="567"/>
      <c r="BS44" s="568"/>
      <c r="BT44" s="567"/>
      <c r="BU44" s="567"/>
      <c r="BV44" s="568"/>
      <c r="BW44" s="567"/>
      <c r="BX44" s="2807"/>
      <c r="BY44" s="568"/>
      <c r="BZ44" s="566"/>
      <c r="CA44" s="567"/>
    </row>
    <row r="45" spans="1:79" ht="21" customHeight="1" x14ac:dyDescent="0.4">
      <c r="A45" s="249"/>
      <c r="B45" s="249"/>
      <c r="C45" s="584">
        <v>0.26041666666666669</v>
      </c>
      <c r="D45" s="591"/>
      <c r="E45" s="592" t="s">
        <v>308</v>
      </c>
      <c r="F45" s="593"/>
      <c r="G45" s="581"/>
      <c r="H45" s="594"/>
      <c r="I45" s="581"/>
      <c r="J45" s="582"/>
      <c r="K45" s="586"/>
      <c r="L45" s="582"/>
      <c r="M45" s="2731"/>
      <c r="N45" s="686"/>
      <c r="O45" s="2731"/>
      <c r="P45" s="568"/>
      <c r="Q45" s="566"/>
      <c r="R45" s="568"/>
      <c r="S45" s="566"/>
      <c r="T45" s="567"/>
      <c r="U45" s="568"/>
      <c r="V45" s="566"/>
      <c r="W45" s="567"/>
      <c r="X45" s="568"/>
      <c r="Y45" s="566"/>
      <c r="Z45" s="567"/>
      <c r="AA45" s="568"/>
      <c r="AB45" s="566"/>
      <c r="AC45" s="567"/>
      <c r="AD45" s="567"/>
      <c r="AE45" s="568"/>
      <c r="AF45" s="566"/>
      <c r="AG45" s="567"/>
      <c r="AH45" s="568"/>
      <c r="AI45" s="566"/>
      <c r="AJ45" s="567"/>
      <c r="AK45" s="568"/>
      <c r="AL45" s="566"/>
      <c r="AM45" s="567"/>
      <c r="AN45" s="568"/>
      <c r="AO45" s="566"/>
      <c r="AP45" s="567"/>
      <c r="AQ45" s="568"/>
      <c r="AR45" s="566"/>
      <c r="AS45" s="567"/>
      <c r="AT45" s="568"/>
      <c r="AU45" s="566"/>
      <c r="AV45" s="567"/>
      <c r="AW45" s="568"/>
      <c r="AX45" s="566"/>
      <c r="AY45" s="567"/>
      <c r="AZ45" s="568"/>
      <c r="BA45" s="566"/>
      <c r="BB45" s="567"/>
      <c r="BC45" s="568"/>
      <c r="BD45" s="566"/>
      <c r="BE45" s="567"/>
      <c r="BF45" s="567"/>
      <c r="BG45" s="569"/>
      <c r="BH45" s="567"/>
      <c r="BI45" s="567"/>
      <c r="BJ45" s="569"/>
      <c r="BK45" s="567"/>
      <c r="BL45" s="568"/>
      <c r="BM45" s="567"/>
      <c r="BN45" s="567"/>
      <c r="BO45" s="567"/>
      <c r="BP45" s="568"/>
      <c r="BQ45" s="566"/>
      <c r="BR45" s="567"/>
      <c r="BS45" s="568"/>
      <c r="BT45" s="567"/>
      <c r="BU45" s="567"/>
      <c r="BV45" s="568"/>
      <c r="BW45" s="567"/>
      <c r="BX45" s="2807"/>
      <c r="BY45" s="568"/>
      <c r="BZ45" s="566"/>
      <c r="CA45" s="567"/>
    </row>
    <row r="46" spans="1:79" ht="21" customHeight="1" x14ac:dyDescent="0.4">
      <c r="A46" s="249"/>
      <c r="B46" s="249"/>
      <c r="C46" s="584" t="s">
        <v>307</v>
      </c>
      <c r="D46" s="595"/>
      <c r="E46" s="596"/>
      <c r="F46" s="597"/>
      <c r="G46" s="598"/>
      <c r="H46" s="599"/>
      <c r="I46" s="600"/>
      <c r="J46" s="582"/>
      <c r="K46" s="586"/>
      <c r="L46" s="582"/>
      <c r="M46" s="2733"/>
      <c r="N46" s="2734"/>
      <c r="O46" s="2735"/>
      <c r="P46" s="568"/>
      <c r="Q46" s="566"/>
      <c r="R46" s="568"/>
      <c r="S46" s="566"/>
      <c r="T46" s="567"/>
      <c r="U46" s="568"/>
      <c r="V46" s="566"/>
      <c r="W46" s="567"/>
      <c r="X46" s="568"/>
      <c r="Y46" s="566"/>
      <c r="Z46" s="567"/>
      <c r="AA46" s="568"/>
      <c r="AB46" s="566"/>
      <c r="AC46" s="567"/>
      <c r="AD46" s="567"/>
      <c r="AE46" s="568"/>
      <c r="AF46" s="566"/>
      <c r="AG46" s="567"/>
      <c r="AH46" s="568"/>
      <c r="AI46" s="566"/>
      <c r="AJ46" s="567"/>
      <c r="AK46" s="568"/>
      <c r="AL46" s="566"/>
      <c r="AM46" s="567"/>
      <c r="AN46" s="568"/>
      <c r="AO46" s="566"/>
      <c r="AP46" s="567"/>
      <c r="AQ46" s="568"/>
      <c r="AR46" s="566"/>
      <c r="AS46" s="567"/>
      <c r="AT46" s="568"/>
      <c r="AU46" s="566"/>
      <c r="AV46" s="567"/>
      <c r="AW46" s="568"/>
      <c r="AX46" s="566"/>
      <c r="AY46" s="567"/>
      <c r="AZ46" s="568"/>
      <c r="BA46" s="566"/>
      <c r="BB46" s="567"/>
      <c r="BC46" s="568"/>
      <c r="BD46" s="566"/>
      <c r="BE46" s="567"/>
      <c r="BF46" s="567"/>
      <c r="BG46" s="569"/>
      <c r="BH46" s="567"/>
      <c r="BI46" s="567"/>
      <c r="BJ46" s="569"/>
      <c r="BK46" s="567"/>
      <c r="BL46" s="568"/>
      <c r="BM46" s="567"/>
      <c r="BN46" s="567"/>
      <c r="BO46" s="567"/>
      <c r="BP46" s="568"/>
      <c r="BQ46" s="566"/>
      <c r="BR46" s="567"/>
      <c r="BS46" s="568"/>
      <c r="BT46" s="567"/>
      <c r="BU46" s="567"/>
      <c r="BV46" s="568"/>
      <c r="BW46" s="567"/>
      <c r="BX46" s="2807"/>
      <c r="BY46" s="568"/>
      <c r="BZ46" s="566"/>
      <c r="CA46" s="567"/>
    </row>
    <row r="47" spans="1:79" ht="21" customHeight="1" x14ac:dyDescent="0.4">
      <c r="A47" s="249"/>
      <c r="B47" s="249"/>
      <c r="C47" s="584">
        <v>0.2638888888888889</v>
      </c>
      <c r="D47" s="601"/>
      <c r="E47" s="602"/>
      <c r="F47" s="603"/>
      <c r="G47" s="604"/>
      <c r="H47" s="602"/>
      <c r="I47" s="603"/>
      <c r="J47" s="604"/>
      <c r="K47" s="602"/>
      <c r="L47" s="603"/>
      <c r="M47" s="604"/>
      <c r="N47" s="602"/>
      <c r="O47" s="603"/>
      <c r="P47" s="568"/>
      <c r="Q47" s="566"/>
      <c r="R47" s="568"/>
      <c r="S47" s="566"/>
      <c r="T47" s="567"/>
      <c r="U47" s="568"/>
      <c r="V47" s="566"/>
      <c r="W47" s="567"/>
      <c r="X47" s="568"/>
      <c r="Y47" s="566"/>
      <c r="Z47" s="567"/>
      <c r="AA47" s="568"/>
      <c r="AB47" s="566"/>
      <c r="AC47" s="567"/>
      <c r="AD47" s="567"/>
      <c r="AE47" s="568"/>
      <c r="AF47" s="566"/>
      <c r="AG47" s="567"/>
      <c r="AH47" s="568"/>
      <c r="AI47" s="566"/>
      <c r="AJ47" s="567"/>
      <c r="AK47" s="568"/>
      <c r="AL47" s="566"/>
      <c r="AM47" s="567"/>
      <c r="AN47" s="568"/>
      <c r="AO47" s="566"/>
      <c r="AP47" s="567"/>
      <c r="AQ47" s="568"/>
      <c r="AR47" s="566"/>
      <c r="AS47" s="567"/>
      <c r="AT47" s="568"/>
      <c r="AU47" s="566"/>
      <c r="AV47" s="567"/>
      <c r="AW47" s="568"/>
      <c r="AX47" s="566"/>
      <c r="AY47" s="567"/>
      <c r="AZ47" s="568"/>
      <c r="BA47" s="566"/>
      <c r="BB47" s="567"/>
      <c r="BC47" s="568"/>
      <c r="BD47" s="566"/>
      <c r="BE47" s="567"/>
      <c r="BF47" s="567"/>
      <c r="BG47" s="569"/>
      <c r="BH47" s="567"/>
      <c r="BI47" s="567"/>
      <c r="BJ47" s="569"/>
      <c r="BK47" s="567"/>
      <c r="BL47" s="568"/>
      <c r="BM47" s="567"/>
      <c r="BN47" s="567"/>
      <c r="BO47" s="567"/>
      <c r="BP47" s="568"/>
      <c r="BQ47" s="566"/>
      <c r="BR47" s="567"/>
      <c r="BS47" s="568"/>
      <c r="BT47" s="567"/>
      <c r="BU47" s="567"/>
      <c r="BV47" s="568"/>
      <c r="BW47" s="567"/>
      <c r="BX47" s="2807"/>
      <c r="BY47" s="568"/>
      <c r="BZ47" s="566"/>
      <c r="CA47" s="567"/>
    </row>
    <row r="48" spans="1:79" ht="21" customHeight="1" x14ac:dyDescent="0.4">
      <c r="A48" s="249"/>
      <c r="B48" s="249"/>
      <c r="C48" s="584" t="s">
        <v>307</v>
      </c>
      <c r="D48" s="605"/>
      <c r="E48" s="606" t="s">
        <v>309</v>
      </c>
      <c r="F48" s="607"/>
      <c r="G48" s="605"/>
      <c r="H48" s="606" t="s">
        <v>309</v>
      </c>
      <c r="I48" s="607"/>
      <c r="J48" s="605"/>
      <c r="K48" s="606" t="s">
        <v>309</v>
      </c>
      <c r="L48" s="607"/>
      <c r="M48" s="605"/>
      <c r="N48" s="606" t="s">
        <v>309</v>
      </c>
      <c r="O48" s="607"/>
      <c r="P48" s="568"/>
      <c r="Q48" s="566"/>
      <c r="R48" s="568"/>
      <c r="S48" s="566"/>
      <c r="T48" s="567"/>
      <c r="U48" s="568"/>
      <c r="V48" s="566"/>
      <c r="W48" s="567"/>
      <c r="X48" s="568"/>
      <c r="Y48" s="566"/>
      <c r="Z48" s="567"/>
      <c r="AA48" s="568"/>
      <c r="AB48" s="566"/>
      <c r="AC48" s="567"/>
      <c r="AD48" s="567"/>
      <c r="AE48" s="568"/>
      <c r="AF48" s="566"/>
      <c r="AG48" s="567"/>
      <c r="AH48" s="568"/>
      <c r="AI48" s="566"/>
      <c r="AJ48" s="567"/>
      <c r="AK48" s="568"/>
      <c r="AL48" s="566"/>
      <c r="AM48" s="567"/>
      <c r="AN48" s="568"/>
      <c r="AO48" s="566"/>
      <c r="AP48" s="567"/>
      <c r="AQ48" s="568"/>
      <c r="AR48" s="566"/>
      <c r="AS48" s="567"/>
      <c r="AT48" s="568"/>
      <c r="AU48" s="566"/>
      <c r="AV48" s="567"/>
      <c r="AW48" s="568"/>
      <c r="AX48" s="566"/>
      <c r="AY48" s="567"/>
      <c r="AZ48" s="568"/>
      <c r="BA48" s="566"/>
      <c r="BB48" s="567"/>
      <c r="BC48" s="568"/>
      <c r="BD48" s="566"/>
      <c r="BE48" s="567"/>
      <c r="BF48" s="567"/>
      <c r="BG48" s="569"/>
      <c r="BH48" s="567"/>
      <c r="BI48" s="567"/>
      <c r="BJ48" s="569"/>
      <c r="BK48" s="567"/>
      <c r="BL48" s="568"/>
      <c r="BM48" s="567"/>
      <c r="BN48" s="567"/>
      <c r="BO48" s="567"/>
      <c r="BP48" s="568"/>
      <c r="BQ48" s="566"/>
      <c r="BR48" s="567"/>
      <c r="BS48" s="568"/>
      <c r="BT48" s="567"/>
      <c r="BU48" s="567"/>
      <c r="BV48" s="568"/>
      <c r="BW48" s="567"/>
      <c r="BX48" s="2807"/>
      <c r="BY48" s="568"/>
      <c r="BZ48" s="566"/>
      <c r="CA48" s="567"/>
    </row>
    <row r="49" spans="1:79" ht="21" customHeight="1" x14ac:dyDescent="0.4">
      <c r="A49" s="249"/>
      <c r="B49" s="249"/>
      <c r="C49" s="584">
        <v>0.2673611111111111</v>
      </c>
      <c r="D49" s="605"/>
      <c r="E49" s="607"/>
      <c r="F49" s="607"/>
      <c r="G49" s="605"/>
      <c r="H49" s="607"/>
      <c r="I49" s="607"/>
      <c r="J49" s="605"/>
      <c r="K49" s="607"/>
      <c r="L49" s="607"/>
      <c r="M49" s="605"/>
      <c r="N49" s="607"/>
      <c r="O49" s="607"/>
      <c r="P49" s="568"/>
      <c r="Q49" s="566"/>
      <c r="R49" s="568"/>
      <c r="S49" s="566"/>
      <c r="T49" s="567"/>
      <c r="U49" s="568"/>
      <c r="V49" s="566"/>
      <c r="W49" s="567"/>
      <c r="X49" s="568"/>
      <c r="Y49" s="566"/>
      <c r="Z49" s="567"/>
      <c r="AA49" s="568"/>
      <c r="AB49" s="566"/>
      <c r="AC49" s="567"/>
      <c r="AD49" s="567"/>
      <c r="AE49" s="568"/>
      <c r="AF49" s="566"/>
      <c r="AG49" s="567"/>
      <c r="AH49" s="568"/>
      <c r="AI49" s="566"/>
      <c r="AJ49" s="567"/>
      <c r="AK49" s="568"/>
      <c r="AL49" s="566"/>
      <c r="AM49" s="567"/>
      <c r="AN49" s="568"/>
      <c r="AO49" s="566"/>
      <c r="AP49" s="567"/>
      <c r="AQ49" s="568"/>
      <c r="AR49" s="566"/>
      <c r="AS49" s="567"/>
      <c r="AT49" s="568"/>
      <c r="AU49" s="566"/>
      <c r="AV49" s="567"/>
      <c r="AW49" s="568"/>
      <c r="AX49" s="566"/>
      <c r="AY49" s="567"/>
      <c r="AZ49" s="568"/>
      <c r="BA49" s="566"/>
      <c r="BB49" s="567"/>
      <c r="BC49" s="568"/>
      <c r="BD49" s="566"/>
      <c r="BE49" s="567"/>
      <c r="BF49" s="567"/>
      <c r="BG49" s="569"/>
      <c r="BH49" s="567"/>
      <c r="BI49" s="567"/>
      <c r="BJ49" s="569"/>
      <c r="BK49" s="567"/>
      <c r="BL49" s="568"/>
      <c r="BM49" s="567"/>
      <c r="BN49" s="567"/>
      <c r="BO49" s="567"/>
      <c r="BP49" s="568"/>
      <c r="BQ49" s="566"/>
      <c r="BR49" s="567"/>
      <c r="BS49" s="568"/>
      <c r="BT49" s="567"/>
      <c r="BU49" s="567"/>
      <c r="BV49" s="568"/>
      <c r="BW49" s="567"/>
      <c r="BX49" s="2807"/>
      <c r="BY49" s="568"/>
      <c r="BZ49" s="566"/>
      <c r="CA49" s="567"/>
    </row>
    <row r="50" spans="1:79" ht="21" customHeight="1" x14ac:dyDescent="0.4">
      <c r="A50" s="249"/>
      <c r="B50" s="249"/>
      <c r="C50" s="584" t="s">
        <v>307</v>
      </c>
      <c r="D50" s="608"/>
      <c r="E50" s="609"/>
      <c r="F50" s="610"/>
      <c r="G50" s="611"/>
      <c r="H50" s="612"/>
      <c r="I50" s="613"/>
      <c r="J50" s="582"/>
      <c r="K50" s="586"/>
      <c r="L50" s="582"/>
      <c r="M50" s="2736"/>
      <c r="N50" s="1126"/>
      <c r="O50" s="2737"/>
      <c r="P50" s="568"/>
      <c r="Q50" s="566"/>
      <c r="R50" s="568"/>
      <c r="S50" s="566"/>
      <c r="T50" s="567"/>
      <c r="U50" s="568"/>
      <c r="V50" s="566"/>
      <c r="W50" s="567"/>
      <c r="X50" s="568"/>
      <c r="Y50" s="566"/>
      <c r="Z50" s="567"/>
      <c r="AA50" s="568"/>
      <c r="AB50" s="566"/>
      <c r="AC50" s="567"/>
      <c r="AD50" s="567"/>
      <c r="AE50" s="568"/>
      <c r="AF50" s="566"/>
      <c r="AG50" s="567"/>
      <c r="AH50" s="568"/>
      <c r="AI50" s="566"/>
      <c r="AJ50" s="567"/>
      <c r="AK50" s="568"/>
      <c r="AL50" s="566"/>
      <c r="AM50" s="567"/>
      <c r="AN50" s="568"/>
      <c r="AO50" s="566"/>
      <c r="AP50" s="567"/>
      <c r="AQ50" s="568"/>
      <c r="AR50" s="566"/>
      <c r="AS50" s="567"/>
      <c r="AT50" s="568"/>
      <c r="AU50" s="566"/>
      <c r="AV50" s="567"/>
      <c r="AW50" s="568"/>
      <c r="AX50" s="566"/>
      <c r="AY50" s="567"/>
      <c r="AZ50" s="568"/>
      <c r="BA50" s="566"/>
      <c r="BB50" s="567"/>
      <c r="BC50" s="568"/>
      <c r="BD50" s="566"/>
      <c r="BE50" s="567"/>
      <c r="BF50" s="567"/>
      <c r="BG50" s="569"/>
      <c r="BH50" s="567"/>
      <c r="BI50" s="567"/>
      <c r="BJ50" s="569"/>
      <c r="BK50" s="567"/>
      <c r="BL50" s="568"/>
      <c r="BM50" s="567"/>
      <c r="BN50" s="567"/>
      <c r="BO50" s="567"/>
      <c r="BP50" s="568"/>
      <c r="BQ50" s="566"/>
      <c r="BR50" s="567"/>
      <c r="BS50" s="568"/>
      <c r="BT50" s="567"/>
      <c r="BU50" s="567"/>
      <c r="BV50" s="568"/>
      <c r="BW50" s="567"/>
      <c r="BX50" s="2807"/>
      <c r="BY50" s="568"/>
      <c r="BZ50" s="566"/>
      <c r="CA50" s="567"/>
    </row>
    <row r="51" spans="1:79" ht="21" customHeight="1" x14ac:dyDescent="0.4">
      <c r="A51" s="249"/>
      <c r="B51" s="249"/>
      <c r="C51" s="584">
        <v>0.27083333333333331</v>
      </c>
      <c r="D51" s="608"/>
      <c r="E51" s="614"/>
      <c r="F51" s="610"/>
      <c r="G51" s="611"/>
      <c r="H51" s="612"/>
      <c r="I51" s="613"/>
      <c r="J51" s="582"/>
      <c r="K51" s="586"/>
      <c r="L51" s="582"/>
      <c r="M51" s="2736"/>
      <c r="N51" s="1126"/>
      <c r="O51" s="2737"/>
      <c r="P51" s="568"/>
      <c r="Q51" s="566"/>
      <c r="R51" s="568"/>
      <c r="S51" s="566"/>
      <c r="T51" s="567"/>
      <c r="U51" s="568"/>
      <c r="V51" s="566"/>
      <c r="W51" s="567"/>
      <c r="X51" s="568"/>
      <c r="Y51" s="566"/>
      <c r="Z51" s="567"/>
      <c r="AA51" s="568"/>
      <c r="AB51" s="566"/>
      <c r="AC51" s="567"/>
      <c r="AD51" s="567"/>
      <c r="AE51" s="568"/>
      <c r="AF51" s="566"/>
      <c r="AG51" s="567"/>
      <c r="AH51" s="568"/>
      <c r="AI51" s="566"/>
      <c r="AJ51" s="567"/>
      <c r="AK51" s="568"/>
      <c r="AL51" s="566"/>
      <c r="AM51" s="567"/>
      <c r="AN51" s="568"/>
      <c r="AO51" s="566"/>
      <c r="AP51" s="567"/>
      <c r="AQ51" s="568"/>
      <c r="AR51" s="566"/>
      <c r="AS51" s="567"/>
      <c r="AT51" s="568"/>
      <c r="AU51" s="566"/>
      <c r="AV51" s="567"/>
      <c r="AW51" s="568"/>
      <c r="AX51" s="566"/>
      <c r="AY51" s="567"/>
      <c r="AZ51" s="568"/>
      <c r="BA51" s="566"/>
      <c r="BB51" s="567"/>
      <c r="BC51" s="568"/>
      <c r="BD51" s="566"/>
      <c r="BE51" s="567"/>
      <c r="BF51" s="567"/>
      <c r="BG51" s="569"/>
      <c r="BH51" s="567"/>
      <c r="BI51" s="567"/>
      <c r="BJ51" s="569"/>
      <c r="BK51" s="567"/>
      <c r="BL51" s="568"/>
      <c r="BM51" s="567"/>
      <c r="BN51" s="567"/>
      <c r="BO51" s="567"/>
      <c r="BP51" s="568"/>
      <c r="BQ51" s="566"/>
      <c r="BR51" s="567"/>
      <c r="BS51" s="568"/>
      <c r="BT51" s="567"/>
      <c r="BU51" s="567"/>
      <c r="BV51" s="568"/>
      <c r="BW51" s="567"/>
      <c r="BX51" s="2807"/>
      <c r="BY51" s="568"/>
      <c r="BZ51" s="566"/>
      <c r="CA51" s="567"/>
    </row>
    <row r="52" spans="1:79" ht="21" customHeight="1" x14ac:dyDescent="0.4">
      <c r="A52" s="249"/>
      <c r="B52" s="249"/>
      <c r="C52" s="584" t="s">
        <v>307</v>
      </c>
      <c r="D52" s="609"/>
      <c r="E52" s="609"/>
      <c r="F52" s="614"/>
      <c r="G52" s="615"/>
      <c r="H52" s="612"/>
      <c r="I52" s="616"/>
      <c r="J52" s="582"/>
      <c r="K52" s="586"/>
      <c r="L52" s="582"/>
      <c r="M52" s="2738"/>
      <c r="N52" s="1126"/>
      <c r="O52" s="2739"/>
      <c r="P52" s="568"/>
      <c r="Q52" s="566"/>
      <c r="R52" s="568"/>
      <c r="S52" s="566"/>
      <c r="T52" s="567"/>
      <c r="U52" s="568"/>
      <c r="V52" s="566"/>
      <c r="W52" s="567"/>
      <c r="X52" s="568"/>
      <c r="Y52" s="566"/>
      <c r="Z52" s="567"/>
      <c r="AA52" s="568"/>
      <c r="AB52" s="566"/>
      <c r="AC52" s="567"/>
      <c r="AD52" s="567"/>
      <c r="AE52" s="568"/>
      <c r="AF52" s="566"/>
      <c r="AG52" s="567"/>
      <c r="AH52" s="568"/>
      <c r="AI52" s="566"/>
      <c r="AJ52" s="567"/>
      <c r="AK52" s="568"/>
      <c r="AL52" s="566"/>
      <c r="AM52" s="567"/>
      <c r="AN52" s="568"/>
      <c r="AO52" s="566"/>
      <c r="AP52" s="567"/>
      <c r="AQ52" s="568"/>
      <c r="AR52" s="566"/>
      <c r="AS52" s="567"/>
      <c r="AT52" s="568"/>
      <c r="AU52" s="566"/>
      <c r="AV52" s="567"/>
      <c r="AW52" s="568"/>
      <c r="AX52" s="566"/>
      <c r="AY52" s="567"/>
      <c r="AZ52" s="568"/>
      <c r="BA52" s="566"/>
      <c r="BB52" s="567"/>
      <c r="BC52" s="568"/>
      <c r="BD52" s="566"/>
      <c r="BE52" s="567"/>
      <c r="BF52" s="567"/>
      <c r="BG52" s="569"/>
      <c r="BH52" s="567"/>
      <c r="BI52" s="567"/>
      <c r="BJ52" s="569"/>
      <c r="BK52" s="567"/>
      <c r="BL52" s="568"/>
      <c r="BM52" s="567"/>
      <c r="BN52" s="567"/>
      <c r="BO52" s="567"/>
      <c r="BP52" s="568"/>
      <c r="BQ52" s="566"/>
      <c r="BR52" s="567"/>
      <c r="BS52" s="568"/>
      <c r="BT52" s="567"/>
      <c r="BU52" s="567"/>
      <c r="BV52" s="568"/>
      <c r="BW52" s="567"/>
      <c r="BX52" s="2807"/>
      <c r="BY52" s="568"/>
      <c r="BZ52" s="566"/>
      <c r="CA52" s="567"/>
    </row>
    <row r="53" spans="1:79" ht="21" customHeight="1" x14ac:dyDescent="0.4">
      <c r="A53" s="249"/>
      <c r="B53" s="249"/>
      <c r="C53" s="584">
        <v>0.27430555555555558</v>
      </c>
      <c r="D53" s="617"/>
      <c r="E53" s="609"/>
      <c r="F53" s="609"/>
      <c r="G53" s="618"/>
      <c r="H53" s="612"/>
      <c r="I53" s="619"/>
      <c r="J53" s="582"/>
      <c r="K53" s="586"/>
      <c r="L53" s="582"/>
      <c r="M53" s="2740"/>
      <c r="N53" s="1126"/>
      <c r="O53" s="2741"/>
      <c r="P53" s="568"/>
      <c r="Q53" s="566"/>
      <c r="R53" s="568"/>
      <c r="S53" s="566"/>
      <c r="T53" s="567"/>
      <c r="U53" s="568"/>
      <c r="V53" s="566"/>
      <c r="W53" s="567"/>
      <c r="X53" s="568"/>
      <c r="Y53" s="566"/>
      <c r="Z53" s="567"/>
      <c r="AA53" s="568"/>
      <c r="AB53" s="566"/>
      <c r="AC53" s="567"/>
      <c r="AD53" s="567"/>
      <c r="AE53" s="568"/>
      <c r="AF53" s="566"/>
      <c r="AG53" s="567"/>
      <c r="AH53" s="568"/>
      <c r="AI53" s="566"/>
      <c r="AJ53" s="567"/>
      <c r="AK53" s="568"/>
      <c r="AL53" s="566"/>
      <c r="AM53" s="567"/>
      <c r="AN53" s="568"/>
      <c r="AO53" s="566"/>
      <c r="AP53" s="567"/>
      <c r="AQ53" s="568"/>
      <c r="AR53" s="566"/>
      <c r="AS53" s="567"/>
      <c r="AT53" s="568"/>
      <c r="AU53" s="566"/>
      <c r="AV53" s="567"/>
      <c r="AW53" s="568"/>
      <c r="AX53" s="566"/>
      <c r="AY53" s="567"/>
      <c r="AZ53" s="568"/>
      <c r="BA53" s="566"/>
      <c r="BB53" s="567"/>
      <c r="BC53" s="568"/>
      <c r="BD53" s="566"/>
      <c r="BE53" s="567"/>
      <c r="BF53" s="567"/>
      <c r="BG53" s="569"/>
      <c r="BH53" s="567"/>
      <c r="BI53" s="567"/>
      <c r="BJ53" s="569"/>
      <c r="BK53" s="567"/>
      <c r="BL53" s="568"/>
      <c r="BM53" s="567"/>
      <c r="BN53" s="567"/>
      <c r="BO53" s="567"/>
      <c r="BP53" s="568"/>
      <c r="BQ53" s="566"/>
      <c r="BR53" s="567"/>
      <c r="BS53" s="568"/>
      <c r="BT53" s="567"/>
      <c r="BU53" s="567"/>
      <c r="BV53" s="568"/>
      <c r="BW53" s="567"/>
      <c r="BX53" s="2807"/>
      <c r="BY53" s="568"/>
      <c r="BZ53" s="566"/>
      <c r="CA53" s="567"/>
    </row>
    <row r="54" spans="1:79" ht="21" customHeight="1" x14ac:dyDescent="0.4">
      <c r="A54" s="249"/>
      <c r="B54" s="249"/>
      <c r="C54" s="584" t="s">
        <v>307</v>
      </c>
      <c r="D54" s="617"/>
      <c r="E54" s="609"/>
      <c r="F54" s="609"/>
      <c r="G54" s="618"/>
      <c r="H54" s="612"/>
      <c r="I54" s="619"/>
      <c r="J54" s="582"/>
      <c r="K54" s="586"/>
      <c r="L54" s="582"/>
      <c r="M54" s="2740"/>
      <c r="N54" s="1126"/>
      <c r="O54" s="2741"/>
      <c r="P54" s="568"/>
      <c r="Q54" s="566"/>
      <c r="R54" s="568"/>
      <c r="S54" s="566"/>
      <c r="T54" s="567"/>
      <c r="U54" s="568"/>
      <c r="V54" s="566"/>
      <c r="W54" s="567"/>
      <c r="X54" s="568"/>
      <c r="Y54" s="566"/>
      <c r="Z54" s="567"/>
      <c r="AA54" s="568"/>
      <c r="AB54" s="566"/>
      <c r="AC54" s="567"/>
      <c r="AD54" s="567"/>
      <c r="AE54" s="568"/>
      <c r="AF54" s="566"/>
      <c r="AG54" s="567"/>
      <c r="AH54" s="568"/>
      <c r="AI54" s="566"/>
      <c r="AJ54" s="567"/>
      <c r="AK54" s="568"/>
      <c r="AL54" s="566"/>
      <c r="AM54" s="567"/>
      <c r="AN54" s="568"/>
      <c r="AO54" s="566"/>
      <c r="AP54" s="567"/>
      <c r="AQ54" s="568"/>
      <c r="AR54" s="566"/>
      <c r="AS54" s="567"/>
      <c r="AT54" s="568"/>
      <c r="AU54" s="566"/>
      <c r="AV54" s="567"/>
      <c r="AW54" s="568"/>
      <c r="AX54" s="566"/>
      <c r="AY54" s="567"/>
      <c r="AZ54" s="568"/>
      <c r="BA54" s="566"/>
      <c r="BB54" s="567"/>
      <c r="BC54" s="568"/>
      <c r="BD54" s="566"/>
      <c r="BE54" s="567"/>
      <c r="BF54" s="567"/>
      <c r="BG54" s="569"/>
      <c r="BH54" s="567"/>
      <c r="BI54" s="567"/>
      <c r="BJ54" s="569"/>
      <c r="BK54" s="567"/>
      <c r="BL54" s="568"/>
      <c r="BM54" s="567"/>
      <c r="BN54" s="567"/>
      <c r="BO54" s="567"/>
      <c r="BP54" s="568"/>
      <c r="BQ54" s="566"/>
      <c r="BR54" s="567"/>
      <c r="BS54" s="568"/>
      <c r="BT54" s="567"/>
      <c r="BU54" s="567"/>
      <c r="BV54" s="568"/>
      <c r="BW54" s="567"/>
      <c r="BX54" s="2807"/>
      <c r="BY54" s="568"/>
      <c r="BZ54" s="566"/>
      <c r="CA54" s="567"/>
    </row>
    <row r="55" spans="1:79" ht="21" customHeight="1" x14ac:dyDescent="0.4">
      <c r="A55" s="249"/>
      <c r="B55" s="249"/>
      <c r="C55" s="584">
        <v>0.27777777777777779</v>
      </c>
      <c r="D55" s="608"/>
      <c r="E55" s="609"/>
      <c r="F55" s="610"/>
      <c r="G55" s="611"/>
      <c r="H55" s="612"/>
      <c r="I55" s="613"/>
      <c r="J55" s="582"/>
      <c r="K55" s="586"/>
      <c r="L55" s="582"/>
      <c r="M55" s="2736"/>
      <c r="N55" s="1126"/>
      <c r="O55" s="2737"/>
      <c r="P55" s="568"/>
      <c r="Q55" s="566"/>
      <c r="R55" s="568"/>
      <c r="S55" s="566"/>
      <c r="T55" s="567"/>
      <c r="U55" s="568"/>
      <c r="V55" s="566"/>
      <c r="W55" s="567"/>
      <c r="X55" s="568"/>
      <c r="Y55" s="566"/>
      <c r="Z55" s="567"/>
      <c r="AA55" s="568"/>
      <c r="AB55" s="566"/>
      <c r="AC55" s="567"/>
      <c r="AD55" s="567"/>
      <c r="AE55" s="568"/>
      <c r="AF55" s="566"/>
      <c r="AG55" s="567"/>
      <c r="AH55" s="568"/>
      <c r="AI55" s="566"/>
      <c r="AJ55" s="567"/>
      <c r="AK55" s="568"/>
      <c r="AL55" s="566"/>
      <c r="AM55" s="567"/>
      <c r="AN55" s="568"/>
      <c r="AO55" s="566"/>
      <c r="AP55" s="567"/>
      <c r="AQ55" s="568"/>
      <c r="AR55" s="566"/>
      <c r="AS55" s="567"/>
      <c r="AT55" s="568"/>
      <c r="AU55" s="566"/>
      <c r="AV55" s="567"/>
      <c r="AW55" s="568"/>
      <c r="AX55" s="566"/>
      <c r="AY55" s="567"/>
      <c r="AZ55" s="568"/>
      <c r="BA55" s="566"/>
      <c r="BB55" s="567"/>
      <c r="BC55" s="568"/>
      <c r="BD55" s="566"/>
      <c r="BE55" s="567"/>
      <c r="BF55" s="567"/>
      <c r="BG55" s="569"/>
      <c r="BH55" s="567"/>
      <c r="BI55" s="567"/>
      <c r="BJ55" s="569"/>
      <c r="BK55" s="567"/>
      <c r="BL55" s="568"/>
      <c r="BM55" s="567"/>
      <c r="BN55" s="567"/>
      <c r="BO55" s="567"/>
      <c r="BP55" s="568"/>
      <c r="BQ55" s="566"/>
      <c r="BR55" s="567"/>
      <c r="BS55" s="568"/>
      <c r="BT55" s="567"/>
      <c r="BU55" s="567"/>
      <c r="BV55" s="568"/>
      <c r="BW55" s="567"/>
      <c r="BX55" s="2807"/>
      <c r="BY55" s="568"/>
      <c r="BZ55" s="566"/>
      <c r="CA55" s="567"/>
    </row>
    <row r="56" spans="1:79" ht="21" customHeight="1" x14ac:dyDescent="0.4">
      <c r="A56" s="249"/>
      <c r="B56" s="249"/>
      <c r="C56" s="584" t="s">
        <v>307</v>
      </c>
      <c r="D56" s="608"/>
      <c r="E56" s="609"/>
      <c r="F56" s="610"/>
      <c r="G56" s="611"/>
      <c r="H56" s="612"/>
      <c r="I56" s="613"/>
      <c r="J56" s="582"/>
      <c r="K56" s="586"/>
      <c r="L56" s="582"/>
      <c r="M56" s="2736"/>
      <c r="N56" s="1126"/>
      <c r="O56" s="2737"/>
      <c r="P56" s="568"/>
      <c r="Q56" s="566"/>
      <c r="R56" s="568"/>
      <c r="S56" s="566"/>
      <c r="T56" s="567"/>
      <c r="U56" s="568"/>
      <c r="V56" s="566"/>
      <c r="W56" s="567"/>
      <c r="X56" s="568"/>
      <c r="Y56" s="566"/>
      <c r="Z56" s="567"/>
      <c r="AA56" s="568"/>
      <c r="AB56" s="566"/>
      <c r="AC56" s="567"/>
      <c r="AD56" s="567"/>
      <c r="AE56" s="568"/>
      <c r="AF56" s="566"/>
      <c r="AG56" s="567"/>
      <c r="AH56" s="568"/>
      <c r="AI56" s="566"/>
      <c r="AJ56" s="567"/>
      <c r="AK56" s="568"/>
      <c r="AL56" s="566"/>
      <c r="AM56" s="567"/>
      <c r="AN56" s="568"/>
      <c r="AO56" s="566"/>
      <c r="AP56" s="567"/>
      <c r="AQ56" s="568"/>
      <c r="AR56" s="566"/>
      <c r="AS56" s="567"/>
      <c r="AT56" s="568"/>
      <c r="AU56" s="566"/>
      <c r="AV56" s="567"/>
      <c r="AW56" s="568"/>
      <c r="AX56" s="566"/>
      <c r="AY56" s="567"/>
      <c r="AZ56" s="568"/>
      <c r="BA56" s="566"/>
      <c r="BB56" s="567"/>
      <c r="BC56" s="568"/>
      <c r="BD56" s="566"/>
      <c r="BE56" s="567"/>
      <c r="BF56" s="567"/>
      <c r="BG56" s="569"/>
      <c r="BH56" s="567"/>
      <c r="BI56" s="567"/>
      <c r="BJ56" s="569"/>
      <c r="BK56" s="567"/>
      <c r="BL56" s="568"/>
      <c r="BM56" s="567"/>
      <c r="BN56" s="567"/>
      <c r="BO56" s="567"/>
      <c r="BP56" s="568"/>
      <c r="BQ56" s="566"/>
      <c r="BR56" s="567"/>
      <c r="BS56" s="568"/>
      <c r="BT56" s="567"/>
      <c r="BU56" s="567"/>
      <c r="BV56" s="568"/>
      <c r="BW56" s="567"/>
      <c r="BX56" s="2807"/>
      <c r="BY56" s="568"/>
      <c r="BZ56" s="566"/>
      <c r="CA56" s="567"/>
    </row>
    <row r="57" spans="1:79" ht="21" customHeight="1" x14ac:dyDescent="0.4">
      <c r="A57" s="249"/>
      <c r="B57" s="249"/>
      <c r="C57" s="584">
        <v>0.28125</v>
      </c>
      <c r="D57" s="608"/>
      <c r="E57" s="614"/>
      <c r="F57" s="610"/>
      <c r="G57" s="611"/>
      <c r="H57" s="612"/>
      <c r="I57" s="613"/>
      <c r="J57" s="582"/>
      <c r="K57" s="586"/>
      <c r="L57" s="582"/>
      <c r="M57" s="2736"/>
      <c r="N57" s="1126"/>
      <c r="O57" s="2737"/>
      <c r="P57" s="568"/>
      <c r="Q57" s="566"/>
      <c r="R57" s="568"/>
      <c r="S57" s="566"/>
      <c r="T57" s="567"/>
      <c r="U57" s="568"/>
      <c r="V57" s="566"/>
      <c r="W57" s="567"/>
      <c r="X57" s="568"/>
      <c r="Y57" s="566"/>
      <c r="Z57" s="567"/>
      <c r="AA57" s="568"/>
      <c r="AB57" s="566"/>
      <c r="AC57" s="567"/>
      <c r="AD57" s="567"/>
      <c r="AE57" s="568"/>
      <c r="AF57" s="566"/>
      <c r="AG57" s="567"/>
      <c r="AH57" s="568"/>
      <c r="AI57" s="566"/>
      <c r="AJ57" s="567"/>
      <c r="AK57" s="568"/>
      <c r="AL57" s="566"/>
      <c r="AM57" s="567"/>
      <c r="AN57" s="568"/>
      <c r="AO57" s="566"/>
      <c r="AP57" s="567"/>
      <c r="AQ57" s="568"/>
      <c r="AR57" s="566"/>
      <c r="AS57" s="567"/>
      <c r="AT57" s="568"/>
      <c r="AU57" s="566"/>
      <c r="AV57" s="567"/>
      <c r="AW57" s="568"/>
      <c r="AX57" s="566"/>
      <c r="AY57" s="567"/>
      <c r="AZ57" s="568"/>
      <c r="BA57" s="566"/>
      <c r="BB57" s="567"/>
      <c r="BC57" s="568"/>
      <c r="BD57" s="566"/>
      <c r="BE57" s="567"/>
      <c r="BF57" s="567"/>
      <c r="BG57" s="569"/>
      <c r="BH57" s="567"/>
      <c r="BI57" s="567"/>
      <c r="BJ57" s="569"/>
      <c r="BK57" s="567"/>
      <c r="BL57" s="568"/>
      <c r="BM57" s="567"/>
      <c r="BN57" s="567"/>
      <c r="BO57" s="567"/>
      <c r="BP57" s="568"/>
      <c r="BQ57" s="566"/>
      <c r="BR57" s="567"/>
      <c r="BS57" s="568"/>
      <c r="BT57" s="567"/>
      <c r="BU57" s="567"/>
      <c r="BV57" s="568"/>
      <c r="BW57" s="567"/>
      <c r="BX57" s="2807"/>
      <c r="BY57" s="568"/>
      <c r="BZ57" s="566"/>
      <c r="CA57" s="567"/>
    </row>
    <row r="58" spans="1:79" ht="21" customHeight="1" x14ac:dyDescent="0.4">
      <c r="A58" s="249"/>
      <c r="B58" s="249"/>
      <c r="C58" s="584" t="s">
        <v>307</v>
      </c>
      <c r="D58" s="617"/>
      <c r="E58" s="609"/>
      <c r="F58" s="609"/>
      <c r="G58" s="618"/>
      <c r="H58" s="612"/>
      <c r="I58" s="619"/>
      <c r="J58" s="582"/>
      <c r="K58" s="586"/>
      <c r="L58" s="582"/>
      <c r="M58" s="2740"/>
      <c r="N58" s="1126"/>
      <c r="O58" s="2741"/>
      <c r="P58" s="568"/>
      <c r="Q58" s="566"/>
      <c r="R58" s="568"/>
      <c r="S58" s="566"/>
      <c r="T58" s="567"/>
      <c r="U58" s="568"/>
      <c r="V58" s="566"/>
      <c r="W58" s="567"/>
      <c r="X58" s="568"/>
      <c r="Y58" s="566"/>
      <c r="Z58" s="567"/>
      <c r="AA58" s="568"/>
      <c r="AB58" s="566"/>
      <c r="AC58" s="567"/>
      <c r="AD58" s="567"/>
      <c r="AE58" s="568"/>
      <c r="AF58" s="566"/>
      <c r="AG58" s="567"/>
      <c r="AH58" s="568"/>
      <c r="AI58" s="566"/>
      <c r="AJ58" s="567"/>
      <c r="AK58" s="568"/>
      <c r="AL58" s="566"/>
      <c r="AM58" s="567"/>
      <c r="AN58" s="568"/>
      <c r="AO58" s="566"/>
      <c r="AP58" s="567"/>
      <c r="AQ58" s="568"/>
      <c r="AR58" s="566"/>
      <c r="AS58" s="567"/>
      <c r="AT58" s="568"/>
      <c r="AU58" s="566"/>
      <c r="AV58" s="567"/>
      <c r="AW58" s="568"/>
      <c r="AX58" s="566"/>
      <c r="AY58" s="567"/>
      <c r="AZ58" s="568"/>
      <c r="BA58" s="566"/>
      <c r="BB58" s="567"/>
      <c r="BC58" s="568"/>
      <c r="BD58" s="566"/>
      <c r="BE58" s="567"/>
      <c r="BF58" s="567"/>
      <c r="BG58" s="569"/>
      <c r="BH58" s="567"/>
      <c r="BI58" s="567"/>
      <c r="BJ58" s="569"/>
      <c r="BK58" s="567"/>
      <c r="BL58" s="568"/>
      <c r="BM58" s="567"/>
      <c r="BN58" s="567"/>
      <c r="BO58" s="567"/>
      <c r="BP58" s="568"/>
      <c r="BQ58" s="566"/>
      <c r="BR58" s="567"/>
      <c r="BS58" s="568"/>
      <c r="BT58" s="567"/>
      <c r="BU58" s="567"/>
      <c r="BV58" s="568"/>
      <c r="BW58" s="567"/>
      <c r="BX58" s="2807"/>
      <c r="BY58" s="568"/>
      <c r="BZ58" s="566"/>
      <c r="CA58" s="567"/>
    </row>
    <row r="59" spans="1:79" ht="21" customHeight="1" x14ac:dyDescent="0.4">
      <c r="A59" s="249"/>
      <c r="B59" s="249"/>
      <c r="C59" s="584">
        <v>0.28472222222222221</v>
      </c>
      <c r="D59" s="617"/>
      <c r="E59" s="609"/>
      <c r="F59" s="609"/>
      <c r="G59" s="618"/>
      <c r="H59" s="612"/>
      <c r="I59" s="619"/>
      <c r="J59" s="582"/>
      <c r="K59" s="586"/>
      <c r="L59" s="582"/>
      <c r="M59" s="2740"/>
      <c r="N59" s="1126"/>
      <c r="O59" s="2741"/>
      <c r="P59" s="568"/>
      <c r="Q59" s="566"/>
      <c r="R59" s="568"/>
      <c r="S59" s="566"/>
      <c r="T59" s="567"/>
      <c r="U59" s="568"/>
      <c r="V59" s="566"/>
      <c r="W59" s="567"/>
      <c r="X59" s="568"/>
      <c r="Y59" s="566"/>
      <c r="Z59" s="567"/>
      <c r="AA59" s="568"/>
      <c r="AB59" s="566"/>
      <c r="AC59" s="567"/>
      <c r="AD59" s="567"/>
      <c r="AE59" s="568"/>
      <c r="AF59" s="566"/>
      <c r="AG59" s="567"/>
      <c r="AH59" s="568"/>
      <c r="AI59" s="566"/>
      <c r="AJ59" s="567"/>
      <c r="AK59" s="568"/>
      <c r="AL59" s="566"/>
      <c r="AM59" s="567"/>
      <c r="AN59" s="568"/>
      <c r="AO59" s="566"/>
      <c r="AP59" s="567"/>
      <c r="AQ59" s="568"/>
      <c r="AR59" s="566"/>
      <c r="AS59" s="567"/>
      <c r="AT59" s="568"/>
      <c r="AU59" s="566"/>
      <c r="AV59" s="567"/>
      <c r="AW59" s="568"/>
      <c r="AX59" s="566"/>
      <c r="AY59" s="567"/>
      <c r="AZ59" s="568"/>
      <c r="BA59" s="566"/>
      <c r="BB59" s="567"/>
      <c r="BC59" s="568"/>
      <c r="BD59" s="566"/>
      <c r="BE59" s="567"/>
      <c r="BF59" s="567"/>
      <c r="BG59" s="569"/>
      <c r="BH59" s="567"/>
      <c r="BI59" s="567"/>
      <c r="BJ59" s="569"/>
      <c r="BK59" s="567"/>
      <c r="BL59" s="568"/>
      <c r="BM59" s="567"/>
      <c r="BN59" s="567"/>
      <c r="BO59" s="567"/>
      <c r="BP59" s="568"/>
      <c r="BQ59" s="566"/>
      <c r="BR59" s="567"/>
      <c r="BS59" s="568"/>
      <c r="BT59" s="567"/>
      <c r="BU59" s="567"/>
      <c r="BV59" s="568"/>
      <c r="BW59" s="567"/>
      <c r="BX59" s="2807"/>
      <c r="BY59" s="568"/>
      <c r="BZ59" s="566"/>
      <c r="CA59" s="567"/>
    </row>
    <row r="60" spans="1:79" ht="21" customHeight="1" x14ac:dyDescent="0.4">
      <c r="A60" s="249"/>
      <c r="B60" s="249"/>
      <c r="C60" s="584" t="s">
        <v>307</v>
      </c>
      <c r="D60" s="608"/>
      <c r="E60" s="609"/>
      <c r="F60" s="610"/>
      <c r="G60" s="611"/>
      <c r="H60" s="612"/>
      <c r="I60" s="613"/>
      <c r="J60" s="582"/>
      <c r="K60" s="586"/>
      <c r="L60" s="582"/>
      <c r="M60" s="2736"/>
      <c r="N60" s="1126"/>
      <c r="O60" s="2737"/>
      <c r="P60" s="568"/>
      <c r="Q60" s="566"/>
      <c r="R60" s="568"/>
      <c r="S60" s="566"/>
      <c r="T60" s="567"/>
      <c r="U60" s="568"/>
      <c r="V60" s="566"/>
      <c r="W60" s="567"/>
      <c r="X60" s="568"/>
      <c r="Y60" s="566"/>
      <c r="Z60" s="567"/>
      <c r="AA60" s="568"/>
      <c r="AB60" s="566"/>
      <c r="AC60" s="567"/>
      <c r="AD60" s="567"/>
      <c r="AE60" s="568"/>
      <c r="AF60" s="566"/>
      <c r="AG60" s="567"/>
      <c r="AH60" s="568"/>
      <c r="AI60" s="566"/>
      <c r="AJ60" s="567"/>
      <c r="AK60" s="568"/>
      <c r="AL60" s="566"/>
      <c r="AM60" s="567"/>
      <c r="AN60" s="568"/>
      <c r="AO60" s="566"/>
      <c r="AP60" s="567"/>
      <c r="AQ60" s="568"/>
      <c r="AR60" s="566"/>
      <c r="AS60" s="567"/>
      <c r="AT60" s="568"/>
      <c r="AU60" s="566"/>
      <c r="AV60" s="567"/>
      <c r="AW60" s="568"/>
      <c r="AX60" s="566"/>
      <c r="AY60" s="567"/>
      <c r="AZ60" s="568"/>
      <c r="BA60" s="566"/>
      <c r="BB60" s="567"/>
      <c r="BC60" s="568"/>
      <c r="BD60" s="566"/>
      <c r="BE60" s="567"/>
      <c r="BF60" s="567"/>
      <c r="BG60" s="569"/>
      <c r="BH60" s="567"/>
      <c r="BI60" s="567"/>
      <c r="BJ60" s="569"/>
      <c r="BK60" s="567"/>
      <c r="BL60" s="568"/>
      <c r="BM60" s="567"/>
      <c r="BN60" s="567"/>
      <c r="BO60" s="567"/>
      <c r="BP60" s="568"/>
      <c r="BQ60" s="566"/>
      <c r="BR60" s="567"/>
      <c r="BS60" s="568"/>
      <c r="BT60" s="567"/>
      <c r="BU60" s="567"/>
      <c r="BV60" s="568"/>
      <c r="BW60" s="567"/>
      <c r="BX60" s="2807"/>
      <c r="BY60" s="568"/>
      <c r="BZ60" s="566"/>
      <c r="CA60" s="567"/>
    </row>
    <row r="61" spans="1:79" ht="21" customHeight="1" x14ac:dyDescent="0.4">
      <c r="A61" s="249"/>
      <c r="B61" s="249"/>
      <c r="C61" s="584">
        <v>0.28819444444444442</v>
      </c>
      <c r="D61" s="617"/>
      <c r="E61" s="609"/>
      <c r="F61" s="609"/>
      <c r="G61" s="618"/>
      <c r="H61" s="612"/>
      <c r="I61" s="620"/>
      <c r="J61" s="582"/>
      <c r="K61" s="586"/>
      <c r="L61" s="582"/>
      <c r="M61" s="2740"/>
      <c r="N61" s="1126"/>
      <c r="O61" s="2742"/>
      <c r="P61" s="568"/>
      <c r="Q61" s="566"/>
      <c r="R61" s="568"/>
      <c r="S61" s="566"/>
      <c r="T61" s="567"/>
      <c r="U61" s="568"/>
      <c r="V61" s="566"/>
      <c r="W61" s="567"/>
      <c r="X61" s="568"/>
      <c r="Y61" s="566"/>
      <c r="Z61" s="567"/>
      <c r="AA61" s="568"/>
      <c r="AB61" s="566"/>
      <c r="AC61" s="567"/>
      <c r="AD61" s="567"/>
      <c r="AE61" s="568"/>
      <c r="AF61" s="566"/>
      <c r="AG61" s="567"/>
      <c r="AH61" s="568"/>
      <c r="AI61" s="566"/>
      <c r="AJ61" s="567"/>
      <c r="AK61" s="568"/>
      <c r="AL61" s="566"/>
      <c r="AM61" s="567"/>
      <c r="AN61" s="568"/>
      <c r="AO61" s="566"/>
      <c r="AP61" s="567"/>
      <c r="AQ61" s="568"/>
      <c r="AR61" s="566"/>
      <c r="AS61" s="567"/>
      <c r="AT61" s="568"/>
      <c r="AU61" s="566"/>
      <c r="AV61" s="567"/>
      <c r="AW61" s="568"/>
      <c r="AX61" s="566"/>
      <c r="AY61" s="567"/>
      <c r="AZ61" s="568"/>
      <c r="BA61" s="566"/>
      <c r="BB61" s="567"/>
      <c r="BC61" s="568"/>
      <c r="BD61" s="566"/>
      <c r="BE61" s="567"/>
      <c r="BF61" s="567"/>
      <c r="BG61" s="569"/>
      <c r="BH61" s="567"/>
      <c r="BI61" s="567"/>
      <c r="BJ61" s="569"/>
      <c r="BK61" s="567"/>
      <c r="BL61" s="568"/>
      <c r="BM61" s="567"/>
      <c r="BN61" s="567"/>
      <c r="BO61" s="567"/>
      <c r="BP61" s="568"/>
      <c r="BQ61" s="566"/>
      <c r="BR61" s="567"/>
      <c r="BS61" s="568"/>
      <c r="BT61" s="567"/>
      <c r="BU61" s="567"/>
      <c r="BV61" s="568"/>
      <c r="BW61" s="567"/>
      <c r="BX61" s="2807"/>
      <c r="BY61" s="568"/>
      <c r="BZ61" s="566"/>
      <c r="CA61" s="567"/>
    </row>
    <row r="62" spans="1:79" ht="21" customHeight="1" x14ac:dyDescent="0.4">
      <c r="A62" s="249"/>
      <c r="B62" s="249"/>
      <c r="C62" s="621" t="s">
        <v>307</v>
      </c>
      <c r="D62" s="617"/>
      <c r="E62" s="609"/>
      <c r="F62" s="609"/>
      <c r="G62" s="618"/>
      <c r="H62" s="612"/>
      <c r="I62" s="616"/>
      <c r="J62" s="582"/>
      <c r="K62" s="586"/>
      <c r="L62" s="582"/>
      <c r="M62" s="2740"/>
      <c r="N62" s="1126"/>
      <c r="O62" s="2739"/>
      <c r="P62" s="568"/>
      <c r="Q62" s="566"/>
      <c r="R62" s="568"/>
      <c r="S62" s="566"/>
      <c r="T62" s="567"/>
      <c r="U62" s="568"/>
      <c r="V62" s="566"/>
      <c r="W62" s="567"/>
      <c r="X62" s="568"/>
      <c r="Y62" s="566"/>
      <c r="Z62" s="567"/>
      <c r="AA62" s="568"/>
      <c r="AB62" s="566"/>
      <c r="AC62" s="567"/>
      <c r="AD62" s="567"/>
      <c r="AE62" s="568"/>
      <c r="AF62" s="566"/>
      <c r="AG62" s="567"/>
      <c r="AH62" s="568"/>
      <c r="AI62" s="566"/>
      <c r="AJ62" s="567"/>
      <c r="AK62" s="568"/>
      <c r="AL62" s="566"/>
      <c r="AM62" s="567"/>
      <c r="AN62" s="568"/>
      <c r="AO62" s="566"/>
      <c r="AP62" s="567"/>
      <c r="AQ62" s="568"/>
      <c r="AR62" s="566"/>
      <c r="AS62" s="567"/>
      <c r="AT62" s="568"/>
      <c r="AU62" s="566"/>
      <c r="AV62" s="567"/>
      <c r="AW62" s="568"/>
      <c r="AX62" s="566"/>
      <c r="AY62" s="567"/>
      <c r="AZ62" s="568"/>
      <c r="BA62" s="566"/>
      <c r="BB62" s="567"/>
      <c r="BC62" s="568"/>
      <c r="BD62" s="566"/>
      <c r="BE62" s="567"/>
      <c r="BF62" s="567"/>
      <c r="BG62" s="569"/>
      <c r="BH62" s="567"/>
      <c r="BI62" s="567"/>
      <c r="BJ62" s="569"/>
      <c r="BK62" s="567"/>
      <c r="BL62" s="568"/>
      <c r="BM62" s="567"/>
      <c r="BN62" s="567"/>
      <c r="BO62" s="567"/>
      <c r="BP62" s="568"/>
      <c r="BQ62" s="566"/>
      <c r="BR62" s="567"/>
      <c r="BS62" s="568"/>
      <c r="BT62" s="567"/>
      <c r="BU62" s="567"/>
      <c r="BV62" s="568"/>
      <c r="BW62" s="567"/>
      <c r="BX62" s="2807"/>
      <c r="BY62" s="568"/>
      <c r="BZ62" s="566"/>
      <c r="CA62" s="567"/>
    </row>
    <row r="63" spans="1:79" ht="21" customHeight="1" x14ac:dyDescent="0.4">
      <c r="A63" s="249"/>
      <c r="B63" s="249"/>
      <c r="C63" s="622">
        <v>0.29166666666666669</v>
      </c>
      <c r="D63" s="623"/>
      <c r="E63" s="624" t="s">
        <v>271</v>
      </c>
      <c r="F63" s="625"/>
      <c r="G63" s="626"/>
      <c r="H63" s="627" t="s">
        <v>271</v>
      </c>
      <c r="I63" s="628"/>
      <c r="J63" s="629"/>
      <c r="K63" s="630"/>
      <c r="L63" s="629"/>
      <c r="M63" s="2743"/>
      <c r="N63" s="2744" t="s">
        <v>271</v>
      </c>
      <c r="O63" s="2745"/>
      <c r="P63" s="568"/>
      <c r="Q63" s="566"/>
      <c r="R63" s="568"/>
      <c r="S63" s="566"/>
      <c r="T63" s="567"/>
      <c r="U63" s="568"/>
      <c r="V63" s="566"/>
      <c r="W63" s="567"/>
      <c r="X63" s="568"/>
      <c r="Y63" s="566"/>
      <c r="Z63" s="567"/>
      <c r="AA63" s="568"/>
      <c r="AB63" s="566"/>
      <c r="AC63" s="567"/>
      <c r="AD63" s="567"/>
      <c r="AE63" s="568"/>
      <c r="AF63" s="566"/>
      <c r="AG63" s="567"/>
      <c r="AH63" s="568"/>
      <c r="AI63" s="566"/>
      <c r="AJ63" s="567"/>
      <c r="AK63" s="568"/>
      <c r="AL63" s="566"/>
      <c r="AM63" s="567"/>
      <c r="AN63" s="568"/>
      <c r="AO63" s="566"/>
      <c r="AP63" s="567"/>
      <c r="AQ63" s="568"/>
      <c r="AR63" s="566"/>
      <c r="AS63" s="567"/>
      <c r="AT63" s="568"/>
      <c r="AU63" s="566"/>
      <c r="AV63" s="567"/>
      <c r="AW63" s="568"/>
      <c r="AX63" s="566"/>
      <c r="AY63" s="567"/>
      <c r="AZ63" s="568"/>
      <c r="BA63" s="566"/>
      <c r="BB63" s="567"/>
      <c r="BC63" s="568"/>
      <c r="BD63" s="566"/>
      <c r="BE63" s="567"/>
      <c r="BF63" s="567"/>
      <c r="BG63" s="569"/>
      <c r="BH63" s="567"/>
      <c r="BI63" s="567"/>
      <c r="BJ63" s="569"/>
      <c r="BK63" s="567"/>
      <c r="BL63" s="568"/>
      <c r="BM63" s="567"/>
      <c r="BN63" s="567"/>
      <c r="BO63" s="567"/>
      <c r="BP63" s="568"/>
      <c r="BQ63" s="566"/>
      <c r="BR63" s="567"/>
      <c r="BS63" s="568"/>
      <c r="BT63" s="567"/>
      <c r="BU63" s="567"/>
      <c r="BV63" s="568"/>
      <c r="BW63" s="567"/>
      <c r="BX63" s="2807"/>
      <c r="BY63" s="568"/>
      <c r="BZ63" s="566"/>
      <c r="CA63" s="567"/>
    </row>
    <row r="64" spans="1:79" ht="21" customHeight="1" x14ac:dyDescent="0.4">
      <c r="A64" s="249"/>
      <c r="B64" s="249"/>
      <c r="C64" s="584" t="s">
        <v>307</v>
      </c>
      <c r="D64" s="631"/>
      <c r="E64" s="614" t="s">
        <v>310</v>
      </c>
      <c r="F64" s="632"/>
      <c r="G64" s="633"/>
      <c r="H64" s="612" t="s">
        <v>310</v>
      </c>
      <c r="I64" s="634"/>
      <c r="J64" s="582"/>
      <c r="K64" s="635"/>
      <c r="L64" s="582"/>
      <c r="M64" s="2746"/>
      <c r="N64" s="1126" t="s">
        <v>310</v>
      </c>
      <c r="O64" s="2747"/>
      <c r="P64" s="568"/>
      <c r="Q64" s="566"/>
      <c r="R64" s="568"/>
      <c r="S64" s="566"/>
      <c r="T64" s="567"/>
      <c r="U64" s="568"/>
      <c r="V64" s="566"/>
      <c r="W64" s="567"/>
      <c r="X64" s="568"/>
      <c r="Y64" s="566"/>
      <c r="Z64" s="567"/>
      <c r="AA64" s="568"/>
      <c r="AB64" s="566"/>
      <c r="AC64" s="567"/>
      <c r="AD64" s="567"/>
      <c r="AE64" s="568"/>
      <c r="AF64" s="566"/>
      <c r="AG64" s="567"/>
      <c r="AH64" s="568"/>
      <c r="AI64" s="566"/>
      <c r="AJ64" s="567"/>
      <c r="AK64" s="568"/>
      <c r="AL64" s="566"/>
      <c r="AM64" s="567"/>
      <c r="AN64" s="568"/>
      <c r="AO64" s="566"/>
      <c r="AP64" s="567"/>
      <c r="AQ64" s="568"/>
      <c r="AR64" s="566"/>
      <c r="AS64" s="567"/>
      <c r="AT64" s="568"/>
      <c r="AU64" s="566"/>
      <c r="AV64" s="567"/>
      <c r="AW64" s="568"/>
      <c r="AX64" s="566"/>
      <c r="AY64" s="567"/>
      <c r="AZ64" s="568"/>
      <c r="BA64" s="566"/>
      <c r="BB64" s="567"/>
      <c r="BC64" s="568"/>
      <c r="BD64" s="566"/>
      <c r="BE64" s="567"/>
      <c r="BF64" s="567"/>
      <c r="BG64" s="569"/>
      <c r="BH64" s="567"/>
      <c r="BI64" s="567"/>
      <c r="BJ64" s="569"/>
      <c r="BK64" s="567"/>
      <c r="BL64" s="568"/>
      <c r="BM64" s="567"/>
      <c r="BN64" s="567"/>
      <c r="BO64" s="567"/>
      <c r="BP64" s="568"/>
      <c r="BQ64" s="566"/>
      <c r="BR64" s="567"/>
      <c r="BS64" s="568"/>
      <c r="BT64" s="567"/>
      <c r="BU64" s="567"/>
      <c r="BV64" s="568"/>
      <c r="BW64" s="567"/>
      <c r="BX64" s="2807"/>
      <c r="BY64" s="568"/>
      <c r="BZ64" s="566"/>
      <c r="CA64" s="567"/>
    </row>
    <row r="65" spans="1:79" ht="21" customHeight="1" x14ac:dyDescent="0.4">
      <c r="A65" s="249"/>
      <c r="B65" s="249"/>
      <c r="C65" s="584">
        <v>0.2951388888888889</v>
      </c>
      <c r="D65" s="631"/>
      <c r="E65" s="535"/>
      <c r="F65" s="632"/>
      <c r="G65" s="633"/>
      <c r="H65" s="537"/>
      <c r="I65" s="634"/>
      <c r="J65" s="582"/>
      <c r="K65" s="586"/>
      <c r="L65" s="582"/>
      <c r="M65" s="2746"/>
      <c r="N65" s="2726"/>
      <c r="O65" s="2747"/>
      <c r="P65" s="568"/>
      <c r="Q65" s="566"/>
      <c r="R65" s="568"/>
      <c r="S65" s="566"/>
      <c r="T65" s="567"/>
      <c r="U65" s="568"/>
      <c r="V65" s="566"/>
      <c r="W65" s="567"/>
      <c r="X65" s="568"/>
      <c r="Y65" s="566"/>
      <c r="Z65" s="567"/>
      <c r="AA65" s="568"/>
      <c r="AB65" s="566"/>
      <c r="AC65" s="567"/>
      <c r="AD65" s="567"/>
      <c r="AE65" s="568"/>
      <c r="AF65" s="566"/>
      <c r="AG65" s="567"/>
      <c r="AH65" s="568"/>
      <c r="AI65" s="566"/>
      <c r="AJ65" s="567"/>
      <c r="AK65" s="568"/>
      <c r="AL65" s="566"/>
      <c r="AM65" s="567"/>
      <c r="AN65" s="568"/>
      <c r="AO65" s="566"/>
      <c r="AP65" s="567"/>
      <c r="AQ65" s="568"/>
      <c r="AR65" s="566"/>
      <c r="AS65" s="567"/>
      <c r="AT65" s="568"/>
      <c r="AU65" s="566"/>
      <c r="AV65" s="567"/>
      <c r="AW65" s="568"/>
      <c r="AX65" s="566"/>
      <c r="AY65" s="567"/>
      <c r="AZ65" s="568"/>
      <c r="BA65" s="566"/>
      <c r="BB65" s="567"/>
      <c r="BC65" s="568"/>
      <c r="BD65" s="566"/>
      <c r="BE65" s="567"/>
      <c r="BF65" s="567"/>
      <c r="BG65" s="569"/>
      <c r="BH65" s="567"/>
      <c r="BI65" s="567"/>
      <c r="BJ65" s="569"/>
      <c r="BK65" s="567"/>
      <c r="BL65" s="568"/>
      <c r="BM65" s="567"/>
      <c r="BN65" s="567"/>
      <c r="BO65" s="567"/>
      <c r="BP65" s="568"/>
      <c r="BQ65" s="566"/>
      <c r="BR65" s="567"/>
      <c r="BS65" s="568"/>
      <c r="BT65" s="567"/>
      <c r="BU65" s="567"/>
      <c r="BV65" s="568"/>
      <c r="BW65" s="567"/>
      <c r="BX65" s="2807"/>
      <c r="BY65" s="568"/>
      <c r="BZ65" s="566"/>
      <c r="CA65" s="567"/>
    </row>
    <row r="66" spans="1:79" ht="21" customHeight="1" x14ac:dyDescent="0.4">
      <c r="A66" s="249"/>
      <c r="B66" s="249"/>
      <c r="C66" s="584" t="s">
        <v>307</v>
      </c>
      <c r="D66" s="631"/>
      <c r="E66" s="535"/>
      <c r="F66" s="632"/>
      <c r="G66" s="633"/>
      <c r="H66" s="537"/>
      <c r="I66" s="634"/>
      <c r="J66" s="582"/>
      <c r="K66" s="586"/>
      <c r="L66" s="582"/>
      <c r="M66" s="2746"/>
      <c r="N66" s="2726"/>
      <c r="O66" s="2747"/>
      <c r="P66" s="568"/>
      <c r="Q66" s="566"/>
      <c r="R66" s="568"/>
      <c r="S66" s="566"/>
      <c r="T66" s="567"/>
      <c r="U66" s="568"/>
      <c r="V66" s="566"/>
      <c r="W66" s="567"/>
      <c r="X66" s="568"/>
      <c r="Y66" s="566"/>
      <c r="Z66" s="567"/>
      <c r="AA66" s="568"/>
      <c r="AB66" s="566"/>
      <c r="AC66" s="567"/>
      <c r="AD66" s="567"/>
      <c r="AE66" s="568"/>
      <c r="AF66" s="566"/>
      <c r="AG66" s="567"/>
      <c r="AH66" s="568"/>
      <c r="AI66" s="566"/>
      <c r="AJ66" s="567"/>
      <c r="AK66" s="568"/>
      <c r="AL66" s="566"/>
      <c r="AM66" s="567"/>
      <c r="AN66" s="568"/>
      <c r="AO66" s="566"/>
      <c r="AP66" s="567"/>
      <c r="AQ66" s="568"/>
      <c r="AR66" s="566"/>
      <c r="AS66" s="567"/>
      <c r="AT66" s="568"/>
      <c r="AU66" s="566"/>
      <c r="AV66" s="567"/>
      <c r="AW66" s="568"/>
      <c r="AX66" s="566"/>
      <c r="AY66" s="567"/>
      <c r="AZ66" s="568"/>
      <c r="BA66" s="566"/>
      <c r="BB66" s="567"/>
      <c r="BC66" s="568"/>
      <c r="BD66" s="566"/>
      <c r="BE66" s="567"/>
      <c r="BF66" s="567"/>
      <c r="BG66" s="569"/>
      <c r="BH66" s="567"/>
      <c r="BI66" s="567"/>
      <c r="BJ66" s="569"/>
      <c r="BK66" s="567"/>
      <c r="BL66" s="568"/>
      <c r="BM66" s="567"/>
      <c r="BN66" s="567"/>
      <c r="BO66" s="567"/>
      <c r="BP66" s="568"/>
      <c r="BQ66" s="566"/>
      <c r="BR66" s="567"/>
      <c r="BS66" s="568"/>
      <c r="BT66" s="567"/>
      <c r="BU66" s="567"/>
      <c r="BV66" s="568"/>
      <c r="BW66" s="567"/>
      <c r="BX66" s="2807"/>
      <c r="BY66" s="568"/>
      <c r="BZ66" s="566"/>
      <c r="CA66" s="567"/>
    </row>
    <row r="67" spans="1:79" ht="21" customHeight="1" x14ac:dyDescent="0.4">
      <c r="A67" s="249"/>
      <c r="B67" s="249"/>
      <c r="C67" s="584">
        <v>0.2986111111111111</v>
      </c>
      <c r="D67" s="631"/>
      <c r="E67" s="535"/>
      <c r="F67" s="632"/>
      <c r="G67" s="633"/>
      <c r="H67" s="537"/>
      <c r="I67" s="634"/>
      <c r="J67" s="582"/>
      <c r="K67" s="586"/>
      <c r="L67" s="582"/>
      <c r="M67" s="2746"/>
      <c r="N67" s="2726"/>
      <c r="O67" s="2747"/>
      <c r="P67" s="568"/>
      <c r="Q67" s="566"/>
      <c r="R67" s="568"/>
      <c r="S67" s="566"/>
      <c r="T67" s="567"/>
      <c r="U67" s="568"/>
      <c r="V67" s="566"/>
      <c r="W67" s="567"/>
      <c r="X67" s="568"/>
      <c r="Y67" s="566"/>
      <c r="Z67" s="567"/>
      <c r="AA67" s="568"/>
      <c r="AB67" s="566"/>
      <c r="AC67" s="567"/>
      <c r="AD67" s="567"/>
      <c r="AE67" s="568"/>
      <c r="AF67" s="566"/>
      <c r="AG67" s="567"/>
      <c r="AH67" s="568"/>
      <c r="AI67" s="566"/>
      <c r="AJ67" s="567"/>
      <c r="AK67" s="568"/>
      <c r="AL67" s="566"/>
      <c r="AM67" s="567"/>
      <c r="AN67" s="568"/>
      <c r="AO67" s="566"/>
      <c r="AP67" s="567"/>
      <c r="AQ67" s="568"/>
      <c r="AR67" s="566"/>
      <c r="AS67" s="567"/>
      <c r="AT67" s="568"/>
      <c r="AU67" s="566"/>
      <c r="AV67" s="567"/>
      <c r="AW67" s="568"/>
      <c r="AX67" s="566"/>
      <c r="AY67" s="567"/>
      <c r="AZ67" s="568"/>
      <c r="BA67" s="566"/>
      <c r="BB67" s="567"/>
      <c r="BC67" s="568"/>
      <c r="BD67" s="566"/>
      <c r="BE67" s="567"/>
      <c r="BF67" s="567"/>
      <c r="BG67" s="569"/>
      <c r="BH67" s="567"/>
      <c r="BI67" s="567"/>
      <c r="BJ67" s="569"/>
      <c r="BK67" s="567"/>
      <c r="BL67" s="568"/>
      <c r="BM67" s="567"/>
      <c r="BN67" s="567"/>
      <c r="BO67" s="567"/>
      <c r="BP67" s="568"/>
      <c r="BQ67" s="566"/>
      <c r="BR67" s="567"/>
      <c r="BS67" s="568"/>
      <c r="BT67" s="567"/>
      <c r="BU67" s="567"/>
      <c r="BV67" s="568"/>
      <c r="BW67" s="567"/>
      <c r="BX67" s="2807"/>
      <c r="BY67" s="568"/>
      <c r="BZ67" s="566"/>
      <c r="CA67" s="567"/>
    </row>
    <row r="68" spans="1:79" ht="21" customHeight="1" x14ac:dyDescent="0.4">
      <c r="A68" s="249"/>
      <c r="B68" s="249"/>
      <c r="C68" s="584" t="s">
        <v>307</v>
      </c>
      <c r="D68" s="631"/>
      <c r="E68" s="535"/>
      <c r="F68" s="632"/>
      <c r="G68" s="633"/>
      <c r="H68" s="537"/>
      <c r="I68" s="634"/>
      <c r="J68" s="582"/>
      <c r="K68" s="586"/>
      <c r="L68" s="582"/>
      <c r="M68" s="2746"/>
      <c r="N68" s="2726"/>
      <c r="O68" s="2747"/>
      <c r="P68" s="568"/>
      <c r="Q68" s="566"/>
      <c r="R68" s="568"/>
      <c r="S68" s="566"/>
      <c r="T68" s="567"/>
      <c r="U68" s="568"/>
      <c r="V68" s="566"/>
      <c r="W68" s="567"/>
      <c r="X68" s="568"/>
      <c r="Y68" s="566"/>
      <c r="Z68" s="567"/>
      <c r="AA68" s="568"/>
      <c r="AB68" s="566"/>
      <c r="AC68" s="567"/>
      <c r="AD68" s="567"/>
      <c r="AE68" s="568"/>
      <c r="AF68" s="566"/>
      <c r="AG68" s="567"/>
      <c r="AH68" s="568"/>
      <c r="AI68" s="566"/>
      <c r="AJ68" s="567"/>
      <c r="AK68" s="568"/>
      <c r="AL68" s="566"/>
      <c r="AM68" s="567"/>
      <c r="AN68" s="568"/>
      <c r="AO68" s="566"/>
      <c r="AP68" s="567"/>
      <c r="AQ68" s="568"/>
      <c r="AR68" s="566"/>
      <c r="AS68" s="567"/>
      <c r="AT68" s="568"/>
      <c r="AU68" s="566"/>
      <c r="AV68" s="567"/>
      <c r="AW68" s="568"/>
      <c r="AX68" s="566"/>
      <c r="AY68" s="567"/>
      <c r="AZ68" s="568"/>
      <c r="BA68" s="566"/>
      <c r="BB68" s="567"/>
      <c r="BC68" s="568"/>
      <c r="BD68" s="566"/>
      <c r="BE68" s="567"/>
      <c r="BF68" s="567"/>
      <c r="BG68" s="569"/>
      <c r="BH68" s="567"/>
      <c r="BI68" s="567"/>
      <c r="BJ68" s="569"/>
      <c r="BK68" s="567"/>
      <c r="BL68" s="568"/>
      <c r="BM68" s="567"/>
      <c r="BN68" s="567"/>
      <c r="BO68" s="567"/>
      <c r="BP68" s="568"/>
      <c r="BQ68" s="566"/>
      <c r="BR68" s="567"/>
      <c r="BS68" s="568"/>
      <c r="BT68" s="567"/>
      <c r="BU68" s="567"/>
      <c r="BV68" s="568"/>
      <c r="BW68" s="567"/>
      <c r="BX68" s="2807"/>
      <c r="BY68" s="568"/>
      <c r="BZ68" s="566"/>
      <c r="CA68" s="567"/>
    </row>
    <row r="69" spans="1:79" ht="21" customHeight="1" x14ac:dyDescent="0.4">
      <c r="A69" s="249"/>
      <c r="B69" s="249"/>
      <c r="C69" s="584">
        <v>0.30208333333333331</v>
      </c>
      <c r="D69" s="631"/>
      <c r="E69" s="614"/>
      <c r="F69" s="632"/>
      <c r="G69" s="633"/>
      <c r="H69" s="612"/>
      <c r="I69" s="634"/>
      <c r="J69" s="582"/>
      <c r="K69" s="586"/>
      <c r="L69" s="582"/>
      <c r="M69" s="2746"/>
      <c r="N69" s="1126"/>
      <c r="O69" s="2747"/>
      <c r="P69" s="568"/>
      <c r="Q69" s="566"/>
      <c r="R69" s="568"/>
      <c r="S69" s="566"/>
      <c r="T69" s="567"/>
      <c r="U69" s="568"/>
      <c r="V69" s="566"/>
      <c r="W69" s="567"/>
      <c r="X69" s="568"/>
      <c r="Y69" s="566"/>
      <c r="Z69" s="567"/>
      <c r="AA69" s="568"/>
      <c r="AB69" s="566"/>
      <c r="AC69" s="567"/>
      <c r="AD69" s="567"/>
      <c r="AE69" s="568"/>
      <c r="AF69" s="566"/>
      <c r="AG69" s="567"/>
      <c r="AH69" s="568"/>
      <c r="AI69" s="566"/>
      <c r="AJ69" s="567"/>
      <c r="AK69" s="568"/>
      <c r="AL69" s="566"/>
      <c r="AM69" s="567"/>
      <c r="AN69" s="568"/>
      <c r="AO69" s="566"/>
      <c r="AP69" s="567"/>
      <c r="AQ69" s="568"/>
      <c r="AR69" s="566"/>
      <c r="AS69" s="567"/>
      <c r="AT69" s="568"/>
      <c r="AU69" s="566"/>
      <c r="AV69" s="567"/>
      <c r="AW69" s="568"/>
      <c r="AX69" s="566"/>
      <c r="AY69" s="567"/>
      <c r="AZ69" s="568"/>
      <c r="BA69" s="566"/>
      <c r="BB69" s="567"/>
      <c r="BC69" s="568"/>
      <c r="BD69" s="566"/>
      <c r="BE69" s="567"/>
      <c r="BF69" s="567"/>
      <c r="BG69" s="569"/>
      <c r="BH69" s="567"/>
      <c r="BI69" s="567"/>
      <c r="BJ69" s="569"/>
      <c r="BK69" s="567"/>
      <c r="BL69" s="568"/>
      <c r="BM69" s="567"/>
      <c r="BN69" s="567"/>
      <c r="BO69" s="567"/>
      <c r="BP69" s="568"/>
      <c r="BQ69" s="566"/>
      <c r="BR69" s="567"/>
      <c r="BS69" s="568"/>
      <c r="BT69" s="567"/>
      <c r="BU69" s="567"/>
      <c r="BV69" s="568"/>
      <c r="BW69" s="567"/>
      <c r="BX69" s="2807"/>
      <c r="BY69" s="568"/>
      <c r="BZ69" s="566"/>
      <c r="CA69" s="567"/>
    </row>
    <row r="70" spans="1:79" ht="21" customHeight="1" x14ac:dyDescent="0.4">
      <c r="A70" s="249"/>
      <c r="B70" s="249"/>
      <c r="C70" s="584" t="s">
        <v>307</v>
      </c>
      <c r="D70" s="631"/>
      <c r="E70" s="535"/>
      <c r="F70" s="632"/>
      <c r="G70" s="633"/>
      <c r="H70" s="537"/>
      <c r="I70" s="634"/>
      <c r="J70" s="582"/>
      <c r="K70" s="586"/>
      <c r="L70" s="582"/>
      <c r="M70" s="2746"/>
      <c r="N70" s="2726"/>
      <c r="O70" s="2747"/>
      <c r="P70" s="568"/>
      <c r="Q70" s="566"/>
      <c r="R70" s="568"/>
      <c r="S70" s="566"/>
      <c r="T70" s="567"/>
      <c r="U70" s="568"/>
      <c r="V70" s="566"/>
      <c r="W70" s="567"/>
      <c r="X70" s="568"/>
      <c r="Y70" s="566"/>
      <c r="Z70" s="567"/>
      <c r="AA70" s="568"/>
      <c r="AB70" s="566"/>
      <c r="AC70" s="567"/>
      <c r="AD70" s="567"/>
      <c r="AE70" s="568"/>
      <c r="AF70" s="566"/>
      <c r="AG70" s="567"/>
      <c r="AH70" s="568"/>
      <c r="AI70" s="566"/>
      <c r="AJ70" s="567"/>
      <c r="AK70" s="568"/>
      <c r="AL70" s="566"/>
      <c r="AM70" s="567"/>
      <c r="AN70" s="568"/>
      <c r="AO70" s="566"/>
      <c r="AP70" s="567"/>
      <c r="AQ70" s="568"/>
      <c r="AR70" s="566"/>
      <c r="AS70" s="567"/>
      <c r="AT70" s="568"/>
      <c r="AU70" s="566"/>
      <c r="AV70" s="567"/>
      <c r="AW70" s="568"/>
      <c r="AX70" s="566"/>
      <c r="AY70" s="567"/>
      <c r="AZ70" s="568"/>
      <c r="BA70" s="566"/>
      <c r="BB70" s="567"/>
      <c r="BC70" s="568"/>
      <c r="BD70" s="566"/>
      <c r="BE70" s="567"/>
      <c r="BF70" s="567"/>
      <c r="BG70" s="569"/>
      <c r="BH70" s="567"/>
      <c r="BI70" s="567"/>
      <c r="BJ70" s="569"/>
      <c r="BK70" s="567"/>
      <c r="BL70" s="568"/>
      <c r="BM70" s="567"/>
      <c r="BN70" s="567"/>
      <c r="BO70" s="567"/>
      <c r="BP70" s="568"/>
      <c r="BQ70" s="566"/>
      <c r="BR70" s="567"/>
      <c r="BS70" s="568"/>
      <c r="BT70" s="567"/>
      <c r="BU70" s="567"/>
      <c r="BV70" s="568"/>
      <c r="BW70" s="567"/>
      <c r="BX70" s="2807"/>
      <c r="BY70" s="568"/>
      <c r="BZ70" s="566"/>
      <c r="CA70" s="567"/>
    </row>
    <row r="71" spans="1:79" ht="21" customHeight="1" x14ac:dyDescent="0.4">
      <c r="A71" s="249"/>
      <c r="B71" s="249"/>
      <c r="C71" s="584">
        <v>0.30555555555555558</v>
      </c>
      <c r="D71" s="631"/>
      <c r="E71" s="535"/>
      <c r="F71" s="632"/>
      <c r="G71" s="633"/>
      <c r="H71" s="537"/>
      <c r="I71" s="634"/>
      <c r="J71" s="582"/>
      <c r="K71" s="586"/>
      <c r="L71" s="582"/>
      <c r="M71" s="2746"/>
      <c r="N71" s="2726"/>
      <c r="O71" s="2747"/>
      <c r="P71" s="568"/>
      <c r="Q71" s="566"/>
      <c r="R71" s="568"/>
      <c r="S71" s="566"/>
      <c r="T71" s="567"/>
      <c r="U71" s="568"/>
      <c r="V71" s="566"/>
      <c r="W71" s="567"/>
      <c r="X71" s="568"/>
      <c r="Y71" s="566"/>
      <c r="Z71" s="567"/>
      <c r="AA71" s="568"/>
      <c r="AB71" s="566"/>
      <c r="AC71" s="567"/>
      <c r="AD71" s="567"/>
      <c r="AE71" s="568"/>
      <c r="AF71" s="566"/>
      <c r="AG71" s="567"/>
      <c r="AH71" s="568"/>
      <c r="AI71" s="566"/>
      <c r="AJ71" s="567"/>
      <c r="AK71" s="568"/>
      <c r="AL71" s="566"/>
      <c r="AM71" s="567"/>
      <c r="AN71" s="568"/>
      <c r="AO71" s="566"/>
      <c r="AP71" s="567"/>
      <c r="AQ71" s="568"/>
      <c r="AR71" s="566"/>
      <c r="AS71" s="567"/>
      <c r="AT71" s="568"/>
      <c r="AU71" s="566"/>
      <c r="AV71" s="567"/>
      <c r="AW71" s="568"/>
      <c r="AX71" s="566"/>
      <c r="AY71" s="567"/>
      <c r="AZ71" s="568"/>
      <c r="BA71" s="566"/>
      <c r="BB71" s="567"/>
      <c r="BC71" s="568"/>
      <c r="BD71" s="566"/>
      <c r="BE71" s="567"/>
      <c r="BF71" s="567"/>
      <c r="BG71" s="569"/>
      <c r="BH71" s="567"/>
      <c r="BI71" s="567"/>
      <c r="BJ71" s="569"/>
      <c r="BK71" s="567"/>
      <c r="BL71" s="568"/>
      <c r="BM71" s="567"/>
      <c r="BN71" s="567"/>
      <c r="BO71" s="567"/>
      <c r="BP71" s="568"/>
      <c r="BQ71" s="566"/>
      <c r="BR71" s="567"/>
      <c r="BS71" s="568"/>
      <c r="BT71" s="567"/>
      <c r="BU71" s="567"/>
      <c r="BV71" s="568"/>
      <c r="BW71" s="567"/>
      <c r="BX71" s="2807"/>
      <c r="BY71" s="568"/>
      <c r="BZ71" s="566"/>
      <c r="CA71" s="567"/>
    </row>
    <row r="72" spans="1:79" ht="21" customHeight="1" x14ac:dyDescent="0.4">
      <c r="A72" s="249"/>
      <c r="B72" s="249"/>
      <c r="C72" s="584" t="s">
        <v>307</v>
      </c>
      <c r="D72" s="631"/>
      <c r="E72" s="535"/>
      <c r="F72" s="632"/>
      <c r="G72" s="633"/>
      <c r="H72" s="537"/>
      <c r="I72" s="634"/>
      <c r="J72" s="582"/>
      <c r="K72" s="586"/>
      <c r="L72" s="582"/>
      <c r="M72" s="2746"/>
      <c r="N72" s="2726"/>
      <c r="O72" s="2747"/>
      <c r="P72" s="568"/>
      <c r="Q72" s="566"/>
      <c r="R72" s="568"/>
      <c r="S72" s="566"/>
      <c r="T72" s="567"/>
      <c r="U72" s="568"/>
      <c r="V72" s="566"/>
      <c r="W72" s="567"/>
      <c r="X72" s="568"/>
      <c r="Y72" s="566"/>
      <c r="Z72" s="567"/>
      <c r="AA72" s="568"/>
      <c r="AB72" s="566"/>
      <c r="AC72" s="567"/>
      <c r="AD72" s="567"/>
      <c r="AE72" s="568"/>
      <c r="AF72" s="566"/>
      <c r="AG72" s="567"/>
      <c r="AH72" s="568"/>
      <c r="AI72" s="566"/>
      <c r="AJ72" s="567"/>
      <c r="AK72" s="568"/>
      <c r="AL72" s="566"/>
      <c r="AM72" s="567"/>
      <c r="AN72" s="568"/>
      <c r="AO72" s="566"/>
      <c r="AP72" s="567"/>
      <c r="AQ72" s="568"/>
      <c r="AR72" s="566"/>
      <c r="AS72" s="567"/>
      <c r="AT72" s="568"/>
      <c r="AU72" s="566"/>
      <c r="AV72" s="567"/>
      <c r="AW72" s="568"/>
      <c r="AX72" s="566"/>
      <c r="AY72" s="567"/>
      <c r="AZ72" s="568"/>
      <c r="BA72" s="566"/>
      <c r="BB72" s="567"/>
      <c r="BC72" s="568"/>
      <c r="BD72" s="566"/>
      <c r="BE72" s="567"/>
      <c r="BF72" s="567"/>
      <c r="BG72" s="569"/>
      <c r="BH72" s="567"/>
      <c r="BI72" s="567"/>
      <c r="BJ72" s="569"/>
      <c r="BK72" s="567"/>
      <c r="BL72" s="568"/>
      <c r="BM72" s="567"/>
      <c r="BN72" s="567"/>
      <c r="BO72" s="567"/>
      <c r="BP72" s="568"/>
      <c r="BQ72" s="566"/>
      <c r="BR72" s="567"/>
      <c r="BS72" s="568"/>
      <c r="BT72" s="567"/>
      <c r="BU72" s="567"/>
      <c r="BV72" s="568"/>
      <c r="BW72" s="567"/>
      <c r="BX72" s="2807"/>
      <c r="BY72" s="568"/>
      <c r="BZ72" s="566"/>
      <c r="CA72" s="567"/>
    </row>
    <row r="73" spans="1:79" ht="21" customHeight="1" x14ac:dyDescent="0.4">
      <c r="A73" s="249"/>
      <c r="B73" s="249"/>
      <c r="C73" s="584">
        <v>0.30902777777777779</v>
      </c>
      <c r="D73" s="631"/>
      <c r="E73" s="535"/>
      <c r="F73" s="632"/>
      <c r="G73" s="633"/>
      <c r="H73" s="537"/>
      <c r="I73" s="634"/>
      <c r="J73" s="582"/>
      <c r="K73" s="586"/>
      <c r="L73" s="582"/>
      <c r="M73" s="2746"/>
      <c r="N73" s="2726"/>
      <c r="O73" s="2747"/>
      <c r="P73" s="568"/>
      <c r="Q73" s="566"/>
      <c r="R73" s="568"/>
      <c r="S73" s="566"/>
      <c r="T73" s="567"/>
      <c r="U73" s="568"/>
      <c r="V73" s="566"/>
      <c r="W73" s="567"/>
      <c r="X73" s="568"/>
      <c r="Y73" s="566"/>
      <c r="Z73" s="567"/>
      <c r="AA73" s="568"/>
      <c r="AB73" s="566"/>
      <c r="AC73" s="567"/>
      <c r="AD73" s="567"/>
      <c r="AE73" s="568"/>
      <c r="AF73" s="566"/>
      <c r="AG73" s="567"/>
      <c r="AH73" s="568"/>
      <c r="AI73" s="566"/>
      <c r="AJ73" s="567"/>
      <c r="AK73" s="568"/>
      <c r="AL73" s="566"/>
      <c r="AM73" s="567"/>
      <c r="AN73" s="568"/>
      <c r="AO73" s="566"/>
      <c r="AP73" s="567"/>
      <c r="AQ73" s="568"/>
      <c r="AR73" s="566"/>
      <c r="AS73" s="567"/>
      <c r="AT73" s="568"/>
      <c r="AU73" s="566"/>
      <c r="AV73" s="567"/>
      <c r="AW73" s="568"/>
      <c r="AX73" s="566"/>
      <c r="AY73" s="567"/>
      <c r="AZ73" s="568"/>
      <c r="BA73" s="566"/>
      <c r="BB73" s="567"/>
      <c r="BC73" s="568"/>
      <c r="BD73" s="566"/>
      <c r="BE73" s="567"/>
      <c r="BF73" s="567"/>
      <c r="BG73" s="569"/>
      <c r="BH73" s="567"/>
      <c r="BI73" s="567"/>
      <c r="BJ73" s="569"/>
      <c r="BK73" s="567"/>
      <c r="BL73" s="568"/>
      <c r="BM73" s="567"/>
      <c r="BN73" s="567"/>
      <c r="BO73" s="567"/>
      <c r="BP73" s="568"/>
      <c r="BQ73" s="566"/>
      <c r="BR73" s="567"/>
      <c r="BS73" s="568"/>
      <c r="BT73" s="567"/>
      <c r="BU73" s="567"/>
      <c r="BV73" s="568"/>
      <c r="BW73" s="567"/>
      <c r="BX73" s="2807"/>
      <c r="BY73" s="568"/>
      <c r="BZ73" s="566"/>
      <c r="CA73" s="567"/>
    </row>
    <row r="74" spans="1:79" ht="21" customHeight="1" x14ac:dyDescent="0.4">
      <c r="A74" s="249"/>
      <c r="B74" s="249"/>
      <c r="C74" s="584" t="s">
        <v>307</v>
      </c>
      <c r="D74" s="631"/>
      <c r="E74" s="535"/>
      <c r="F74" s="632"/>
      <c r="G74" s="633"/>
      <c r="H74" s="537"/>
      <c r="I74" s="634"/>
      <c r="J74" s="582"/>
      <c r="K74" s="586"/>
      <c r="L74" s="582"/>
      <c r="M74" s="2746"/>
      <c r="N74" s="2726"/>
      <c r="O74" s="2747"/>
      <c r="P74" s="568"/>
      <c r="Q74" s="566"/>
      <c r="R74" s="568"/>
      <c r="S74" s="566"/>
      <c r="T74" s="567"/>
      <c r="U74" s="568"/>
      <c r="V74" s="566"/>
      <c r="W74" s="567"/>
      <c r="X74" s="568"/>
      <c r="Y74" s="566"/>
      <c r="Z74" s="567"/>
      <c r="AA74" s="568"/>
      <c r="AB74" s="566"/>
      <c r="AC74" s="567"/>
      <c r="AD74" s="567"/>
      <c r="AE74" s="568"/>
      <c r="AF74" s="566"/>
      <c r="AG74" s="567"/>
      <c r="AH74" s="568"/>
      <c r="AI74" s="566"/>
      <c r="AJ74" s="567"/>
      <c r="AK74" s="568"/>
      <c r="AL74" s="566"/>
      <c r="AM74" s="567"/>
      <c r="AN74" s="568"/>
      <c r="AO74" s="566"/>
      <c r="AP74" s="567"/>
      <c r="AQ74" s="568"/>
      <c r="AR74" s="566"/>
      <c r="AS74" s="567"/>
      <c r="AT74" s="568"/>
      <c r="AU74" s="566"/>
      <c r="AV74" s="567"/>
      <c r="AW74" s="568"/>
      <c r="AX74" s="566"/>
      <c r="AY74" s="567"/>
      <c r="AZ74" s="568"/>
      <c r="BA74" s="566"/>
      <c r="BB74" s="567"/>
      <c r="BC74" s="568"/>
      <c r="BD74" s="566"/>
      <c r="BE74" s="567"/>
      <c r="BF74" s="567"/>
      <c r="BG74" s="569"/>
      <c r="BH74" s="567"/>
      <c r="BI74" s="567"/>
      <c r="BJ74" s="569"/>
      <c r="BK74" s="567"/>
      <c r="BL74" s="568"/>
      <c r="BM74" s="567"/>
      <c r="BN74" s="567"/>
      <c r="BO74" s="567"/>
      <c r="BP74" s="568"/>
      <c r="BQ74" s="566"/>
      <c r="BR74" s="567"/>
      <c r="BS74" s="568"/>
      <c r="BT74" s="567"/>
      <c r="BU74" s="567"/>
      <c r="BV74" s="568"/>
      <c r="BW74" s="567"/>
      <c r="BX74" s="2807"/>
      <c r="BY74" s="568"/>
      <c r="BZ74" s="566"/>
      <c r="CA74" s="567"/>
    </row>
    <row r="75" spans="1:79" ht="21" customHeight="1" x14ac:dyDescent="0.4">
      <c r="A75" s="249"/>
      <c r="B75" s="249"/>
      <c r="C75" s="584">
        <v>0.3125</v>
      </c>
      <c r="D75" s="631"/>
      <c r="E75" s="535" t="s">
        <v>271</v>
      </c>
      <c r="F75" s="632"/>
      <c r="G75" s="633"/>
      <c r="H75" s="537" t="s">
        <v>271</v>
      </c>
      <c r="I75" s="634"/>
      <c r="J75" s="582"/>
      <c r="K75" s="586"/>
      <c r="L75" s="582"/>
      <c r="M75" s="2746"/>
      <c r="N75" s="2726" t="s">
        <v>271</v>
      </c>
      <c r="O75" s="2747"/>
      <c r="P75" s="568"/>
      <c r="Q75" s="566"/>
      <c r="R75" s="568"/>
      <c r="S75" s="566"/>
      <c r="T75" s="567"/>
      <c r="U75" s="568"/>
      <c r="V75" s="566"/>
      <c r="W75" s="567"/>
      <c r="X75" s="568"/>
      <c r="Y75" s="566"/>
      <c r="Z75" s="567"/>
      <c r="AA75" s="568"/>
      <c r="AB75" s="566"/>
      <c r="AC75" s="567"/>
      <c r="AD75" s="567"/>
      <c r="AE75" s="568"/>
      <c r="AF75" s="566"/>
      <c r="AG75" s="567"/>
      <c r="AH75" s="568"/>
      <c r="AI75" s="566"/>
      <c r="AJ75" s="567"/>
      <c r="AK75" s="568"/>
      <c r="AL75" s="566"/>
      <c r="AM75" s="567"/>
      <c r="AN75" s="568"/>
      <c r="AO75" s="566"/>
      <c r="AP75" s="567"/>
      <c r="AQ75" s="568"/>
      <c r="AR75" s="566"/>
      <c r="AS75" s="567"/>
      <c r="AT75" s="568"/>
      <c r="AU75" s="566"/>
      <c r="AV75" s="567"/>
      <c r="AW75" s="568"/>
      <c r="AX75" s="566"/>
      <c r="AY75" s="567"/>
      <c r="AZ75" s="568"/>
      <c r="BA75" s="566"/>
      <c r="BB75" s="567"/>
      <c r="BC75" s="568"/>
      <c r="BD75" s="566"/>
      <c r="BE75" s="567"/>
      <c r="BF75" s="567"/>
      <c r="BG75" s="569"/>
      <c r="BH75" s="567"/>
      <c r="BI75" s="567"/>
      <c r="BJ75" s="569"/>
      <c r="BK75" s="567"/>
      <c r="BL75" s="568"/>
      <c r="BM75" s="567"/>
      <c r="BN75" s="567"/>
      <c r="BO75" s="567"/>
      <c r="BP75" s="568"/>
      <c r="BQ75" s="566"/>
      <c r="BR75" s="567"/>
      <c r="BS75" s="568"/>
      <c r="BT75" s="567"/>
      <c r="BU75" s="567"/>
      <c r="BV75" s="568"/>
      <c r="BW75" s="567"/>
      <c r="BX75" s="2807"/>
      <c r="BY75" s="568"/>
      <c r="BZ75" s="566"/>
      <c r="CA75" s="567"/>
    </row>
    <row r="76" spans="1:79" ht="21" customHeight="1" x14ac:dyDescent="0.4">
      <c r="A76" s="249"/>
      <c r="B76" s="249"/>
      <c r="C76" s="584" t="s">
        <v>307</v>
      </c>
      <c r="D76" s="631"/>
      <c r="E76" s="614" t="s">
        <v>310</v>
      </c>
      <c r="F76" s="632"/>
      <c r="G76" s="633"/>
      <c r="H76" s="612" t="s">
        <v>310</v>
      </c>
      <c r="I76" s="634"/>
      <c r="J76" s="582"/>
      <c r="K76" s="586"/>
      <c r="L76" s="582"/>
      <c r="M76" s="2746"/>
      <c r="N76" s="1126" t="s">
        <v>310</v>
      </c>
      <c r="O76" s="2747"/>
      <c r="P76" s="568"/>
      <c r="Q76" s="566"/>
      <c r="R76" s="568"/>
      <c r="S76" s="566"/>
      <c r="T76" s="567"/>
      <c r="U76" s="568"/>
      <c r="V76" s="566"/>
      <c r="W76" s="567"/>
      <c r="X76" s="568"/>
      <c r="Y76" s="566"/>
      <c r="Z76" s="567"/>
      <c r="AA76" s="568"/>
      <c r="AB76" s="566"/>
      <c r="AC76" s="567"/>
      <c r="AD76" s="567"/>
      <c r="AE76" s="568"/>
      <c r="AF76" s="566"/>
      <c r="AG76" s="567"/>
      <c r="AH76" s="568"/>
      <c r="AI76" s="566"/>
      <c r="AJ76" s="567"/>
      <c r="AK76" s="568"/>
      <c r="AL76" s="566"/>
      <c r="AM76" s="567"/>
      <c r="AN76" s="568"/>
      <c r="AO76" s="566"/>
      <c r="AP76" s="567"/>
      <c r="AQ76" s="568"/>
      <c r="AR76" s="566"/>
      <c r="AS76" s="567"/>
      <c r="AT76" s="568"/>
      <c r="AU76" s="566"/>
      <c r="AV76" s="567"/>
      <c r="AW76" s="568"/>
      <c r="AX76" s="566"/>
      <c r="AY76" s="567"/>
      <c r="AZ76" s="568"/>
      <c r="BA76" s="566"/>
      <c r="BB76" s="567"/>
      <c r="BC76" s="568"/>
      <c r="BD76" s="566"/>
      <c r="BE76" s="567"/>
      <c r="BF76" s="567"/>
      <c r="BG76" s="569"/>
      <c r="BH76" s="567"/>
      <c r="BI76" s="567"/>
      <c r="BJ76" s="569"/>
      <c r="BK76" s="567"/>
      <c r="BL76" s="568"/>
      <c r="BM76" s="567"/>
      <c r="BN76" s="567"/>
      <c r="BO76" s="567"/>
      <c r="BP76" s="568"/>
      <c r="BQ76" s="566"/>
      <c r="BR76" s="567"/>
      <c r="BS76" s="568"/>
      <c r="BT76" s="567"/>
      <c r="BU76" s="567"/>
      <c r="BV76" s="568"/>
      <c r="BW76" s="567"/>
      <c r="BX76" s="2807"/>
      <c r="BY76" s="568"/>
      <c r="BZ76" s="566"/>
      <c r="CA76" s="567"/>
    </row>
    <row r="77" spans="1:79" ht="21" customHeight="1" x14ac:dyDescent="0.4">
      <c r="A77" s="249"/>
      <c r="B77" s="249"/>
      <c r="C77" s="584">
        <v>0.31597222222222221</v>
      </c>
      <c r="D77" s="631"/>
      <c r="E77" s="535"/>
      <c r="F77" s="632"/>
      <c r="G77" s="633"/>
      <c r="H77" s="537"/>
      <c r="I77" s="634"/>
      <c r="J77" s="582"/>
      <c r="K77" s="586"/>
      <c r="L77" s="582"/>
      <c r="M77" s="2746"/>
      <c r="N77" s="2726"/>
      <c r="O77" s="2747"/>
      <c r="P77" s="568"/>
      <c r="Q77" s="566"/>
      <c r="R77" s="568"/>
      <c r="S77" s="566"/>
      <c r="T77" s="567"/>
      <c r="U77" s="568"/>
      <c r="V77" s="566"/>
      <c r="W77" s="567"/>
      <c r="X77" s="568"/>
      <c r="Y77" s="566"/>
      <c r="Z77" s="567"/>
      <c r="AA77" s="568"/>
      <c r="AB77" s="566"/>
      <c r="AC77" s="567"/>
      <c r="AD77" s="567"/>
      <c r="AE77" s="568"/>
      <c r="AF77" s="566"/>
      <c r="AG77" s="567"/>
      <c r="AH77" s="568"/>
      <c r="AI77" s="566"/>
      <c r="AJ77" s="567"/>
      <c r="AK77" s="568"/>
      <c r="AL77" s="566"/>
      <c r="AM77" s="567"/>
      <c r="AN77" s="568"/>
      <c r="AO77" s="566"/>
      <c r="AP77" s="567"/>
      <c r="AQ77" s="568"/>
      <c r="AR77" s="566"/>
      <c r="AS77" s="567"/>
      <c r="AT77" s="568"/>
      <c r="AU77" s="566"/>
      <c r="AV77" s="567"/>
      <c r="AW77" s="568"/>
      <c r="AX77" s="566"/>
      <c r="AY77" s="567"/>
      <c r="AZ77" s="568"/>
      <c r="BA77" s="566"/>
      <c r="BB77" s="567"/>
      <c r="BC77" s="568"/>
      <c r="BD77" s="566"/>
      <c r="BE77" s="567"/>
      <c r="BF77" s="567"/>
      <c r="BG77" s="569"/>
      <c r="BH77" s="567"/>
      <c r="BI77" s="567"/>
      <c r="BJ77" s="569"/>
      <c r="BK77" s="567"/>
      <c r="BL77" s="568"/>
      <c r="BM77" s="567"/>
      <c r="BN77" s="567"/>
      <c r="BO77" s="567"/>
      <c r="BP77" s="568"/>
      <c r="BQ77" s="566"/>
      <c r="BR77" s="567"/>
      <c r="BS77" s="568"/>
      <c r="BT77" s="567"/>
      <c r="BU77" s="567"/>
      <c r="BV77" s="568"/>
      <c r="BW77" s="567"/>
      <c r="BX77" s="2807"/>
      <c r="BY77" s="568"/>
      <c r="BZ77" s="566"/>
      <c r="CA77" s="567"/>
    </row>
    <row r="78" spans="1:79" ht="21" customHeight="1" x14ac:dyDescent="0.4">
      <c r="A78" s="249"/>
      <c r="B78" s="249"/>
      <c r="C78" s="584" t="s">
        <v>307</v>
      </c>
      <c r="D78" s="631"/>
      <c r="E78" s="535"/>
      <c r="F78" s="632"/>
      <c r="G78" s="633"/>
      <c r="H78" s="537"/>
      <c r="I78" s="634"/>
      <c r="J78" s="582"/>
      <c r="K78" s="586"/>
      <c r="L78" s="582"/>
      <c r="M78" s="2746"/>
      <c r="N78" s="2726"/>
      <c r="O78" s="2747"/>
      <c r="P78" s="568"/>
      <c r="Q78" s="566"/>
      <c r="R78" s="568"/>
      <c r="S78" s="566"/>
      <c r="T78" s="567"/>
      <c r="U78" s="568"/>
      <c r="V78" s="566"/>
      <c r="W78" s="567"/>
      <c r="X78" s="568"/>
      <c r="Y78" s="566"/>
      <c r="Z78" s="567"/>
      <c r="AA78" s="568"/>
      <c r="AB78" s="566"/>
      <c r="AC78" s="567"/>
      <c r="AD78" s="567"/>
      <c r="AE78" s="568"/>
      <c r="AF78" s="566"/>
      <c r="AG78" s="567"/>
      <c r="AH78" s="568"/>
      <c r="AI78" s="566"/>
      <c r="AJ78" s="567"/>
      <c r="AK78" s="568"/>
      <c r="AL78" s="566"/>
      <c r="AM78" s="567"/>
      <c r="AN78" s="568"/>
      <c r="AO78" s="566"/>
      <c r="AP78" s="567"/>
      <c r="AQ78" s="568"/>
      <c r="AR78" s="566"/>
      <c r="AS78" s="567"/>
      <c r="AT78" s="568"/>
      <c r="AU78" s="566"/>
      <c r="AV78" s="567"/>
      <c r="AW78" s="568"/>
      <c r="AX78" s="566"/>
      <c r="AY78" s="567"/>
      <c r="AZ78" s="568"/>
      <c r="BA78" s="566"/>
      <c r="BB78" s="567"/>
      <c r="BC78" s="568"/>
      <c r="BD78" s="566"/>
      <c r="BE78" s="567"/>
      <c r="BF78" s="567"/>
      <c r="BG78" s="569"/>
      <c r="BH78" s="567"/>
      <c r="BI78" s="567"/>
      <c r="BJ78" s="569"/>
      <c r="BK78" s="567"/>
      <c r="BL78" s="568"/>
      <c r="BM78" s="567"/>
      <c r="BN78" s="567"/>
      <c r="BO78" s="567"/>
      <c r="BP78" s="568"/>
      <c r="BQ78" s="566"/>
      <c r="BR78" s="567"/>
      <c r="BS78" s="568"/>
      <c r="BT78" s="567"/>
      <c r="BU78" s="567"/>
      <c r="BV78" s="568"/>
      <c r="BW78" s="567"/>
      <c r="BX78" s="2807"/>
      <c r="BY78" s="568"/>
      <c r="BZ78" s="566"/>
      <c r="CA78" s="567"/>
    </row>
    <row r="79" spans="1:79" ht="21" customHeight="1" x14ac:dyDescent="0.4">
      <c r="A79" s="249"/>
      <c r="B79" s="249"/>
      <c r="C79" s="584">
        <v>0.31944444444444442</v>
      </c>
      <c r="D79" s="631"/>
      <c r="E79" s="535"/>
      <c r="F79" s="632"/>
      <c r="G79" s="633"/>
      <c r="H79" s="537"/>
      <c r="I79" s="634"/>
      <c r="J79" s="582"/>
      <c r="K79" s="586"/>
      <c r="L79" s="582"/>
      <c r="M79" s="2746"/>
      <c r="N79" s="2726"/>
      <c r="O79" s="2747"/>
      <c r="P79" s="568"/>
      <c r="Q79" s="566"/>
      <c r="R79" s="568"/>
      <c r="S79" s="566"/>
      <c r="T79" s="567"/>
      <c r="U79" s="568"/>
      <c r="V79" s="566"/>
      <c r="W79" s="567"/>
      <c r="X79" s="568"/>
      <c r="Y79" s="566"/>
      <c r="Z79" s="567"/>
      <c r="AA79" s="568"/>
      <c r="AB79" s="566"/>
      <c r="AC79" s="567"/>
      <c r="AD79" s="567"/>
      <c r="AE79" s="568"/>
      <c r="AF79" s="566"/>
      <c r="AG79" s="567"/>
      <c r="AH79" s="568"/>
      <c r="AI79" s="566"/>
      <c r="AJ79" s="567"/>
      <c r="AK79" s="568"/>
      <c r="AL79" s="566"/>
      <c r="AM79" s="567"/>
      <c r="AN79" s="568"/>
      <c r="AO79" s="566"/>
      <c r="AP79" s="567"/>
      <c r="AQ79" s="568"/>
      <c r="AR79" s="566"/>
      <c r="AS79" s="567"/>
      <c r="AT79" s="568"/>
      <c r="AU79" s="566"/>
      <c r="AV79" s="567"/>
      <c r="AW79" s="568"/>
      <c r="AX79" s="566"/>
      <c r="AY79" s="567"/>
      <c r="AZ79" s="568"/>
      <c r="BA79" s="566"/>
      <c r="BB79" s="567"/>
      <c r="BC79" s="568"/>
      <c r="BD79" s="566"/>
      <c r="BE79" s="567"/>
      <c r="BF79" s="567"/>
      <c r="BG79" s="569"/>
      <c r="BH79" s="567"/>
      <c r="BI79" s="567"/>
      <c r="BJ79" s="569"/>
      <c r="BK79" s="567"/>
      <c r="BL79" s="568"/>
      <c r="BM79" s="567"/>
      <c r="BN79" s="567"/>
      <c r="BO79" s="567"/>
      <c r="BP79" s="568"/>
      <c r="BQ79" s="566"/>
      <c r="BR79" s="567"/>
      <c r="BS79" s="568"/>
      <c r="BT79" s="567"/>
      <c r="BU79" s="567"/>
      <c r="BV79" s="568"/>
      <c r="BW79" s="567"/>
      <c r="BX79" s="2807"/>
      <c r="BY79" s="568"/>
      <c r="BZ79" s="566"/>
      <c r="CA79" s="567"/>
    </row>
    <row r="80" spans="1:79" ht="21" customHeight="1" x14ac:dyDescent="0.4">
      <c r="A80" s="249"/>
      <c r="B80" s="249"/>
      <c r="C80" s="584" t="s">
        <v>307</v>
      </c>
      <c r="D80" s="631"/>
      <c r="E80" s="535"/>
      <c r="F80" s="632"/>
      <c r="G80" s="633"/>
      <c r="H80" s="537"/>
      <c r="I80" s="634"/>
      <c r="J80" s="582"/>
      <c r="K80" s="586"/>
      <c r="L80" s="582"/>
      <c r="M80" s="2746"/>
      <c r="N80" s="2726"/>
      <c r="O80" s="2747"/>
      <c r="P80" s="568"/>
      <c r="Q80" s="566"/>
      <c r="R80" s="568"/>
      <c r="S80" s="566"/>
      <c r="T80" s="567"/>
      <c r="U80" s="568"/>
      <c r="V80" s="566"/>
      <c r="W80" s="567"/>
      <c r="X80" s="568"/>
      <c r="Y80" s="566"/>
      <c r="Z80" s="567"/>
      <c r="AA80" s="568"/>
      <c r="AB80" s="566"/>
      <c r="AC80" s="567"/>
      <c r="AD80" s="567"/>
      <c r="AE80" s="568"/>
      <c r="AF80" s="566"/>
      <c r="AG80" s="567"/>
      <c r="AH80" s="568"/>
      <c r="AI80" s="566"/>
      <c r="AJ80" s="567"/>
      <c r="AK80" s="568"/>
      <c r="AL80" s="566"/>
      <c r="AM80" s="567"/>
      <c r="AN80" s="568"/>
      <c r="AO80" s="566"/>
      <c r="AP80" s="567"/>
      <c r="AQ80" s="568"/>
      <c r="AR80" s="566"/>
      <c r="AS80" s="567"/>
      <c r="AT80" s="568"/>
      <c r="AU80" s="566"/>
      <c r="AV80" s="567"/>
      <c r="AW80" s="568"/>
      <c r="AX80" s="566"/>
      <c r="AY80" s="567"/>
      <c r="AZ80" s="568"/>
      <c r="BA80" s="566"/>
      <c r="BB80" s="567"/>
      <c r="BC80" s="568"/>
      <c r="BD80" s="566"/>
      <c r="BE80" s="567"/>
      <c r="BF80" s="567"/>
      <c r="BG80" s="569"/>
      <c r="BH80" s="567"/>
      <c r="BI80" s="567"/>
      <c r="BJ80" s="569"/>
      <c r="BK80" s="567"/>
      <c r="BL80" s="568"/>
      <c r="BM80" s="567"/>
      <c r="BN80" s="567"/>
      <c r="BO80" s="567"/>
      <c r="BP80" s="568"/>
      <c r="BQ80" s="566"/>
      <c r="BR80" s="567"/>
      <c r="BS80" s="568"/>
      <c r="BT80" s="567"/>
      <c r="BU80" s="567"/>
      <c r="BV80" s="568"/>
      <c r="BW80" s="567"/>
      <c r="BX80" s="2807"/>
      <c r="BY80" s="568"/>
      <c r="BZ80" s="566"/>
      <c r="CA80" s="567"/>
    </row>
    <row r="81" spans="1:79" ht="21" customHeight="1" x14ac:dyDescent="0.4">
      <c r="A81" s="249"/>
      <c r="B81" s="249"/>
      <c r="C81" s="584">
        <v>0.32291666666666669</v>
      </c>
      <c r="D81" s="608"/>
      <c r="E81" s="614"/>
      <c r="F81" s="610"/>
      <c r="G81" s="611"/>
      <c r="H81" s="612"/>
      <c r="I81" s="613"/>
      <c r="J81" s="582"/>
      <c r="K81" s="586"/>
      <c r="L81" s="582"/>
      <c r="M81" s="2736"/>
      <c r="N81" s="1126"/>
      <c r="O81" s="2737"/>
      <c r="P81" s="568"/>
      <c r="Q81" s="566"/>
      <c r="R81" s="568"/>
      <c r="S81" s="566"/>
      <c r="T81" s="567"/>
      <c r="U81" s="568"/>
      <c r="V81" s="566"/>
      <c r="W81" s="567"/>
      <c r="X81" s="568"/>
      <c r="Y81" s="566"/>
      <c r="Z81" s="567"/>
      <c r="AA81" s="568"/>
      <c r="AB81" s="566"/>
      <c r="AC81" s="567"/>
      <c r="AD81" s="567"/>
      <c r="AE81" s="568"/>
      <c r="AF81" s="566"/>
      <c r="AG81" s="567"/>
      <c r="AH81" s="568"/>
      <c r="AI81" s="566"/>
      <c r="AJ81" s="567"/>
      <c r="AK81" s="568"/>
      <c r="AL81" s="566"/>
      <c r="AM81" s="567"/>
      <c r="AN81" s="568"/>
      <c r="AO81" s="566"/>
      <c r="AP81" s="567"/>
      <c r="AQ81" s="568"/>
      <c r="AR81" s="566"/>
      <c r="AS81" s="567"/>
      <c r="AT81" s="568"/>
      <c r="AU81" s="566"/>
      <c r="AV81" s="567"/>
      <c r="AW81" s="568"/>
      <c r="AX81" s="566"/>
      <c r="AY81" s="567"/>
      <c r="AZ81" s="568"/>
      <c r="BA81" s="566"/>
      <c r="BB81" s="567"/>
      <c r="BC81" s="568"/>
      <c r="BD81" s="566"/>
      <c r="BE81" s="567"/>
      <c r="BF81" s="567"/>
      <c r="BG81" s="569"/>
      <c r="BH81" s="567"/>
      <c r="BI81" s="567"/>
      <c r="BJ81" s="569"/>
      <c r="BK81" s="567"/>
      <c r="BL81" s="568"/>
      <c r="BM81" s="567"/>
      <c r="BN81" s="567"/>
      <c r="BO81" s="567"/>
      <c r="BP81" s="568"/>
      <c r="BQ81" s="566"/>
      <c r="BR81" s="567"/>
      <c r="BS81" s="568"/>
      <c r="BT81" s="567"/>
      <c r="BU81" s="567"/>
      <c r="BV81" s="568"/>
      <c r="BW81" s="567"/>
      <c r="BX81" s="2807"/>
      <c r="BY81" s="568"/>
      <c r="BZ81" s="566"/>
      <c r="CA81" s="567"/>
    </row>
    <row r="82" spans="1:79" ht="21" customHeight="1" x14ac:dyDescent="0.4">
      <c r="A82" s="249"/>
      <c r="B82" s="249"/>
      <c r="C82" s="584" t="s">
        <v>307</v>
      </c>
      <c r="D82" s="631"/>
      <c r="E82" s="535"/>
      <c r="F82" s="632"/>
      <c r="G82" s="633"/>
      <c r="H82" s="537"/>
      <c r="I82" s="634"/>
      <c r="J82" s="582"/>
      <c r="K82" s="586"/>
      <c r="L82" s="582"/>
      <c r="M82" s="2746"/>
      <c r="N82" s="2726"/>
      <c r="O82" s="2747"/>
      <c r="P82" s="568"/>
      <c r="Q82" s="566"/>
      <c r="R82" s="568"/>
      <c r="S82" s="566"/>
      <c r="T82" s="567"/>
      <c r="U82" s="568"/>
      <c r="V82" s="566"/>
      <c r="W82" s="567"/>
      <c r="X82" s="568"/>
      <c r="Y82" s="566"/>
      <c r="Z82" s="567"/>
      <c r="AA82" s="568"/>
      <c r="AB82" s="566"/>
      <c r="AC82" s="567"/>
      <c r="AD82" s="567"/>
      <c r="AE82" s="568"/>
      <c r="AF82" s="566"/>
      <c r="AG82" s="567"/>
      <c r="AH82" s="568"/>
      <c r="AI82" s="566"/>
      <c r="AJ82" s="567"/>
      <c r="AK82" s="568"/>
      <c r="AL82" s="566"/>
      <c r="AM82" s="567"/>
      <c r="AN82" s="568"/>
      <c r="AO82" s="566"/>
      <c r="AP82" s="567"/>
      <c r="AQ82" s="568"/>
      <c r="AR82" s="566"/>
      <c r="AS82" s="567"/>
      <c r="AT82" s="568"/>
      <c r="AU82" s="566"/>
      <c r="AV82" s="567"/>
      <c r="AW82" s="568"/>
      <c r="AX82" s="566"/>
      <c r="AY82" s="567"/>
      <c r="AZ82" s="568"/>
      <c r="BA82" s="566"/>
      <c r="BB82" s="567"/>
      <c r="BC82" s="568"/>
      <c r="BD82" s="566"/>
      <c r="BE82" s="567"/>
      <c r="BF82" s="567"/>
      <c r="BG82" s="569"/>
      <c r="BH82" s="567"/>
      <c r="BI82" s="567"/>
      <c r="BJ82" s="569"/>
      <c r="BK82" s="567"/>
      <c r="BL82" s="568"/>
      <c r="BM82" s="567"/>
      <c r="BN82" s="567"/>
      <c r="BO82" s="567"/>
      <c r="BP82" s="568"/>
      <c r="BQ82" s="566"/>
      <c r="BR82" s="567"/>
      <c r="BS82" s="568"/>
      <c r="BT82" s="567"/>
      <c r="BU82" s="567"/>
      <c r="BV82" s="568"/>
      <c r="BW82" s="567"/>
      <c r="BX82" s="2807"/>
      <c r="BY82" s="568"/>
      <c r="BZ82" s="566"/>
      <c r="CA82" s="567"/>
    </row>
    <row r="83" spans="1:79" ht="21" customHeight="1" x14ac:dyDescent="0.4">
      <c r="A83" s="249"/>
      <c r="B83" s="249"/>
      <c r="C83" s="584">
        <v>0.3263888888888889</v>
      </c>
      <c r="D83" s="631"/>
      <c r="E83" s="535"/>
      <c r="F83" s="632"/>
      <c r="G83" s="633"/>
      <c r="H83" s="537"/>
      <c r="I83" s="634"/>
      <c r="J83" s="582"/>
      <c r="K83" s="586"/>
      <c r="L83" s="582"/>
      <c r="M83" s="2746"/>
      <c r="N83" s="2726"/>
      <c r="O83" s="2747"/>
      <c r="P83" s="568"/>
      <c r="Q83" s="566"/>
      <c r="R83" s="568"/>
      <c r="S83" s="566"/>
      <c r="T83" s="567"/>
      <c r="U83" s="568"/>
      <c r="V83" s="566"/>
      <c r="W83" s="567"/>
      <c r="X83" s="568"/>
      <c r="Y83" s="566"/>
      <c r="Z83" s="567"/>
      <c r="AA83" s="568"/>
      <c r="AB83" s="566"/>
      <c r="AC83" s="567"/>
      <c r="AD83" s="567"/>
      <c r="AE83" s="568"/>
      <c r="AF83" s="566"/>
      <c r="AG83" s="567"/>
      <c r="AH83" s="568"/>
      <c r="AI83" s="566"/>
      <c r="AJ83" s="567"/>
      <c r="AK83" s="568"/>
      <c r="AL83" s="566"/>
      <c r="AM83" s="567"/>
      <c r="AN83" s="568"/>
      <c r="AO83" s="566"/>
      <c r="AP83" s="567"/>
      <c r="AQ83" s="568"/>
      <c r="AR83" s="566"/>
      <c r="AS83" s="567"/>
      <c r="AT83" s="568"/>
      <c r="AU83" s="566"/>
      <c r="AV83" s="567"/>
      <c r="AW83" s="568"/>
      <c r="AX83" s="566"/>
      <c r="AY83" s="567"/>
      <c r="AZ83" s="568"/>
      <c r="BA83" s="566"/>
      <c r="BB83" s="567"/>
      <c r="BC83" s="568"/>
      <c r="BD83" s="566"/>
      <c r="BE83" s="567"/>
      <c r="BF83" s="567"/>
      <c r="BG83" s="569"/>
      <c r="BH83" s="567"/>
      <c r="BI83" s="567"/>
      <c r="BJ83" s="569"/>
      <c r="BK83" s="567"/>
      <c r="BL83" s="568"/>
      <c r="BM83" s="567"/>
      <c r="BN83" s="567"/>
      <c r="BO83" s="567"/>
      <c r="BP83" s="568"/>
      <c r="BQ83" s="566"/>
      <c r="BR83" s="567"/>
      <c r="BS83" s="568"/>
      <c r="BT83" s="567"/>
      <c r="BU83" s="567"/>
      <c r="BV83" s="568"/>
      <c r="BW83" s="567"/>
      <c r="BX83" s="2807"/>
      <c r="BY83" s="568"/>
      <c r="BZ83" s="566"/>
      <c r="CA83" s="567"/>
    </row>
    <row r="84" spans="1:79" ht="21" customHeight="1" x14ac:dyDescent="0.4">
      <c r="A84" s="249"/>
      <c r="B84" s="249"/>
      <c r="C84" s="584" t="s">
        <v>307</v>
      </c>
      <c r="D84" s="631"/>
      <c r="E84" s="535"/>
      <c r="F84" s="632"/>
      <c r="G84" s="633"/>
      <c r="H84" s="537"/>
      <c r="I84" s="634"/>
      <c r="J84" s="582"/>
      <c r="K84" s="586"/>
      <c r="L84" s="582"/>
      <c r="M84" s="2746"/>
      <c r="N84" s="2726"/>
      <c r="O84" s="2747"/>
      <c r="P84" s="568"/>
      <c r="Q84" s="566"/>
      <c r="R84" s="568"/>
      <c r="S84" s="566"/>
      <c r="T84" s="567"/>
      <c r="U84" s="568"/>
      <c r="V84" s="566"/>
      <c r="W84" s="567"/>
      <c r="X84" s="568"/>
      <c r="Y84" s="566"/>
      <c r="Z84" s="567"/>
      <c r="AA84" s="568"/>
      <c r="AB84" s="566"/>
      <c r="AC84" s="567"/>
      <c r="AD84" s="567"/>
      <c r="AE84" s="568"/>
      <c r="AF84" s="566"/>
      <c r="AG84" s="567"/>
      <c r="AH84" s="568"/>
      <c r="AI84" s="566"/>
      <c r="AJ84" s="567"/>
      <c r="AK84" s="568"/>
      <c r="AL84" s="566"/>
      <c r="AM84" s="567"/>
      <c r="AN84" s="568"/>
      <c r="AO84" s="566"/>
      <c r="AP84" s="567"/>
      <c r="AQ84" s="568"/>
      <c r="AR84" s="566"/>
      <c r="AS84" s="567"/>
      <c r="AT84" s="568"/>
      <c r="AU84" s="566"/>
      <c r="AV84" s="567"/>
      <c r="AW84" s="568"/>
      <c r="AX84" s="566"/>
      <c r="AY84" s="567"/>
      <c r="AZ84" s="568"/>
      <c r="BA84" s="566"/>
      <c r="BB84" s="567"/>
      <c r="BC84" s="568"/>
      <c r="BD84" s="566"/>
      <c r="BE84" s="567"/>
      <c r="BF84" s="567"/>
      <c r="BG84" s="569"/>
      <c r="BH84" s="567"/>
      <c r="BI84" s="567"/>
      <c r="BJ84" s="569"/>
      <c r="BK84" s="567"/>
      <c r="BL84" s="568"/>
      <c r="BM84" s="567"/>
      <c r="BN84" s="567"/>
      <c r="BO84" s="567"/>
      <c r="BP84" s="568"/>
      <c r="BQ84" s="566"/>
      <c r="BR84" s="567"/>
      <c r="BS84" s="568"/>
      <c r="BT84" s="567"/>
      <c r="BU84" s="567"/>
      <c r="BV84" s="568"/>
      <c r="BW84" s="567"/>
      <c r="BX84" s="2807"/>
      <c r="BY84" s="568"/>
      <c r="BZ84" s="566"/>
      <c r="CA84" s="567"/>
    </row>
    <row r="85" spans="1:79" ht="21" customHeight="1" x14ac:dyDescent="0.4">
      <c r="A85" s="249"/>
      <c r="B85" s="249"/>
      <c r="C85" s="584">
        <v>0.3298611111111111</v>
      </c>
      <c r="D85" s="631"/>
      <c r="E85" s="535"/>
      <c r="F85" s="632"/>
      <c r="G85" s="633"/>
      <c r="H85" s="537"/>
      <c r="I85" s="634"/>
      <c r="J85" s="582"/>
      <c r="K85" s="586"/>
      <c r="L85" s="582"/>
      <c r="M85" s="2746"/>
      <c r="N85" s="2726"/>
      <c r="O85" s="2747"/>
      <c r="P85" s="568"/>
      <c r="Q85" s="566"/>
      <c r="R85" s="568"/>
      <c r="S85" s="566"/>
      <c r="T85" s="567"/>
      <c r="U85" s="568"/>
      <c r="V85" s="566"/>
      <c r="W85" s="567"/>
      <c r="X85" s="568"/>
      <c r="Y85" s="566"/>
      <c r="Z85" s="567"/>
      <c r="AA85" s="568"/>
      <c r="AB85" s="566"/>
      <c r="AC85" s="567"/>
      <c r="AD85" s="567"/>
      <c r="AE85" s="568"/>
      <c r="AF85" s="566"/>
      <c r="AG85" s="567"/>
      <c r="AH85" s="568"/>
      <c r="AI85" s="566"/>
      <c r="AJ85" s="567"/>
      <c r="AK85" s="568"/>
      <c r="AL85" s="566"/>
      <c r="AM85" s="567"/>
      <c r="AN85" s="568"/>
      <c r="AO85" s="566"/>
      <c r="AP85" s="567"/>
      <c r="AQ85" s="568"/>
      <c r="AR85" s="566"/>
      <c r="AS85" s="567"/>
      <c r="AT85" s="568"/>
      <c r="AU85" s="566"/>
      <c r="AV85" s="567"/>
      <c r="AW85" s="568"/>
      <c r="AX85" s="566"/>
      <c r="AY85" s="567"/>
      <c r="AZ85" s="568"/>
      <c r="BA85" s="566"/>
      <c r="BB85" s="567"/>
      <c r="BC85" s="568"/>
      <c r="BD85" s="566"/>
      <c r="BE85" s="567"/>
      <c r="BF85" s="567"/>
      <c r="BG85" s="569"/>
      <c r="BH85" s="567"/>
      <c r="BI85" s="567"/>
      <c r="BJ85" s="569"/>
      <c r="BK85" s="567"/>
      <c r="BL85" s="568"/>
      <c r="BM85" s="567"/>
      <c r="BN85" s="567"/>
      <c r="BO85" s="567"/>
      <c r="BP85" s="568"/>
      <c r="BQ85" s="566"/>
      <c r="BR85" s="567"/>
      <c r="BS85" s="568"/>
      <c r="BT85" s="567"/>
      <c r="BU85" s="567"/>
      <c r="BV85" s="568"/>
      <c r="BW85" s="567"/>
      <c r="BX85" s="2807"/>
      <c r="BY85" s="568"/>
      <c r="BZ85" s="566"/>
      <c r="CA85" s="567"/>
    </row>
    <row r="86" spans="1:79" ht="21" customHeight="1" x14ac:dyDescent="0.4">
      <c r="A86" s="249"/>
      <c r="B86" s="249"/>
      <c r="C86" s="621" t="s">
        <v>307</v>
      </c>
      <c r="D86" s="636"/>
      <c r="E86" s="637"/>
      <c r="F86" s="638"/>
      <c r="G86" s="639"/>
      <c r="H86" s="640"/>
      <c r="I86" s="641"/>
      <c r="J86" s="582"/>
      <c r="K86" s="586"/>
      <c r="L86" s="582"/>
      <c r="M86" s="2748"/>
      <c r="N86" s="2749"/>
      <c r="O86" s="2750"/>
      <c r="P86" s="642"/>
      <c r="Q86" s="643" t="s">
        <v>311</v>
      </c>
      <c r="R86" s="644"/>
      <c r="S86" s="645"/>
      <c r="T86" s="643" t="s">
        <v>312</v>
      </c>
      <c r="U86" s="646"/>
      <c r="V86" s="645"/>
      <c r="W86" s="643" t="s">
        <v>312</v>
      </c>
      <c r="X86" s="646"/>
      <c r="Y86" s="647"/>
      <c r="Z86" s="643" t="s">
        <v>312</v>
      </c>
      <c r="AA86" s="648"/>
      <c r="AB86" s="649"/>
      <c r="AC86" s="650" t="s">
        <v>312</v>
      </c>
      <c r="AD86" s="649"/>
      <c r="AE86" s="568"/>
      <c r="AF86" s="566"/>
      <c r="AG86" s="567"/>
      <c r="AH86" s="568"/>
      <c r="AI86" s="566"/>
      <c r="AJ86" s="567"/>
      <c r="AK86" s="568"/>
      <c r="AL86" s="566"/>
      <c r="AM86" s="567"/>
      <c r="AN86" s="568"/>
      <c r="AO86" s="566"/>
      <c r="AP86" s="567"/>
      <c r="AQ86" s="568"/>
      <c r="AR86" s="566"/>
      <c r="AS86" s="567"/>
      <c r="AT86" s="568"/>
      <c r="AU86" s="566"/>
      <c r="AV86" s="567"/>
      <c r="AW86" s="568"/>
      <c r="AX86" s="566"/>
      <c r="AY86" s="567"/>
      <c r="AZ86" s="568"/>
      <c r="BA86" s="566"/>
      <c r="BB86" s="567"/>
      <c r="BC86" s="568"/>
      <c r="BD86" s="566"/>
      <c r="BE86" s="567"/>
      <c r="BF86" s="567"/>
      <c r="BG86" s="569"/>
      <c r="BH86" s="567"/>
      <c r="BI86" s="567"/>
      <c r="BJ86" s="569"/>
      <c r="BK86" s="567"/>
      <c r="BL86" s="568"/>
      <c r="BM86" s="567"/>
      <c r="BN86" s="567"/>
      <c r="BO86" s="567"/>
      <c r="BP86" s="568"/>
      <c r="BQ86" s="566"/>
      <c r="BR86" s="567"/>
      <c r="BS86" s="568"/>
      <c r="BT86" s="567"/>
      <c r="BU86" s="567"/>
      <c r="BV86" s="568"/>
      <c r="BW86" s="567"/>
      <c r="BX86" s="2807"/>
      <c r="BY86" s="568"/>
      <c r="BZ86" s="566"/>
      <c r="CA86" s="567"/>
    </row>
    <row r="87" spans="1:79" ht="21" customHeight="1" x14ac:dyDescent="0.4">
      <c r="A87" s="249"/>
      <c r="B87" s="249"/>
      <c r="C87" s="622">
        <v>0.33333333333333331</v>
      </c>
      <c r="D87" s="631"/>
      <c r="E87" s="535" t="s">
        <v>271</v>
      </c>
      <c r="F87" s="632"/>
      <c r="G87" s="633"/>
      <c r="H87" s="537" t="s">
        <v>271</v>
      </c>
      <c r="I87" s="634"/>
      <c r="J87" s="651"/>
      <c r="K87" s="652"/>
      <c r="L87" s="653"/>
      <c r="M87" s="656"/>
      <c r="N87" s="656" t="s">
        <v>313</v>
      </c>
      <c r="O87" s="656"/>
      <c r="P87" s="579"/>
      <c r="Q87" s="654" t="s">
        <v>314</v>
      </c>
      <c r="R87" s="655"/>
      <c r="S87" s="656"/>
      <c r="T87" s="656" t="s">
        <v>313</v>
      </c>
      <c r="U87" s="656"/>
      <c r="V87" s="656"/>
      <c r="W87" s="656" t="s">
        <v>313</v>
      </c>
      <c r="X87" s="656"/>
      <c r="Y87" s="656"/>
      <c r="Z87" s="656" t="s">
        <v>313</v>
      </c>
      <c r="AA87" s="656"/>
      <c r="AB87" s="656"/>
      <c r="AC87" s="656" t="s">
        <v>313</v>
      </c>
      <c r="AD87" s="657"/>
      <c r="AE87" s="565"/>
      <c r="AF87" s="566"/>
      <c r="AG87" s="567"/>
      <c r="AH87" s="568"/>
      <c r="AI87" s="566"/>
      <c r="AJ87" s="567"/>
      <c r="AK87" s="568"/>
      <c r="AL87" s="566"/>
      <c r="AM87" s="567"/>
      <c r="AN87" s="568"/>
      <c r="AO87" s="566"/>
      <c r="AP87" s="567"/>
      <c r="AQ87" s="568"/>
      <c r="AR87" s="566"/>
      <c r="AS87" s="567"/>
      <c r="AT87" s="568"/>
      <c r="AU87" s="566"/>
      <c r="AV87" s="567"/>
      <c r="AW87" s="568"/>
      <c r="AX87" s="566"/>
      <c r="AY87" s="567"/>
      <c r="AZ87" s="568"/>
      <c r="BA87" s="566"/>
      <c r="BB87" s="567"/>
      <c r="BC87" s="568"/>
      <c r="BD87" s="566"/>
      <c r="BE87" s="567"/>
      <c r="BF87" s="567"/>
      <c r="BG87" s="569"/>
      <c r="BH87" s="567"/>
      <c r="BI87" s="567"/>
      <c r="BJ87" s="569"/>
      <c r="BK87" s="567"/>
      <c r="BL87" s="568"/>
      <c r="BM87" s="567"/>
      <c r="BN87" s="567"/>
      <c r="BO87" s="567"/>
      <c r="BP87" s="568"/>
      <c r="BQ87" s="566"/>
      <c r="BR87" s="567"/>
      <c r="BS87" s="568"/>
      <c r="BT87" s="567"/>
      <c r="BU87" s="567"/>
      <c r="BV87" s="568"/>
      <c r="BW87" s="567"/>
      <c r="BX87" s="2807"/>
      <c r="BY87" s="568"/>
      <c r="BZ87" s="566"/>
      <c r="CA87" s="567"/>
    </row>
    <row r="88" spans="1:79" ht="21" customHeight="1" x14ac:dyDescent="0.4">
      <c r="A88" s="249"/>
      <c r="B88" s="249"/>
      <c r="C88" s="584" t="s">
        <v>307</v>
      </c>
      <c r="D88" s="631"/>
      <c r="E88" s="614" t="s">
        <v>310</v>
      </c>
      <c r="F88" s="632"/>
      <c r="G88" s="633"/>
      <c r="H88" s="612" t="s">
        <v>310</v>
      </c>
      <c r="I88" s="634"/>
      <c r="J88" s="658"/>
      <c r="K88" s="659"/>
      <c r="L88" s="658"/>
      <c r="M88" s="666"/>
      <c r="N88" s="667" t="s">
        <v>315</v>
      </c>
      <c r="O88" s="668"/>
      <c r="P88" s="660"/>
      <c r="Q88" s="661" t="s">
        <v>316</v>
      </c>
      <c r="R88" s="660"/>
      <c r="S88" s="662"/>
      <c r="T88" s="663" t="s">
        <v>317</v>
      </c>
      <c r="U88" s="662"/>
      <c r="V88" s="664"/>
      <c r="W88" s="664" t="s">
        <v>318</v>
      </c>
      <c r="X88" s="665"/>
      <c r="Y88" s="666"/>
      <c r="Z88" s="667" t="s">
        <v>315</v>
      </c>
      <c r="AA88" s="668"/>
      <c r="AB88" s="669"/>
      <c r="AC88" s="670" t="s">
        <v>319</v>
      </c>
      <c r="AD88" s="671"/>
      <c r="AE88" s="565"/>
      <c r="AF88" s="566"/>
      <c r="AG88" s="567"/>
      <c r="AH88" s="568"/>
      <c r="AI88" s="566"/>
      <c r="AJ88" s="567"/>
      <c r="AK88" s="568"/>
      <c r="AL88" s="566"/>
      <c r="AM88" s="567"/>
      <c r="AN88" s="568"/>
      <c r="AO88" s="566"/>
      <c r="AP88" s="567"/>
      <c r="AQ88" s="568"/>
      <c r="AR88" s="566"/>
      <c r="AS88" s="567"/>
      <c r="AT88" s="568"/>
      <c r="AU88" s="566"/>
      <c r="AV88" s="567"/>
      <c r="AW88" s="568"/>
      <c r="AX88" s="566"/>
      <c r="AY88" s="567"/>
      <c r="AZ88" s="568"/>
      <c r="BA88" s="566"/>
      <c r="BB88" s="567"/>
      <c r="BC88" s="568"/>
      <c r="BD88" s="566"/>
      <c r="BE88" s="567"/>
      <c r="BF88" s="567"/>
      <c r="BG88" s="569"/>
      <c r="BH88" s="567"/>
      <c r="BI88" s="567"/>
      <c r="BJ88" s="569"/>
      <c r="BK88" s="567"/>
      <c r="BL88" s="568"/>
      <c r="BM88" s="567"/>
      <c r="BN88" s="567"/>
      <c r="BO88" s="567"/>
      <c r="BP88" s="568"/>
      <c r="BQ88" s="566"/>
      <c r="BR88" s="567"/>
      <c r="BS88" s="568"/>
      <c r="BT88" s="567"/>
      <c r="BU88" s="567"/>
      <c r="BV88" s="568"/>
      <c r="BW88" s="567"/>
      <c r="BX88" s="2807"/>
      <c r="BY88" s="568"/>
      <c r="BZ88" s="566"/>
      <c r="CA88" s="567"/>
    </row>
    <row r="89" spans="1:79" ht="21" customHeight="1" x14ac:dyDescent="0.4">
      <c r="A89" s="249"/>
      <c r="B89" s="249"/>
      <c r="C89" s="584" t="s">
        <v>307</v>
      </c>
      <c r="D89" s="672"/>
      <c r="E89" s="587"/>
      <c r="F89" s="673"/>
      <c r="G89" s="674"/>
      <c r="H89" s="588"/>
      <c r="I89" s="675"/>
      <c r="J89" s="676"/>
      <c r="K89" s="677"/>
      <c r="L89" s="676"/>
      <c r="M89" s="685"/>
      <c r="N89" s="686"/>
      <c r="O89" s="685"/>
      <c r="P89" s="678"/>
      <c r="Q89" s="679" t="s">
        <v>320</v>
      </c>
      <c r="R89" s="680"/>
      <c r="S89" s="681"/>
      <c r="T89" s="682" t="s">
        <v>321</v>
      </c>
      <c r="U89" s="681"/>
      <c r="V89" s="683"/>
      <c r="W89" s="683"/>
      <c r="X89" s="684"/>
      <c r="Y89" s="685"/>
      <c r="Z89" s="686"/>
      <c r="AA89" s="685"/>
      <c r="AB89" s="687"/>
      <c r="AC89" s="687"/>
      <c r="AD89" s="687"/>
      <c r="AE89" s="565"/>
      <c r="AF89" s="566"/>
      <c r="AG89" s="567"/>
      <c r="AH89" s="568"/>
      <c r="AI89" s="566"/>
      <c r="AJ89" s="567"/>
      <c r="AK89" s="568"/>
      <c r="AL89" s="566"/>
      <c r="AM89" s="567"/>
      <c r="AN89" s="568"/>
      <c r="AO89" s="566"/>
      <c r="AP89" s="567"/>
      <c r="AQ89" s="568"/>
      <c r="AR89" s="566"/>
      <c r="AS89" s="567"/>
      <c r="AT89" s="568"/>
      <c r="AU89" s="566"/>
      <c r="AV89" s="567"/>
      <c r="AW89" s="568"/>
      <c r="AX89" s="566"/>
      <c r="AY89" s="567"/>
      <c r="AZ89" s="568"/>
      <c r="BA89" s="566"/>
      <c r="BB89" s="567"/>
      <c r="BC89" s="568"/>
      <c r="BD89" s="566"/>
      <c r="BE89" s="567"/>
      <c r="BF89" s="567"/>
      <c r="BG89" s="569"/>
      <c r="BH89" s="567"/>
      <c r="BI89" s="567"/>
      <c r="BJ89" s="569"/>
      <c r="BK89" s="567"/>
      <c r="BL89" s="568"/>
      <c r="BM89" s="567"/>
      <c r="BN89" s="567"/>
      <c r="BO89" s="567"/>
      <c r="BP89" s="568"/>
      <c r="BQ89" s="566"/>
      <c r="BR89" s="567"/>
      <c r="BS89" s="568"/>
      <c r="BT89" s="567"/>
      <c r="BU89" s="567"/>
      <c r="BV89" s="568"/>
      <c r="BW89" s="567"/>
      <c r="BX89" s="2807"/>
      <c r="BY89" s="568"/>
      <c r="BZ89" s="566"/>
      <c r="CA89" s="567"/>
    </row>
    <row r="90" spans="1:79" ht="21" customHeight="1" x14ac:dyDescent="0.4">
      <c r="A90" s="249"/>
      <c r="B90" s="249"/>
      <c r="C90" s="584"/>
      <c r="D90" s="672"/>
      <c r="E90" s="688"/>
      <c r="F90" s="689"/>
      <c r="G90" s="674"/>
      <c r="H90" s="594"/>
      <c r="I90" s="675"/>
      <c r="J90" s="690"/>
      <c r="K90" s="691"/>
      <c r="L90" s="692"/>
      <c r="M90" s="685"/>
      <c r="N90" s="686"/>
      <c r="O90" s="685"/>
      <c r="P90" s="693"/>
      <c r="Q90" s="694" t="s">
        <v>322</v>
      </c>
      <c r="R90" s="695"/>
      <c r="S90" s="696"/>
      <c r="T90" s="696"/>
      <c r="U90" s="697"/>
      <c r="V90" s="683"/>
      <c r="W90" s="683"/>
      <c r="X90" s="684"/>
      <c r="Y90" s="685"/>
      <c r="Z90" s="686"/>
      <c r="AA90" s="685"/>
      <c r="AB90" s="687"/>
      <c r="AC90" s="687"/>
      <c r="AD90" s="687"/>
      <c r="AE90" s="565"/>
      <c r="AF90" s="566"/>
      <c r="AG90" s="567"/>
      <c r="AH90" s="568"/>
      <c r="AI90" s="566"/>
      <c r="AJ90" s="567"/>
      <c r="AK90" s="568"/>
      <c r="AL90" s="566"/>
      <c r="AM90" s="567"/>
      <c r="AN90" s="568"/>
      <c r="AO90" s="566"/>
      <c r="AP90" s="567"/>
      <c r="AQ90" s="568"/>
      <c r="AR90" s="566"/>
      <c r="AS90" s="567"/>
      <c r="AT90" s="568"/>
      <c r="AU90" s="566"/>
      <c r="AV90" s="567"/>
      <c r="AW90" s="568"/>
      <c r="AX90" s="566"/>
      <c r="AY90" s="567"/>
      <c r="AZ90" s="568"/>
      <c r="BA90" s="566"/>
      <c r="BB90" s="567"/>
      <c r="BC90" s="568"/>
      <c r="BD90" s="566"/>
      <c r="BE90" s="567"/>
      <c r="BF90" s="567"/>
      <c r="BG90" s="569"/>
      <c r="BH90" s="567"/>
      <c r="BI90" s="567"/>
      <c r="BJ90" s="569"/>
      <c r="BK90" s="567"/>
      <c r="BL90" s="568"/>
      <c r="BM90" s="567"/>
      <c r="BN90" s="567"/>
      <c r="BO90" s="567"/>
      <c r="BP90" s="568"/>
      <c r="BQ90" s="566"/>
      <c r="BR90" s="567"/>
      <c r="BS90" s="568"/>
      <c r="BT90" s="567"/>
      <c r="BU90" s="567"/>
      <c r="BV90" s="568"/>
      <c r="BW90" s="567"/>
      <c r="BX90" s="2807"/>
      <c r="BY90" s="568"/>
      <c r="BZ90" s="566"/>
      <c r="CA90" s="567"/>
    </row>
    <row r="91" spans="1:79" ht="20.100000000000001" customHeight="1" x14ac:dyDescent="0.4">
      <c r="A91" s="249"/>
      <c r="B91" s="249"/>
      <c r="C91" s="584" t="s">
        <v>307</v>
      </c>
      <c r="D91" s="698"/>
      <c r="E91" s="699"/>
      <c r="F91" s="700"/>
      <c r="G91" s="701"/>
      <c r="H91" s="702"/>
      <c r="I91" s="703"/>
      <c r="J91" s="704"/>
      <c r="K91" s="691"/>
      <c r="L91" s="705"/>
      <c r="M91" s="685"/>
      <c r="N91" s="686"/>
      <c r="O91" s="685"/>
      <c r="P91" s="706"/>
      <c r="Q91" s="707"/>
      <c r="R91" s="708"/>
      <c r="S91" s="696"/>
      <c r="T91" s="696"/>
      <c r="U91" s="697"/>
      <c r="V91" s="683"/>
      <c r="W91" s="683"/>
      <c r="X91" s="709"/>
      <c r="Y91" s="685"/>
      <c r="Z91" s="686"/>
      <c r="AA91" s="685"/>
      <c r="AB91" s="687"/>
      <c r="AC91" s="687"/>
      <c r="AD91" s="687"/>
      <c r="AE91" s="568"/>
      <c r="AF91" s="566"/>
      <c r="AG91" s="567"/>
      <c r="AH91" s="568"/>
      <c r="AI91" s="566"/>
      <c r="AJ91" s="567"/>
      <c r="AK91" s="568"/>
      <c r="AL91" s="566"/>
      <c r="AM91" s="567"/>
      <c r="AN91" s="568"/>
      <c r="AO91" s="566"/>
      <c r="AP91" s="567"/>
      <c r="AQ91" s="568"/>
      <c r="AR91" s="566"/>
      <c r="AS91" s="567"/>
      <c r="AT91" s="568"/>
      <c r="AU91" s="566"/>
      <c r="AV91" s="567"/>
      <c r="AW91" s="568"/>
      <c r="AX91" s="566"/>
      <c r="AY91" s="567"/>
      <c r="AZ91" s="568"/>
      <c r="BA91" s="566"/>
      <c r="BB91" s="567"/>
      <c r="BC91" s="568"/>
      <c r="BD91" s="566"/>
      <c r="BE91" s="567"/>
      <c r="BF91" s="567"/>
      <c r="BG91" s="569"/>
      <c r="BH91" s="567"/>
      <c r="BI91" s="567"/>
      <c r="BJ91" s="569"/>
      <c r="BK91" s="567"/>
      <c r="BL91" s="568"/>
      <c r="BM91" s="567"/>
      <c r="BN91" s="567"/>
      <c r="BO91" s="567"/>
      <c r="BP91" s="568"/>
      <c r="BQ91" s="566"/>
      <c r="BR91" s="567"/>
      <c r="BS91" s="568"/>
      <c r="BT91" s="567"/>
      <c r="BU91" s="567"/>
      <c r="BV91" s="568"/>
      <c r="BW91" s="567"/>
      <c r="BX91" s="2807"/>
      <c r="BY91" s="568"/>
      <c r="BZ91" s="566"/>
      <c r="CA91" s="567"/>
    </row>
    <row r="92" spans="1:79" ht="21.6" customHeight="1" x14ac:dyDescent="0.4">
      <c r="A92" s="249"/>
      <c r="B92" s="249"/>
      <c r="C92" s="621" t="s">
        <v>307</v>
      </c>
      <c r="D92" s="710"/>
      <c r="E92" s="688"/>
      <c r="F92" s="689"/>
      <c r="G92" s="674"/>
      <c r="H92" s="594"/>
      <c r="I92" s="675"/>
      <c r="J92" s="711"/>
      <c r="K92" s="712"/>
      <c r="L92" s="713"/>
      <c r="M92" s="719"/>
      <c r="N92" s="718" t="s">
        <v>323</v>
      </c>
      <c r="O92" s="720"/>
      <c r="P92" s="714"/>
      <c r="Q92" s="715" t="s">
        <v>323</v>
      </c>
      <c r="R92" s="716"/>
      <c r="S92" s="717"/>
      <c r="T92" s="718" t="s">
        <v>323</v>
      </c>
      <c r="U92" s="719"/>
      <c r="V92" s="717"/>
      <c r="W92" s="718" t="s">
        <v>323</v>
      </c>
      <c r="X92" s="717"/>
      <c r="Y92" s="719"/>
      <c r="Z92" s="718" t="s">
        <v>323</v>
      </c>
      <c r="AA92" s="720"/>
      <c r="AB92" s="719"/>
      <c r="AC92" s="719" t="s">
        <v>324</v>
      </c>
      <c r="AD92" s="719"/>
      <c r="AE92" s="568"/>
      <c r="AF92" s="566"/>
      <c r="AG92" s="567"/>
      <c r="AH92" s="568"/>
      <c r="AI92" s="566"/>
      <c r="AJ92" s="567"/>
      <c r="AK92" s="568"/>
      <c r="AL92" s="566"/>
      <c r="AM92" s="567"/>
      <c r="AN92" s="568"/>
      <c r="AO92" s="566"/>
      <c r="AP92" s="567"/>
      <c r="AQ92" s="568"/>
      <c r="AR92" s="566"/>
      <c r="AS92" s="567"/>
      <c r="AT92" s="568"/>
      <c r="AU92" s="566"/>
      <c r="AV92" s="567"/>
      <c r="AW92" s="568"/>
      <c r="AX92" s="566"/>
      <c r="AY92" s="567"/>
      <c r="AZ92" s="568"/>
      <c r="BA92" s="566"/>
      <c r="BB92" s="567"/>
      <c r="BC92" s="568"/>
      <c r="BD92" s="566"/>
      <c r="BE92" s="567"/>
      <c r="BF92" s="567"/>
      <c r="BG92" s="569"/>
      <c r="BH92" s="567"/>
      <c r="BI92" s="567"/>
      <c r="BJ92" s="569"/>
      <c r="BK92" s="567"/>
      <c r="BL92" s="568"/>
      <c r="BM92" s="567"/>
      <c r="BN92" s="567"/>
      <c r="BO92" s="567"/>
      <c r="BP92" s="568"/>
      <c r="BQ92" s="566"/>
      <c r="BR92" s="567"/>
      <c r="BS92" s="568"/>
      <c r="BT92" s="567"/>
      <c r="BU92" s="567"/>
      <c r="BV92" s="568"/>
      <c r="BW92" s="567"/>
      <c r="BX92" s="2807"/>
      <c r="BY92" s="568"/>
      <c r="BZ92" s="566"/>
      <c r="CA92" s="567"/>
    </row>
    <row r="93" spans="1:79" ht="18.75" customHeight="1" x14ac:dyDescent="0.4">
      <c r="A93" s="249"/>
      <c r="B93" s="249"/>
      <c r="C93" s="584" t="s">
        <v>307</v>
      </c>
      <c r="D93" s="721"/>
      <c r="E93" s="609"/>
      <c r="F93" s="722"/>
      <c r="G93" s="723"/>
      <c r="H93" s="612"/>
      <c r="I93" s="724"/>
      <c r="J93" s="725"/>
      <c r="K93" s="726"/>
      <c r="L93" s="727"/>
      <c r="M93" s="601"/>
      <c r="N93" s="732" t="s">
        <v>325</v>
      </c>
      <c r="O93" s="733"/>
      <c r="P93" s="728"/>
      <c r="Q93" s="729" t="s">
        <v>325</v>
      </c>
      <c r="R93" s="730"/>
      <c r="S93" s="731"/>
      <c r="T93" s="732" t="s">
        <v>326</v>
      </c>
      <c r="U93" s="601"/>
      <c r="V93" s="731"/>
      <c r="W93" s="732" t="s">
        <v>325</v>
      </c>
      <c r="X93" s="731"/>
      <c r="Y93" s="601"/>
      <c r="Z93" s="732" t="s">
        <v>325</v>
      </c>
      <c r="AA93" s="733"/>
      <c r="AB93" s="601"/>
      <c r="AC93" s="601" t="s">
        <v>327</v>
      </c>
      <c r="AD93" s="601"/>
      <c r="AE93" s="568"/>
      <c r="AF93" s="566"/>
      <c r="AG93" s="567"/>
      <c r="AH93" s="568"/>
      <c r="AI93" s="566"/>
      <c r="AJ93" s="567"/>
      <c r="AK93" s="568"/>
      <c r="AL93" s="566"/>
      <c r="AM93" s="567"/>
      <c r="AN93" s="568"/>
      <c r="AO93" s="566"/>
      <c r="AP93" s="567"/>
      <c r="AQ93" s="568"/>
      <c r="AR93" s="566"/>
      <c r="AS93" s="567"/>
      <c r="AT93" s="568"/>
      <c r="AU93" s="566"/>
      <c r="AV93" s="567"/>
      <c r="AW93" s="568"/>
      <c r="AX93" s="566"/>
      <c r="AY93" s="567"/>
      <c r="AZ93" s="568"/>
      <c r="BA93" s="566"/>
      <c r="BB93" s="567"/>
      <c r="BC93" s="568"/>
      <c r="BD93" s="566"/>
      <c r="BE93" s="567"/>
      <c r="BF93" s="567"/>
      <c r="BG93" s="569"/>
      <c r="BH93" s="567"/>
      <c r="BI93" s="567"/>
      <c r="BJ93" s="569"/>
      <c r="BK93" s="567"/>
      <c r="BL93" s="568"/>
      <c r="BM93" s="567"/>
      <c r="BN93" s="567"/>
      <c r="BO93" s="567"/>
      <c r="BP93" s="568"/>
      <c r="BQ93" s="566"/>
      <c r="BR93" s="567"/>
      <c r="BS93" s="568"/>
      <c r="BT93" s="567"/>
      <c r="BU93" s="567"/>
      <c r="BV93" s="568"/>
      <c r="BW93" s="567"/>
      <c r="BX93" s="2807"/>
      <c r="BY93" s="568"/>
      <c r="BZ93" s="566"/>
      <c r="CA93" s="567"/>
    </row>
    <row r="94" spans="1:79" ht="18" customHeight="1" x14ac:dyDescent="0.4">
      <c r="A94" s="249"/>
      <c r="B94" s="249"/>
      <c r="C94" s="584" t="s">
        <v>307</v>
      </c>
      <c r="D94" s="734"/>
      <c r="E94" s="609"/>
      <c r="F94" s="735"/>
      <c r="G94" s="736"/>
      <c r="H94" s="612"/>
      <c r="I94" s="737"/>
      <c r="J94" s="704"/>
      <c r="K94" s="691"/>
      <c r="L94" s="705"/>
      <c r="M94" s="685"/>
      <c r="N94" s="739" t="s">
        <v>328</v>
      </c>
      <c r="O94" s="685"/>
      <c r="P94" s="706"/>
      <c r="Q94" s="707" t="s">
        <v>329</v>
      </c>
      <c r="R94" s="708"/>
      <c r="S94" s="696"/>
      <c r="T94" s="696"/>
      <c r="U94" s="697"/>
      <c r="V94" s="709"/>
      <c r="W94" s="683"/>
      <c r="X94" s="738"/>
      <c r="Y94" s="685"/>
      <c r="Z94" s="739" t="s">
        <v>328</v>
      </c>
      <c r="AA94" s="685"/>
      <c r="AB94" s="740"/>
      <c r="AC94" s="741"/>
      <c r="AD94" s="740"/>
      <c r="AE94" s="568"/>
      <c r="AF94" s="566"/>
      <c r="AG94" s="567"/>
      <c r="AH94" s="568"/>
      <c r="AI94" s="566"/>
      <c r="AJ94" s="567"/>
      <c r="AK94" s="568"/>
      <c r="AL94" s="566"/>
      <c r="AM94" s="567"/>
      <c r="AN94" s="568"/>
      <c r="AO94" s="566"/>
      <c r="AP94" s="567"/>
      <c r="AQ94" s="568"/>
      <c r="AR94" s="566"/>
      <c r="AS94" s="567"/>
      <c r="AT94" s="568"/>
      <c r="AU94" s="566"/>
      <c r="AV94" s="567"/>
      <c r="AW94" s="568"/>
      <c r="AX94" s="566"/>
      <c r="AY94" s="567"/>
      <c r="AZ94" s="568"/>
      <c r="BA94" s="566"/>
      <c r="BB94" s="567"/>
      <c r="BC94" s="568"/>
      <c r="BD94" s="566"/>
      <c r="BE94" s="567"/>
      <c r="BF94" s="567"/>
      <c r="BG94" s="569"/>
      <c r="BH94" s="567"/>
      <c r="BI94" s="567"/>
      <c r="BJ94" s="569"/>
      <c r="BK94" s="567"/>
      <c r="BL94" s="568"/>
      <c r="BM94" s="567"/>
      <c r="BN94" s="567"/>
      <c r="BO94" s="567"/>
      <c r="BP94" s="568"/>
      <c r="BQ94" s="566"/>
      <c r="BR94" s="567"/>
      <c r="BS94" s="568"/>
      <c r="BT94" s="567"/>
      <c r="BU94" s="567"/>
      <c r="BV94" s="568"/>
      <c r="BW94" s="567"/>
      <c r="BX94" s="2807"/>
      <c r="BY94" s="568"/>
      <c r="BZ94" s="566"/>
      <c r="CA94" s="567"/>
    </row>
    <row r="95" spans="1:79" ht="26.25" customHeight="1" x14ac:dyDescent="0.4">
      <c r="A95" s="249"/>
      <c r="B95" s="249"/>
      <c r="C95" s="584" t="s">
        <v>307</v>
      </c>
      <c r="D95" s="589"/>
      <c r="E95" s="688"/>
      <c r="F95" s="688"/>
      <c r="G95" s="590"/>
      <c r="H95" s="594"/>
      <c r="I95" s="742"/>
      <c r="J95" s="743"/>
      <c r="K95" s="691"/>
      <c r="L95" s="705"/>
      <c r="M95" s="685"/>
      <c r="N95" s="745" t="s">
        <v>330</v>
      </c>
      <c r="O95" s="685"/>
      <c r="P95" s="744"/>
      <c r="Q95" s="707"/>
      <c r="R95" s="708"/>
      <c r="S95" s="696"/>
      <c r="T95" s="696" t="s">
        <v>331</v>
      </c>
      <c r="U95" s="697"/>
      <c r="V95" s="709"/>
      <c r="W95" s="709" t="s">
        <v>332</v>
      </c>
      <c r="X95" s="684"/>
      <c r="Y95" s="685"/>
      <c r="Z95" s="745" t="s">
        <v>330</v>
      </c>
      <c r="AA95" s="685"/>
      <c r="AB95" s="687"/>
      <c r="AC95" s="687"/>
      <c r="AD95" s="687"/>
      <c r="AE95" s="568"/>
      <c r="AF95" s="566"/>
      <c r="AG95" s="567"/>
      <c r="AH95" s="568"/>
      <c r="AI95" s="566"/>
      <c r="AJ95" s="567"/>
      <c r="AK95" s="568"/>
      <c r="AL95" s="566"/>
      <c r="AM95" s="567"/>
      <c r="AN95" s="568"/>
      <c r="AO95" s="566"/>
      <c r="AP95" s="567"/>
      <c r="AQ95" s="568"/>
      <c r="AR95" s="566"/>
      <c r="AS95" s="567"/>
      <c r="AT95" s="568"/>
      <c r="AU95" s="566"/>
      <c r="AV95" s="567"/>
      <c r="AW95" s="568"/>
      <c r="AX95" s="566"/>
      <c r="AY95" s="567"/>
      <c r="AZ95" s="568"/>
      <c r="BA95" s="566"/>
      <c r="BB95" s="567"/>
      <c r="BC95" s="568"/>
      <c r="BD95" s="566"/>
      <c r="BE95" s="567"/>
      <c r="BF95" s="567"/>
      <c r="BG95" s="569"/>
      <c r="BH95" s="567"/>
      <c r="BI95" s="567"/>
      <c r="BJ95" s="569"/>
      <c r="BK95" s="567"/>
      <c r="BL95" s="568"/>
      <c r="BM95" s="567"/>
      <c r="BN95" s="567"/>
      <c r="BO95" s="567"/>
      <c r="BP95" s="568"/>
      <c r="BQ95" s="566"/>
      <c r="BR95" s="567"/>
      <c r="BS95" s="568"/>
      <c r="BT95" s="567"/>
      <c r="BU95" s="567"/>
      <c r="BV95" s="568"/>
      <c r="BW95" s="567"/>
      <c r="BX95" s="2807"/>
      <c r="BY95" s="568"/>
      <c r="BZ95" s="566"/>
      <c r="CA95" s="567"/>
    </row>
    <row r="96" spans="1:79" ht="22.5" customHeight="1" x14ac:dyDescent="0.4">
      <c r="A96" s="249"/>
      <c r="B96" s="249"/>
      <c r="C96" s="584" t="s">
        <v>307</v>
      </c>
      <c r="D96" s="746"/>
      <c r="E96" s="747"/>
      <c r="F96" s="747"/>
      <c r="G96" s="748"/>
      <c r="H96" s="749"/>
      <c r="I96" s="742"/>
      <c r="J96" s="704"/>
      <c r="K96" s="691"/>
      <c r="L96" s="705"/>
      <c r="M96" s="685"/>
      <c r="N96" s="745" t="s">
        <v>333</v>
      </c>
      <c r="O96" s="685"/>
      <c r="P96" s="706"/>
      <c r="Q96" s="707"/>
      <c r="R96" s="708"/>
      <c r="S96" s="696"/>
      <c r="T96" s="696" t="s">
        <v>334</v>
      </c>
      <c r="U96" s="697"/>
      <c r="V96" s="683"/>
      <c r="W96" s="709" t="s">
        <v>335</v>
      </c>
      <c r="X96" s="684"/>
      <c r="Y96" s="685"/>
      <c r="Z96" s="745" t="s">
        <v>333</v>
      </c>
      <c r="AA96" s="685"/>
      <c r="AB96" s="687"/>
      <c r="AC96" s="687"/>
      <c r="AD96" s="687"/>
      <c r="AE96" s="568"/>
      <c r="AF96" s="566"/>
      <c r="AG96" s="567"/>
      <c r="AH96" s="568"/>
      <c r="AI96" s="566"/>
      <c r="AJ96" s="567"/>
      <c r="AK96" s="568"/>
      <c r="AL96" s="566"/>
      <c r="AM96" s="567"/>
      <c r="AN96" s="568"/>
      <c r="AO96" s="566"/>
      <c r="AP96" s="567"/>
      <c r="AQ96" s="568"/>
      <c r="AR96" s="566"/>
      <c r="AS96" s="567"/>
      <c r="AT96" s="568"/>
      <c r="AU96" s="566"/>
      <c r="AV96" s="567"/>
      <c r="AW96" s="568"/>
      <c r="AX96" s="566"/>
      <c r="AY96" s="567"/>
      <c r="AZ96" s="568"/>
      <c r="BA96" s="566"/>
      <c r="BB96" s="567"/>
      <c r="BC96" s="568"/>
      <c r="BD96" s="566"/>
      <c r="BE96" s="567"/>
      <c r="BF96" s="567"/>
      <c r="BG96" s="569"/>
      <c r="BH96" s="567"/>
      <c r="BI96" s="567"/>
      <c r="BJ96" s="569"/>
      <c r="BK96" s="567"/>
      <c r="BL96" s="568"/>
      <c r="BM96" s="567"/>
      <c r="BN96" s="567"/>
      <c r="BO96" s="567"/>
      <c r="BP96" s="568"/>
      <c r="BQ96" s="566"/>
      <c r="BR96" s="567"/>
      <c r="BS96" s="568"/>
      <c r="BT96" s="567"/>
      <c r="BU96" s="567"/>
      <c r="BV96" s="568"/>
      <c r="BW96" s="567"/>
      <c r="BX96" s="2807"/>
      <c r="BY96" s="568"/>
      <c r="BZ96" s="566"/>
      <c r="CA96" s="567"/>
    </row>
    <row r="97" spans="1:79" ht="18.75" customHeight="1" x14ac:dyDescent="0.4">
      <c r="A97" s="249"/>
      <c r="B97" s="249"/>
      <c r="C97" s="584" t="s">
        <v>307</v>
      </c>
      <c r="D97" s="750"/>
      <c r="E97" s="535"/>
      <c r="F97" s="535"/>
      <c r="G97" s="751"/>
      <c r="H97" s="537"/>
      <c r="I97" s="634"/>
      <c r="J97" s="704"/>
      <c r="K97" s="691"/>
      <c r="L97" s="705"/>
      <c r="M97" s="685"/>
      <c r="N97" s="745"/>
      <c r="O97" s="685"/>
      <c r="P97" s="706"/>
      <c r="Q97" s="707"/>
      <c r="R97" s="708"/>
      <c r="S97" s="696"/>
      <c r="T97" s="696"/>
      <c r="U97" s="697"/>
      <c r="V97" s="683"/>
      <c r="W97" s="683"/>
      <c r="X97" s="684"/>
      <c r="Y97" s="685"/>
      <c r="Z97" s="745"/>
      <c r="AA97" s="685"/>
      <c r="AB97" s="687"/>
      <c r="AC97" s="687"/>
      <c r="AD97" s="687"/>
      <c r="AE97" s="568"/>
      <c r="AF97" s="566"/>
      <c r="AG97" s="567"/>
      <c r="AH97" s="568"/>
      <c r="AI97" s="566"/>
      <c r="AJ97" s="567"/>
      <c r="AK97" s="568"/>
      <c r="AL97" s="566"/>
      <c r="AM97" s="567"/>
      <c r="AN97" s="568"/>
      <c r="AO97" s="566"/>
      <c r="AP97" s="567"/>
      <c r="AQ97" s="568"/>
      <c r="AR97" s="566"/>
      <c r="AS97" s="567"/>
      <c r="AT97" s="568"/>
      <c r="AU97" s="566"/>
      <c r="AV97" s="567"/>
      <c r="AW97" s="568"/>
      <c r="AX97" s="566"/>
      <c r="AY97" s="567"/>
      <c r="AZ97" s="568"/>
      <c r="BA97" s="566"/>
      <c r="BB97" s="567"/>
      <c r="BC97" s="568"/>
      <c r="BD97" s="566"/>
      <c r="BE97" s="567"/>
      <c r="BF97" s="567"/>
      <c r="BG97" s="569"/>
      <c r="BH97" s="567"/>
      <c r="BI97" s="567"/>
      <c r="BJ97" s="569"/>
      <c r="BK97" s="567"/>
      <c r="BL97" s="568"/>
      <c r="BM97" s="567"/>
      <c r="BN97" s="567"/>
      <c r="BO97" s="567"/>
      <c r="BP97" s="568"/>
      <c r="BQ97" s="566"/>
      <c r="BR97" s="567"/>
      <c r="BS97" s="568"/>
      <c r="BT97" s="567"/>
      <c r="BU97" s="567"/>
      <c r="BV97" s="568"/>
      <c r="BW97" s="567"/>
      <c r="BX97" s="2807"/>
      <c r="BY97" s="568"/>
      <c r="BZ97" s="566"/>
      <c r="CA97" s="567"/>
    </row>
    <row r="98" spans="1:79" ht="14.85" customHeight="1" x14ac:dyDescent="0.4">
      <c r="A98" s="249"/>
      <c r="B98" s="249"/>
      <c r="C98" s="584">
        <v>0.33680555555555503</v>
      </c>
      <c r="D98" s="589"/>
      <c r="E98" s="688"/>
      <c r="F98" s="688"/>
      <c r="G98" s="590"/>
      <c r="H98" s="594"/>
      <c r="I98" s="742"/>
      <c r="J98" s="752"/>
      <c r="K98" s="753"/>
      <c r="L98" s="754"/>
      <c r="M98" s="685"/>
      <c r="N98" s="745"/>
      <c r="O98" s="685"/>
      <c r="P98" s="755"/>
      <c r="Q98" s="756"/>
      <c r="R98" s="757"/>
      <c r="S98" s="696"/>
      <c r="T98" s="696"/>
      <c r="U98" s="697"/>
      <c r="V98" s="709"/>
      <c r="W98" s="709"/>
      <c r="X98" s="738"/>
      <c r="Y98" s="685"/>
      <c r="Z98" s="745"/>
      <c r="AA98" s="685"/>
      <c r="AB98" s="687"/>
      <c r="AC98" s="687"/>
      <c r="AD98" s="687"/>
      <c r="AE98" s="568"/>
      <c r="AF98" s="566"/>
      <c r="AG98" s="567"/>
      <c r="AH98" s="568"/>
      <c r="AI98" s="566"/>
      <c r="AJ98" s="567"/>
      <c r="AK98" s="568"/>
      <c r="AL98" s="566"/>
      <c r="AM98" s="567"/>
      <c r="AN98" s="568"/>
      <c r="AO98" s="566"/>
      <c r="AP98" s="567"/>
      <c r="AQ98" s="568"/>
      <c r="AR98" s="566"/>
      <c r="AS98" s="567"/>
      <c r="AT98" s="568"/>
      <c r="AU98" s="566"/>
      <c r="AV98" s="567"/>
      <c r="AW98" s="568"/>
      <c r="AX98" s="566"/>
      <c r="AY98" s="567"/>
      <c r="AZ98" s="568"/>
      <c r="BA98" s="566"/>
      <c r="BB98" s="567"/>
      <c r="BC98" s="568"/>
      <c r="BD98" s="566"/>
      <c r="BE98" s="567"/>
      <c r="BF98" s="567"/>
      <c r="BG98" s="758"/>
      <c r="BH98" s="759"/>
      <c r="BI98" s="567"/>
      <c r="BJ98" s="758"/>
      <c r="BK98" s="759"/>
      <c r="BL98" s="568"/>
      <c r="BM98" s="567"/>
      <c r="BN98" s="567"/>
      <c r="BO98" s="567"/>
      <c r="BP98" s="568"/>
      <c r="BQ98" s="566"/>
      <c r="BR98" s="567"/>
      <c r="BS98" s="568"/>
      <c r="BT98" s="567"/>
      <c r="BU98" s="567"/>
      <c r="BV98" s="568"/>
      <c r="BW98" s="567"/>
      <c r="BX98" s="2807"/>
      <c r="BY98" s="568"/>
      <c r="BZ98" s="566"/>
      <c r="CA98" s="567"/>
    </row>
    <row r="99" spans="1:79" ht="14.85" customHeight="1" x14ac:dyDescent="0.4">
      <c r="A99" s="249"/>
      <c r="B99" s="249"/>
      <c r="C99" s="584">
        <v>0.34027777777777801</v>
      </c>
      <c r="D99" s="760"/>
      <c r="E99" s="688"/>
      <c r="F99" s="761"/>
      <c r="G99" s="762"/>
      <c r="H99" s="594"/>
      <c r="I99" s="763"/>
      <c r="J99" s="752"/>
      <c r="K99" s="753"/>
      <c r="L99" s="754"/>
      <c r="M99" s="685"/>
      <c r="N99" s="745"/>
      <c r="O99" s="685"/>
      <c r="P99" s="755"/>
      <c r="Q99" s="756"/>
      <c r="R99" s="757"/>
      <c r="S99" s="764"/>
      <c r="T99" s="765"/>
      <c r="U99" s="766"/>
      <c r="V99" s="709"/>
      <c r="W99" s="709"/>
      <c r="X99" s="738"/>
      <c r="Y99" s="685"/>
      <c r="Z99" s="745"/>
      <c r="AA99" s="685"/>
      <c r="AB99" s="687"/>
      <c r="AC99" s="687"/>
      <c r="AD99" s="687"/>
      <c r="AE99" s="568"/>
      <c r="AF99" s="566"/>
      <c r="AG99" s="567"/>
      <c r="AH99" s="568"/>
      <c r="AI99" s="566"/>
      <c r="AJ99" s="567"/>
      <c r="AK99" s="568"/>
      <c r="AL99" s="566"/>
      <c r="AM99" s="567"/>
      <c r="AN99" s="568"/>
      <c r="AO99" s="566"/>
      <c r="AP99" s="567"/>
      <c r="AQ99" s="568"/>
      <c r="AR99" s="566"/>
      <c r="AS99" s="567"/>
      <c r="AT99" s="568"/>
      <c r="AU99" s="566"/>
      <c r="AV99" s="567"/>
      <c r="AW99" s="568"/>
      <c r="AX99" s="566"/>
      <c r="AY99" s="567"/>
      <c r="AZ99" s="568"/>
      <c r="BA99" s="566"/>
      <c r="BB99" s="567"/>
      <c r="BC99" s="568"/>
      <c r="BD99" s="566"/>
      <c r="BE99" s="567"/>
      <c r="BF99" s="567"/>
      <c r="BG99" s="767"/>
      <c r="BH99" s="768"/>
      <c r="BI99" s="567"/>
      <c r="BJ99" s="767"/>
      <c r="BK99" s="768"/>
      <c r="BL99" s="568"/>
      <c r="BM99" s="567"/>
      <c r="BN99" s="567"/>
      <c r="BO99" s="567"/>
      <c r="BP99" s="568"/>
      <c r="BQ99" s="566"/>
      <c r="BR99" s="567"/>
      <c r="BS99" s="568"/>
      <c r="BT99" s="567"/>
      <c r="BU99" s="567"/>
      <c r="BV99" s="568"/>
      <c r="BW99" s="567"/>
      <c r="BX99" s="2807"/>
      <c r="BY99" s="568"/>
      <c r="BZ99" s="566"/>
      <c r="CA99" s="567"/>
    </row>
    <row r="100" spans="1:79" ht="20.100000000000001" customHeight="1" x14ac:dyDescent="0.4">
      <c r="A100" s="249"/>
      <c r="B100" s="249"/>
      <c r="C100" s="584">
        <v>0.34375</v>
      </c>
      <c r="D100" s="595"/>
      <c r="E100" s="597"/>
      <c r="F100" s="597"/>
      <c r="G100" s="598"/>
      <c r="H100" s="599"/>
      <c r="I100" s="600"/>
      <c r="J100" s="743"/>
      <c r="K100" s="691"/>
      <c r="L100" s="754"/>
      <c r="M100" s="685"/>
      <c r="N100" s="793" t="s">
        <v>336</v>
      </c>
      <c r="O100" s="685"/>
      <c r="P100" s="744"/>
      <c r="Q100" s="769" t="s">
        <v>329</v>
      </c>
      <c r="R100" s="757"/>
      <c r="S100" s="696"/>
      <c r="T100" s="696" t="s">
        <v>337</v>
      </c>
      <c r="U100" s="697"/>
      <c r="V100" s="709"/>
      <c r="W100" s="709" t="s">
        <v>338</v>
      </c>
      <c r="X100" s="738"/>
      <c r="Y100" s="685"/>
      <c r="Z100" s="793" t="s">
        <v>336</v>
      </c>
      <c r="AA100" s="685"/>
      <c r="AB100" s="687"/>
      <c r="AC100" s="687"/>
      <c r="AD100" s="687"/>
      <c r="AE100" s="568"/>
      <c r="AF100" s="566"/>
      <c r="AG100" s="567"/>
      <c r="AH100" s="568"/>
      <c r="AI100" s="566"/>
      <c r="AJ100" s="567"/>
      <c r="AK100" s="568"/>
      <c r="AL100" s="566"/>
      <c r="AM100" s="567"/>
      <c r="AN100" s="568"/>
      <c r="AO100" s="566"/>
      <c r="AP100" s="567"/>
      <c r="AQ100" s="568"/>
      <c r="AR100" s="566"/>
      <c r="AS100" s="567"/>
      <c r="AT100" s="568"/>
      <c r="AU100" s="566"/>
      <c r="AV100" s="567"/>
      <c r="AW100" s="568"/>
      <c r="AX100" s="566"/>
      <c r="AY100" s="567"/>
      <c r="AZ100" s="568"/>
      <c r="BA100" s="566"/>
      <c r="BB100" s="567"/>
      <c r="BC100" s="568"/>
      <c r="BD100" s="566"/>
      <c r="BE100" s="567"/>
      <c r="BF100" s="568"/>
      <c r="BG100" s="566"/>
      <c r="BH100" s="567"/>
      <c r="BI100" s="568"/>
      <c r="BJ100" s="566"/>
      <c r="BK100" s="567"/>
      <c r="BL100" s="568"/>
      <c r="BM100" s="567"/>
      <c r="BN100" s="567"/>
      <c r="BO100" s="567"/>
      <c r="BP100" s="568"/>
      <c r="BQ100" s="566"/>
      <c r="BR100" s="567"/>
      <c r="BS100" s="568"/>
      <c r="BT100" s="567"/>
      <c r="BU100" s="567"/>
      <c r="BV100" s="568"/>
      <c r="BW100" s="567"/>
      <c r="BX100" s="2807"/>
      <c r="BY100" s="568"/>
      <c r="BZ100" s="566"/>
      <c r="CA100" s="567"/>
    </row>
    <row r="101" spans="1:79" ht="16.350000000000001" customHeight="1" x14ac:dyDescent="0.4">
      <c r="A101" s="249"/>
      <c r="B101" s="249"/>
      <c r="C101" s="584" t="s">
        <v>307</v>
      </c>
      <c r="D101" s="631"/>
      <c r="E101" s="614"/>
      <c r="F101" s="632"/>
      <c r="G101" s="633"/>
      <c r="H101" s="612"/>
      <c r="I101" s="634"/>
      <c r="J101" s="743"/>
      <c r="K101" s="691"/>
      <c r="L101" s="705"/>
      <c r="M101" s="685"/>
      <c r="N101" s="745" t="s">
        <v>334</v>
      </c>
      <c r="O101" s="685"/>
      <c r="P101" s="744"/>
      <c r="Q101" s="769"/>
      <c r="R101" s="708"/>
      <c r="S101" s="696"/>
      <c r="T101" s="770" t="s">
        <v>339</v>
      </c>
      <c r="U101" s="697"/>
      <c r="V101" s="709"/>
      <c r="W101" s="709" t="s">
        <v>335</v>
      </c>
      <c r="X101" s="738"/>
      <c r="Y101" s="685"/>
      <c r="Z101" s="745" t="s">
        <v>334</v>
      </c>
      <c r="AA101" s="685"/>
      <c r="AB101" s="687"/>
      <c r="AC101" s="687"/>
      <c r="AD101" s="687"/>
      <c r="AE101" s="568"/>
      <c r="AF101" s="566"/>
      <c r="AG101" s="567"/>
      <c r="AH101" s="568"/>
      <c r="AI101" s="566"/>
      <c r="AJ101" s="567"/>
      <c r="AK101" s="568"/>
      <c r="AL101" s="566"/>
      <c r="AM101" s="567"/>
      <c r="AN101" s="568"/>
      <c r="AO101" s="566"/>
      <c r="AP101" s="567"/>
      <c r="AQ101" s="568"/>
      <c r="AR101" s="566"/>
      <c r="AS101" s="567"/>
      <c r="AT101" s="568"/>
      <c r="AU101" s="566"/>
      <c r="AV101" s="567"/>
      <c r="AW101" s="568"/>
      <c r="AX101" s="566"/>
      <c r="AY101" s="567"/>
      <c r="AZ101" s="568"/>
      <c r="BA101" s="566"/>
      <c r="BB101" s="567"/>
      <c r="BC101" s="568"/>
      <c r="BD101" s="566"/>
      <c r="BE101" s="567"/>
      <c r="BF101" s="568"/>
      <c r="BG101" s="566"/>
      <c r="BH101" s="567"/>
      <c r="BI101" s="568"/>
      <c r="BJ101" s="566"/>
      <c r="BK101" s="567"/>
      <c r="BL101" s="568"/>
      <c r="BM101" s="567"/>
      <c r="BN101" s="567"/>
      <c r="BO101" s="567"/>
      <c r="BP101" s="568"/>
      <c r="BQ101" s="566"/>
      <c r="BR101" s="567"/>
      <c r="BS101" s="568"/>
      <c r="BT101" s="567"/>
      <c r="BU101" s="567"/>
      <c r="BV101" s="568"/>
      <c r="BW101" s="567"/>
      <c r="BX101" s="2807"/>
      <c r="BY101" s="568"/>
      <c r="BZ101" s="566"/>
      <c r="CA101" s="567"/>
    </row>
    <row r="102" spans="1:79" ht="16.350000000000001" customHeight="1" x14ac:dyDescent="0.4">
      <c r="A102" s="249"/>
      <c r="B102" s="249"/>
      <c r="C102" s="584" t="s">
        <v>307</v>
      </c>
      <c r="D102" s="589"/>
      <c r="E102" s="688"/>
      <c r="F102" s="688"/>
      <c r="G102" s="590"/>
      <c r="H102" s="594"/>
      <c r="I102" s="742"/>
      <c r="J102" s="704"/>
      <c r="K102" s="691"/>
      <c r="L102" s="705"/>
      <c r="M102" s="685"/>
      <c r="N102" s="745"/>
      <c r="O102" s="685"/>
      <c r="P102" s="706"/>
      <c r="Q102" s="707"/>
      <c r="R102" s="708"/>
      <c r="S102" s="696"/>
      <c r="T102" s="696"/>
      <c r="U102" s="697"/>
      <c r="V102" s="683"/>
      <c r="W102" s="683"/>
      <c r="X102" s="738"/>
      <c r="Y102" s="685"/>
      <c r="Z102" s="745"/>
      <c r="AA102" s="685"/>
      <c r="AB102" s="687"/>
      <c r="AC102" s="687"/>
      <c r="AD102" s="687"/>
      <c r="AE102" s="568"/>
      <c r="AF102" s="566"/>
      <c r="AG102" s="567"/>
      <c r="AH102" s="568"/>
      <c r="AI102" s="566"/>
      <c r="AJ102" s="567"/>
      <c r="AK102" s="568"/>
      <c r="AL102" s="566"/>
      <c r="AM102" s="567"/>
      <c r="AN102" s="568"/>
      <c r="AO102" s="566"/>
      <c r="AP102" s="567"/>
      <c r="AQ102" s="568"/>
      <c r="AR102" s="566"/>
      <c r="AS102" s="567"/>
      <c r="AT102" s="568"/>
      <c r="AU102" s="566"/>
      <c r="AV102" s="567"/>
      <c r="AW102" s="568"/>
      <c r="AX102" s="566"/>
      <c r="AY102" s="567"/>
      <c r="AZ102" s="568"/>
      <c r="BA102" s="566"/>
      <c r="BB102" s="567"/>
      <c r="BC102" s="568"/>
      <c r="BD102" s="566"/>
      <c r="BE102" s="567"/>
      <c r="BF102" s="568"/>
      <c r="BG102" s="566"/>
      <c r="BH102" s="567"/>
      <c r="BI102" s="568"/>
      <c r="BJ102" s="566"/>
      <c r="BK102" s="567"/>
      <c r="BL102" s="568"/>
      <c r="BM102" s="567"/>
      <c r="BN102" s="567"/>
      <c r="BO102" s="567"/>
      <c r="BP102" s="568"/>
      <c r="BQ102" s="566"/>
      <c r="BR102" s="567"/>
      <c r="BS102" s="568"/>
      <c r="BT102" s="567"/>
      <c r="BU102" s="567"/>
      <c r="BV102" s="568"/>
      <c r="BW102" s="567"/>
      <c r="BX102" s="2807"/>
      <c r="BY102" s="568"/>
      <c r="BZ102" s="566"/>
      <c r="CA102" s="567"/>
    </row>
    <row r="103" spans="1:79" ht="16.350000000000001" customHeight="1" x14ac:dyDescent="0.4">
      <c r="A103" s="249"/>
      <c r="B103" s="249"/>
      <c r="C103" s="584" t="s">
        <v>307</v>
      </c>
      <c r="D103" s="746"/>
      <c r="E103" s="747"/>
      <c r="F103" s="771"/>
      <c r="G103" s="748"/>
      <c r="H103" s="749"/>
      <c r="I103" s="742"/>
      <c r="J103" s="752"/>
      <c r="K103" s="753"/>
      <c r="L103" s="754"/>
      <c r="M103" s="685"/>
      <c r="N103" s="745"/>
      <c r="O103" s="685"/>
      <c r="P103" s="755"/>
      <c r="Q103" s="756"/>
      <c r="R103" s="757"/>
      <c r="S103" s="696"/>
      <c r="T103" s="696"/>
      <c r="U103" s="697"/>
      <c r="V103" s="709"/>
      <c r="W103" s="709"/>
      <c r="X103" s="738"/>
      <c r="Y103" s="685"/>
      <c r="Z103" s="745"/>
      <c r="AA103" s="685"/>
      <c r="AB103" s="687"/>
      <c r="AC103" s="687"/>
      <c r="AD103" s="687"/>
      <c r="AE103" s="568"/>
      <c r="AF103" s="566"/>
      <c r="AG103" s="567"/>
      <c r="AH103" s="568"/>
      <c r="AI103" s="566"/>
      <c r="AJ103" s="567"/>
      <c r="AK103" s="568"/>
      <c r="AL103" s="566"/>
      <c r="AM103" s="567"/>
      <c r="AN103" s="568"/>
      <c r="AO103" s="566"/>
      <c r="AP103" s="567"/>
      <c r="AQ103" s="568"/>
      <c r="AR103" s="566"/>
      <c r="AS103" s="567"/>
      <c r="AT103" s="568"/>
      <c r="AU103" s="566"/>
      <c r="AV103" s="567"/>
      <c r="AW103" s="568"/>
      <c r="AX103" s="566"/>
      <c r="AY103" s="567"/>
      <c r="AZ103" s="568"/>
      <c r="BA103" s="566"/>
      <c r="BB103" s="567"/>
      <c r="BC103" s="568"/>
      <c r="BD103" s="566"/>
      <c r="BE103" s="567"/>
      <c r="BF103" s="568"/>
      <c r="BG103" s="566"/>
      <c r="BH103" s="567"/>
      <c r="BI103" s="568"/>
      <c r="BJ103" s="566"/>
      <c r="BK103" s="567"/>
      <c r="BL103" s="568"/>
      <c r="BM103" s="567"/>
      <c r="BN103" s="567"/>
      <c r="BO103" s="567"/>
      <c r="BP103" s="568"/>
      <c r="BQ103" s="566"/>
      <c r="BR103" s="567"/>
      <c r="BS103" s="568"/>
      <c r="BT103" s="567"/>
      <c r="BU103" s="567"/>
      <c r="BV103" s="568"/>
      <c r="BW103" s="567"/>
      <c r="BX103" s="2807"/>
      <c r="BY103" s="568"/>
      <c r="BZ103" s="566"/>
      <c r="CA103" s="567"/>
    </row>
    <row r="104" spans="1:79" ht="14.85" customHeight="1" x14ac:dyDescent="0.4">
      <c r="A104" s="249"/>
      <c r="B104" s="249"/>
      <c r="C104" s="584">
        <v>0.34722222222222199</v>
      </c>
      <c r="D104" s="585"/>
      <c r="E104" s="772"/>
      <c r="F104" s="773"/>
      <c r="G104" s="581"/>
      <c r="H104" s="774"/>
      <c r="I104" s="775"/>
      <c r="J104" s="752"/>
      <c r="K104" s="753"/>
      <c r="L104" s="754"/>
      <c r="M104" s="685"/>
      <c r="N104" s="745"/>
      <c r="O104" s="685"/>
      <c r="P104" s="755"/>
      <c r="Q104" s="756"/>
      <c r="R104" s="757"/>
      <c r="S104" s="696"/>
      <c r="T104" s="696"/>
      <c r="U104" s="697"/>
      <c r="V104" s="709"/>
      <c r="W104" s="709"/>
      <c r="X104" s="738"/>
      <c r="Y104" s="685"/>
      <c r="Z104" s="745"/>
      <c r="AA104" s="685"/>
      <c r="AB104" s="687"/>
      <c r="AC104" s="687"/>
      <c r="AD104" s="687"/>
      <c r="AE104" s="568"/>
      <c r="AF104" s="566"/>
      <c r="AG104" s="567"/>
      <c r="AH104" s="568"/>
      <c r="AI104" s="566"/>
      <c r="AJ104" s="567"/>
      <c r="AK104" s="568"/>
      <c r="AL104" s="566"/>
      <c r="AM104" s="567"/>
      <c r="AN104" s="568"/>
      <c r="AO104" s="566"/>
      <c r="AP104" s="567"/>
      <c r="AQ104" s="568"/>
      <c r="AR104" s="566"/>
      <c r="AS104" s="567"/>
      <c r="AT104" s="568"/>
      <c r="AU104" s="566"/>
      <c r="AV104" s="567"/>
      <c r="AW104" s="568"/>
      <c r="AX104" s="566"/>
      <c r="AY104" s="567"/>
      <c r="AZ104" s="568"/>
      <c r="BA104" s="566"/>
      <c r="BB104" s="567"/>
      <c r="BC104" s="568"/>
      <c r="BD104" s="566"/>
      <c r="BE104" s="567"/>
      <c r="BF104" s="776"/>
      <c r="BG104" s="777"/>
      <c r="BH104" s="759"/>
      <c r="BI104" s="776"/>
      <c r="BJ104" s="777"/>
      <c r="BK104" s="759"/>
      <c r="BL104" s="568"/>
      <c r="BM104" s="567"/>
      <c r="BN104" s="567"/>
      <c r="BO104" s="567"/>
      <c r="BP104" s="568"/>
      <c r="BQ104" s="566"/>
      <c r="BR104" s="567"/>
      <c r="BS104" s="568"/>
      <c r="BT104" s="567"/>
      <c r="BU104" s="567"/>
      <c r="BV104" s="568"/>
      <c r="BW104" s="567"/>
      <c r="BX104" s="2807"/>
      <c r="BY104" s="568"/>
      <c r="BZ104" s="566"/>
      <c r="CA104" s="567"/>
    </row>
    <row r="105" spans="1:79" ht="14.85" customHeight="1" x14ac:dyDescent="0.4">
      <c r="A105" s="249"/>
      <c r="B105" s="249"/>
      <c r="C105" s="584">
        <v>0.35069444444444398</v>
      </c>
      <c r="D105" s="585"/>
      <c r="E105" s="772"/>
      <c r="F105" s="773"/>
      <c r="G105" s="581"/>
      <c r="H105" s="774"/>
      <c r="I105" s="775"/>
      <c r="J105" s="635"/>
      <c r="K105" s="691"/>
      <c r="L105" s="705"/>
      <c r="M105" s="685"/>
      <c r="N105" s="745"/>
      <c r="O105" s="685"/>
      <c r="P105" s="778"/>
      <c r="Q105" s="779" t="s">
        <v>340</v>
      </c>
      <c r="R105" s="780"/>
      <c r="S105" s="696"/>
      <c r="T105" s="696"/>
      <c r="U105" s="697"/>
      <c r="V105" s="709"/>
      <c r="W105" s="709"/>
      <c r="X105" s="738"/>
      <c r="Y105" s="685"/>
      <c r="Z105" s="745"/>
      <c r="AA105" s="685"/>
      <c r="AB105" s="687"/>
      <c r="AC105" s="687"/>
      <c r="AD105" s="687"/>
      <c r="AE105" s="568"/>
      <c r="AF105" s="566"/>
      <c r="AG105" s="567"/>
      <c r="AH105" s="568"/>
      <c r="AI105" s="566"/>
      <c r="AJ105" s="567"/>
      <c r="AK105" s="568"/>
      <c r="AL105" s="566"/>
      <c r="AM105" s="567"/>
      <c r="AN105" s="568"/>
      <c r="AO105" s="566"/>
      <c r="AP105" s="567"/>
      <c r="AQ105" s="568"/>
      <c r="AR105" s="566"/>
      <c r="AS105" s="567"/>
      <c r="AT105" s="568"/>
      <c r="AU105" s="566"/>
      <c r="AV105" s="567"/>
      <c r="AW105" s="568"/>
      <c r="AX105" s="566"/>
      <c r="AY105" s="567"/>
      <c r="AZ105" s="568"/>
      <c r="BA105" s="566"/>
      <c r="BB105" s="567"/>
      <c r="BC105" s="568"/>
      <c r="BD105" s="566"/>
      <c r="BE105" s="567"/>
      <c r="BF105" s="776"/>
      <c r="BG105" s="777"/>
      <c r="BH105" s="759"/>
      <c r="BI105" s="776"/>
      <c r="BJ105" s="777"/>
      <c r="BK105" s="759"/>
      <c r="BL105" s="568"/>
      <c r="BM105" s="567"/>
      <c r="BN105" s="567"/>
      <c r="BO105" s="567"/>
      <c r="BP105" s="568"/>
      <c r="BQ105" s="566"/>
      <c r="BR105" s="567"/>
      <c r="BS105" s="568"/>
      <c r="BT105" s="567"/>
      <c r="BU105" s="567"/>
      <c r="BV105" s="568"/>
      <c r="BW105" s="567"/>
      <c r="BX105" s="2807"/>
      <c r="BY105" s="568"/>
      <c r="BZ105" s="566"/>
      <c r="CA105" s="567"/>
    </row>
    <row r="106" spans="1:79" ht="18.75" customHeight="1" x14ac:dyDescent="0.4">
      <c r="A106" s="249"/>
      <c r="B106" s="249"/>
      <c r="C106" s="584">
        <v>0.35416666666666602</v>
      </c>
      <c r="D106" s="587"/>
      <c r="E106" s="2839" t="s">
        <v>341</v>
      </c>
      <c r="F106" s="688"/>
      <c r="G106" s="588"/>
      <c r="H106" s="599" t="s">
        <v>278</v>
      </c>
      <c r="I106" s="742"/>
      <c r="J106" s="743"/>
      <c r="K106" s="691"/>
      <c r="L106" s="781"/>
      <c r="M106" s="685"/>
      <c r="N106" s="745" t="s">
        <v>330</v>
      </c>
      <c r="O106" s="685"/>
      <c r="P106" s="744"/>
      <c r="Q106" s="769" t="s">
        <v>342</v>
      </c>
      <c r="R106" s="782"/>
      <c r="S106" s="696"/>
      <c r="T106" s="696" t="s">
        <v>337</v>
      </c>
      <c r="U106" s="697"/>
      <c r="V106" s="683"/>
      <c r="W106" s="709" t="s">
        <v>332</v>
      </c>
      <c r="X106" s="783"/>
      <c r="Y106" s="685"/>
      <c r="Z106" s="745" t="s">
        <v>330</v>
      </c>
      <c r="AA106" s="685"/>
      <c r="AB106" s="687"/>
      <c r="AC106" s="784"/>
      <c r="AD106" s="687"/>
      <c r="AE106" s="568"/>
      <c r="AF106" s="566"/>
      <c r="AG106" s="567"/>
      <c r="AH106" s="568"/>
      <c r="AI106" s="566"/>
      <c r="AJ106" s="567"/>
      <c r="AK106" s="568"/>
      <c r="AL106" s="566"/>
      <c r="AM106" s="567"/>
      <c r="AN106" s="568"/>
      <c r="AO106" s="566"/>
      <c r="AP106" s="567"/>
      <c r="AQ106" s="568"/>
      <c r="AR106" s="566"/>
      <c r="AS106" s="567"/>
      <c r="AT106" s="568"/>
      <c r="AU106" s="566"/>
      <c r="AV106" s="567"/>
      <c r="AW106" s="568"/>
      <c r="AX106" s="566"/>
      <c r="AY106" s="567"/>
      <c r="AZ106" s="568"/>
      <c r="BA106" s="566"/>
      <c r="BB106" s="567"/>
      <c r="BC106" s="568"/>
      <c r="BD106" s="566"/>
      <c r="BE106" s="567"/>
      <c r="BF106" s="567"/>
      <c r="BG106" s="785"/>
      <c r="BH106" s="786"/>
      <c r="BI106" s="567"/>
      <c r="BJ106" s="785"/>
      <c r="BK106" s="786"/>
      <c r="BL106" s="568"/>
      <c r="BM106" s="567"/>
      <c r="BN106" s="567"/>
      <c r="BO106" s="567"/>
      <c r="BP106" s="568"/>
      <c r="BQ106" s="566"/>
      <c r="BR106" s="567"/>
      <c r="BS106" s="568"/>
      <c r="BT106" s="567"/>
      <c r="BU106" s="567"/>
      <c r="BV106" s="568"/>
      <c r="BW106" s="567"/>
      <c r="BX106" s="2807"/>
      <c r="BY106" s="568"/>
      <c r="BZ106" s="566"/>
      <c r="CA106" s="567"/>
    </row>
    <row r="107" spans="1:79" ht="18.75" customHeight="1" x14ac:dyDescent="0.4">
      <c r="A107" s="249"/>
      <c r="B107" s="249"/>
      <c r="C107" s="584" t="s">
        <v>307</v>
      </c>
      <c r="D107" s="589"/>
      <c r="E107" s="2839"/>
      <c r="F107" s="688"/>
      <c r="G107" s="590"/>
      <c r="H107" s="612" t="s">
        <v>310</v>
      </c>
      <c r="I107" s="787"/>
      <c r="J107" s="743"/>
      <c r="K107" s="691"/>
      <c r="L107" s="781"/>
      <c r="M107" s="685"/>
      <c r="N107" s="745" t="s">
        <v>333</v>
      </c>
      <c r="O107" s="685"/>
      <c r="P107" s="744"/>
      <c r="Q107" s="769" t="s">
        <v>334</v>
      </c>
      <c r="R107" s="782"/>
      <c r="S107" s="696"/>
      <c r="T107" s="696" t="s">
        <v>334</v>
      </c>
      <c r="U107" s="697"/>
      <c r="V107" s="683"/>
      <c r="W107" s="709" t="s">
        <v>335</v>
      </c>
      <c r="X107" s="783"/>
      <c r="Y107" s="685"/>
      <c r="Z107" s="745" t="s">
        <v>333</v>
      </c>
      <c r="AA107" s="685"/>
      <c r="AB107" s="687"/>
      <c r="AC107" s="687"/>
      <c r="AD107" s="687"/>
      <c r="AE107" s="568"/>
      <c r="AF107" s="566"/>
      <c r="AG107" s="567"/>
      <c r="AH107" s="568"/>
      <c r="AI107" s="566"/>
      <c r="AJ107" s="567"/>
      <c r="AK107" s="568"/>
      <c r="AL107" s="566"/>
      <c r="AM107" s="567"/>
      <c r="AN107" s="568"/>
      <c r="AO107" s="566"/>
      <c r="AP107" s="567"/>
      <c r="AQ107" s="568"/>
      <c r="AR107" s="566"/>
      <c r="AS107" s="567"/>
      <c r="AT107" s="568"/>
      <c r="AU107" s="566"/>
      <c r="AV107" s="567"/>
      <c r="AW107" s="568"/>
      <c r="AX107" s="566"/>
      <c r="AY107" s="567"/>
      <c r="AZ107" s="568"/>
      <c r="BA107" s="566"/>
      <c r="BB107" s="567"/>
      <c r="BC107" s="568"/>
      <c r="BD107" s="566"/>
      <c r="BE107" s="567"/>
      <c r="BF107" s="567"/>
      <c r="BG107" s="785"/>
      <c r="BH107" s="786"/>
      <c r="BI107" s="567"/>
      <c r="BJ107" s="785"/>
      <c r="BK107" s="786"/>
      <c r="BL107" s="568"/>
      <c r="BM107" s="567"/>
      <c r="BN107" s="567"/>
      <c r="BO107" s="567"/>
      <c r="BP107" s="568"/>
      <c r="BQ107" s="566"/>
      <c r="BR107" s="567"/>
      <c r="BS107" s="568"/>
      <c r="BT107" s="567"/>
      <c r="BU107" s="567"/>
      <c r="BV107" s="568"/>
      <c r="BW107" s="567"/>
      <c r="BX107" s="2807"/>
      <c r="BY107" s="568"/>
      <c r="BZ107" s="566"/>
      <c r="CA107" s="567"/>
    </row>
    <row r="108" spans="1:79" ht="18.75" customHeight="1" x14ac:dyDescent="0.4">
      <c r="A108" s="249"/>
      <c r="B108" s="249"/>
      <c r="C108" s="584"/>
      <c r="D108" s="589"/>
      <c r="E108" s="2839"/>
      <c r="F108" s="688"/>
      <c r="G108" s="590"/>
      <c r="H108" s="594"/>
      <c r="I108" s="787"/>
      <c r="J108" s="752"/>
      <c r="K108" s="691"/>
      <c r="L108" s="754"/>
      <c r="M108" s="685"/>
      <c r="N108" s="745"/>
      <c r="O108" s="685"/>
      <c r="P108" s="755"/>
      <c r="Q108" s="707"/>
      <c r="R108" s="757"/>
      <c r="S108" s="696"/>
      <c r="T108" s="696"/>
      <c r="U108" s="697"/>
      <c r="V108" s="709"/>
      <c r="W108" s="788"/>
      <c r="X108" s="783"/>
      <c r="Y108" s="685"/>
      <c r="Z108" s="745"/>
      <c r="AA108" s="685"/>
      <c r="AB108" s="687"/>
      <c r="AC108" s="687"/>
      <c r="AD108" s="687"/>
      <c r="AE108" s="568"/>
      <c r="AF108" s="566"/>
      <c r="AG108" s="567"/>
      <c r="AH108" s="568"/>
      <c r="AI108" s="566"/>
      <c r="AJ108" s="567"/>
      <c r="AK108" s="568"/>
      <c r="AL108" s="566"/>
      <c r="AM108" s="567"/>
      <c r="AN108" s="568"/>
      <c r="AO108" s="566"/>
      <c r="AP108" s="567"/>
      <c r="AQ108" s="568"/>
      <c r="AR108" s="566"/>
      <c r="AS108" s="567"/>
      <c r="AT108" s="568"/>
      <c r="AU108" s="566"/>
      <c r="AV108" s="567"/>
      <c r="AW108" s="568"/>
      <c r="AX108" s="566"/>
      <c r="AY108" s="567"/>
      <c r="AZ108" s="568"/>
      <c r="BA108" s="566"/>
      <c r="BB108" s="567"/>
      <c r="BC108" s="568"/>
      <c r="BD108" s="566"/>
      <c r="BE108" s="567"/>
      <c r="BF108" s="567"/>
      <c r="BG108" s="785"/>
      <c r="BH108" s="786"/>
      <c r="BI108" s="567"/>
      <c r="BJ108" s="785"/>
      <c r="BK108" s="786"/>
      <c r="BL108" s="568"/>
      <c r="BM108" s="567"/>
      <c r="BN108" s="567"/>
      <c r="BO108" s="567"/>
      <c r="BP108" s="568"/>
      <c r="BQ108" s="566"/>
      <c r="BR108" s="567"/>
      <c r="BS108" s="568"/>
      <c r="BT108" s="567"/>
      <c r="BU108" s="567"/>
      <c r="BV108" s="568"/>
      <c r="BW108" s="567"/>
      <c r="BX108" s="2807"/>
      <c r="BY108" s="568"/>
      <c r="BZ108" s="566"/>
      <c r="CA108" s="567"/>
    </row>
    <row r="109" spans="1:79" ht="14.85" customHeight="1" x14ac:dyDescent="0.4">
      <c r="A109" s="249"/>
      <c r="B109" s="249"/>
      <c r="C109" s="584">
        <v>0.35763888888888901</v>
      </c>
      <c r="D109" s="585"/>
      <c r="E109" s="2839"/>
      <c r="F109" s="773"/>
      <c r="G109" s="581"/>
      <c r="H109" s="774"/>
      <c r="I109" s="775"/>
      <c r="J109" s="743"/>
      <c r="K109" s="691"/>
      <c r="L109" s="789"/>
      <c r="M109" s="685"/>
      <c r="N109" s="745"/>
      <c r="O109" s="685"/>
      <c r="P109" s="744"/>
      <c r="Q109" s="769"/>
      <c r="R109" s="790"/>
      <c r="S109" s="696"/>
      <c r="T109" s="696"/>
      <c r="U109" s="697"/>
      <c r="V109" s="709"/>
      <c r="W109" s="709"/>
      <c r="X109" s="738"/>
      <c r="Y109" s="685"/>
      <c r="Z109" s="745"/>
      <c r="AA109" s="685"/>
      <c r="AB109" s="687"/>
      <c r="AC109" s="687"/>
      <c r="AD109" s="687"/>
      <c r="AE109" s="568"/>
      <c r="AF109" s="566"/>
      <c r="AG109" s="567"/>
      <c r="AH109" s="568"/>
      <c r="AI109" s="566"/>
      <c r="AJ109" s="567"/>
      <c r="AK109" s="568"/>
      <c r="AL109" s="566"/>
      <c r="AM109" s="567"/>
      <c r="AN109" s="568"/>
      <c r="AO109" s="566"/>
      <c r="AP109" s="567"/>
      <c r="AQ109" s="568"/>
      <c r="AR109" s="566"/>
      <c r="AS109" s="567"/>
      <c r="AT109" s="568"/>
      <c r="AU109" s="566"/>
      <c r="AV109" s="567"/>
      <c r="AW109" s="568"/>
      <c r="AX109" s="566"/>
      <c r="AY109" s="567"/>
      <c r="AZ109" s="568"/>
      <c r="BA109" s="566"/>
      <c r="BB109" s="567"/>
      <c r="BC109" s="568"/>
      <c r="BD109" s="566"/>
      <c r="BE109" s="567"/>
      <c r="BF109" s="567"/>
      <c r="BG109" s="785"/>
      <c r="BH109" s="786"/>
      <c r="BI109" s="567"/>
      <c r="BJ109" s="785"/>
      <c r="BK109" s="786"/>
      <c r="BL109" s="568"/>
      <c r="BM109" s="567"/>
      <c r="BN109" s="567"/>
      <c r="BO109" s="567"/>
      <c r="BP109" s="568"/>
      <c r="BQ109" s="566"/>
      <c r="BR109" s="567"/>
      <c r="BS109" s="568"/>
      <c r="BT109" s="567"/>
      <c r="BU109" s="567"/>
      <c r="BV109" s="568"/>
      <c r="BW109" s="567"/>
      <c r="BX109" s="2807"/>
      <c r="BY109" s="568"/>
      <c r="BZ109" s="566"/>
      <c r="CA109" s="567"/>
    </row>
    <row r="110" spans="1:79" ht="14.85" customHeight="1" x14ac:dyDescent="0.4">
      <c r="A110" s="249"/>
      <c r="B110" s="249"/>
      <c r="C110" s="584">
        <v>0.36111111111111099</v>
      </c>
      <c r="D110" s="589"/>
      <c r="E110" s="2839"/>
      <c r="F110" s="688"/>
      <c r="G110" s="590"/>
      <c r="H110" s="594"/>
      <c r="I110" s="675"/>
      <c r="J110" s="743"/>
      <c r="K110" s="691"/>
      <c r="L110" s="705"/>
      <c r="M110" s="791"/>
      <c r="N110" s="745"/>
      <c r="O110" s="685"/>
      <c r="P110" s="744"/>
      <c r="Q110" s="769"/>
      <c r="R110" s="708"/>
      <c r="S110" s="696"/>
      <c r="T110" s="696"/>
      <c r="U110" s="697"/>
      <c r="V110" s="709"/>
      <c r="W110" s="709"/>
      <c r="X110" s="783"/>
      <c r="Y110" s="791"/>
      <c r="Z110" s="745"/>
      <c r="AA110" s="685"/>
      <c r="AB110" s="687"/>
      <c r="AC110" s="687"/>
      <c r="AD110" s="687"/>
      <c r="AE110" s="568"/>
      <c r="AF110" s="566"/>
      <c r="AG110" s="567"/>
      <c r="AH110" s="568"/>
      <c r="AI110" s="566"/>
      <c r="AJ110" s="567"/>
      <c r="AK110" s="568"/>
      <c r="AL110" s="566"/>
      <c r="AM110" s="567"/>
      <c r="AN110" s="568"/>
      <c r="AO110" s="566"/>
      <c r="AP110" s="567"/>
      <c r="AQ110" s="568"/>
      <c r="AR110" s="566"/>
      <c r="AS110" s="567"/>
      <c r="AT110" s="568"/>
      <c r="AU110" s="566"/>
      <c r="AV110" s="567"/>
      <c r="AW110" s="568"/>
      <c r="AX110" s="566"/>
      <c r="AY110" s="567"/>
      <c r="AZ110" s="568"/>
      <c r="BA110" s="566"/>
      <c r="BB110" s="567"/>
      <c r="BC110" s="568"/>
      <c r="BD110" s="566"/>
      <c r="BE110" s="567"/>
      <c r="BF110" s="567"/>
      <c r="BG110" s="767"/>
      <c r="BH110" s="768"/>
      <c r="BI110" s="567"/>
      <c r="BJ110" s="767"/>
      <c r="BK110" s="768"/>
      <c r="BL110" s="568"/>
      <c r="BM110" s="567"/>
      <c r="BN110" s="567"/>
      <c r="BO110" s="567"/>
      <c r="BP110" s="568"/>
      <c r="BQ110" s="566"/>
      <c r="BR110" s="567"/>
      <c r="BS110" s="568"/>
      <c r="BT110" s="567"/>
      <c r="BU110" s="567"/>
      <c r="BV110" s="568"/>
      <c r="BW110" s="567"/>
      <c r="BX110" s="2807"/>
      <c r="BY110" s="568"/>
      <c r="BZ110" s="566"/>
      <c r="CA110" s="567"/>
    </row>
    <row r="111" spans="1:79" ht="18.75" customHeight="1" x14ac:dyDescent="0.4">
      <c r="A111" s="249"/>
      <c r="B111" s="249"/>
      <c r="C111" s="584">
        <v>0.36458333333333298</v>
      </c>
      <c r="D111" s="589"/>
      <c r="E111" s="2839"/>
      <c r="F111" s="688"/>
      <c r="G111" s="590"/>
      <c r="H111" s="612"/>
      <c r="I111" s="742"/>
      <c r="J111" s="635"/>
      <c r="K111" s="691"/>
      <c r="L111" s="789"/>
      <c r="M111" s="791"/>
      <c r="N111" s="745" t="s">
        <v>333</v>
      </c>
      <c r="O111" s="685"/>
      <c r="P111" s="778"/>
      <c r="Q111" s="779" t="s">
        <v>343</v>
      </c>
      <c r="R111" s="792"/>
      <c r="S111" s="696"/>
      <c r="T111" s="696" t="s">
        <v>331</v>
      </c>
      <c r="U111" s="697"/>
      <c r="V111" s="709"/>
      <c r="W111" s="709" t="s">
        <v>332</v>
      </c>
      <c r="X111" s="783"/>
      <c r="Y111" s="791"/>
      <c r="Z111" s="745" t="s">
        <v>333</v>
      </c>
      <c r="AA111" s="685"/>
      <c r="AB111" s="794"/>
      <c r="AC111" s="687"/>
      <c r="AD111" s="794"/>
      <c r="AE111" s="568"/>
      <c r="AF111" s="566"/>
      <c r="AG111" s="567"/>
      <c r="AH111" s="568"/>
      <c r="AI111" s="566"/>
      <c r="AJ111" s="567"/>
      <c r="AK111" s="568"/>
      <c r="AL111" s="566"/>
      <c r="AM111" s="567"/>
      <c r="AN111" s="568"/>
      <c r="AO111" s="566"/>
      <c r="AP111" s="567"/>
      <c r="AQ111" s="568"/>
      <c r="AR111" s="566"/>
      <c r="AS111" s="567"/>
      <c r="AT111" s="568"/>
      <c r="AU111" s="566"/>
      <c r="AV111" s="567"/>
      <c r="AW111" s="568"/>
      <c r="AX111" s="566"/>
      <c r="AY111" s="567"/>
      <c r="AZ111" s="568"/>
      <c r="BA111" s="566"/>
      <c r="BB111" s="567"/>
      <c r="BC111" s="568"/>
      <c r="BD111" s="566"/>
      <c r="BE111" s="567"/>
      <c r="BF111" s="568"/>
      <c r="BG111" s="566"/>
      <c r="BH111" s="567"/>
      <c r="BI111" s="568"/>
      <c r="BJ111" s="566"/>
      <c r="BK111" s="567"/>
      <c r="BL111" s="568"/>
      <c r="BM111" s="567"/>
      <c r="BN111" s="567"/>
      <c r="BO111" s="567"/>
      <c r="BP111" s="568"/>
      <c r="BQ111" s="566"/>
      <c r="BR111" s="567"/>
      <c r="BS111" s="568"/>
      <c r="BT111" s="567"/>
      <c r="BU111" s="567"/>
      <c r="BV111" s="568"/>
      <c r="BW111" s="567"/>
      <c r="BX111" s="2807"/>
      <c r="BY111" s="568"/>
      <c r="BZ111" s="566"/>
      <c r="CA111" s="567"/>
    </row>
    <row r="112" spans="1:79" ht="18.75" customHeight="1" x14ac:dyDescent="0.4">
      <c r="A112" s="249"/>
      <c r="B112" s="249"/>
      <c r="C112" s="584" t="s">
        <v>307</v>
      </c>
      <c r="D112" s="587"/>
      <c r="E112" s="747"/>
      <c r="F112" s="688"/>
      <c r="G112" s="588"/>
      <c r="H112" s="594"/>
      <c r="I112" s="675"/>
      <c r="J112" s="635"/>
      <c r="K112" s="691"/>
      <c r="L112" s="789"/>
      <c r="M112" s="685"/>
      <c r="N112" s="793" t="s">
        <v>336</v>
      </c>
      <c r="O112" s="791"/>
      <c r="P112" s="795"/>
      <c r="Q112" s="769" t="s">
        <v>334</v>
      </c>
      <c r="R112" s="790"/>
      <c r="S112" s="696"/>
      <c r="T112" s="696" t="s">
        <v>334</v>
      </c>
      <c r="U112" s="697"/>
      <c r="V112" s="683"/>
      <c r="W112" s="709" t="s">
        <v>335</v>
      </c>
      <c r="X112" s="783"/>
      <c r="Y112" s="685"/>
      <c r="Z112" s="793" t="s">
        <v>336</v>
      </c>
      <c r="AA112" s="791"/>
      <c r="AB112" s="794"/>
      <c r="AC112" s="794"/>
      <c r="AD112" s="794"/>
      <c r="AE112" s="568"/>
      <c r="AF112" s="566"/>
      <c r="AG112" s="567"/>
      <c r="AH112" s="568"/>
      <c r="AI112" s="566"/>
      <c r="AJ112" s="567"/>
      <c r="AK112" s="568"/>
      <c r="AL112" s="566"/>
      <c r="AM112" s="567"/>
      <c r="AN112" s="568"/>
      <c r="AO112" s="566"/>
      <c r="AP112" s="567"/>
      <c r="AQ112" s="568"/>
      <c r="AR112" s="566"/>
      <c r="AS112" s="567"/>
      <c r="AT112" s="568"/>
      <c r="AU112" s="566"/>
      <c r="AV112" s="567"/>
      <c r="AW112" s="568"/>
      <c r="AX112" s="566"/>
      <c r="AY112" s="567"/>
      <c r="AZ112" s="568"/>
      <c r="BA112" s="566"/>
      <c r="BB112" s="567"/>
      <c r="BC112" s="568"/>
      <c r="BD112" s="566"/>
      <c r="BE112" s="567"/>
      <c r="BF112" s="568"/>
      <c r="BG112" s="566"/>
      <c r="BH112" s="567"/>
      <c r="BI112" s="568"/>
      <c r="BJ112" s="566"/>
      <c r="BK112" s="567"/>
      <c r="BL112" s="568"/>
      <c r="BM112" s="567"/>
      <c r="BN112" s="567"/>
      <c r="BO112" s="567"/>
      <c r="BP112" s="568"/>
      <c r="BQ112" s="566"/>
      <c r="BR112" s="567"/>
      <c r="BS112" s="568"/>
      <c r="BT112" s="567"/>
      <c r="BU112" s="567"/>
      <c r="BV112" s="568"/>
      <c r="BW112" s="567"/>
      <c r="BX112" s="2807"/>
      <c r="BY112" s="568"/>
      <c r="BZ112" s="566"/>
      <c r="CA112" s="567"/>
    </row>
    <row r="113" spans="1:79" ht="18.75" customHeight="1" x14ac:dyDescent="0.4">
      <c r="A113" s="249"/>
      <c r="B113" s="249"/>
      <c r="C113" s="584"/>
      <c r="D113" s="587"/>
      <c r="E113" s="772"/>
      <c r="F113" s="688"/>
      <c r="G113" s="588"/>
      <c r="H113" s="594"/>
      <c r="I113" s="675"/>
      <c r="J113" s="635"/>
      <c r="K113" s="691"/>
      <c r="L113" s="705"/>
      <c r="M113" s="685"/>
      <c r="N113" s="796" t="s">
        <v>344</v>
      </c>
      <c r="O113" s="685"/>
      <c r="P113" s="795"/>
      <c r="Q113" s="769"/>
      <c r="R113" s="708"/>
      <c r="S113" s="696"/>
      <c r="T113" s="696"/>
      <c r="U113" s="697"/>
      <c r="V113" s="709"/>
      <c r="W113" s="709"/>
      <c r="X113" s="783"/>
      <c r="Y113" s="685"/>
      <c r="Z113" s="796" t="s">
        <v>344</v>
      </c>
      <c r="AA113" s="685"/>
      <c r="AB113" s="687"/>
      <c r="AC113" s="687"/>
      <c r="AD113" s="687"/>
      <c r="AE113" s="565"/>
      <c r="AF113" s="566"/>
      <c r="AG113" s="567"/>
      <c r="AH113" s="568"/>
      <c r="AI113" s="566"/>
      <c r="AJ113" s="567"/>
      <c r="AK113" s="568"/>
      <c r="AL113" s="566"/>
      <c r="AM113" s="567"/>
      <c r="AN113" s="568"/>
      <c r="AO113" s="566"/>
      <c r="AP113" s="567"/>
      <c r="AQ113" s="568"/>
      <c r="AR113" s="566"/>
      <c r="AS113" s="567"/>
      <c r="AT113" s="568"/>
      <c r="AU113" s="566"/>
      <c r="AV113" s="567"/>
      <c r="AW113" s="568"/>
      <c r="AX113" s="566"/>
      <c r="AY113" s="567"/>
      <c r="AZ113" s="568"/>
      <c r="BA113" s="566"/>
      <c r="BB113" s="567"/>
      <c r="BC113" s="568"/>
      <c r="BD113" s="566"/>
      <c r="BE113" s="567"/>
      <c r="BF113" s="568"/>
      <c r="BG113" s="566"/>
      <c r="BH113" s="567"/>
      <c r="BI113" s="568"/>
      <c r="BJ113" s="566"/>
      <c r="BK113" s="567"/>
      <c r="BL113" s="568"/>
      <c r="BM113" s="567"/>
      <c r="BN113" s="567"/>
      <c r="BO113" s="567"/>
      <c r="BP113" s="568"/>
      <c r="BQ113" s="566"/>
      <c r="BR113" s="567"/>
      <c r="BS113" s="568"/>
      <c r="BT113" s="567"/>
      <c r="BU113" s="567"/>
      <c r="BV113" s="568"/>
      <c r="BW113" s="567"/>
      <c r="BX113" s="2807"/>
      <c r="BY113" s="568"/>
      <c r="BZ113" s="566"/>
      <c r="CA113" s="567"/>
    </row>
    <row r="114" spans="1:79" ht="14.85" customHeight="1" x14ac:dyDescent="0.4">
      <c r="A114" s="249"/>
      <c r="B114" s="249"/>
      <c r="C114" s="584">
        <v>0.36805555555555503</v>
      </c>
      <c r="D114" s="587"/>
      <c r="E114" s="772"/>
      <c r="F114" s="688"/>
      <c r="G114" s="588"/>
      <c r="H114" s="594"/>
      <c r="I114" s="675"/>
      <c r="J114" s="797"/>
      <c r="K114" s="798"/>
      <c r="L114" s="754"/>
      <c r="M114" s="685"/>
      <c r="N114" s="745"/>
      <c r="O114" s="685"/>
      <c r="P114" s="799"/>
      <c r="Q114" s="800"/>
      <c r="R114" s="757"/>
      <c r="S114" s="696"/>
      <c r="T114" s="696"/>
      <c r="U114" s="697"/>
      <c r="V114" s="709"/>
      <c r="W114" s="709"/>
      <c r="X114" s="684"/>
      <c r="Y114" s="685"/>
      <c r="Z114" s="745"/>
      <c r="AA114" s="685"/>
      <c r="AB114" s="687"/>
      <c r="AC114" s="687"/>
      <c r="AD114" s="687"/>
      <c r="AE114" s="565"/>
      <c r="AF114" s="566"/>
      <c r="AG114" s="567"/>
      <c r="AH114" s="568"/>
      <c r="AI114" s="566"/>
      <c r="AJ114" s="567"/>
      <c r="AK114" s="568"/>
      <c r="AL114" s="566"/>
      <c r="AM114" s="567"/>
      <c r="AN114" s="568"/>
      <c r="AO114" s="566"/>
      <c r="AP114" s="567"/>
      <c r="AQ114" s="568"/>
      <c r="AR114" s="566"/>
      <c r="AS114" s="567"/>
      <c r="AT114" s="568"/>
      <c r="AU114" s="566"/>
      <c r="AV114" s="567"/>
      <c r="AW114" s="568"/>
      <c r="AX114" s="566"/>
      <c r="AY114" s="567"/>
      <c r="AZ114" s="568"/>
      <c r="BA114" s="566"/>
      <c r="BB114" s="567"/>
      <c r="BC114" s="568"/>
      <c r="BD114" s="566"/>
      <c r="BE114" s="567"/>
      <c r="BF114" s="568"/>
      <c r="BG114" s="566"/>
      <c r="BH114" s="567"/>
      <c r="BI114" s="568"/>
      <c r="BJ114" s="566"/>
      <c r="BK114" s="567"/>
      <c r="BL114" s="568"/>
      <c r="BM114" s="567"/>
      <c r="BN114" s="567"/>
      <c r="BO114" s="567"/>
      <c r="BP114" s="568"/>
      <c r="BQ114" s="566"/>
      <c r="BR114" s="567"/>
      <c r="BS114" s="568"/>
      <c r="BT114" s="567"/>
      <c r="BU114" s="567"/>
      <c r="BV114" s="568"/>
      <c r="BW114" s="801"/>
      <c r="BX114" s="2807"/>
      <c r="BY114" s="568"/>
      <c r="BZ114" s="566"/>
      <c r="CA114" s="567"/>
    </row>
    <row r="115" spans="1:79" ht="14.85" customHeight="1" x14ac:dyDescent="0.4">
      <c r="A115" s="249"/>
      <c r="B115" s="249"/>
      <c r="C115" s="802">
        <v>0.37152777777777701</v>
      </c>
      <c r="D115" s="803"/>
      <c r="E115" s="747"/>
      <c r="F115" s="804"/>
      <c r="G115" s="805"/>
      <c r="H115" s="806"/>
      <c r="I115" s="807"/>
      <c r="J115" s="808"/>
      <c r="K115" s="809"/>
      <c r="L115" s="810"/>
      <c r="M115" s="685"/>
      <c r="N115" s="745"/>
      <c r="O115" s="685"/>
      <c r="P115" s="811"/>
      <c r="Q115" s="812"/>
      <c r="R115" s="813"/>
      <c r="S115" s="696"/>
      <c r="T115" s="696"/>
      <c r="U115" s="697"/>
      <c r="V115" s="709"/>
      <c r="W115" s="814"/>
      <c r="X115" s="684"/>
      <c r="Y115" s="685"/>
      <c r="Z115" s="745"/>
      <c r="AA115" s="685"/>
      <c r="AB115" s="687"/>
      <c r="AC115" s="687"/>
      <c r="AD115" s="687"/>
      <c r="AE115" s="815"/>
      <c r="AF115" s="816"/>
      <c r="AG115" s="801"/>
      <c r="AH115" s="815"/>
      <c r="AI115" s="816"/>
      <c r="AJ115" s="801"/>
      <c r="AK115" s="815"/>
      <c r="AL115" s="816"/>
      <c r="AM115" s="801"/>
      <c r="AN115" s="815"/>
      <c r="AO115" s="816"/>
      <c r="AP115" s="801"/>
      <c r="AQ115" s="815"/>
      <c r="AR115" s="816"/>
      <c r="AS115" s="801"/>
      <c r="AT115" s="815"/>
      <c r="AU115" s="816"/>
      <c r="AV115" s="801"/>
      <c r="AW115" s="815"/>
      <c r="AX115" s="816"/>
      <c r="AY115" s="801"/>
      <c r="AZ115" s="815"/>
      <c r="BA115" s="816"/>
      <c r="BB115" s="801"/>
      <c r="BC115" s="815"/>
      <c r="BD115" s="816"/>
      <c r="BE115" s="801"/>
      <c r="BF115" s="801"/>
      <c r="BG115" s="817"/>
      <c r="BH115" s="768"/>
      <c r="BI115" s="801"/>
      <c r="BJ115" s="817"/>
      <c r="BK115" s="768"/>
      <c r="BL115" s="815"/>
      <c r="BM115" s="801"/>
      <c r="BN115" s="801"/>
      <c r="BO115" s="801"/>
      <c r="BP115" s="815"/>
      <c r="BQ115" s="816"/>
      <c r="BR115" s="801"/>
      <c r="BS115" s="815"/>
      <c r="BT115" s="801"/>
      <c r="BU115" s="801"/>
      <c r="BV115" s="815"/>
      <c r="BW115" s="567"/>
      <c r="BX115" s="2572"/>
      <c r="BY115" s="815"/>
      <c r="BZ115" s="816"/>
      <c r="CA115" s="801"/>
    </row>
    <row r="116" spans="1:79" ht="18.75" customHeight="1" x14ac:dyDescent="0.4">
      <c r="A116" s="249"/>
      <c r="B116" s="249"/>
      <c r="C116" s="578">
        <v>0.375</v>
      </c>
      <c r="D116" s="589"/>
      <c r="E116" s="818" t="s">
        <v>271</v>
      </c>
      <c r="F116" s="688"/>
      <c r="G116" s="590"/>
      <c r="H116" s="819" t="s">
        <v>271</v>
      </c>
      <c r="I116" s="742"/>
      <c r="J116" s="635"/>
      <c r="K116" s="820"/>
      <c r="L116" s="781"/>
      <c r="M116" s="827"/>
      <c r="N116" s="828" t="s">
        <v>330</v>
      </c>
      <c r="O116" s="827"/>
      <c r="P116" s="778"/>
      <c r="Q116" s="821" t="s">
        <v>345</v>
      </c>
      <c r="R116" s="822"/>
      <c r="S116" s="823"/>
      <c r="T116" s="823" t="s">
        <v>331</v>
      </c>
      <c r="U116" s="824"/>
      <c r="V116" s="825"/>
      <c r="W116" s="709" t="s">
        <v>332</v>
      </c>
      <c r="X116" s="826"/>
      <c r="Y116" s="827"/>
      <c r="Z116" s="828" t="s">
        <v>330</v>
      </c>
      <c r="AA116" s="827"/>
      <c r="AB116" s="829"/>
      <c r="AC116" s="829"/>
      <c r="AD116" s="829"/>
      <c r="AE116" s="568"/>
      <c r="AF116" s="566"/>
      <c r="AG116" s="567"/>
      <c r="AH116" s="568"/>
      <c r="AI116" s="566"/>
      <c r="AJ116" s="567"/>
      <c r="AK116" s="568"/>
      <c r="AL116" s="566"/>
      <c r="AM116" s="567"/>
      <c r="AN116" s="568"/>
      <c r="AO116" s="566"/>
      <c r="AP116" s="567"/>
      <c r="AQ116" s="568"/>
      <c r="AR116" s="566"/>
      <c r="AS116" s="567"/>
      <c r="AT116" s="568"/>
      <c r="AU116" s="566"/>
      <c r="AV116" s="567"/>
      <c r="AW116" s="568"/>
      <c r="AX116" s="566"/>
      <c r="AY116" s="567"/>
      <c r="AZ116" s="568"/>
      <c r="BA116" s="566"/>
      <c r="BB116" s="567"/>
      <c r="BC116" s="568"/>
      <c r="BD116" s="566"/>
      <c r="BE116" s="567"/>
      <c r="BF116" s="567"/>
      <c r="BG116" s="830"/>
      <c r="BH116" s="567"/>
      <c r="BI116" s="567"/>
      <c r="BJ116" s="830"/>
      <c r="BK116" s="567"/>
      <c r="BL116" s="568"/>
      <c r="BM116" s="567"/>
      <c r="BN116" s="567"/>
      <c r="BO116" s="567"/>
      <c r="BP116" s="568"/>
      <c r="BQ116" s="566"/>
      <c r="BR116" s="567"/>
      <c r="BS116" s="568"/>
      <c r="BT116" s="567"/>
      <c r="BU116" s="567"/>
      <c r="BV116" s="568"/>
      <c r="BW116" s="567"/>
      <c r="BX116" s="2807"/>
      <c r="BY116" s="568"/>
      <c r="BZ116" s="566"/>
      <c r="CA116" s="567"/>
    </row>
    <row r="117" spans="1:79" ht="18.75" customHeight="1" x14ac:dyDescent="0.4">
      <c r="A117" s="249"/>
      <c r="B117" s="249"/>
      <c r="C117" s="584" t="s">
        <v>307</v>
      </c>
      <c r="D117" s="631"/>
      <c r="E117" s="614" t="s">
        <v>310</v>
      </c>
      <c r="F117" s="632"/>
      <c r="G117" s="633"/>
      <c r="H117" s="612" t="s">
        <v>310</v>
      </c>
      <c r="I117" s="634"/>
      <c r="J117" s="635"/>
      <c r="K117" s="831"/>
      <c r="L117" s="754"/>
      <c r="M117" s="685"/>
      <c r="N117" s="745" t="s">
        <v>333</v>
      </c>
      <c r="O117" s="685"/>
      <c r="P117" s="778"/>
      <c r="Q117" s="832" t="s">
        <v>346</v>
      </c>
      <c r="R117" s="833"/>
      <c r="S117" s="696"/>
      <c r="T117" s="696" t="s">
        <v>334</v>
      </c>
      <c r="U117" s="697"/>
      <c r="V117" s="683"/>
      <c r="W117" s="709" t="s">
        <v>335</v>
      </c>
      <c r="X117" s="684"/>
      <c r="Y117" s="685"/>
      <c r="Z117" s="745" t="s">
        <v>333</v>
      </c>
      <c r="AA117" s="685"/>
      <c r="AB117" s="687"/>
      <c r="AC117" s="784"/>
      <c r="AD117" s="687"/>
      <c r="AE117" s="568"/>
      <c r="AF117" s="566"/>
      <c r="AG117" s="567"/>
      <c r="AH117" s="568"/>
      <c r="AI117" s="566"/>
      <c r="AJ117" s="567"/>
      <c r="AK117" s="568"/>
      <c r="AL117" s="566"/>
      <c r="AM117" s="567"/>
      <c r="AN117" s="568"/>
      <c r="AO117" s="566"/>
      <c r="AP117" s="567"/>
      <c r="AQ117" s="568"/>
      <c r="AR117" s="566"/>
      <c r="AS117" s="567"/>
      <c r="AT117" s="568"/>
      <c r="AU117" s="566"/>
      <c r="AV117" s="567"/>
      <c r="AW117" s="568"/>
      <c r="AX117" s="566"/>
      <c r="AY117" s="567"/>
      <c r="AZ117" s="568"/>
      <c r="BA117" s="566"/>
      <c r="BB117" s="567"/>
      <c r="BC117" s="568"/>
      <c r="BD117" s="566"/>
      <c r="BE117" s="567"/>
      <c r="BF117" s="567"/>
      <c r="BG117" s="830"/>
      <c r="BH117" s="567"/>
      <c r="BI117" s="567"/>
      <c r="BJ117" s="830"/>
      <c r="BK117" s="567"/>
      <c r="BL117" s="568"/>
      <c r="BM117" s="567"/>
      <c r="BN117" s="567"/>
      <c r="BO117" s="567"/>
      <c r="BP117" s="568"/>
      <c r="BQ117" s="566"/>
      <c r="BR117" s="567"/>
      <c r="BS117" s="568"/>
      <c r="BT117" s="567"/>
      <c r="BU117" s="567"/>
      <c r="BV117" s="568"/>
      <c r="BW117" s="567"/>
      <c r="BX117" s="2807"/>
      <c r="BY117" s="568"/>
      <c r="BZ117" s="566"/>
      <c r="CA117" s="567"/>
    </row>
    <row r="118" spans="1:79" ht="18.75" customHeight="1" x14ac:dyDescent="0.4">
      <c r="A118" s="249"/>
      <c r="B118" s="249"/>
      <c r="C118" s="584" t="s">
        <v>307</v>
      </c>
      <c r="D118" s="587"/>
      <c r="E118" s="688"/>
      <c r="F118" s="834"/>
      <c r="G118" s="588"/>
      <c r="H118" s="594"/>
      <c r="I118" s="775"/>
      <c r="J118" s="797"/>
      <c r="K118" s="691"/>
      <c r="L118" s="754"/>
      <c r="M118" s="685"/>
      <c r="N118" s="745"/>
      <c r="O118" s="685"/>
      <c r="P118" s="799"/>
      <c r="Q118" s="769" t="s">
        <v>334</v>
      </c>
      <c r="R118" s="757"/>
      <c r="S118" s="696"/>
      <c r="T118" s="696"/>
      <c r="U118" s="697"/>
      <c r="V118" s="683"/>
      <c r="W118" s="683"/>
      <c r="X118" s="684"/>
      <c r="Y118" s="685"/>
      <c r="Z118" s="745"/>
      <c r="AA118" s="685"/>
      <c r="AB118" s="687"/>
      <c r="AC118" s="687"/>
      <c r="AD118" s="687"/>
      <c r="AE118" s="568"/>
      <c r="AF118" s="566"/>
      <c r="AG118" s="567"/>
      <c r="AH118" s="568"/>
      <c r="AI118" s="566"/>
      <c r="AJ118" s="567"/>
      <c r="AK118" s="568"/>
      <c r="AL118" s="566"/>
      <c r="AM118" s="567"/>
      <c r="AN118" s="568"/>
      <c r="AO118" s="566"/>
      <c r="AP118" s="567"/>
      <c r="AQ118" s="568"/>
      <c r="AR118" s="566"/>
      <c r="AS118" s="567"/>
      <c r="AT118" s="568"/>
      <c r="AU118" s="566"/>
      <c r="AV118" s="567"/>
      <c r="AW118" s="568"/>
      <c r="AX118" s="566"/>
      <c r="AY118" s="567"/>
      <c r="AZ118" s="568"/>
      <c r="BA118" s="566"/>
      <c r="BB118" s="567"/>
      <c r="BC118" s="568"/>
      <c r="BD118" s="566"/>
      <c r="BE118" s="567"/>
      <c r="BF118" s="567"/>
      <c r="BG118" s="830"/>
      <c r="BH118" s="567"/>
      <c r="BI118" s="567"/>
      <c r="BJ118" s="830"/>
      <c r="BK118" s="567"/>
      <c r="BL118" s="568"/>
      <c r="BM118" s="567"/>
      <c r="BN118" s="567"/>
      <c r="BO118" s="567"/>
      <c r="BP118" s="568"/>
      <c r="BQ118" s="566"/>
      <c r="BR118" s="567"/>
      <c r="BS118" s="568"/>
      <c r="BT118" s="567"/>
      <c r="BU118" s="567"/>
      <c r="BV118" s="568"/>
      <c r="BW118" s="567"/>
      <c r="BX118" s="2807"/>
      <c r="BY118" s="568"/>
      <c r="BZ118" s="566"/>
      <c r="CA118" s="567"/>
    </row>
    <row r="119" spans="1:79" ht="18.75" customHeight="1" x14ac:dyDescent="0.4">
      <c r="A119" s="249"/>
      <c r="B119" s="249"/>
      <c r="C119" s="584"/>
      <c r="D119" s="673"/>
      <c r="E119" s="688"/>
      <c r="F119" s="688"/>
      <c r="G119" s="835"/>
      <c r="H119" s="594"/>
      <c r="I119" s="775"/>
      <c r="J119" s="797"/>
      <c r="K119" s="691"/>
      <c r="L119" s="754"/>
      <c r="M119" s="685"/>
      <c r="N119" s="745"/>
      <c r="O119" s="685"/>
      <c r="P119" s="799"/>
      <c r="Q119" s="769"/>
      <c r="R119" s="757"/>
      <c r="S119" s="696"/>
      <c r="T119" s="696"/>
      <c r="U119" s="697"/>
      <c r="V119" s="683"/>
      <c r="W119" s="683"/>
      <c r="X119" s="684"/>
      <c r="Y119" s="685"/>
      <c r="Z119" s="745"/>
      <c r="AA119" s="685"/>
      <c r="AB119" s="687"/>
      <c r="AC119" s="687"/>
      <c r="AD119" s="687"/>
      <c r="AE119" s="568"/>
      <c r="AF119" s="566"/>
      <c r="AG119" s="567"/>
      <c r="AH119" s="568"/>
      <c r="AI119" s="566"/>
      <c r="AJ119" s="567"/>
      <c r="AK119" s="568"/>
      <c r="AL119" s="566"/>
      <c r="AM119" s="567"/>
      <c r="AN119" s="568"/>
      <c r="AO119" s="566"/>
      <c r="AP119" s="567"/>
      <c r="AQ119" s="568"/>
      <c r="AR119" s="566"/>
      <c r="AS119" s="567"/>
      <c r="AT119" s="568"/>
      <c r="AU119" s="566"/>
      <c r="AV119" s="567"/>
      <c r="AW119" s="568"/>
      <c r="AX119" s="566"/>
      <c r="AY119" s="567"/>
      <c r="AZ119" s="568"/>
      <c r="BA119" s="566"/>
      <c r="BB119" s="567"/>
      <c r="BC119" s="568"/>
      <c r="BD119" s="566"/>
      <c r="BE119" s="567"/>
      <c r="BF119" s="567"/>
      <c r="BG119" s="830"/>
      <c r="BH119" s="567"/>
      <c r="BI119" s="567"/>
      <c r="BJ119" s="830"/>
      <c r="BK119" s="567"/>
      <c r="BL119" s="568"/>
      <c r="BM119" s="567"/>
      <c r="BN119" s="567"/>
      <c r="BO119" s="567"/>
      <c r="BP119" s="568"/>
      <c r="BQ119" s="566"/>
      <c r="BR119" s="567"/>
      <c r="BS119" s="568"/>
      <c r="BT119" s="567"/>
      <c r="BU119" s="567"/>
      <c r="BV119" s="568"/>
      <c r="BW119" s="567"/>
      <c r="BX119" s="2807"/>
      <c r="BY119" s="568"/>
      <c r="BZ119" s="566"/>
      <c r="CA119" s="567"/>
    </row>
    <row r="120" spans="1:79" ht="18.75" customHeight="1" x14ac:dyDescent="0.4">
      <c r="A120" s="249"/>
      <c r="B120" s="249"/>
      <c r="C120" s="584">
        <v>0.37847222222222199</v>
      </c>
      <c r="D120" s="836"/>
      <c r="E120" s="837" t="s">
        <v>347</v>
      </c>
      <c r="F120" s="838"/>
      <c r="G120" s="837"/>
      <c r="H120" s="837" t="s">
        <v>347</v>
      </c>
      <c r="I120" s="839"/>
      <c r="J120" s="837"/>
      <c r="K120" s="837" t="s">
        <v>347</v>
      </c>
      <c r="L120" s="839"/>
      <c r="M120" s="836"/>
      <c r="N120" s="840" t="s">
        <v>347</v>
      </c>
      <c r="O120" s="842"/>
      <c r="P120" s="836"/>
      <c r="Q120" s="840" t="s">
        <v>347</v>
      </c>
      <c r="R120" s="841"/>
      <c r="S120" s="679"/>
      <c r="T120" s="840" t="s">
        <v>347</v>
      </c>
      <c r="U120" s="839"/>
      <c r="V120" s="679"/>
      <c r="W120" s="840" t="s">
        <v>347</v>
      </c>
      <c r="X120" s="839"/>
      <c r="Y120" s="836"/>
      <c r="Z120" s="840" t="s">
        <v>347</v>
      </c>
      <c r="AA120" s="842"/>
      <c r="AB120" s="687"/>
      <c r="AC120" s="740"/>
      <c r="AD120" s="740"/>
      <c r="AE120" s="568"/>
      <c r="AF120" s="566"/>
      <c r="AG120" s="567"/>
      <c r="AH120" s="568"/>
      <c r="AI120" s="566"/>
      <c r="AJ120" s="567"/>
      <c r="AK120" s="568"/>
      <c r="AL120" s="566"/>
      <c r="AM120" s="567"/>
      <c r="AN120" s="568"/>
      <c r="AO120" s="566"/>
      <c r="AP120" s="567"/>
      <c r="AQ120" s="568"/>
      <c r="AR120" s="566"/>
      <c r="AS120" s="567"/>
      <c r="AT120" s="568"/>
      <c r="AU120" s="566"/>
      <c r="AV120" s="567"/>
      <c r="AW120" s="568"/>
      <c r="AX120" s="566"/>
      <c r="AY120" s="567"/>
      <c r="AZ120" s="568"/>
      <c r="BA120" s="566"/>
      <c r="BB120" s="567"/>
      <c r="BC120" s="568"/>
      <c r="BD120" s="566"/>
      <c r="BE120" s="567"/>
      <c r="BF120" s="567"/>
      <c r="BG120" s="843"/>
      <c r="BH120" s="759"/>
      <c r="BI120" s="567"/>
      <c r="BJ120" s="843"/>
      <c r="BK120" s="759"/>
      <c r="BL120" s="568"/>
      <c r="BM120" s="567"/>
      <c r="BN120" s="567"/>
      <c r="BO120" s="567"/>
      <c r="BP120" s="568"/>
      <c r="BQ120" s="566"/>
      <c r="BR120" s="567"/>
      <c r="BS120" s="568"/>
      <c r="BT120" s="567"/>
      <c r="BU120" s="567"/>
      <c r="BV120" s="568"/>
      <c r="BW120" s="567"/>
      <c r="BX120" s="2807"/>
      <c r="BY120" s="568"/>
      <c r="BZ120" s="566"/>
      <c r="CA120" s="567"/>
    </row>
    <row r="121" spans="1:79" ht="14.85" customHeight="1" x14ac:dyDescent="0.4">
      <c r="A121" s="249"/>
      <c r="B121" s="249"/>
      <c r="C121" s="584">
        <v>0.38194444444444398</v>
      </c>
      <c r="D121" s="844"/>
      <c r="E121" s="688"/>
      <c r="F121" s="845"/>
      <c r="G121" s="846"/>
      <c r="H121" s="594"/>
      <c r="I121" s="847"/>
      <c r="J121" s="582"/>
      <c r="K121" s="848"/>
      <c r="L121" s="849"/>
      <c r="M121" s="685"/>
      <c r="N121" s="745"/>
      <c r="O121" s="685"/>
      <c r="P121" s="850"/>
      <c r="Q121" s="851"/>
      <c r="R121" s="852"/>
      <c r="S121" s="696"/>
      <c r="T121" s="696"/>
      <c r="U121" s="697"/>
      <c r="V121" s="709"/>
      <c r="W121" s="709"/>
      <c r="X121" s="783"/>
      <c r="Y121" s="685"/>
      <c r="Z121" s="745"/>
      <c r="AA121" s="685"/>
      <c r="AB121" s="687"/>
      <c r="AC121" s="687"/>
      <c r="AD121" s="687"/>
      <c r="AE121" s="568"/>
      <c r="AF121" s="566"/>
      <c r="AG121" s="567"/>
      <c r="AH121" s="568"/>
      <c r="AI121" s="566"/>
      <c r="AJ121" s="567"/>
      <c r="AK121" s="568"/>
      <c r="AL121" s="566"/>
      <c r="AM121" s="567"/>
      <c r="AN121" s="568"/>
      <c r="AO121" s="566"/>
      <c r="AP121" s="567"/>
      <c r="AQ121" s="568"/>
      <c r="AR121" s="566"/>
      <c r="AS121" s="567"/>
      <c r="AT121" s="568"/>
      <c r="AU121" s="566"/>
      <c r="AV121" s="567"/>
      <c r="AW121" s="568"/>
      <c r="AX121" s="566"/>
      <c r="AY121" s="567"/>
      <c r="AZ121" s="568"/>
      <c r="BA121" s="566"/>
      <c r="BB121" s="567"/>
      <c r="BC121" s="568"/>
      <c r="BD121" s="566"/>
      <c r="BE121" s="567"/>
      <c r="BF121" s="567"/>
      <c r="BG121" s="853"/>
      <c r="BH121" s="768"/>
      <c r="BI121" s="567"/>
      <c r="BJ121" s="853"/>
      <c r="BK121" s="768"/>
      <c r="BL121" s="568"/>
      <c r="BM121" s="567"/>
      <c r="BN121" s="567"/>
      <c r="BO121" s="567"/>
      <c r="BP121" s="568"/>
      <c r="BQ121" s="566"/>
      <c r="BR121" s="567"/>
      <c r="BS121" s="568"/>
      <c r="BT121" s="567"/>
      <c r="BU121" s="567"/>
      <c r="BV121" s="568"/>
      <c r="BW121" s="567"/>
      <c r="BX121" s="2807"/>
      <c r="BY121" s="568"/>
      <c r="BZ121" s="566"/>
      <c r="CA121" s="567"/>
    </row>
    <row r="122" spans="1:79" ht="18.75" customHeight="1" x14ac:dyDescent="0.4">
      <c r="A122" s="249"/>
      <c r="B122" s="249"/>
      <c r="C122" s="584">
        <v>0.38541666666666602</v>
      </c>
      <c r="D122" s="589"/>
      <c r="E122" s="614"/>
      <c r="F122" s="688"/>
      <c r="G122" s="590"/>
      <c r="H122" s="901"/>
      <c r="I122" s="742"/>
      <c r="J122" s="743"/>
      <c r="K122" s="2569"/>
      <c r="L122" s="705"/>
      <c r="M122" s="685"/>
      <c r="N122" s="745" t="s">
        <v>333</v>
      </c>
      <c r="O122" s="685"/>
      <c r="P122" s="744"/>
      <c r="Q122" s="769" t="s">
        <v>334</v>
      </c>
      <c r="R122" s="708"/>
      <c r="S122" s="696"/>
      <c r="T122" s="696" t="s">
        <v>348</v>
      </c>
      <c r="U122" s="697"/>
      <c r="V122" s="709"/>
      <c r="W122" s="709" t="s">
        <v>332</v>
      </c>
      <c r="X122" s="783"/>
      <c r="Y122" s="685"/>
      <c r="Z122" s="745" t="s">
        <v>333</v>
      </c>
      <c r="AA122" s="685"/>
      <c r="AB122" s="687"/>
      <c r="AC122" s="687"/>
      <c r="AD122" s="687"/>
      <c r="AE122" s="568"/>
      <c r="AF122" s="566"/>
      <c r="AG122" s="567"/>
      <c r="AH122" s="568"/>
      <c r="AI122" s="566"/>
      <c r="AJ122" s="567"/>
      <c r="AK122" s="568"/>
      <c r="AL122" s="566"/>
      <c r="AM122" s="567"/>
      <c r="AN122" s="568"/>
      <c r="AO122" s="566"/>
      <c r="AP122" s="567"/>
      <c r="AQ122" s="568"/>
      <c r="AR122" s="566"/>
      <c r="AS122" s="567"/>
      <c r="AT122" s="568"/>
      <c r="AU122" s="566"/>
      <c r="AV122" s="567"/>
      <c r="AW122" s="568"/>
      <c r="AX122" s="566"/>
      <c r="AY122" s="567"/>
      <c r="AZ122" s="568"/>
      <c r="BA122" s="566"/>
      <c r="BB122" s="567"/>
      <c r="BC122" s="568"/>
      <c r="BD122" s="566"/>
      <c r="BE122" s="567"/>
      <c r="BF122" s="568"/>
      <c r="BG122" s="854"/>
      <c r="BH122" s="567"/>
      <c r="BI122" s="568"/>
      <c r="BJ122" s="854"/>
      <c r="BK122" s="567"/>
      <c r="BL122" s="568"/>
      <c r="BM122" s="567"/>
      <c r="BN122" s="567"/>
      <c r="BO122" s="567"/>
      <c r="BP122" s="568"/>
      <c r="BQ122" s="566"/>
      <c r="BR122" s="567"/>
      <c r="BS122" s="568"/>
      <c r="BT122" s="567"/>
      <c r="BU122" s="567"/>
      <c r="BV122" s="568"/>
      <c r="BW122" s="567"/>
      <c r="BX122" s="2807"/>
      <c r="BY122" s="568"/>
      <c r="BZ122" s="566"/>
      <c r="CA122" s="567"/>
    </row>
    <row r="123" spans="1:79" ht="20.100000000000001" customHeight="1" x14ac:dyDescent="0.4">
      <c r="A123" s="249"/>
      <c r="B123" s="249"/>
      <c r="C123" s="584" t="s">
        <v>307</v>
      </c>
      <c r="D123" s="746"/>
      <c r="E123" s="747"/>
      <c r="F123" s="747"/>
      <c r="G123" s="748"/>
      <c r="H123" s="594"/>
      <c r="I123" s="775"/>
      <c r="J123" s="635"/>
      <c r="K123" s="2569"/>
      <c r="L123" s="705"/>
      <c r="M123" s="685"/>
      <c r="N123" s="793" t="s">
        <v>336</v>
      </c>
      <c r="O123" s="685"/>
      <c r="P123" s="795"/>
      <c r="Q123" s="769"/>
      <c r="R123" s="708"/>
      <c r="S123" s="696"/>
      <c r="T123" s="696" t="s">
        <v>334</v>
      </c>
      <c r="U123" s="697"/>
      <c r="V123" s="683"/>
      <c r="W123" s="709" t="s">
        <v>335</v>
      </c>
      <c r="X123" s="783"/>
      <c r="Y123" s="685"/>
      <c r="Z123" s="793" t="s">
        <v>336</v>
      </c>
      <c r="AA123" s="685"/>
      <c r="AB123" s="794"/>
      <c r="AC123" s="687"/>
      <c r="AD123" s="794"/>
      <c r="AE123" s="568"/>
      <c r="AF123" s="566"/>
      <c r="AG123" s="567"/>
      <c r="AH123" s="568"/>
      <c r="AI123" s="566"/>
      <c r="AJ123" s="567"/>
      <c r="AK123" s="568"/>
      <c r="AL123" s="566"/>
      <c r="AM123" s="567"/>
      <c r="AN123" s="568"/>
      <c r="AO123" s="566"/>
      <c r="AP123" s="567"/>
      <c r="AQ123" s="568"/>
      <c r="AR123" s="566"/>
      <c r="AS123" s="567"/>
      <c r="AT123" s="568"/>
      <c r="AU123" s="566"/>
      <c r="AV123" s="567"/>
      <c r="AW123" s="568"/>
      <c r="AX123" s="566"/>
      <c r="AY123" s="567"/>
      <c r="AZ123" s="568"/>
      <c r="BA123" s="566"/>
      <c r="BB123" s="567"/>
      <c r="BC123" s="568"/>
      <c r="BD123" s="566"/>
      <c r="BE123" s="567"/>
      <c r="BF123" s="568"/>
      <c r="BG123" s="854"/>
      <c r="BH123" s="567"/>
      <c r="BI123" s="568"/>
      <c r="BJ123" s="854"/>
      <c r="BK123" s="567"/>
      <c r="BL123" s="568"/>
      <c r="BM123" s="567"/>
      <c r="BN123" s="567"/>
      <c r="BO123" s="567"/>
      <c r="BP123" s="568"/>
      <c r="BQ123" s="566"/>
      <c r="BR123" s="567"/>
      <c r="BS123" s="568"/>
      <c r="BT123" s="567"/>
      <c r="BU123" s="567"/>
      <c r="BV123" s="568"/>
      <c r="BW123" s="567"/>
      <c r="BX123" s="2807"/>
      <c r="BY123" s="568"/>
      <c r="BZ123" s="566"/>
      <c r="CA123" s="567"/>
    </row>
    <row r="124" spans="1:79" ht="20.100000000000001" customHeight="1" x14ac:dyDescent="0.4">
      <c r="A124" s="249"/>
      <c r="B124" s="249"/>
      <c r="C124" s="584"/>
      <c r="D124" s="673"/>
      <c r="E124" s="688"/>
      <c r="F124" s="689"/>
      <c r="G124" s="835"/>
      <c r="H124" s="594"/>
      <c r="I124" s="775"/>
      <c r="J124" s="797"/>
      <c r="K124" s="2569"/>
      <c r="L124" s="754"/>
      <c r="M124" s="685"/>
      <c r="N124" s="745"/>
      <c r="O124" s="685"/>
      <c r="P124" s="799"/>
      <c r="Q124" s="707"/>
      <c r="R124" s="757"/>
      <c r="S124" s="696"/>
      <c r="T124" s="696"/>
      <c r="U124" s="697"/>
      <c r="V124" s="683"/>
      <c r="W124" s="709"/>
      <c r="X124" s="684"/>
      <c r="Y124" s="685"/>
      <c r="Z124" s="745"/>
      <c r="AA124" s="685"/>
      <c r="AB124" s="794"/>
      <c r="AC124" s="794"/>
      <c r="AD124" s="794"/>
      <c r="AE124" s="568"/>
      <c r="AF124" s="566"/>
      <c r="AG124" s="567"/>
      <c r="AH124" s="568"/>
      <c r="AI124" s="566"/>
      <c r="AJ124" s="567"/>
      <c r="AK124" s="568"/>
      <c r="AL124" s="566"/>
      <c r="AM124" s="567"/>
      <c r="AN124" s="568"/>
      <c r="AO124" s="566"/>
      <c r="AP124" s="567"/>
      <c r="AQ124" s="568"/>
      <c r="AR124" s="566"/>
      <c r="AS124" s="567"/>
      <c r="AT124" s="568"/>
      <c r="AU124" s="566"/>
      <c r="AV124" s="567"/>
      <c r="AW124" s="568"/>
      <c r="AX124" s="566"/>
      <c r="AY124" s="567"/>
      <c r="AZ124" s="568"/>
      <c r="BA124" s="566"/>
      <c r="BB124" s="567"/>
      <c r="BC124" s="568"/>
      <c r="BD124" s="566"/>
      <c r="BE124" s="567"/>
      <c r="BF124" s="568"/>
      <c r="BG124" s="854"/>
      <c r="BH124" s="567"/>
      <c r="BI124" s="568"/>
      <c r="BJ124" s="854"/>
      <c r="BK124" s="567"/>
      <c r="BL124" s="568"/>
      <c r="BM124" s="567"/>
      <c r="BN124" s="567"/>
      <c r="BO124" s="567"/>
      <c r="BP124" s="568"/>
      <c r="BQ124" s="566"/>
      <c r="BR124" s="567"/>
      <c r="BS124" s="568"/>
      <c r="BT124" s="567"/>
      <c r="BU124" s="567"/>
      <c r="BV124" s="568"/>
      <c r="BW124" s="567"/>
      <c r="BX124" s="2807"/>
      <c r="BY124" s="568"/>
      <c r="BZ124" s="566"/>
      <c r="CA124" s="567"/>
    </row>
    <row r="125" spans="1:79" ht="14.85" customHeight="1" x14ac:dyDescent="0.4">
      <c r="A125" s="249"/>
      <c r="B125" s="249"/>
      <c r="C125" s="584">
        <v>0.38888888888888901</v>
      </c>
      <c r="D125" s="673"/>
      <c r="E125" s="688"/>
      <c r="F125" s="689"/>
      <c r="G125" s="835"/>
      <c r="H125" s="911"/>
      <c r="I125" s="775"/>
      <c r="J125" s="797"/>
      <c r="K125" s="2570"/>
      <c r="L125" s="754"/>
      <c r="M125" s="685"/>
      <c r="N125" s="745"/>
      <c r="O125" s="685"/>
      <c r="P125" s="799"/>
      <c r="Q125" s="800"/>
      <c r="R125" s="757"/>
      <c r="S125" s="696"/>
      <c r="T125" s="696"/>
      <c r="U125" s="697"/>
      <c r="V125" s="709"/>
      <c r="W125" s="709"/>
      <c r="X125" s="684"/>
      <c r="Y125" s="685"/>
      <c r="Z125" s="745"/>
      <c r="AA125" s="685"/>
      <c r="AB125" s="687"/>
      <c r="AC125" s="687"/>
      <c r="AD125" s="687"/>
      <c r="AE125" s="568"/>
      <c r="AF125" s="566"/>
      <c r="AG125" s="567"/>
      <c r="AH125" s="568"/>
      <c r="AI125" s="566"/>
      <c r="AJ125" s="567"/>
      <c r="AK125" s="568"/>
      <c r="AL125" s="566"/>
      <c r="AM125" s="567"/>
      <c r="AN125" s="568"/>
      <c r="AO125" s="566"/>
      <c r="AP125" s="567"/>
      <c r="AQ125" s="568"/>
      <c r="AR125" s="566"/>
      <c r="AS125" s="567"/>
      <c r="AT125" s="568"/>
      <c r="AU125" s="566"/>
      <c r="AV125" s="567"/>
      <c r="AW125" s="568"/>
      <c r="AX125" s="566"/>
      <c r="AY125" s="567"/>
      <c r="AZ125" s="568"/>
      <c r="BA125" s="566"/>
      <c r="BB125" s="567"/>
      <c r="BC125" s="568"/>
      <c r="BD125" s="566"/>
      <c r="BE125" s="567"/>
      <c r="BF125" s="776"/>
      <c r="BG125" s="855"/>
      <c r="BH125" s="759"/>
      <c r="BI125" s="776"/>
      <c r="BJ125" s="855"/>
      <c r="BK125" s="759"/>
      <c r="BL125" s="568"/>
      <c r="BM125" s="567"/>
      <c r="BN125" s="567"/>
      <c r="BO125" s="567"/>
      <c r="BP125" s="568"/>
      <c r="BQ125" s="566"/>
      <c r="BR125" s="567"/>
      <c r="BS125" s="568"/>
      <c r="BT125" s="567"/>
      <c r="BU125" s="567"/>
      <c r="BV125" s="568"/>
      <c r="BW125" s="567"/>
      <c r="BX125" s="2807"/>
      <c r="BY125" s="568"/>
      <c r="BZ125" s="566"/>
      <c r="CA125" s="567"/>
    </row>
    <row r="126" spans="1:79" ht="14.85" customHeight="1" x14ac:dyDescent="0.4">
      <c r="A126" s="249"/>
      <c r="B126" s="249"/>
      <c r="C126" s="584">
        <v>0.39236111111111099</v>
      </c>
      <c r="D126" s="587"/>
      <c r="E126" s="587"/>
      <c r="F126" s="688"/>
      <c r="G126" s="588"/>
      <c r="H126" s="911"/>
      <c r="I126" s="675"/>
      <c r="J126" s="635"/>
      <c r="K126" s="2569"/>
      <c r="L126" s="789"/>
      <c r="M126" s="685"/>
      <c r="N126" s="745"/>
      <c r="O126" s="685"/>
      <c r="P126" s="795"/>
      <c r="Q126" s="769"/>
      <c r="R126" s="790"/>
      <c r="S126" s="696"/>
      <c r="T126" s="696"/>
      <c r="U126" s="697"/>
      <c r="V126" s="709"/>
      <c r="W126" s="709"/>
      <c r="X126" s="684"/>
      <c r="Y126" s="685"/>
      <c r="Z126" s="745"/>
      <c r="AA126" s="685"/>
      <c r="AB126" s="687"/>
      <c r="AC126" s="687"/>
      <c r="AD126" s="687"/>
      <c r="AE126" s="568"/>
      <c r="AF126" s="566"/>
      <c r="AG126" s="567"/>
      <c r="AH126" s="568"/>
      <c r="AI126" s="566"/>
      <c r="AJ126" s="567"/>
      <c r="AK126" s="568"/>
      <c r="AL126" s="566"/>
      <c r="AM126" s="567"/>
      <c r="AN126" s="568"/>
      <c r="AO126" s="566"/>
      <c r="AP126" s="567"/>
      <c r="AQ126" s="568"/>
      <c r="AR126" s="566"/>
      <c r="AS126" s="567"/>
      <c r="AT126" s="568"/>
      <c r="AU126" s="566"/>
      <c r="AV126" s="567"/>
      <c r="AW126" s="568"/>
      <c r="AX126" s="566"/>
      <c r="AY126" s="567"/>
      <c r="AZ126" s="568"/>
      <c r="BA126" s="566"/>
      <c r="BB126" s="567"/>
      <c r="BC126" s="568"/>
      <c r="BD126" s="566"/>
      <c r="BE126" s="567"/>
      <c r="BF126" s="776"/>
      <c r="BG126" s="855"/>
      <c r="BH126" s="759"/>
      <c r="BI126" s="776"/>
      <c r="BJ126" s="855"/>
      <c r="BK126" s="759"/>
      <c r="BL126" s="568"/>
      <c r="BM126" s="567"/>
      <c r="BN126" s="567"/>
      <c r="BO126" s="567"/>
      <c r="BP126" s="568"/>
      <c r="BQ126" s="566"/>
      <c r="BR126" s="567"/>
      <c r="BS126" s="568"/>
      <c r="BT126" s="567"/>
      <c r="BU126" s="567"/>
      <c r="BV126" s="568"/>
      <c r="BW126" s="567"/>
      <c r="BX126" s="2807"/>
      <c r="BY126" s="568"/>
      <c r="BZ126" s="566"/>
      <c r="CA126" s="567"/>
    </row>
    <row r="127" spans="1:79" ht="18.75" customHeight="1" x14ac:dyDescent="0.4">
      <c r="A127" s="249"/>
      <c r="B127" s="249"/>
      <c r="C127" s="584">
        <v>0.39583333333333298</v>
      </c>
      <c r="D127" s="589"/>
      <c r="E127" s="688" t="s">
        <v>271</v>
      </c>
      <c r="F127" s="688"/>
      <c r="G127" s="590"/>
      <c r="H127" s="599"/>
      <c r="I127" s="742"/>
      <c r="J127" s="743"/>
      <c r="K127" s="2569"/>
      <c r="L127" s="705"/>
      <c r="M127" s="685"/>
      <c r="N127" s="1048"/>
      <c r="O127" s="791"/>
      <c r="P127" s="744"/>
      <c r="Q127" s="860" t="s">
        <v>349</v>
      </c>
      <c r="R127" s="708"/>
      <c r="S127" s="696"/>
      <c r="T127" s="696" t="s">
        <v>348</v>
      </c>
      <c r="U127" s="697"/>
      <c r="V127" s="709"/>
      <c r="W127" s="709" t="s">
        <v>332</v>
      </c>
      <c r="X127" s="684"/>
      <c r="Y127" s="685"/>
      <c r="Z127" s="745" t="s">
        <v>330</v>
      </c>
      <c r="AA127" s="791"/>
      <c r="AB127" s="687"/>
      <c r="AC127" s="687"/>
      <c r="AD127" s="687"/>
      <c r="AE127" s="568"/>
      <c r="AF127" s="566"/>
      <c r="AG127" s="567"/>
      <c r="AH127" s="568"/>
      <c r="AI127" s="566"/>
      <c r="AJ127" s="567"/>
      <c r="AK127" s="568"/>
      <c r="AL127" s="566"/>
      <c r="AM127" s="567"/>
      <c r="AN127" s="568"/>
      <c r="AO127" s="566"/>
      <c r="AP127" s="567"/>
      <c r="AQ127" s="568"/>
      <c r="AR127" s="566"/>
      <c r="AS127" s="567"/>
      <c r="AT127" s="568"/>
      <c r="AU127" s="566"/>
      <c r="AV127" s="567"/>
      <c r="AW127" s="568"/>
      <c r="AX127" s="566"/>
      <c r="AY127" s="567"/>
      <c r="AZ127" s="568"/>
      <c r="BA127" s="566"/>
      <c r="BB127" s="567"/>
      <c r="BC127" s="568"/>
      <c r="BD127" s="566"/>
      <c r="BE127" s="567"/>
      <c r="BF127" s="567"/>
      <c r="BG127" s="856"/>
      <c r="BH127" s="786"/>
      <c r="BI127" s="567"/>
      <c r="BJ127" s="856"/>
      <c r="BK127" s="786"/>
      <c r="BL127" s="568"/>
      <c r="BM127" s="567"/>
      <c r="BN127" s="567"/>
      <c r="BO127" s="567"/>
      <c r="BP127" s="568"/>
      <c r="BQ127" s="566"/>
      <c r="BR127" s="567"/>
      <c r="BS127" s="568"/>
      <c r="BT127" s="567"/>
      <c r="BU127" s="567"/>
      <c r="BV127" s="568"/>
      <c r="BW127" s="567"/>
      <c r="BX127" s="2807"/>
      <c r="BY127" s="568"/>
      <c r="BZ127" s="566"/>
      <c r="CA127" s="567"/>
    </row>
    <row r="128" spans="1:79" ht="18.75" customHeight="1" x14ac:dyDescent="0.4">
      <c r="A128" s="249"/>
      <c r="B128" s="249"/>
      <c r="C128" s="584" t="s">
        <v>307</v>
      </c>
      <c r="D128" s="746"/>
      <c r="E128" s="614" t="s">
        <v>310</v>
      </c>
      <c r="F128" s="747"/>
      <c r="G128" s="748"/>
      <c r="H128" s="612"/>
      <c r="I128" s="857"/>
      <c r="J128" s="704"/>
      <c r="K128" s="858"/>
      <c r="L128" s="859"/>
      <c r="M128" s="685"/>
      <c r="N128" s="1048"/>
      <c r="O128" s="791"/>
      <c r="P128" s="706"/>
      <c r="Q128" s="707" t="s">
        <v>350</v>
      </c>
      <c r="R128" s="861"/>
      <c r="S128" s="696"/>
      <c r="T128" s="696" t="s">
        <v>334</v>
      </c>
      <c r="U128" s="697"/>
      <c r="V128" s="683"/>
      <c r="W128" s="709" t="s">
        <v>335</v>
      </c>
      <c r="X128" s="684"/>
      <c r="Y128" s="685"/>
      <c r="Z128" s="745" t="s">
        <v>333</v>
      </c>
      <c r="AA128" s="791"/>
      <c r="AB128" s="687"/>
      <c r="AC128" s="784"/>
      <c r="AD128" s="687"/>
      <c r="AE128" s="568"/>
      <c r="AF128" s="566"/>
      <c r="AG128" s="567"/>
      <c r="AH128" s="568"/>
      <c r="AI128" s="566"/>
      <c r="AJ128" s="567"/>
      <c r="AK128" s="568"/>
      <c r="AL128" s="566"/>
      <c r="AM128" s="567"/>
      <c r="AN128" s="568"/>
      <c r="AO128" s="566"/>
      <c r="AP128" s="567"/>
      <c r="AQ128" s="568"/>
      <c r="AR128" s="566"/>
      <c r="AS128" s="567"/>
      <c r="AT128" s="568"/>
      <c r="AU128" s="566"/>
      <c r="AV128" s="567"/>
      <c r="AW128" s="568"/>
      <c r="AX128" s="566"/>
      <c r="AY128" s="567"/>
      <c r="AZ128" s="568"/>
      <c r="BA128" s="566"/>
      <c r="BB128" s="567"/>
      <c r="BC128" s="568"/>
      <c r="BD128" s="566"/>
      <c r="BE128" s="567"/>
      <c r="BF128" s="567"/>
      <c r="BG128" s="856"/>
      <c r="BH128" s="786"/>
      <c r="BI128" s="567"/>
      <c r="BJ128" s="856"/>
      <c r="BK128" s="786"/>
      <c r="BL128" s="568"/>
      <c r="BM128" s="567"/>
      <c r="BN128" s="567"/>
      <c r="BO128" s="567"/>
      <c r="BP128" s="568"/>
      <c r="BQ128" s="566"/>
      <c r="BR128" s="567"/>
      <c r="BS128" s="568"/>
      <c r="BT128" s="567"/>
      <c r="BU128" s="567"/>
      <c r="BV128" s="568"/>
      <c r="BW128" s="567"/>
      <c r="BX128" s="2807"/>
      <c r="BY128" s="568"/>
      <c r="BZ128" s="566"/>
      <c r="CA128" s="567"/>
    </row>
    <row r="129" spans="1:79" ht="18.75" customHeight="1" x14ac:dyDescent="0.4">
      <c r="A129" s="249"/>
      <c r="B129" s="249"/>
      <c r="C129" s="584" t="s">
        <v>307</v>
      </c>
      <c r="D129" s="587"/>
      <c r="E129" s="862"/>
      <c r="F129" s="863"/>
      <c r="G129" s="588"/>
      <c r="H129" s="901"/>
      <c r="I129" s="742"/>
      <c r="J129" s="635"/>
      <c r="K129" s="691"/>
      <c r="L129" s="705"/>
      <c r="M129" s="685"/>
      <c r="N129" s="2777"/>
      <c r="O129" s="685"/>
      <c r="P129" s="795"/>
      <c r="Q129" s="707"/>
      <c r="R129" s="708"/>
      <c r="S129" s="696"/>
      <c r="T129" s="864" t="s">
        <v>351</v>
      </c>
      <c r="U129" s="697"/>
      <c r="V129" s="683"/>
      <c r="W129" s="683"/>
      <c r="X129" s="684"/>
      <c r="Y129" s="685"/>
      <c r="Z129" s="865"/>
      <c r="AA129" s="685"/>
      <c r="AB129" s="687"/>
      <c r="AC129" s="687"/>
      <c r="AD129" s="687"/>
      <c r="AE129" s="568"/>
      <c r="AF129" s="566"/>
      <c r="AG129" s="567"/>
      <c r="AH129" s="568"/>
      <c r="AI129" s="566"/>
      <c r="AJ129" s="567"/>
      <c r="AK129" s="568"/>
      <c r="AL129" s="566"/>
      <c r="AM129" s="567"/>
      <c r="AN129" s="568"/>
      <c r="AO129" s="566"/>
      <c r="AP129" s="567"/>
      <c r="AQ129" s="568"/>
      <c r="AR129" s="566"/>
      <c r="AS129" s="567"/>
      <c r="AT129" s="568"/>
      <c r="AU129" s="566"/>
      <c r="AV129" s="567"/>
      <c r="AW129" s="568"/>
      <c r="AX129" s="566"/>
      <c r="AY129" s="567"/>
      <c r="AZ129" s="568"/>
      <c r="BA129" s="566"/>
      <c r="BB129" s="567"/>
      <c r="BC129" s="568"/>
      <c r="BD129" s="566"/>
      <c r="BE129" s="567"/>
      <c r="BF129" s="567"/>
      <c r="BG129" s="856"/>
      <c r="BH129" s="786"/>
      <c r="BI129" s="567"/>
      <c r="BJ129" s="856"/>
      <c r="BK129" s="786"/>
      <c r="BL129" s="568"/>
      <c r="BM129" s="567"/>
      <c r="BN129" s="567"/>
      <c r="BO129" s="567"/>
      <c r="BP129" s="568"/>
      <c r="BQ129" s="566"/>
      <c r="BR129" s="567"/>
      <c r="BS129" s="568"/>
      <c r="BT129" s="567"/>
      <c r="BU129" s="567"/>
      <c r="BV129" s="568"/>
      <c r="BW129" s="567"/>
      <c r="BX129" s="2807"/>
      <c r="BY129" s="568"/>
      <c r="BZ129" s="566"/>
      <c r="CA129" s="567"/>
    </row>
    <row r="130" spans="1:79" ht="18.75" customHeight="1" x14ac:dyDescent="0.4">
      <c r="A130" s="249"/>
      <c r="B130" s="249"/>
      <c r="C130" s="866"/>
      <c r="D130" s="587"/>
      <c r="E130" s="862"/>
      <c r="F130" s="863"/>
      <c r="G130" s="588"/>
      <c r="H130" s="594"/>
      <c r="I130" s="742"/>
      <c r="J130" s="635"/>
      <c r="K130" s="867"/>
      <c r="L130" s="705"/>
      <c r="M130" s="685"/>
      <c r="N130" s="1048" t="s">
        <v>352</v>
      </c>
      <c r="O130" s="685"/>
      <c r="P130" s="795"/>
      <c r="Q130" s="868"/>
      <c r="R130" s="708"/>
      <c r="S130" s="696"/>
      <c r="T130" s="696" t="s">
        <v>353</v>
      </c>
      <c r="U130" s="697"/>
      <c r="V130" s="683"/>
      <c r="W130" s="683"/>
      <c r="X130" s="684"/>
      <c r="Y130" s="685"/>
      <c r="Z130" s="745"/>
      <c r="AA130" s="685"/>
      <c r="AB130" s="687"/>
      <c r="AC130" s="869"/>
      <c r="AD130" s="687"/>
      <c r="AE130" s="568"/>
      <c r="AF130" s="566"/>
      <c r="AG130" s="567"/>
      <c r="AH130" s="568"/>
      <c r="AI130" s="566"/>
      <c r="AJ130" s="567"/>
      <c r="AK130" s="568"/>
      <c r="AL130" s="566"/>
      <c r="AM130" s="567"/>
      <c r="AN130" s="568"/>
      <c r="AO130" s="566"/>
      <c r="AP130" s="567"/>
      <c r="AQ130" s="568"/>
      <c r="AR130" s="566"/>
      <c r="AS130" s="567"/>
      <c r="AT130" s="568"/>
      <c r="AU130" s="566"/>
      <c r="AV130" s="567"/>
      <c r="AW130" s="568"/>
      <c r="AX130" s="566"/>
      <c r="AY130" s="567"/>
      <c r="AZ130" s="568"/>
      <c r="BA130" s="566"/>
      <c r="BB130" s="567"/>
      <c r="BC130" s="568"/>
      <c r="BD130" s="566"/>
      <c r="BE130" s="567"/>
      <c r="BF130" s="567"/>
      <c r="BG130" s="856"/>
      <c r="BH130" s="786"/>
      <c r="BI130" s="567"/>
      <c r="BJ130" s="856"/>
      <c r="BK130" s="786"/>
      <c r="BL130" s="568"/>
      <c r="BM130" s="567"/>
      <c r="BN130" s="567"/>
      <c r="BO130" s="567"/>
      <c r="BP130" s="568"/>
      <c r="BQ130" s="566"/>
      <c r="BR130" s="567"/>
      <c r="BS130" s="568"/>
      <c r="BT130" s="567"/>
      <c r="BU130" s="567"/>
      <c r="BV130" s="568"/>
      <c r="BW130" s="567"/>
      <c r="BX130" s="2807"/>
      <c r="BY130" s="568"/>
      <c r="BZ130" s="566"/>
      <c r="CA130" s="567"/>
    </row>
    <row r="131" spans="1:79" ht="18.75" customHeight="1" x14ac:dyDescent="0.4">
      <c r="A131" s="249"/>
      <c r="B131" s="249"/>
      <c r="C131" s="866"/>
      <c r="D131" s="587"/>
      <c r="E131" s="862"/>
      <c r="F131" s="863"/>
      <c r="G131" s="588"/>
      <c r="H131" s="594"/>
      <c r="I131" s="742"/>
      <c r="J131" s="635"/>
      <c r="K131" s="867"/>
      <c r="L131" s="705"/>
      <c r="M131" s="685"/>
      <c r="N131" s="1048"/>
      <c r="O131" s="685"/>
      <c r="P131" s="795"/>
      <c r="Q131" s="868"/>
      <c r="R131" s="708"/>
      <c r="S131" s="696"/>
      <c r="T131" s="696"/>
      <c r="U131" s="697"/>
      <c r="V131" s="683"/>
      <c r="W131" s="683"/>
      <c r="X131" s="684"/>
      <c r="Y131" s="685"/>
      <c r="Z131" s="745"/>
      <c r="AA131" s="685"/>
      <c r="AB131" s="687"/>
      <c r="AC131" s="869"/>
      <c r="AD131" s="687"/>
      <c r="AE131" s="568"/>
      <c r="AF131" s="566"/>
      <c r="AG131" s="567"/>
      <c r="AH131" s="568"/>
      <c r="AI131" s="566"/>
      <c r="AJ131" s="567"/>
      <c r="AK131" s="568"/>
      <c r="AL131" s="566"/>
      <c r="AM131" s="567"/>
      <c r="AN131" s="568"/>
      <c r="AO131" s="566"/>
      <c r="AP131" s="567"/>
      <c r="AQ131" s="568"/>
      <c r="AR131" s="566"/>
      <c r="AS131" s="567"/>
      <c r="AT131" s="568"/>
      <c r="AU131" s="566"/>
      <c r="AV131" s="567"/>
      <c r="AW131" s="568"/>
      <c r="AX131" s="566"/>
      <c r="AY131" s="567"/>
      <c r="AZ131" s="568"/>
      <c r="BA131" s="566"/>
      <c r="BB131" s="567"/>
      <c r="BC131" s="568"/>
      <c r="BD131" s="566"/>
      <c r="BE131" s="567"/>
      <c r="BF131" s="567"/>
      <c r="BG131" s="856"/>
      <c r="BH131" s="786"/>
      <c r="BI131" s="567"/>
      <c r="BJ131" s="856"/>
      <c r="BK131" s="786"/>
      <c r="BL131" s="568"/>
      <c r="BM131" s="567"/>
      <c r="BN131" s="567"/>
      <c r="BO131" s="567"/>
      <c r="BP131" s="568"/>
      <c r="BQ131" s="566"/>
      <c r="BR131" s="567"/>
      <c r="BS131" s="568"/>
      <c r="BT131" s="567"/>
      <c r="BU131" s="567"/>
      <c r="BV131" s="568"/>
      <c r="BW131" s="567"/>
      <c r="BX131" s="2807"/>
      <c r="BY131" s="568"/>
      <c r="BZ131" s="566"/>
      <c r="CA131" s="567"/>
    </row>
    <row r="132" spans="1:79" ht="15" customHeight="1" x14ac:dyDescent="0.4">
      <c r="A132" s="249"/>
      <c r="B132" s="249"/>
      <c r="C132" s="866">
        <v>0.39930555555555602</v>
      </c>
      <c r="D132" s="673"/>
      <c r="E132" s="862"/>
      <c r="F132" s="863"/>
      <c r="G132" s="835"/>
      <c r="H132" s="911"/>
      <c r="I132" s="742"/>
      <c r="J132" s="797"/>
      <c r="K132" s="867"/>
      <c r="L132" s="705"/>
      <c r="M132" s="685"/>
      <c r="N132" s="1048"/>
      <c r="O132" s="685"/>
      <c r="P132" s="799"/>
      <c r="Q132" s="868"/>
      <c r="R132" s="708"/>
      <c r="S132" s="696"/>
      <c r="T132" s="696"/>
      <c r="U132" s="697"/>
      <c r="V132" s="709"/>
      <c r="W132" s="709"/>
      <c r="X132" s="684"/>
      <c r="Y132" s="685"/>
      <c r="Z132" s="745"/>
      <c r="AA132" s="685"/>
      <c r="AB132" s="687"/>
      <c r="AC132" s="687"/>
      <c r="AD132" s="687"/>
      <c r="AE132" s="568"/>
      <c r="AF132" s="566"/>
      <c r="AG132" s="567"/>
      <c r="AH132" s="568"/>
      <c r="AI132" s="566"/>
      <c r="AJ132" s="567"/>
      <c r="AK132" s="568"/>
      <c r="AL132" s="566"/>
      <c r="AM132" s="567"/>
      <c r="AN132" s="568"/>
      <c r="AO132" s="566"/>
      <c r="AP132" s="567"/>
      <c r="AQ132" s="568"/>
      <c r="AR132" s="566"/>
      <c r="AS132" s="567"/>
      <c r="AT132" s="568"/>
      <c r="AU132" s="566"/>
      <c r="AV132" s="567"/>
      <c r="AW132" s="568"/>
      <c r="AX132" s="566"/>
      <c r="AY132" s="567"/>
      <c r="AZ132" s="568"/>
      <c r="BA132" s="566"/>
      <c r="BB132" s="567"/>
      <c r="BC132" s="568"/>
      <c r="BD132" s="566"/>
      <c r="BE132" s="567"/>
      <c r="BF132" s="567"/>
      <c r="BG132" s="856"/>
      <c r="BH132" s="786"/>
      <c r="BI132" s="567"/>
      <c r="BJ132" s="856"/>
      <c r="BK132" s="786"/>
      <c r="BL132" s="568"/>
      <c r="BM132" s="567"/>
      <c r="BN132" s="567"/>
      <c r="BO132" s="567"/>
      <c r="BP132" s="568"/>
      <c r="BQ132" s="566"/>
      <c r="BR132" s="567"/>
      <c r="BS132" s="568"/>
      <c r="BT132" s="567"/>
      <c r="BU132" s="567"/>
      <c r="BV132" s="568"/>
      <c r="BW132" s="567"/>
      <c r="BX132" s="2807"/>
      <c r="BY132" s="568"/>
      <c r="BZ132" s="566"/>
      <c r="CA132" s="567"/>
    </row>
    <row r="133" spans="1:79" ht="15" customHeight="1" x14ac:dyDescent="0.4">
      <c r="A133" s="249"/>
      <c r="B133" s="249"/>
      <c r="C133" s="866">
        <v>0.40277777777777801</v>
      </c>
      <c r="D133" s="673"/>
      <c r="E133" s="862"/>
      <c r="F133" s="863"/>
      <c r="G133" s="835"/>
      <c r="H133" s="594"/>
      <c r="I133" s="742"/>
      <c r="J133" s="797"/>
      <c r="K133" s="867"/>
      <c r="L133" s="705"/>
      <c r="M133" s="685"/>
      <c r="N133" s="1048"/>
      <c r="O133" s="685"/>
      <c r="P133" s="799"/>
      <c r="Q133" s="868"/>
      <c r="R133" s="708"/>
      <c r="S133" s="696"/>
      <c r="T133" s="696"/>
      <c r="U133" s="697"/>
      <c r="V133" s="709"/>
      <c r="W133" s="709"/>
      <c r="X133" s="684"/>
      <c r="Y133" s="685"/>
      <c r="Z133" s="745"/>
      <c r="AA133" s="685"/>
      <c r="AB133" s="687"/>
      <c r="AC133" s="687"/>
      <c r="AD133" s="687"/>
      <c r="AE133" s="568"/>
      <c r="AF133" s="566"/>
      <c r="AG133" s="567"/>
      <c r="AH133" s="568"/>
      <c r="AI133" s="566"/>
      <c r="AJ133" s="567"/>
      <c r="AK133" s="568"/>
      <c r="AL133" s="566"/>
      <c r="AM133" s="567"/>
      <c r="AN133" s="568"/>
      <c r="AO133" s="566"/>
      <c r="AP133" s="567"/>
      <c r="AQ133" s="568"/>
      <c r="AR133" s="566"/>
      <c r="AS133" s="567"/>
      <c r="AT133" s="568"/>
      <c r="AU133" s="566"/>
      <c r="AV133" s="567"/>
      <c r="AW133" s="568"/>
      <c r="AX133" s="566"/>
      <c r="AY133" s="567"/>
      <c r="AZ133" s="568"/>
      <c r="BA133" s="566"/>
      <c r="BB133" s="567"/>
      <c r="BC133" s="568"/>
      <c r="BD133" s="566"/>
      <c r="BE133" s="567"/>
      <c r="BF133" s="567"/>
      <c r="BG133" s="853"/>
      <c r="BH133" s="768"/>
      <c r="BI133" s="567"/>
      <c r="BJ133" s="853"/>
      <c r="BK133" s="768"/>
      <c r="BL133" s="568"/>
      <c r="BM133" s="567"/>
      <c r="BN133" s="567"/>
      <c r="BO133" s="567"/>
      <c r="BP133" s="568"/>
      <c r="BQ133" s="566"/>
      <c r="BR133" s="567"/>
      <c r="BS133" s="568"/>
      <c r="BT133" s="567"/>
      <c r="BU133" s="567"/>
      <c r="BV133" s="568"/>
      <c r="BW133" s="567"/>
      <c r="BX133" s="2807"/>
      <c r="BY133" s="568"/>
      <c r="BZ133" s="566"/>
      <c r="CA133" s="567"/>
    </row>
    <row r="134" spans="1:79" ht="18.75" customHeight="1" x14ac:dyDescent="0.4">
      <c r="A134" s="249"/>
      <c r="B134" s="249"/>
      <c r="C134" s="584">
        <v>0.40625</v>
      </c>
      <c r="D134" s="589"/>
      <c r="E134" s="614"/>
      <c r="F134" s="688"/>
      <c r="G134" s="590"/>
      <c r="H134" s="2681"/>
      <c r="I134" s="742"/>
      <c r="J134" s="743"/>
      <c r="K134" s="2569" t="s">
        <v>354</v>
      </c>
      <c r="L134" s="705"/>
      <c r="M134" s="685"/>
      <c r="N134" s="1861" t="s">
        <v>355</v>
      </c>
      <c r="O134" s="791"/>
      <c r="P134" s="744"/>
      <c r="Q134" s="769" t="s">
        <v>334</v>
      </c>
      <c r="R134" s="708"/>
      <c r="S134" s="696"/>
      <c r="T134" s="696" t="s">
        <v>348</v>
      </c>
      <c r="U134" s="697"/>
      <c r="V134" s="709"/>
      <c r="W134" s="709" t="s">
        <v>332</v>
      </c>
      <c r="X134" s="870"/>
      <c r="Y134" s="685"/>
      <c r="Z134" s="745" t="s">
        <v>333</v>
      </c>
      <c r="AA134" s="791"/>
      <c r="AB134" s="687"/>
      <c r="AC134" s="687"/>
      <c r="AD134" s="687"/>
      <c r="AE134" s="568"/>
      <c r="AF134" s="566"/>
      <c r="AG134" s="567"/>
      <c r="AH134" s="568"/>
      <c r="AI134" s="566"/>
      <c r="AJ134" s="567"/>
      <c r="AK134" s="568"/>
      <c r="AL134" s="566"/>
      <c r="AM134" s="567"/>
      <c r="AN134" s="568"/>
      <c r="AO134" s="566"/>
      <c r="AP134" s="567"/>
      <c r="AQ134" s="568"/>
      <c r="AR134" s="566"/>
      <c r="AS134" s="567"/>
      <c r="AT134" s="568"/>
      <c r="AU134" s="566"/>
      <c r="AV134" s="567"/>
      <c r="AW134" s="568"/>
      <c r="AX134" s="566"/>
      <c r="AY134" s="567"/>
      <c r="AZ134" s="568"/>
      <c r="BA134" s="566"/>
      <c r="BB134" s="567"/>
      <c r="BC134" s="568"/>
      <c r="BD134" s="566"/>
      <c r="BE134" s="567"/>
      <c r="BF134" s="568"/>
      <c r="BG134" s="854"/>
      <c r="BH134" s="567"/>
      <c r="BI134" s="568"/>
      <c r="BJ134" s="854"/>
      <c r="BK134" s="567"/>
      <c r="BL134" s="568"/>
      <c r="BM134" s="567"/>
      <c r="BN134" s="567"/>
      <c r="BO134" s="567"/>
      <c r="BP134" s="568"/>
      <c r="BQ134" s="566"/>
      <c r="BR134" s="567"/>
      <c r="BS134" s="568"/>
      <c r="BT134" s="567"/>
      <c r="BU134" s="567"/>
      <c r="BV134" s="568"/>
      <c r="BW134" s="567"/>
      <c r="BX134" s="2807"/>
      <c r="BY134" s="568"/>
      <c r="BZ134" s="566"/>
      <c r="CA134" s="567"/>
    </row>
    <row r="135" spans="1:79" ht="19.350000000000001" customHeight="1" x14ac:dyDescent="0.4">
      <c r="A135" s="249"/>
      <c r="B135" s="249"/>
      <c r="C135" s="584" t="s">
        <v>307</v>
      </c>
      <c r="D135" s="746"/>
      <c r="E135" s="747"/>
      <c r="F135" s="771"/>
      <c r="G135" s="748"/>
      <c r="H135" s="1048"/>
      <c r="I135" s="742"/>
      <c r="J135" s="635"/>
      <c r="K135" s="691"/>
      <c r="L135" s="705"/>
      <c r="M135" s="685"/>
      <c r="N135" s="745" t="s">
        <v>333</v>
      </c>
      <c r="O135" s="791"/>
      <c r="P135" s="795"/>
      <c r="Q135" s="769"/>
      <c r="R135" s="708"/>
      <c r="S135" s="696"/>
      <c r="T135" s="696" t="s">
        <v>334</v>
      </c>
      <c r="U135" s="697"/>
      <c r="V135" s="683"/>
      <c r="W135" s="709" t="s">
        <v>335</v>
      </c>
      <c r="X135" s="870"/>
      <c r="Y135" s="685"/>
      <c r="Z135" s="793" t="s">
        <v>336</v>
      </c>
      <c r="AA135" s="791"/>
      <c r="AB135" s="687"/>
      <c r="AC135" s="869"/>
      <c r="AD135" s="687"/>
      <c r="AE135" s="568"/>
      <c r="AF135" s="566"/>
      <c r="AG135" s="567"/>
      <c r="AH135" s="568"/>
      <c r="AI135" s="566"/>
      <c r="AJ135" s="567"/>
      <c r="AK135" s="568"/>
      <c r="AL135" s="566"/>
      <c r="AM135" s="567"/>
      <c r="AN135" s="568"/>
      <c r="AO135" s="566"/>
      <c r="AP135" s="567"/>
      <c r="AQ135" s="568"/>
      <c r="AR135" s="566"/>
      <c r="AS135" s="567"/>
      <c r="AT135" s="568"/>
      <c r="AU135" s="566"/>
      <c r="AV135" s="567"/>
      <c r="AW135" s="568"/>
      <c r="AX135" s="566"/>
      <c r="AY135" s="567"/>
      <c r="AZ135" s="568"/>
      <c r="BA135" s="566"/>
      <c r="BB135" s="567"/>
      <c r="BC135" s="568"/>
      <c r="BD135" s="566"/>
      <c r="BE135" s="567"/>
      <c r="BF135" s="568"/>
      <c r="BG135" s="854"/>
      <c r="BH135" s="567"/>
      <c r="BI135" s="568"/>
      <c r="BJ135" s="854"/>
      <c r="BK135" s="567"/>
      <c r="BL135" s="568"/>
      <c r="BM135" s="567"/>
      <c r="BN135" s="567"/>
      <c r="BO135" s="567"/>
      <c r="BP135" s="568"/>
      <c r="BQ135" s="566"/>
      <c r="BR135" s="567"/>
      <c r="BS135" s="568"/>
      <c r="BT135" s="567"/>
      <c r="BU135" s="567"/>
      <c r="BV135" s="568"/>
      <c r="BW135" s="567"/>
      <c r="BX135" s="2807"/>
      <c r="BY135" s="568"/>
      <c r="BZ135" s="566"/>
      <c r="CA135" s="567"/>
    </row>
    <row r="136" spans="1:79" ht="14.25" customHeight="1" x14ac:dyDescent="0.4">
      <c r="A136" s="249"/>
      <c r="B136" s="249"/>
      <c r="C136" s="584" t="s">
        <v>307</v>
      </c>
      <c r="D136" s="587"/>
      <c r="E136" s="688"/>
      <c r="F136" s="688"/>
      <c r="G136" s="588"/>
      <c r="H136" s="1048" t="s">
        <v>352</v>
      </c>
      <c r="I136" s="742"/>
      <c r="J136" s="635"/>
      <c r="K136" s="867"/>
      <c r="L136" s="705"/>
      <c r="M136" s="685"/>
      <c r="N136" s="793" t="s">
        <v>336</v>
      </c>
      <c r="O136" s="685"/>
      <c r="P136" s="795"/>
      <c r="Q136" s="707"/>
      <c r="R136" s="708"/>
      <c r="S136" s="696"/>
      <c r="T136" s="864" t="s">
        <v>351</v>
      </c>
      <c r="U136" s="697"/>
      <c r="V136" s="709"/>
      <c r="W136" s="709"/>
      <c r="X136" s="870"/>
      <c r="Y136" s="685"/>
      <c r="Z136" s="745"/>
      <c r="AA136" s="685"/>
      <c r="AB136" s="687"/>
      <c r="AC136" s="869"/>
      <c r="AD136" s="687"/>
      <c r="AE136" s="568"/>
      <c r="AF136" s="566"/>
      <c r="AG136" s="567"/>
      <c r="AH136" s="568"/>
      <c r="AI136" s="566"/>
      <c r="AJ136" s="567"/>
      <c r="AK136" s="568"/>
      <c r="AL136" s="566"/>
      <c r="AM136" s="567"/>
      <c r="AN136" s="568"/>
      <c r="AO136" s="566"/>
      <c r="AP136" s="567"/>
      <c r="AQ136" s="568"/>
      <c r="AR136" s="566"/>
      <c r="AS136" s="567"/>
      <c r="AT136" s="568"/>
      <c r="AU136" s="566"/>
      <c r="AV136" s="567"/>
      <c r="AW136" s="568"/>
      <c r="AX136" s="566"/>
      <c r="AY136" s="567"/>
      <c r="AZ136" s="568"/>
      <c r="BA136" s="566"/>
      <c r="BB136" s="567"/>
      <c r="BC136" s="568"/>
      <c r="BD136" s="566"/>
      <c r="BE136" s="567"/>
      <c r="BF136" s="568"/>
      <c r="BG136" s="854"/>
      <c r="BH136" s="567"/>
      <c r="BI136" s="568"/>
      <c r="BJ136" s="854"/>
      <c r="BK136" s="567"/>
      <c r="BL136" s="568"/>
      <c r="BM136" s="567"/>
      <c r="BN136" s="567"/>
      <c r="BO136" s="567"/>
      <c r="BP136" s="568"/>
      <c r="BQ136" s="566"/>
      <c r="BR136" s="567"/>
      <c r="BS136" s="568"/>
      <c r="BT136" s="567"/>
      <c r="BU136" s="567"/>
      <c r="BV136" s="568"/>
      <c r="BW136" s="567"/>
      <c r="BX136" s="2807"/>
      <c r="BY136" s="568"/>
      <c r="BZ136" s="566"/>
      <c r="CA136" s="567"/>
    </row>
    <row r="137" spans="1:79" ht="21" customHeight="1" x14ac:dyDescent="0.4">
      <c r="A137" s="249"/>
      <c r="B137" s="249"/>
      <c r="C137" s="584" t="s">
        <v>307</v>
      </c>
      <c r="D137" s="587"/>
      <c r="E137" s="688"/>
      <c r="F137" s="688"/>
      <c r="G137" s="588"/>
      <c r="H137" s="1048"/>
      <c r="I137" s="742"/>
      <c r="J137" s="635"/>
      <c r="K137" s="867"/>
      <c r="L137" s="705"/>
      <c r="M137" s="685"/>
      <c r="N137" s="745"/>
      <c r="O137" s="685"/>
      <c r="P137" s="795"/>
      <c r="Q137" s="769"/>
      <c r="R137" s="708"/>
      <c r="S137" s="696"/>
      <c r="T137" s="696"/>
      <c r="U137" s="697"/>
      <c r="V137" s="683"/>
      <c r="W137" s="683"/>
      <c r="X137" s="684"/>
      <c r="Y137" s="685"/>
      <c r="Z137" s="745"/>
      <c r="AA137" s="685"/>
      <c r="AB137" s="794"/>
      <c r="AC137" s="794"/>
      <c r="AD137" s="794"/>
      <c r="AE137" s="568"/>
      <c r="AF137" s="566"/>
      <c r="AG137" s="567"/>
      <c r="AH137" s="568"/>
      <c r="AI137" s="566"/>
      <c r="AJ137" s="567"/>
      <c r="AK137" s="568"/>
      <c r="AL137" s="566"/>
      <c r="AM137" s="567"/>
      <c r="AN137" s="568"/>
      <c r="AO137" s="566"/>
      <c r="AP137" s="567"/>
      <c r="AQ137" s="568"/>
      <c r="AR137" s="566"/>
      <c r="AS137" s="567"/>
      <c r="AT137" s="568"/>
      <c r="AU137" s="566"/>
      <c r="AV137" s="567"/>
      <c r="AW137" s="568"/>
      <c r="AX137" s="566"/>
      <c r="AY137" s="567"/>
      <c r="AZ137" s="568"/>
      <c r="BA137" s="566"/>
      <c r="BB137" s="567"/>
      <c r="BC137" s="568"/>
      <c r="BD137" s="566"/>
      <c r="BE137" s="567"/>
      <c r="BF137" s="568"/>
      <c r="BG137" s="854"/>
      <c r="BH137" s="567"/>
      <c r="BI137" s="568"/>
      <c r="BJ137" s="854"/>
      <c r="BK137" s="567"/>
      <c r="BL137" s="568"/>
      <c r="BM137" s="567"/>
      <c r="BN137" s="567"/>
      <c r="BO137" s="567"/>
      <c r="BP137" s="568"/>
      <c r="BQ137" s="566"/>
      <c r="BR137" s="567"/>
      <c r="BS137" s="568"/>
      <c r="BT137" s="567"/>
      <c r="BU137" s="567"/>
      <c r="BV137" s="568"/>
      <c r="BW137" s="567"/>
      <c r="BX137" s="2807"/>
      <c r="BY137" s="568"/>
      <c r="BZ137" s="566"/>
      <c r="CA137" s="567"/>
    </row>
    <row r="138" spans="1:79" ht="21" customHeight="1" x14ac:dyDescent="0.4">
      <c r="A138" s="249"/>
      <c r="B138" s="249"/>
      <c r="C138" s="584">
        <v>0.40972222222222199</v>
      </c>
      <c r="D138" s="844"/>
      <c r="E138" s="688"/>
      <c r="F138" s="845"/>
      <c r="G138" s="846"/>
      <c r="H138" s="1048"/>
      <c r="I138" s="847"/>
      <c r="J138" s="582"/>
      <c r="K138" s="858"/>
      <c r="L138" s="849"/>
      <c r="M138" s="685"/>
      <c r="N138" s="745"/>
      <c r="O138" s="685"/>
      <c r="P138" s="850"/>
      <c r="Q138" s="851"/>
      <c r="R138" s="852"/>
      <c r="S138" s="696"/>
      <c r="T138" s="696"/>
      <c r="U138" s="697"/>
      <c r="V138" s="871"/>
      <c r="W138" s="709"/>
      <c r="X138" s="783"/>
      <c r="Y138" s="685"/>
      <c r="Z138" s="745"/>
      <c r="AA138" s="685"/>
      <c r="AB138" s="687"/>
      <c r="AC138" s="687"/>
      <c r="AD138" s="687"/>
      <c r="AE138" s="568"/>
      <c r="AF138" s="566"/>
      <c r="AG138" s="567"/>
      <c r="AH138" s="568"/>
      <c r="AI138" s="566"/>
      <c r="AJ138" s="567"/>
      <c r="AK138" s="568"/>
      <c r="AL138" s="566"/>
      <c r="AM138" s="567"/>
      <c r="AN138" s="568"/>
      <c r="AO138" s="566"/>
      <c r="AP138" s="567"/>
      <c r="AQ138" s="568"/>
      <c r="AR138" s="566"/>
      <c r="AS138" s="567"/>
      <c r="AT138" s="568"/>
      <c r="AU138" s="566"/>
      <c r="AV138" s="567"/>
      <c r="AW138" s="568"/>
      <c r="AX138" s="566"/>
      <c r="AY138" s="567"/>
      <c r="AZ138" s="568"/>
      <c r="BA138" s="566"/>
      <c r="BB138" s="567"/>
      <c r="BC138" s="568"/>
      <c r="BD138" s="566"/>
      <c r="BE138" s="567"/>
      <c r="BF138" s="568"/>
      <c r="BG138" s="854"/>
      <c r="BH138" s="567"/>
      <c r="BI138" s="568"/>
      <c r="BJ138" s="854"/>
      <c r="BK138" s="567"/>
      <c r="BL138" s="568"/>
      <c r="BM138" s="567"/>
      <c r="BN138" s="567"/>
      <c r="BO138" s="567"/>
      <c r="BP138" s="568"/>
      <c r="BQ138" s="566"/>
      <c r="BR138" s="567"/>
      <c r="BS138" s="568"/>
      <c r="BT138" s="567"/>
      <c r="BU138" s="567"/>
      <c r="BV138" s="568"/>
      <c r="BW138" s="567"/>
      <c r="BX138" s="2807"/>
      <c r="BY138" s="568"/>
      <c r="BZ138" s="566"/>
      <c r="CA138" s="567"/>
    </row>
    <row r="139" spans="1:79" ht="14.25" customHeight="1" x14ac:dyDescent="0.4">
      <c r="A139" s="249"/>
      <c r="B139" s="249"/>
      <c r="C139" s="621">
        <v>0.41319444444444398</v>
      </c>
      <c r="D139" s="803"/>
      <c r="E139" s="872"/>
      <c r="F139" s="804"/>
      <c r="G139" s="805"/>
      <c r="H139" s="1048"/>
      <c r="I139" s="873"/>
      <c r="J139" s="874"/>
      <c r="K139" s="1013"/>
      <c r="L139" s="875"/>
      <c r="M139" s="881"/>
      <c r="N139" s="882"/>
      <c r="O139" s="881"/>
      <c r="P139" s="876"/>
      <c r="Q139" s="877"/>
      <c r="R139" s="878"/>
      <c r="S139" s="879"/>
      <c r="T139" s="879"/>
      <c r="U139" s="697"/>
      <c r="V139" s="814"/>
      <c r="W139" s="880"/>
      <c r="X139" s="684"/>
      <c r="Y139" s="881"/>
      <c r="Z139" s="882"/>
      <c r="AA139" s="881"/>
      <c r="AB139" s="687"/>
      <c r="AC139" s="687"/>
      <c r="AD139" s="687"/>
      <c r="AE139" s="568"/>
      <c r="AF139" s="566"/>
      <c r="AG139" s="567"/>
      <c r="AH139" s="568"/>
      <c r="AI139" s="566"/>
      <c r="AJ139" s="567"/>
      <c r="AK139" s="568"/>
      <c r="AL139" s="566"/>
      <c r="AM139" s="567"/>
      <c r="AN139" s="568"/>
      <c r="AO139" s="566"/>
      <c r="AP139" s="567"/>
      <c r="AQ139" s="568"/>
      <c r="AR139" s="566"/>
      <c r="AS139" s="567"/>
      <c r="AT139" s="568"/>
      <c r="AU139" s="566"/>
      <c r="AV139" s="567"/>
      <c r="AW139" s="568"/>
      <c r="AX139" s="566"/>
      <c r="AY139" s="567"/>
      <c r="AZ139" s="568"/>
      <c r="BA139" s="566"/>
      <c r="BB139" s="567"/>
      <c r="BC139" s="568"/>
      <c r="BD139" s="566"/>
      <c r="BE139" s="567"/>
      <c r="BF139" s="568"/>
      <c r="BG139" s="854"/>
      <c r="BH139" s="567"/>
      <c r="BI139" s="568"/>
      <c r="BJ139" s="854"/>
      <c r="BK139" s="567"/>
      <c r="BL139" s="568"/>
      <c r="BM139" s="567"/>
      <c r="BN139" s="567"/>
      <c r="BO139" s="567"/>
      <c r="BP139" s="568"/>
      <c r="BQ139" s="566"/>
      <c r="BR139" s="567"/>
      <c r="BS139" s="568"/>
      <c r="BT139" s="567"/>
      <c r="BU139" s="567"/>
      <c r="BV139" s="568"/>
      <c r="BW139" s="883"/>
      <c r="BX139" s="2807"/>
      <c r="BY139" s="568"/>
      <c r="BZ139" s="566"/>
      <c r="CA139" s="567"/>
    </row>
    <row r="140" spans="1:79" ht="18.75" customHeight="1" x14ac:dyDescent="0.4">
      <c r="A140" s="249"/>
      <c r="B140" s="249"/>
      <c r="C140" s="578">
        <v>0.41666666666666702</v>
      </c>
      <c r="D140" s="589"/>
      <c r="E140" s="818" t="s">
        <v>271</v>
      </c>
      <c r="F140" s="688"/>
      <c r="G140" s="590"/>
      <c r="H140" s="819" t="s">
        <v>278</v>
      </c>
      <c r="I140" s="742"/>
      <c r="J140" s="743"/>
      <c r="K140" s="2682"/>
      <c r="L140" s="705"/>
      <c r="M140" s="685"/>
      <c r="N140" s="828" t="s">
        <v>330</v>
      </c>
      <c r="O140" s="791"/>
      <c r="P140" s="744"/>
      <c r="Q140" s="884" t="s">
        <v>334</v>
      </c>
      <c r="R140" s="708"/>
      <c r="S140" s="696"/>
      <c r="T140" s="823" t="s">
        <v>356</v>
      </c>
      <c r="U140" s="885"/>
      <c r="V140" s="886"/>
      <c r="W140" s="709" t="s">
        <v>332</v>
      </c>
      <c r="X140" s="887"/>
      <c r="Y140" s="685"/>
      <c r="Z140" s="828" t="s">
        <v>330</v>
      </c>
      <c r="AA140" s="791"/>
      <c r="AB140" s="829"/>
      <c r="AC140" s="829"/>
      <c r="AD140" s="829"/>
      <c r="AE140" s="888"/>
      <c r="AF140" s="889"/>
      <c r="AG140" s="883"/>
      <c r="AH140" s="888"/>
      <c r="AI140" s="889"/>
      <c r="AJ140" s="883"/>
      <c r="AK140" s="888"/>
      <c r="AL140" s="889"/>
      <c r="AM140" s="883"/>
      <c r="AN140" s="888"/>
      <c r="AO140" s="889"/>
      <c r="AP140" s="883"/>
      <c r="AQ140" s="888"/>
      <c r="AR140" s="889"/>
      <c r="AS140" s="883"/>
      <c r="AT140" s="888"/>
      <c r="AU140" s="889"/>
      <c r="AV140" s="883"/>
      <c r="AW140" s="888"/>
      <c r="AX140" s="889"/>
      <c r="AY140" s="883"/>
      <c r="AZ140" s="888"/>
      <c r="BA140" s="889"/>
      <c r="BB140" s="883"/>
      <c r="BC140" s="888"/>
      <c r="BD140" s="889"/>
      <c r="BE140" s="883"/>
      <c r="BF140" s="890"/>
      <c r="BG140" s="891"/>
      <c r="BH140" s="892"/>
      <c r="BI140" s="890"/>
      <c r="BJ140" s="891"/>
      <c r="BK140" s="892"/>
      <c r="BL140" s="888"/>
      <c r="BM140" s="883"/>
      <c r="BN140" s="883"/>
      <c r="BO140" s="893"/>
      <c r="BP140" s="888"/>
      <c r="BQ140" s="889"/>
      <c r="BR140" s="883"/>
      <c r="BS140" s="888"/>
      <c r="BT140" s="883"/>
      <c r="BU140" s="883"/>
      <c r="BV140" s="888"/>
      <c r="BW140" s="768"/>
      <c r="BX140" s="894"/>
      <c r="BY140" s="888"/>
      <c r="BZ140" s="889"/>
      <c r="CA140" s="883"/>
    </row>
    <row r="141" spans="1:79" ht="18.600000000000001" customHeight="1" x14ac:dyDescent="0.4">
      <c r="A141" s="249"/>
      <c r="B141" s="249"/>
      <c r="C141" s="584" t="s">
        <v>307</v>
      </c>
      <c r="D141" s="631"/>
      <c r="E141" s="614" t="s">
        <v>310</v>
      </c>
      <c r="F141" s="632"/>
      <c r="G141" s="633"/>
      <c r="H141" s="612" t="s">
        <v>310</v>
      </c>
      <c r="I141" s="634"/>
      <c r="J141" s="635"/>
      <c r="K141" s="2682"/>
      <c r="L141" s="781"/>
      <c r="M141" s="685"/>
      <c r="N141" s="745" t="s">
        <v>333</v>
      </c>
      <c r="O141" s="791"/>
      <c r="P141" s="778"/>
      <c r="Q141" s="779" t="s">
        <v>357</v>
      </c>
      <c r="R141" s="822"/>
      <c r="S141" s="696"/>
      <c r="T141" s="696" t="s">
        <v>334</v>
      </c>
      <c r="U141" s="697"/>
      <c r="V141" s="683"/>
      <c r="W141" s="709" t="s">
        <v>335</v>
      </c>
      <c r="X141" s="783"/>
      <c r="Y141" s="685"/>
      <c r="Z141" s="745" t="s">
        <v>333</v>
      </c>
      <c r="AA141" s="791"/>
      <c r="AB141" s="687"/>
      <c r="AC141" s="784"/>
      <c r="AD141" s="687"/>
      <c r="AE141" s="895"/>
      <c r="AF141" s="896"/>
      <c r="AG141" s="768"/>
      <c r="AH141" s="895"/>
      <c r="AI141" s="896"/>
      <c r="AJ141" s="768"/>
      <c r="AK141" s="895"/>
      <c r="AL141" s="896"/>
      <c r="AM141" s="768"/>
      <c r="AN141" s="895"/>
      <c r="AO141" s="896"/>
      <c r="AP141" s="768"/>
      <c r="AQ141" s="895"/>
      <c r="AR141" s="896"/>
      <c r="AS141" s="768"/>
      <c r="AT141" s="895"/>
      <c r="AU141" s="896"/>
      <c r="AV141" s="768"/>
      <c r="AW141" s="895"/>
      <c r="AX141" s="896"/>
      <c r="AY141" s="768"/>
      <c r="AZ141" s="895"/>
      <c r="BA141" s="896"/>
      <c r="BB141" s="768"/>
      <c r="BC141" s="895"/>
      <c r="BD141" s="896"/>
      <c r="BE141" s="768"/>
      <c r="BF141" s="568"/>
      <c r="BG141" s="566"/>
      <c r="BH141" s="567"/>
      <c r="BI141" s="568"/>
      <c r="BJ141" s="566"/>
      <c r="BK141" s="567"/>
      <c r="BL141" s="895"/>
      <c r="BM141" s="768"/>
      <c r="BN141" s="768"/>
      <c r="BO141" s="897"/>
      <c r="BP141" s="895"/>
      <c r="BQ141" s="896"/>
      <c r="BR141" s="768"/>
      <c r="BS141" s="895"/>
      <c r="BT141" s="768"/>
      <c r="BU141" s="768"/>
      <c r="BV141" s="895"/>
      <c r="BW141" s="768"/>
      <c r="BX141" s="2552"/>
      <c r="BY141" s="895"/>
      <c r="BZ141" s="896"/>
      <c r="CA141" s="768"/>
    </row>
    <row r="142" spans="1:79" ht="18.75" customHeight="1" x14ac:dyDescent="0.4">
      <c r="A142" s="249"/>
      <c r="B142" s="249"/>
      <c r="C142" s="584" t="s">
        <v>307</v>
      </c>
      <c r="D142" s="746"/>
      <c r="E142" s="747"/>
      <c r="F142" s="747"/>
      <c r="G142" s="748"/>
      <c r="H142" s="2568" t="s">
        <v>358</v>
      </c>
      <c r="I142" s="847"/>
      <c r="J142" s="704"/>
      <c r="K142" s="2682"/>
      <c r="L142" s="849"/>
      <c r="M142" s="685"/>
      <c r="N142" s="745"/>
      <c r="O142" s="685"/>
      <c r="P142" s="706"/>
      <c r="Q142" s="860"/>
      <c r="R142" s="852"/>
      <c r="S142" s="696"/>
      <c r="T142" s="864" t="s">
        <v>351</v>
      </c>
      <c r="U142" s="697"/>
      <c r="V142" s="886"/>
      <c r="W142" s="709"/>
      <c r="X142" s="783"/>
      <c r="Y142" s="685"/>
      <c r="Z142" s="745"/>
      <c r="AA142" s="685"/>
      <c r="AB142" s="687"/>
      <c r="AC142" s="687"/>
      <c r="AD142" s="687"/>
      <c r="AE142" s="895"/>
      <c r="AF142" s="896"/>
      <c r="AG142" s="768"/>
      <c r="AH142" s="895"/>
      <c r="AI142" s="896"/>
      <c r="AJ142" s="768"/>
      <c r="AK142" s="895"/>
      <c r="AL142" s="896"/>
      <c r="AM142" s="768"/>
      <c r="AN142" s="895"/>
      <c r="AO142" s="896"/>
      <c r="AP142" s="768"/>
      <c r="AQ142" s="895"/>
      <c r="AR142" s="896"/>
      <c r="AS142" s="768"/>
      <c r="AT142" s="895"/>
      <c r="AU142" s="896"/>
      <c r="AV142" s="768"/>
      <c r="AW142" s="895"/>
      <c r="AX142" s="896"/>
      <c r="AY142" s="768"/>
      <c r="AZ142" s="895"/>
      <c r="BA142" s="896"/>
      <c r="BB142" s="768"/>
      <c r="BC142" s="895"/>
      <c r="BD142" s="896"/>
      <c r="BE142" s="768"/>
      <c r="BF142" s="568"/>
      <c r="BG142" s="566"/>
      <c r="BH142" s="567"/>
      <c r="BI142" s="568"/>
      <c r="BJ142" s="566"/>
      <c r="BK142" s="567"/>
      <c r="BL142" s="895"/>
      <c r="BM142" s="768"/>
      <c r="BN142" s="768"/>
      <c r="BO142" s="897"/>
      <c r="BP142" s="895"/>
      <c r="BQ142" s="896"/>
      <c r="BR142" s="768"/>
      <c r="BS142" s="895"/>
      <c r="BT142" s="768"/>
      <c r="BU142" s="768"/>
      <c r="BV142" s="895"/>
      <c r="BW142" s="768"/>
      <c r="BX142" s="2552"/>
      <c r="BY142" s="895"/>
      <c r="BZ142" s="896"/>
      <c r="CA142" s="768"/>
    </row>
    <row r="143" spans="1:79" ht="18.75" customHeight="1" x14ac:dyDescent="0.4">
      <c r="A143" s="249"/>
      <c r="B143" s="249"/>
      <c r="C143" s="584" t="s">
        <v>307</v>
      </c>
      <c r="D143" s="587"/>
      <c r="E143" s="688"/>
      <c r="F143" s="688"/>
      <c r="G143" s="588"/>
      <c r="H143" s="594"/>
      <c r="I143" s="742"/>
      <c r="J143" s="635"/>
      <c r="K143" s="2803" t="s">
        <v>359</v>
      </c>
      <c r="L143" s="705"/>
      <c r="M143" s="685"/>
      <c r="N143" s="865"/>
      <c r="O143" s="791"/>
      <c r="P143" s="795"/>
      <c r="Q143" s="769"/>
      <c r="R143" s="708"/>
      <c r="S143" s="696"/>
      <c r="T143" s="696"/>
      <c r="U143" s="697"/>
      <c r="V143" s="898"/>
      <c r="W143" s="683"/>
      <c r="X143" s="783"/>
      <c r="Y143" s="685"/>
      <c r="Z143" s="865"/>
      <c r="AA143" s="791"/>
      <c r="AB143" s="687"/>
      <c r="AC143" s="869"/>
      <c r="AD143" s="687"/>
      <c r="AE143" s="895"/>
      <c r="AF143" s="896"/>
      <c r="AG143" s="768"/>
      <c r="AH143" s="895"/>
      <c r="AI143" s="896"/>
      <c r="AJ143" s="768"/>
      <c r="AK143" s="895"/>
      <c r="AL143" s="896"/>
      <c r="AM143" s="768"/>
      <c r="AN143" s="895"/>
      <c r="AO143" s="896"/>
      <c r="AP143" s="768"/>
      <c r="AQ143" s="895"/>
      <c r="AR143" s="896"/>
      <c r="AS143" s="768"/>
      <c r="AT143" s="895"/>
      <c r="AU143" s="896"/>
      <c r="AV143" s="768"/>
      <c r="AW143" s="895"/>
      <c r="AX143" s="896"/>
      <c r="AY143" s="768"/>
      <c r="AZ143" s="895"/>
      <c r="BA143" s="896"/>
      <c r="BB143" s="768"/>
      <c r="BC143" s="895"/>
      <c r="BD143" s="896"/>
      <c r="BE143" s="768"/>
      <c r="BF143" s="568"/>
      <c r="BG143" s="566"/>
      <c r="BH143" s="567"/>
      <c r="BI143" s="568"/>
      <c r="BJ143" s="566"/>
      <c r="BK143" s="567"/>
      <c r="BL143" s="895"/>
      <c r="BM143" s="768"/>
      <c r="BN143" s="768"/>
      <c r="BO143" s="897"/>
      <c r="BP143" s="895"/>
      <c r="BQ143" s="896"/>
      <c r="BR143" s="768"/>
      <c r="BS143" s="895"/>
      <c r="BT143" s="768"/>
      <c r="BU143" s="768"/>
      <c r="BV143" s="895"/>
      <c r="BW143" s="768"/>
      <c r="BX143" s="2552"/>
      <c r="BY143" s="895"/>
      <c r="BZ143" s="896"/>
      <c r="CA143" s="768"/>
    </row>
    <row r="144" spans="1:79" ht="18.75" customHeight="1" x14ac:dyDescent="0.4">
      <c r="A144" s="249"/>
      <c r="B144" s="249"/>
      <c r="C144" s="584" t="s">
        <v>307</v>
      </c>
      <c r="D144" s="899"/>
      <c r="E144" s="862"/>
      <c r="F144" s="863"/>
      <c r="G144" s="900"/>
      <c r="H144" s="901"/>
      <c r="I144" s="857"/>
      <c r="J144" s="635"/>
      <c r="K144" s="2682"/>
      <c r="L144" s="849"/>
      <c r="M144" s="905"/>
      <c r="N144" s="906"/>
      <c r="O144" s="907"/>
      <c r="P144" s="778"/>
      <c r="Q144" s="779" t="s">
        <v>360</v>
      </c>
      <c r="R144" s="902"/>
      <c r="S144" s="696"/>
      <c r="T144" s="696"/>
      <c r="U144" s="903"/>
      <c r="V144" s="904"/>
      <c r="W144" s="683"/>
      <c r="X144" s="783"/>
      <c r="Y144" s="905"/>
      <c r="Z144" s="906"/>
      <c r="AA144" s="907"/>
      <c r="AB144" s="908"/>
      <c r="AC144" s="908"/>
      <c r="AD144" s="908"/>
      <c r="AE144" s="895"/>
      <c r="AF144" s="896"/>
      <c r="AG144" s="768"/>
      <c r="AH144" s="895"/>
      <c r="AI144" s="896"/>
      <c r="AJ144" s="768"/>
      <c r="AK144" s="895"/>
      <c r="AL144" s="896"/>
      <c r="AM144" s="768"/>
      <c r="AN144" s="895"/>
      <c r="AO144" s="896"/>
      <c r="AP144" s="768"/>
      <c r="AQ144" s="895"/>
      <c r="AR144" s="896"/>
      <c r="AS144" s="768"/>
      <c r="AT144" s="895"/>
      <c r="AU144" s="896"/>
      <c r="AV144" s="768"/>
      <c r="AW144" s="895"/>
      <c r="AX144" s="896"/>
      <c r="AY144" s="768"/>
      <c r="AZ144" s="895"/>
      <c r="BA144" s="896"/>
      <c r="BB144" s="768"/>
      <c r="BC144" s="895"/>
      <c r="BD144" s="896"/>
      <c r="BE144" s="768"/>
      <c r="BF144" s="568"/>
      <c r="BG144" s="566"/>
      <c r="BH144" s="567"/>
      <c r="BI144" s="568"/>
      <c r="BJ144" s="566"/>
      <c r="BK144" s="567"/>
      <c r="BL144" s="895"/>
      <c r="BM144" s="768"/>
      <c r="BN144" s="768"/>
      <c r="BO144" s="897"/>
      <c r="BP144" s="895"/>
      <c r="BQ144" s="896"/>
      <c r="BR144" s="768"/>
      <c r="BS144" s="895"/>
      <c r="BT144" s="768"/>
      <c r="BU144" s="768"/>
      <c r="BV144" s="895"/>
      <c r="BW144" s="567"/>
      <c r="BX144" s="2552"/>
      <c r="BY144" s="895"/>
      <c r="BZ144" s="896"/>
      <c r="CA144" s="768"/>
    </row>
    <row r="145" spans="1:79" ht="18.75" customHeight="1" x14ac:dyDescent="0.4">
      <c r="A145" s="249"/>
      <c r="B145" s="249"/>
      <c r="C145" s="584">
        <v>0.42013888888888901</v>
      </c>
      <c r="D145" s="587"/>
      <c r="E145" s="688"/>
      <c r="F145" s="688"/>
      <c r="G145" s="588"/>
      <c r="H145" s="594"/>
      <c r="I145" s="847"/>
      <c r="J145" s="635"/>
      <c r="K145" s="2682"/>
      <c r="L145" s="849"/>
      <c r="M145" s="686"/>
      <c r="N145" s="745"/>
      <c r="O145" s="685"/>
      <c r="P145" s="795"/>
      <c r="Q145" s="769"/>
      <c r="R145" s="852"/>
      <c r="S145" s="696"/>
      <c r="T145" s="696"/>
      <c r="U145" s="903"/>
      <c r="V145" s="709"/>
      <c r="W145" s="709"/>
      <c r="X145" s="783"/>
      <c r="Y145" s="686"/>
      <c r="Z145" s="745"/>
      <c r="AA145" s="685"/>
      <c r="AB145" s="908"/>
      <c r="AC145" s="908"/>
      <c r="AD145" s="908"/>
      <c r="AE145" s="568"/>
      <c r="AF145" s="566"/>
      <c r="AG145" s="567"/>
      <c r="AH145" s="568"/>
      <c r="AI145" s="566"/>
      <c r="AJ145" s="567"/>
      <c r="AK145" s="568"/>
      <c r="AL145" s="566"/>
      <c r="AM145" s="567"/>
      <c r="AN145" s="568"/>
      <c r="AO145" s="566"/>
      <c r="AP145" s="567"/>
      <c r="AQ145" s="568"/>
      <c r="AR145" s="566"/>
      <c r="AS145" s="567"/>
      <c r="AT145" s="568"/>
      <c r="AU145" s="566"/>
      <c r="AV145" s="567"/>
      <c r="AW145" s="568"/>
      <c r="AX145" s="566"/>
      <c r="AY145" s="567"/>
      <c r="AZ145" s="568"/>
      <c r="BA145" s="566"/>
      <c r="BB145" s="567"/>
      <c r="BC145" s="568"/>
      <c r="BD145" s="566"/>
      <c r="BE145" s="567"/>
      <c r="BF145" s="567"/>
      <c r="BG145" s="767"/>
      <c r="BH145" s="768"/>
      <c r="BI145" s="567"/>
      <c r="BJ145" s="767"/>
      <c r="BK145" s="768"/>
      <c r="BL145" s="568"/>
      <c r="BM145" s="567"/>
      <c r="BN145" s="567"/>
      <c r="BO145" s="567"/>
      <c r="BP145" s="568"/>
      <c r="BQ145" s="566"/>
      <c r="BR145" s="567"/>
      <c r="BS145" s="568"/>
      <c r="BT145" s="567"/>
      <c r="BU145" s="567"/>
      <c r="BV145" s="568"/>
      <c r="BW145" s="759"/>
      <c r="BX145" s="2807"/>
      <c r="BY145" s="568"/>
      <c r="BZ145" s="566"/>
      <c r="CA145" s="567"/>
    </row>
    <row r="146" spans="1:79" ht="14.85" customHeight="1" x14ac:dyDescent="0.4">
      <c r="A146" s="249"/>
      <c r="B146" s="249"/>
      <c r="C146" s="584">
        <v>0.42361111111111099</v>
      </c>
      <c r="D146" s="587"/>
      <c r="E146" s="688"/>
      <c r="F146" s="688"/>
      <c r="G146" s="588"/>
      <c r="H146" s="594"/>
      <c r="I146" s="847"/>
      <c r="J146" s="743"/>
      <c r="K146" s="2682"/>
      <c r="L146" s="705"/>
      <c r="M146" s="791"/>
      <c r="N146" s="745"/>
      <c r="O146" s="791"/>
      <c r="P146" s="744"/>
      <c r="Q146" s="2840" t="s">
        <v>341</v>
      </c>
      <c r="R146" s="708"/>
      <c r="S146" s="696"/>
      <c r="T146" s="696"/>
      <c r="U146" s="697"/>
      <c r="V146" s="709"/>
      <c r="W146" s="709"/>
      <c r="X146" s="684"/>
      <c r="Y146" s="791"/>
      <c r="Z146" s="745"/>
      <c r="AA146" s="791"/>
      <c r="AB146" s="687"/>
      <c r="AC146" s="687"/>
      <c r="AD146" s="687"/>
      <c r="AE146" s="568"/>
      <c r="AF146" s="777"/>
      <c r="AG146" s="759"/>
      <c r="AH146" s="568"/>
      <c r="AI146" s="777"/>
      <c r="AJ146" s="759"/>
      <c r="AK146" s="568"/>
      <c r="AL146" s="777"/>
      <c r="AM146" s="759"/>
      <c r="AN146" s="568"/>
      <c r="AO146" s="777"/>
      <c r="AP146" s="759"/>
      <c r="AQ146" s="568"/>
      <c r="AR146" s="777"/>
      <c r="AS146" s="759"/>
      <c r="AT146" s="568"/>
      <c r="AU146" s="777"/>
      <c r="AV146" s="759"/>
      <c r="AW146" s="568"/>
      <c r="AX146" s="777"/>
      <c r="AY146" s="759"/>
      <c r="AZ146" s="568"/>
      <c r="BA146" s="777"/>
      <c r="BB146" s="759"/>
      <c r="BC146" s="568"/>
      <c r="BD146" s="777"/>
      <c r="BE146" s="759"/>
      <c r="BF146" s="567"/>
      <c r="BG146" s="767"/>
      <c r="BH146" s="768"/>
      <c r="BI146" s="567"/>
      <c r="BJ146" s="767"/>
      <c r="BK146" s="768"/>
      <c r="BL146" s="568"/>
      <c r="BM146" s="759"/>
      <c r="BN146" s="759"/>
      <c r="BO146" s="567"/>
      <c r="BP146" s="568"/>
      <c r="BQ146" s="777"/>
      <c r="BR146" s="759"/>
      <c r="BS146" s="568"/>
      <c r="BT146" s="759"/>
      <c r="BU146" s="759"/>
      <c r="BV146" s="568"/>
      <c r="BW146" s="759"/>
      <c r="BX146" s="909"/>
      <c r="BY146" s="568"/>
      <c r="BZ146" s="777"/>
      <c r="CA146" s="759"/>
    </row>
    <row r="147" spans="1:79" ht="18.75" customHeight="1" x14ac:dyDescent="0.4">
      <c r="A147" s="249"/>
      <c r="B147" s="249"/>
      <c r="C147" s="584">
        <v>0.42708333333333331</v>
      </c>
      <c r="D147" s="589"/>
      <c r="E147" s="614"/>
      <c r="F147" s="910"/>
      <c r="G147" s="590"/>
      <c r="H147" s="911"/>
      <c r="I147" s="742"/>
      <c r="J147" s="704"/>
      <c r="K147" s="2682"/>
      <c r="L147" s="705"/>
      <c r="M147" s="685"/>
      <c r="N147" s="745" t="s">
        <v>331</v>
      </c>
      <c r="O147" s="791"/>
      <c r="P147" s="706"/>
      <c r="Q147" s="2840"/>
      <c r="R147" s="708"/>
      <c r="S147" s="696"/>
      <c r="T147" s="696" t="s">
        <v>338</v>
      </c>
      <c r="U147" s="697"/>
      <c r="V147" s="683"/>
      <c r="W147" s="709" t="s">
        <v>332</v>
      </c>
      <c r="X147" s="783"/>
      <c r="Y147" s="685"/>
      <c r="Z147" s="745" t="s">
        <v>331</v>
      </c>
      <c r="AA147" s="791"/>
      <c r="AB147" s="908"/>
      <c r="AC147" s="908"/>
      <c r="AD147" s="908"/>
      <c r="AE147" s="568"/>
      <c r="AF147" s="777"/>
      <c r="AG147" s="759"/>
      <c r="AH147" s="568"/>
      <c r="AI147" s="777"/>
      <c r="AJ147" s="759"/>
      <c r="AK147" s="568"/>
      <c r="AL147" s="777"/>
      <c r="AM147" s="759"/>
      <c r="AN147" s="568"/>
      <c r="AO147" s="777"/>
      <c r="AP147" s="759"/>
      <c r="AQ147" s="568"/>
      <c r="AR147" s="777"/>
      <c r="AS147" s="759"/>
      <c r="AT147" s="568"/>
      <c r="AU147" s="777"/>
      <c r="AV147" s="759"/>
      <c r="AW147" s="568"/>
      <c r="AX147" s="777"/>
      <c r="AY147" s="759"/>
      <c r="AZ147" s="568"/>
      <c r="BA147" s="777"/>
      <c r="BB147" s="759"/>
      <c r="BC147" s="568"/>
      <c r="BD147" s="777"/>
      <c r="BE147" s="759"/>
      <c r="BF147" s="567"/>
      <c r="BG147" s="767"/>
      <c r="BH147" s="768"/>
      <c r="BI147" s="567"/>
      <c r="BJ147" s="767"/>
      <c r="BK147" s="768"/>
      <c r="BL147" s="568"/>
      <c r="BM147" s="759"/>
      <c r="BN147" s="759"/>
      <c r="BO147" s="567"/>
      <c r="BP147" s="568"/>
      <c r="BQ147" s="777"/>
      <c r="BR147" s="759"/>
      <c r="BS147" s="568"/>
      <c r="BT147" s="759"/>
      <c r="BU147" s="759"/>
      <c r="BV147" s="568"/>
      <c r="BW147" s="759"/>
      <c r="BX147" s="909"/>
      <c r="BY147" s="568"/>
      <c r="BZ147" s="777"/>
      <c r="CA147" s="759"/>
    </row>
    <row r="148" spans="1:79" ht="18.75" customHeight="1" x14ac:dyDescent="0.4">
      <c r="A148" s="249"/>
      <c r="B148" s="249"/>
      <c r="C148" s="584" t="s">
        <v>307</v>
      </c>
      <c r="D148" s="746"/>
      <c r="E148" s="910"/>
      <c r="F148" s="910"/>
      <c r="G148" s="748"/>
      <c r="H148" s="911"/>
      <c r="I148" s="742"/>
      <c r="J148" s="635"/>
      <c r="K148" s="743"/>
      <c r="L148" s="705"/>
      <c r="M148" s="685"/>
      <c r="N148" s="745" t="s">
        <v>333</v>
      </c>
      <c r="O148" s="685"/>
      <c r="P148" s="795"/>
      <c r="Q148" s="2840"/>
      <c r="R148" s="708"/>
      <c r="S148" s="696"/>
      <c r="T148" s="696" t="s">
        <v>334</v>
      </c>
      <c r="U148" s="697"/>
      <c r="V148" s="886"/>
      <c r="W148" s="709" t="s">
        <v>335</v>
      </c>
      <c r="X148" s="684"/>
      <c r="Y148" s="685"/>
      <c r="Z148" s="745" t="s">
        <v>333</v>
      </c>
      <c r="AA148" s="685"/>
      <c r="AB148" s="908"/>
      <c r="AC148" s="912"/>
      <c r="AD148" s="908"/>
      <c r="AE148" s="568"/>
      <c r="AF148" s="777"/>
      <c r="AG148" s="759"/>
      <c r="AH148" s="568"/>
      <c r="AI148" s="777"/>
      <c r="AJ148" s="759"/>
      <c r="AK148" s="568"/>
      <c r="AL148" s="777"/>
      <c r="AM148" s="759"/>
      <c r="AN148" s="568"/>
      <c r="AO148" s="777"/>
      <c r="AP148" s="759"/>
      <c r="AQ148" s="568"/>
      <c r="AR148" s="777"/>
      <c r="AS148" s="759"/>
      <c r="AT148" s="568"/>
      <c r="AU148" s="777"/>
      <c r="AV148" s="759"/>
      <c r="AW148" s="568"/>
      <c r="AX148" s="777"/>
      <c r="AY148" s="759"/>
      <c r="AZ148" s="568"/>
      <c r="BA148" s="777"/>
      <c r="BB148" s="759"/>
      <c r="BC148" s="568"/>
      <c r="BD148" s="777"/>
      <c r="BE148" s="759"/>
      <c r="BF148" s="567"/>
      <c r="BG148" s="767"/>
      <c r="BH148" s="768"/>
      <c r="BI148" s="567"/>
      <c r="BJ148" s="767"/>
      <c r="BK148" s="768"/>
      <c r="BL148" s="568"/>
      <c r="BM148" s="759"/>
      <c r="BN148" s="759"/>
      <c r="BO148" s="567"/>
      <c r="BP148" s="568"/>
      <c r="BQ148" s="777"/>
      <c r="BR148" s="759"/>
      <c r="BS148" s="568"/>
      <c r="BT148" s="759"/>
      <c r="BU148" s="759"/>
      <c r="BV148" s="568"/>
      <c r="BW148" s="759"/>
      <c r="BX148" s="909"/>
      <c r="BY148" s="568"/>
      <c r="BZ148" s="777"/>
      <c r="CA148" s="759"/>
    </row>
    <row r="149" spans="1:79" ht="18.75" customHeight="1" x14ac:dyDescent="0.4">
      <c r="A149" s="249"/>
      <c r="B149" s="249"/>
      <c r="C149" s="584" t="s">
        <v>307</v>
      </c>
      <c r="D149" s="587"/>
      <c r="E149" s="910"/>
      <c r="F149" s="910"/>
      <c r="G149" s="588"/>
      <c r="H149" s="911"/>
      <c r="I149" s="742"/>
      <c r="J149" s="582"/>
      <c r="K149" s="743"/>
      <c r="L149" s="913"/>
      <c r="M149" s="685"/>
      <c r="N149" s="793" t="s">
        <v>336</v>
      </c>
      <c r="O149" s="915"/>
      <c r="P149" s="850"/>
      <c r="Q149" s="2840"/>
      <c r="R149" s="914"/>
      <c r="S149" s="696"/>
      <c r="T149" s="864" t="s">
        <v>351</v>
      </c>
      <c r="U149" s="697"/>
      <c r="V149" s="683"/>
      <c r="W149" s="709"/>
      <c r="X149" s="684"/>
      <c r="Y149" s="685"/>
      <c r="Z149" s="793" t="s">
        <v>336</v>
      </c>
      <c r="AA149" s="915"/>
      <c r="AB149" s="916"/>
      <c r="AC149" s="869"/>
      <c r="AD149" s="916"/>
      <c r="AE149" s="568"/>
      <c r="AF149" s="777"/>
      <c r="AG149" s="759"/>
      <c r="AH149" s="568"/>
      <c r="AI149" s="777"/>
      <c r="AJ149" s="759"/>
      <c r="AK149" s="568"/>
      <c r="AL149" s="777"/>
      <c r="AM149" s="759"/>
      <c r="AN149" s="568"/>
      <c r="AO149" s="777"/>
      <c r="AP149" s="759"/>
      <c r="AQ149" s="568"/>
      <c r="AR149" s="777"/>
      <c r="AS149" s="759"/>
      <c r="AT149" s="568"/>
      <c r="AU149" s="777"/>
      <c r="AV149" s="759"/>
      <c r="AW149" s="568"/>
      <c r="AX149" s="777"/>
      <c r="AY149" s="759"/>
      <c r="AZ149" s="568"/>
      <c r="BA149" s="777"/>
      <c r="BB149" s="759"/>
      <c r="BC149" s="568"/>
      <c r="BD149" s="777"/>
      <c r="BE149" s="759"/>
      <c r="BF149" s="567"/>
      <c r="BG149" s="767"/>
      <c r="BH149" s="768"/>
      <c r="BI149" s="567"/>
      <c r="BJ149" s="767"/>
      <c r="BK149" s="768"/>
      <c r="BL149" s="568"/>
      <c r="BM149" s="759"/>
      <c r="BN149" s="759"/>
      <c r="BO149" s="567"/>
      <c r="BP149" s="568"/>
      <c r="BQ149" s="777"/>
      <c r="BR149" s="759"/>
      <c r="BS149" s="568"/>
      <c r="BT149" s="759"/>
      <c r="BU149" s="759"/>
      <c r="BV149" s="568"/>
      <c r="BW149" s="917"/>
      <c r="BX149" s="909"/>
      <c r="BY149" s="568"/>
      <c r="BZ149" s="777"/>
      <c r="CA149" s="759"/>
    </row>
    <row r="150" spans="1:79" ht="19.350000000000001" customHeight="1" x14ac:dyDescent="0.4">
      <c r="A150" s="249"/>
      <c r="B150" s="249"/>
      <c r="C150" s="584" t="s">
        <v>307</v>
      </c>
      <c r="D150" s="844"/>
      <c r="E150" s="910"/>
      <c r="F150" s="910"/>
      <c r="G150" s="846"/>
      <c r="H150" s="911"/>
      <c r="I150" s="918"/>
      <c r="J150" s="582"/>
      <c r="K150" s="743"/>
      <c r="L150" s="913"/>
      <c r="M150" s="685"/>
      <c r="N150" s="745"/>
      <c r="O150" s="915"/>
      <c r="P150" s="850"/>
      <c r="Q150" s="2840"/>
      <c r="R150" s="914"/>
      <c r="S150" s="696"/>
      <c r="T150" s="696"/>
      <c r="U150" s="697"/>
      <c r="V150" s="886"/>
      <c r="W150" s="709"/>
      <c r="X150" s="684"/>
      <c r="Y150" s="685"/>
      <c r="Z150" s="745"/>
      <c r="AA150" s="915"/>
      <c r="AB150" s="916"/>
      <c r="AC150" s="916"/>
      <c r="AD150" s="916"/>
      <c r="AE150" s="568"/>
      <c r="AF150" s="919"/>
      <c r="AG150" s="917"/>
      <c r="AH150" s="568"/>
      <c r="AI150" s="919"/>
      <c r="AJ150" s="917"/>
      <c r="AK150" s="568"/>
      <c r="AL150" s="919"/>
      <c r="AM150" s="917"/>
      <c r="AN150" s="568"/>
      <c r="AO150" s="919"/>
      <c r="AP150" s="917"/>
      <c r="AQ150" s="568"/>
      <c r="AR150" s="919"/>
      <c r="AS150" s="917"/>
      <c r="AT150" s="568"/>
      <c r="AU150" s="919"/>
      <c r="AV150" s="917"/>
      <c r="AW150" s="568"/>
      <c r="AX150" s="919"/>
      <c r="AY150" s="917"/>
      <c r="AZ150" s="568"/>
      <c r="BA150" s="919"/>
      <c r="BB150" s="917"/>
      <c r="BC150" s="568"/>
      <c r="BD150" s="919"/>
      <c r="BE150" s="917"/>
      <c r="BF150" s="567"/>
      <c r="BG150" s="767"/>
      <c r="BH150" s="768"/>
      <c r="BI150" s="567"/>
      <c r="BJ150" s="767"/>
      <c r="BK150" s="768"/>
      <c r="BL150" s="568"/>
      <c r="BM150" s="917"/>
      <c r="BN150" s="917"/>
      <c r="BO150" s="567"/>
      <c r="BP150" s="568"/>
      <c r="BQ150" s="919"/>
      <c r="BR150" s="917"/>
      <c r="BS150" s="568"/>
      <c r="BT150" s="917"/>
      <c r="BU150" s="917"/>
      <c r="BV150" s="568"/>
      <c r="BW150" s="917"/>
      <c r="BX150" s="2551"/>
      <c r="BY150" s="568"/>
      <c r="BZ150" s="919"/>
      <c r="CA150" s="917"/>
    </row>
    <row r="151" spans="1:79" ht="19.350000000000001" customHeight="1" x14ac:dyDescent="0.4">
      <c r="A151" s="249"/>
      <c r="B151" s="249"/>
      <c r="C151" s="584"/>
      <c r="D151" s="844"/>
      <c r="E151" s="910"/>
      <c r="F151" s="910"/>
      <c r="G151" s="846"/>
      <c r="H151" s="911"/>
      <c r="I151" s="918"/>
      <c r="J151" s="582"/>
      <c r="K151" s="743"/>
      <c r="L151" s="913"/>
      <c r="M151" s="685"/>
      <c r="N151" s="745"/>
      <c r="O151" s="915"/>
      <c r="P151" s="850"/>
      <c r="Q151" s="2840"/>
      <c r="R151" s="914"/>
      <c r="S151" s="696"/>
      <c r="T151" s="696"/>
      <c r="U151" s="697"/>
      <c r="V151" s="886"/>
      <c r="W151" s="709"/>
      <c r="X151" s="684"/>
      <c r="Y151" s="685"/>
      <c r="Z151" s="745"/>
      <c r="AA151" s="915"/>
      <c r="AB151" s="908"/>
      <c r="AC151" s="908"/>
      <c r="AD151" s="908"/>
      <c r="AE151" s="568"/>
      <c r="AF151" s="919"/>
      <c r="AG151" s="917"/>
      <c r="AH151" s="568"/>
      <c r="AI151" s="919"/>
      <c r="AJ151" s="917"/>
      <c r="AK151" s="568"/>
      <c r="AL151" s="919"/>
      <c r="AM151" s="917"/>
      <c r="AN151" s="568"/>
      <c r="AO151" s="919"/>
      <c r="AP151" s="917"/>
      <c r="AQ151" s="568"/>
      <c r="AR151" s="919"/>
      <c r="AS151" s="917"/>
      <c r="AT151" s="568"/>
      <c r="AU151" s="919"/>
      <c r="AV151" s="917"/>
      <c r="AW151" s="568"/>
      <c r="AX151" s="919"/>
      <c r="AY151" s="917"/>
      <c r="AZ151" s="568"/>
      <c r="BA151" s="919"/>
      <c r="BB151" s="917"/>
      <c r="BC151" s="568"/>
      <c r="BD151" s="919"/>
      <c r="BE151" s="917"/>
      <c r="BF151" s="567"/>
      <c r="BG151" s="767"/>
      <c r="BH151" s="768"/>
      <c r="BI151" s="567"/>
      <c r="BJ151" s="767"/>
      <c r="BK151" s="768"/>
      <c r="BL151" s="568"/>
      <c r="BM151" s="917"/>
      <c r="BN151" s="917"/>
      <c r="BO151" s="567"/>
      <c r="BP151" s="568"/>
      <c r="BQ151" s="919"/>
      <c r="BR151" s="917"/>
      <c r="BS151" s="568"/>
      <c r="BT151" s="917"/>
      <c r="BU151" s="917"/>
      <c r="BV151" s="568"/>
      <c r="BW151" s="917"/>
      <c r="BX151" s="2551"/>
      <c r="BY151" s="568"/>
      <c r="BZ151" s="919"/>
      <c r="CA151" s="917"/>
    </row>
    <row r="152" spans="1:79" ht="19.350000000000001" customHeight="1" x14ac:dyDescent="0.4">
      <c r="A152" s="249"/>
      <c r="B152" s="249"/>
      <c r="C152" s="584">
        <v>0.43055555555555503</v>
      </c>
      <c r="D152" s="844"/>
      <c r="E152" s="910"/>
      <c r="F152" s="910"/>
      <c r="G152" s="846"/>
      <c r="H152" s="911"/>
      <c r="I152" s="918"/>
      <c r="J152" s="582"/>
      <c r="K152" s="743"/>
      <c r="L152" s="913"/>
      <c r="M152" s="905"/>
      <c r="N152" s="745"/>
      <c r="O152" s="915"/>
      <c r="P152" s="850"/>
      <c r="Q152" s="2840"/>
      <c r="R152" s="914"/>
      <c r="S152" s="696"/>
      <c r="T152" s="696"/>
      <c r="U152" s="697"/>
      <c r="V152" s="886"/>
      <c r="W152" s="709"/>
      <c r="X152" s="684"/>
      <c r="Y152" s="905"/>
      <c r="Z152" s="745"/>
      <c r="AA152" s="915"/>
      <c r="AB152" s="908"/>
      <c r="AC152" s="908"/>
      <c r="AD152" s="908"/>
      <c r="AE152" s="568"/>
      <c r="AF152" s="919"/>
      <c r="AG152" s="917"/>
      <c r="AH152" s="568"/>
      <c r="AI152" s="919"/>
      <c r="AJ152" s="917"/>
      <c r="AK152" s="568"/>
      <c r="AL152" s="919"/>
      <c r="AM152" s="917"/>
      <c r="AN152" s="568"/>
      <c r="AO152" s="919"/>
      <c r="AP152" s="917"/>
      <c r="AQ152" s="568"/>
      <c r="AR152" s="919"/>
      <c r="AS152" s="917"/>
      <c r="AT152" s="568"/>
      <c r="AU152" s="919"/>
      <c r="AV152" s="917"/>
      <c r="AW152" s="568"/>
      <c r="AX152" s="919"/>
      <c r="AY152" s="917"/>
      <c r="AZ152" s="568"/>
      <c r="BA152" s="919"/>
      <c r="BB152" s="917"/>
      <c r="BC152" s="568"/>
      <c r="BD152" s="919"/>
      <c r="BE152" s="917"/>
      <c r="BF152" s="567"/>
      <c r="BG152" s="767"/>
      <c r="BH152" s="768"/>
      <c r="BI152" s="567"/>
      <c r="BJ152" s="767"/>
      <c r="BK152" s="768"/>
      <c r="BL152" s="568"/>
      <c r="BM152" s="917"/>
      <c r="BN152" s="917"/>
      <c r="BO152" s="567"/>
      <c r="BP152" s="568"/>
      <c r="BQ152" s="919"/>
      <c r="BR152" s="917"/>
      <c r="BS152" s="568"/>
      <c r="BT152" s="917"/>
      <c r="BU152" s="917"/>
      <c r="BV152" s="568"/>
      <c r="BW152" s="567"/>
      <c r="BX152" s="2551"/>
      <c r="BY152" s="568"/>
      <c r="BZ152" s="919"/>
      <c r="CA152" s="917"/>
    </row>
    <row r="153" spans="1:79" ht="14.85" customHeight="1" x14ac:dyDescent="0.4">
      <c r="A153" s="249"/>
      <c r="B153" s="249"/>
      <c r="C153" s="584">
        <v>0.43402777777777801</v>
      </c>
      <c r="D153" s="844"/>
      <c r="E153" s="910"/>
      <c r="F153" s="910"/>
      <c r="G153" s="846"/>
      <c r="H153" s="911"/>
      <c r="I153" s="918"/>
      <c r="J153" s="743"/>
      <c r="K153" s="743"/>
      <c r="L153" s="705"/>
      <c r="M153" s="685"/>
      <c r="N153" s="745"/>
      <c r="O153" s="791"/>
      <c r="P153" s="744"/>
      <c r="Q153" s="2840"/>
      <c r="R153" s="708"/>
      <c r="S153" s="696"/>
      <c r="T153" s="696"/>
      <c r="U153" s="697"/>
      <c r="V153" s="886"/>
      <c r="W153" s="709"/>
      <c r="X153" s="684"/>
      <c r="Y153" s="685"/>
      <c r="Z153" s="745"/>
      <c r="AA153" s="791"/>
      <c r="AB153" s="687"/>
      <c r="AC153" s="687"/>
      <c r="AD153" s="687"/>
      <c r="AE153" s="568"/>
      <c r="AF153" s="566"/>
      <c r="AG153" s="567"/>
      <c r="AH153" s="568"/>
      <c r="AI153" s="566"/>
      <c r="AJ153" s="567"/>
      <c r="AK153" s="568"/>
      <c r="AL153" s="566"/>
      <c r="AM153" s="567"/>
      <c r="AN153" s="568"/>
      <c r="AO153" s="566"/>
      <c r="AP153" s="567"/>
      <c r="AQ153" s="568"/>
      <c r="AR153" s="566"/>
      <c r="AS153" s="567"/>
      <c r="AT153" s="568"/>
      <c r="AU153" s="566"/>
      <c r="AV153" s="567"/>
      <c r="AW153" s="568"/>
      <c r="AX153" s="566"/>
      <c r="AY153" s="567"/>
      <c r="AZ153" s="568"/>
      <c r="BA153" s="566"/>
      <c r="BB153" s="567"/>
      <c r="BC153" s="568"/>
      <c r="BD153" s="566"/>
      <c r="BE153" s="567"/>
      <c r="BF153" s="567"/>
      <c r="BG153" s="767"/>
      <c r="BH153" s="768"/>
      <c r="BI153" s="567"/>
      <c r="BJ153" s="767"/>
      <c r="BK153" s="768"/>
      <c r="BL153" s="568"/>
      <c r="BM153" s="567"/>
      <c r="BN153" s="567"/>
      <c r="BO153" s="567"/>
      <c r="BP153" s="568"/>
      <c r="BQ153" s="566"/>
      <c r="BR153" s="567"/>
      <c r="BS153" s="568"/>
      <c r="BT153" s="567"/>
      <c r="BU153" s="567"/>
      <c r="BV153" s="568"/>
      <c r="BW153" s="567"/>
      <c r="BX153" s="2807"/>
      <c r="BY153" s="568"/>
      <c r="BZ153" s="566"/>
      <c r="CA153" s="567"/>
    </row>
    <row r="154" spans="1:79" ht="18.75" customHeight="1" x14ac:dyDescent="0.4">
      <c r="A154" s="249"/>
      <c r="B154" s="249"/>
      <c r="C154" s="584">
        <v>0.4375</v>
      </c>
      <c r="D154" s="589"/>
      <c r="E154" s="2839" t="s">
        <v>361</v>
      </c>
      <c r="F154" s="910"/>
      <c r="G154" s="590"/>
      <c r="H154" s="599" t="s">
        <v>278</v>
      </c>
      <c r="I154" s="742"/>
      <c r="J154" s="704"/>
      <c r="K154" s="920"/>
      <c r="L154" s="849"/>
      <c r="M154" s="685"/>
      <c r="N154" s="745" t="s">
        <v>330</v>
      </c>
      <c r="O154" s="791"/>
      <c r="P154" s="706"/>
      <c r="Q154" s="921"/>
      <c r="R154" s="852"/>
      <c r="S154" s="696"/>
      <c r="T154" s="696" t="s">
        <v>331</v>
      </c>
      <c r="U154" s="697"/>
      <c r="V154" s="683"/>
      <c r="W154" s="709" t="s">
        <v>332</v>
      </c>
      <c r="X154" s="684"/>
      <c r="Y154" s="685"/>
      <c r="Z154" s="745" t="s">
        <v>330</v>
      </c>
      <c r="AA154" s="791"/>
      <c r="AB154" s="922"/>
      <c r="AC154" s="923"/>
      <c r="AD154" s="922"/>
      <c r="AE154" s="568"/>
      <c r="AF154" s="566"/>
      <c r="AG154" s="567"/>
      <c r="AH154" s="568"/>
      <c r="AI154" s="566"/>
      <c r="AJ154" s="567"/>
      <c r="AK154" s="568"/>
      <c r="AL154" s="566"/>
      <c r="AM154" s="567"/>
      <c r="AN154" s="568"/>
      <c r="AO154" s="566"/>
      <c r="AP154" s="567"/>
      <c r="AQ154" s="568"/>
      <c r="AR154" s="566"/>
      <c r="AS154" s="567"/>
      <c r="AT154" s="568"/>
      <c r="AU154" s="566"/>
      <c r="AV154" s="567"/>
      <c r="AW154" s="568"/>
      <c r="AX154" s="566"/>
      <c r="AY154" s="567"/>
      <c r="AZ154" s="568"/>
      <c r="BA154" s="566"/>
      <c r="BB154" s="567"/>
      <c r="BC154" s="568"/>
      <c r="BD154" s="566"/>
      <c r="BE154" s="567"/>
      <c r="BF154" s="567"/>
      <c r="BG154" s="767"/>
      <c r="BH154" s="768"/>
      <c r="BI154" s="567"/>
      <c r="BJ154" s="767"/>
      <c r="BK154" s="768"/>
      <c r="BL154" s="568"/>
      <c r="BM154" s="567"/>
      <c r="BN154" s="567"/>
      <c r="BO154" s="567"/>
      <c r="BP154" s="568"/>
      <c r="BQ154" s="566"/>
      <c r="BR154" s="567"/>
      <c r="BS154" s="568"/>
      <c r="BT154" s="567"/>
      <c r="BU154" s="567"/>
      <c r="BV154" s="568"/>
      <c r="BW154" s="567"/>
      <c r="BX154" s="2807"/>
      <c r="BY154" s="568"/>
      <c r="BZ154" s="566"/>
      <c r="CA154" s="567"/>
    </row>
    <row r="155" spans="1:79" ht="18.75" customHeight="1" x14ac:dyDescent="0.4">
      <c r="A155" s="249"/>
      <c r="B155" s="249"/>
      <c r="C155" s="584" t="s">
        <v>307</v>
      </c>
      <c r="D155" s="746"/>
      <c r="E155" s="2839"/>
      <c r="F155" s="771"/>
      <c r="G155" s="748"/>
      <c r="H155" s="612" t="s">
        <v>310</v>
      </c>
      <c r="I155" s="847"/>
      <c r="J155" s="635"/>
      <c r="K155" s="691"/>
      <c r="L155" s="849"/>
      <c r="M155" s="685"/>
      <c r="N155" s="745" t="s">
        <v>333</v>
      </c>
      <c r="O155" s="685"/>
      <c r="P155" s="795"/>
      <c r="Q155" s="769" t="s">
        <v>334</v>
      </c>
      <c r="R155" s="852"/>
      <c r="S155" s="696"/>
      <c r="T155" s="696" t="s">
        <v>334</v>
      </c>
      <c r="U155" s="697"/>
      <c r="V155" s="709"/>
      <c r="W155" s="709" t="s">
        <v>335</v>
      </c>
      <c r="X155" s="684"/>
      <c r="Y155" s="685"/>
      <c r="Z155" s="745" t="s">
        <v>333</v>
      </c>
      <c r="AA155" s="685"/>
      <c r="AB155" s="922"/>
      <c r="AC155" s="922"/>
      <c r="AD155" s="922"/>
      <c r="AE155" s="568"/>
      <c r="AF155" s="566"/>
      <c r="AG155" s="567"/>
      <c r="AH155" s="568"/>
      <c r="AI155" s="566"/>
      <c r="AJ155" s="567"/>
      <c r="AK155" s="568"/>
      <c r="AL155" s="566"/>
      <c r="AM155" s="567"/>
      <c r="AN155" s="568"/>
      <c r="AO155" s="566"/>
      <c r="AP155" s="567"/>
      <c r="AQ155" s="568"/>
      <c r="AR155" s="566"/>
      <c r="AS155" s="567"/>
      <c r="AT155" s="568"/>
      <c r="AU155" s="566"/>
      <c r="AV155" s="567"/>
      <c r="AW155" s="568"/>
      <c r="AX155" s="566"/>
      <c r="AY155" s="567"/>
      <c r="AZ155" s="568"/>
      <c r="BA155" s="566"/>
      <c r="BB155" s="567"/>
      <c r="BC155" s="568"/>
      <c r="BD155" s="566"/>
      <c r="BE155" s="567"/>
      <c r="BF155" s="567"/>
      <c r="BG155" s="767"/>
      <c r="BH155" s="768"/>
      <c r="BI155" s="567"/>
      <c r="BJ155" s="767"/>
      <c r="BK155" s="768"/>
      <c r="BL155" s="568"/>
      <c r="BM155" s="567"/>
      <c r="BN155" s="567"/>
      <c r="BO155" s="567"/>
      <c r="BP155" s="568"/>
      <c r="BQ155" s="566"/>
      <c r="BR155" s="567"/>
      <c r="BS155" s="568"/>
      <c r="BT155" s="567"/>
      <c r="BU155" s="567"/>
      <c r="BV155" s="568"/>
      <c r="BW155" s="567"/>
      <c r="BX155" s="2807"/>
      <c r="BY155" s="568"/>
      <c r="BZ155" s="566"/>
      <c r="CA155" s="567"/>
    </row>
    <row r="156" spans="1:79" ht="18.75" customHeight="1" x14ac:dyDescent="0.4">
      <c r="A156" s="249"/>
      <c r="B156" s="249"/>
      <c r="C156" s="584" t="s">
        <v>307</v>
      </c>
      <c r="D156" s="587"/>
      <c r="E156" s="2839"/>
      <c r="F156" s="688"/>
      <c r="G156" s="588"/>
      <c r="H156" s="594"/>
      <c r="I156" s="847"/>
      <c r="J156" s="635"/>
      <c r="K156" s="691"/>
      <c r="L156" s="849"/>
      <c r="M156" s="685"/>
      <c r="N156" s="745"/>
      <c r="O156" s="685"/>
      <c r="P156" s="795"/>
      <c r="Q156" s="769"/>
      <c r="R156" s="852"/>
      <c r="S156" s="696"/>
      <c r="T156" s="864" t="s">
        <v>351</v>
      </c>
      <c r="U156" s="697"/>
      <c r="V156" s="709"/>
      <c r="W156" s="924"/>
      <c r="X156" s="684"/>
      <c r="Y156" s="685"/>
      <c r="Z156" s="745"/>
      <c r="AA156" s="685"/>
      <c r="AB156" s="922"/>
      <c r="AC156" s="922"/>
      <c r="AD156" s="922"/>
      <c r="AE156" s="568"/>
      <c r="AF156" s="566"/>
      <c r="AG156" s="567"/>
      <c r="AH156" s="568"/>
      <c r="AI156" s="566"/>
      <c r="AJ156" s="567"/>
      <c r="AK156" s="568"/>
      <c r="AL156" s="566"/>
      <c r="AM156" s="567"/>
      <c r="AN156" s="568"/>
      <c r="AO156" s="566"/>
      <c r="AP156" s="567"/>
      <c r="AQ156" s="568"/>
      <c r="AR156" s="566"/>
      <c r="AS156" s="567"/>
      <c r="AT156" s="568"/>
      <c r="AU156" s="566"/>
      <c r="AV156" s="567"/>
      <c r="AW156" s="568"/>
      <c r="AX156" s="566"/>
      <c r="AY156" s="567"/>
      <c r="AZ156" s="568"/>
      <c r="BA156" s="566"/>
      <c r="BB156" s="567"/>
      <c r="BC156" s="568"/>
      <c r="BD156" s="566"/>
      <c r="BE156" s="567"/>
      <c r="BF156" s="567"/>
      <c r="BG156" s="767"/>
      <c r="BH156" s="768"/>
      <c r="BI156" s="567"/>
      <c r="BJ156" s="767"/>
      <c r="BK156" s="768"/>
      <c r="BL156" s="568"/>
      <c r="BM156" s="567"/>
      <c r="BN156" s="567"/>
      <c r="BO156" s="567"/>
      <c r="BP156" s="568"/>
      <c r="BQ156" s="566"/>
      <c r="BR156" s="567"/>
      <c r="BS156" s="568"/>
      <c r="BT156" s="567"/>
      <c r="BU156" s="567"/>
      <c r="BV156" s="568"/>
      <c r="BW156" s="567"/>
      <c r="BX156" s="2807"/>
      <c r="BY156" s="568"/>
      <c r="BZ156" s="566"/>
      <c r="CA156" s="567"/>
    </row>
    <row r="157" spans="1:79" ht="18.75" customHeight="1" x14ac:dyDescent="0.4">
      <c r="A157" s="249"/>
      <c r="B157" s="249"/>
      <c r="C157" s="584"/>
      <c r="D157" s="587"/>
      <c r="E157" s="2839"/>
      <c r="F157" s="688"/>
      <c r="G157" s="588"/>
      <c r="H157" s="594"/>
      <c r="I157" s="847"/>
      <c r="J157" s="635"/>
      <c r="K157" s="691"/>
      <c r="L157" s="849"/>
      <c r="M157" s="685"/>
      <c r="N157" s="745"/>
      <c r="O157" s="685"/>
      <c r="P157" s="795"/>
      <c r="Q157" s="769"/>
      <c r="R157" s="852"/>
      <c r="S157" s="696"/>
      <c r="T157" s="696"/>
      <c r="U157" s="697"/>
      <c r="V157" s="709"/>
      <c r="W157" s="925"/>
      <c r="X157" s="684"/>
      <c r="Y157" s="685"/>
      <c r="Z157" s="745"/>
      <c r="AA157" s="685"/>
      <c r="AB157" s="922"/>
      <c r="AC157" s="922"/>
      <c r="AD157" s="922"/>
      <c r="AE157" s="568"/>
      <c r="AF157" s="566"/>
      <c r="AG157" s="567"/>
      <c r="AH157" s="568"/>
      <c r="AI157" s="566"/>
      <c r="AJ157" s="567"/>
      <c r="AK157" s="568"/>
      <c r="AL157" s="566"/>
      <c r="AM157" s="567"/>
      <c r="AN157" s="568"/>
      <c r="AO157" s="566"/>
      <c r="AP157" s="567"/>
      <c r="AQ157" s="568"/>
      <c r="AR157" s="566"/>
      <c r="AS157" s="567"/>
      <c r="AT157" s="568"/>
      <c r="AU157" s="566"/>
      <c r="AV157" s="567"/>
      <c r="AW157" s="568"/>
      <c r="AX157" s="566"/>
      <c r="AY157" s="567"/>
      <c r="AZ157" s="568"/>
      <c r="BA157" s="566"/>
      <c r="BB157" s="567"/>
      <c r="BC157" s="568"/>
      <c r="BD157" s="566"/>
      <c r="BE157" s="567"/>
      <c r="BF157" s="567"/>
      <c r="BG157" s="767"/>
      <c r="BH157" s="768"/>
      <c r="BI157" s="567"/>
      <c r="BJ157" s="767"/>
      <c r="BK157" s="768"/>
      <c r="BL157" s="568"/>
      <c r="BM157" s="567"/>
      <c r="BN157" s="567"/>
      <c r="BO157" s="567"/>
      <c r="BP157" s="568"/>
      <c r="BQ157" s="566"/>
      <c r="BR157" s="567"/>
      <c r="BS157" s="568"/>
      <c r="BT157" s="567"/>
      <c r="BU157" s="567"/>
      <c r="BV157" s="568"/>
      <c r="BW157" s="567"/>
      <c r="BX157" s="2807"/>
      <c r="BY157" s="568"/>
      <c r="BZ157" s="566"/>
      <c r="CA157" s="567"/>
    </row>
    <row r="158" spans="1:79" ht="18.75" customHeight="1" x14ac:dyDescent="0.4">
      <c r="A158" s="249"/>
      <c r="B158" s="249"/>
      <c r="C158" s="584"/>
      <c r="D158" s="587"/>
      <c r="E158" s="2839"/>
      <c r="F158" s="688"/>
      <c r="G158" s="588"/>
      <c r="H158" s="594"/>
      <c r="I158" s="847"/>
      <c r="J158" s="635"/>
      <c r="K158" s="691"/>
      <c r="L158" s="849"/>
      <c r="M158" s="685"/>
      <c r="N158" s="745"/>
      <c r="O158" s="685"/>
      <c r="P158" s="795"/>
      <c r="Q158" s="769"/>
      <c r="R158" s="852"/>
      <c r="S158" s="696"/>
      <c r="T158" s="696"/>
      <c r="U158" s="697"/>
      <c r="V158" s="709"/>
      <c r="W158" s="926"/>
      <c r="X158" s="684"/>
      <c r="Y158" s="685"/>
      <c r="Z158" s="745"/>
      <c r="AA158" s="685"/>
      <c r="AB158" s="687"/>
      <c r="AC158" s="687"/>
      <c r="AD158" s="687"/>
      <c r="AE158" s="568"/>
      <c r="AF158" s="566"/>
      <c r="AG158" s="567"/>
      <c r="AH158" s="568"/>
      <c r="AI158" s="566"/>
      <c r="AJ158" s="567"/>
      <c r="AK158" s="568"/>
      <c r="AL158" s="566"/>
      <c r="AM158" s="567"/>
      <c r="AN158" s="568"/>
      <c r="AO158" s="566"/>
      <c r="AP158" s="567"/>
      <c r="AQ158" s="568"/>
      <c r="AR158" s="566"/>
      <c r="AS158" s="567"/>
      <c r="AT158" s="568"/>
      <c r="AU158" s="566"/>
      <c r="AV158" s="567"/>
      <c r="AW158" s="568"/>
      <c r="AX158" s="566"/>
      <c r="AY158" s="567"/>
      <c r="AZ158" s="568"/>
      <c r="BA158" s="566"/>
      <c r="BB158" s="567"/>
      <c r="BC158" s="568"/>
      <c r="BD158" s="566"/>
      <c r="BE158" s="567"/>
      <c r="BF158" s="567"/>
      <c r="BG158" s="767"/>
      <c r="BH158" s="768"/>
      <c r="BI158" s="567"/>
      <c r="BJ158" s="767"/>
      <c r="BK158" s="768"/>
      <c r="BL158" s="568"/>
      <c r="BM158" s="567"/>
      <c r="BN158" s="567"/>
      <c r="BO158" s="567"/>
      <c r="BP158" s="568"/>
      <c r="BQ158" s="566"/>
      <c r="BR158" s="567"/>
      <c r="BS158" s="568"/>
      <c r="BT158" s="567"/>
      <c r="BU158" s="567"/>
      <c r="BV158" s="568"/>
      <c r="BW158" s="567"/>
      <c r="BX158" s="2807"/>
      <c r="BY158" s="568"/>
      <c r="BZ158" s="566"/>
      <c r="CA158" s="567"/>
    </row>
    <row r="159" spans="1:79" ht="18.75" customHeight="1" x14ac:dyDescent="0.4">
      <c r="A159" s="249"/>
      <c r="B159" s="249"/>
      <c r="C159" s="584" t="s">
        <v>307</v>
      </c>
      <c r="D159" s="587"/>
      <c r="E159" s="2839"/>
      <c r="F159" s="688"/>
      <c r="G159" s="588"/>
      <c r="H159" s="594"/>
      <c r="I159" s="847"/>
      <c r="J159" s="635"/>
      <c r="K159" s="691"/>
      <c r="L159" s="849"/>
      <c r="M159" s="905"/>
      <c r="N159" s="928"/>
      <c r="O159" s="915"/>
      <c r="P159" s="795"/>
      <c r="Q159" s="769"/>
      <c r="R159" s="852"/>
      <c r="S159" s="697"/>
      <c r="T159" s="696"/>
      <c r="U159" s="903"/>
      <c r="V159" s="904"/>
      <c r="W159" s="927"/>
      <c r="X159" s="783"/>
      <c r="Y159" s="905"/>
      <c r="Z159" s="928"/>
      <c r="AA159" s="915"/>
      <c r="AB159" s="908"/>
      <c r="AC159" s="908"/>
      <c r="AD159" s="908"/>
      <c r="AE159" s="568"/>
      <c r="AF159" s="566"/>
      <c r="AG159" s="567"/>
      <c r="AH159" s="568"/>
      <c r="AI159" s="566"/>
      <c r="AJ159" s="567"/>
      <c r="AK159" s="568"/>
      <c r="AL159" s="566"/>
      <c r="AM159" s="567"/>
      <c r="AN159" s="568"/>
      <c r="AO159" s="566"/>
      <c r="AP159" s="567"/>
      <c r="AQ159" s="568"/>
      <c r="AR159" s="566"/>
      <c r="AS159" s="567"/>
      <c r="AT159" s="568"/>
      <c r="AU159" s="566"/>
      <c r="AV159" s="567"/>
      <c r="AW159" s="568"/>
      <c r="AX159" s="566"/>
      <c r="AY159" s="567"/>
      <c r="AZ159" s="568"/>
      <c r="BA159" s="566"/>
      <c r="BB159" s="567"/>
      <c r="BC159" s="568"/>
      <c r="BD159" s="566"/>
      <c r="BE159" s="567"/>
      <c r="BF159" s="567"/>
      <c r="BG159" s="767"/>
      <c r="BH159" s="768"/>
      <c r="BI159" s="567"/>
      <c r="BJ159" s="767"/>
      <c r="BK159" s="768"/>
      <c r="BL159" s="568"/>
      <c r="BM159" s="567"/>
      <c r="BN159" s="567"/>
      <c r="BO159" s="567"/>
      <c r="BP159" s="568"/>
      <c r="BQ159" s="566"/>
      <c r="BR159" s="567"/>
      <c r="BS159" s="568"/>
      <c r="BT159" s="567"/>
      <c r="BU159" s="567"/>
      <c r="BV159" s="568"/>
      <c r="BW159" s="897"/>
      <c r="BX159" s="2807"/>
      <c r="BY159" s="568"/>
      <c r="BZ159" s="566"/>
      <c r="CA159" s="567"/>
    </row>
    <row r="160" spans="1:79" ht="14.85" customHeight="1" x14ac:dyDescent="0.4">
      <c r="A160" s="249"/>
      <c r="B160" s="249"/>
      <c r="C160" s="584">
        <v>0.44097222222222199</v>
      </c>
      <c r="D160" s="587"/>
      <c r="E160" s="2839"/>
      <c r="F160" s="688"/>
      <c r="G160" s="588"/>
      <c r="H160" s="594"/>
      <c r="I160" s="847"/>
      <c r="J160" s="635"/>
      <c r="K160" s="691"/>
      <c r="L160" s="849"/>
      <c r="M160" s="685"/>
      <c r="N160" s="745"/>
      <c r="O160" s="685"/>
      <c r="P160" s="795"/>
      <c r="Q160" s="769"/>
      <c r="R160" s="852"/>
      <c r="S160" s="697"/>
      <c r="T160" s="696"/>
      <c r="U160" s="929"/>
      <c r="V160" s="904"/>
      <c r="W160" s="871"/>
      <c r="X160" s="930"/>
      <c r="Y160" s="685"/>
      <c r="Z160" s="745"/>
      <c r="AA160" s="685"/>
      <c r="AB160" s="931"/>
      <c r="AC160" s="931"/>
      <c r="AD160" s="931"/>
      <c r="AE160" s="568"/>
      <c r="AF160" s="932"/>
      <c r="AG160" s="897"/>
      <c r="AH160" s="568"/>
      <c r="AI160" s="932"/>
      <c r="AJ160" s="897"/>
      <c r="AK160" s="568"/>
      <c r="AL160" s="932"/>
      <c r="AM160" s="897"/>
      <c r="AN160" s="568"/>
      <c r="AO160" s="932"/>
      <c r="AP160" s="897"/>
      <c r="AQ160" s="568"/>
      <c r="AR160" s="932"/>
      <c r="AS160" s="897"/>
      <c r="AT160" s="568"/>
      <c r="AU160" s="932"/>
      <c r="AV160" s="897"/>
      <c r="AW160" s="568"/>
      <c r="AX160" s="932"/>
      <c r="AY160" s="897"/>
      <c r="AZ160" s="568"/>
      <c r="BA160" s="932"/>
      <c r="BB160" s="897"/>
      <c r="BC160" s="568"/>
      <c r="BD160" s="932"/>
      <c r="BE160" s="897"/>
      <c r="BF160" s="933"/>
      <c r="BG160" s="785"/>
      <c r="BH160" s="786"/>
      <c r="BI160" s="933"/>
      <c r="BJ160" s="785"/>
      <c r="BK160" s="786"/>
      <c r="BL160" s="568"/>
      <c r="BM160" s="897"/>
      <c r="BN160" s="897"/>
      <c r="BO160" s="567"/>
      <c r="BP160" s="568"/>
      <c r="BQ160" s="932"/>
      <c r="BR160" s="897"/>
      <c r="BS160" s="568"/>
      <c r="BT160" s="897"/>
      <c r="BU160" s="897"/>
      <c r="BV160" s="568"/>
      <c r="BW160" s="567"/>
      <c r="BX160" s="934"/>
      <c r="BY160" s="568"/>
      <c r="BZ160" s="932"/>
      <c r="CA160" s="897"/>
    </row>
    <row r="161" spans="1:79" ht="14.85" customHeight="1" x14ac:dyDescent="0.4">
      <c r="A161" s="249"/>
      <c r="B161" s="249"/>
      <c r="C161" s="584">
        <v>0.44444444444444398</v>
      </c>
      <c r="D161" s="587"/>
      <c r="E161" s="2839"/>
      <c r="F161" s="688"/>
      <c r="G161" s="588"/>
      <c r="H161" s="594"/>
      <c r="I161" s="847"/>
      <c r="J161" s="743"/>
      <c r="K161" s="691"/>
      <c r="L161" s="705"/>
      <c r="M161" s="791"/>
      <c r="N161" s="745"/>
      <c r="O161" s="685"/>
      <c r="P161" s="744"/>
      <c r="Q161" s="769"/>
      <c r="R161" s="708"/>
      <c r="S161" s="697"/>
      <c r="T161" s="696"/>
      <c r="U161" s="697"/>
      <c r="V161" s="904"/>
      <c r="W161" s="709"/>
      <c r="X161" s="783"/>
      <c r="Y161" s="791"/>
      <c r="Z161" s="745"/>
      <c r="AA161" s="685"/>
      <c r="AB161" s="687"/>
      <c r="AC161" s="687"/>
      <c r="AD161" s="687"/>
      <c r="AE161" s="568"/>
      <c r="AF161" s="566"/>
      <c r="AG161" s="567"/>
      <c r="AH161" s="568"/>
      <c r="AI161" s="566"/>
      <c r="AJ161" s="567"/>
      <c r="AK161" s="568"/>
      <c r="AL161" s="566"/>
      <c r="AM161" s="567"/>
      <c r="AN161" s="568"/>
      <c r="AO161" s="566"/>
      <c r="AP161" s="567"/>
      <c r="AQ161" s="568"/>
      <c r="AR161" s="566"/>
      <c r="AS161" s="567"/>
      <c r="AT161" s="568"/>
      <c r="AU161" s="566"/>
      <c r="AV161" s="567"/>
      <c r="AW161" s="568"/>
      <c r="AX161" s="566"/>
      <c r="AY161" s="567"/>
      <c r="AZ161" s="568"/>
      <c r="BA161" s="566"/>
      <c r="BB161" s="567"/>
      <c r="BC161" s="568"/>
      <c r="BD161" s="566"/>
      <c r="BE161" s="567"/>
      <c r="BF161" s="567"/>
      <c r="BG161" s="569"/>
      <c r="BH161" s="567"/>
      <c r="BI161" s="567"/>
      <c r="BJ161" s="569"/>
      <c r="BK161" s="567"/>
      <c r="BL161" s="568"/>
      <c r="BM161" s="567"/>
      <c r="BN161" s="567"/>
      <c r="BO161" s="567"/>
      <c r="BP161" s="568"/>
      <c r="BQ161" s="566"/>
      <c r="BR161" s="567"/>
      <c r="BS161" s="568"/>
      <c r="BT161" s="567"/>
      <c r="BU161" s="567"/>
      <c r="BV161" s="568"/>
      <c r="BW161" s="567"/>
      <c r="BX161" s="2807"/>
      <c r="BY161" s="568"/>
      <c r="BZ161" s="566"/>
      <c r="CA161" s="567"/>
    </row>
    <row r="162" spans="1:79" ht="18.75" customHeight="1" x14ac:dyDescent="0.4">
      <c r="A162" s="249"/>
      <c r="B162" s="249"/>
      <c r="C162" s="584">
        <v>0.44791666666666602</v>
      </c>
      <c r="D162" s="589"/>
      <c r="E162" s="2839"/>
      <c r="F162" s="688"/>
      <c r="G162" s="590"/>
      <c r="H162" s="612"/>
      <c r="I162" s="742"/>
      <c r="J162" s="935"/>
      <c r="K162" s="858"/>
      <c r="L162" s="936"/>
      <c r="M162" s="791"/>
      <c r="N162" s="745" t="s">
        <v>333</v>
      </c>
      <c r="O162" s="685"/>
      <c r="P162" s="937"/>
      <c r="Q162" s="860" t="s">
        <v>334</v>
      </c>
      <c r="R162" s="938"/>
      <c r="S162" s="696"/>
      <c r="T162" s="696" t="s">
        <v>331</v>
      </c>
      <c r="U162" s="697"/>
      <c r="V162" s="709"/>
      <c r="W162" s="709" t="s">
        <v>332</v>
      </c>
      <c r="X162" s="684"/>
      <c r="Y162" s="791"/>
      <c r="Z162" s="745" t="s">
        <v>333</v>
      </c>
      <c r="AA162" s="685"/>
      <c r="AB162" s="916"/>
      <c r="AC162" s="908"/>
      <c r="AD162" s="908"/>
      <c r="AE162" s="568"/>
      <c r="AF162" s="566"/>
      <c r="AG162" s="567"/>
      <c r="AH162" s="568"/>
      <c r="AI162" s="566"/>
      <c r="AJ162" s="567"/>
      <c r="AK162" s="568"/>
      <c r="AL162" s="566"/>
      <c r="AM162" s="567"/>
      <c r="AN162" s="568"/>
      <c r="AO162" s="566"/>
      <c r="AP162" s="567"/>
      <c r="AQ162" s="568"/>
      <c r="AR162" s="566"/>
      <c r="AS162" s="567"/>
      <c r="AT162" s="568"/>
      <c r="AU162" s="566"/>
      <c r="AV162" s="567"/>
      <c r="AW162" s="568"/>
      <c r="AX162" s="566"/>
      <c r="AY162" s="567"/>
      <c r="AZ162" s="568"/>
      <c r="BA162" s="566"/>
      <c r="BB162" s="567"/>
      <c r="BC162" s="568"/>
      <c r="BD162" s="566"/>
      <c r="BE162" s="567"/>
      <c r="BF162" s="567"/>
      <c r="BG162" s="569"/>
      <c r="BH162" s="567"/>
      <c r="BI162" s="567"/>
      <c r="BJ162" s="569"/>
      <c r="BK162" s="567"/>
      <c r="BL162" s="568"/>
      <c r="BM162" s="567"/>
      <c r="BN162" s="567"/>
      <c r="BO162" s="567"/>
      <c r="BP162" s="568"/>
      <c r="BQ162" s="566"/>
      <c r="BR162" s="567"/>
      <c r="BS162" s="568"/>
      <c r="BT162" s="567"/>
      <c r="BU162" s="567"/>
      <c r="BV162" s="568"/>
      <c r="BW162" s="567"/>
      <c r="BX162" s="2807"/>
      <c r="BY162" s="568"/>
      <c r="BZ162" s="566"/>
      <c r="CA162" s="567"/>
    </row>
    <row r="163" spans="1:79" ht="18.75" customHeight="1" x14ac:dyDescent="0.4">
      <c r="A163" s="249"/>
      <c r="B163" s="249"/>
      <c r="C163" s="584" t="s">
        <v>307</v>
      </c>
      <c r="D163" s="939"/>
      <c r="E163" s="2839"/>
      <c r="F163" s="688"/>
      <c r="G163" s="940"/>
      <c r="H163" s="594"/>
      <c r="I163" s="737"/>
      <c r="J163" s="635"/>
      <c r="K163" s="691"/>
      <c r="L163" s="849"/>
      <c r="M163" s="791"/>
      <c r="N163" s="793" t="s">
        <v>336</v>
      </c>
      <c r="O163" s="685"/>
      <c r="P163" s="795"/>
      <c r="Q163" s="769"/>
      <c r="R163" s="852"/>
      <c r="S163" s="697"/>
      <c r="T163" s="696" t="s">
        <v>334</v>
      </c>
      <c r="U163" s="903"/>
      <c r="V163" s="709"/>
      <c r="W163" s="709" t="s">
        <v>335</v>
      </c>
      <c r="X163" s="930"/>
      <c r="Y163" s="791"/>
      <c r="Z163" s="793" t="s">
        <v>336</v>
      </c>
      <c r="AA163" s="685"/>
      <c r="AB163" s="908"/>
      <c r="AC163" s="908"/>
      <c r="AD163" s="908"/>
      <c r="AE163" s="568"/>
      <c r="AF163" s="566"/>
      <c r="AG163" s="567"/>
      <c r="AH163" s="568"/>
      <c r="AI163" s="566"/>
      <c r="AJ163" s="567"/>
      <c r="AK163" s="568"/>
      <c r="AL163" s="566"/>
      <c r="AM163" s="567"/>
      <c r="AN163" s="568"/>
      <c r="AO163" s="566"/>
      <c r="AP163" s="567"/>
      <c r="AQ163" s="568"/>
      <c r="AR163" s="566"/>
      <c r="AS163" s="567"/>
      <c r="AT163" s="568"/>
      <c r="AU163" s="566"/>
      <c r="AV163" s="567"/>
      <c r="AW163" s="568"/>
      <c r="AX163" s="566"/>
      <c r="AY163" s="567"/>
      <c r="AZ163" s="568"/>
      <c r="BA163" s="566"/>
      <c r="BB163" s="567"/>
      <c r="BC163" s="568"/>
      <c r="BD163" s="566"/>
      <c r="BE163" s="567"/>
      <c r="BF163" s="567"/>
      <c r="BG163" s="569"/>
      <c r="BH163" s="567"/>
      <c r="BI163" s="567"/>
      <c r="BJ163" s="569"/>
      <c r="BK163" s="567"/>
      <c r="BL163" s="568"/>
      <c r="BM163" s="567"/>
      <c r="BN163" s="567"/>
      <c r="BO163" s="567"/>
      <c r="BP163" s="568"/>
      <c r="BQ163" s="566"/>
      <c r="BR163" s="567"/>
      <c r="BS163" s="568"/>
      <c r="BT163" s="567"/>
      <c r="BU163" s="567"/>
      <c r="BV163" s="568"/>
      <c r="BW163" s="567"/>
      <c r="BX163" s="2807"/>
      <c r="BY163" s="568"/>
      <c r="BZ163" s="566"/>
      <c r="CA163" s="567"/>
    </row>
    <row r="164" spans="1:79" ht="18.75" customHeight="1" x14ac:dyDescent="0.4">
      <c r="A164" s="249"/>
      <c r="B164" s="249"/>
      <c r="C164" s="584" t="s">
        <v>307</v>
      </c>
      <c r="D164" s="746"/>
      <c r="E164" s="2839"/>
      <c r="F164" s="747"/>
      <c r="G164" s="748"/>
      <c r="H164" s="749"/>
      <c r="I164" s="847"/>
      <c r="J164" s="635"/>
      <c r="K164" s="691"/>
      <c r="L164" s="849"/>
      <c r="M164" s="791"/>
      <c r="N164" s="745"/>
      <c r="O164" s="685"/>
      <c r="P164" s="795"/>
      <c r="Q164" s="707"/>
      <c r="R164" s="852"/>
      <c r="S164" s="697"/>
      <c r="T164" s="864" t="s">
        <v>351</v>
      </c>
      <c r="U164" s="903"/>
      <c r="V164" s="683"/>
      <c r="W164" s="709"/>
      <c r="X164" s="930"/>
      <c r="Y164" s="791"/>
      <c r="Z164" s="745"/>
      <c r="AA164" s="685"/>
      <c r="AB164" s="908"/>
      <c r="AC164" s="908"/>
      <c r="AD164" s="908"/>
      <c r="AE164" s="568"/>
      <c r="AF164" s="566"/>
      <c r="AG164" s="567"/>
      <c r="AH164" s="568"/>
      <c r="AI164" s="566"/>
      <c r="AJ164" s="567"/>
      <c r="AK164" s="568"/>
      <c r="AL164" s="566"/>
      <c r="AM164" s="567"/>
      <c r="AN164" s="568"/>
      <c r="AO164" s="566"/>
      <c r="AP164" s="567"/>
      <c r="AQ164" s="568"/>
      <c r="AR164" s="566"/>
      <c r="AS164" s="567"/>
      <c r="AT164" s="568"/>
      <c r="AU164" s="566"/>
      <c r="AV164" s="567"/>
      <c r="AW164" s="568"/>
      <c r="AX164" s="566"/>
      <c r="AY164" s="567"/>
      <c r="AZ164" s="568"/>
      <c r="BA164" s="566"/>
      <c r="BB164" s="567"/>
      <c r="BC164" s="568"/>
      <c r="BD164" s="566"/>
      <c r="BE164" s="567"/>
      <c r="BF164" s="567"/>
      <c r="BG164" s="569"/>
      <c r="BH164" s="567"/>
      <c r="BI164" s="567"/>
      <c r="BJ164" s="569"/>
      <c r="BK164" s="567"/>
      <c r="BL164" s="568"/>
      <c r="BM164" s="567"/>
      <c r="BN164" s="567"/>
      <c r="BO164" s="567"/>
      <c r="BP164" s="568"/>
      <c r="BQ164" s="566"/>
      <c r="BR164" s="567"/>
      <c r="BS164" s="568"/>
      <c r="BT164" s="567"/>
      <c r="BU164" s="567"/>
      <c r="BV164" s="568"/>
      <c r="BW164" s="567"/>
      <c r="BX164" s="2807"/>
      <c r="BY164" s="568"/>
      <c r="BZ164" s="566"/>
      <c r="CA164" s="567"/>
    </row>
    <row r="165" spans="1:79" ht="18.75" customHeight="1" x14ac:dyDescent="0.4">
      <c r="A165" s="249"/>
      <c r="B165" s="249"/>
      <c r="C165" s="584"/>
      <c r="D165" s="587"/>
      <c r="E165" s="2839"/>
      <c r="F165" s="688"/>
      <c r="G165" s="588"/>
      <c r="H165" s="594"/>
      <c r="I165" s="847"/>
      <c r="J165" s="582"/>
      <c r="K165" s="848"/>
      <c r="L165" s="849"/>
      <c r="M165" s="685"/>
      <c r="N165" s="745"/>
      <c r="O165" s="686"/>
      <c r="P165" s="850"/>
      <c r="Q165" s="851"/>
      <c r="R165" s="852"/>
      <c r="S165" s="697"/>
      <c r="T165" s="696"/>
      <c r="U165" s="903"/>
      <c r="V165" s="683"/>
      <c r="W165" s="683"/>
      <c r="X165" s="930"/>
      <c r="Y165" s="685"/>
      <c r="Z165" s="745"/>
      <c r="AA165" s="686"/>
      <c r="AB165" s="908"/>
      <c r="AC165" s="908"/>
      <c r="AD165" s="908"/>
      <c r="AE165" s="568"/>
      <c r="AF165" s="566"/>
      <c r="AG165" s="567"/>
      <c r="AH165" s="568"/>
      <c r="AI165" s="566"/>
      <c r="AJ165" s="567"/>
      <c r="AK165" s="568"/>
      <c r="AL165" s="566"/>
      <c r="AM165" s="567"/>
      <c r="AN165" s="568"/>
      <c r="AO165" s="566"/>
      <c r="AP165" s="567"/>
      <c r="AQ165" s="568"/>
      <c r="AR165" s="566"/>
      <c r="AS165" s="567"/>
      <c r="AT165" s="568"/>
      <c r="AU165" s="566"/>
      <c r="AV165" s="567"/>
      <c r="AW165" s="568"/>
      <c r="AX165" s="566"/>
      <c r="AY165" s="567"/>
      <c r="AZ165" s="568"/>
      <c r="BA165" s="566"/>
      <c r="BB165" s="567"/>
      <c r="BC165" s="568"/>
      <c r="BD165" s="566"/>
      <c r="BE165" s="567"/>
      <c r="BF165" s="567"/>
      <c r="BG165" s="569"/>
      <c r="BH165" s="567"/>
      <c r="BI165" s="567"/>
      <c r="BJ165" s="569"/>
      <c r="BK165" s="567"/>
      <c r="BL165" s="568"/>
      <c r="BM165" s="567"/>
      <c r="BN165" s="567"/>
      <c r="BO165" s="567"/>
      <c r="BP165" s="568"/>
      <c r="BQ165" s="566"/>
      <c r="BR165" s="567"/>
      <c r="BS165" s="568"/>
      <c r="BT165" s="567"/>
      <c r="BU165" s="567"/>
      <c r="BV165" s="568"/>
      <c r="BW165" s="567"/>
      <c r="BX165" s="2807"/>
      <c r="BY165" s="568"/>
      <c r="BZ165" s="566"/>
      <c r="CA165" s="567"/>
    </row>
    <row r="166" spans="1:79" ht="14.85" customHeight="1" x14ac:dyDescent="0.4">
      <c r="A166" s="249"/>
      <c r="B166" s="249"/>
      <c r="C166" s="584">
        <v>0.45138888888888901</v>
      </c>
      <c r="D166" s="844"/>
      <c r="E166" s="2839"/>
      <c r="F166" s="845"/>
      <c r="G166" s="846"/>
      <c r="H166" s="594"/>
      <c r="I166" s="847"/>
      <c r="J166" s="582"/>
      <c r="K166" s="848"/>
      <c r="L166" s="849"/>
      <c r="M166" s="685"/>
      <c r="N166" s="745"/>
      <c r="O166" s="686"/>
      <c r="P166" s="850"/>
      <c r="Q166" s="851"/>
      <c r="R166" s="852"/>
      <c r="S166" s="697"/>
      <c r="T166" s="696"/>
      <c r="U166" s="903"/>
      <c r="V166" s="683"/>
      <c r="W166" s="683"/>
      <c r="X166" s="930"/>
      <c r="Y166" s="685"/>
      <c r="Z166" s="745"/>
      <c r="AA166" s="686"/>
      <c r="AB166" s="908"/>
      <c r="AC166" s="908"/>
      <c r="AD166" s="908"/>
      <c r="AE166" s="565"/>
      <c r="AF166" s="566"/>
      <c r="AG166" s="567"/>
      <c r="AH166" s="568"/>
      <c r="AI166" s="566"/>
      <c r="AJ166" s="567"/>
      <c r="AK166" s="568"/>
      <c r="AL166" s="566"/>
      <c r="AM166" s="567"/>
      <c r="AN166" s="568"/>
      <c r="AO166" s="566"/>
      <c r="AP166" s="567"/>
      <c r="AQ166" s="568"/>
      <c r="AR166" s="566"/>
      <c r="AS166" s="567"/>
      <c r="AT166" s="568"/>
      <c r="AU166" s="566"/>
      <c r="AV166" s="567"/>
      <c r="AW166" s="568"/>
      <c r="AX166" s="566"/>
      <c r="AY166" s="567"/>
      <c r="AZ166" s="568"/>
      <c r="BA166" s="566"/>
      <c r="BB166" s="567"/>
      <c r="BC166" s="568"/>
      <c r="BD166" s="566"/>
      <c r="BE166" s="567"/>
      <c r="BF166" s="567"/>
      <c r="BG166" s="767"/>
      <c r="BH166" s="768"/>
      <c r="BI166" s="567"/>
      <c r="BJ166" s="767"/>
      <c r="BK166" s="768"/>
      <c r="BL166" s="568"/>
      <c r="BM166" s="567"/>
      <c r="BN166" s="567"/>
      <c r="BO166" s="567"/>
      <c r="BP166" s="568"/>
      <c r="BQ166" s="566"/>
      <c r="BR166" s="567"/>
      <c r="BS166" s="568"/>
      <c r="BT166" s="567"/>
      <c r="BU166" s="567"/>
      <c r="BV166" s="568"/>
      <c r="BW166" s="941"/>
      <c r="BX166" s="2807"/>
      <c r="BY166" s="568"/>
      <c r="BZ166" s="566"/>
      <c r="CA166" s="567"/>
    </row>
    <row r="167" spans="1:79" ht="14.85" customHeight="1" x14ac:dyDescent="0.4">
      <c r="A167" s="249"/>
      <c r="B167" s="249"/>
      <c r="C167" s="621">
        <v>0.45486111111111099</v>
      </c>
      <c r="D167" s="803"/>
      <c r="E167" s="2839"/>
      <c r="F167" s="804"/>
      <c r="G167" s="805"/>
      <c r="H167" s="806"/>
      <c r="I167" s="942"/>
      <c r="J167" s="582"/>
      <c r="K167" s="848"/>
      <c r="L167" s="849"/>
      <c r="M167" s="685"/>
      <c r="N167" s="745"/>
      <c r="O167" s="686"/>
      <c r="P167" s="850"/>
      <c r="Q167" s="851"/>
      <c r="R167" s="852"/>
      <c r="S167" s="697"/>
      <c r="T167" s="696"/>
      <c r="U167" s="903"/>
      <c r="V167" s="683"/>
      <c r="W167" s="943"/>
      <c r="X167" s="930"/>
      <c r="Y167" s="685"/>
      <c r="Z167" s="745"/>
      <c r="AA167" s="686"/>
      <c r="AB167" s="908"/>
      <c r="AC167" s="908"/>
      <c r="AD167" s="908"/>
      <c r="AE167" s="944"/>
      <c r="AF167" s="945"/>
      <c r="AG167" s="941"/>
      <c r="AH167" s="944"/>
      <c r="AI167" s="945"/>
      <c r="AJ167" s="941"/>
      <c r="AK167" s="944"/>
      <c r="AL167" s="945"/>
      <c r="AM167" s="941"/>
      <c r="AN167" s="944"/>
      <c r="AO167" s="945"/>
      <c r="AP167" s="941"/>
      <c r="AQ167" s="944"/>
      <c r="AR167" s="945"/>
      <c r="AS167" s="941"/>
      <c r="AT167" s="944"/>
      <c r="AU167" s="945"/>
      <c r="AV167" s="941"/>
      <c r="AW167" s="944"/>
      <c r="AX167" s="945"/>
      <c r="AY167" s="941"/>
      <c r="AZ167" s="944"/>
      <c r="BA167" s="945"/>
      <c r="BB167" s="941"/>
      <c r="BC167" s="944"/>
      <c r="BD167" s="945"/>
      <c r="BE167" s="941"/>
      <c r="BF167" s="815"/>
      <c r="BG167" s="946"/>
      <c r="BH167" s="947"/>
      <c r="BI167" s="815"/>
      <c r="BJ167" s="946"/>
      <c r="BK167" s="947"/>
      <c r="BL167" s="944"/>
      <c r="BM167" s="941"/>
      <c r="BN167" s="941"/>
      <c r="BO167" s="948"/>
      <c r="BP167" s="944"/>
      <c r="BQ167" s="945"/>
      <c r="BR167" s="941"/>
      <c r="BS167" s="944"/>
      <c r="BT167" s="941"/>
      <c r="BU167" s="941"/>
      <c r="BV167" s="944"/>
      <c r="BW167" s="768"/>
      <c r="BX167" s="949"/>
      <c r="BY167" s="944"/>
      <c r="BZ167" s="945"/>
      <c r="CA167" s="941"/>
    </row>
    <row r="168" spans="1:79" ht="18.75" customHeight="1" x14ac:dyDescent="0.4">
      <c r="A168" s="249"/>
      <c r="B168" s="249"/>
      <c r="C168" s="950">
        <v>0.45833333333333298</v>
      </c>
      <c r="D168" s="951"/>
      <c r="E168" s="2839"/>
      <c r="F168" s="952"/>
      <c r="G168" s="953"/>
      <c r="H168" s="599" t="s">
        <v>278</v>
      </c>
      <c r="I168" s="954"/>
      <c r="J168" s="955"/>
      <c r="K168" s="956"/>
      <c r="L168" s="957"/>
      <c r="M168" s="961"/>
      <c r="N168" s="828" t="s">
        <v>330</v>
      </c>
      <c r="O168" s="961"/>
      <c r="P168" s="958"/>
      <c r="Q168" s="959" t="s">
        <v>362</v>
      </c>
      <c r="R168" s="960"/>
      <c r="S168" s="823"/>
      <c r="T168" s="823" t="s">
        <v>348</v>
      </c>
      <c r="U168" s="824"/>
      <c r="V168" s="825"/>
      <c r="W168" s="709" t="s">
        <v>332</v>
      </c>
      <c r="X168" s="826"/>
      <c r="Y168" s="961"/>
      <c r="Z168" s="828" t="s">
        <v>330</v>
      </c>
      <c r="AA168" s="961"/>
      <c r="AB168" s="962"/>
      <c r="AC168" s="962"/>
      <c r="AD168" s="963"/>
      <c r="AE168" s="895"/>
      <c r="AF168" s="896"/>
      <c r="AG168" s="768"/>
      <c r="AH168" s="895"/>
      <c r="AI168" s="896"/>
      <c r="AJ168" s="768"/>
      <c r="AK168" s="895"/>
      <c r="AL168" s="896"/>
      <c r="AM168" s="768"/>
      <c r="AN168" s="895"/>
      <c r="AO168" s="896"/>
      <c r="AP168" s="768"/>
      <c r="AQ168" s="895"/>
      <c r="AR168" s="896"/>
      <c r="AS168" s="768"/>
      <c r="AT168" s="895"/>
      <c r="AU168" s="896"/>
      <c r="AV168" s="768"/>
      <c r="AW168" s="895"/>
      <c r="AX168" s="896"/>
      <c r="AY168" s="768"/>
      <c r="AZ168" s="895"/>
      <c r="BA168" s="896"/>
      <c r="BB168" s="768"/>
      <c r="BC168" s="895"/>
      <c r="BD168" s="896"/>
      <c r="BE168" s="768"/>
      <c r="BF168" s="568"/>
      <c r="BG168" s="785"/>
      <c r="BH168" s="786"/>
      <c r="BI168" s="568"/>
      <c r="BJ168" s="785"/>
      <c r="BK168" s="786"/>
      <c r="BL168" s="895"/>
      <c r="BM168" s="768"/>
      <c r="BN168" s="768"/>
      <c r="BO168" s="897"/>
      <c r="BP168" s="895"/>
      <c r="BQ168" s="896"/>
      <c r="BR168" s="768"/>
      <c r="BS168" s="895"/>
      <c r="BT168" s="768"/>
      <c r="BU168" s="768"/>
      <c r="BV168" s="895"/>
      <c r="BW168" s="768"/>
      <c r="BX168" s="2552"/>
      <c r="BY168" s="895"/>
      <c r="BZ168" s="896"/>
      <c r="CA168" s="768"/>
    </row>
    <row r="169" spans="1:79" ht="18.75" customHeight="1" x14ac:dyDescent="0.4">
      <c r="A169" s="249"/>
      <c r="B169" s="249"/>
      <c r="C169" s="584" t="s">
        <v>307</v>
      </c>
      <c r="D169" s="587"/>
      <c r="E169" s="2839"/>
      <c r="F169" s="845"/>
      <c r="G169" s="588"/>
      <c r="H169" s="612" t="s">
        <v>310</v>
      </c>
      <c r="I169" s="742"/>
      <c r="J169" s="635"/>
      <c r="K169" s="848"/>
      <c r="L169" s="705"/>
      <c r="M169" s="686"/>
      <c r="N169" s="745" t="s">
        <v>333</v>
      </c>
      <c r="O169" s="791"/>
      <c r="P169" s="795"/>
      <c r="Q169" s="851" t="s">
        <v>334</v>
      </c>
      <c r="R169" s="708"/>
      <c r="S169" s="696"/>
      <c r="T169" s="696" t="s">
        <v>334</v>
      </c>
      <c r="U169" s="697"/>
      <c r="V169" s="683"/>
      <c r="W169" s="709" t="s">
        <v>335</v>
      </c>
      <c r="X169" s="684"/>
      <c r="Y169" s="686"/>
      <c r="Z169" s="745" t="s">
        <v>333</v>
      </c>
      <c r="AA169" s="791"/>
      <c r="AB169" s="964"/>
      <c r="AC169" s="908"/>
      <c r="AD169" s="965"/>
      <c r="AE169" s="895"/>
      <c r="AF169" s="896"/>
      <c r="AG169" s="768"/>
      <c r="AH169" s="895"/>
      <c r="AI169" s="896"/>
      <c r="AJ169" s="768"/>
      <c r="AK169" s="895"/>
      <c r="AL169" s="896"/>
      <c r="AM169" s="768"/>
      <c r="AN169" s="895"/>
      <c r="AO169" s="896"/>
      <c r="AP169" s="768"/>
      <c r="AQ169" s="895"/>
      <c r="AR169" s="896"/>
      <c r="AS169" s="768"/>
      <c r="AT169" s="895"/>
      <c r="AU169" s="896"/>
      <c r="AV169" s="768"/>
      <c r="AW169" s="895"/>
      <c r="AX169" s="896"/>
      <c r="AY169" s="768"/>
      <c r="AZ169" s="895"/>
      <c r="BA169" s="896"/>
      <c r="BB169" s="768"/>
      <c r="BC169" s="895"/>
      <c r="BD169" s="896"/>
      <c r="BE169" s="768"/>
      <c r="BF169" s="568"/>
      <c r="BG169" s="785"/>
      <c r="BH169" s="786"/>
      <c r="BI169" s="568"/>
      <c r="BJ169" s="785"/>
      <c r="BK169" s="786"/>
      <c r="BL169" s="895"/>
      <c r="BM169" s="768"/>
      <c r="BN169" s="768"/>
      <c r="BO169" s="897"/>
      <c r="BP169" s="895"/>
      <c r="BQ169" s="896"/>
      <c r="BR169" s="768"/>
      <c r="BS169" s="895"/>
      <c r="BT169" s="768"/>
      <c r="BU169" s="768"/>
      <c r="BV169" s="895"/>
      <c r="BW169" s="768"/>
      <c r="BX169" s="2552"/>
      <c r="BY169" s="895"/>
      <c r="BZ169" s="896"/>
      <c r="CA169" s="768"/>
    </row>
    <row r="170" spans="1:79" ht="18.75" customHeight="1" x14ac:dyDescent="0.4">
      <c r="A170" s="249"/>
      <c r="B170" s="249"/>
      <c r="C170" s="584" t="s">
        <v>307</v>
      </c>
      <c r="D170" s="587"/>
      <c r="E170" s="2839"/>
      <c r="F170" s="845"/>
      <c r="G170" s="588"/>
      <c r="H170" s="594"/>
      <c r="I170" s="742"/>
      <c r="J170" s="635"/>
      <c r="K170" s="691"/>
      <c r="L170" s="705"/>
      <c r="M170" s="685"/>
      <c r="N170" s="745"/>
      <c r="O170" s="685"/>
      <c r="P170" s="795"/>
      <c r="Q170" s="707"/>
      <c r="R170" s="708"/>
      <c r="S170" s="766"/>
      <c r="T170" s="966"/>
      <c r="U170" s="697"/>
      <c r="V170" s="709"/>
      <c r="W170" s="788" t="s">
        <v>351</v>
      </c>
      <c r="X170" s="684"/>
      <c r="Y170" s="685"/>
      <c r="Z170" s="745"/>
      <c r="AA170" s="685"/>
      <c r="AB170" s="964"/>
      <c r="AC170" s="967"/>
      <c r="AD170" s="965"/>
      <c r="AE170" s="895"/>
      <c r="AF170" s="896"/>
      <c r="AG170" s="768"/>
      <c r="AH170" s="895"/>
      <c r="AI170" s="896"/>
      <c r="AJ170" s="768"/>
      <c r="AK170" s="895"/>
      <c r="AL170" s="896"/>
      <c r="AM170" s="768"/>
      <c r="AN170" s="895"/>
      <c r="AO170" s="896"/>
      <c r="AP170" s="768"/>
      <c r="AQ170" s="895"/>
      <c r="AR170" s="896"/>
      <c r="AS170" s="768"/>
      <c r="AT170" s="895"/>
      <c r="AU170" s="896"/>
      <c r="AV170" s="768"/>
      <c r="AW170" s="895"/>
      <c r="AX170" s="896"/>
      <c r="AY170" s="768"/>
      <c r="AZ170" s="895"/>
      <c r="BA170" s="896"/>
      <c r="BB170" s="768"/>
      <c r="BC170" s="895"/>
      <c r="BD170" s="896"/>
      <c r="BE170" s="768"/>
      <c r="BF170" s="568"/>
      <c r="BG170" s="785"/>
      <c r="BH170" s="786"/>
      <c r="BI170" s="568"/>
      <c r="BJ170" s="785"/>
      <c r="BK170" s="786"/>
      <c r="BL170" s="895"/>
      <c r="BM170" s="768"/>
      <c r="BN170" s="768"/>
      <c r="BO170" s="897"/>
      <c r="BP170" s="895"/>
      <c r="BQ170" s="896"/>
      <c r="BR170" s="768"/>
      <c r="BS170" s="895"/>
      <c r="BT170" s="768"/>
      <c r="BU170" s="768"/>
      <c r="BV170" s="895"/>
      <c r="BW170" s="768"/>
      <c r="BX170" s="2552"/>
      <c r="BY170" s="895"/>
      <c r="BZ170" s="896"/>
      <c r="CA170" s="768"/>
    </row>
    <row r="171" spans="1:79" ht="18.75" customHeight="1" x14ac:dyDescent="0.4">
      <c r="A171" s="249"/>
      <c r="B171" s="249"/>
      <c r="C171" s="584" t="s">
        <v>307</v>
      </c>
      <c r="D171" s="587"/>
      <c r="E171" s="2839"/>
      <c r="F171" s="845"/>
      <c r="G171" s="588"/>
      <c r="H171" s="594"/>
      <c r="I171" s="742"/>
      <c r="J171" s="635"/>
      <c r="K171" s="848"/>
      <c r="L171" s="705"/>
      <c r="M171" s="685"/>
      <c r="N171" s="745"/>
      <c r="O171" s="685"/>
      <c r="P171" s="795"/>
      <c r="Q171" s="851"/>
      <c r="R171" s="708"/>
      <c r="S171" s="766"/>
      <c r="T171" s="968"/>
      <c r="U171" s="697"/>
      <c r="V171" s="709"/>
      <c r="W171" s="788"/>
      <c r="X171" s="684"/>
      <c r="Y171" s="685"/>
      <c r="Z171" s="745"/>
      <c r="AA171" s="685"/>
      <c r="AB171" s="964"/>
      <c r="AC171" s="908"/>
      <c r="AD171" s="965"/>
      <c r="AE171" s="895"/>
      <c r="AF171" s="896"/>
      <c r="AG171" s="768"/>
      <c r="AH171" s="895"/>
      <c r="AI171" s="896"/>
      <c r="AJ171" s="768"/>
      <c r="AK171" s="895"/>
      <c r="AL171" s="896"/>
      <c r="AM171" s="768"/>
      <c r="AN171" s="895"/>
      <c r="AO171" s="896"/>
      <c r="AP171" s="768"/>
      <c r="AQ171" s="895"/>
      <c r="AR171" s="896"/>
      <c r="AS171" s="768"/>
      <c r="AT171" s="895"/>
      <c r="AU171" s="896"/>
      <c r="AV171" s="768"/>
      <c r="AW171" s="895"/>
      <c r="AX171" s="896"/>
      <c r="AY171" s="768"/>
      <c r="AZ171" s="895"/>
      <c r="BA171" s="896"/>
      <c r="BB171" s="768"/>
      <c r="BC171" s="895"/>
      <c r="BD171" s="896"/>
      <c r="BE171" s="768"/>
      <c r="BF171" s="568"/>
      <c r="BG171" s="785"/>
      <c r="BH171" s="786"/>
      <c r="BI171" s="568"/>
      <c r="BJ171" s="785"/>
      <c r="BK171" s="786"/>
      <c r="BL171" s="895"/>
      <c r="BM171" s="768"/>
      <c r="BN171" s="768"/>
      <c r="BO171" s="897"/>
      <c r="BP171" s="895"/>
      <c r="BQ171" s="896"/>
      <c r="BR171" s="768"/>
      <c r="BS171" s="895"/>
      <c r="BT171" s="768"/>
      <c r="BU171" s="768"/>
      <c r="BV171" s="895"/>
      <c r="BW171" s="768"/>
      <c r="BX171" s="2552"/>
      <c r="BY171" s="895"/>
      <c r="BZ171" s="896"/>
      <c r="CA171" s="768"/>
    </row>
    <row r="172" spans="1:79" ht="18.75" customHeight="1" x14ac:dyDescent="0.4">
      <c r="A172" s="249"/>
      <c r="B172" s="249"/>
      <c r="C172" s="584"/>
      <c r="D172" s="587"/>
      <c r="E172" s="2839"/>
      <c r="F172" s="845"/>
      <c r="G172" s="588"/>
      <c r="H172" s="594"/>
      <c r="I172" s="742"/>
      <c r="J172" s="582"/>
      <c r="K172" s="848"/>
      <c r="L172" s="849"/>
      <c r="M172" s="905"/>
      <c r="N172" s="928"/>
      <c r="O172" s="915"/>
      <c r="P172" s="850"/>
      <c r="Q172" s="851"/>
      <c r="R172" s="852"/>
      <c r="S172" s="697"/>
      <c r="T172" s="696"/>
      <c r="U172" s="929"/>
      <c r="V172" s="709"/>
      <c r="W172" s="709"/>
      <c r="X172" s="684"/>
      <c r="Y172" s="905"/>
      <c r="Z172" s="928"/>
      <c r="AA172" s="915"/>
      <c r="AB172" s="964"/>
      <c r="AC172" s="908"/>
      <c r="AD172" s="965"/>
      <c r="AE172" s="895"/>
      <c r="AF172" s="896"/>
      <c r="AG172" s="768"/>
      <c r="AH172" s="895"/>
      <c r="AI172" s="896"/>
      <c r="AJ172" s="768"/>
      <c r="AK172" s="895"/>
      <c r="AL172" s="896"/>
      <c r="AM172" s="768"/>
      <c r="AN172" s="895"/>
      <c r="AO172" s="896"/>
      <c r="AP172" s="768"/>
      <c r="AQ172" s="895"/>
      <c r="AR172" s="896"/>
      <c r="AS172" s="768"/>
      <c r="AT172" s="895"/>
      <c r="AU172" s="896"/>
      <c r="AV172" s="768"/>
      <c r="AW172" s="895"/>
      <c r="AX172" s="896"/>
      <c r="AY172" s="768"/>
      <c r="AZ172" s="895"/>
      <c r="BA172" s="896"/>
      <c r="BB172" s="768"/>
      <c r="BC172" s="895"/>
      <c r="BD172" s="896"/>
      <c r="BE172" s="768"/>
      <c r="BF172" s="568"/>
      <c r="BG172" s="785"/>
      <c r="BH172" s="786"/>
      <c r="BI172" s="568"/>
      <c r="BJ172" s="785"/>
      <c r="BK172" s="786"/>
      <c r="BL172" s="895"/>
      <c r="BM172" s="768"/>
      <c r="BN172" s="768"/>
      <c r="BO172" s="897"/>
      <c r="BP172" s="895"/>
      <c r="BQ172" s="896"/>
      <c r="BR172" s="768"/>
      <c r="BS172" s="895"/>
      <c r="BT172" s="768"/>
      <c r="BU172" s="768"/>
      <c r="BV172" s="895"/>
      <c r="BW172" s="768"/>
      <c r="BX172" s="2552"/>
      <c r="BY172" s="895"/>
      <c r="BZ172" s="896"/>
      <c r="CA172" s="768"/>
    </row>
    <row r="173" spans="1:79" ht="14.25" customHeight="1" x14ac:dyDescent="0.4">
      <c r="A173" s="249"/>
      <c r="B173" s="249"/>
      <c r="C173" s="969">
        <v>0.46180555555555503</v>
      </c>
      <c r="D173" s="844"/>
      <c r="E173" s="2839"/>
      <c r="F173" s="845"/>
      <c r="G173" s="846"/>
      <c r="H173" s="594"/>
      <c r="I173" s="847"/>
      <c r="J173" s="582"/>
      <c r="K173" s="848"/>
      <c r="L173" s="849"/>
      <c r="M173" s="905"/>
      <c r="N173" s="928"/>
      <c r="O173" s="915"/>
      <c r="P173" s="850"/>
      <c r="Q173" s="851"/>
      <c r="R173" s="852"/>
      <c r="S173" s="697"/>
      <c r="T173" s="2841" t="s">
        <v>363</v>
      </c>
      <c r="U173" s="903"/>
      <c r="V173" s="709"/>
      <c r="W173" s="709"/>
      <c r="X173" s="684"/>
      <c r="Y173" s="905"/>
      <c r="Z173" s="928"/>
      <c r="AA173" s="915"/>
      <c r="AB173" s="964"/>
      <c r="AC173" s="970"/>
      <c r="AD173" s="965"/>
      <c r="AE173" s="895"/>
      <c r="AF173" s="896"/>
      <c r="AG173" s="768"/>
      <c r="AH173" s="895"/>
      <c r="AI173" s="896"/>
      <c r="AJ173" s="768"/>
      <c r="AK173" s="895"/>
      <c r="AL173" s="896"/>
      <c r="AM173" s="768"/>
      <c r="AN173" s="895"/>
      <c r="AO173" s="896"/>
      <c r="AP173" s="768"/>
      <c r="AQ173" s="895"/>
      <c r="AR173" s="896"/>
      <c r="AS173" s="768"/>
      <c r="AT173" s="895"/>
      <c r="AU173" s="896"/>
      <c r="AV173" s="768"/>
      <c r="AW173" s="895"/>
      <c r="AX173" s="896"/>
      <c r="AY173" s="768"/>
      <c r="AZ173" s="895"/>
      <c r="BA173" s="896"/>
      <c r="BB173" s="768"/>
      <c r="BC173" s="895"/>
      <c r="BD173" s="896"/>
      <c r="BE173" s="768"/>
      <c r="BF173" s="567"/>
      <c r="BG173" s="767"/>
      <c r="BH173" s="768"/>
      <c r="BI173" s="567"/>
      <c r="BJ173" s="767"/>
      <c r="BK173" s="768"/>
      <c r="BL173" s="895"/>
      <c r="BM173" s="768"/>
      <c r="BN173" s="768"/>
      <c r="BO173" s="897"/>
      <c r="BP173" s="895"/>
      <c r="BQ173" s="896"/>
      <c r="BR173" s="768"/>
      <c r="BS173" s="895"/>
      <c r="BT173" s="768"/>
      <c r="BU173" s="768"/>
      <c r="BV173" s="895"/>
      <c r="BW173" s="567"/>
      <c r="BX173" s="2552"/>
      <c r="BY173" s="895"/>
      <c r="BZ173" s="896"/>
      <c r="CA173" s="768"/>
    </row>
    <row r="174" spans="1:79" ht="18.75" customHeight="1" x14ac:dyDescent="0.4">
      <c r="A174" s="249"/>
      <c r="B174" s="249"/>
      <c r="C174" s="969">
        <v>0.46527777777777701</v>
      </c>
      <c r="D174" s="844"/>
      <c r="E174" s="2839"/>
      <c r="F174" s="845"/>
      <c r="G174" s="846"/>
      <c r="H174" s="594"/>
      <c r="I174" s="847"/>
      <c r="J174" s="704"/>
      <c r="K174" s="971"/>
      <c r="L174" s="705"/>
      <c r="M174" s="973"/>
      <c r="N174" s="865"/>
      <c r="O174" s="791"/>
      <c r="P174" s="706"/>
      <c r="Q174" s="972"/>
      <c r="R174" s="708"/>
      <c r="S174" s="697"/>
      <c r="T174" s="2841"/>
      <c r="U174" s="697"/>
      <c r="V174" s="709"/>
      <c r="W174" s="709"/>
      <c r="X174" s="684"/>
      <c r="Y174" s="973"/>
      <c r="Z174" s="865"/>
      <c r="AA174" s="791"/>
      <c r="AB174" s="664"/>
      <c r="AC174" s="967"/>
      <c r="AD174" s="974"/>
      <c r="AE174" s="568"/>
      <c r="AF174" s="566"/>
      <c r="AG174" s="567"/>
      <c r="AH174" s="568"/>
      <c r="AI174" s="566"/>
      <c r="AJ174" s="567"/>
      <c r="AK174" s="568"/>
      <c r="AL174" s="566"/>
      <c r="AM174" s="567"/>
      <c r="AN174" s="568"/>
      <c r="AO174" s="566"/>
      <c r="AP174" s="567"/>
      <c r="AQ174" s="568"/>
      <c r="AR174" s="566"/>
      <c r="AS174" s="567"/>
      <c r="AT174" s="568"/>
      <c r="AU174" s="566"/>
      <c r="AV174" s="567"/>
      <c r="AW174" s="568"/>
      <c r="AX174" s="566"/>
      <c r="AY174" s="567"/>
      <c r="AZ174" s="568"/>
      <c r="BA174" s="566"/>
      <c r="BB174" s="567"/>
      <c r="BC174" s="568"/>
      <c r="BD174" s="566"/>
      <c r="BE174" s="567"/>
      <c r="BF174" s="567"/>
      <c r="BG174" s="767"/>
      <c r="BH174" s="768"/>
      <c r="BI174" s="567"/>
      <c r="BJ174" s="767"/>
      <c r="BK174" s="768"/>
      <c r="BL174" s="568"/>
      <c r="BM174" s="567"/>
      <c r="BN174" s="567"/>
      <c r="BO174" s="567"/>
      <c r="BP174" s="568"/>
      <c r="BQ174" s="566"/>
      <c r="BR174" s="567"/>
      <c r="BS174" s="568"/>
      <c r="BT174" s="567"/>
      <c r="BU174" s="567"/>
      <c r="BV174" s="568"/>
      <c r="BW174" s="567"/>
      <c r="BX174" s="2807"/>
      <c r="BY174" s="568"/>
      <c r="BZ174" s="566"/>
      <c r="CA174" s="567"/>
    </row>
    <row r="175" spans="1:79" ht="18.75" customHeight="1" x14ac:dyDescent="0.4">
      <c r="A175" s="249"/>
      <c r="B175" s="249"/>
      <c r="C175" s="584">
        <v>0.46875</v>
      </c>
      <c r="D175" s="746"/>
      <c r="E175" s="2839"/>
      <c r="F175" s="747"/>
      <c r="G175" s="748"/>
      <c r="H175" s="612"/>
      <c r="I175" s="742"/>
      <c r="J175" s="704"/>
      <c r="K175" s="848"/>
      <c r="L175" s="705"/>
      <c r="M175" s="973"/>
      <c r="N175" s="928"/>
      <c r="O175" s="791"/>
      <c r="P175" s="706"/>
      <c r="Q175" s="851" t="s">
        <v>334</v>
      </c>
      <c r="R175" s="708"/>
      <c r="S175" s="697"/>
      <c r="T175" s="2841"/>
      <c r="U175" s="697"/>
      <c r="V175" s="709"/>
      <c r="W175" s="709" t="s">
        <v>332</v>
      </c>
      <c r="X175" s="684"/>
      <c r="Y175" s="973"/>
      <c r="Z175" s="928"/>
      <c r="AA175" s="791"/>
      <c r="AB175" s="664"/>
      <c r="AC175" s="975"/>
      <c r="AD175" s="976"/>
      <c r="AE175" s="568"/>
      <c r="AF175" s="567"/>
      <c r="AG175" s="567"/>
      <c r="AH175" s="568"/>
      <c r="AI175" s="567"/>
      <c r="AJ175" s="567"/>
      <c r="AK175" s="568"/>
      <c r="AL175" s="567"/>
      <c r="AM175" s="567"/>
      <c r="AN175" s="568"/>
      <c r="AO175" s="567"/>
      <c r="AP175" s="567"/>
      <c r="AQ175" s="568"/>
      <c r="AR175" s="566"/>
      <c r="AS175" s="567"/>
      <c r="AT175" s="568"/>
      <c r="AU175" s="566"/>
      <c r="AV175" s="567"/>
      <c r="AW175" s="568"/>
      <c r="AX175" s="566"/>
      <c r="AY175" s="567"/>
      <c r="AZ175" s="568"/>
      <c r="BA175" s="566"/>
      <c r="BB175" s="567"/>
      <c r="BC175" s="568"/>
      <c r="BD175" s="566"/>
      <c r="BE175" s="567"/>
      <c r="BF175" s="567"/>
      <c r="BG175" s="767"/>
      <c r="BH175" s="768"/>
      <c r="BI175" s="567"/>
      <c r="BJ175" s="767"/>
      <c r="BK175" s="768"/>
      <c r="BL175" s="568"/>
      <c r="BM175" s="567"/>
      <c r="BN175" s="567"/>
      <c r="BO175" s="567"/>
      <c r="BP175" s="568"/>
      <c r="BQ175" s="566"/>
      <c r="BR175" s="567"/>
      <c r="BS175" s="568"/>
      <c r="BT175" s="567"/>
      <c r="BU175" s="567"/>
      <c r="BV175" s="568"/>
      <c r="BW175" s="567"/>
      <c r="BX175" s="2807"/>
      <c r="BY175" s="568"/>
      <c r="BZ175" s="566"/>
      <c r="CA175" s="567"/>
    </row>
    <row r="176" spans="1:79" ht="18.75" customHeight="1" x14ac:dyDescent="0.4">
      <c r="A176" s="249"/>
      <c r="B176" s="249"/>
      <c r="C176" s="584" t="s">
        <v>307</v>
      </c>
      <c r="D176" s="746"/>
      <c r="E176" s="2839"/>
      <c r="F176" s="747"/>
      <c r="G176" s="748"/>
      <c r="H176" s="749"/>
      <c r="I176" s="742"/>
      <c r="J176" s="635"/>
      <c r="K176" s="848"/>
      <c r="L176" s="705"/>
      <c r="M176" s="685"/>
      <c r="N176" s="745" t="s">
        <v>333</v>
      </c>
      <c r="O176" s="685"/>
      <c r="P176" s="977"/>
      <c r="Q176" s="851" t="s">
        <v>337</v>
      </c>
      <c r="R176" s="708"/>
      <c r="S176" s="697"/>
      <c r="T176" s="2841"/>
      <c r="U176" s="697"/>
      <c r="V176" s="683"/>
      <c r="W176" s="709" t="s">
        <v>335</v>
      </c>
      <c r="X176" s="684"/>
      <c r="Y176" s="685"/>
      <c r="Z176" s="745" t="s">
        <v>333</v>
      </c>
      <c r="AA176" s="685"/>
      <c r="AB176" s="664"/>
      <c r="AC176" s="975"/>
      <c r="AD176" s="976"/>
      <c r="AE176" s="978"/>
      <c r="AF176" s="978"/>
      <c r="AG176" s="978"/>
      <c r="AH176" s="978"/>
      <c r="AI176" s="978"/>
      <c r="AJ176" s="978"/>
      <c r="AK176" s="978"/>
      <c r="AL176" s="978"/>
      <c r="AM176" s="978"/>
      <c r="AN176" s="978"/>
      <c r="AO176" s="978"/>
      <c r="AP176" s="978"/>
      <c r="AQ176" s="978"/>
      <c r="AR176" s="566"/>
      <c r="AS176" s="567"/>
      <c r="AT176" s="568"/>
      <c r="AU176" s="566"/>
      <c r="AV176" s="567"/>
      <c r="AW176" s="568"/>
      <c r="AX176" s="566"/>
      <c r="AY176" s="567"/>
      <c r="AZ176" s="568"/>
      <c r="BA176" s="566"/>
      <c r="BB176" s="567"/>
      <c r="BC176" s="568"/>
      <c r="BD176" s="566"/>
      <c r="BE176" s="567"/>
      <c r="BF176" s="567"/>
      <c r="BG176" s="767"/>
      <c r="BH176" s="768"/>
      <c r="BI176" s="567"/>
      <c r="BJ176" s="767"/>
      <c r="BK176" s="768"/>
      <c r="BL176" s="568"/>
      <c r="BM176" s="567"/>
      <c r="BN176" s="567"/>
      <c r="BO176" s="567"/>
      <c r="BP176" s="568"/>
      <c r="BQ176" s="566"/>
      <c r="BR176" s="567"/>
      <c r="BS176" s="568"/>
      <c r="BT176" s="567"/>
      <c r="BU176" s="567"/>
      <c r="BV176" s="568"/>
      <c r="BW176" s="567"/>
      <c r="BX176" s="2807"/>
      <c r="BY176" s="568"/>
      <c r="BZ176" s="566"/>
      <c r="CA176" s="567"/>
    </row>
    <row r="177" spans="1:79" ht="18.75" customHeight="1" x14ac:dyDescent="0.4">
      <c r="A177" s="249"/>
      <c r="B177" s="249"/>
      <c r="C177" s="584" t="s">
        <v>307</v>
      </c>
      <c r="D177" s="587"/>
      <c r="E177" s="2839"/>
      <c r="F177" s="845"/>
      <c r="G177" s="588"/>
      <c r="H177" s="594"/>
      <c r="I177" s="742"/>
      <c r="J177" s="635"/>
      <c r="K177" s="691"/>
      <c r="L177" s="705"/>
      <c r="M177" s="685"/>
      <c r="N177" s="745" t="s">
        <v>334</v>
      </c>
      <c r="O177" s="685"/>
      <c r="P177" s="977"/>
      <c r="Q177" s="707"/>
      <c r="R177" s="708"/>
      <c r="S177" s="696"/>
      <c r="T177" s="2841"/>
      <c r="U177" s="697"/>
      <c r="V177" s="709"/>
      <c r="W177" s="927" t="s">
        <v>351</v>
      </c>
      <c r="X177" s="684"/>
      <c r="Y177" s="685"/>
      <c r="Z177" s="745" t="s">
        <v>334</v>
      </c>
      <c r="AA177" s="685"/>
      <c r="AB177" s="979"/>
      <c r="AC177" s="967"/>
      <c r="AD177" s="980"/>
      <c r="AE177" s="978"/>
      <c r="AF177" s="978"/>
      <c r="AG177" s="978"/>
      <c r="AH177" s="978"/>
      <c r="AI177" s="978"/>
      <c r="AJ177" s="978"/>
      <c r="AK177" s="978"/>
      <c r="AL177" s="978"/>
      <c r="AM177" s="978"/>
      <c r="AN177" s="978"/>
      <c r="AO177" s="978"/>
      <c r="AP177" s="978"/>
      <c r="AQ177" s="978"/>
      <c r="AR177" s="566"/>
      <c r="AS177" s="567"/>
      <c r="AT177" s="568"/>
      <c r="AU177" s="566"/>
      <c r="AV177" s="567"/>
      <c r="AW177" s="568"/>
      <c r="AX177" s="566"/>
      <c r="AY177" s="567"/>
      <c r="AZ177" s="568"/>
      <c r="BA177" s="566"/>
      <c r="BB177" s="567"/>
      <c r="BC177" s="568"/>
      <c r="BD177" s="566"/>
      <c r="BE177" s="567"/>
      <c r="BF177" s="567"/>
      <c r="BG177" s="767"/>
      <c r="BH177" s="768"/>
      <c r="BI177" s="567"/>
      <c r="BJ177" s="767"/>
      <c r="BK177" s="768"/>
      <c r="BL177" s="568"/>
      <c r="BM177" s="567"/>
      <c r="BN177" s="567"/>
      <c r="BO177" s="567"/>
      <c r="BP177" s="568"/>
      <c r="BQ177" s="566"/>
      <c r="BR177" s="567"/>
      <c r="BS177" s="568"/>
      <c r="BT177" s="567"/>
      <c r="BU177" s="567"/>
      <c r="BV177" s="568"/>
      <c r="BW177" s="567"/>
      <c r="BX177" s="2807"/>
      <c r="BY177" s="568"/>
      <c r="BZ177" s="566"/>
      <c r="CA177" s="567"/>
    </row>
    <row r="178" spans="1:79" ht="18.600000000000001" customHeight="1" x14ac:dyDescent="0.4">
      <c r="A178" s="249"/>
      <c r="B178" s="249"/>
      <c r="C178" s="584" t="s">
        <v>307</v>
      </c>
      <c r="D178" s="746"/>
      <c r="E178" s="2839"/>
      <c r="F178" s="845"/>
      <c r="G178" s="748"/>
      <c r="H178" s="594"/>
      <c r="I178" s="742"/>
      <c r="J178" s="635"/>
      <c r="K178" s="691"/>
      <c r="L178" s="705"/>
      <c r="M178" s="981"/>
      <c r="N178" s="793" t="s">
        <v>336</v>
      </c>
      <c r="O178" s="93"/>
      <c r="P178" s="977"/>
      <c r="Q178" s="707"/>
      <c r="R178" s="708"/>
      <c r="S178" s="696"/>
      <c r="T178" s="2841"/>
      <c r="U178" s="697"/>
      <c r="V178" s="709"/>
      <c r="W178" s="709"/>
      <c r="X178" s="684"/>
      <c r="Y178" s="981"/>
      <c r="Z178" s="793" t="s">
        <v>336</v>
      </c>
      <c r="AA178" s="93"/>
      <c r="AB178" s="916"/>
      <c r="AC178" s="970"/>
      <c r="AD178" s="916"/>
      <c r="AE178" s="568"/>
      <c r="AF178" s="566"/>
      <c r="AG178" s="567"/>
      <c r="AH178" s="568"/>
      <c r="AI178" s="566"/>
      <c r="AJ178" s="567"/>
      <c r="AK178" s="568"/>
      <c r="AL178" s="566"/>
      <c r="AM178" s="567"/>
      <c r="AN178" s="568"/>
      <c r="AO178" s="566"/>
      <c r="AP178" s="567"/>
      <c r="AQ178" s="568"/>
      <c r="AR178" s="566"/>
      <c r="AS178" s="567"/>
      <c r="AT178" s="568"/>
      <c r="AU178" s="566"/>
      <c r="AV178" s="567"/>
      <c r="AW178" s="568"/>
      <c r="AX178" s="566"/>
      <c r="AY178" s="567"/>
      <c r="AZ178" s="568"/>
      <c r="BA178" s="566"/>
      <c r="BB178" s="567"/>
      <c r="BC178" s="568"/>
      <c r="BD178" s="566"/>
      <c r="BE178" s="567"/>
      <c r="BF178" s="567"/>
      <c r="BG178" s="767"/>
      <c r="BH178" s="768"/>
      <c r="BI178" s="567"/>
      <c r="BJ178" s="767"/>
      <c r="BK178" s="768"/>
      <c r="BL178" s="568"/>
      <c r="BM178" s="567"/>
      <c r="BN178" s="567"/>
      <c r="BO178" s="567"/>
      <c r="BP178" s="568"/>
      <c r="BQ178" s="566"/>
      <c r="BR178" s="567"/>
      <c r="BS178" s="568"/>
      <c r="BT178" s="567"/>
      <c r="BU178" s="567"/>
      <c r="BV178" s="568"/>
      <c r="BW178" s="567"/>
      <c r="BX178" s="2807"/>
      <c r="BY178" s="568"/>
      <c r="BZ178" s="566"/>
      <c r="CA178" s="567"/>
    </row>
    <row r="179" spans="1:79" ht="18.75" customHeight="1" x14ac:dyDescent="0.4">
      <c r="A179" s="249"/>
      <c r="B179" s="249"/>
      <c r="C179" s="584" t="s">
        <v>307</v>
      </c>
      <c r="D179" s="587"/>
      <c r="E179" s="2839"/>
      <c r="F179" s="688"/>
      <c r="G179" s="588"/>
      <c r="H179" s="594"/>
      <c r="I179" s="742"/>
      <c r="J179" s="635"/>
      <c r="K179" s="691"/>
      <c r="L179" s="705"/>
      <c r="M179" s="981"/>
      <c r="N179" s="982"/>
      <c r="O179" s="93"/>
      <c r="P179" s="977"/>
      <c r="Q179" s="707"/>
      <c r="R179" s="708"/>
      <c r="S179" s="696"/>
      <c r="T179" s="2841"/>
      <c r="U179" s="697"/>
      <c r="V179" s="709"/>
      <c r="W179" s="927"/>
      <c r="X179" s="684"/>
      <c r="Y179" s="981"/>
      <c r="Z179" s="982"/>
      <c r="AA179" s="93"/>
      <c r="AB179" s="916"/>
      <c r="AC179" s="970"/>
      <c r="AD179" s="916"/>
      <c r="AE179" s="568"/>
      <c r="AF179" s="566"/>
      <c r="AG179" s="567"/>
      <c r="AH179" s="568"/>
      <c r="AI179" s="566"/>
      <c r="AJ179" s="567"/>
      <c r="AK179" s="568"/>
      <c r="AL179" s="566"/>
      <c r="AM179" s="567"/>
      <c r="AN179" s="568"/>
      <c r="AO179" s="566"/>
      <c r="AP179" s="567"/>
      <c r="AQ179" s="568"/>
      <c r="AR179" s="566"/>
      <c r="AS179" s="567"/>
      <c r="AT179" s="568"/>
      <c r="AU179" s="566"/>
      <c r="AV179" s="567"/>
      <c r="AW179" s="568"/>
      <c r="AX179" s="566"/>
      <c r="AY179" s="567"/>
      <c r="AZ179" s="568"/>
      <c r="BA179" s="566"/>
      <c r="BB179" s="567"/>
      <c r="BC179" s="568"/>
      <c r="BD179" s="566"/>
      <c r="BE179" s="567"/>
      <c r="BF179" s="567"/>
      <c r="BG179" s="767"/>
      <c r="BH179" s="768"/>
      <c r="BI179" s="567"/>
      <c r="BJ179" s="767"/>
      <c r="BK179" s="768"/>
      <c r="BL179" s="568"/>
      <c r="BM179" s="567"/>
      <c r="BN179" s="567"/>
      <c r="BO179" s="567"/>
      <c r="BP179" s="568"/>
      <c r="BQ179" s="566"/>
      <c r="BR179" s="567"/>
      <c r="BS179" s="568"/>
      <c r="BT179" s="567"/>
      <c r="BU179" s="567"/>
      <c r="BV179" s="568"/>
      <c r="BW179" s="567"/>
      <c r="BX179" s="2807"/>
      <c r="BY179" s="568"/>
      <c r="BZ179" s="566"/>
      <c r="CA179" s="567"/>
    </row>
    <row r="180" spans="1:79" ht="18.75" customHeight="1" x14ac:dyDescent="0.4">
      <c r="A180" s="249"/>
      <c r="B180" s="249"/>
      <c r="C180" s="584"/>
      <c r="D180" s="587"/>
      <c r="E180" s="2839"/>
      <c r="F180" s="688"/>
      <c r="G180" s="588"/>
      <c r="H180" s="594"/>
      <c r="I180" s="742"/>
      <c r="J180" s="635"/>
      <c r="K180" s="691"/>
      <c r="L180" s="849"/>
      <c r="M180" s="981"/>
      <c r="N180" s="982"/>
      <c r="O180" s="93"/>
      <c r="P180" s="795"/>
      <c r="Q180" s="769"/>
      <c r="R180" s="852"/>
      <c r="S180" s="696"/>
      <c r="T180" s="2841"/>
      <c r="U180" s="903"/>
      <c r="V180" s="709"/>
      <c r="W180" s="709"/>
      <c r="X180" s="684"/>
      <c r="Y180" s="981"/>
      <c r="Z180" s="982"/>
      <c r="AA180" s="93"/>
      <c r="AB180" s="908"/>
      <c r="AC180" s="970"/>
      <c r="AD180" s="908"/>
      <c r="AE180" s="568"/>
      <c r="AF180" s="566"/>
      <c r="AG180" s="567"/>
      <c r="AH180" s="568"/>
      <c r="AI180" s="566"/>
      <c r="AJ180" s="567"/>
      <c r="AK180" s="568"/>
      <c r="AL180" s="566"/>
      <c r="AM180" s="567"/>
      <c r="AN180" s="568"/>
      <c r="AO180" s="566"/>
      <c r="AP180" s="567"/>
      <c r="AQ180" s="568"/>
      <c r="AR180" s="566"/>
      <c r="AS180" s="567"/>
      <c r="AT180" s="568"/>
      <c r="AU180" s="566"/>
      <c r="AV180" s="567"/>
      <c r="AW180" s="568"/>
      <c r="AX180" s="566"/>
      <c r="AY180" s="567"/>
      <c r="AZ180" s="568"/>
      <c r="BA180" s="566"/>
      <c r="BB180" s="567"/>
      <c r="BC180" s="568"/>
      <c r="BD180" s="566"/>
      <c r="BE180" s="567"/>
      <c r="BF180" s="567"/>
      <c r="BG180" s="767"/>
      <c r="BH180" s="768"/>
      <c r="BI180" s="567"/>
      <c r="BJ180" s="767"/>
      <c r="BK180" s="768"/>
      <c r="BL180" s="568"/>
      <c r="BM180" s="567"/>
      <c r="BN180" s="567"/>
      <c r="BO180" s="567"/>
      <c r="BP180" s="568"/>
      <c r="BQ180" s="566"/>
      <c r="BR180" s="567"/>
      <c r="BS180" s="568"/>
      <c r="BT180" s="567"/>
      <c r="BU180" s="567"/>
      <c r="BV180" s="568"/>
      <c r="BW180" s="567"/>
      <c r="BX180" s="2807"/>
      <c r="BY180" s="568"/>
      <c r="BZ180" s="566"/>
      <c r="CA180" s="567"/>
    </row>
    <row r="181" spans="1:79" ht="14.25" customHeight="1" x14ac:dyDescent="0.4">
      <c r="A181" s="249"/>
      <c r="B181" s="249"/>
      <c r="C181" s="584">
        <v>0.47222222222222199</v>
      </c>
      <c r="D181" s="587"/>
      <c r="E181" s="2839"/>
      <c r="F181" s="688"/>
      <c r="G181" s="588"/>
      <c r="H181" s="594"/>
      <c r="I181" s="847"/>
      <c r="J181" s="635"/>
      <c r="K181" s="691"/>
      <c r="L181" s="705"/>
      <c r="M181" s="981"/>
      <c r="N181" s="982"/>
      <c r="O181" s="93"/>
      <c r="P181" s="795"/>
      <c r="Q181" s="769"/>
      <c r="R181" s="708"/>
      <c r="S181" s="764"/>
      <c r="T181" s="696"/>
      <c r="U181" s="983"/>
      <c r="V181" s="709"/>
      <c r="W181" s="709"/>
      <c r="X181" s="684"/>
      <c r="Y181" s="981"/>
      <c r="Z181" s="982"/>
      <c r="AA181" s="93"/>
      <c r="AB181" s="95"/>
      <c r="AC181" s="970"/>
      <c r="AD181" s="95"/>
      <c r="AE181" s="568"/>
      <c r="AF181" s="566"/>
      <c r="AG181" s="567"/>
      <c r="AH181" s="568"/>
      <c r="AI181" s="566"/>
      <c r="AJ181" s="567"/>
      <c r="AK181" s="568"/>
      <c r="AL181" s="566"/>
      <c r="AM181" s="567"/>
      <c r="AN181" s="568"/>
      <c r="AO181" s="566"/>
      <c r="AP181" s="567"/>
      <c r="AQ181" s="568"/>
      <c r="AR181" s="566"/>
      <c r="AS181" s="567"/>
      <c r="AT181" s="568"/>
      <c r="AU181" s="566"/>
      <c r="AV181" s="567"/>
      <c r="AW181" s="568"/>
      <c r="AX181" s="566"/>
      <c r="AY181" s="567"/>
      <c r="AZ181" s="568"/>
      <c r="BA181" s="566"/>
      <c r="BB181" s="567"/>
      <c r="BC181" s="568"/>
      <c r="BD181" s="566"/>
      <c r="BE181" s="567"/>
      <c r="BF181" s="567"/>
      <c r="BG181" s="767"/>
      <c r="BH181" s="768"/>
      <c r="BI181" s="567"/>
      <c r="BJ181" s="767"/>
      <c r="BK181" s="768"/>
      <c r="BL181" s="568"/>
      <c r="BM181" s="567"/>
      <c r="BN181" s="567"/>
      <c r="BO181" s="567"/>
      <c r="BP181" s="568"/>
      <c r="BQ181" s="566"/>
      <c r="BR181" s="567"/>
      <c r="BS181" s="568"/>
      <c r="BT181" s="567"/>
      <c r="BU181" s="567"/>
      <c r="BV181" s="568"/>
      <c r="BW181" s="768"/>
      <c r="BX181" s="2807"/>
      <c r="BY181" s="568"/>
      <c r="BZ181" s="566"/>
      <c r="CA181" s="567"/>
    </row>
    <row r="182" spans="1:79" ht="16.350000000000001" customHeight="1" x14ac:dyDescent="0.4">
      <c r="A182" s="249"/>
      <c r="B182" s="249"/>
      <c r="C182" s="584">
        <v>0.47569444444444398</v>
      </c>
      <c r="D182" s="587"/>
      <c r="E182" s="2839"/>
      <c r="F182" s="688"/>
      <c r="G182" s="588"/>
      <c r="H182" s="594"/>
      <c r="I182" s="742"/>
      <c r="J182" s="635"/>
      <c r="K182" s="691"/>
      <c r="L182" s="705"/>
      <c r="M182" s="973"/>
      <c r="N182" s="865"/>
      <c r="O182" s="791"/>
      <c r="P182" s="795"/>
      <c r="Q182" s="769"/>
      <c r="R182" s="708"/>
      <c r="S182" s="696"/>
      <c r="T182" s="696"/>
      <c r="U182" s="983"/>
      <c r="V182" s="709"/>
      <c r="W182" s="709"/>
      <c r="X182" s="684"/>
      <c r="Y182" s="973"/>
      <c r="Z182" s="865"/>
      <c r="AA182" s="791"/>
      <c r="AB182" s="984"/>
      <c r="AC182" s="984"/>
      <c r="AD182" s="985"/>
      <c r="AE182" s="895"/>
      <c r="AF182" s="896"/>
      <c r="AG182" s="768"/>
      <c r="AH182" s="895"/>
      <c r="AI182" s="896"/>
      <c r="AJ182" s="768"/>
      <c r="AK182" s="895"/>
      <c r="AL182" s="896"/>
      <c r="AM182" s="768"/>
      <c r="AN182" s="895"/>
      <c r="AO182" s="896"/>
      <c r="AP182" s="768"/>
      <c r="AQ182" s="895"/>
      <c r="AR182" s="896"/>
      <c r="AS182" s="768"/>
      <c r="AT182" s="895"/>
      <c r="AU182" s="896"/>
      <c r="AV182" s="768"/>
      <c r="AW182" s="895"/>
      <c r="AX182" s="896"/>
      <c r="AY182" s="768"/>
      <c r="AZ182" s="895"/>
      <c r="BA182" s="896"/>
      <c r="BB182" s="768"/>
      <c r="BC182" s="895"/>
      <c r="BD182" s="896"/>
      <c r="BE182" s="768"/>
      <c r="BF182" s="897"/>
      <c r="BG182" s="785"/>
      <c r="BH182" s="786"/>
      <c r="BI182" s="897"/>
      <c r="BJ182" s="785"/>
      <c r="BK182" s="786"/>
      <c r="BL182" s="895"/>
      <c r="BM182" s="768"/>
      <c r="BN182" s="768"/>
      <c r="BO182" s="897"/>
      <c r="BP182" s="895"/>
      <c r="BQ182" s="896"/>
      <c r="BR182" s="768"/>
      <c r="BS182" s="895"/>
      <c r="BT182" s="768"/>
      <c r="BU182" s="768"/>
      <c r="BV182" s="895"/>
      <c r="BW182" s="768"/>
      <c r="BX182" s="2552"/>
      <c r="BY182" s="895"/>
      <c r="BZ182" s="896"/>
      <c r="CA182" s="768"/>
    </row>
    <row r="183" spans="1:79" ht="18.600000000000001" customHeight="1" x14ac:dyDescent="0.4">
      <c r="A183" s="249"/>
      <c r="B183" s="249"/>
      <c r="C183" s="584">
        <v>0.47916666666666602</v>
      </c>
      <c r="D183" s="587"/>
      <c r="E183" s="1048"/>
      <c r="F183" s="688"/>
      <c r="G183" s="588"/>
      <c r="H183" s="594"/>
      <c r="I183" s="742"/>
      <c r="J183" s="635"/>
      <c r="K183" s="971"/>
      <c r="L183" s="705"/>
      <c r="M183" s="973"/>
      <c r="N183" s="745" t="s">
        <v>330</v>
      </c>
      <c r="O183" s="791"/>
      <c r="P183" s="795"/>
      <c r="Q183" s="769" t="s">
        <v>334</v>
      </c>
      <c r="R183" s="708"/>
      <c r="S183" s="696"/>
      <c r="T183" s="696" t="s">
        <v>331</v>
      </c>
      <c r="U183" s="697"/>
      <c r="V183" s="683"/>
      <c r="W183" s="709" t="s">
        <v>332</v>
      </c>
      <c r="X183" s="684"/>
      <c r="Y183" s="973"/>
      <c r="Z183" s="745" t="s">
        <v>330</v>
      </c>
      <c r="AA183" s="791"/>
      <c r="AB183" s="95"/>
      <c r="AC183" s="95"/>
      <c r="AD183" s="95"/>
      <c r="AE183" s="895"/>
      <c r="AF183" s="896"/>
      <c r="AG183" s="768"/>
      <c r="AH183" s="895"/>
      <c r="AI183" s="896"/>
      <c r="AJ183" s="768"/>
      <c r="AK183" s="895"/>
      <c r="AL183" s="896"/>
      <c r="AM183" s="768"/>
      <c r="AN183" s="895"/>
      <c r="AO183" s="896"/>
      <c r="AP183" s="768"/>
      <c r="AQ183" s="895"/>
      <c r="AR183" s="896"/>
      <c r="AS183" s="768"/>
      <c r="AT183" s="895"/>
      <c r="AU183" s="896"/>
      <c r="AV183" s="768"/>
      <c r="AW183" s="895"/>
      <c r="AX183" s="896"/>
      <c r="AY183" s="768"/>
      <c r="AZ183" s="895"/>
      <c r="BA183" s="896"/>
      <c r="BB183" s="768"/>
      <c r="BC183" s="895"/>
      <c r="BD183" s="896"/>
      <c r="BE183" s="768"/>
      <c r="BF183" s="897"/>
      <c r="BG183" s="785"/>
      <c r="BH183" s="786"/>
      <c r="BI183" s="897"/>
      <c r="BJ183" s="785"/>
      <c r="BK183" s="786"/>
      <c r="BL183" s="895"/>
      <c r="BM183" s="768"/>
      <c r="BN183" s="768"/>
      <c r="BO183" s="897"/>
      <c r="BP183" s="895"/>
      <c r="BQ183" s="896"/>
      <c r="BR183" s="768"/>
      <c r="BS183" s="895"/>
      <c r="BT183" s="768"/>
      <c r="BU183" s="768"/>
      <c r="BV183" s="895"/>
      <c r="BW183" s="768"/>
      <c r="BX183" s="2552"/>
      <c r="BY183" s="895"/>
      <c r="BZ183" s="896"/>
      <c r="CA183" s="768"/>
    </row>
    <row r="184" spans="1:79" ht="18.75" customHeight="1" x14ac:dyDescent="0.4">
      <c r="A184" s="249"/>
      <c r="B184" s="249"/>
      <c r="C184" s="584" t="s">
        <v>307</v>
      </c>
      <c r="D184" s="587"/>
      <c r="E184" s="1048"/>
      <c r="F184" s="688"/>
      <c r="G184" s="588"/>
      <c r="H184" s="594"/>
      <c r="I184" s="742"/>
      <c r="J184" s="635"/>
      <c r="K184" s="848"/>
      <c r="L184" s="705"/>
      <c r="M184" s="685"/>
      <c r="N184" s="745" t="s">
        <v>333</v>
      </c>
      <c r="O184" s="685"/>
      <c r="P184" s="795"/>
      <c r="Q184" s="769"/>
      <c r="R184" s="708"/>
      <c r="S184" s="696"/>
      <c r="T184" s="696" t="s">
        <v>334</v>
      </c>
      <c r="U184" s="697"/>
      <c r="V184" s="709"/>
      <c r="W184" s="709" t="s">
        <v>335</v>
      </c>
      <c r="X184" s="684"/>
      <c r="Y184" s="685"/>
      <c r="Z184" s="745" t="s">
        <v>333</v>
      </c>
      <c r="AA184" s="685"/>
      <c r="AB184" s="687"/>
      <c r="AC184" s="687"/>
      <c r="AD184" s="687"/>
      <c r="AE184" s="895"/>
      <c r="AF184" s="896"/>
      <c r="AG184" s="768"/>
      <c r="AH184" s="895"/>
      <c r="AI184" s="896"/>
      <c r="AJ184" s="768"/>
      <c r="AK184" s="895"/>
      <c r="AL184" s="896"/>
      <c r="AM184" s="768"/>
      <c r="AN184" s="895"/>
      <c r="AO184" s="896"/>
      <c r="AP184" s="768"/>
      <c r="AQ184" s="895"/>
      <c r="AR184" s="896"/>
      <c r="AS184" s="768"/>
      <c r="AT184" s="895"/>
      <c r="AU184" s="896"/>
      <c r="AV184" s="768"/>
      <c r="AW184" s="895"/>
      <c r="AX184" s="896"/>
      <c r="AY184" s="768"/>
      <c r="AZ184" s="895"/>
      <c r="BA184" s="896"/>
      <c r="BB184" s="768"/>
      <c r="BC184" s="895"/>
      <c r="BD184" s="896"/>
      <c r="BE184" s="768"/>
      <c r="BF184" s="897"/>
      <c r="BG184" s="785"/>
      <c r="BH184" s="786"/>
      <c r="BI184" s="897"/>
      <c r="BJ184" s="785"/>
      <c r="BK184" s="786"/>
      <c r="BL184" s="895"/>
      <c r="BM184" s="768"/>
      <c r="BN184" s="768"/>
      <c r="BO184" s="897"/>
      <c r="BP184" s="895"/>
      <c r="BQ184" s="896"/>
      <c r="BR184" s="768"/>
      <c r="BS184" s="895"/>
      <c r="BT184" s="768"/>
      <c r="BU184" s="768"/>
      <c r="BV184" s="895"/>
      <c r="BW184" s="768"/>
      <c r="BX184" s="2552"/>
      <c r="BY184" s="895"/>
      <c r="BZ184" s="896"/>
      <c r="CA184" s="768"/>
    </row>
    <row r="185" spans="1:79" ht="18.75" customHeight="1" x14ac:dyDescent="0.4">
      <c r="A185" s="249"/>
      <c r="B185" s="249"/>
      <c r="C185" s="584" t="s">
        <v>307</v>
      </c>
      <c r="D185" s="587"/>
      <c r="E185" s="1048"/>
      <c r="F185" s="688"/>
      <c r="G185" s="588"/>
      <c r="H185" s="594"/>
      <c r="I185" s="742"/>
      <c r="J185" s="635"/>
      <c r="K185" s="848"/>
      <c r="L185" s="705"/>
      <c r="M185" s="685"/>
      <c r="N185" s="745" t="s">
        <v>334</v>
      </c>
      <c r="O185" s="685"/>
      <c r="P185" s="795"/>
      <c r="Q185" s="769"/>
      <c r="R185" s="708"/>
      <c r="S185" s="696"/>
      <c r="T185" s="696"/>
      <c r="U185" s="697"/>
      <c r="V185" s="709"/>
      <c r="W185" s="788" t="s">
        <v>351</v>
      </c>
      <c r="X185" s="684"/>
      <c r="Y185" s="685"/>
      <c r="Z185" s="745" t="s">
        <v>334</v>
      </c>
      <c r="AA185" s="685"/>
      <c r="AB185" s="687"/>
      <c r="AC185" s="687"/>
      <c r="AD185" s="687"/>
      <c r="AE185" s="895"/>
      <c r="AF185" s="896"/>
      <c r="AG185" s="768"/>
      <c r="AH185" s="895"/>
      <c r="AI185" s="896"/>
      <c r="AJ185" s="768"/>
      <c r="AK185" s="895"/>
      <c r="AL185" s="896"/>
      <c r="AM185" s="768"/>
      <c r="AN185" s="895"/>
      <c r="AO185" s="896"/>
      <c r="AP185" s="768"/>
      <c r="AQ185" s="895"/>
      <c r="AR185" s="896"/>
      <c r="AS185" s="768"/>
      <c r="AT185" s="895"/>
      <c r="AU185" s="896"/>
      <c r="AV185" s="768"/>
      <c r="AW185" s="895"/>
      <c r="AX185" s="896"/>
      <c r="AY185" s="768"/>
      <c r="AZ185" s="895"/>
      <c r="BA185" s="896"/>
      <c r="BB185" s="768"/>
      <c r="BC185" s="895"/>
      <c r="BD185" s="896"/>
      <c r="BE185" s="768"/>
      <c r="BF185" s="897"/>
      <c r="BG185" s="785"/>
      <c r="BH185" s="786"/>
      <c r="BI185" s="897"/>
      <c r="BJ185" s="785"/>
      <c r="BK185" s="786"/>
      <c r="BL185" s="895"/>
      <c r="BM185" s="768"/>
      <c r="BN185" s="768"/>
      <c r="BO185" s="897"/>
      <c r="BP185" s="895"/>
      <c r="BQ185" s="896"/>
      <c r="BR185" s="768"/>
      <c r="BS185" s="895"/>
      <c r="BT185" s="768"/>
      <c r="BU185" s="768"/>
      <c r="BV185" s="895"/>
      <c r="BW185" s="768"/>
      <c r="BX185" s="2552"/>
      <c r="BY185" s="895"/>
      <c r="BZ185" s="896"/>
      <c r="CA185" s="768"/>
    </row>
    <row r="186" spans="1:79" ht="18.75" customHeight="1" x14ac:dyDescent="0.4">
      <c r="A186" s="249"/>
      <c r="B186" s="249"/>
      <c r="C186" s="584" t="s">
        <v>307</v>
      </c>
      <c r="D186" s="587"/>
      <c r="E186" s="1048"/>
      <c r="F186" s="688"/>
      <c r="G186" s="588"/>
      <c r="H186" s="594"/>
      <c r="I186" s="742"/>
      <c r="J186" s="635"/>
      <c r="K186" s="691"/>
      <c r="L186" s="705"/>
      <c r="M186" s="987"/>
      <c r="N186" s="745"/>
      <c r="O186" s="685"/>
      <c r="P186" s="795"/>
      <c r="Q186" s="769"/>
      <c r="R186" s="708"/>
      <c r="S186" s="986"/>
      <c r="T186" s="696"/>
      <c r="U186" s="697"/>
      <c r="V186" s="709"/>
      <c r="W186" s="788"/>
      <c r="X186" s="684"/>
      <c r="Y186" s="987"/>
      <c r="Z186" s="745"/>
      <c r="AA186" s="685"/>
      <c r="AB186" s="687"/>
      <c r="AC186" s="687"/>
      <c r="AD186" s="687"/>
      <c r="AE186" s="895"/>
      <c r="AF186" s="896"/>
      <c r="AG186" s="768"/>
      <c r="AH186" s="895"/>
      <c r="AI186" s="896"/>
      <c r="AJ186" s="768"/>
      <c r="AK186" s="895"/>
      <c r="AL186" s="896"/>
      <c r="AM186" s="768"/>
      <c r="AN186" s="895"/>
      <c r="AO186" s="896"/>
      <c r="AP186" s="768"/>
      <c r="AQ186" s="895"/>
      <c r="AR186" s="896"/>
      <c r="AS186" s="768"/>
      <c r="AT186" s="895"/>
      <c r="AU186" s="896"/>
      <c r="AV186" s="768"/>
      <c r="AW186" s="895"/>
      <c r="AX186" s="896"/>
      <c r="AY186" s="768"/>
      <c r="AZ186" s="895"/>
      <c r="BA186" s="896"/>
      <c r="BB186" s="768"/>
      <c r="BC186" s="895"/>
      <c r="BD186" s="896"/>
      <c r="BE186" s="768"/>
      <c r="BF186" s="897"/>
      <c r="BG186" s="785"/>
      <c r="BH186" s="786"/>
      <c r="BI186" s="897"/>
      <c r="BJ186" s="785"/>
      <c r="BK186" s="786"/>
      <c r="BL186" s="895"/>
      <c r="BM186" s="768"/>
      <c r="BN186" s="768"/>
      <c r="BO186" s="897"/>
      <c r="BP186" s="895"/>
      <c r="BQ186" s="896"/>
      <c r="BR186" s="768"/>
      <c r="BS186" s="895"/>
      <c r="BT186" s="768"/>
      <c r="BU186" s="768"/>
      <c r="BV186" s="895"/>
      <c r="BW186" s="768"/>
      <c r="BX186" s="2552"/>
      <c r="BY186" s="895"/>
      <c r="BZ186" s="896"/>
      <c r="CA186" s="768"/>
    </row>
    <row r="187" spans="1:79" ht="18.75" customHeight="1" x14ac:dyDescent="0.4">
      <c r="A187" s="249"/>
      <c r="B187" s="249"/>
      <c r="C187" s="584" t="s">
        <v>307</v>
      </c>
      <c r="D187" s="587"/>
      <c r="E187" s="1048"/>
      <c r="F187" s="688"/>
      <c r="G187" s="588"/>
      <c r="H187" s="594"/>
      <c r="I187" s="742"/>
      <c r="J187" s="635"/>
      <c r="K187" s="691"/>
      <c r="L187" s="705"/>
      <c r="M187" s="981"/>
      <c r="N187" s="982"/>
      <c r="O187" s="93"/>
      <c r="P187" s="795"/>
      <c r="Q187" s="707"/>
      <c r="R187" s="708"/>
      <c r="S187" s="988"/>
      <c r="T187" s="989"/>
      <c r="U187" s="929"/>
      <c r="V187" s="709"/>
      <c r="W187" s="709"/>
      <c r="X187" s="684"/>
      <c r="Y187" s="981"/>
      <c r="Z187" s="982"/>
      <c r="AA187" s="93"/>
      <c r="AB187" s="931"/>
      <c r="AC187" s="990" t="s">
        <v>341</v>
      </c>
      <c r="AD187" s="931"/>
      <c r="AE187" s="895"/>
      <c r="AF187" s="896"/>
      <c r="AG187" s="768"/>
      <c r="AH187" s="895"/>
      <c r="AI187" s="896"/>
      <c r="AJ187" s="768"/>
      <c r="AK187" s="895"/>
      <c r="AL187" s="896"/>
      <c r="AM187" s="768"/>
      <c r="AN187" s="895"/>
      <c r="AO187" s="896"/>
      <c r="AP187" s="768"/>
      <c r="AQ187" s="895"/>
      <c r="AR187" s="896"/>
      <c r="AS187" s="768"/>
      <c r="AT187" s="895"/>
      <c r="AU187" s="896"/>
      <c r="AV187" s="768"/>
      <c r="AW187" s="895"/>
      <c r="AX187" s="896"/>
      <c r="AY187" s="768"/>
      <c r="AZ187" s="895"/>
      <c r="BA187" s="896"/>
      <c r="BB187" s="768"/>
      <c r="BC187" s="895"/>
      <c r="BD187" s="896"/>
      <c r="BE187" s="768"/>
      <c r="BF187" s="897"/>
      <c r="BG187" s="785"/>
      <c r="BH187" s="786"/>
      <c r="BI187" s="897"/>
      <c r="BJ187" s="785"/>
      <c r="BK187" s="786"/>
      <c r="BL187" s="895"/>
      <c r="BM187" s="768"/>
      <c r="BN187" s="768"/>
      <c r="BO187" s="897"/>
      <c r="BP187" s="895"/>
      <c r="BQ187" s="896"/>
      <c r="BR187" s="768"/>
      <c r="BS187" s="895"/>
      <c r="BT187" s="768"/>
      <c r="BU187" s="768"/>
      <c r="BV187" s="895"/>
      <c r="BW187" s="768"/>
      <c r="BX187" s="2552"/>
      <c r="BY187" s="895"/>
      <c r="BZ187" s="896"/>
      <c r="CA187" s="768"/>
    </row>
    <row r="188" spans="1:79" ht="14.25" customHeight="1" x14ac:dyDescent="0.4">
      <c r="A188" s="249"/>
      <c r="B188" s="249"/>
      <c r="C188" s="584">
        <v>0.48263888888888901</v>
      </c>
      <c r="D188" s="587"/>
      <c r="E188" s="1048"/>
      <c r="F188" s="688"/>
      <c r="G188" s="588"/>
      <c r="H188" s="594"/>
      <c r="I188" s="742"/>
      <c r="J188" s="635"/>
      <c r="K188" s="691"/>
      <c r="L188" s="991"/>
      <c r="M188" s="981"/>
      <c r="N188" s="982"/>
      <c r="O188" s="93"/>
      <c r="P188" s="795"/>
      <c r="Q188" s="769"/>
      <c r="R188" s="992"/>
      <c r="S188" s="988"/>
      <c r="T188" s="989"/>
      <c r="U188" s="929"/>
      <c r="V188" s="709"/>
      <c r="W188" s="709"/>
      <c r="X188" s="993"/>
      <c r="Y188" s="981"/>
      <c r="Z188" s="982"/>
      <c r="AA188" s="93"/>
      <c r="AB188" s="931"/>
      <c r="AC188" s="990"/>
      <c r="AD188" s="931"/>
      <c r="AE188" s="895"/>
      <c r="AF188" s="896"/>
      <c r="AG188" s="768"/>
      <c r="AH188" s="895"/>
      <c r="AI188" s="896"/>
      <c r="AJ188" s="768"/>
      <c r="AK188" s="895"/>
      <c r="AL188" s="896"/>
      <c r="AM188" s="768"/>
      <c r="AN188" s="895"/>
      <c r="AO188" s="896"/>
      <c r="AP188" s="768"/>
      <c r="AQ188" s="895"/>
      <c r="AR188" s="896"/>
      <c r="AS188" s="768"/>
      <c r="AT188" s="895"/>
      <c r="AU188" s="896"/>
      <c r="AV188" s="768"/>
      <c r="AW188" s="895"/>
      <c r="AX188" s="896"/>
      <c r="AY188" s="768"/>
      <c r="AZ188" s="895"/>
      <c r="BA188" s="896"/>
      <c r="BB188" s="768"/>
      <c r="BC188" s="895"/>
      <c r="BD188" s="896"/>
      <c r="BE188" s="768"/>
      <c r="BF188" s="567"/>
      <c r="BG188" s="767"/>
      <c r="BH188" s="768"/>
      <c r="BI188" s="567"/>
      <c r="BJ188" s="767"/>
      <c r="BK188" s="768"/>
      <c r="BL188" s="895"/>
      <c r="BM188" s="768"/>
      <c r="BN188" s="768"/>
      <c r="BO188" s="897"/>
      <c r="BP188" s="895"/>
      <c r="BQ188" s="896"/>
      <c r="BR188" s="768"/>
      <c r="BS188" s="895"/>
      <c r="BT188" s="768"/>
      <c r="BU188" s="768"/>
      <c r="BV188" s="895"/>
      <c r="BW188" s="768"/>
      <c r="BX188" s="2552"/>
      <c r="BY188" s="895"/>
      <c r="BZ188" s="896"/>
      <c r="CA188" s="768"/>
    </row>
    <row r="189" spans="1:79" ht="14.25" customHeight="1" x14ac:dyDescent="0.4">
      <c r="A189" s="249"/>
      <c r="B189" s="249"/>
      <c r="C189" s="584">
        <v>0.48611111111111099</v>
      </c>
      <c r="D189" s="587"/>
      <c r="E189" s="1048"/>
      <c r="F189" s="688"/>
      <c r="G189" s="588"/>
      <c r="H189" s="594"/>
      <c r="I189" s="994"/>
      <c r="J189" s="635"/>
      <c r="K189" s="971"/>
      <c r="L189" s="991"/>
      <c r="M189" s="995"/>
      <c r="N189" s="865"/>
      <c r="O189" s="791"/>
      <c r="P189" s="795"/>
      <c r="Q189" s="769"/>
      <c r="R189" s="992"/>
      <c r="S189" s="697"/>
      <c r="T189" s="696"/>
      <c r="U189" s="697"/>
      <c r="V189" s="709"/>
      <c r="W189" s="709"/>
      <c r="X189" s="993"/>
      <c r="Y189" s="995"/>
      <c r="Z189" s="865"/>
      <c r="AA189" s="791"/>
      <c r="AB189" s="908"/>
      <c r="AC189" s="990"/>
      <c r="AD189" s="908"/>
      <c r="AE189" s="895"/>
      <c r="AF189" s="896"/>
      <c r="AG189" s="768"/>
      <c r="AH189" s="895"/>
      <c r="AI189" s="896"/>
      <c r="AJ189" s="768"/>
      <c r="AK189" s="895"/>
      <c r="AL189" s="896"/>
      <c r="AM189" s="768"/>
      <c r="AN189" s="895"/>
      <c r="AO189" s="896"/>
      <c r="AP189" s="768"/>
      <c r="AQ189" s="895"/>
      <c r="AR189" s="896"/>
      <c r="AS189" s="768"/>
      <c r="AT189" s="895"/>
      <c r="AU189" s="896"/>
      <c r="AV189" s="768"/>
      <c r="AW189" s="895"/>
      <c r="AX189" s="896"/>
      <c r="AY189" s="768"/>
      <c r="AZ189" s="895"/>
      <c r="BA189" s="896"/>
      <c r="BB189" s="768"/>
      <c r="BC189" s="895"/>
      <c r="BD189" s="896"/>
      <c r="BE189" s="768"/>
      <c r="BF189" s="567"/>
      <c r="BG189" s="767"/>
      <c r="BH189" s="768"/>
      <c r="BI189" s="567"/>
      <c r="BJ189" s="767"/>
      <c r="BK189" s="768"/>
      <c r="BL189" s="895"/>
      <c r="BM189" s="768"/>
      <c r="BN189" s="768"/>
      <c r="BO189" s="897"/>
      <c r="BP189" s="895"/>
      <c r="BQ189" s="896"/>
      <c r="BR189" s="768"/>
      <c r="BS189" s="895"/>
      <c r="BT189" s="768"/>
      <c r="BU189" s="768"/>
      <c r="BV189" s="895"/>
      <c r="BW189" s="768"/>
      <c r="BX189" s="2552"/>
      <c r="BY189" s="895"/>
      <c r="BZ189" s="896"/>
      <c r="CA189" s="768"/>
    </row>
    <row r="190" spans="1:79" ht="18.75" customHeight="1" x14ac:dyDescent="0.4">
      <c r="A190" s="249"/>
      <c r="B190" s="249"/>
      <c r="C190" s="584">
        <v>0.48958333333333298</v>
      </c>
      <c r="D190" s="587"/>
      <c r="E190" s="1048"/>
      <c r="F190" s="688"/>
      <c r="G190" s="588"/>
      <c r="H190" s="594"/>
      <c r="I190" s="742"/>
      <c r="J190" s="635"/>
      <c r="K190" s="848"/>
      <c r="L190" s="705"/>
      <c r="M190" s="686"/>
      <c r="N190" s="745" t="s">
        <v>333</v>
      </c>
      <c r="O190" s="791"/>
      <c r="P190" s="977"/>
      <c r="Q190" s="851" t="s">
        <v>334</v>
      </c>
      <c r="R190" s="996"/>
      <c r="S190" s="696"/>
      <c r="T190" s="696" t="s">
        <v>331</v>
      </c>
      <c r="U190" s="697"/>
      <c r="V190" s="683"/>
      <c r="W190" s="709" t="s">
        <v>332</v>
      </c>
      <c r="X190" s="993"/>
      <c r="Y190" s="686"/>
      <c r="Z190" s="745" t="s">
        <v>333</v>
      </c>
      <c r="AA190" s="791"/>
      <c r="AB190" s="95"/>
      <c r="AC190" s="990"/>
      <c r="AD190" s="95"/>
      <c r="AE190" s="895"/>
      <c r="AF190" s="896"/>
      <c r="AG190" s="768"/>
      <c r="AH190" s="895"/>
      <c r="AI190" s="896"/>
      <c r="AJ190" s="768"/>
      <c r="AK190" s="895"/>
      <c r="AL190" s="896"/>
      <c r="AM190" s="768"/>
      <c r="AN190" s="895"/>
      <c r="AO190" s="896"/>
      <c r="AP190" s="768"/>
      <c r="AQ190" s="895"/>
      <c r="AR190" s="896"/>
      <c r="AS190" s="768"/>
      <c r="AT190" s="895"/>
      <c r="AU190" s="896"/>
      <c r="AV190" s="768"/>
      <c r="AW190" s="895"/>
      <c r="AX190" s="896"/>
      <c r="AY190" s="768"/>
      <c r="AZ190" s="895"/>
      <c r="BA190" s="896"/>
      <c r="BB190" s="768"/>
      <c r="BC190" s="895"/>
      <c r="BD190" s="896"/>
      <c r="BE190" s="768"/>
      <c r="BF190" s="567"/>
      <c r="BG190" s="767"/>
      <c r="BH190" s="768"/>
      <c r="BI190" s="567"/>
      <c r="BJ190" s="767"/>
      <c r="BK190" s="768"/>
      <c r="BL190" s="895"/>
      <c r="BM190" s="768"/>
      <c r="BN190" s="768"/>
      <c r="BO190" s="897"/>
      <c r="BP190" s="895"/>
      <c r="BQ190" s="896"/>
      <c r="BR190" s="768"/>
      <c r="BS190" s="895"/>
      <c r="BT190" s="768"/>
      <c r="BU190" s="768"/>
      <c r="BV190" s="895"/>
      <c r="BW190" s="768"/>
      <c r="BX190" s="2552"/>
      <c r="BY190" s="895"/>
      <c r="BZ190" s="896"/>
      <c r="CA190" s="768"/>
    </row>
    <row r="191" spans="1:79" ht="18.75" customHeight="1" x14ac:dyDescent="0.4">
      <c r="A191" s="249"/>
      <c r="B191" s="249"/>
      <c r="C191" s="584" t="s">
        <v>307</v>
      </c>
      <c r="D191" s="587"/>
      <c r="E191" s="688"/>
      <c r="F191" s="845"/>
      <c r="G191" s="588"/>
      <c r="H191" s="2682"/>
      <c r="I191" s="742"/>
      <c r="J191" s="635"/>
      <c r="K191" s="2571" t="s">
        <v>364</v>
      </c>
      <c r="L191" s="705"/>
      <c r="M191" s="685"/>
      <c r="N191" s="865" t="s">
        <v>351</v>
      </c>
      <c r="O191" s="685"/>
      <c r="P191" s="795"/>
      <c r="Q191" s="769"/>
      <c r="R191" s="708"/>
      <c r="S191" s="697"/>
      <c r="T191" s="696" t="s">
        <v>334</v>
      </c>
      <c r="U191" s="697"/>
      <c r="V191" s="709"/>
      <c r="W191" s="709" t="s">
        <v>335</v>
      </c>
      <c r="X191" s="684"/>
      <c r="Y191" s="685"/>
      <c r="Z191" s="865" t="s">
        <v>351</v>
      </c>
      <c r="AA191" s="685"/>
      <c r="AB191" s="908"/>
      <c r="AC191" s="990"/>
      <c r="AD191" s="908"/>
      <c r="AE191" s="895"/>
      <c r="AF191" s="768"/>
      <c r="AG191" s="768"/>
      <c r="AH191" s="895"/>
      <c r="AI191" s="768"/>
      <c r="AJ191" s="768"/>
      <c r="AK191" s="895"/>
      <c r="AL191" s="768"/>
      <c r="AM191" s="768"/>
      <c r="AN191" s="895"/>
      <c r="AO191" s="768"/>
      <c r="AP191" s="768"/>
      <c r="AQ191" s="895"/>
      <c r="AR191" s="768"/>
      <c r="AS191" s="768"/>
      <c r="AT191" s="895"/>
      <c r="AU191" s="768"/>
      <c r="AV191" s="768"/>
      <c r="AW191" s="895"/>
      <c r="AX191" s="768"/>
      <c r="AY191" s="768"/>
      <c r="AZ191" s="895"/>
      <c r="BA191" s="768"/>
      <c r="BB191" s="768"/>
      <c r="BC191" s="895"/>
      <c r="BD191" s="768"/>
      <c r="BE191" s="768"/>
      <c r="BF191" s="895"/>
      <c r="BG191" s="768"/>
      <c r="BH191" s="768"/>
      <c r="BI191" s="895"/>
      <c r="BJ191" s="768"/>
      <c r="BK191" s="768"/>
      <c r="BL191" s="895"/>
      <c r="BM191" s="768"/>
      <c r="BN191" s="768"/>
      <c r="BO191" s="897"/>
      <c r="BP191" s="895"/>
      <c r="BQ191" s="768"/>
      <c r="BR191" s="768"/>
      <c r="BS191" s="895"/>
      <c r="BT191" s="768"/>
      <c r="BU191" s="768"/>
      <c r="BV191" s="895"/>
      <c r="BW191" s="768"/>
      <c r="BX191" s="2552"/>
      <c r="BY191" s="895"/>
      <c r="BZ191" s="768"/>
      <c r="CA191" s="768"/>
    </row>
    <row r="192" spans="1:79" ht="18.75" customHeight="1" x14ac:dyDescent="0.4">
      <c r="A192" s="249"/>
      <c r="B192" s="249"/>
      <c r="C192" s="584" t="s">
        <v>307</v>
      </c>
      <c r="D192" s="587"/>
      <c r="E192" s="688"/>
      <c r="F192" s="688"/>
      <c r="G192" s="588"/>
      <c r="H192" s="2682"/>
      <c r="I192" s="742"/>
      <c r="J192" s="582"/>
      <c r="K192" s="2562"/>
      <c r="L192" s="849"/>
      <c r="M192" s="685"/>
      <c r="N192" s="793" t="s">
        <v>336</v>
      </c>
      <c r="O192" s="685"/>
      <c r="P192" s="997"/>
      <c r="Q192" s="998"/>
      <c r="R192" s="999"/>
      <c r="S192" s="697"/>
      <c r="T192" s="864"/>
      <c r="U192" s="903"/>
      <c r="V192" s="709"/>
      <c r="W192" s="788"/>
      <c r="X192" s="993"/>
      <c r="Y192" s="685"/>
      <c r="Z192" s="793" t="s">
        <v>336</v>
      </c>
      <c r="AA192" s="685"/>
      <c r="AB192" s="95"/>
      <c r="AC192" s="990"/>
      <c r="AD192" s="95"/>
      <c r="AE192" s="895"/>
      <c r="AF192" s="768"/>
      <c r="AG192" s="768"/>
      <c r="AH192" s="895"/>
      <c r="AI192" s="768"/>
      <c r="AJ192" s="768"/>
      <c r="AK192" s="895"/>
      <c r="AL192" s="768"/>
      <c r="AM192" s="768"/>
      <c r="AN192" s="895"/>
      <c r="AO192" s="768"/>
      <c r="AP192" s="768"/>
      <c r="AQ192" s="895"/>
      <c r="AR192" s="768"/>
      <c r="AS192" s="768"/>
      <c r="AT192" s="895"/>
      <c r="AU192" s="768"/>
      <c r="AV192" s="768"/>
      <c r="AW192" s="895"/>
      <c r="AX192" s="768"/>
      <c r="AY192" s="768"/>
      <c r="AZ192" s="895"/>
      <c r="BA192" s="768"/>
      <c r="BB192" s="768"/>
      <c r="BC192" s="895"/>
      <c r="BD192" s="768"/>
      <c r="BE192" s="768"/>
      <c r="BF192" s="895"/>
      <c r="BG192" s="768"/>
      <c r="BH192" s="768"/>
      <c r="BI192" s="895"/>
      <c r="BJ192" s="768"/>
      <c r="BK192" s="768"/>
      <c r="BL192" s="895"/>
      <c r="BM192" s="768"/>
      <c r="BN192" s="768"/>
      <c r="BO192" s="897"/>
      <c r="BP192" s="895"/>
      <c r="BQ192" s="768"/>
      <c r="BR192" s="768"/>
      <c r="BS192" s="895"/>
      <c r="BT192" s="768"/>
      <c r="BU192" s="768"/>
      <c r="BV192" s="895"/>
      <c r="BW192" s="768"/>
      <c r="BX192" s="2552"/>
      <c r="BY192" s="895"/>
      <c r="BZ192" s="768"/>
      <c r="CA192" s="768"/>
    </row>
    <row r="193" spans="1:79" ht="18.75" customHeight="1" x14ac:dyDescent="0.4">
      <c r="A193" s="249"/>
      <c r="B193" s="249"/>
      <c r="C193" s="584" t="s">
        <v>307</v>
      </c>
      <c r="D193" s="844"/>
      <c r="E193" s="688"/>
      <c r="F193" s="845"/>
      <c r="G193" s="846"/>
      <c r="H193" s="2682"/>
      <c r="I193" s="847"/>
      <c r="J193" s="582"/>
      <c r="K193" s="2562"/>
      <c r="L193" s="849"/>
      <c r="M193" s="905"/>
      <c r="N193" s="906"/>
      <c r="O193" s="907"/>
      <c r="P193" s="997"/>
      <c r="Q193" s="998"/>
      <c r="R193" s="999"/>
      <c r="S193" s="697"/>
      <c r="T193" s="696"/>
      <c r="U193" s="903"/>
      <c r="V193" s="709"/>
      <c r="W193" s="788"/>
      <c r="X193" s="993"/>
      <c r="Y193" s="905"/>
      <c r="Z193" s="906"/>
      <c r="AA193" s="907"/>
      <c r="AB193" s="908"/>
      <c r="AC193" s="990"/>
      <c r="AD193" s="908"/>
      <c r="AE193" s="895"/>
      <c r="AF193" s="768"/>
      <c r="AG193" s="768"/>
      <c r="AH193" s="895"/>
      <c r="AI193" s="768"/>
      <c r="AJ193" s="768"/>
      <c r="AK193" s="895"/>
      <c r="AL193" s="768"/>
      <c r="AM193" s="768"/>
      <c r="AN193" s="895"/>
      <c r="AO193" s="768"/>
      <c r="AP193" s="768"/>
      <c r="AQ193" s="895"/>
      <c r="AR193" s="768"/>
      <c r="AS193" s="768"/>
      <c r="AT193" s="895"/>
      <c r="AU193" s="768"/>
      <c r="AV193" s="768"/>
      <c r="AW193" s="895"/>
      <c r="AX193" s="768"/>
      <c r="AY193" s="768"/>
      <c r="AZ193" s="895"/>
      <c r="BA193" s="768"/>
      <c r="BB193" s="768"/>
      <c r="BC193" s="895"/>
      <c r="BD193" s="768"/>
      <c r="BE193" s="768"/>
      <c r="BF193" s="895"/>
      <c r="BG193" s="768"/>
      <c r="BH193" s="768"/>
      <c r="BI193" s="895"/>
      <c r="BJ193" s="768"/>
      <c r="BK193" s="768"/>
      <c r="BL193" s="895"/>
      <c r="BM193" s="768"/>
      <c r="BN193" s="768"/>
      <c r="BO193" s="897"/>
      <c r="BP193" s="895"/>
      <c r="BQ193" s="768"/>
      <c r="BR193" s="768"/>
      <c r="BS193" s="895"/>
      <c r="BT193" s="768"/>
      <c r="BU193" s="768"/>
      <c r="BV193" s="895"/>
      <c r="BW193" s="768"/>
      <c r="BX193" s="2552"/>
      <c r="BY193" s="895"/>
      <c r="BZ193" s="768"/>
      <c r="CA193" s="768"/>
    </row>
    <row r="194" spans="1:79" ht="18.75" customHeight="1" x14ac:dyDescent="0.4">
      <c r="A194" s="249"/>
      <c r="B194" s="249"/>
      <c r="C194" s="584" t="s">
        <v>307</v>
      </c>
      <c r="D194" s="844"/>
      <c r="E194" s="688"/>
      <c r="F194" s="845"/>
      <c r="G194" s="846"/>
      <c r="H194" s="2682"/>
      <c r="I194" s="847"/>
      <c r="J194" s="582"/>
      <c r="K194" s="2562"/>
      <c r="L194" s="849"/>
      <c r="M194" s="905"/>
      <c r="N194" s="906"/>
      <c r="O194" s="907"/>
      <c r="P194" s="997"/>
      <c r="Q194" s="998"/>
      <c r="R194" s="999"/>
      <c r="S194" s="697"/>
      <c r="T194" s="696"/>
      <c r="U194" s="903"/>
      <c r="V194" s="709"/>
      <c r="W194" s="709"/>
      <c r="X194" s="993"/>
      <c r="Y194" s="905"/>
      <c r="Z194" s="906"/>
      <c r="AA194" s="907"/>
      <c r="AB194" s="908"/>
      <c r="AC194" s="990"/>
      <c r="AD194" s="908"/>
      <c r="AE194" s="895"/>
      <c r="AF194" s="768"/>
      <c r="AG194" s="768"/>
      <c r="AH194" s="895"/>
      <c r="AI194" s="768"/>
      <c r="AJ194" s="768"/>
      <c r="AK194" s="895"/>
      <c r="AL194" s="768"/>
      <c r="AM194" s="768"/>
      <c r="AN194" s="895"/>
      <c r="AO194" s="768"/>
      <c r="AP194" s="768"/>
      <c r="AQ194" s="895"/>
      <c r="AR194" s="768"/>
      <c r="AS194" s="768"/>
      <c r="AT194" s="895"/>
      <c r="AU194" s="768"/>
      <c r="AV194" s="768"/>
      <c r="AW194" s="895"/>
      <c r="AX194" s="768"/>
      <c r="AY194" s="768"/>
      <c r="AZ194" s="895"/>
      <c r="BA194" s="768"/>
      <c r="BB194" s="768"/>
      <c r="BC194" s="895"/>
      <c r="BD194" s="768"/>
      <c r="BE194" s="768"/>
      <c r="BF194" s="895"/>
      <c r="BG194" s="768"/>
      <c r="BH194" s="768"/>
      <c r="BI194" s="895"/>
      <c r="BJ194" s="768"/>
      <c r="BK194" s="768"/>
      <c r="BL194" s="895"/>
      <c r="BM194" s="768"/>
      <c r="BN194" s="768"/>
      <c r="BO194" s="897"/>
      <c r="BP194" s="895"/>
      <c r="BQ194" s="768"/>
      <c r="BR194" s="768"/>
      <c r="BS194" s="895"/>
      <c r="BT194" s="768"/>
      <c r="BU194" s="768"/>
      <c r="BV194" s="895"/>
      <c r="BW194" s="768"/>
      <c r="BX194" s="2552"/>
      <c r="BY194" s="895"/>
      <c r="BZ194" s="768"/>
      <c r="CA194" s="768"/>
    </row>
    <row r="195" spans="1:79" ht="18.75" customHeight="1" x14ac:dyDescent="0.4">
      <c r="A195" s="249"/>
      <c r="B195" s="249"/>
      <c r="C195" s="584" t="s">
        <v>307</v>
      </c>
      <c r="D195" s="844"/>
      <c r="E195" s="688"/>
      <c r="F195" s="845"/>
      <c r="G195" s="846"/>
      <c r="H195" s="2682"/>
      <c r="I195" s="847"/>
      <c r="J195" s="582"/>
      <c r="K195" s="2562"/>
      <c r="L195" s="849"/>
      <c r="M195" s="905"/>
      <c r="N195" s="906"/>
      <c r="O195" s="907"/>
      <c r="P195" s="997"/>
      <c r="Q195" s="998"/>
      <c r="R195" s="999"/>
      <c r="S195" s="697"/>
      <c r="T195" s="696"/>
      <c r="U195" s="903"/>
      <c r="V195" s="709"/>
      <c r="W195" s="709"/>
      <c r="X195" s="993"/>
      <c r="Y195" s="905"/>
      <c r="Z195" s="906"/>
      <c r="AA195" s="907"/>
      <c r="AB195" s="908"/>
      <c r="AC195" s="990"/>
      <c r="AD195" s="908"/>
      <c r="AE195" s="895"/>
      <c r="AF195" s="768"/>
      <c r="AG195" s="768"/>
      <c r="AH195" s="895"/>
      <c r="AI195" s="768"/>
      <c r="AJ195" s="768"/>
      <c r="AK195" s="895"/>
      <c r="AL195" s="768"/>
      <c r="AM195" s="768"/>
      <c r="AN195" s="895"/>
      <c r="AO195" s="768"/>
      <c r="AP195" s="768"/>
      <c r="AQ195" s="895"/>
      <c r="AR195" s="768"/>
      <c r="AS195" s="768"/>
      <c r="AT195" s="895"/>
      <c r="AU195" s="768"/>
      <c r="AV195" s="768"/>
      <c r="AW195" s="895"/>
      <c r="AX195" s="768"/>
      <c r="AY195" s="768"/>
      <c r="AZ195" s="895"/>
      <c r="BA195" s="768"/>
      <c r="BB195" s="768"/>
      <c r="BC195" s="895"/>
      <c r="BD195" s="768"/>
      <c r="BE195" s="768"/>
      <c r="BF195" s="895"/>
      <c r="BG195" s="768"/>
      <c r="BH195" s="768"/>
      <c r="BI195" s="895"/>
      <c r="BJ195" s="768"/>
      <c r="BK195" s="768"/>
      <c r="BL195" s="895"/>
      <c r="BM195" s="768"/>
      <c r="BN195" s="768"/>
      <c r="BO195" s="897"/>
      <c r="BP195" s="895"/>
      <c r="BQ195" s="768"/>
      <c r="BR195" s="768"/>
      <c r="BS195" s="895"/>
      <c r="BT195" s="768"/>
      <c r="BU195" s="768"/>
      <c r="BV195" s="895"/>
      <c r="BW195" s="768"/>
      <c r="BX195" s="2552"/>
      <c r="BY195" s="895"/>
      <c r="BZ195" s="768"/>
      <c r="CA195" s="768"/>
    </row>
    <row r="196" spans="1:79" ht="18.75" customHeight="1" x14ac:dyDescent="0.4">
      <c r="A196" s="249"/>
      <c r="B196" s="249"/>
      <c r="C196" s="584" t="s">
        <v>307</v>
      </c>
      <c r="D196" s="844"/>
      <c r="E196" s="688"/>
      <c r="F196" s="845"/>
      <c r="G196" s="846"/>
      <c r="H196" s="2682"/>
      <c r="I196" s="847"/>
      <c r="J196" s="635"/>
      <c r="K196" s="2562"/>
      <c r="L196" s="849"/>
      <c r="M196" s="905"/>
      <c r="N196" s="928"/>
      <c r="O196" s="915"/>
      <c r="P196" s="977"/>
      <c r="Q196" s="1001"/>
      <c r="R196" s="999"/>
      <c r="S196" s="697"/>
      <c r="T196" s="696"/>
      <c r="U196" s="903"/>
      <c r="V196" s="709"/>
      <c r="W196" s="1002"/>
      <c r="X196" s="684"/>
      <c r="Y196" s="905"/>
      <c r="Z196" s="928"/>
      <c r="AA196" s="915"/>
      <c r="AB196" s="95"/>
      <c r="AC196" s="990"/>
      <c r="AD196" s="95"/>
      <c r="AE196" s="895"/>
      <c r="AF196" s="768"/>
      <c r="AG196" s="768"/>
      <c r="AH196" s="895"/>
      <c r="AI196" s="768"/>
      <c r="AJ196" s="768"/>
      <c r="AK196" s="895"/>
      <c r="AL196" s="768"/>
      <c r="AM196" s="768"/>
      <c r="AN196" s="895"/>
      <c r="AO196" s="768"/>
      <c r="AP196" s="768"/>
      <c r="AQ196" s="895"/>
      <c r="AR196" s="768"/>
      <c r="AS196" s="768"/>
      <c r="AT196" s="895"/>
      <c r="AU196" s="768"/>
      <c r="AV196" s="768"/>
      <c r="AW196" s="895"/>
      <c r="AX196" s="768"/>
      <c r="AY196" s="768"/>
      <c r="AZ196" s="895"/>
      <c r="BA196" s="768"/>
      <c r="BB196" s="768"/>
      <c r="BC196" s="895"/>
      <c r="BD196" s="768"/>
      <c r="BE196" s="768"/>
      <c r="BF196" s="895"/>
      <c r="BG196" s="768"/>
      <c r="BH196" s="768"/>
      <c r="BI196" s="895"/>
      <c r="BJ196" s="768"/>
      <c r="BK196" s="768"/>
      <c r="BL196" s="895"/>
      <c r="BM196" s="768"/>
      <c r="BN196" s="768"/>
      <c r="BO196" s="897"/>
      <c r="BP196" s="895"/>
      <c r="BQ196" s="768"/>
      <c r="BR196" s="768"/>
      <c r="BS196" s="895"/>
      <c r="BT196" s="768"/>
      <c r="BU196" s="768"/>
      <c r="BV196" s="895"/>
      <c r="BW196" s="768"/>
      <c r="BX196" s="2552"/>
      <c r="BY196" s="895"/>
      <c r="BZ196" s="768"/>
      <c r="CA196" s="768"/>
    </row>
    <row r="197" spans="1:79" ht="18.75" customHeight="1" x14ac:dyDescent="0.4">
      <c r="A197" s="249"/>
      <c r="B197" s="249"/>
      <c r="C197" s="584">
        <v>0.49305555555555503</v>
      </c>
      <c r="D197" s="587"/>
      <c r="E197" s="688"/>
      <c r="F197" s="1003"/>
      <c r="G197" s="588"/>
      <c r="H197" s="2682"/>
      <c r="I197" s="847"/>
      <c r="J197" s="1004"/>
      <c r="K197" s="2562"/>
      <c r="L197" s="1005"/>
      <c r="M197" s="686"/>
      <c r="N197" s="745"/>
      <c r="O197" s="686"/>
      <c r="P197" s="1006"/>
      <c r="Q197" s="1001"/>
      <c r="R197" s="1007"/>
      <c r="S197" s="696"/>
      <c r="T197" s="696"/>
      <c r="U197" s="1008"/>
      <c r="V197" s="871"/>
      <c r="W197" s="709"/>
      <c r="X197" s="1009"/>
      <c r="Y197" s="686"/>
      <c r="Z197" s="745"/>
      <c r="AA197" s="686"/>
      <c r="AB197" s="964"/>
      <c r="AC197" s="964"/>
      <c r="AD197" s="964"/>
      <c r="AE197" s="895"/>
      <c r="AF197" s="768"/>
      <c r="AG197" s="768"/>
      <c r="AH197" s="895"/>
      <c r="AI197" s="768"/>
      <c r="AJ197" s="768"/>
      <c r="AK197" s="895"/>
      <c r="AL197" s="768"/>
      <c r="AM197" s="768"/>
      <c r="AN197" s="895"/>
      <c r="AO197" s="768"/>
      <c r="AP197" s="768"/>
      <c r="AQ197" s="895"/>
      <c r="AR197" s="768"/>
      <c r="AS197" s="768"/>
      <c r="AT197" s="895"/>
      <c r="AU197" s="768"/>
      <c r="AV197" s="768"/>
      <c r="AW197" s="895"/>
      <c r="AX197" s="768"/>
      <c r="AY197" s="768"/>
      <c r="AZ197" s="895"/>
      <c r="BA197" s="768"/>
      <c r="BB197" s="768"/>
      <c r="BC197" s="895"/>
      <c r="BD197" s="768"/>
      <c r="BE197" s="768"/>
      <c r="BF197" s="895"/>
      <c r="BG197" s="768"/>
      <c r="BH197" s="768"/>
      <c r="BI197" s="895"/>
      <c r="BJ197" s="768"/>
      <c r="BK197" s="768"/>
      <c r="BL197" s="895"/>
      <c r="BM197" s="768"/>
      <c r="BN197" s="768"/>
      <c r="BO197" s="897"/>
      <c r="BP197" s="895"/>
      <c r="BQ197" s="768"/>
      <c r="BR197" s="768"/>
      <c r="BS197" s="895"/>
      <c r="BT197" s="768"/>
      <c r="BU197" s="768"/>
      <c r="BV197" s="895"/>
      <c r="BW197" s="768"/>
      <c r="BX197" s="2552"/>
      <c r="BY197" s="895"/>
      <c r="BZ197" s="768"/>
      <c r="CA197" s="768"/>
    </row>
    <row r="198" spans="1:79" ht="18.75" customHeight="1" x14ac:dyDescent="0.4">
      <c r="A198" s="249"/>
      <c r="B198" s="249"/>
      <c r="C198" s="621">
        <v>0.49652777777777701</v>
      </c>
      <c r="D198" s="1010"/>
      <c r="E198" s="688"/>
      <c r="F198" s="1011"/>
      <c r="G198" s="1012"/>
      <c r="H198" s="2682"/>
      <c r="I198" s="873"/>
      <c r="J198" s="1013"/>
      <c r="K198" s="2563"/>
      <c r="L198" s="875"/>
      <c r="M198" s="881"/>
      <c r="N198" s="882"/>
      <c r="O198" s="881"/>
      <c r="P198" s="1014"/>
      <c r="Q198" s="1015"/>
      <c r="R198" s="1016"/>
      <c r="S198" s="1017"/>
      <c r="T198" s="879"/>
      <c r="U198" s="1018"/>
      <c r="V198" s="1019"/>
      <c r="W198" s="880"/>
      <c r="X198" s="1020"/>
      <c r="Y198" s="881"/>
      <c r="Z198" s="882"/>
      <c r="AA198" s="881"/>
      <c r="AB198" s="1021"/>
      <c r="AC198" s="1021"/>
      <c r="AD198" s="1021"/>
      <c r="AE198" s="895"/>
      <c r="AF198" s="768"/>
      <c r="AG198" s="768"/>
      <c r="AH198" s="895"/>
      <c r="AI198" s="768"/>
      <c r="AJ198" s="768"/>
      <c r="AK198" s="895"/>
      <c r="AL198" s="768"/>
      <c r="AM198" s="768"/>
      <c r="AN198" s="895"/>
      <c r="AO198" s="768"/>
      <c r="AP198" s="768"/>
      <c r="AQ198" s="895"/>
      <c r="AR198" s="768"/>
      <c r="AS198" s="768"/>
      <c r="AT198" s="895"/>
      <c r="AU198" s="768"/>
      <c r="AV198" s="768"/>
      <c r="AW198" s="895"/>
      <c r="AX198" s="768"/>
      <c r="AY198" s="768"/>
      <c r="AZ198" s="895"/>
      <c r="BA198" s="768"/>
      <c r="BB198" s="768"/>
      <c r="BC198" s="895"/>
      <c r="BD198" s="768"/>
      <c r="BE198" s="768"/>
      <c r="BF198" s="895"/>
      <c r="BG198" s="768"/>
      <c r="BH198" s="768"/>
      <c r="BI198" s="895"/>
      <c r="BJ198" s="768"/>
      <c r="BK198" s="768"/>
      <c r="BL198" s="895"/>
      <c r="BM198" s="768"/>
      <c r="BN198" s="768"/>
      <c r="BO198" s="897"/>
      <c r="BP198" s="895"/>
      <c r="BQ198" s="768"/>
      <c r="BR198" s="768"/>
      <c r="BS198" s="895"/>
      <c r="BT198" s="768"/>
      <c r="BU198" s="768"/>
      <c r="BV198" s="895"/>
      <c r="BW198" s="567"/>
      <c r="BX198" s="2552"/>
      <c r="BY198" s="895"/>
      <c r="BZ198" s="768"/>
      <c r="CA198" s="768"/>
    </row>
    <row r="199" spans="1:79" ht="18" customHeight="1" x14ac:dyDescent="0.4">
      <c r="A199" s="249"/>
      <c r="B199" s="249"/>
      <c r="C199" s="622">
        <v>0.5</v>
      </c>
      <c r="D199" s="587"/>
      <c r="E199" s="818"/>
      <c r="F199" s="688"/>
      <c r="G199" s="588"/>
      <c r="H199" s="2682"/>
      <c r="I199" s="742"/>
      <c r="J199" s="635"/>
      <c r="K199" s="2562"/>
      <c r="L199" s="705"/>
      <c r="M199" s="791"/>
      <c r="N199" s="745" t="s">
        <v>330</v>
      </c>
      <c r="O199" s="791"/>
      <c r="P199" s="977"/>
      <c r="Q199" s="851" t="s">
        <v>365</v>
      </c>
      <c r="R199" s="996"/>
      <c r="S199" s="696"/>
      <c r="T199" s="696" t="s">
        <v>331</v>
      </c>
      <c r="U199" s="697"/>
      <c r="V199" s="886"/>
      <c r="W199" s="709" t="s">
        <v>332</v>
      </c>
      <c r="X199" s="684"/>
      <c r="Y199" s="791"/>
      <c r="Z199" s="745" t="s">
        <v>330</v>
      </c>
      <c r="AA199" s="791"/>
      <c r="AB199" s="967"/>
      <c r="AC199" s="784"/>
      <c r="AD199" s="967"/>
      <c r="AE199" s="895"/>
      <c r="AF199" s="566"/>
      <c r="AG199" s="567"/>
      <c r="AH199" s="895"/>
      <c r="AI199" s="566"/>
      <c r="AJ199" s="567"/>
      <c r="AK199" s="895"/>
      <c r="AL199" s="566"/>
      <c r="AM199" s="567"/>
      <c r="AN199" s="895"/>
      <c r="AO199" s="566"/>
      <c r="AP199" s="567"/>
      <c r="AQ199" s="895"/>
      <c r="AR199" s="566"/>
      <c r="AS199" s="567"/>
      <c r="AT199" s="895"/>
      <c r="AU199" s="566"/>
      <c r="AV199" s="567"/>
      <c r="AW199" s="895"/>
      <c r="AX199" s="566"/>
      <c r="AY199" s="567"/>
      <c r="AZ199" s="895"/>
      <c r="BA199" s="566"/>
      <c r="BB199" s="567"/>
      <c r="BC199" s="895"/>
      <c r="BD199" s="566"/>
      <c r="BE199" s="567"/>
      <c r="BF199" s="895"/>
      <c r="BG199" s="768"/>
      <c r="BH199" s="768"/>
      <c r="BI199" s="895"/>
      <c r="BJ199" s="768"/>
      <c r="BK199" s="768"/>
      <c r="BL199" s="895"/>
      <c r="BM199" s="567"/>
      <c r="BN199" s="567"/>
      <c r="BO199" s="897"/>
      <c r="BP199" s="895"/>
      <c r="BQ199" s="566"/>
      <c r="BR199" s="567"/>
      <c r="BS199" s="895"/>
      <c r="BT199" s="567"/>
      <c r="BU199" s="567"/>
      <c r="BV199" s="895"/>
      <c r="BW199" s="567"/>
      <c r="BX199" s="2807"/>
      <c r="BY199" s="895"/>
      <c r="BZ199" s="566"/>
      <c r="CA199" s="567"/>
    </row>
    <row r="200" spans="1:79" ht="17.850000000000001" customHeight="1" x14ac:dyDescent="0.4">
      <c r="A200" s="249"/>
      <c r="B200" s="249"/>
      <c r="C200" s="584" t="s">
        <v>307</v>
      </c>
      <c r="D200" s="587"/>
      <c r="E200" s="688"/>
      <c r="F200" s="845"/>
      <c r="G200" s="588"/>
      <c r="H200" s="2682"/>
      <c r="I200" s="742"/>
      <c r="J200" s="635"/>
      <c r="K200" s="2562"/>
      <c r="L200" s="705"/>
      <c r="M200" s="685"/>
      <c r="N200" s="745" t="s">
        <v>333</v>
      </c>
      <c r="O200" s="791"/>
      <c r="P200" s="977"/>
      <c r="Q200" s="707"/>
      <c r="R200" s="996"/>
      <c r="S200" s="696"/>
      <c r="T200" s="696" t="s">
        <v>334</v>
      </c>
      <c r="U200" s="697"/>
      <c r="V200" s="683"/>
      <c r="W200" s="709" t="s">
        <v>335</v>
      </c>
      <c r="X200" s="1022"/>
      <c r="Y200" s="685"/>
      <c r="Z200" s="745" t="s">
        <v>333</v>
      </c>
      <c r="AA200" s="791"/>
      <c r="AB200" s="1023"/>
      <c r="AC200" s="1023"/>
      <c r="AD200" s="1023"/>
      <c r="AE200" s="895"/>
      <c r="AF200" s="566"/>
      <c r="AG200" s="567"/>
      <c r="AH200" s="895"/>
      <c r="AI200" s="566"/>
      <c r="AJ200" s="567"/>
      <c r="AK200" s="895"/>
      <c r="AL200" s="566"/>
      <c r="AM200" s="567"/>
      <c r="AN200" s="895"/>
      <c r="AO200" s="566"/>
      <c r="AP200" s="567"/>
      <c r="AQ200" s="895"/>
      <c r="AR200" s="566"/>
      <c r="AS200" s="567"/>
      <c r="AT200" s="895"/>
      <c r="AU200" s="566"/>
      <c r="AV200" s="567"/>
      <c r="AW200" s="895"/>
      <c r="AX200" s="566"/>
      <c r="AY200" s="567"/>
      <c r="AZ200" s="895"/>
      <c r="BA200" s="566"/>
      <c r="BB200" s="567"/>
      <c r="BC200" s="895"/>
      <c r="BD200" s="566"/>
      <c r="BE200" s="567"/>
      <c r="BF200" s="895"/>
      <c r="BG200" s="768"/>
      <c r="BH200" s="768"/>
      <c r="BI200" s="895"/>
      <c r="BJ200" s="768"/>
      <c r="BK200" s="768"/>
      <c r="BL200" s="895"/>
      <c r="BM200" s="567"/>
      <c r="BN200" s="567"/>
      <c r="BO200" s="897"/>
      <c r="BP200" s="895"/>
      <c r="BQ200" s="566"/>
      <c r="BR200" s="567"/>
      <c r="BS200" s="895"/>
      <c r="BT200" s="567"/>
      <c r="BU200" s="567"/>
      <c r="BV200" s="895"/>
      <c r="BW200" s="567"/>
      <c r="BX200" s="2807"/>
      <c r="BY200" s="895"/>
      <c r="BZ200" s="566"/>
      <c r="CA200" s="567"/>
    </row>
    <row r="201" spans="1:79" ht="17.850000000000001" customHeight="1" x14ac:dyDescent="0.4">
      <c r="A201" s="249"/>
      <c r="B201" s="249"/>
      <c r="C201" s="584" t="s">
        <v>307</v>
      </c>
      <c r="D201" s="587"/>
      <c r="E201" s="688"/>
      <c r="F201" s="688"/>
      <c r="G201" s="588"/>
      <c r="H201" s="2682"/>
      <c r="I201" s="742"/>
      <c r="J201" s="635"/>
      <c r="K201" s="2562"/>
      <c r="L201" s="705"/>
      <c r="M201" s="685"/>
      <c r="N201" s="745"/>
      <c r="O201" s="685"/>
      <c r="P201" s="977"/>
      <c r="Q201" s="707"/>
      <c r="R201" s="996"/>
      <c r="S201" s="696"/>
      <c r="T201" s="864"/>
      <c r="U201" s="697"/>
      <c r="V201" s="709"/>
      <c r="W201" s="788" t="s">
        <v>351</v>
      </c>
      <c r="X201" s="1022"/>
      <c r="Y201" s="685"/>
      <c r="Z201" s="745"/>
      <c r="AA201" s="685"/>
      <c r="AB201" s="687"/>
      <c r="AC201" s="687"/>
      <c r="AD201" s="687"/>
      <c r="AE201" s="895"/>
      <c r="AF201" s="566"/>
      <c r="AG201" s="567"/>
      <c r="AH201" s="895"/>
      <c r="AI201" s="566"/>
      <c r="AJ201" s="567"/>
      <c r="AK201" s="895"/>
      <c r="AL201" s="566"/>
      <c r="AM201" s="567"/>
      <c r="AN201" s="895"/>
      <c r="AO201" s="566"/>
      <c r="AP201" s="567"/>
      <c r="AQ201" s="895"/>
      <c r="AR201" s="566"/>
      <c r="AS201" s="567"/>
      <c r="AT201" s="895"/>
      <c r="AU201" s="566"/>
      <c r="AV201" s="567"/>
      <c r="AW201" s="895"/>
      <c r="AX201" s="566"/>
      <c r="AY201" s="567"/>
      <c r="AZ201" s="895"/>
      <c r="BA201" s="566"/>
      <c r="BB201" s="567"/>
      <c r="BC201" s="895"/>
      <c r="BD201" s="566"/>
      <c r="BE201" s="567"/>
      <c r="BF201" s="895"/>
      <c r="BG201" s="768"/>
      <c r="BH201" s="768"/>
      <c r="BI201" s="895"/>
      <c r="BJ201" s="768"/>
      <c r="BK201" s="768"/>
      <c r="BL201" s="895"/>
      <c r="BM201" s="567"/>
      <c r="BN201" s="567"/>
      <c r="BO201" s="897"/>
      <c r="BP201" s="895"/>
      <c r="BQ201" s="566"/>
      <c r="BR201" s="567"/>
      <c r="BS201" s="895"/>
      <c r="BT201" s="567"/>
      <c r="BU201" s="567"/>
      <c r="BV201" s="895"/>
      <c r="BW201" s="567"/>
      <c r="BX201" s="2807"/>
      <c r="BY201" s="895"/>
      <c r="BZ201" s="566"/>
      <c r="CA201" s="567"/>
    </row>
    <row r="202" spans="1:79" ht="13.5" customHeight="1" x14ac:dyDescent="0.4">
      <c r="A202" s="249"/>
      <c r="B202" s="249"/>
      <c r="C202" s="584" t="s">
        <v>307</v>
      </c>
      <c r="D202" s="587"/>
      <c r="E202" s="688"/>
      <c r="F202" s="688"/>
      <c r="G202" s="588"/>
      <c r="H202" s="2682"/>
      <c r="I202" s="742"/>
      <c r="J202" s="635"/>
      <c r="K202" s="2562"/>
      <c r="L202" s="705"/>
      <c r="M202" s="685"/>
      <c r="N202" s="745"/>
      <c r="O202" s="685"/>
      <c r="P202" s="977"/>
      <c r="Q202" s="707"/>
      <c r="R202" s="996"/>
      <c r="S202" s="696"/>
      <c r="T202" s="696"/>
      <c r="U202" s="697"/>
      <c r="V202" s="898"/>
      <c r="W202" s="1024"/>
      <c r="X202" s="1022"/>
      <c r="Y202" s="685"/>
      <c r="Z202" s="745"/>
      <c r="AA202" s="685"/>
      <c r="AB202" s="1023"/>
      <c r="AC202" s="1023"/>
      <c r="AD202" s="1023"/>
      <c r="AE202" s="895"/>
      <c r="AF202" s="566"/>
      <c r="AG202" s="567"/>
      <c r="AH202" s="895"/>
      <c r="AI202" s="566"/>
      <c r="AJ202" s="567"/>
      <c r="AK202" s="895"/>
      <c r="AL202" s="566"/>
      <c r="AM202" s="567"/>
      <c r="AN202" s="895"/>
      <c r="AO202" s="566"/>
      <c r="AP202" s="567"/>
      <c r="AQ202" s="895"/>
      <c r="AR202" s="566"/>
      <c r="AS202" s="567"/>
      <c r="AT202" s="895"/>
      <c r="AU202" s="566"/>
      <c r="AV202" s="567"/>
      <c r="AW202" s="895"/>
      <c r="AX202" s="566"/>
      <c r="AY202" s="567"/>
      <c r="AZ202" s="895"/>
      <c r="BA202" s="566"/>
      <c r="BB202" s="567"/>
      <c r="BC202" s="895"/>
      <c r="BD202" s="566"/>
      <c r="BE202" s="567"/>
      <c r="BF202" s="895"/>
      <c r="BG202" s="768"/>
      <c r="BH202" s="768"/>
      <c r="BI202" s="895"/>
      <c r="BJ202" s="768"/>
      <c r="BK202" s="768"/>
      <c r="BL202" s="895"/>
      <c r="BM202" s="567"/>
      <c r="BN202" s="567"/>
      <c r="BO202" s="897"/>
      <c r="BP202" s="895"/>
      <c r="BQ202" s="566"/>
      <c r="BR202" s="567"/>
      <c r="BS202" s="895"/>
      <c r="BT202" s="567"/>
      <c r="BU202" s="567"/>
      <c r="BV202" s="895"/>
      <c r="BW202" s="567"/>
      <c r="BX202" s="2807"/>
      <c r="BY202" s="895"/>
      <c r="BZ202" s="566"/>
      <c r="CA202" s="567"/>
    </row>
    <row r="203" spans="1:79" ht="13.5" customHeight="1" x14ac:dyDescent="0.4">
      <c r="A203" s="249"/>
      <c r="B203" s="249"/>
      <c r="C203" s="584" t="s">
        <v>307</v>
      </c>
      <c r="D203" s="587"/>
      <c r="E203" s="688"/>
      <c r="F203" s="688"/>
      <c r="G203" s="588"/>
      <c r="H203" s="2682"/>
      <c r="I203" s="742"/>
      <c r="J203" s="635"/>
      <c r="K203" s="2562"/>
      <c r="L203" s="849"/>
      <c r="M203" s="1026"/>
      <c r="N203" s="1027"/>
      <c r="O203" s="1028"/>
      <c r="P203" s="977"/>
      <c r="Q203" s="707"/>
      <c r="R203" s="999"/>
      <c r="S203" s="696"/>
      <c r="T203" s="696"/>
      <c r="U203" s="697"/>
      <c r="V203" s="904"/>
      <c r="W203" s="1025"/>
      <c r="X203" s="783"/>
      <c r="Y203" s="1026"/>
      <c r="Z203" s="1027"/>
      <c r="AA203" s="1028"/>
      <c r="AB203" s="1023"/>
      <c r="AC203" s="1023"/>
      <c r="AD203" s="1023"/>
      <c r="AE203" s="895"/>
      <c r="AF203" s="566"/>
      <c r="AG203" s="567"/>
      <c r="AH203" s="895"/>
      <c r="AI203" s="566"/>
      <c r="AJ203" s="567"/>
      <c r="AK203" s="895"/>
      <c r="AL203" s="566"/>
      <c r="AM203" s="567"/>
      <c r="AN203" s="895"/>
      <c r="AO203" s="566"/>
      <c r="AP203" s="567"/>
      <c r="AQ203" s="895"/>
      <c r="AR203" s="566"/>
      <c r="AS203" s="567"/>
      <c r="AT203" s="895"/>
      <c r="AU203" s="566"/>
      <c r="AV203" s="567"/>
      <c r="AW203" s="895"/>
      <c r="AX203" s="566"/>
      <c r="AY203" s="567"/>
      <c r="AZ203" s="895"/>
      <c r="BA203" s="566"/>
      <c r="BB203" s="567"/>
      <c r="BC203" s="895"/>
      <c r="BD203" s="566"/>
      <c r="BE203" s="567"/>
      <c r="BF203" s="895"/>
      <c r="BG203" s="768"/>
      <c r="BH203" s="768"/>
      <c r="BI203" s="895"/>
      <c r="BJ203" s="768"/>
      <c r="BK203" s="768"/>
      <c r="BL203" s="895"/>
      <c r="BM203" s="567"/>
      <c r="BN203" s="567"/>
      <c r="BO203" s="897"/>
      <c r="BP203" s="895"/>
      <c r="BQ203" s="566"/>
      <c r="BR203" s="567"/>
      <c r="BS203" s="895"/>
      <c r="BT203" s="567"/>
      <c r="BU203" s="567"/>
      <c r="BV203" s="895"/>
      <c r="BW203" s="567"/>
      <c r="BX203" s="2807"/>
      <c r="BY203" s="895"/>
      <c r="BZ203" s="566"/>
      <c r="CA203" s="567"/>
    </row>
    <row r="204" spans="1:79" ht="18.600000000000001" customHeight="1" x14ac:dyDescent="0.4">
      <c r="A204" s="249"/>
      <c r="B204" s="249"/>
      <c r="C204" s="584" t="s">
        <v>307</v>
      </c>
      <c r="D204" s="587"/>
      <c r="E204" s="688"/>
      <c r="F204" s="688"/>
      <c r="G204" s="588"/>
      <c r="H204" s="2682"/>
      <c r="I204" s="847"/>
      <c r="J204" s="1029"/>
      <c r="K204" s="2562"/>
      <c r="L204" s="849"/>
      <c r="M204" s="1026"/>
      <c r="N204" s="1027"/>
      <c r="O204" s="1028"/>
      <c r="P204" s="1030"/>
      <c r="Q204" s="707"/>
      <c r="R204" s="999"/>
      <c r="S204" s="696"/>
      <c r="T204" s="696"/>
      <c r="U204" s="697"/>
      <c r="V204" s="904"/>
      <c r="W204" s="1025"/>
      <c r="X204" s="783"/>
      <c r="Y204" s="1026"/>
      <c r="Z204" s="1027"/>
      <c r="AA204" s="1028"/>
      <c r="AB204" s="687"/>
      <c r="AC204" s="687"/>
      <c r="AD204" s="687"/>
      <c r="AE204" s="895"/>
      <c r="AF204" s="566"/>
      <c r="AG204" s="567"/>
      <c r="AH204" s="895"/>
      <c r="AI204" s="566"/>
      <c r="AJ204" s="567"/>
      <c r="AK204" s="895"/>
      <c r="AL204" s="566"/>
      <c r="AM204" s="567"/>
      <c r="AN204" s="895"/>
      <c r="AO204" s="566"/>
      <c r="AP204" s="567"/>
      <c r="AQ204" s="895"/>
      <c r="AR204" s="566"/>
      <c r="AS204" s="567"/>
      <c r="AT204" s="895"/>
      <c r="AU204" s="566"/>
      <c r="AV204" s="567"/>
      <c r="AW204" s="895"/>
      <c r="AX204" s="566"/>
      <c r="AY204" s="567"/>
      <c r="AZ204" s="895"/>
      <c r="BA204" s="566"/>
      <c r="BB204" s="567"/>
      <c r="BC204" s="895"/>
      <c r="BD204" s="566"/>
      <c r="BE204" s="567"/>
      <c r="BF204" s="895"/>
      <c r="BG204" s="566"/>
      <c r="BH204" s="567"/>
      <c r="BI204" s="895"/>
      <c r="BJ204" s="566"/>
      <c r="BK204" s="567"/>
      <c r="BL204" s="895"/>
      <c r="BM204" s="567"/>
      <c r="BN204" s="567"/>
      <c r="BO204" s="897"/>
      <c r="BP204" s="895"/>
      <c r="BQ204" s="566"/>
      <c r="BR204" s="567"/>
      <c r="BS204" s="895"/>
      <c r="BT204" s="567"/>
      <c r="BU204" s="567"/>
      <c r="BV204" s="895"/>
      <c r="BW204" s="567"/>
      <c r="BX204" s="2807"/>
      <c r="BY204" s="895"/>
      <c r="BZ204" s="566"/>
      <c r="CA204" s="567"/>
    </row>
    <row r="205" spans="1:79" ht="18.600000000000001" customHeight="1" x14ac:dyDescent="0.4">
      <c r="A205" s="249"/>
      <c r="B205" s="249"/>
      <c r="C205" s="584"/>
      <c r="D205" s="1031"/>
      <c r="E205" s="688"/>
      <c r="F205" s="688"/>
      <c r="G205" s="588"/>
      <c r="H205" s="2682"/>
      <c r="I205" s="847"/>
      <c r="J205" s="1029"/>
      <c r="K205" s="2562"/>
      <c r="L205" s="849"/>
      <c r="M205" s="1026"/>
      <c r="N205" s="1027"/>
      <c r="O205" s="1028"/>
      <c r="P205" s="1030"/>
      <c r="Q205" s="707"/>
      <c r="R205" s="999"/>
      <c r="S205" s="696"/>
      <c r="T205" s="696"/>
      <c r="U205" s="697"/>
      <c r="V205" s="904"/>
      <c r="W205" s="1025"/>
      <c r="X205" s="783"/>
      <c r="Y205" s="1026"/>
      <c r="Z205" s="1027"/>
      <c r="AA205" s="1028"/>
      <c r="AB205" s="1023"/>
      <c r="AC205" s="1023"/>
      <c r="AD205" s="1023"/>
      <c r="AE205" s="895"/>
      <c r="AF205" s="566"/>
      <c r="AG205" s="567"/>
      <c r="AH205" s="895"/>
      <c r="AI205" s="566"/>
      <c r="AJ205" s="567"/>
      <c r="AK205" s="895"/>
      <c r="AL205" s="566"/>
      <c r="AM205" s="567"/>
      <c r="AN205" s="895"/>
      <c r="AO205" s="566"/>
      <c r="AP205" s="567"/>
      <c r="AQ205" s="895"/>
      <c r="AR205" s="566"/>
      <c r="AS205" s="567"/>
      <c r="AT205" s="895"/>
      <c r="AU205" s="566"/>
      <c r="AV205" s="567"/>
      <c r="AW205" s="895"/>
      <c r="AX205" s="566"/>
      <c r="AY205" s="567"/>
      <c r="AZ205" s="895"/>
      <c r="BA205" s="566"/>
      <c r="BB205" s="567"/>
      <c r="BC205" s="895"/>
      <c r="BD205" s="566"/>
      <c r="BE205" s="567"/>
      <c r="BF205" s="895"/>
      <c r="BG205" s="566"/>
      <c r="BH205" s="567"/>
      <c r="BI205" s="895"/>
      <c r="BJ205" s="566"/>
      <c r="BK205" s="567"/>
      <c r="BL205" s="895"/>
      <c r="BM205" s="567"/>
      <c r="BN205" s="567"/>
      <c r="BO205" s="897"/>
      <c r="BP205" s="895"/>
      <c r="BQ205" s="566"/>
      <c r="BR205" s="567"/>
      <c r="BS205" s="895"/>
      <c r="BT205" s="567"/>
      <c r="BU205" s="567"/>
      <c r="BV205" s="895"/>
      <c r="BW205" s="567"/>
      <c r="BX205" s="2807"/>
      <c r="BY205" s="895"/>
      <c r="BZ205" s="566"/>
      <c r="CA205" s="567"/>
    </row>
    <row r="206" spans="1:79" ht="18.600000000000001" customHeight="1" x14ac:dyDescent="0.4">
      <c r="A206" s="249"/>
      <c r="B206" s="249"/>
      <c r="C206" s="584">
        <v>0.50347222222222199</v>
      </c>
      <c r="D206" s="1031"/>
      <c r="E206" s="688"/>
      <c r="F206" s="688"/>
      <c r="G206" s="588"/>
      <c r="H206" s="2682"/>
      <c r="I206" s="847"/>
      <c r="J206" s="1032"/>
      <c r="K206" s="2562"/>
      <c r="L206" s="1033"/>
      <c r="M206" s="1026"/>
      <c r="N206" s="1044"/>
      <c r="O206" s="1028"/>
      <c r="P206" s="1034"/>
      <c r="Q206" s="707"/>
      <c r="R206" s="1035"/>
      <c r="S206" s="1036"/>
      <c r="T206" s="1037"/>
      <c r="U206" s="1038"/>
      <c r="V206" s="904"/>
      <c r="W206" s="871"/>
      <c r="X206" s="930"/>
      <c r="Y206" s="1026"/>
      <c r="Z206" s="1027"/>
      <c r="AA206" s="1028"/>
      <c r="AB206" s="1023"/>
      <c r="AC206" s="1023"/>
      <c r="AD206" s="1023"/>
      <c r="AE206" s="895"/>
      <c r="AF206" s="566"/>
      <c r="AG206" s="567"/>
      <c r="AH206" s="895"/>
      <c r="AI206" s="566"/>
      <c r="AJ206" s="567"/>
      <c r="AK206" s="895"/>
      <c r="AL206" s="566"/>
      <c r="AM206" s="567"/>
      <c r="AN206" s="895"/>
      <c r="AO206" s="566"/>
      <c r="AP206" s="567"/>
      <c r="AQ206" s="895"/>
      <c r="AR206" s="566"/>
      <c r="AS206" s="567"/>
      <c r="AT206" s="895"/>
      <c r="AU206" s="566"/>
      <c r="AV206" s="567"/>
      <c r="AW206" s="895"/>
      <c r="AX206" s="566"/>
      <c r="AY206" s="567"/>
      <c r="AZ206" s="895"/>
      <c r="BA206" s="566"/>
      <c r="BB206" s="567"/>
      <c r="BC206" s="895"/>
      <c r="BD206" s="566"/>
      <c r="BE206" s="567"/>
      <c r="BF206" s="895"/>
      <c r="BG206" s="566"/>
      <c r="BH206" s="567"/>
      <c r="BI206" s="895"/>
      <c r="BJ206" s="566"/>
      <c r="BK206" s="567"/>
      <c r="BL206" s="895"/>
      <c r="BM206" s="567"/>
      <c r="BN206" s="567"/>
      <c r="BO206" s="897"/>
      <c r="BP206" s="895"/>
      <c r="BQ206" s="566"/>
      <c r="BR206" s="567"/>
      <c r="BS206" s="895"/>
      <c r="BT206" s="567"/>
      <c r="BU206" s="567"/>
      <c r="BV206" s="895"/>
      <c r="BW206" s="567"/>
      <c r="BX206" s="2807"/>
      <c r="BY206" s="895"/>
      <c r="BZ206" s="566"/>
      <c r="CA206" s="567"/>
    </row>
    <row r="207" spans="1:79" ht="15.6" customHeight="1" x14ac:dyDescent="0.4">
      <c r="A207" s="249"/>
      <c r="B207" s="249"/>
      <c r="C207" s="584">
        <v>0.50694444444444398</v>
      </c>
      <c r="D207" s="1039"/>
      <c r="E207" s="688"/>
      <c r="F207" s="688"/>
      <c r="G207" s="1040"/>
      <c r="H207" s="2682"/>
      <c r="I207" s="1041"/>
      <c r="J207" s="1032"/>
      <c r="K207" s="2563"/>
      <c r="L207" s="1033"/>
      <c r="M207" s="1042"/>
      <c r="N207" s="1044"/>
      <c r="O207" s="1042"/>
      <c r="P207" s="1034"/>
      <c r="Q207" s="707"/>
      <c r="R207" s="1035"/>
      <c r="S207" s="1036"/>
      <c r="T207" s="1037"/>
      <c r="U207" s="1038"/>
      <c r="V207" s="904"/>
      <c r="W207" s="871"/>
      <c r="X207" s="930"/>
      <c r="Y207" s="1042"/>
      <c r="Z207" s="1043"/>
      <c r="AA207" s="1042"/>
      <c r="AB207" s="1023"/>
      <c r="AC207" s="1023"/>
      <c r="AD207" s="1023"/>
      <c r="AE207" s="895"/>
      <c r="AF207" s="566"/>
      <c r="AG207" s="567"/>
      <c r="AH207" s="895"/>
      <c r="AI207" s="566"/>
      <c r="AJ207" s="567"/>
      <c r="AK207" s="895"/>
      <c r="AL207" s="566"/>
      <c r="AM207" s="567"/>
      <c r="AN207" s="895"/>
      <c r="AO207" s="566"/>
      <c r="AP207" s="567"/>
      <c r="AQ207" s="895"/>
      <c r="AR207" s="566"/>
      <c r="AS207" s="567"/>
      <c r="AT207" s="895"/>
      <c r="AU207" s="566"/>
      <c r="AV207" s="567"/>
      <c r="AW207" s="895"/>
      <c r="AX207" s="566"/>
      <c r="AY207" s="567"/>
      <c r="AZ207" s="895"/>
      <c r="BA207" s="566"/>
      <c r="BB207" s="567"/>
      <c r="BC207" s="895"/>
      <c r="BD207" s="566"/>
      <c r="BE207" s="567"/>
      <c r="BF207" s="895"/>
      <c r="BG207" s="566"/>
      <c r="BH207" s="567"/>
      <c r="BI207" s="895"/>
      <c r="BJ207" s="566"/>
      <c r="BK207" s="567"/>
      <c r="BL207" s="895"/>
      <c r="BM207" s="567"/>
      <c r="BN207" s="567"/>
      <c r="BO207" s="897"/>
      <c r="BP207" s="895"/>
      <c r="BQ207" s="566"/>
      <c r="BR207" s="567"/>
      <c r="BS207" s="895"/>
      <c r="BT207" s="567"/>
      <c r="BU207" s="567"/>
      <c r="BV207" s="895"/>
      <c r="BW207" s="567"/>
      <c r="BX207" s="2807"/>
      <c r="BY207" s="895"/>
      <c r="BZ207" s="566"/>
      <c r="CA207" s="567"/>
    </row>
    <row r="208" spans="1:79" ht="14.85" customHeight="1" x14ac:dyDescent="0.4">
      <c r="A208" s="249"/>
      <c r="B208" s="249"/>
      <c r="C208" s="584" t="s">
        <v>307</v>
      </c>
      <c r="D208" s="1039"/>
      <c r="E208" s="688"/>
      <c r="F208" s="688"/>
      <c r="G208" s="1040"/>
      <c r="H208" s="2682"/>
      <c r="I208" s="1041"/>
      <c r="J208" s="1032"/>
      <c r="K208" s="2562"/>
      <c r="L208" s="1033"/>
      <c r="M208" s="686"/>
      <c r="N208" s="1044"/>
      <c r="O208" s="791"/>
      <c r="P208" s="1034"/>
      <c r="Q208" s="707"/>
      <c r="R208" s="1035"/>
      <c r="S208" s="696"/>
      <c r="T208" s="696"/>
      <c r="U208" s="697"/>
      <c r="V208" s="709"/>
      <c r="W208" s="709"/>
      <c r="X208" s="930"/>
      <c r="Y208" s="686"/>
      <c r="Z208" s="1044"/>
      <c r="AA208" s="791"/>
      <c r="AB208" s="687"/>
      <c r="AC208" s="687"/>
      <c r="AD208" s="687"/>
      <c r="AE208" s="895"/>
      <c r="AF208" s="566"/>
      <c r="AG208" s="567"/>
      <c r="AH208" s="895"/>
      <c r="AI208" s="566"/>
      <c r="AJ208" s="567"/>
      <c r="AK208" s="895"/>
      <c r="AL208" s="566"/>
      <c r="AM208" s="567"/>
      <c r="AN208" s="895"/>
      <c r="AO208" s="566"/>
      <c r="AP208" s="567"/>
      <c r="AQ208" s="895"/>
      <c r="AR208" s="566"/>
      <c r="AS208" s="567"/>
      <c r="AT208" s="895"/>
      <c r="AU208" s="566"/>
      <c r="AV208" s="567"/>
      <c r="AW208" s="895"/>
      <c r="AX208" s="566"/>
      <c r="AY208" s="567"/>
      <c r="AZ208" s="895"/>
      <c r="BA208" s="566"/>
      <c r="BB208" s="567"/>
      <c r="BC208" s="895"/>
      <c r="BD208" s="566"/>
      <c r="BE208" s="567"/>
      <c r="BF208" s="895"/>
      <c r="BG208" s="566"/>
      <c r="BH208" s="567"/>
      <c r="BI208" s="895"/>
      <c r="BJ208" s="566"/>
      <c r="BK208" s="567"/>
      <c r="BL208" s="895"/>
      <c r="BM208" s="567"/>
      <c r="BN208" s="567"/>
      <c r="BO208" s="897"/>
      <c r="BP208" s="895"/>
      <c r="BQ208" s="566"/>
      <c r="BR208" s="567"/>
      <c r="BS208" s="895"/>
      <c r="BT208" s="567"/>
      <c r="BU208" s="567"/>
      <c r="BV208" s="895"/>
      <c r="BW208" s="567"/>
      <c r="BX208" s="2807"/>
      <c r="BY208" s="895"/>
      <c r="BZ208" s="566"/>
      <c r="CA208" s="567"/>
    </row>
    <row r="209" spans="1:79" ht="18.75" customHeight="1" x14ac:dyDescent="0.4">
      <c r="A209" s="249"/>
      <c r="B209" s="249"/>
      <c r="C209" s="584">
        <v>0.51041666666666596</v>
      </c>
      <c r="D209" s="587"/>
      <c r="E209" s="688"/>
      <c r="F209" s="688"/>
      <c r="G209" s="588"/>
      <c r="H209" s="2682"/>
      <c r="I209" s="742"/>
      <c r="J209" s="635"/>
      <c r="K209" s="2561"/>
      <c r="L209" s="705"/>
      <c r="M209" s="685"/>
      <c r="N209" s="1044"/>
      <c r="O209" s="791"/>
      <c r="P209" s="977"/>
      <c r="Q209" s="851" t="s">
        <v>334</v>
      </c>
      <c r="R209" s="996"/>
      <c r="S209" s="696"/>
      <c r="T209" s="696" t="s">
        <v>331</v>
      </c>
      <c r="U209" s="697"/>
      <c r="V209" s="709"/>
      <c r="W209" s="709" t="s">
        <v>332</v>
      </c>
      <c r="X209" s="930"/>
      <c r="Y209" s="685"/>
      <c r="Z209" s="1044"/>
      <c r="AA209" s="791"/>
      <c r="AB209" s="1023"/>
      <c r="AC209" s="1023"/>
      <c r="AD209" s="1023"/>
      <c r="AE209" s="568"/>
      <c r="AF209" s="566"/>
      <c r="AG209" s="567"/>
      <c r="AH209" s="568"/>
      <c r="AI209" s="566"/>
      <c r="AJ209" s="567"/>
      <c r="AK209" s="568"/>
      <c r="AL209" s="566"/>
      <c r="AM209" s="567"/>
      <c r="AN209" s="568"/>
      <c r="AO209" s="566"/>
      <c r="AP209" s="567"/>
      <c r="AQ209" s="568"/>
      <c r="AR209" s="566"/>
      <c r="AS209" s="567"/>
      <c r="AT209" s="568"/>
      <c r="AU209" s="566"/>
      <c r="AV209" s="567"/>
      <c r="AW209" s="568"/>
      <c r="AX209" s="566"/>
      <c r="AY209" s="567"/>
      <c r="AZ209" s="568"/>
      <c r="BA209" s="566"/>
      <c r="BB209" s="567"/>
      <c r="BC209" s="568"/>
      <c r="BD209" s="566"/>
      <c r="BE209" s="567"/>
      <c r="BF209" s="568"/>
      <c r="BG209" s="566"/>
      <c r="BH209" s="567"/>
      <c r="BI209" s="568"/>
      <c r="BJ209" s="566"/>
      <c r="BK209" s="567"/>
      <c r="BL209" s="568"/>
      <c r="BM209" s="567"/>
      <c r="BN209" s="567"/>
      <c r="BO209" s="567"/>
      <c r="BP209" s="568"/>
      <c r="BQ209" s="566"/>
      <c r="BR209" s="567"/>
      <c r="BS209" s="568"/>
      <c r="BT209" s="567"/>
      <c r="BU209" s="567"/>
      <c r="BV209" s="568"/>
      <c r="BW209" s="567"/>
      <c r="BX209" s="2807"/>
      <c r="BY209" s="568"/>
      <c r="BZ209" s="566"/>
      <c r="CA209" s="567"/>
    </row>
    <row r="210" spans="1:79" ht="18.75" customHeight="1" x14ac:dyDescent="0.4">
      <c r="A210" s="249"/>
      <c r="B210" s="249"/>
      <c r="C210" s="584" t="s">
        <v>307</v>
      </c>
      <c r="D210" s="844"/>
      <c r="E210" s="688"/>
      <c r="F210" s="688"/>
      <c r="G210" s="846"/>
      <c r="H210" s="2682"/>
      <c r="I210" s="918"/>
      <c r="J210" s="635"/>
      <c r="K210" s="2563"/>
      <c r="L210" s="705"/>
      <c r="M210" s="685"/>
      <c r="N210" s="1044"/>
      <c r="O210" s="685"/>
      <c r="P210" s="795"/>
      <c r="Q210" s="769"/>
      <c r="R210" s="708"/>
      <c r="S210" s="696"/>
      <c r="T210" s="696" t="s">
        <v>366</v>
      </c>
      <c r="U210" s="697"/>
      <c r="V210" s="886"/>
      <c r="W210" s="709" t="s">
        <v>335</v>
      </c>
      <c r="X210" s="930"/>
      <c r="Y210" s="685"/>
      <c r="Z210" s="1044"/>
      <c r="AA210" s="685"/>
      <c r="AB210" s="1023"/>
      <c r="AC210" s="1023"/>
      <c r="AD210" s="1023"/>
      <c r="AE210" s="568"/>
      <c r="AF210" s="566"/>
      <c r="AG210" s="567"/>
      <c r="AH210" s="568"/>
      <c r="AI210" s="566"/>
      <c r="AJ210" s="567"/>
      <c r="AK210" s="568"/>
      <c r="AL210" s="566"/>
      <c r="AM210" s="567"/>
      <c r="AN210" s="568"/>
      <c r="AO210" s="566"/>
      <c r="AP210" s="567"/>
      <c r="AQ210" s="568"/>
      <c r="AR210" s="566"/>
      <c r="AS210" s="567"/>
      <c r="AT210" s="568"/>
      <c r="AU210" s="566"/>
      <c r="AV210" s="567"/>
      <c r="AW210" s="568"/>
      <c r="AX210" s="566"/>
      <c r="AY210" s="567"/>
      <c r="AZ210" s="568"/>
      <c r="BA210" s="566"/>
      <c r="BB210" s="567"/>
      <c r="BC210" s="568"/>
      <c r="BD210" s="566"/>
      <c r="BE210" s="567"/>
      <c r="BF210" s="568"/>
      <c r="BG210" s="566"/>
      <c r="BH210" s="567"/>
      <c r="BI210" s="568"/>
      <c r="BJ210" s="566"/>
      <c r="BK210" s="567"/>
      <c r="BL210" s="568"/>
      <c r="BM210" s="567"/>
      <c r="BN210" s="567"/>
      <c r="BO210" s="567"/>
      <c r="BP210" s="568"/>
      <c r="BQ210" s="566"/>
      <c r="BR210" s="567"/>
      <c r="BS210" s="568"/>
      <c r="BT210" s="567"/>
      <c r="BU210" s="567"/>
      <c r="BV210" s="568"/>
      <c r="BW210" s="567"/>
      <c r="BX210" s="2807"/>
      <c r="BY210" s="568"/>
      <c r="BZ210" s="566"/>
      <c r="CA210" s="567"/>
    </row>
    <row r="211" spans="1:79" ht="18.75" customHeight="1" x14ac:dyDescent="0.4">
      <c r="A211" s="249"/>
      <c r="B211" s="249"/>
      <c r="C211" s="584" t="s">
        <v>307</v>
      </c>
      <c r="D211" s="844"/>
      <c r="E211" s="688"/>
      <c r="F211" s="688"/>
      <c r="G211" s="846"/>
      <c r="H211" s="2682"/>
      <c r="I211" s="918"/>
      <c r="J211" s="582"/>
      <c r="K211" s="2562"/>
      <c r="L211" s="913"/>
      <c r="M211" s="685"/>
      <c r="N211" s="1044" t="s">
        <v>367</v>
      </c>
      <c r="O211" s="685"/>
      <c r="P211" s="997"/>
      <c r="Q211" s="707"/>
      <c r="R211" s="1045"/>
      <c r="S211" s="764"/>
      <c r="T211" s="696"/>
      <c r="U211" s="1046"/>
      <c r="V211" s="886"/>
      <c r="W211" s="793" t="s">
        <v>336</v>
      </c>
      <c r="X211" s="930"/>
      <c r="Y211" s="685"/>
      <c r="Z211" s="1044"/>
      <c r="AA211" s="685"/>
      <c r="AB211" s="1023"/>
      <c r="AC211" s="1023"/>
      <c r="AD211" s="1023"/>
      <c r="AE211" s="568"/>
      <c r="AF211" s="566"/>
      <c r="AG211" s="567"/>
      <c r="AH211" s="568"/>
      <c r="AI211" s="566"/>
      <c r="AJ211" s="567"/>
      <c r="AK211" s="568"/>
      <c r="AL211" s="566"/>
      <c r="AM211" s="567"/>
      <c r="AN211" s="568"/>
      <c r="AO211" s="566"/>
      <c r="AP211" s="567"/>
      <c r="AQ211" s="568"/>
      <c r="AR211" s="566"/>
      <c r="AS211" s="567"/>
      <c r="AT211" s="568"/>
      <c r="AU211" s="566"/>
      <c r="AV211" s="567"/>
      <c r="AW211" s="568"/>
      <c r="AX211" s="566"/>
      <c r="AY211" s="567"/>
      <c r="AZ211" s="568"/>
      <c r="BA211" s="566"/>
      <c r="BB211" s="567"/>
      <c r="BC211" s="568"/>
      <c r="BD211" s="566"/>
      <c r="BE211" s="567"/>
      <c r="BF211" s="568"/>
      <c r="BG211" s="566"/>
      <c r="BH211" s="567"/>
      <c r="BI211" s="568"/>
      <c r="BJ211" s="566"/>
      <c r="BK211" s="567"/>
      <c r="BL211" s="568"/>
      <c r="BM211" s="567"/>
      <c r="BN211" s="567"/>
      <c r="BO211" s="567"/>
      <c r="BP211" s="568"/>
      <c r="BQ211" s="566"/>
      <c r="BR211" s="567"/>
      <c r="BS211" s="568"/>
      <c r="BT211" s="567"/>
      <c r="BU211" s="567"/>
      <c r="BV211" s="568"/>
      <c r="BW211" s="567"/>
      <c r="BX211" s="2807"/>
      <c r="BY211" s="568"/>
      <c r="BZ211" s="566"/>
      <c r="CA211" s="567"/>
    </row>
    <row r="212" spans="1:79" ht="18.75" customHeight="1" x14ac:dyDescent="0.4">
      <c r="A212" s="249"/>
      <c r="B212" s="249"/>
      <c r="C212" s="584" t="s">
        <v>307</v>
      </c>
      <c r="D212" s="844"/>
      <c r="E212" s="688"/>
      <c r="F212" s="688"/>
      <c r="G212" s="846"/>
      <c r="H212" s="2682"/>
      <c r="I212" s="918"/>
      <c r="J212" s="582"/>
      <c r="K212" s="2562"/>
      <c r="L212" s="913"/>
      <c r="M212" s="685"/>
      <c r="N212" s="1044"/>
      <c r="O212" s="1028"/>
      <c r="P212" s="997"/>
      <c r="Q212" s="707"/>
      <c r="R212" s="1045"/>
      <c r="S212" s="696"/>
      <c r="T212" s="696"/>
      <c r="U212" s="697"/>
      <c r="V212" s="886"/>
      <c r="W212" s="788" t="s">
        <v>351</v>
      </c>
      <c r="X212" s="930"/>
      <c r="Y212" s="685"/>
      <c r="Z212" s="1044" t="s">
        <v>367</v>
      </c>
      <c r="AA212" s="1028"/>
      <c r="AB212" s="1023"/>
      <c r="AC212" s="1023"/>
      <c r="AD212" s="1023"/>
      <c r="AE212" s="568"/>
      <c r="AF212" s="566"/>
      <c r="AG212" s="567"/>
      <c r="AH212" s="568"/>
      <c r="AI212" s="566"/>
      <c r="AJ212" s="567"/>
      <c r="AK212" s="568"/>
      <c r="AL212" s="566"/>
      <c r="AM212" s="567"/>
      <c r="AN212" s="568"/>
      <c r="AO212" s="566"/>
      <c r="AP212" s="567"/>
      <c r="AQ212" s="568"/>
      <c r="AR212" s="566"/>
      <c r="AS212" s="567"/>
      <c r="AT212" s="568"/>
      <c r="AU212" s="566"/>
      <c r="AV212" s="567"/>
      <c r="AW212" s="568"/>
      <c r="AX212" s="566"/>
      <c r="AY212" s="567"/>
      <c r="AZ212" s="568"/>
      <c r="BA212" s="566"/>
      <c r="BB212" s="567"/>
      <c r="BC212" s="568"/>
      <c r="BD212" s="566"/>
      <c r="BE212" s="567"/>
      <c r="BF212" s="568"/>
      <c r="BG212" s="566"/>
      <c r="BH212" s="567"/>
      <c r="BI212" s="568"/>
      <c r="BJ212" s="566"/>
      <c r="BK212" s="567"/>
      <c r="BL212" s="568"/>
      <c r="BM212" s="567"/>
      <c r="BN212" s="567"/>
      <c r="BO212" s="567"/>
      <c r="BP212" s="568"/>
      <c r="BQ212" s="566"/>
      <c r="BR212" s="567"/>
      <c r="BS212" s="568"/>
      <c r="BT212" s="567"/>
      <c r="BU212" s="567"/>
      <c r="BV212" s="568"/>
      <c r="BW212" s="567"/>
      <c r="BX212" s="2807"/>
      <c r="BY212" s="568"/>
      <c r="BZ212" s="566"/>
      <c r="CA212" s="567"/>
    </row>
    <row r="213" spans="1:79" ht="18.75" customHeight="1" x14ac:dyDescent="0.4">
      <c r="A213" s="249"/>
      <c r="B213" s="249"/>
      <c r="C213" s="584" t="s">
        <v>307</v>
      </c>
      <c r="D213" s="844"/>
      <c r="E213" s="688"/>
      <c r="F213" s="688"/>
      <c r="G213" s="846"/>
      <c r="H213" s="2682"/>
      <c r="I213" s="918"/>
      <c r="J213" s="582"/>
      <c r="K213" s="2562"/>
      <c r="L213" s="913"/>
      <c r="M213" s="686"/>
      <c r="N213" s="1044"/>
      <c r="O213" s="907"/>
      <c r="P213" s="997"/>
      <c r="Q213" s="707"/>
      <c r="R213" s="1045"/>
      <c r="S213" s="696"/>
      <c r="T213" s="696"/>
      <c r="U213" s="697"/>
      <c r="V213" s="898"/>
      <c r="W213" s="683"/>
      <c r="X213" s="930"/>
      <c r="Y213" s="686"/>
      <c r="Z213" s="1044"/>
      <c r="AA213" s="907"/>
      <c r="AB213" s="1023"/>
      <c r="AC213" s="1023"/>
      <c r="AD213" s="1023"/>
      <c r="AE213" s="568"/>
      <c r="AF213" s="566"/>
      <c r="AG213" s="567"/>
      <c r="AH213" s="568"/>
      <c r="AI213" s="566"/>
      <c r="AJ213" s="567"/>
      <c r="AK213" s="568"/>
      <c r="AL213" s="566"/>
      <c r="AM213" s="567"/>
      <c r="AN213" s="568"/>
      <c r="AO213" s="566"/>
      <c r="AP213" s="567"/>
      <c r="AQ213" s="568"/>
      <c r="AR213" s="566"/>
      <c r="AS213" s="567"/>
      <c r="AT213" s="568"/>
      <c r="AU213" s="566"/>
      <c r="AV213" s="567"/>
      <c r="AW213" s="568"/>
      <c r="AX213" s="566"/>
      <c r="AY213" s="567"/>
      <c r="AZ213" s="568"/>
      <c r="BA213" s="566"/>
      <c r="BB213" s="567"/>
      <c r="BC213" s="568"/>
      <c r="BD213" s="566"/>
      <c r="BE213" s="567"/>
      <c r="BF213" s="568"/>
      <c r="BG213" s="566"/>
      <c r="BH213" s="567"/>
      <c r="BI213" s="568"/>
      <c r="BJ213" s="566"/>
      <c r="BK213" s="567"/>
      <c r="BL213" s="568"/>
      <c r="BM213" s="567"/>
      <c r="BN213" s="567"/>
      <c r="BO213" s="567"/>
      <c r="BP213" s="568"/>
      <c r="BQ213" s="566"/>
      <c r="BR213" s="567"/>
      <c r="BS213" s="568"/>
      <c r="BT213" s="567"/>
      <c r="BU213" s="567"/>
      <c r="BV213" s="568"/>
      <c r="BW213" s="567"/>
      <c r="BX213" s="2807"/>
      <c r="BY213" s="568"/>
      <c r="BZ213" s="566"/>
      <c r="CA213" s="567"/>
    </row>
    <row r="214" spans="1:79" ht="14.85" customHeight="1" x14ac:dyDescent="0.4">
      <c r="A214" s="249"/>
      <c r="B214" s="249"/>
      <c r="C214" s="584" t="s">
        <v>307</v>
      </c>
      <c r="D214" s="844"/>
      <c r="E214" s="688"/>
      <c r="F214" s="688"/>
      <c r="G214" s="846"/>
      <c r="H214" s="2682"/>
      <c r="I214" s="918"/>
      <c r="J214" s="582"/>
      <c r="K214" s="2562"/>
      <c r="L214" s="913"/>
      <c r="M214" s="686"/>
      <c r="N214" s="1044"/>
      <c r="O214" s="907"/>
      <c r="P214" s="997"/>
      <c r="Q214" s="707"/>
      <c r="R214" s="1045"/>
      <c r="S214" s="696"/>
      <c r="T214" s="696"/>
      <c r="U214" s="697"/>
      <c r="V214" s="898"/>
      <c r="W214" s="683"/>
      <c r="X214" s="930"/>
      <c r="Y214" s="686"/>
      <c r="Z214" s="1044"/>
      <c r="AA214" s="907"/>
      <c r="AB214" s="1023"/>
      <c r="AC214" s="1023"/>
      <c r="AD214" s="1023"/>
      <c r="AE214" s="568"/>
      <c r="AF214" s="566"/>
      <c r="AG214" s="567"/>
      <c r="AH214" s="568"/>
      <c r="AI214" s="566"/>
      <c r="AJ214" s="567"/>
      <c r="AK214" s="568"/>
      <c r="AL214" s="566"/>
      <c r="AM214" s="567"/>
      <c r="AN214" s="568"/>
      <c r="AO214" s="566"/>
      <c r="AP214" s="567"/>
      <c r="AQ214" s="568"/>
      <c r="AR214" s="566"/>
      <c r="AS214" s="567"/>
      <c r="AT214" s="568"/>
      <c r="AU214" s="566"/>
      <c r="AV214" s="567"/>
      <c r="AW214" s="568"/>
      <c r="AX214" s="566"/>
      <c r="AY214" s="567"/>
      <c r="AZ214" s="568"/>
      <c r="BA214" s="566"/>
      <c r="BB214" s="567"/>
      <c r="BC214" s="568"/>
      <c r="BD214" s="566"/>
      <c r="BE214" s="567"/>
      <c r="BF214" s="568"/>
      <c r="BG214" s="566"/>
      <c r="BH214" s="567"/>
      <c r="BI214" s="568"/>
      <c r="BJ214" s="566"/>
      <c r="BK214" s="567"/>
      <c r="BL214" s="568"/>
      <c r="BM214" s="567"/>
      <c r="BN214" s="567"/>
      <c r="BO214" s="567"/>
      <c r="BP214" s="568"/>
      <c r="BQ214" s="566"/>
      <c r="BR214" s="567"/>
      <c r="BS214" s="568"/>
      <c r="BT214" s="567"/>
      <c r="BU214" s="567"/>
      <c r="BV214" s="568"/>
      <c r="BW214" s="567"/>
      <c r="BX214" s="2807"/>
      <c r="BY214" s="568"/>
      <c r="BZ214" s="566"/>
      <c r="CA214" s="567"/>
    </row>
    <row r="215" spans="1:79" ht="14.85" customHeight="1" x14ac:dyDescent="0.4">
      <c r="A215" s="249"/>
      <c r="B215" s="249"/>
      <c r="C215" s="584" t="s">
        <v>307</v>
      </c>
      <c r="D215" s="844"/>
      <c r="E215" s="688"/>
      <c r="F215" s="688"/>
      <c r="G215" s="846"/>
      <c r="H215" s="2682"/>
      <c r="I215" s="918"/>
      <c r="J215" s="797"/>
      <c r="K215" s="2562"/>
      <c r="L215" s="849"/>
      <c r="M215" s="791"/>
      <c r="N215" s="1044"/>
      <c r="O215" s="907"/>
      <c r="P215" s="1047"/>
      <c r="Q215" s="707"/>
      <c r="R215" s="999"/>
      <c r="S215" s="696"/>
      <c r="T215" s="864"/>
      <c r="U215" s="903"/>
      <c r="V215" s="904"/>
      <c r="W215" s="871"/>
      <c r="X215" s="930"/>
      <c r="Y215" s="791"/>
      <c r="Z215" s="1044"/>
      <c r="AA215" s="907"/>
      <c r="AB215" s="1023"/>
      <c r="AC215" s="1023"/>
      <c r="AD215" s="1023"/>
      <c r="AE215" s="568"/>
      <c r="AF215" s="566"/>
      <c r="AG215" s="567"/>
      <c r="AH215" s="568"/>
      <c r="AI215" s="566"/>
      <c r="AJ215" s="567"/>
      <c r="AK215" s="568"/>
      <c r="AL215" s="566"/>
      <c r="AM215" s="567"/>
      <c r="AN215" s="568"/>
      <c r="AO215" s="566"/>
      <c r="AP215" s="567"/>
      <c r="AQ215" s="568"/>
      <c r="AR215" s="566"/>
      <c r="AS215" s="567"/>
      <c r="AT215" s="568"/>
      <c r="AU215" s="566"/>
      <c r="AV215" s="567"/>
      <c r="AW215" s="568"/>
      <c r="AX215" s="566"/>
      <c r="AY215" s="567"/>
      <c r="AZ215" s="568"/>
      <c r="BA215" s="566"/>
      <c r="BB215" s="567"/>
      <c r="BC215" s="568"/>
      <c r="BD215" s="566"/>
      <c r="BE215" s="567"/>
      <c r="BF215" s="568"/>
      <c r="BG215" s="566"/>
      <c r="BH215" s="567"/>
      <c r="BI215" s="568"/>
      <c r="BJ215" s="566"/>
      <c r="BK215" s="567"/>
      <c r="BL215" s="568"/>
      <c r="BM215" s="567"/>
      <c r="BN215" s="567"/>
      <c r="BO215" s="567"/>
      <c r="BP215" s="568"/>
      <c r="BQ215" s="566"/>
      <c r="BR215" s="567"/>
      <c r="BS215" s="568"/>
      <c r="BT215" s="567"/>
      <c r="BU215" s="567"/>
      <c r="BV215" s="568"/>
      <c r="BW215" s="567"/>
      <c r="BX215" s="2807"/>
      <c r="BY215" s="568"/>
      <c r="BZ215" s="566"/>
      <c r="CA215" s="567"/>
    </row>
    <row r="216" spans="1:79" ht="26.25" customHeight="1" x14ac:dyDescent="0.4">
      <c r="A216" s="249"/>
      <c r="B216" s="249"/>
      <c r="C216" s="584">
        <v>0.51388888888888795</v>
      </c>
      <c r="D216" s="673"/>
      <c r="E216" s="688"/>
      <c r="F216" s="688"/>
      <c r="G216" s="835"/>
      <c r="H216" s="2803" t="s">
        <v>368</v>
      </c>
      <c r="I216" s="847"/>
      <c r="J216" s="582"/>
      <c r="K216" s="2563"/>
      <c r="L216" s="913"/>
      <c r="M216" s="686"/>
      <c r="N216" s="1861" t="s">
        <v>369</v>
      </c>
      <c r="O216" s="685"/>
      <c r="P216" s="997"/>
      <c r="Q216" s="707"/>
      <c r="R216" s="1045"/>
      <c r="S216" s="696"/>
      <c r="T216" s="696"/>
      <c r="U216" s="697"/>
      <c r="V216" s="1049"/>
      <c r="W216" s="1050" t="s">
        <v>370</v>
      </c>
      <c r="X216" s="1051"/>
      <c r="Y216" s="686"/>
      <c r="Z216" s="2596" t="s">
        <v>369</v>
      </c>
      <c r="AA216" s="685"/>
      <c r="AB216" s="1023"/>
      <c r="AC216" s="1023"/>
      <c r="AD216" s="1023"/>
      <c r="AE216" s="568"/>
      <c r="AF216" s="566"/>
      <c r="AG216" s="567"/>
      <c r="AH216" s="568"/>
      <c r="AI216" s="566"/>
      <c r="AJ216" s="567"/>
      <c r="AK216" s="568"/>
      <c r="AL216" s="566"/>
      <c r="AM216" s="567"/>
      <c r="AN216" s="568"/>
      <c r="AO216" s="566"/>
      <c r="AP216" s="567"/>
      <c r="AQ216" s="568"/>
      <c r="AR216" s="566"/>
      <c r="AS216" s="567"/>
      <c r="AT216" s="568"/>
      <c r="AU216" s="566"/>
      <c r="AV216" s="567"/>
      <c r="AW216" s="568"/>
      <c r="AX216" s="566"/>
      <c r="AY216" s="567"/>
      <c r="AZ216" s="568"/>
      <c r="BA216" s="566"/>
      <c r="BB216" s="567"/>
      <c r="BC216" s="568"/>
      <c r="BD216" s="566"/>
      <c r="BE216" s="567"/>
      <c r="BF216" s="568"/>
      <c r="BG216" s="566"/>
      <c r="BH216" s="567"/>
      <c r="BI216" s="568"/>
      <c r="BJ216" s="566"/>
      <c r="BK216" s="567"/>
      <c r="BL216" s="568"/>
      <c r="BM216" s="567"/>
      <c r="BN216" s="567"/>
      <c r="BO216" s="567"/>
      <c r="BP216" s="568"/>
      <c r="BQ216" s="566"/>
      <c r="BR216" s="567"/>
      <c r="BS216" s="568"/>
      <c r="BT216" s="567"/>
      <c r="BU216" s="567"/>
      <c r="BV216" s="568"/>
      <c r="BW216" s="759"/>
      <c r="BX216" s="2807"/>
      <c r="BY216" s="568"/>
      <c r="BZ216" s="566"/>
      <c r="CA216" s="567"/>
    </row>
    <row r="217" spans="1:79" ht="18.75" customHeight="1" x14ac:dyDescent="0.4">
      <c r="A217" s="249"/>
      <c r="B217" s="249"/>
      <c r="C217" s="584">
        <v>0.51736111111111105</v>
      </c>
      <c r="D217" s="844"/>
      <c r="E217" s="688"/>
      <c r="F217" s="845"/>
      <c r="G217" s="846"/>
      <c r="H217" s="2682"/>
      <c r="I217" s="918"/>
      <c r="J217" s="797"/>
      <c r="K217" s="2562"/>
      <c r="L217" s="849"/>
      <c r="M217" s="686"/>
      <c r="N217" s="745" t="s">
        <v>330</v>
      </c>
      <c r="O217" s="791"/>
      <c r="P217" s="1047"/>
      <c r="Q217" s="707"/>
      <c r="R217" s="999"/>
      <c r="S217" s="696"/>
      <c r="T217" s="696"/>
      <c r="U217" s="697"/>
      <c r="V217" s="886"/>
      <c r="W217" s="709"/>
      <c r="X217" s="993"/>
      <c r="Y217" s="686"/>
      <c r="Z217" s="865"/>
      <c r="AA217" s="791"/>
      <c r="AB217" s="985"/>
      <c r="AC217" s="984"/>
      <c r="AD217" s="985"/>
      <c r="AE217" s="568"/>
      <c r="AF217" s="777"/>
      <c r="AG217" s="759"/>
      <c r="AH217" s="568"/>
      <c r="AI217" s="777"/>
      <c r="AJ217" s="759"/>
      <c r="AK217" s="568"/>
      <c r="AL217" s="777"/>
      <c r="AM217" s="759"/>
      <c r="AN217" s="568"/>
      <c r="AO217" s="777"/>
      <c r="AP217" s="759"/>
      <c r="AQ217" s="568"/>
      <c r="AR217" s="777"/>
      <c r="AS217" s="759"/>
      <c r="AT217" s="568"/>
      <c r="AU217" s="777"/>
      <c r="AV217" s="759"/>
      <c r="AW217" s="568"/>
      <c r="AX217" s="777"/>
      <c r="AY217" s="759"/>
      <c r="AZ217" s="568"/>
      <c r="BA217" s="777"/>
      <c r="BB217" s="759"/>
      <c r="BC217" s="568"/>
      <c r="BD217" s="777"/>
      <c r="BE217" s="759"/>
      <c r="BF217" s="568"/>
      <c r="BG217" s="777"/>
      <c r="BH217" s="759"/>
      <c r="BI217" s="568"/>
      <c r="BJ217" s="777"/>
      <c r="BK217" s="759"/>
      <c r="BL217" s="568"/>
      <c r="BM217" s="759"/>
      <c r="BN217" s="759"/>
      <c r="BO217" s="567"/>
      <c r="BP217" s="568"/>
      <c r="BQ217" s="777"/>
      <c r="BR217" s="759"/>
      <c r="BS217" s="568"/>
      <c r="BT217" s="759"/>
      <c r="BU217" s="759"/>
      <c r="BV217" s="568"/>
      <c r="BW217" s="759"/>
      <c r="BX217" s="909"/>
      <c r="BY217" s="568"/>
      <c r="BZ217" s="777"/>
      <c r="CA217" s="759"/>
    </row>
    <row r="218" spans="1:79" ht="18.75" customHeight="1" x14ac:dyDescent="0.4">
      <c r="A218" s="249"/>
      <c r="B218" s="249"/>
      <c r="C218" s="584">
        <v>0.52083333333333304</v>
      </c>
      <c r="D218" s="587"/>
      <c r="E218" s="688" t="s">
        <v>278</v>
      </c>
      <c r="F218" s="688"/>
      <c r="G218" s="588"/>
      <c r="H218" s="1048"/>
      <c r="I218" s="742"/>
      <c r="J218" s="635"/>
      <c r="K218" s="2562"/>
      <c r="L218" s="705"/>
      <c r="M218" s="685"/>
      <c r="N218" s="745" t="s">
        <v>333</v>
      </c>
      <c r="O218" s="791"/>
      <c r="P218" s="977"/>
      <c r="Q218" s="851" t="s">
        <v>334</v>
      </c>
      <c r="R218" s="996"/>
      <c r="S218" s="696"/>
      <c r="T218" s="696" t="s">
        <v>331</v>
      </c>
      <c r="U218" s="697"/>
      <c r="V218" s="683"/>
      <c r="W218" s="709" t="s">
        <v>356</v>
      </c>
      <c r="X218" s="930"/>
      <c r="Y218" s="685"/>
      <c r="Z218" s="745" t="s">
        <v>330</v>
      </c>
      <c r="AA218" s="791"/>
      <c r="AB218" s="1023"/>
      <c r="AC218" s="1023"/>
      <c r="AD218" s="1023"/>
      <c r="AE218" s="568"/>
      <c r="AF218" s="777"/>
      <c r="AG218" s="759"/>
      <c r="AH218" s="568"/>
      <c r="AI218" s="777"/>
      <c r="AJ218" s="759"/>
      <c r="AK218" s="568"/>
      <c r="AL218" s="777"/>
      <c r="AM218" s="759"/>
      <c r="AN218" s="568"/>
      <c r="AO218" s="777"/>
      <c r="AP218" s="759"/>
      <c r="AQ218" s="568"/>
      <c r="AR218" s="777"/>
      <c r="AS218" s="759"/>
      <c r="AT218" s="568"/>
      <c r="AU218" s="777"/>
      <c r="AV218" s="759"/>
      <c r="AW218" s="568"/>
      <c r="AX218" s="777"/>
      <c r="AY218" s="759"/>
      <c r="AZ218" s="568"/>
      <c r="BA218" s="777"/>
      <c r="BB218" s="759"/>
      <c r="BC218" s="568"/>
      <c r="BD218" s="777"/>
      <c r="BE218" s="759"/>
      <c r="BF218" s="568"/>
      <c r="BG218" s="777"/>
      <c r="BH218" s="759"/>
      <c r="BI218" s="568"/>
      <c r="BJ218" s="777"/>
      <c r="BK218" s="759"/>
      <c r="BL218" s="568"/>
      <c r="BM218" s="759"/>
      <c r="BN218" s="759"/>
      <c r="BO218" s="567"/>
      <c r="BP218" s="568"/>
      <c r="BQ218" s="777"/>
      <c r="BR218" s="759"/>
      <c r="BS218" s="568"/>
      <c r="BT218" s="759"/>
      <c r="BU218" s="759"/>
      <c r="BV218" s="568"/>
      <c r="BW218" s="759"/>
      <c r="BX218" s="909"/>
      <c r="BY218" s="568"/>
      <c r="BZ218" s="777"/>
      <c r="CA218" s="759"/>
    </row>
    <row r="219" spans="1:79" ht="18.75" customHeight="1" x14ac:dyDescent="0.4">
      <c r="A219" s="249"/>
      <c r="B219" s="249"/>
      <c r="C219" s="584" t="s">
        <v>307</v>
      </c>
      <c r="D219" s="587"/>
      <c r="E219" s="688" t="s">
        <v>310</v>
      </c>
      <c r="F219" s="845"/>
      <c r="G219" s="588"/>
      <c r="H219" s="1048"/>
      <c r="I219" s="742"/>
      <c r="J219" s="691"/>
      <c r="K219" s="2562"/>
      <c r="L219" s="754"/>
      <c r="M219" s="685"/>
      <c r="N219" s="745"/>
      <c r="O219" s="685"/>
      <c r="P219" s="707"/>
      <c r="Q219" s="707"/>
      <c r="R219" s="1053"/>
      <c r="S219" s="696"/>
      <c r="T219" s="696" t="s">
        <v>334</v>
      </c>
      <c r="U219" s="697"/>
      <c r="V219" s="709"/>
      <c r="W219" s="709" t="s">
        <v>335</v>
      </c>
      <c r="X219" s="930"/>
      <c r="Y219" s="685"/>
      <c r="Z219" s="745" t="s">
        <v>333</v>
      </c>
      <c r="AA219" s="685"/>
      <c r="AB219" s="1023"/>
      <c r="AC219" s="1023"/>
      <c r="AD219" s="1023"/>
      <c r="AE219" s="568"/>
      <c r="AF219" s="777"/>
      <c r="AG219" s="759"/>
      <c r="AH219" s="568"/>
      <c r="AI219" s="777"/>
      <c r="AJ219" s="759"/>
      <c r="AK219" s="568"/>
      <c r="AL219" s="777"/>
      <c r="AM219" s="759"/>
      <c r="AN219" s="568"/>
      <c r="AO219" s="777"/>
      <c r="AP219" s="759"/>
      <c r="AQ219" s="568"/>
      <c r="AR219" s="777"/>
      <c r="AS219" s="759"/>
      <c r="AT219" s="568"/>
      <c r="AU219" s="777"/>
      <c r="AV219" s="759"/>
      <c r="AW219" s="568"/>
      <c r="AX219" s="777"/>
      <c r="AY219" s="759"/>
      <c r="AZ219" s="568"/>
      <c r="BA219" s="777"/>
      <c r="BB219" s="759"/>
      <c r="BC219" s="568"/>
      <c r="BD219" s="777"/>
      <c r="BE219" s="759"/>
      <c r="BF219" s="568"/>
      <c r="BG219" s="777"/>
      <c r="BH219" s="759"/>
      <c r="BI219" s="568"/>
      <c r="BJ219" s="777"/>
      <c r="BK219" s="759"/>
      <c r="BL219" s="568"/>
      <c r="BM219" s="759"/>
      <c r="BN219" s="759"/>
      <c r="BO219" s="567"/>
      <c r="BP219" s="568"/>
      <c r="BQ219" s="777"/>
      <c r="BR219" s="759"/>
      <c r="BS219" s="568"/>
      <c r="BT219" s="759"/>
      <c r="BU219" s="759"/>
      <c r="BV219" s="568"/>
      <c r="BW219" s="759"/>
      <c r="BX219" s="909"/>
      <c r="BY219" s="568"/>
      <c r="BZ219" s="777"/>
      <c r="CA219" s="759"/>
    </row>
    <row r="220" spans="1:79" ht="18.75" customHeight="1" x14ac:dyDescent="0.4">
      <c r="A220" s="249"/>
      <c r="B220" s="249"/>
      <c r="C220" s="584" t="s">
        <v>307</v>
      </c>
      <c r="D220" s="688"/>
      <c r="E220" s="1003"/>
      <c r="F220" s="1003"/>
      <c r="G220" s="594"/>
      <c r="H220" s="2683"/>
      <c r="I220" s="775"/>
      <c r="J220" s="635"/>
      <c r="K220" s="2562"/>
      <c r="L220" s="754"/>
      <c r="M220" s="685"/>
      <c r="N220" s="745"/>
      <c r="O220" s="685"/>
      <c r="P220" s="977"/>
      <c r="Q220" s="1055"/>
      <c r="R220" s="1053"/>
      <c r="S220" s="696"/>
      <c r="T220" s="864"/>
      <c r="U220" s="697"/>
      <c r="V220" s="904"/>
      <c r="W220" s="788" t="s">
        <v>351</v>
      </c>
      <c r="X220" s="930"/>
      <c r="Y220" s="685"/>
      <c r="Z220" s="745"/>
      <c r="AA220" s="685"/>
      <c r="AB220" s="1023"/>
      <c r="AC220" s="1023"/>
      <c r="AD220" s="1023"/>
      <c r="AE220" s="568"/>
      <c r="AF220" s="777"/>
      <c r="AG220" s="759"/>
      <c r="AH220" s="568"/>
      <c r="AI220" s="777"/>
      <c r="AJ220" s="759"/>
      <c r="AK220" s="568"/>
      <c r="AL220" s="777"/>
      <c r="AM220" s="759"/>
      <c r="AN220" s="568"/>
      <c r="AO220" s="777"/>
      <c r="AP220" s="759"/>
      <c r="AQ220" s="568"/>
      <c r="AR220" s="777"/>
      <c r="AS220" s="759"/>
      <c r="AT220" s="568"/>
      <c r="AU220" s="777"/>
      <c r="AV220" s="759"/>
      <c r="AW220" s="568"/>
      <c r="AX220" s="777"/>
      <c r="AY220" s="759"/>
      <c r="AZ220" s="568"/>
      <c r="BA220" s="777"/>
      <c r="BB220" s="759"/>
      <c r="BC220" s="568"/>
      <c r="BD220" s="777"/>
      <c r="BE220" s="759"/>
      <c r="BF220" s="568"/>
      <c r="BG220" s="777"/>
      <c r="BH220" s="759"/>
      <c r="BI220" s="568"/>
      <c r="BJ220" s="777"/>
      <c r="BK220" s="759"/>
      <c r="BL220" s="568"/>
      <c r="BM220" s="759"/>
      <c r="BN220" s="759"/>
      <c r="BO220" s="567"/>
      <c r="BP220" s="568"/>
      <c r="BQ220" s="777"/>
      <c r="BR220" s="759"/>
      <c r="BS220" s="568"/>
      <c r="BT220" s="759"/>
      <c r="BU220" s="759"/>
      <c r="BV220" s="568"/>
      <c r="BW220" s="759"/>
      <c r="BX220" s="909"/>
      <c r="BY220" s="568"/>
      <c r="BZ220" s="777"/>
      <c r="CA220" s="759"/>
    </row>
    <row r="221" spans="1:79" ht="18.600000000000001" customHeight="1" x14ac:dyDescent="0.4">
      <c r="A221" s="249"/>
      <c r="B221" s="249"/>
      <c r="C221" s="584" t="s">
        <v>307</v>
      </c>
      <c r="D221" s="587"/>
      <c r="E221" s="1056"/>
      <c r="F221" s="1056"/>
      <c r="G221" s="588"/>
      <c r="H221" s="1054"/>
      <c r="I221" s="775"/>
      <c r="J221" s="691"/>
      <c r="K221" s="2562"/>
      <c r="L221" s="705"/>
      <c r="M221" s="686"/>
      <c r="N221" s="745"/>
      <c r="O221" s="685"/>
      <c r="P221" s="707"/>
      <c r="Q221" s="1001"/>
      <c r="R221" s="996"/>
      <c r="S221" s="696"/>
      <c r="T221" s="696"/>
      <c r="U221" s="697"/>
      <c r="V221" s="904"/>
      <c r="W221" s="871"/>
      <c r="X221" s="930"/>
      <c r="Y221" s="686"/>
      <c r="Z221" s="745"/>
      <c r="AA221" s="685"/>
      <c r="AB221" s="687"/>
      <c r="AC221" s="687"/>
      <c r="AD221" s="687"/>
      <c r="AE221" s="568"/>
      <c r="AF221" s="777"/>
      <c r="AG221" s="759"/>
      <c r="AH221" s="568"/>
      <c r="AI221" s="777"/>
      <c r="AJ221" s="759"/>
      <c r="AK221" s="568"/>
      <c r="AL221" s="777"/>
      <c r="AM221" s="759"/>
      <c r="AN221" s="568"/>
      <c r="AO221" s="777"/>
      <c r="AP221" s="759"/>
      <c r="AQ221" s="568"/>
      <c r="AR221" s="777"/>
      <c r="AS221" s="759"/>
      <c r="AT221" s="568"/>
      <c r="AU221" s="777"/>
      <c r="AV221" s="759"/>
      <c r="AW221" s="568"/>
      <c r="AX221" s="777"/>
      <c r="AY221" s="759"/>
      <c r="AZ221" s="568"/>
      <c r="BA221" s="777"/>
      <c r="BB221" s="759"/>
      <c r="BC221" s="568"/>
      <c r="BD221" s="777"/>
      <c r="BE221" s="759"/>
      <c r="BF221" s="568"/>
      <c r="BG221" s="777"/>
      <c r="BH221" s="759"/>
      <c r="BI221" s="568"/>
      <c r="BJ221" s="777"/>
      <c r="BK221" s="759"/>
      <c r="BL221" s="568"/>
      <c r="BM221" s="759"/>
      <c r="BN221" s="759"/>
      <c r="BO221" s="567"/>
      <c r="BP221" s="568"/>
      <c r="BQ221" s="777"/>
      <c r="BR221" s="759"/>
      <c r="BS221" s="568"/>
      <c r="BT221" s="759"/>
      <c r="BU221" s="759"/>
      <c r="BV221" s="568"/>
      <c r="BW221" s="567"/>
      <c r="BX221" s="909"/>
      <c r="BY221" s="568"/>
      <c r="BZ221" s="777"/>
      <c r="CA221" s="759"/>
    </row>
    <row r="222" spans="1:79" ht="18.600000000000001" customHeight="1" x14ac:dyDescent="0.4">
      <c r="A222" s="249"/>
      <c r="B222" s="249"/>
      <c r="C222" s="584" t="s">
        <v>307</v>
      </c>
      <c r="D222" s="688"/>
      <c r="E222" s="1003"/>
      <c r="F222" s="1003"/>
      <c r="G222" s="594"/>
      <c r="H222" s="1057"/>
      <c r="I222" s="742"/>
      <c r="J222" s="691"/>
      <c r="K222" s="2562"/>
      <c r="L222" s="705"/>
      <c r="M222" s="686"/>
      <c r="N222" s="745"/>
      <c r="O222" s="685"/>
      <c r="P222" s="707"/>
      <c r="Q222" s="1059"/>
      <c r="R222" s="996"/>
      <c r="S222" s="696"/>
      <c r="T222" s="1060"/>
      <c r="U222" s="697"/>
      <c r="V222" s="904"/>
      <c r="W222" s="871"/>
      <c r="X222" s="930"/>
      <c r="Y222" s="686"/>
      <c r="Z222" s="745"/>
      <c r="AA222" s="685"/>
      <c r="AB222" s="687"/>
      <c r="AC222" s="687"/>
      <c r="AD222" s="687"/>
      <c r="AE222" s="568"/>
      <c r="AF222" s="566"/>
      <c r="AG222" s="567"/>
      <c r="AH222" s="568"/>
      <c r="AI222" s="566"/>
      <c r="AJ222" s="567"/>
      <c r="AK222" s="568"/>
      <c r="AL222" s="566"/>
      <c r="AM222" s="567"/>
      <c r="AN222" s="568"/>
      <c r="AO222" s="566"/>
      <c r="AP222" s="567"/>
      <c r="AQ222" s="568"/>
      <c r="AR222" s="566"/>
      <c r="AS222" s="567"/>
      <c r="AT222" s="568"/>
      <c r="AU222" s="566"/>
      <c r="AV222" s="567"/>
      <c r="AW222" s="568"/>
      <c r="AX222" s="566"/>
      <c r="AY222" s="567"/>
      <c r="AZ222" s="568"/>
      <c r="BA222" s="566"/>
      <c r="BB222" s="567"/>
      <c r="BC222" s="568"/>
      <c r="BD222" s="566"/>
      <c r="BE222" s="567"/>
      <c r="BF222" s="568"/>
      <c r="BG222" s="566"/>
      <c r="BH222" s="567"/>
      <c r="BI222" s="568"/>
      <c r="BJ222" s="566"/>
      <c r="BK222" s="567"/>
      <c r="BL222" s="568"/>
      <c r="BM222" s="567"/>
      <c r="BN222" s="567"/>
      <c r="BO222" s="567"/>
      <c r="BP222" s="568"/>
      <c r="BQ222" s="566"/>
      <c r="BR222" s="567"/>
      <c r="BS222" s="568"/>
      <c r="BT222" s="567"/>
      <c r="BU222" s="567"/>
      <c r="BV222" s="568"/>
      <c r="BW222" s="567"/>
      <c r="BX222" s="2807"/>
      <c r="BY222" s="568"/>
      <c r="BZ222" s="566"/>
      <c r="CA222" s="567"/>
    </row>
    <row r="223" spans="1:79" ht="14.85" customHeight="1" x14ac:dyDescent="0.4">
      <c r="A223" s="249"/>
      <c r="B223" s="249"/>
      <c r="C223" s="584">
        <v>0.52430555555555503</v>
      </c>
      <c r="D223" s="688"/>
      <c r="E223" s="699"/>
      <c r="F223" s="699"/>
      <c r="G223" s="594"/>
      <c r="H223" s="1058"/>
      <c r="I223" s="742"/>
      <c r="J223" s="582"/>
      <c r="K223" s="2562"/>
      <c r="L223" s="849"/>
      <c r="M223" s="1061"/>
      <c r="N223" s="1062"/>
      <c r="O223" s="1063"/>
      <c r="P223" s="997"/>
      <c r="Q223" s="998"/>
      <c r="R223" s="999"/>
      <c r="S223" s="696"/>
      <c r="T223" s="1060"/>
      <c r="U223" s="697"/>
      <c r="V223" s="886"/>
      <c r="W223" s="871"/>
      <c r="X223" s="993"/>
      <c r="Y223" s="1061"/>
      <c r="Z223" s="1062"/>
      <c r="AA223" s="1063"/>
      <c r="AB223" s="1023"/>
      <c r="AC223" s="1023"/>
      <c r="AD223" s="1023"/>
      <c r="AE223" s="568"/>
      <c r="AF223" s="566"/>
      <c r="AG223" s="567"/>
      <c r="AH223" s="568"/>
      <c r="AI223" s="566"/>
      <c r="AJ223" s="567"/>
      <c r="AK223" s="568"/>
      <c r="AL223" s="566"/>
      <c r="AM223" s="567"/>
      <c r="AN223" s="568"/>
      <c r="AO223" s="566"/>
      <c r="AP223" s="567"/>
      <c r="AQ223" s="568"/>
      <c r="AR223" s="566"/>
      <c r="AS223" s="567"/>
      <c r="AT223" s="568"/>
      <c r="AU223" s="566"/>
      <c r="AV223" s="567"/>
      <c r="AW223" s="568"/>
      <c r="AX223" s="566"/>
      <c r="AY223" s="567"/>
      <c r="AZ223" s="568"/>
      <c r="BA223" s="566"/>
      <c r="BB223" s="567"/>
      <c r="BC223" s="568"/>
      <c r="BD223" s="566"/>
      <c r="BE223" s="567"/>
      <c r="BF223" s="568"/>
      <c r="BG223" s="566"/>
      <c r="BH223" s="567"/>
      <c r="BI223" s="568"/>
      <c r="BJ223" s="566"/>
      <c r="BK223" s="567"/>
      <c r="BL223" s="568"/>
      <c r="BM223" s="567"/>
      <c r="BN223" s="567"/>
      <c r="BO223" s="567"/>
      <c r="BP223" s="568"/>
      <c r="BQ223" s="566"/>
      <c r="BR223" s="567"/>
      <c r="BS223" s="568"/>
      <c r="BT223" s="567"/>
      <c r="BU223" s="567"/>
      <c r="BV223" s="568"/>
      <c r="BW223" s="567"/>
      <c r="BX223" s="2807"/>
      <c r="BY223" s="568"/>
      <c r="BZ223" s="566"/>
      <c r="CA223" s="567"/>
    </row>
    <row r="224" spans="1:79" ht="18.600000000000001" customHeight="1" x14ac:dyDescent="0.4">
      <c r="A224" s="249"/>
      <c r="B224" s="249"/>
      <c r="C224" s="584">
        <v>0.52777777777777701</v>
      </c>
      <c r="D224" s="844"/>
      <c r="E224" s="688"/>
      <c r="F224" s="845"/>
      <c r="G224" s="846"/>
      <c r="H224" s="1048"/>
      <c r="I224" s="847"/>
      <c r="J224" s="582"/>
      <c r="K224" s="2562"/>
      <c r="L224" s="849"/>
      <c r="M224" s="1064"/>
      <c r="N224" s="1065"/>
      <c r="O224" s="1061"/>
      <c r="P224" s="997"/>
      <c r="Q224" s="998"/>
      <c r="R224" s="999"/>
      <c r="S224" s="696"/>
      <c r="T224" s="696"/>
      <c r="U224" s="697"/>
      <c r="V224" s="904"/>
      <c r="W224" s="709"/>
      <c r="X224" s="930"/>
      <c r="Y224" s="1064"/>
      <c r="Z224" s="1065"/>
      <c r="AA224" s="1061"/>
      <c r="AB224" s="1023"/>
      <c r="AC224" s="1023"/>
      <c r="AD224" s="1023"/>
      <c r="AE224" s="568"/>
      <c r="AF224" s="566"/>
      <c r="AG224" s="567"/>
      <c r="AH224" s="568"/>
      <c r="AI224" s="566"/>
      <c r="AJ224" s="567"/>
      <c r="AK224" s="568"/>
      <c r="AL224" s="566"/>
      <c r="AM224" s="567"/>
      <c r="AN224" s="568"/>
      <c r="AO224" s="566"/>
      <c r="AP224" s="567"/>
      <c r="AQ224" s="568"/>
      <c r="AR224" s="566"/>
      <c r="AS224" s="567"/>
      <c r="AT224" s="568"/>
      <c r="AU224" s="566"/>
      <c r="AV224" s="567"/>
      <c r="AW224" s="568"/>
      <c r="AX224" s="566"/>
      <c r="AY224" s="567"/>
      <c r="AZ224" s="568"/>
      <c r="BA224" s="566"/>
      <c r="BB224" s="567"/>
      <c r="BC224" s="568"/>
      <c r="BD224" s="566"/>
      <c r="BE224" s="567"/>
      <c r="BF224" s="568"/>
      <c r="BG224" s="566"/>
      <c r="BH224" s="567"/>
      <c r="BI224" s="568"/>
      <c r="BJ224" s="566"/>
      <c r="BK224" s="567"/>
      <c r="BL224" s="568"/>
      <c r="BM224" s="567"/>
      <c r="BN224" s="567"/>
      <c r="BO224" s="567"/>
      <c r="BP224" s="568"/>
      <c r="BQ224" s="566"/>
      <c r="BR224" s="567"/>
      <c r="BS224" s="568"/>
      <c r="BT224" s="567"/>
      <c r="BU224" s="567"/>
      <c r="BV224" s="568"/>
      <c r="BW224" s="567"/>
      <c r="BX224" s="2807"/>
      <c r="BY224" s="568"/>
      <c r="BZ224" s="566"/>
      <c r="CA224" s="567"/>
    </row>
    <row r="225" spans="1:79" ht="14.85" customHeight="1" x14ac:dyDescent="0.4">
      <c r="A225" s="249"/>
      <c r="B225" s="249"/>
      <c r="C225" s="584" t="s">
        <v>307</v>
      </c>
      <c r="D225" s="844"/>
      <c r="E225" s="688"/>
      <c r="F225" s="845"/>
      <c r="G225" s="846"/>
      <c r="H225" s="1048"/>
      <c r="I225" s="847"/>
      <c r="J225" s="582"/>
      <c r="K225" s="2563"/>
      <c r="L225" s="849"/>
      <c r="M225" s="686"/>
      <c r="N225" s="865"/>
      <c r="O225" s="791"/>
      <c r="P225" s="997"/>
      <c r="Q225" s="998"/>
      <c r="R225" s="999"/>
      <c r="S225" s="696"/>
      <c r="T225" s="696"/>
      <c r="U225" s="697"/>
      <c r="V225" s="886"/>
      <c r="W225" s="871"/>
      <c r="X225" s="993"/>
      <c r="Y225" s="686"/>
      <c r="Z225" s="865"/>
      <c r="AA225" s="791"/>
      <c r="AB225" s="687"/>
      <c r="AC225" s="687"/>
      <c r="AD225" s="687"/>
      <c r="AE225" s="568"/>
      <c r="AF225" s="566"/>
      <c r="AG225" s="567"/>
      <c r="AH225" s="568"/>
      <c r="AI225" s="566"/>
      <c r="AJ225" s="567"/>
      <c r="AK225" s="568"/>
      <c r="AL225" s="566"/>
      <c r="AM225" s="567"/>
      <c r="AN225" s="568"/>
      <c r="AO225" s="566"/>
      <c r="AP225" s="567"/>
      <c r="AQ225" s="568"/>
      <c r="AR225" s="566"/>
      <c r="AS225" s="567"/>
      <c r="AT225" s="568"/>
      <c r="AU225" s="566"/>
      <c r="AV225" s="567"/>
      <c r="AW225" s="568"/>
      <c r="AX225" s="566"/>
      <c r="AY225" s="567"/>
      <c r="AZ225" s="568"/>
      <c r="BA225" s="566"/>
      <c r="BB225" s="567"/>
      <c r="BC225" s="568"/>
      <c r="BD225" s="566"/>
      <c r="BE225" s="567"/>
      <c r="BF225" s="568"/>
      <c r="BG225" s="566"/>
      <c r="BH225" s="567"/>
      <c r="BI225" s="568"/>
      <c r="BJ225" s="566"/>
      <c r="BK225" s="567"/>
      <c r="BL225" s="568"/>
      <c r="BM225" s="567"/>
      <c r="BN225" s="567"/>
      <c r="BO225" s="567"/>
      <c r="BP225" s="568"/>
      <c r="BQ225" s="566"/>
      <c r="BR225" s="567"/>
      <c r="BS225" s="568"/>
      <c r="BT225" s="567"/>
      <c r="BU225" s="567"/>
      <c r="BV225" s="568"/>
      <c r="BW225" s="917"/>
      <c r="BX225" s="2807"/>
      <c r="BY225" s="568"/>
      <c r="BZ225" s="566"/>
      <c r="CA225" s="567"/>
    </row>
    <row r="226" spans="1:79" ht="18.75" customHeight="1" x14ac:dyDescent="0.4">
      <c r="A226" s="249"/>
      <c r="B226" s="249"/>
      <c r="C226" s="584">
        <v>0.531249999999999</v>
      </c>
      <c r="D226" s="587"/>
      <c r="E226" s="688"/>
      <c r="F226" s="688"/>
      <c r="G226" s="588"/>
      <c r="H226" s="1048"/>
      <c r="I226" s="742"/>
      <c r="J226" s="935"/>
      <c r="K226" s="2562"/>
      <c r="L226" s="936"/>
      <c r="M226" s="686"/>
      <c r="N226" s="745" t="s">
        <v>371</v>
      </c>
      <c r="O226" s="973"/>
      <c r="P226" s="937"/>
      <c r="Q226" s="851" t="s">
        <v>356</v>
      </c>
      <c r="R226" s="938"/>
      <c r="S226" s="697"/>
      <c r="T226" s="696" t="s">
        <v>331</v>
      </c>
      <c r="U226" s="1066"/>
      <c r="V226" s="886"/>
      <c r="W226" s="2841" t="s">
        <v>341</v>
      </c>
      <c r="X226" s="993"/>
      <c r="Y226" s="686"/>
      <c r="Z226" s="745" t="s">
        <v>371</v>
      </c>
      <c r="AA226" s="973"/>
      <c r="AB226" s="1023"/>
      <c r="AC226" s="1023"/>
      <c r="AD226" s="1023"/>
      <c r="AE226" s="568"/>
      <c r="AF226" s="919"/>
      <c r="AG226" s="917"/>
      <c r="AH226" s="568"/>
      <c r="AI226" s="919"/>
      <c r="AJ226" s="917"/>
      <c r="AK226" s="568"/>
      <c r="AL226" s="919"/>
      <c r="AM226" s="917"/>
      <c r="AN226" s="568"/>
      <c r="AO226" s="919"/>
      <c r="AP226" s="917"/>
      <c r="AQ226" s="568"/>
      <c r="AR226" s="919"/>
      <c r="AS226" s="917"/>
      <c r="AT226" s="568"/>
      <c r="AU226" s="919"/>
      <c r="AV226" s="917"/>
      <c r="AW226" s="568"/>
      <c r="AX226" s="919"/>
      <c r="AY226" s="917"/>
      <c r="AZ226" s="568"/>
      <c r="BA226" s="919"/>
      <c r="BB226" s="917"/>
      <c r="BC226" s="568"/>
      <c r="BD226" s="919"/>
      <c r="BE226" s="917"/>
      <c r="BF226" s="568"/>
      <c r="BG226" s="919"/>
      <c r="BH226" s="917"/>
      <c r="BI226" s="568"/>
      <c r="BJ226" s="919"/>
      <c r="BK226" s="917"/>
      <c r="BL226" s="568"/>
      <c r="BM226" s="917"/>
      <c r="BN226" s="917"/>
      <c r="BO226" s="567"/>
      <c r="BP226" s="568"/>
      <c r="BQ226" s="919"/>
      <c r="BR226" s="917"/>
      <c r="BS226" s="568"/>
      <c r="BT226" s="917"/>
      <c r="BU226" s="917"/>
      <c r="BV226" s="568"/>
      <c r="BW226" s="917"/>
      <c r="BX226" s="2551"/>
      <c r="BY226" s="568"/>
      <c r="BZ226" s="919"/>
      <c r="CA226" s="917"/>
    </row>
    <row r="227" spans="1:79" ht="18.75" customHeight="1" x14ac:dyDescent="0.4">
      <c r="A227" s="249"/>
      <c r="B227" s="249"/>
      <c r="C227" s="584" t="s">
        <v>307</v>
      </c>
      <c r="D227" s="939"/>
      <c r="E227" s="688"/>
      <c r="F227" s="688"/>
      <c r="G227" s="940"/>
      <c r="H227" s="1048"/>
      <c r="I227" s="737"/>
      <c r="J227" s="935"/>
      <c r="K227" s="2561"/>
      <c r="L227" s="936"/>
      <c r="M227" s="685"/>
      <c r="N227" s="793" t="s">
        <v>336</v>
      </c>
      <c r="O227" s="686"/>
      <c r="P227" s="937"/>
      <c r="Q227" s="707" t="s">
        <v>334</v>
      </c>
      <c r="R227" s="938"/>
      <c r="S227" s="696"/>
      <c r="T227" s="696" t="s">
        <v>334</v>
      </c>
      <c r="U227" s="697"/>
      <c r="V227" s="886"/>
      <c r="W227" s="2841"/>
      <c r="X227" s="993"/>
      <c r="Y227" s="685"/>
      <c r="Z227" s="793" t="s">
        <v>336</v>
      </c>
      <c r="AA227" s="686"/>
      <c r="AB227" s="1023"/>
      <c r="AC227" s="1023"/>
      <c r="AD227" s="1023"/>
      <c r="AE227" s="568"/>
      <c r="AF227" s="919"/>
      <c r="AG227" s="917"/>
      <c r="AH227" s="568"/>
      <c r="AI227" s="566"/>
      <c r="AJ227" s="917"/>
      <c r="AK227" s="568"/>
      <c r="AL227" s="919"/>
      <c r="AM227" s="917"/>
      <c r="AN227" s="568"/>
      <c r="AO227" s="919"/>
      <c r="AP227" s="917"/>
      <c r="AQ227" s="568"/>
      <c r="AR227" s="919"/>
      <c r="AS227" s="917"/>
      <c r="AT227" s="568"/>
      <c r="AU227" s="919"/>
      <c r="AV227" s="917"/>
      <c r="AW227" s="568"/>
      <c r="AX227" s="919"/>
      <c r="AY227" s="917"/>
      <c r="AZ227" s="568"/>
      <c r="BA227" s="919"/>
      <c r="BB227" s="917"/>
      <c r="BC227" s="568"/>
      <c r="BD227" s="919"/>
      <c r="BE227" s="917"/>
      <c r="BF227" s="568"/>
      <c r="BG227" s="919"/>
      <c r="BH227" s="917"/>
      <c r="BI227" s="568"/>
      <c r="BJ227" s="919"/>
      <c r="BK227" s="917"/>
      <c r="BL227" s="568"/>
      <c r="BM227" s="917"/>
      <c r="BN227" s="917"/>
      <c r="BO227" s="567"/>
      <c r="BP227" s="568"/>
      <c r="BQ227" s="919"/>
      <c r="BR227" s="917"/>
      <c r="BS227" s="568"/>
      <c r="BT227" s="917"/>
      <c r="BU227" s="917"/>
      <c r="BV227" s="568"/>
      <c r="BW227" s="917"/>
      <c r="BX227" s="2551"/>
      <c r="BY227" s="568"/>
      <c r="BZ227" s="919"/>
      <c r="CA227" s="917"/>
    </row>
    <row r="228" spans="1:79" ht="18.75" customHeight="1" x14ac:dyDescent="0.4">
      <c r="A228" s="249"/>
      <c r="B228" s="249"/>
      <c r="C228" s="584" t="s">
        <v>307</v>
      </c>
      <c r="D228" s="587"/>
      <c r="E228" s="688"/>
      <c r="F228" s="845"/>
      <c r="G228" s="588"/>
      <c r="H228" s="1048"/>
      <c r="I228" s="742"/>
      <c r="J228" s="691"/>
      <c r="K228" s="2562"/>
      <c r="L228" s="705"/>
      <c r="M228" s="685"/>
      <c r="N228" s="745" t="s">
        <v>333</v>
      </c>
      <c r="O228" s="686"/>
      <c r="P228" s="707"/>
      <c r="Q228" s="707"/>
      <c r="R228" s="996"/>
      <c r="S228" s="696"/>
      <c r="T228" s="864" t="s">
        <v>351</v>
      </c>
      <c r="U228" s="697"/>
      <c r="V228" s="886"/>
      <c r="W228" s="2841"/>
      <c r="X228" s="993"/>
      <c r="Y228" s="685"/>
      <c r="Z228" s="745" t="s">
        <v>333</v>
      </c>
      <c r="AA228" s="686"/>
      <c r="AB228" s="664"/>
      <c r="AC228" s="664"/>
      <c r="AD228" s="664"/>
      <c r="AE228" s="568"/>
      <c r="AF228" s="919"/>
      <c r="AG228" s="917"/>
      <c r="AH228" s="568"/>
      <c r="AI228" s="566"/>
      <c r="AJ228" s="917"/>
      <c r="AK228" s="568"/>
      <c r="AL228" s="919"/>
      <c r="AM228" s="917"/>
      <c r="AN228" s="568"/>
      <c r="AO228" s="919"/>
      <c r="AP228" s="917"/>
      <c r="AQ228" s="568"/>
      <c r="AR228" s="919"/>
      <c r="AS228" s="917"/>
      <c r="AT228" s="568"/>
      <c r="AU228" s="919"/>
      <c r="AV228" s="917"/>
      <c r="AW228" s="568"/>
      <c r="AX228" s="919"/>
      <c r="AY228" s="917"/>
      <c r="AZ228" s="568"/>
      <c r="BA228" s="919"/>
      <c r="BB228" s="917"/>
      <c r="BC228" s="568"/>
      <c r="BD228" s="919"/>
      <c r="BE228" s="917"/>
      <c r="BF228" s="568"/>
      <c r="BG228" s="919"/>
      <c r="BH228" s="917"/>
      <c r="BI228" s="568"/>
      <c r="BJ228" s="919"/>
      <c r="BK228" s="917"/>
      <c r="BL228" s="568"/>
      <c r="BM228" s="917"/>
      <c r="BN228" s="917"/>
      <c r="BO228" s="567"/>
      <c r="BP228" s="568"/>
      <c r="BQ228" s="919"/>
      <c r="BR228" s="917"/>
      <c r="BS228" s="568"/>
      <c r="BT228" s="917"/>
      <c r="BU228" s="917"/>
      <c r="BV228" s="568"/>
      <c r="BW228" s="917"/>
      <c r="BX228" s="2551"/>
      <c r="BY228" s="568"/>
      <c r="BZ228" s="919"/>
      <c r="CA228" s="917"/>
    </row>
    <row r="229" spans="1:79" ht="18.75" customHeight="1" x14ac:dyDescent="0.4">
      <c r="A229" s="249"/>
      <c r="B229" s="249"/>
      <c r="C229" s="584" t="s">
        <v>307</v>
      </c>
      <c r="D229" s="587"/>
      <c r="E229" s="688"/>
      <c r="F229" s="845"/>
      <c r="G229" s="588"/>
      <c r="H229" s="1048"/>
      <c r="I229" s="742"/>
      <c r="J229" s="1067"/>
      <c r="K229" s="2562"/>
      <c r="L229" s="1068"/>
      <c r="M229" s="686"/>
      <c r="N229" s="745"/>
      <c r="O229" s="907"/>
      <c r="P229" s="1069"/>
      <c r="Q229" s="1070"/>
      <c r="R229" s="1071"/>
      <c r="S229" s="696"/>
      <c r="T229" s="864"/>
      <c r="U229" s="697"/>
      <c r="V229" s="886"/>
      <c r="W229" s="2841"/>
      <c r="X229" s="993"/>
      <c r="Y229" s="686"/>
      <c r="Z229" s="745"/>
      <c r="AA229" s="907"/>
      <c r="AB229" s="1023"/>
      <c r="AC229" s="1023"/>
      <c r="AD229" s="1023"/>
      <c r="AE229" s="568"/>
      <c r="AF229" s="919"/>
      <c r="AG229" s="917"/>
      <c r="AH229" s="568"/>
      <c r="AI229" s="919"/>
      <c r="AJ229" s="917"/>
      <c r="AK229" s="568"/>
      <c r="AL229" s="919"/>
      <c r="AM229" s="917"/>
      <c r="AN229" s="568"/>
      <c r="AO229" s="919"/>
      <c r="AP229" s="917"/>
      <c r="AQ229" s="568"/>
      <c r="AR229" s="919"/>
      <c r="AS229" s="917"/>
      <c r="AT229" s="568"/>
      <c r="AU229" s="919"/>
      <c r="AV229" s="917"/>
      <c r="AW229" s="568"/>
      <c r="AX229" s="919"/>
      <c r="AY229" s="917"/>
      <c r="AZ229" s="568"/>
      <c r="BA229" s="919"/>
      <c r="BB229" s="917"/>
      <c r="BC229" s="568"/>
      <c r="BD229" s="919"/>
      <c r="BE229" s="917"/>
      <c r="BF229" s="568"/>
      <c r="BG229" s="919"/>
      <c r="BH229" s="917"/>
      <c r="BI229" s="568"/>
      <c r="BJ229" s="919"/>
      <c r="BK229" s="917"/>
      <c r="BL229" s="568"/>
      <c r="BM229" s="917"/>
      <c r="BN229" s="917"/>
      <c r="BO229" s="567"/>
      <c r="BP229" s="568"/>
      <c r="BQ229" s="919"/>
      <c r="BR229" s="917"/>
      <c r="BS229" s="568"/>
      <c r="BT229" s="917"/>
      <c r="BU229" s="917"/>
      <c r="BV229" s="568"/>
      <c r="BW229" s="917"/>
      <c r="BX229" s="2551"/>
      <c r="BY229" s="568"/>
      <c r="BZ229" s="919"/>
      <c r="CA229" s="917"/>
    </row>
    <row r="230" spans="1:79" ht="18.75" customHeight="1" x14ac:dyDescent="0.4">
      <c r="A230" s="249"/>
      <c r="B230" s="249"/>
      <c r="C230" s="584" t="s">
        <v>307</v>
      </c>
      <c r="D230" s="1072"/>
      <c r="E230" s="1073"/>
      <c r="F230" s="1074"/>
      <c r="G230" s="1075"/>
      <c r="H230" s="2684"/>
      <c r="I230" s="1076"/>
      <c r="J230" s="1067"/>
      <c r="K230" s="2562"/>
      <c r="L230" s="1068"/>
      <c r="M230" s="791"/>
      <c r="N230" s="906"/>
      <c r="O230" s="907"/>
      <c r="P230" s="1069"/>
      <c r="Q230" s="1070"/>
      <c r="R230" s="1071"/>
      <c r="S230" s="696"/>
      <c r="T230" s="696"/>
      <c r="U230" s="697"/>
      <c r="V230" s="886"/>
      <c r="W230" s="2841"/>
      <c r="X230" s="993"/>
      <c r="Y230" s="791"/>
      <c r="Z230" s="906"/>
      <c r="AA230" s="907"/>
      <c r="AB230" s="1023"/>
      <c r="AC230" s="1023"/>
      <c r="AD230" s="1023"/>
      <c r="AE230" s="568"/>
      <c r="AF230" s="919"/>
      <c r="AG230" s="917"/>
      <c r="AH230" s="568"/>
      <c r="AI230" s="919"/>
      <c r="AJ230" s="917"/>
      <c r="AK230" s="568"/>
      <c r="AL230" s="919"/>
      <c r="AM230" s="917"/>
      <c r="AN230" s="568"/>
      <c r="AO230" s="919"/>
      <c r="AP230" s="917"/>
      <c r="AQ230" s="568"/>
      <c r="AR230" s="919"/>
      <c r="AS230" s="917"/>
      <c r="AT230" s="568"/>
      <c r="AU230" s="919"/>
      <c r="AV230" s="917"/>
      <c r="AW230" s="568"/>
      <c r="AX230" s="919"/>
      <c r="AY230" s="917"/>
      <c r="AZ230" s="568"/>
      <c r="BA230" s="919"/>
      <c r="BB230" s="917"/>
      <c r="BC230" s="568"/>
      <c r="BD230" s="919"/>
      <c r="BE230" s="917"/>
      <c r="BF230" s="568"/>
      <c r="BG230" s="919"/>
      <c r="BH230" s="917"/>
      <c r="BI230" s="568"/>
      <c r="BJ230" s="919"/>
      <c r="BK230" s="917"/>
      <c r="BL230" s="568"/>
      <c r="BM230" s="917"/>
      <c r="BN230" s="917"/>
      <c r="BO230" s="567"/>
      <c r="BP230" s="568"/>
      <c r="BQ230" s="919"/>
      <c r="BR230" s="917"/>
      <c r="BS230" s="568"/>
      <c r="BT230" s="917"/>
      <c r="BU230" s="917"/>
      <c r="BV230" s="568"/>
      <c r="BW230" s="917"/>
      <c r="BX230" s="2551"/>
      <c r="BY230" s="568"/>
      <c r="BZ230" s="919"/>
      <c r="CA230" s="917"/>
    </row>
    <row r="231" spans="1:79" ht="18.75" customHeight="1" x14ac:dyDescent="0.4">
      <c r="A231" s="249"/>
      <c r="B231" s="249"/>
      <c r="C231" s="584" t="s">
        <v>307</v>
      </c>
      <c r="D231" s="1072"/>
      <c r="E231" s="1073"/>
      <c r="F231" s="1074"/>
      <c r="G231" s="1075"/>
      <c r="H231" s="2684"/>
      <c r="I231" s="1076"/>
      <c r="J231" s="1067"/>
      <c r="K231" s="2562"/>
      <c r="L231" s="1068"/>
      <c r="M231" s="791"/>
      <c r="N231" s="906"/>
      <c r="O231" s="907"/>
      <c r="P231" s="1069"/>
      <c r="Q231" s="1070"/>
      <c r="R231" s="1071"/>
      <c r="S231" s="696"/>
      <c r="T231" s="696"/>
      <c r="U231" s="697"/>
      <c r="V231" s="886"/>
      <c r="W231" s="2841"/>
      <c r="X231" s="993"/>
      <c r="Y231" s="791"/>
      <c r="Z231" s="906"/>
      <c r="AA231" s="907"/>
      <c r="AB231" s="1023"/>
      <c r="AC231" s="1023"/>
      <c r="AD231" s="1023"/>
      <c r="AE231" s="568"/>
      <c r="AF231" s="919"/>
      <c r="AG231" s="917"/>
      <c r="AH231" s="568"/>
      <c r="AI231" s="919"/>
      <c r="AJ231" s="917"/>
      <c r="AK231" s="568"/>
      <c r="AL231" s="919"/>
      <c r="AM231" s="917"/>
      <c r="AN231" s="568"/>
      <c r="AO231" s="919"/>
      <c r="AP231" s="917"/>
      <c r="AQ231" s="568"/>
      <c r="AR231" s="919"/>
      <c r="AS231" s="917"/>
      <c r="AT231" s="568"/>
      <c r="AU231" s="919"/>
      <c r="AV231" s="917"/>
      <c r="AW231" s="568"/>
      <c r="AX231" s="919"/>
      <c r="AY231" s="917"/>
      <c r="AZ231" s="568"/>
      <c r="BA231" s="919"/>
      <c r="BB231" s="917"/>
      <c r="BC231" s="568"/>
      <c r="BD231" s="919"/>
      <c r="BE231" s="917"/>
      <c r="BF231" s="568"/>
      <c r="BG231" s="919"/>
      <c r="BH231" s="917"/>
      <c r="BI231" s="568"/>
      <c r="BJ231" s="919"/>
      <c r="BK231" s="917"/>
      <c r="BL231" s="568"/>
      <c r="BM231" s="917"/>
      <c r="BN231" s="917"/>
      <c r="BO231" s="567"/>
      <c r="BP231" s="568"/>
      <c r="BQ231" s="919"/>
      <c r="BR231" s="917"/>
      <c r="BS231" s="568"/>
      <c r="BT231" s="917"/>
      <c r="BU231" s="917"/>
      <c r="BV231" s="568"/>
      <c r="BW231" s="917"/>
      <c r="BX231" s="2551"/>
      <c r="BY231" s="568"/>
      <c r="BZ231" s="919"/>
      <c r="CA231" s="917"/>
    </row>
    <row r="232" spans="1:79" ht="20.85" customHeight="1" x14ac:dyDescent="0.4">
      <c r="A232" s="249"/>
      <c r="B232" s="249"/>
      <c r="C232" s="584" t="s">
        <v>307</v>
      </c>
      <c r="D232" s="1072"/>
      <c r="E232" s="1073"/>
      <c r="F232" s="1074"/>
      <c r="G232" s="1075"/>
      <c r="H232" s="2684"/>
      <c r="I232" s="1076"/>
      <c r="J232" s="635"/>
      <c r="K232" s="2562"/>
      <c r="L232" s="849"/>
      <c r="M232" s="915"/>
      <c r="N232" s="928"/>
      <c r="O232" s="915"/>
      <c r="P232" s="795"/>
      <c r="Q232" s="769"/>
      <c r="R232" s="999"/>
      <c r="S232" s="696"/>
      <c r="T232" s="764"/>
      <c r="U232" s="903"/>
      <c r="V232" s="886"/>
      <c r="W232" s="2841"/>
      <c r="X232" s="993"/>
      <c r="Y232" s="915"/>
      <c r="Z232" s="928"/>
      <c r="AA232" s="915"/>
      <c r="AB232" s="1023"/>
      <c r="AC232" s="1023"/>
      <c r="AD232" s="1023"/>
      <c r="AE232" s="568"/>
      <c r="AF232" s="919"/>
      <c r="AG232" s="917"/>
      <c r="AH232" s="568"/>
      <c r="AI232" s="919"/>
      <c r="AJ232" s="917"/>
      <c r="AK232" s="568"/>
      <c r="AL232" s="919"/>
      <c r="AM232" s="917"/>
      <c r="AN232" s="568"/>
      <c r="AO232" s="919"/>
      <c r="AP232" s="917"/>
      <c r="AQ232" s="568"/>
      <c r="AR232" s="919"/>
      <c r="AS232" s="917"/>
      <c r="AT232" s="568"/>
      <c r="AU232" s="919"/>
      <c r="AV232" s="917"/>
      <c r="AW232" s="568"/>
      <c r="AX232" s="919"/>
      <c r="AY232" s="917"/>
      <c r="AZ232" s="568"/>
      <c r="BA232" s="919"/>
      <c r="BB232" s="917"/>
      <c r="BC232" s="568"/>
      <c r="BD232" s="919"/>
      <c r="BE232" s="917"/>
      <c r="BF232" s="568"/>
      <c r="BG232" s="919"/>
      <c r="BH232" s="917"/>
      <c r="BI232" s="568"/>
      <c r="BJ232" s="919"/>
      <c r="BK232" s="917"/>
      <c r="BL232" s="568"/>
      <c r="BM232" s="917"/>
      <c r="BN232" s="917"/>
      <c r="BO232" s="567"/>
      <c r="BP232" s="568"/>
      <c r="BQ232" s="919"/>
      <c r="BR232" s="917"/>
      <c r="BS232" s="568"/>
      <c r="BT232" s="917"/>
      <c r="BU232" s="917"/>
      <c r="BV232" s="568"/>
      <c r="BW232" s="759"/>
      <c r="BX232" s="2551"/>
      <c r="BY232" s="568"/>
      <c r="BZ232" s="919"/>
      <c r="CA232" s="917"/>
    </row>
    <row r="233" spans="1:79" ht="14.85" customHeight="1" x14ac:dyDescent="0.4">
      <c r="A233" s="249"/>
      <c r="B233" s="249"/>
      <c r="C233" s="584">
        <v>0.53472222222222199</v>
      </c>
      <c r="D233" s="587"/>
      <c r="E233" s="688"/>
      <c r="F233" s="688"/>
      <c r="G233" s="588"/>
      <c r="H233" s="1048"/>
      <c r="I233" s="847"/>
      <c r="J233" s="635"/>
      <c r="K233" s="2563"/>
      <c r="L233" s="849"/>
      <c r="M233" s="915"/>
      <c r="N233" s="928"/>
      <c r="O233" s="915"/>
      <c r="P233" s="977"/>
      <c r="Q233" s="707"/>
      <c r="R233" s="999"/>
      <c r="S233" s="696"/>
      <c r="T233" s="696"/>
      <c r="U233" s="903"/>
      <c r="V233" s="886"/>
      <c r="W233" s="2841"/>
      <c r="X233" s="993"/>
      <c r="Y233" s="915"/>
      <c r="Z233" s="928"/>
      <c r="AA233" s="915"/>
      <c r="AB233" s="908"/>
      <c r="AC233" s="908"/>
      <c r="AD233" s="908"/>
      <c r="AE233" s="568"/>
      <c r="AF233" s="777"/>
      <c r="AG233" s="759"/>
      <c r="AH233" s="568"/>
      <c r="AI233" s="777"/>
      <c r="AJ233" s="759"/>
      <c r="AK233" s="568"/>
      <c r="AL233" s="777"/>
      <c r="AM233" s="759"/>
      <c r="AN233" s="568"/>
      <c r="AO233" s="777"/>
      <c r="AP233" s="759"/>
      <c r="AQ233" s="568"/>
      <c r="AR233" s="777"/>
      <c r="AS233" s="759"/>
      <c r="AT233" s="568"/>
      <c r="AU233" s="777"/>
      <c r="AV233" s="759"/>
      <c r="AW233" s="568"/>
      <c r="AX233" s="777"/>
      <c r="AY233" s="759"/>
      <c r="AZ233" s="568"/>
      <c r="BA233" s="777"/>
      <c r="BB233" s="759"/>
      <c r="BC233" s="568"/>
      <c r="BD233" s="777"/>
      <c r="BE233" s="759"/>
      <c r="BF233" s="568"/>
      <c r="BG233" s="777"/>
      <c r="BH233" s="759"/>
      <c r="BI233" s="568"/>
      <c r="BJ233" s="777"/>
      <c r="BK233" s="759"/>
      <c r="BL233" s="568"/>
      <c r="BM233" s="759"/>
      <c r="BN233" s="759"/>
      <c r="BO233" s="567"/>
      <c r="BP233" s="568"/>
      <c r="BQ233" s="777"/>
      <c r="BR233" s="759"/>
      <c r="BS233" s="568"/>
      <c r="BT233" s="759"/>
      <c r="BU233" s="759"/>
      <c r="BV233" s="568"/>
      <c r="BW233" s="917"/>
      <c r="BX233" s="909"/>
      <c r="BY233" s="568"/>
      <c r="BZ233" s="777"/>
      <c r="CA233" s="759"/>
    </row>
    <row r="234" spans="1:79" ht="24.6" customHeight="1" x14ac:dyDescent="0.4">
      <c r="A234" s="249"/>
      <c r="B234" s="249"/>
      <c r="C234" s="584" t="s">
        <v>307</v>
      </c>
      <c r="D234" s="587"/>
      <c r="E234" s="688"/>
      <c r="F234" s="688"/>
      <c r="G234" s="588"/>
      <c r="H234" s="1048"/>
      <c r="I234" s="847"/>
      <c r="J234" s="635"/>
      <c r="K234" s="2562"/>
      <c r="L234" s="849"/>
      <c r="M234" s="915"/>
      <c r="N234" s="739" t="s">
        <v>372</v>
      </c>
      <c r="O234" s="915"/>
      <c r="P234" s="977"/>
      <c r="Q234" s="707"/>
      <c r="R234" s="999"/>
      <c r="S234" s="764"/>
      <c r="T234" s="1077"/>
      <c r="U234" s="1078"/>
      <c r="V234" s="683"/>
      <c r="W234" s="2841"/>
      <c r="X234" s="1079"/>
      <c r="Y234" s="915"/>
      <c r="Z234" s="739" t="s">
        <v>372</v>
      </c>
      <c r="AA234" s="915"/>
      <c r="AB234" s="908"/>
      <c r="AC234" s="908"/>
      <c r="AD234" s="908"/>
      <c r="AE234" s="568"/>
      <c r="AF234" s="919"/>
      <c r="AG234" s="917"/>
      <c r="AH234" s="568"/>
      <c r="AI234" s="919"/>
      <c r="AJ234" s="917"/>
      <c r="AK234" s="568"/>
      <c r="AL234" s="777"/>
      <c r="AM234" s="759"/>
      <c r="AN234" s="568"/>
      <c r="AO234" s="777"/>
      <c r="AP234" s="759"/>
      <c r="AQ234" s="568"/>
      <c r="AR234" s="777"/>
      <c r="AS234" s="759"/>
      <c r="AT234" s="568"/>
      <c r="AU234" s="777"/>
      <c r="AV234" s="759"/>
      <c r="AW234" s="568"/>
      <c r="AX234" s="777"/>
      <c r="AY234" s="759"/>
      <c r="AZ234" s="568"/>
      <c r="BA234" s="777"/>
      <c r="BB234" s="759"/>
      <c r="BC234" s="568"/>
      <c r="BD234" s="919"/>
      <c r="BE234" s="917"/>
      <c r="BF234" s="568"/>
      <c r="BG234" s="777"/>
      <c r="BH234" s="759"/>
      <c r="BI234" s="568"/>
      <c r="BJ234" s="777"/>
      <c r="BK234" s="759"/>
      <c r="BL234" s="568"/>
      <c r="BM234" s="917"/>
      <c r="BN234" s="917"/>
      <c r="BO234" s="567"/>
      <c r="BP234" s="568"/>
      <c r="BQ234" s="919"/>
      <c r="BR234" s="917"/>
      <c r="BS234" s="568"/>
      <c r="BT234" s="917"/>
      <c r="BU234" s="917"/>
      <c r="BV234" s="568"/>
      <c r="BW234" s="917"/>
      <c r="BX234" s="2551"/>
      <c r="BY234" s="2597"/>
      <c r="BZ234" s="2808"/>
      <c r="CA234" s="2807"/>
    </row>
    <row r="235" spans="1:79" ht="43.5" customHeight="1" x14ac:dyDescent="0.4">
      <c r="A235" s="249"/>
      <c r="B235" s="249"/>
      <c r="C235" s="802">
        <v>0.53819444444444398</v>
      </c>
      <c r="D235" s="587"/>
      <c r="E235" s="872"/>
      <c r="F235" s="688"/>
      <c r="G235" s="588"/>
      <c r="H235" s="2685"/>
      <c r="I235" s="847"/>
      <c r="J235" s="1004"/>
      <c r="K235" s="2686"/>
      <c r="L235" s="1080"/>
      <c r="M235" s="686"/>
      <c r="N235" s="1083"/>
      <c r="O235" s="1083"/>
      <c r="P235" s="1081"/>
      <c r="Q235" s="769"/>
      <c r="R235" s="1082"/>
      <c r="S235" s="696"/>
      <c r="T235" s="1017"/>
      <c r="U235" s="1008"/>
      <c r="V235" s="709"/>
      <c r="W235" s="2842"/>
      <c r="X235" s="709"/>
      <c r="Y235" s="686"/>
      <c r="Z235" s="1083"/>
      <c r="AA235" s="1083"/>
      <c r="AB235" s="1084"/>
      <c r="AC235" s="1084"/>
      <c r="AD235" s="1084"/>
      <c r="AE235" s="583"/>
      <c r="AF235" s="643" t="s">
        <v>373</v>
      </c>
      <c r="AG235" s="646"/>
      <c r="AH235" s="583"/>
      <c r="AI235" s="643" t="s">
        <v>373</v>
      </c>
      <c r="AJ235" s="646"/>
      <c r="AK235" s="583"/>
      <c r="AL235" s="643" t="s">
        <v>373</v>
      </c>
      <c r="AM235" s="646"/>
      <c r="AN235" s="583"/>
      <c r="AO235" s="643" t="s">
        <v>373</v>
      </c>
      <c r="AP235" s="646"/>
      <c r="AQ235" s="583"/>
      <c r="AR235" s="643" t="s">
        <v>373</v>
      </c>
      <c r="AS235" s="646"/>
      <c r="AT235" s="583"/>
      <c r="AU235" s="643" t="s">
        <v>373</v>
      </c>
      <c r="AV235" s="646"/>
      <c r="AW235" s="583"/>
      <c r="AX235" s="643" t="s">
        <v>373</v>
      </c>
      <c r="AY235" s="646"/>
      <c r="AZ235" s="583"/>
      <c r="BA235" s="643" t="s">
        <v>373</v>
      </c>
      <c r="BB235" s="646"/>
      <c r="BC235" s="583"/>
      <c r="BD235" s="643" t="s">
        <v>373</v>
      </c>
      <c r="BE235" s="646"/>
      <c r="BF235" s="583"/>
      <c r="BG235" s="643" t="s">
        <v>373</v>
      </c>
      <c r="BH235" s="646"/>
      <c r="BI235" s="583"/>
      <c r="BJ235" s="643" t="s">
        <v>373</v>
      </c>
      <c r="BK235" s="646"/>
      <c r="BL235" s="948"/>
      <c r="BM235" s="948"/>
      <c r="BN235" s="948"/>
      <c r="BO235" s="1086"/>
      <c r="BP235" s="1086"/>
      <c r="BQ235" s="1086"/>
      <c r="BR235" s="1086"/>
      <c r="BS235" s="948"/>
      <c r="BT235" s="948"/>
      <c r="BU235" s="948"/>
      <c r="BV235" s="948"/>
      <c r="BW235" s="948"/>
      <c r="BX235" s="948"/>
      <c r="BY235" s="1085"/>
      <c r="BZ235" s="1085"/>
      <c r="CA235" s="1085"/>
    </row>
    <row r="236" spans="1:79" ht="29.1" customHeight="1" x14ac:dyDescent="0.4">
      <c r="A236" s="249"/>
      <c r="B236" s="249"/>
      <c r="C236" s="1087">
        <v>0.54166666666666596</v>
      </c>
      <c r="D236" s="1088"/>
      <c r="E236" s="1089"/>
      <c r="F236" s="1090"/>
      <c r="G236" s="1091"/>
      <c r="H236" s="2568" t="s">
        <v>358</v>
      </c>
      <c r="I236" s="1092"/>
      <c r="J236" s="1093"/>
      <c r="K236" s="1000"/>
      <c r="L236" s="630"/>
      <c r="M236" s="827"/>
      <c r="N236" s="1099" t="s">
        <v>330</v>
      </c>
      <c r="O236" s="1100"/>
      <c r="P236" s="1094"/>
      <c r="Q236" s="1095" t="s">
        <v>374</v>
      </c>
      <c r="R236" s="1096"/>
      <c r="S236" s="1094"/>
      <c r="T236" s="1095" t="s">
        <v>375</v>
      </c>
      <c r="U236" s="1096"/>
      <c r="V236" s="1097"/>
      <c r="W236" s="1098" t="s">
        <v>376</v>
      </c>
      <c r="X236" s="1097"/>
      <c r="Y236" s="827"/>
      <c r="Z236" s="1099" t="s">
        <v>330</v>
      </c>
      <c r="AA236" s="1100"/>
      <c r="AB236" s="1101"/>
      <c r="AC236" s="1102"/>
      <c r="AD236" s="1101"/>
      <c r="AE236" s="1103"/>
      <c r="AF236" s="1104" t="s">
        <v>377</v>
      </c>
      <c r="AG236" s="1105"/>
      <c r="AH236" s="1103"/>
      <c r="AI236" s="1104" t="s">
        <v>377</v>
      </c>
      <c r="AJ236" s="1105"/>
      <c r="AK236" s="1103"/>
      <c r="AL236" s="1104" t="s">
        <v>377</v>
      </c>
      <c r="AM236" s="1106"/>
      <c r="AN236" s="1103"/>
      <c r="AO236" s="1104" t="s">
        <v>377</v>
      </c>
      <c r="AP236" s="1106"/>
      <c r="AQ236" s="1103"/>
      <c r="AR236" s="1104" t="s">
        <v>377</v>
      </c>
      <c r="AS236" s="1106"/>
      <c r="AT236" s="1103"/>
      <c r="AU236" s="1104" t="s">
        <v>377</v>
      </c>
      <c r="AV236" s="1106"/>
      <c r="AW236" s="1103"/>
      <c r="AX236" s="1104" t="s">
        <v>377</v>
      </c>
      <c r="AY236" s="1105"/>
      <c r="AZ236" s="1103"/>
      <c r="BA236" s="1104" t="s">
        <v>377</v>
      </c>
      <c r="BB236" s="1105"/>
      <c r="BC236" s="1103"/>
      <c r="BD236" s="1104" t="s">
        <v>377</v>
      </c>
      <c r="BE236" s="1105"/>
      <c r="BF236" s="1103"/>
      <c r="BG236" s="1104" t="s">
        <v>377</v>
      </c>
      <c r="BH236" s="1105"/>
      <c r="BI236" s="1103"/>
      <c r="BJ236" s="1104" t="s">
        <v>377</v>
      </c>
      <c r="BK236" s="1105"/>
      <c r="BL236" s="568"/>
      <c r="BM236" s="786"/>
      <c r="BN236" s="567"/>
      <c r="BO236" s="1110"/>
      <c r="BP236" s="1111"/>
      <c r="BQ236" s="1112"/>
      <c r="BR236" s="1110"/>
      <c r="BS236" s="568"/>
      <c r="BT236" s="786"/>
      <c r="BU236" s="567"/>
      <c r="BV236" s="568"/>
      <c r="BW236" s="786"/>
      <c r="BX236" s="567"/>
      <c r="BY236" s="1108"/>
      <c r="BZ236" s="1109"/>
      <c r="CA236" s="1107"/>
    </row>
    <row r="237" spans="1:79" ht="31.5" customHeight="1" x14ac:dyDescent="0.4">
      <c r="A237" s="249"/>
      <c r="B237" s="249"/>
      <c r="C237" s="1087">
        <v>0.54166666666666596</v>
      </c>
      <c r="D237" s="1113"/>
      <c r="E237" s="1114"/>
      <c r="F237" s="1115"/>
      <c r="G237" s="1116"/>
      <c r="H237" s="1117"/>
      <c r="I237" s="1118"/>
      <c r="J237" s="1119"/>
      <c r="K237" s="848"/>
      <c r="L237" s="1120"/>
      <c r="M237" s="686"/>
      <c r="N237" s="1126" t="s">
        <v>333</v>
      </c>
      <c r="O237" s="907"/>
      <c r="P237" s="1121"/>
      <c r="Q237" s="1122" t="s">
        <v>378</v>
      </c>
      <c r="R237" s="1123"/>
      <c r="S237" s="696"/>
      <c r="T237" s="1124" t="s">
        <v>379</v>
      </c>
      <c r="U237" s="903"/>
      <c r="V237" s="683"/>
      <c r="W237" s="1125" t="s">
        <v>371</v>
      </c>
      <c r="X237" s="1079"/>
      <c r="Y237" s="686"/>
      <c r="Z237" s="1126" t="s">
        <v>333</v>
      </c>
      <c r="AA237" s="907"/>
      <c r="AB237" s="271"/>
      <c r="AC237" s="271"/>
      <c r="AD237" s="271"/>
      <c r="AE237" s="719"/>
      <c r="AF237" s="719" t="s">
        <v>324</v>
      </c>
      <c r="AG237" s="719"/>
      <c r="AH237" s="719"/>
      <c r="AI237" s="719" t="s">
        <v>324</v>
      </c>
      <c r="AJ237" s="719"/>
      <c r="AK237" s="719"/>
      <c r="AL237" s="719" t="s">
        <v>324</v>
      </c>
      <c r="AM237" s="719"/>
      <c r="AN237" s="719"/>
      <c r="AO237" s="719" t="s">
        <v>324</v>
      </c>
      <c r="AP237" s="719"/>
      <c r="AQ237" s="719"/>
      <c r="AR237" s="719" t="s">
        <v>324</v>
      </c>
      <c r="AS237" s="719"/>
      <c r="AT237" s="719"/>
      <c r="AU237" s="719" t="s">
        <v>324</v>
      </c>
      <c r="AV237" s="719"/>
      <c r="AW237" s="719"/>
      <c r="AX237" s="719" t="s">
        <v>324</v>
      </c>
      <c r="AY237" s="719"/>
      <c r="AZ237" s="719"/>
      <c r="BA237" s="719" t="s">
        <v>324</v>
      </c>
      <c r="BB237" s="719"/>
      <c r="BC237" s="719"/>
      <c r="BD237" s="719" t="s">
        <v>324</v>
      </c>
      <c r="BE237" s="719"/>
      <c r="BF237" s="719"/>
      <c r="BG237" s="719" t="s">
        <v>324</v>
      </c>
      <c r="BH237" s="719"/>
      <c r="BI237" s="719"/>
      <c r="BJ237" s="719" t="s">
        <v>324</v>
      </c>
      <c r="BK237" s="719"/>
      <c r="BL237" s="892"/>
      <c r="BM237" s="1129"/>
      <c r="BN237" s="1130"/>
      <c r="BO237" s="1131"/>
      <c r="BP237" s="1131"/>
      <c r="BQ237" s="1132"/>
      <c r="BR237" s="1133"/>
      <c r="BS237" s="892"/>
      <c r="BT237" s="1129"/>
      <c r="BU237" s="1130"/>
      <c r="BV237" s="892"/>
      <c r="BW237" s="1129"/>
      <c r="BX237" s="1130"/>
      <c r="BY237" s="1097"/>
      <c r="BZ237" s="1127"/>
      <c r="CA237" s="1128"/>
    </row>
    <row r="238" spans="1:79" ht="33" customHeight="1" x14ac:dyDescent="0.4">
      <c r="A238" s="249"/>
      <c r="B238" s="249"/>
      <c r="C238" s="584" t="s">
        <v>307</v>
      </c>
      <c r="D238" s="844"/>
      <c r="E238" s="688"/>
      <c r="F238" s="845"/>
      <c r="G238" s="846"/>
      <c r="H238" s="594"/>
      <c r="I238" s="847"/>
      <c r="J238" s="582"/>
      <c r="K238" s="848"/>
      <c r="L238" s="849"/>
      <c r="M238" s="686"/>
      <c r="N238" s="1126"/>
      <c r="O238" s="907"/>
      <c r="P238" s="1134"/>
      <c r="Q238" s="1135" t="s">
        <v>380</v>
      </c>
      <c r="R238" s="902"/>
      <c r="S238" s="696"/>
      <c r="T238" s="1136" t="s">
        <v>381</v>
      </c>
      <c r="U238" s="903"/>
      <c r="V238" s="683"/>
      <c r="W238" s="1125" t="s">
        <v>334</v>
      </c>
      <c r="X238" s="1079"/>
      <c r="Y238" s="686"/>
      <c r="Z238" s="1126"/>
      <c r="AA238" s="907"/>
      <c r="AB238" s="271"/>
      <c r="AC238" s="271"/>
      <c r="AD238" s="271"/>
      <c r="AE238" s="1137"/>
      <c r="AF238" s="1138" t="s">
        <v>382</v>
      </c>
      <c r="AG238" s="1137"/>
      <c r="AH238" s="100"/>
      <c r="AI238" s="1164"/>
      <c r="AJ238" s="102"/>
      <c r="AK238" s="1140"/>
      <c r="AL238" s="157"/>
      <c r="AM238" s="1141"/>
      <c r="AN238" s="1140"/>
      <c r="AO238" s="1142"/>
      <c r="AP238" s="1141"/>
      <c r="AQ238" s="1140"/>
      <c r="AR238" s="1142"/>
      <c r="AS238" s="1141"/>
      <c r="AT238" s="1140"/>
      <c r="AU238" s="1142"/>
      <c r="AV238" s="1141"/>
      <c r="AW238" s="1143"/>
      <c r="AX238" s="1144"/>
      <c r="AY238" s="607"/>
      <c r="AZ238" s="1140"/>
      <c r="BA238" s="1142"/>
      <c r="BB238" s="1141"/>
      <c r="BC238" s="1140"/>
      <c r="BD238" s="1142"/>
      <c r="BE238" s="1141"/>
      <c r="BF238" s="1145"/>
      <c r="BG238" s="1144"/>
      <c r="BH238" s="607"/>
      <c r="BI238" s="1145"/>
      <c r="BJ238" s="2810" t="s">
        <v>383</v>
      </c>
      <c r="BK238" s="607"/>
      <c r="BL238" s="1150"/>
      <c r="BM238" s="1151"/>
      <c r="BN238" s="1152"/>
      <c r="BO238" s="1153"/>
      <c r="BP238" s="1153"/>
      <c r="BQ238" s="1154"/>
      <c r="BR238" s="1155"/>
      <c r="BS238" s="1150"/>
      <c r="BT238" s="1151"/>
      <c r="BU238" s="1152"/>
      <c r="BV238" s="1150"/>
      <c r="BW238" s="1151"/>
      <c r="BX238" s="1152"/>
      <c r="BY238" s="1147"/>
      <c r="BZ238" s="1148"/>
      <c r="CA238" s="1149"/>
    </row>
    <row r="239" spans="1:79" ht="33.75" customHeight="1" x14ac:dyDescent="0.4">
      <c r="A239" s="249"/>
      <c r="B239" s="249"/>
      <c r="C239" s="584" t="s">
        <v>307</v>
      </c>
      <c r="D239" s="844"/>
      <c r="E239" s="688"/>
      <c r="F239" s="845"/>
      <c r="G239" s="846"/>
      <c r="H239" s="594"/>
      <c r="I239" s="847"/>
      <c r="J239" s="635"/>
      <c r="K239" s="1000"/>
      <c r="L239" s="849"/>
      <c r="M239" s="685"/>
      <c r="N239" s="1126"/>
      <c r="O239" s="907"/>
      <c r="P239" s="795"/>
      <c r="Q239" s="707"/>
      <c r="R239" s="852"/>
      <c r="S239" s="696"/>
      <c r="T239" s="1136" t="s">
        <v>384</v>
      </c>
      <c r="U239" s="903"/>
      <c r="V239" s="683"/>
      <c r="W239" s="1156"/>
      <c r="X239" s="1079"/>
      <c r="Y239" s="685"/>
      <c r="Z239" s="1126"/>
      <c r="AA239" s="907"/>
      <c r="AB239" s="271"/>
      <c r="AC239" s="271"/>
      <c r="AD239" s="271"/>
      <c r="AE239" s="1157"/>
      <c r="AF239" s="1158" t="s">
        <v>356</v>
      </c>
      <c r="AG239" s="1157"/>
      <c r="AH239" s="1159"/>
      <c r="AI239" s="1164"/>
      <c r="AJ239" s="1160"/>
      <c r="AK239" s="1140"/>
      <c r="AL239" s="157"/>
      <c r="AM239" s="1141"/>
      <c r="AN239" s="1140"/>
      <c r="AO239" s="1142"/>
      <c r="AP239" s="1141"/>
      <c r="AQ239" s="1140"/>
      <c r="AR239" s="1142"/>
      <c r="AS239" s="1141"/>
      <c r="AT239" s="1140"/>
      <c r="AU239" s="1142"/>
      <c r="AV239" s="1141"/>
      <c r="AW239" s="1143"/>
      <c r="AX239" s="1144"/>
      <c r="AY239" s="607"/>
      <c r="AZ239" s="1140"/>
      <c r="BA239" s="1142"/>
      <c r="BB239" s="1141"/>
      <c r="BC239" s="1140"/>
      <c r="BD239" s="1142"/>
      <c r="BE239" s="1141"/>
      <c r="BF239" s="1145"/>
      <c r="BG239" s="1144"/>
      <c r="BH239" s="607"/>
      <c r="BI239" s="1145"/>
      <c r="BJ239" s="2810" t="s">
        <v>385</v>
      </c>
      <c r="BK239" s="607"/>
      <c r="BL239" s="978"/>
      <c r="BM239" s="1151"/>
      <c r="BN239" s="567"/>
      <c r="BO239" s="1110"/>
      <c r="BP239" s="1162"/>
      <c r="BQ239" s="1154"/>
      <c r="BR239" s="1110"/>
      <c r="BS239" s="978"/>
      <c r="BT239" s="1151"/>
      <c r="BU239" s="567"/>
      <c r="BV239" s="978"/>
      <c r="BW239" s="1151"/>
      <c r="BX239" s="567"/>
      <c r="BY239" s="1161"/>
      <c r="BZ239" s="1148"/>
      <c r="CA239" s="1107"/>
    </row>
    <row r="240" spans="1:79" ht="18" customHeight="1" x14ac:dyDescent="0.4">
      <c r="A240" s="249"/>
      <c r="B240" s="249"/>
      <c r="C240" s="584" t="s">
        <v>307</v>
      </c>
      <c r="D240" s="587"/>
      <c r="E240" s="688"/>
      <c r="F240" s="688"/>
      <c r="G240" s="588"/>
      <c r="H240" s="594"/>
      <c r="I240" s="847"/>
      <c r="J240" s="635"/>
      <c r="K240" s="848"/>
      <c r="L240" s="849"/>
      <c r="M240" s="685"/>
      <c r="N240" s="1163"/>
      <c r="O240" s="907"/>
      <c r="P240" s="795"/>
      <c r="Q240" s="769"/>
      <c r="R240" s="852"/>
      <c r="S240" s="696"/>
      <c r="T240" s="696"/>
      <c r="U240" s="903"/>
      <c r="V240" s="709"/>
      <c r="W240" s="1156"/>
      <c r="X240" s="684"/>
      <c r="Y240" s="685"/>
      <c r="Z240" s="1163"/>
      <c r="AA240" s="907"/>
      <c r="AB240" s="271"/>
      <c r="AC240" s="271"/>
      <c r="AD240" s="271"/>
      <c r="AE240" s="1157"/>
      <c r="AF240" s="1158"/>
      <c r="AG240" s="1157"/>
      <c r="AH240" s="1164"/>
      <c r="AI240" s="1164"/>
      <c r="AJ240" s="1165"/>
      <c r="AK240" s="1140"/>
      <c r="AL240" s="157"/>
      <c r="AM240" s="1141"/>
      <c r="AN240" s="1140"/>
      <c r="AO240" s="1142"/>
      <c r="AP240" s="1141"/>
      <c r="AQ240" s="1140"/>
      <c r="AR240" s="1142"/>
      <c r="AS240" s="1141"/>
      <c r="AT240" s="1140"/>
      <c r="AU240" s="1142"/>
      <c r="AV240" s="1141"/>
      <c r="AW240" s="1140"/>
      <c r="AX240" s="1166"/>
      <c r="AY240" s="1167"/>
      <c r="AZ240" s="1140"/>
      <c r="BA240" s="1142"/>
      <c r="BB240" s="1141"/>
      <c r="BC240" s="1140"/>
      <c r="BD240" s="1142"/>
      <c r="BE240" s="1141"/>
      <c r="BF240" s="1145"/>
      <c r="BG240" s="1144"/>
      <c r="BH240" s="607"/>
      <c r="BI240" s="1145"/>
      <c r="BJ240" s="1169"/>
      <c r="BK240" s="607"/>
      <c r="BL240" s="568"/>
      <c r="BM240" s="567"/>
      <c r="BN240" s="567"/>
      <c r="BO240" s="1110"/>
      <c r="BP240" s="1111"/>
      <c r="BQ240" s="1110"/>
      <c r="BR240" s="1110"/>
      <c r="BS240" s="568"/>
      <c r="BT240" s="567"/>
      <c r="BU240" s="567"/>
      <c r="BV240" s="568"/>
      <c r="BW240" s="567"/>
      <c r="BX240" s="567"/>
      <c r="BY240" s="1108"/>
      <c r="BZ240" s="1107"/>
      <c r="CA240" s="1107"/>
    </row>
    <row r="241" spans="1:79" ht="43.35" customHeight="1" x14ac:dyDescent="0.4">
      <c r="A241" s="249"/>
      <c r="B241" s="249"/>
      <c r="C241" s="584" t="s">
        <v>307</v>
      </c>
      <c r="D241" s="587"/>
      <c r="E241" s="688"/>
      <c r="F241" s="688"/>
      <c r="G241" s="588"/>
      <c r="H241" s="594"/>
      <c r="I241" s="847"/>
      <c r="J241" s="635"/>
      <c r="K241" s="848"/>
      <c r="L241" s="849"/>
      <c r="M241" s="685"/>
      <c r="N241" s="1083"/>
      <c r="O241" s="1171"/>
      <c r="P241" s="795"/>
      <c r="Q241" s="769"/>
      <c r="R241" s="852"/>
      <c r="S241" s="696"/>
      <c r="T241" s="696"/>
      <c r="U241" s="903"/>
      <c r="V241" s="709"/>
      <c r="W241" s="1170"/>
      <c r="X241" s="684"/>
      <c r="Y241" s="685"/>
      <c r="Z241" s="1083"/>
      <c r="AA241" s="1171"/>
      <c r="AB241" s="271"/>
      <c r="AC241" s="271"/>
      <c r="AD241" s="271"/>
      <c r="AE241" s="607"/>
      <c r="AF241" s="1145"/>
      <c r="AG241" s="1172"/>
      <c r="AH241" s="1140"/>
      <c r="AI241" s="1142"/>
      <c r="AJ241" s="1141"/>
      <c r="AK241" s="1140"/>
      <c r="AL241" s="1142"/>
      <c r="AM241" s="1141"/>
      <c r="AN241" s="1140"/>
      <c r="AO241" s="1142"/>
      <c r="AP241" s="1141"/>
      <c r="AQ241" s="1140"/>
      <c r="AR241" s="1142"/>
      <c r="AS241" s="1141"/>
      <c r="AT241" s="1140"/>
      <c r="AU241" s="1142"/>
      <c r="AV241" s="1141"/>
      <c r="AW241" s="1143"/>
      <c r="AX241" s="1173"/>
      <c r="AY241" s="607"/>
      <c r="AZ241" s="1140"/>
      <c r="BA241" s="1142"/>
      <c r="BB241" s="1141"/>
      <c r="BC241" s="1140"/>
      <c r="BD241" s="1142"/>
      <c r="BE241" s="1141"/>
      <c r="BF241" s="1145"/>
      <c r="BG241" s="1144"/>
      <c r="BH241" s="607"/>
      <c r="BI241" s="1145"/>
      <c r="BJ241" s="2598"/>
      <c r="BK241" s="607"/>
      <c r="BL241" s="568"/>
      <c r="BM241" s="978"/>
      <c r="BN241" s="1177"/>
      <c r="BO241" s="1178"/>
      <c r="BP241" s="1111"/>
      <c r="BQ241" s="1162"/>
      <c r="BR241" s="1179"/>
      <c r="BS241" s="568"/>
      <c r="BT241" s="978"/>
      <c r="BU241" s="1177"/>
      <c r="BV241" s="568"/>
      <c r="BW241" s="978"/>
      <c r="BX241" s="1177"/>
      <c r="BY241" s="1108"/>
      <c r="BZ241" s="1161"/>
      <c r="CA241" s="1176"/>
    </row>
    <row r="242" spans="1:79" ht="20.100000000000001" customHeight="1" x14ac:dyDescent="0.4">
      <c r="A242" s="249"/>
      <c r="B242" s="249"/>
      <c r="C242" s="584"/>
      <c r="D242" s="587"/>
      <c r="E242" s="688"/>
      <c r="F242" s="688"/>
      <c r="G242" s="588"/>
      <c r="H242" s="594"/>
      <c r="I242" s="847"/>
      <c r="J242" s="635"/>
      <c r="K242" s="1000"/>
      <c r="L242" s="849"/>
      <c r="M242" s="685"/>
      <c r="N242" s="1083"/>
      <c r="O242" s="1171"/>
      <c r="P242" s="795"/>
      <c r="Q242" s="769"/>
      <c r="R242" s="852"/>
      <c r="S242" s="696"/>
      <c r="T242" s="696"/>
      <c r="U242" s="903"/>
      <c r="V242" s="709"/>
      <c r="W242" s="1156"/>
      <c r="X242" s="684"/>
      <c r="Y242" s="685"/>
      <c r="Z242" s="1083"/>
      <c r="AA242" s="1171"/>
      <c r="AB242" s="271"/>
      <c r="AC242" s="271"/>
      <c r="AD242" s="271"/>
      <c r="AE242" s="607"/>
      <c r="AF242" s="1145"/>
      <c r="AG242" s="1172"/>
      <c r="AH242" s="1140"/>
      <c r="AI242" s="1142"/>
      <c r="AJ242" s="1141"/>
      <c r="AK242" s="1140"/>
      <c r="AL242" s="1142"/>
      <c r="AM242" s="1141"/>
      <c r="AN242" s="1140"/>
      <c r="AO242" s="1142"/>
      <c r="AP242" s="1141"/>
      <c r="AQ242" s="1140"/>
      <c r="AR242" s="1142"/>
      <c r="AS242" s="1141"/>
      <c r="AT242" s="1140"/>
      <c r="AU242" s="1142"/>
      <c r="AV242" s="1141"/>
      <c r="AW242" s="1143"/>
      <c r="AX242" s="1166"/>
      <c r="AY242" s="607"/>
      <c r="AZ242" s="1140"/>
      <c r="BA242" s="1142"/>
      <c r="BB242" s="1141"/>
      <c r="BC242" s="1140"/>
      <c r="BD242" s="1142"/>
      <c r="BE242" s="1141"/>
      <c r="BF242" s="1145"/>
      <c r="BG242" s="1144"/>
      <c r="BH242" s="607"/>
      <c r="BI242" s="1145"/>
      <c r="BJ242" s="1144"/>
      <c r="BK242" s="607"/>
      <c r="BL242" s="1181"/>
      <c r="BM242" s="978"/>
      <c r="BN242" s="1177"/>
      <c r="BO242" s="1178"/>
      <c r="BP242" s="1182"/>
      <c r="BQ242" s="1162"/>
      <c r="BR242" s="1179"/>
      <c r="BS242" s="1181"/>
      <c r="BT242" s="978"/>
      <c r="BU242" s="1177"/>
      <c r="BV242" s="1181"/>
      <c r="BW242" s="978"/>
      <c r="BX242" s="1177"/>
      <c r="BY242" s="1180"/>
      <c r="BZ242" s="1161"/>
      <c r="CA242" s="1176"/>
    </row>
    <row r="243" spans="1:79" ht="46.5" customHeight="1" x14ac:dyDescent="0.4">
      <c r="A243" s="249"/>
      <c r="B243" s="249"/>
      <c r="C243" s="584" t="s">
        <v>307</v>
      </c>
      <c r="D243" s="587"/>
      <c r="E243" s="688"/>
      <c r="F243" s="688"/>
      <c r="G243" s="588"/>
      <c r="H243" s="594"/>
      <c r="I243" s="847"/>
      <c r="J243" s="635"/>
      <c r="K243" s="848"/>
      <c r="L243" s="849"/>
      <c r="M243" s="685"/>
      <c r="N243" s="1083"/>
      <c r="O243" s="1171"/>
      <c r="P243" s="795"/>
      <c r="Q243" s="769"/>
      <c r="R243" s="852"/>
      <c r="S243" s="696"/>
      <c r="T243" s="696"/>
      <c r="U243" s="903"/>
      <c r="V243" s="709"/>
      <c r="W243" s="1156"/>
      <c r="X243" s="684"/>
      <c r="Y243" s="685"/>
      <c r="Z243" s="1083"/>
      <c r="AA243" s="1171"/>
      <c r="AB243" s="271"/>
      <c r="AC243" s="271"/>
      <c r="AD243" s="271"/>
      <c r="AE243" s="1140"/>
      <c r="AF243" s="1142"/>
      <c r="AG243" s="1141"/>
      <c r="AH243" s="1140"/>
      <c r="AI243" s="1142"/>
      <c r="AJ243" s="1141"/>
      <c r="AK243" s="1140"/>
      <c r="AL243" s="1142"/>
      <c r="AM243" s="1141"/>
      <c r="AN243" s="1140"/>
      <c r="AO243" s="1142"/>
      <c r="AP243" s="1141"/>
      <c r="AQ243" s="1140"/>
      <c r="AR243" s="1142"/>
      <c r="AS243" s="1141"/>
      <c r="AT243" s="1140"/>
      <c r="AU243" s="1142"/>
      <c r="AV243" s="1141"/>
      <c r="AW243" s="1140"/>
      <c r="AX243" s="1173"/>
      <c r="AY243" s="1167"/>
      <c r="AZ243" s="1140"/>
      <c r="BA243" s="1142"/>
      <c r="BB243" s="1141"/>
      <c r="BC243" s="601"/>
      <c r="BD243" s="1142"/>
      <c r="BE243" s="601"/>
      <c r="BF243" s="1145"/>
      <c r="BG243" s="1145"/>
      <c r="BH243" s="607"/>
      <c r="BI243" s="1145"/>
      <c r="BJ243" s="1145"/>
      <c r="BK243" s="607"/>
      <c r="BL243" s="1184"/>
      <c r="BM243" s="978"/>
      <c r="BN243" s="1177"/>
      <c r="BO243" s="1178"/>
      <c r="BP243" s="1185"/>
      <c r="BQ243" s="1162"/>
      <c r="BR243" s="1179"/>
      <c r="BS243" s="1184"/>
      <c r="BT243" s="978"/>
      <c r="BU243" s="1177"/>
      <c r="BV243" s="1184"/>
      <c r="BW243" s="978"/>
      <c r="BX243" s="1177"/>
      <c r="BY243" s="1183"/>
      <c r="BZ243" s="1161"/>
      <c r="CA243" s="1176"/>
    </row>
    <row r="244" spans="1:79" ht="46.5" customHeight="1" x14ac:dyDescent="0.4">
      <c r="A244" s="249"/>
      <c r="B244" s="249"/>
      <c r="C244" s="584"/>
      <c r="D244" s="587"/>
      <c r="E244" s="688"/>
      <c r="F244" s="688"/>
      <c r="G244" s="588"/>
      <c r="H244" s="594"/>
      <c r="I244" s="847"/>
      <c r="J244" s="635"/>
      <c r="K244" s="848"/>
      <c r="L244" s="849"/>
      <c r="M244" s="685"/>
      <c r="N244" s="686"/>
      <c r="O244" s="685"/>
      <c r="P244" s="795"/>
      <c r="Q244" s="769"/>
      <c r="R244" s="852"/>
      <c r="S244" s="696"/>
      <c r="T244" s="764"/>
      <c r="U244" s="903"/>
      <c r="V244" s="709"/>
      <c r="W244" s="709"/>
      <c r="X244" s="684"/>
      <c r="Y244" s="685"/>
      <c r="Z244" s="686"/>
      <c r="AA244" s="685"/>
      <c r="AB244" s="271"/>
      <c r="AC244" s="271"/>
      <c r="AD244" s="271"/>
      <c r="AE244" s="1140"/>
      <c r="AF244" s="1142"/>
      <c r="AG244" s="1141"/>
      <c r="AH244" s="1140"/>
      <c r="AI244" s="1142"/>
      <c r="AJ244" s="1141"/>
      <c r="AK244" s="1140"/>
      <c r="AL244" s="1142"/>
      <c r="AM244" s="1141"/>
      <c r="AN244" s="1140"/>
      <c r="AO244" s="1142"/>
      <c r="AP244" s="1141"/>
      <c r="AQ244" s="1140"/>
      <c r="AR244" s="1142"/>
      <c r="AS244" s="1141"/>
      <c r="AT244" s="1140"/>
      <c r="AU244" s="1142"/>
      <c r="AV244" s="1141"/>
      <c r="AW244" s="1140"/>
      <c r="AX244" s="1173"/>
      <c r="AY244" s="1167"/>
      <c r="AZ244" s="1140"/>
      <c r="BA244" s="1142"/>
      <c r="BB244" s="1141"/>
      <c r="BC244" s="601"/>
      <c r="BD244" s="1142"/>
      <c r="BE244" s="601"/>
      <c r="BF244" s="1145"/>
      <c r="BG244" s="1145"/>
      <c r="BH244" s="607"/>
      <c r="BI244" s="1145"/>
      <c r="BJ244" s="1145"/>
      <c r="BK244" s="607"/>
      <c r="BL244" s="1184"/>
      <c r="BM244" s="978"/>
      <c r="BN244" s="1177"/>
      <c r="BO244" s="1178"/>
      <c r="BP244" s="1185"/>
      <c r="BQ244" s="1162"/>
      <c r="BR244" s="1179"/>
      <c r="BS244" s="1184"/>
      <c r="BT244" s="978"/>
      <c r="BU244" s="1177"/>
      <c r="BV244" s="1184"/>
      <c r="BW244" s="978"/>
      <c r="BX244" s="1177"/>
      <c r="BY244" s="1183"/>
      <c r="BZ244" s="1161"/>
      <c r="CA244" s="1176"/>
    </row>
    <row r="245" spans="1:79" ht="40.35" customHeight="1" x14ac:dyDescent="0.4">
      <c r="A245" s="249"/>
      <c r="B245" s="249"/>
      <c r="C245" s="584" t="s">
        <v>307</v>
      </c>
      <c r="D245" s="587"/>
      <c r="E245" s="688"/>
      <c r="F245" s="688"/>
      <c r="G245" s="588"/>
      <c r="H245" s="594"/>
      <c r="I245" s="847"/>
      <c r="J245" s="635"/>
      <c r="K245" s="1000"/>
      <c r="L245" s="849"/>
      <c r="M245" s="685"/>
      <c r="N245" s="686"/>
      <c r="O245" s="685"/>
      <c r="P245" s="795"/>
      <c r="Q245" s="769"/>
      <c r="R245" s="852"/>
      <c r="S245" s="696"/>
      <c r="T245" s="696"/>
      <c r="U245" s="903"/>
      <c r="V245" s="709"/>
      <c r="W245" s="709"/>
      <c r="X245" s="684"/>
      <c r="Y245" s="685"/>
      <c r="Z245" s="686"/>
      <c r="AA245" s="685"/>
      <c r="AB245" s="271"/>
      <c r="AC245" s="271"/>
      <c r="AD245" s="271"/>
      <c r="AE245" s="601"/>
      <c r="AF245" s="1142"/>
      <c r="AG245" s="601"/>
      <c r="AH245" s="601"/>
      <c r="AI245" s="1142"/>
      <c r="AJ245" s="601"/>
      <c r="AK245" s="601"/>
      <c r="AL245" s="1142" t="s">
        <v>309</v>
      </c>
      <c r="AM245" s="601"/>
      <c r="AN245" s="601"/>
      <c r="AO245" s="1142" t="s">
        <v>309</v>
      </c>
      <c r="AP245" s="601"/>
      <c r="AQ245" s="601"/>
      <c r="AR245" s="1142" t="s">
        <v>309</v>
      </c>
      <c r="AS245" s="601"/>
      <c r="AT245" s="601"/>
      <c r="AU245" s="1142" t="s">
        <v>309</v>
      </c>
      <c r="AV245" s="601"/>
      <c r="AW245" s="601"/>
      <c r="AX245" s="1142" t="s">
        <v>309</v>
      </c>
      <c r="AY245" s="601"/>
      <c r="AZ245" s="601"/>
      <c r="BA245" s="1142" t="s">
        <v>309</v>
      </c>
      <c r="BB245" s="601"/>
      <c r="BC245" s="601"/>
      <c r="BD245" s="1142" t="s">
        <v>309</v>
      </c>
      <c r="BE245" s="601"/>
      <c r="BF245" s="601"/>
      <c r="BG245" s="1142" t="s">
        <v>309</v>
      </c>
      <c r="BH245" s="601"/>
      <c r="BI245" s="601"/>
      <c r="BJ245" s="1142" t="s">
        <v>309</v>
      </c>
      <c r="BK245" s="601"/>
      <c r="BL245" s="568"/>
      <c r="BM245" s="978"/>
      <c r="BN245" s="567"/>
      <c r="BO245" s="1178"/>
      <c r="BP245" s="1111"/>
      <c r="BQ245" s="1162"/>
      <c r="BR245" s="1110"/>
      <c r="BS245" s="568"/>
      <c r="BT245" s="978"/>
      <c r="BU245" s="567"/>
      <c r="BV245" s="568"/>
      <c r="BW245" s="978"/>
      <c r="BX245" s="567"/>
      <c r="BY245" s="1108"/>
      <c r="BZ245" s="1161"/>
      <c r="CA245" s="1107"/>
    </row>
    <row r="246" spans="1:79" ht="43.35" customHeight="1" x14ac:dyDescent="0.4">
      <c r="A246" s="249"/>
      <c r="B246" s="249"/>
      <c r="C246" s="584" t="s">
        <v>307</v>
      </c>
      <c r="D246" s="587"/>
      <c r="E246" s="688"/>
      <c r="F246" s="688"/>
      <c r="G246" s="588"/>
      <c r="H246" s="594"/>
      <c r="I246" s="847"/>
      <c r="J246" s="635"/>
      <c r="K246" s="848"/>
      <c r="L246" s="849"/>
      <c r="M246" s="685"/>
      <c r="N246" s="686"/>
      <c r="O246" s="685"/>
      <c r="P246" s="795"/>
      <c r="Q246" s="769"/>
      <c r="R246" s="852"/>
      <c r="S246" s="696"/>
      <c r="T246" s="696"/>
      <c r="U246" s="903"/>
      <c r="V246" s="709"/>
      <c r="W246" s="709"/>
      <c r="X246" s="684"/>
      <c r="Y246" s="685"/>
      <c r="Z246" s="686"/>
      <c r="AA246" s="685"/>
      <c r="AB246" s="271"/>
      <c r="AC246" s="271"/>
      <c r="AD246" s="271"/>
      <c r="AE246" s="601"/>
      <c r="AF246" s="1142" t="s">
        <v>309</v>
      </c>
      <c r="AG246" s="601"/>
      <c r="AH246" s="601"/>
      <c r="AI246" s="1142" t="s">
        <v>309</v>
      </c>
      <c r="AJ246" s="601"/>
      <c r="AK246" s="601"/>
      <c r="AL246" s="1142"/>
      <c r="AM246" s="601"/>
      <c r="AN246" s="601"/>
      <c r="AO246" s="1142"/>
      <c r="AP246" s="601"/>
      <c r="AQ246" s="601"/>
      <c r="AR246" s="1142"/>
      <c r="AS246" s="601"/>
      <c r="AT246" s="601"/>
      <c r="AU246" s="1142"/>
      <c r="AV246" s="601"/>
      <c r="AW246" s="1140"/>
      <c r="AX246" s="1187"/>
      <c r="AY246" s="1167"/>
      <c r="AZ246" s="601"/>
      <c r="BA246" s="1142"/>
      <c r="BB246" s="601"/>
      <c r="BC246" s="601"/>
      <c r="BD246" s="1142"/>
      <c r="BE246" s="601"/>
      <c r="BF246" s="1145"/>
      <c r="BG246" s="1145"/>
      <c r="BH246" s="607"/>
      <c r="BI246" s="1145"/>
      <c r="BJ246" s="1145"/>
      <c r="BK246" s="607"/>
      <c r="BL246" s="568"/>
      <c r="BM246" s="567"/>
      <c r="BN246" s="567"/>
      <c r="BO246" s="1110"/>
      <c r="BP246" s="1111"/>
      <c r="BQ246" s="1110"/>
      <c r="BR246" s="1110"/>
      <c r="BS246" s="568"/>
      <c r="BT246" s="567"/>
      <c r="BU246" s="567"/>
      <c r="BV246" s="568"/>
      <c r="BW246" s="567"/>
      <c r="BX246" s="567"/>
      <c r="BY246" s="1108"/>
      <c r="BZ246" s="1107"/>
      <c r="CA246" s="1107"/>
    </row>
    <row r="247" spans="1:79" ht="42.6" customHeight="1" x14ac:dyDescent="0.4">
      <c r="A247" s="249"/>
      <c r="B247" s="249"/>
      <c r="C247" s="584" t="s">
        <v>307</v>
      </c>
      <c r="D247" s="587"/>
      <c r="E247" s="688"/>
      <c r="F247" s="688"/>
      <c r="G247" s="588"/>
      <c r="H247" s="594"/>
      <c r="I247" s="847"/>
      <c r="J247" s="635"/>
      <c r="K247" s="848"/>
      <c r="L247" s="849"/>
      <c r="M247" s="685"/>
      <c r="N247" s="686"/>
      <c r="O247" s="685"/>
      <c r="P247" s="795"/>
      <c r="Q247" s="769"/>
      <c r="R247" s="852"/>
      <c r="S247" s="696"/>
      <c r="T247" s="696"/>
      <c r="U247" s="903"/>
      <c r="V247" s="709"/>
      <c r="W247" s="709"/>
      <c r="X247" s="684"/>
      <c r="Y247" s="685"/>
      <c r="Z247" s="686"/>
      <c r="AA247" s="685"/>
      <c r="AB247" s="271"/>
      <c r="AC247" s="271"/>
      <c r="AD247" s="271"/>
      <c r="AE247" s="601"/>
      <c r="AF247" s="1142"/>
      <c r="AG247" s="601"/>
      <c r="AH247" s="601"/>
      <c r="AI247" s="1142"/>
      <c r="AJ247" s="601"/>
      <c r="AK247" s="601"/>
      <c r="AL247" s="1142"/>
      <c r="AM247" s="601"/>
      <c r="AN247" s="601"/>
      <c r="AO247" s="1142"/>
      <c r="AP247" s="601"/>
      <c r="AQ247" s="601"/>
      <c r="AR247" s="1142"/>
      <c r="AS247" s="601"/>
      <c r="AT247" s="601"/>
      <c r="AU247" s="1142"/>
      <c r="AV247" s="601"/>
      <c r="AW247" s="601"/>
      <c r="AX247" s="1142"/>
      <c r="AY247" s="601"/>
      <c r="AZ247" s="601"/>
      <c r="BA247" s="1142"/>
      <c r="BB247" s="601"/>
      <c r="BC247" s="601"/>
      <c r="BD247" s="1189"/>
      <c r="BE247" s="601"/>
      <c r="BF247" s="1190"/>
      <c r="BG247" s="1144"/>
      <c r="BH247" s="1141"/>
      <c r="BI247" s="1190"/>
      <c r="BJ247" s="1144"/>
      <c r="BK247" s="1141"/>
      <c r="BL247" s="568"/>
      <c r="BM247" s="567"/>
      <c r="BN247" s="1192"/>
      <c r="BO247" s="1178"/>
      <c r="BP247" s="1111"/>
      <c r="BQ247" s="1110"/>
      <c r="BR247" s="1193"/>
      <c r="BS247" s="568"/>
      <c r="BT247" s="567"/>
      <c r="BU247" s="1192"/>
      <c r="BV247" s="568"/>
      <c r="BW247" s="567"/>
      <c r="BX247" s="1192"/>
      <c r="BY247" s="1108"/>
      <c r="BZ247" s="1107"/>
      <c r="CA247" s="1191"/>
    </row>
    <row r="248" spans="1:79" ht="22.5" customHeight="1" x14ac:dyDescent="0.4">
      <c r="A248" s="249"/>
      <c r="B248" s="249"/>
      <c r="C248" s="1194">
        <v>0.54513888888888795</v>
      </c>
      <c r="D248" s="587"/>
      <c r="E248" s="688"/>
      <c r="F248" s="688"/>
      <c r="G248" s="588"/>
      <c r="H248" s="594"/>
      <c r="I248" s="847"/>
      <c r="J248" s="635"/>
      <c r="K248" s="1000"/>
      <c r="L248" s="849"/>
      <c r="M248" s="685"/>
      <c r="N248" s="686"/>
      <c r="O248" s="685"/>
      <c r="P248" s="795"/>
      <c r="Q248" s="769"/>
      <c r="R248" s="852"/>
      <c r="S248" s="696"/>
      <c r="T248" s="696"/>
      <c r="U248" s="903"/>
      <c r="V248" s="709"/>
      <c r="W248" s="709"/>
      <c r="X248" s="684"/>
      <c r="Y248" s="685"/>
      <c r="Z248" s="686"/>
      <c r="AA248" s="685"/>
      <c r="AB248" s="908"/>
      <c r="AC248" s="908"/>
      <c r="AD248" s="908"/>
      <c r="AE248" s="601"/>
      <c r="AF248" s="1189"/>
      <c r="AG248" s="601"/>
      <c r="AH248" s="601"/>
      <c r="AI248" s="1189"/>
      <c r="AJ248" s="601"/>
      <c r="AK248" s="601"/>
      <c r="AL248" s="1189"/>
      <c r="AM248" s="601"/>
      <c r="AN248" s="601"/>
      <c r="AO248" s="1189"/>
      <c r="AP248" s="601"/>
      <c r="AQ248" s="601"/>
      <c r="AR248" s="1189"/>
      <c r="AS248" s="601"/>
      <c r="AT248" s="601"/>
      <c r="AU248" s="1189"/>
      <c r="AV248" s="601"/>
      <c r="AW248" s="601"/>
      <c r="AX248" s="1189"/>
      <c r="AY248" s="601"/>
      <c r="AZ248" s="601"/>
      <c r="BA248" s="1189"/>
      <c r="BB248" s="601"/>
      <c r="BC248" s="601"/>
      <c r="BD248" s="1189"/>
      <c r="BE248" s="601"/>
      <c r="BF248" s="1145"/>
      <c r="BG248" s="1144"/>
      <c r="BH248" s="607"/>
      <c r="BI248" s="1145"/>
      <c r="BJ248" s="1144"/>
      <c r="BK248" s="607"/>
      <c r="BL248" s="567"/>
      <c r="BM248" s="567"/>
      <c r="BN248" s="567"/>
      <c r="BO248" s="1110"/>
      <c r="BP248" s="1110"/>
      <c r="BQ248" s="1196"/>
      <c r="BR248" s="1110"/>
      <c r="BS248" s="567"/>
      <c r="BT248" s="567"/>
      <c r="BU248" s="567"/>
      <c r="BV248" s="567"/>
      <c r="BW248" s="567"/>
      <c r="BX248" s="567"/>
      <c r="BY248" s="1107"/>
      <c r="BZ248" s="1195"/>
      <c r="CA248" s="1107"/>
    </row>
    <row r="249" spans="1:79" ht="53.1" customHeight="1" x14ac:dyDescent="0.4">
      <c r="A249" s="249"/>
      <c r="B249" s="249"/>
      <c r="C249" s="584" t="s">
        <v>307</v>
      </c>
      <c r="D249" s="587"/>
      <c r="E249" s="688"/>
      <c r="F249" s="688"/>
      <c r="G249" s="588"/>
      <c r="H249" s="594"/>
      <c r="I249" s="847"/>
      <c r="J249" s="635"/>
      <c r="K249" s="848"/>
      <c r="L249" s="991"/>
      <c r="M249" s="685"/>
      <c r="N249" s="686"/>
      <c r="O249" s="685"/>
      <c r="P249" s="795"/>
      <c r="Q249" s="769"/>
      <c r="R249" s="992"/>
      <c r="S249" s="696"/>
      <c r="T249" s="696"/>
      <c r="U249" s="1197"/>
      <c r="V249" s="709"/>
      <c r="W249" s="709"/>
      <c r="X249" s="684"/>
      <c r="Y249" s="685"/>
      <c r="Z249" s="686"/>
      <c r="AA249" s="685"/>
      <c r="AB249" s="1198"/>
      <c r="AC249" s="1198"/>
      <c r="AD249" s="1198"/>
      <c r="AE249" s="601"/>
      <c r="AF249" s="1189"/>
      <c r="AG249" s="601"/>
      <c r="AH249" s="601"/>
      <c r="AI249" s="1189"/>
      <c r="AJ249" s="601"/>
      <c r="AK249" s="601"/>
      <c r="AL249" s="1189"/>
      <c r="AM249" s="601"/>
      <c r="AN249" s="601"/>
      <c r="AO249" s="1189"/>
      <c r="AP249" s="601"/>
      <c r="AQ249" s="601"/>
      <c r="AR249" s="1189"/>
      <c r="AS249" s="601"/>
      <c r="AT249" s="601"/>
      <c r="AU249" s="1189"/>
      <c r="AV249" s="601"/>
      <c r="AW249" s="601"/>
      <c r="AX249" s="1189"/>
      <c r="AY249" s="601"/>
      <c r="AZ249" s="601"/>
      <c r="BA249" s="1189"/>
      <c r="BB249" s="601"/>
      <c r="BC249" s="601"/>
      <c r="BD249" s="1189"/>
      <c r="BE249" s="601"/>
      <c r="BF249" s="1143"/>
      <c r="BG249" s="1199"/>
      <c r="BH249" s="607"/>
      <c r="BI249" s="1143"/>
      <c r="BJ249" s="1199"/>
      <c r="BK249" s="607"/>
      <c r="BL249" s="567"/>
      <c r="BM249" s="567"/>
      <c r="BN249" s="567"/>
      <c r="BO249" s="1110"/>
      <c r="BP249" s="1110"/>
      <c r="BQ249" s="1196"/>
      <c r="BR249" s="1110"/>
      <c r="BS249" s="567"/>
      <c r="BT249" s="567"/>
      <c r="BU249" s="567"/>
      <c r="BV249" s="567"/>
      <c r="BW249" s="567"/>
      <c r="BX249" s="567"/>
      <c r="BY249" s="1107"/>
      <c r="BZ249" s="1195"/>
      <c r="CA249" s="1107"/>
    </row>
    <row r="250" spans="1:79" ht="37.35" customHeight="1" x14ac:dyDescent="0.4">
      <c r="A250" s="249"/>
      <c r="B250" s="249"/>
      <c r="C250" s="584">
        <v>0.54861111111111105</v>
      </c>
      <c r="D250" s="587"/>
      <c r="E250" s="688"/>
      <c r="F250" s="688"/>
      <c r="G250" s="588"/>
      <c r="H250" s="594"/>
      <c r="I250" s="994"/>
      <c r="J250" s="635"/>
      <c r="K250" s="848"/>
      <c r="L250" s="991"/>
      <c r="M250" s="685"/>
      <c r="N250" s="686"/>
      <c r="O250" s="685"/>
      <c r="P250" s="795"/>
      <c r="Q250" s="769"/>
      <c r="R250" s="992"/>
      <c r="S250" s="696"/>
      <c r="T250" s="696"/>
      <c r="U250" s="1197"/>
      <c r="V250" s="709"/>
      <c r="W250" s="709"/>
      <c r="X250" s="684"/>
      <c r="Y250" s="685"/>
      <c r="Z250" s="686"/>
      <c r="AA250" s="685"/>
      <c r="AB250" s="1198"/>
      <c r="AC250" s="1198"/>
      <c r="AD250" s="1198"/>
      <c r="AE250" s="601"/>
      <c r="AF250" s="1189"/>
      <c r="AG250" s="601"/>
      <c r="AH250" s="601"/>
      <c r="AI250" s="1189"/>
      <c r="AJ250" s="601"/>
      <c r="AK250" s="1200"/>
      <c r="AL250" s="1201" t="s">
        <v>386</v>
      </c>
      <c r="AM250" s="1202"/>
      <c r="AN250" s="1203"/>
      <c r="AO250" s="1204" t="s">
        <v>387</v>
      </c>
      <c r="AP250" s="1205"/>
      <c r="AQ250" s="778"/>
      <c r="AR250" s="1206" t="s">
        <v>388</v>
      </c>
      <c r="AS250" s="1207"/>
      <c r="AT250" s="1208"/>
      <c r="AU250" s="1209" t="s">
        <v>389</v>
      </c>
      <c r="AV250" s="1210"/>
      <c r="AW250" s="1211"/>
      <c r="AX250" s="1212" t="s">
        <v>390</v>
      </c>
      <c r="AY250" s="1213"/>
      <c r="AZ250" s="1214"/>
      <c r="BA250" s="1215" t="s">
        <v>391</v>
      </c>
      <c r="BB250" s="1214"/>
      <c r="BC250" s="975"/>
      <c r="BD250" s="1216" t="s">
        <v>379</v>
      </c>
      <c r="BE250" s="687"/>
      <c r="BF250" s="1217"/>
      <c r="BG250" s="1218" t="s">
        <v>392</v>
      </c>
      <c r="BH250" s="1217"/>
      <c r="BI250" s="1219"/>
      <c r="BJ250" s="1271" t="s">
        <v>393</v>
      </c>
      <c r="BK250" s="1219"/>
      <c r="BL250" s="568"/>
      <c r="BM250" s="567"/>
      <c r="BN250" s="567"/>
      <c r="BO250" s="1110"/>
      <c r="BP250" s="1111"/>
      <c r="BQ250" s="1110"/>
      <c r="BR250" s="1110"/>
      <c r="BS250" s="568"/>
      <c r="BT250" s="567"/>
      <c r="BU250" s="567"/>
      <c r="BV250" s="568"/>
      <c r="BW250" s="567"/>
      <c r="BX250" s="567"/>
      <c r="BY250" s="1108"/>
      <c r="BZ250" s="1107"/>
      <c r="CA250" s="1107"/>
    </row>
    <row r="251" spans="1:79" ht="22.35" customHeight="1" x14ac:dyDescent="0.4">
      <c r="A251" s="249"/>
      <c r="B251" s="249"/>
      <c r="C251" s="584"/>
      <c r="D251" s="587"/>
      <c r="E251" s="688"/>
      <c r="F251" s="688"/>
      <c r="G251" s="588"/>
      <c r="H251" s="594"/>
      <c r="I251" s="994"/>
      <c r="J251" s="935"/>
      <c r="K251" s="1000"/>
      <c r="L251" s="936"/>
      <c r="M251" s="1061"/>
      <c r="N251" s="1126"/>
      <c r="O251" s="1061"/>
      <c r="P251" s="937"/>
      <c r="Q251" s="707"/>
      <c r="R251" s="938"/>
      <c r="S251" s="764"/>
      <c r="T251" s="1222"/>
      <c r="U251" s="1223"/>
      <c r="V251" s="1224"/>
      <c r="W251" s="1225"/>
      <c r="X251" s="1226"/>
      <c r="Y251" s="1061"/>
      <c r="Z251" s="1126"/>
      <c r="AA251" s="1061"/>
      <c r="AB251" s="740"/>
      <c r="AC251" s="740"/>
      <c r="AD251" s="740"/>
      <c r="AE251" s="601"/>
      <c r="AF251" s="1189"/>
      <c r="AG251" s="601"/>
      <c r="AH251" s="601"/>
      <c r="AI251" s="1189"/>
      <c r="AJ251" s="601"/>
      <c r="AK251" s="1200"/>
      <c r="AL251" s="1227" t="s">
        <v>394</v>
      </c>
      <c r="AM251" s="1202"/>
      <c r="AN251" s="1203"/>
      <c r="AO251" s="1228" t="s">
        <v>395</v>
      </c>
      <c r="AP251" s="1205"/>
      <c r="AQ251" s="778"/>
      <c r="AR251" s="1229" t="s">
        <v>396</v>
      </c>
      <c r="AS251" s="1207"/>
      <c r="AT251" s="1230"/>
      <c r="AU251" s="1231" t="s">
        <v>397</v>
      </c>
      <c r="AV251" s="1210"/>
      <c r="AW251" s="1211"/>
      <c r="AX251" s="2599" t="s">
        <v>398</v>
      </c>
      <c r="AY251" s="1213"/>
      <c r="AZ251" s="1214"/>
      <c r="BA251" s="2701" t="s">
        <v>399</v>
      </c>
      <c r="BB251" s="1214"/>
      <c r="BC251" s="975"/>
      <c r="BD251" s="1216"/>
      <c r="BE251" s="687"/>
      <c r="BF251" s="1234"/>
      <c r="BG251" s="1235" t="s">
        <v>400</v>
      </c>
      <c r="BH251" s="1234"/>
      <c r="BI251" s="1219"/>
      <c r="BJ251" s="1282" t="s">
        <v>401</v>
      </c>
      <c r="BK251" s="1219"/>
      <c r="BL251" s="568"/>
      <c r="BM251" s="567"/>
      <c r="BN251" s="567"/>
      <c r="BO251" s="1110"/>
      <c r="BP251" s="1111"/>
      <c r="BQ251" s="1110"/>
      <c r="BR251" s="1110"/>
      <c r="BS251" s="568"/>
      <c r="BT251" s="567"/>
      <c r="BU251" s="567"/>
      <c r="BV251" s="568"/>
      <c r="BW251" s="567"/>
      <c r="BX251" s="567"/>
      <c r="BY251" s="1108"/>
      <c r="BZ251" s="1107"/>
      <c r="CA251" s="1107"/>
    </row>
    <row r="252" spans="1:79" ht="26.85" customHeight="1" x14ac:dyDescent="0.4">
      <c r="A252" s="249"/>
      <c r="B252" s="249"/>
      <c r="C252" s="584">
        <v>0.55208333333333304</v>
      </c>
      <c r="D252" s="1237"/>
      <c r="E252" s="609"/>
      <c r="F252" s="609"/>
      <c r="G252" s="1238"/>
      <c r="H252" s="612"/>
      <c r="I252" s="1239"/>
      <c r="J252" s="935"/>
      <c r="K252" s="848"/>
      <c r="L252" s="936"/>
      <c r="M252" s="686"/>
      <c r="N252" s="1126" t="s">
        <v>334</v>
      </c>
      <c r="O252" s="907"/>
      <c r="P252" s="937"/>
      <c r="Q252" s="707"/>
      <c r="R252" s="938"/>
      <c r="S252" s="1240"/>
      <c r="T252" s="1222"/>
      <c r="U252" s="1223"/>
      <c r="V252" s="683"/>
      <c r="W252" s="1125" t="s">
        <v>371</v>
      </c>
      <c r="X252" s="1079"/>
      <c r="Y252" s="686"/>
      <c r="Z252" s="1126" t="s">
        <v>334</v>
      </c>
      <c r="AA252" s="907"/>
      <c r="AB252" s="740"/>
      <c r="AC252" s="740"/>
      <c r="AD252" s="740"/>
      <c r="AE252" s="1157"/>
      <c r="AF252" s="1158" t="s">
        <v>332</v>
      </c>
      <c r="AG252" s="1157"/>
      <c r="AH252" s="1159"/>
      <c r="AI252" s="1160" t="s">
        <v>331</v>
      </c>
      <c r="AJ252" s="1160"/>
      <c r="AK252" s="1200"/>
      <c r="AL252" s="1241"/>
      <c r="AM252" s="1202"/>
      <c r="AN252" s="1203"/>
      <c r="AO252" s="1242"/>
      <c r="AP252" s="1205"/>
      <c r="AQ252" s="778"/>
      <c r="AR252" s="1229" t="s">
        <v>402</v>
      </c>
      <c r="AS252" s="1207"/>
      <c r="AT252" s="1208"/>
      <c r="AU252" s="1244"/>
      <c r="AV252" s="1210"/>
      <c r="AW252" s="1245"/>
      <c r="AX252" s="2600"/>
      <c r="AY252" s="1245"/>
      <c r="AZ252" s="1214"/>
      <c r="BA252" s="1247"/>
      <c r="BB252" s="1214"/>
      <c r="BC252" s="975"/>
      <c r="BD252" s="975" t="s">
        <v>381</v>
      </c>
      <c r="BE252" s="687"/>
      <c r="BF252" s="1248"/>
      <c r="BG252" s="1249"/>
      <c r="BH252" s="1248"/>
      <c r="BI252" s="1219"/>
      <c r="BJ252" s="1282" t="s">
        <v>403</v>
      </c>
      <c r="BK252" s="1219"/>
      <c r="BL252" s="568"/>
      <c r="BM252" s="567"/>
      <c r="BN252" s="567"/>
      <c r="BO252" s="1110"/>
      <c r="BP252" s="1111"/>
      <c r="BQ252" s="1110"/>
      <c r="BR252" s="1110"/>
      <c r="BS252" s="568"/>
      <c r="BT252" s="567"/>
      <c r="BU252" s="567"/>
      <c r="BV252" s="568"/>
      <c r="BW252" s="567"/>
      <c r="BX252" s="567"/>
      <c r="BY252" s="1108"/>
      <c r="BZ252" s="1107"/>
      <c r="CA252" s="1107"/>
    </row>
    <row r="253" spans="1:79" ht="50.85" customHeight="1" x14ac:dyDescent="0.4">
      <c r="A253" s="249"/>
      <c r="B253" s="249"/>
      <c r="C253" s="584" t="s">
        <v>307</v>
      </c>
      <c r="D253" s="844"/>
      <c r="E253" s="688"/>
      <c r="F253" s="845"/>
      <c r="G253" s="846"/>
      <c r="H253" s="594"/>
      <c r="I253" s="675"/>
      <c r="J253" s="582"/>
      <c r="K253" s="848"/>
      <c r="L253" s="789"/>
      <c r="M253" s="1061"/>
      <c r="N253" s="793" t="s">
        <v>336</v>
      </c>
      <c r="O253" s="1061"/>
      <c r="P253" s="997"/>
      <c r="Q253" s="998"/>
      <c r="R253" s="1251"/>
      <c r="S253" s="1240"/>
      <c r="T253" s="1222"/>
      <c r="U253" s="1223"/>
      <c r="V253" s="898"/>
      <c r="W253" s="1252"/>
      <c r="X253" s="1253"/>
      <c r="Y253" s="1061"/>
      <c r="Z253" s="793" t="s">
        <v>336</v>
      </c>
      <c r="AA253" s="1061"/>
      <c r="AB253" s="740"/>
      <c r="AC253" s="740"/>
      <c r="AD253" s="740"/>
      <c r="AE253" s="1254"/>
      <c r="AF253" s="1255"/>
      <c r="AG253" s="766"/>
      <c r="AH253" s="1160"/>
      <c r="AI253" s="1164" t="s">
        <v>366</v>
      </c>
      <c r="AJ253" s="1256"/>
      <c r="AK253" s="1200"/>
      <c r="AL253" s="1201"/>
      <c r="AM253" s="1202"/>
      <c r="AN253" s="1203"/>
      <c r="AO253" s="1204"/>
      <c r="AP253" s="1257"/>
      <c r="AQ253" s="1134"/>
      <c r="AR253" s="1206"/>
      <c r="AS253" s="1207"/>
      <c r="AT253" s="1208"/>
      <c r="AU253" s="1209"/>
      <c r="AV253" s="1210"/>
      <c r="AW253" s="1211"/>
      <c r="AX253" s="1212"/>
      <c r="AY253" s="1213"/>
      <c r="AZ253" s="1258"/>
      <c r="BA253" s="1215"/>
      <c r="BB253" s="1214"/>
      <c r="BC253" s="1259"/>
      <c r="BD253" s="975" t="s">
        <v>384</v>
      </c>
      <c r="BE253" s="687"/>
      <c r="BF253" s="1234"/>
      <c r="BG253" s="1260"/>
      <c r="BH253" s="1234"/>
      <c r="BI253" s="1219"/>
      <c r="BJ253" s="1282"/>
      <c r="BK253" s="1219"/>
      <c r="BL253" s="568"/>
      <c r="BM253" s="567"/>
      <c r="BN253" s="567"/>
      <c r="BO253" s="1110"/>
      <c r="BP253" s="1111"/>
      <c r="BQ253" s="1110"/>
      <c r="BR253" s="1110"/>
      <c r="BS253" s="568"/>
      <c r="BT253" s="567"/>
      <c r="BU253" s="567"/>
      <c r="BV253" s="568"/>
      <c r="BW253" s="567"/>
      <c r="BX253" s="567"/>
      <c r="BY253" s="1108"/>
      <c r="BZ253" s="1107"/>
      <c r="CA253" s="1107"/>
    </row>
    <row r="254" spans="1:79" ht="47.1" customHeight="1" x14ac:dyDescent="0.4">
      <c r="A254" s="249"/>
      <c r="B254" s="249"/>
      <c r="C254" s="584" t="s">
        <v>404</v>
      </c>
      <c r="D254" s="844"/>
      <c r="E254" s="688"/>
      <c r="F254" s="845"/>
      <c r="G254" s="846"/>
      <c r="H254" s="594"/>
      <c r="I254" s="675"/>
      <c r="J254" s="582"/>
      <c r="K254" s="1000"/>
      <c r="L254" s="789"/>
      <c r="M254" s="1061"/>
      <c r="N254" s="1064"/>
      <c r="O254" s="1061"/>
      <c r="P254" s="997"/>
      <c r="Q254" s="998"/>
      <c r="R254" s="1251"/>
      <c r="S254" s="1240"/>
      <c r="T254" s="1222"/>
      <c r="U254" s="1223"/>
      <c r="V254" s="898"/>
      <c r="W254" s="1252"/>
      <c r="X254" s="1253"/>
      <c r="Y254" s="1061"/>
      <c r="Z254" s="1064"/>
      <c r="AA254" s="1061"/>
      <c r="AB254" s="740"/>
      <c r="AC254" s="740"/>
      <c r="AD254" s="740"/>
      <c r="AE254" s="1254"/>
      <c r="AF254" s="1255"/>
      <c r="AG254" s="766"/>
      <c r="AH254" s="1164"/>
      <c r="AI254" s="1164" t="s">
        <v>334</v>
      </c>
      <c r="AJ254" s="1164"/>
      <c r="AK254" s="1200"/>
      <c r="AL254" s="1227"/>
      <c r="AM254" s="1262"/>
      <c r="AN254" s="1263"/>
      <c r="AO254" s="1228"/>
      <c r="AP254" s="1263"/>
      <c r="AQ254" s="1264"/>
      <c r="AR254" s="1229"/>
      <c r="AS254" s="1265"/>
      <c r="AT254" s="1230"/>
      <c r="AU254" s="1231"/>
      <c r="AV254" s="1210"/>
      <c r="AW254" s="1211"/>
      <c r="AX254" s="1232"/>
      <c r="AY254" s="1213"/>
      <c r="AZ254" s="1266"/>
      <c r="BA254" s="1233"/>
      <c r="BB254" s="1267"/>
      <c r="BC254" s="1259"/>
      <c r="BD254" s="1268" t="s">
        <v>405</v>
      </c>
      <c r="BE254" s="687"/>
      <c r="BF254" s="1234"/>
      <c r="BG254" s="1269"/>
      <c r="BH254" s="1234"/>
      <c r="BI254" s="1270"/>
      <c r="BJ254" s="1282"/>
      <c r="BK254" s="1270"/>
      <c r="BL254" s="567"/>
      <c r="BM254" s="978"/>
      <c r="BN254" s="567"/>
      <c r="BO254" s="1110"/>
      <c r="BP254" s="1110"/>
      <c r="BQ254" s="1162"/>
      <c r="BR254" s="1110"/>
      <c r="BS254" s="567"/>
      <c r="BT254" s="978"/>
      <c r="BU254" s="567"/>
      <c r="BV254" s="567"/>
      <c r="BW254" s="978"/>
      <c r="BX254" s="567"/>
      <c r="BY254" s="1107"/>
      <c r="BZ254" s="1161"/>
      <c r="CA254" s="1107"/>
    </row>
    <row r="255" spans="1:79" ht="48.6" customHeight="1" x14ac:dyDescent="0.4">
      <c r="A255" s="249"/>
      <c r="B255" s="249"/>
      <c r="C255" s="584" t="s">
        <v>404</v>
      </c>
      <c r="D255" s="844"/>
      <c r="E255" s="688"/>
      <c r="F255" s="845"/>
      <c r="G255" s="846"/>
      <c r="H255" s="594"/>
      <c r="I255" s="675"/>
      <c r="J255" s="582"/>
      <c r="K255" s="848"/>
      <c r="L255" s="789"/>
      <c r="M255" s="1061"/>
      <c r="N255" s="1064"/>
      <c r="O255" s="1061"/>
      <c r="P255" s="997"/>
      <c r="Q255" s="998"/>
      <c r="R255" s="1251"/>
      <c r="S255" s="1240"/>
      <c r="T255" s="1222"/>
      <c r="U255" s="1223"/>
      <c r="V255" s="898"/>
      <c r="W255" s="1252"/>
      <c r="X255" s="1253"/>
      <c r="Y255" s="1061"/>
      <c r="Z255" s="1064"/>
      <c r="AA255" s="1061"/>
      <c r="AB255" s="740"/>
      <c r="AC255" s="740"/>
      <c r="AD255" s="740"/>
      <c r="AE255" s="1254"/>
      <c r="AF255" s="1255"/>
      <c r="AG255" s="766"/>
      <c r="AH255" s="1164"/>
      <c r="AI255" s="1164"/>
      <c r="AJ255" s="1164"/>
      <c r="AK255" s="1272"/>
      <c r="AL255" s="1272"/>
      <c r="AM255" s="1272"/>
      <c r="AN255" s="1273"/>
      <c r="AO255" s="1274"/>
      <c r="AP255" s="1275"/>
      <c r="AQ255" s="778"/>
      <c r="AR255" s="1276"/>
      <c r="AS255" s="1207"/>
      <c r="AT255" s="1210"/>
      <c r="AU255" s="1244"/>
      <c r="AV255" s="1277"/>
      <c r="AW255" s="1278"/>
      <c r="AX255" s="1279"/>
      <c r="AY255" s="1278"/>
      <c r="AZ255" s="1280"/>
      <c r="BA255" s="1281"/>
      <c r="BB255" s="1280"/>
      <c r="BC255" s="916"/>
      <c r="BD255" s="1268" t="s">
        <v>406</v>
      </c>
      <c r="BE255" s="916"/>
      <c r="BF255" s="1234"/>
      <c r="BG255" s="1260"/>
      <c r="BH255" s="1234"/>
      <c r="BI255" s="1270"/>
      <c r="BJ255" s="1282"/>
      <c r="BK255" s="1270"/>
      <c r="BL255" s="568"/>
      <c r="BM255" s="978"/>
      <c r="BN255" s="567"/>
      <c r="BO255" s="1110"/>
      <c r="BP255" s="1111"/>
      <c r="BQ255" s="1162"/>
      <c r="BR255" s="1110"/>
      <c r="BS255" s="568"/>
      <c r="BT255" s="978"/>
      <c r="BU255" s="567"/>
      <c r="BV255" s="568"/>
      <c r="BW255" s="978"/>
      <c r="BX255" s="567"/>
      <c r="BY255" s="1108"/>
      <c r="BZ255" s="1161"/>
      <c r="CA255" s="1107"/>
    </row>
    <row r="256" spans="1:79" ht="14.85" customHeight="1" x14ac:dyDescent="0.4">
      <c r="A256" s="249"/>
      <c r="B256" s="249"/>
      <c r="C256" s="584" t="s">
        <v>307</v>
      </c>
      <c r="D256" s="844"/>
      <c r="E256" s="688"/>
      <c r="F256" s="845"/>
      <c r="G256" s="846"/>
      <c r="H256" s="594"/>
      <c r="I256" s="675"/>
      <c r="J256" s="582"/>
      <c r="K256" s="848"/>
      <c r="L256" s="789"/>
      <c r="M256" s="1061"/>
      <c r="N256" s="1064"/>
      <c r="O256" s="1061"/>
      <c r="P256" s="997"/>
      <c r="Q256" s="998"/>
      <c r="R256" s="1251"/>
      <c r="S256" s="1240"/>
      <c r="T256" s="1222"/>
      <c r="U256" s="1223"/>
      <c r="V256" s="898"/>
      <c r="W256" s="1252"/>
      <c r="X256" s="1253"/>
      <c r="Y256" s="1061"/>
      <c r="Z256" s="1064"/>
      <c r="AA256" s="1061"/>
      <c r="AB256" s="740"/>
      <c r="AC256" s="740"/>
      <c r="AD256" s="740"/>
      <c r="AE256" s="1254"/>
      <c r="AF256" s="1255"/>
      <c r="AG256" s="766"/>
      <c r="AH256" s="1164"/>
      <c r="AI256" s="1164"/>
      <c r="AJ256" s="1164"/>
      <c r="AK256" s="1283"/>
      <c r="AL256" s="1284"/>
      <c r="AM256" s="1285"/>
      <c r="AN256" s="1203"/>
      <c r="AO256" s="1286"/>
      <c r="AP256" s="1257"/>
      <c r="AQ256" s="1134"/>
      <c r="AR256" s="1134"/>
      <c r="AS256" s="1207"/>
      <c r="AT256" s="1208"/>
      <c r="AU256" s="1287"/>
      <c r="AV256" s="1210"/>
      <c r="AW256" s="1245"/>
      <c r="AX256" s="1288"/>
      <c r="AY256" s="1245"/>
      <c r="AZ256" s="1289"/>
      <c r="BA256" s="1290"/>
      <c r="BB256" s="1280"/>
      <c r="BC256" s="916"/>
      <c r="BD256" s="1291"/>
      <c r="BE256" s="916"/>
      <c r="BF256" s="1234"/>
      <c r="BG256" s="1260"/>
      <c r="BH256" s="1234"/>
      <c r="BI256" s="1292"/>
      <c r="BJ256" s="1476"/>
      <c r="BK256" s="1292"/>
      <c r="BL256" s="568"/>
      <c r="BM256" s="978"/>
      <c r="BN256" s="567"/>
      <c r="BO256" s="1110"/>
      <c r="BP256" s="1111"/>
      <c r="BQ256" s="1162"/>
      <c r="BR256" s="1110"/>
      <c r="BS256" s="568"/>
      <c r="BT256" s="978"/>
      <c r="BU256" s="567"/>
      <c r="BV256" s="568"/>
      <c r="BW256" s="978"/>
      <c r="BX256" s="567"/>
      <c r="BY256" s="1108"/>
      <c r="BZ256" s="1161"/>
      <c r="CA256" s="1107"/>
    </row>
    <row r="257" spans="1:79" ht="13.5" customHeight="1" x14ac:dyDescent="0.4">
      <c r="A257" s="249"/>
      <c r="B257" s="249"/>
      <c r="C257" s="584">
        <v>0.55555555555555503</v>
      </c>
      <c r="D257" s="1295"/>
      <c r="E257" s="1296" t="s">
        <v>347</v>
      </c>
      <c r="F257" s="1297"/>
      <c r="G257" s="1298"/>
      <c r="H257" s="1296" t="s">
        <v>347</v>
      </c>
      <c r="I257" s="1298"/>
      <c r="J257" s="1298"/>
      <c r="K257" s="1296" t="s">
        <v>347</v>
      </c>
      <c r="L257" s="1298"/>
      <c r="M257" s="1295"/>
      <c r="N257" s="1296" t="s">
        <v>347</v>
      </c>
      <c r="O257" s="1301"/>
      <c r="P257" s="1295"/>
      <c r="Q257" s="1296" t="s">
        <v>347</v>
      </c>
      <c r="R257" s="1298"/>
      <c r="S257" s="1299"/>
      <c r="T257" s="1297" t="s">
        <v>347</v>
      </c>
      <c r="U257" s="1300"/>
      <c r="V257" s="1299"/>
      <c r="W257" s="1297" t="s">
        <v>347</v>
      </c>
      <c r="X257" s="1300"/>
      <c r="Y257" s="1295"/>
      <c r="Z257" s="1296" t="s">
        <v>347</v>
      </c>
      <c r="AA257" s="1301"/>
      <c r="AB257" s="740"/>
      <c r="AC257" s="1302"/>
      <c r="AD257" s="740"/>
      <c r="AE257" s="1303"/>
      <c r="AF257" s="1304" t="s">
        <v>347</v>
      </c>
      <c r="AG257" s="1303"/>
      <c r="AH257" s="1303"/>
      <c r="AI257" s="1304" t="s">
        <v>347</v>
      </c>
      <c r="AJ257" s="1303"/>
      <c r="AK257" s="1295"/>
      <c r="AL257" s="1301" t="s">
        <v>347</v>
      </c>
      <c r="AM257" s="1300"/>
      <c r="AN257" s="1295"/>
      <c r="AO257" s="1301" t="s">
        <v>347</v>
      </c>
      <c r="AP257" s="1300"/>
      <c r="AQ257" s="1295"/>
      <c r="AR257" s="1301" t="s">
        <v>347</v>
      </c>
      <c r="AS257" s="1300"/>
      <c r="AT257" s="1305"/>
      <c r="AU257" s="1306" t="s">
        <v>347</v>
      </c>
      <c r="AV257" s="1305"/>
      <c r="AW257" s="1295"/>
      <c r="AX257" s="1301" t="s">
        <v>347</v>
      </c>
      <c r="AY257" s="1295"/>
      <c r="AZ257" s="1295"/>
      <c r="BA257" s="1301" t="s">
        <v>347</v>
      </c>
      <c r="BB257" s="1295"/>
      <c r="BC257" s="1295"/>
      <c r="BD257" s="1301" t="s">
        <v>347</v>
      </c>
      <c r="BE257" s="1295"/>
      <c r="BF257" s="1295"/>
      <c r="BG257" s="1301" t="s">
        <v>347</v>
      </c>
      <c r="BH257" s="1295"/>
      <c r="BI257" s="1295"/>
      <c r="BJ257" s="1301" t="s">
        <v>347</v>
      </c>
      <c r="BK257" s="1295"/>
      <c r="BL257" s="567"/>
      <c r="BM257" s="1307"/>
      <c r="BN257" s="567"/>
      <c r="BO257" s="1308">
        <v>20</v>
      </c>
      <c r="BP257" s="1308"/>
      <c r="BQ257" s="1309" t="s">
        <v>347</v>
      </c>
      <c r="BR257" s="1308"/>
      <c r="BS257" s="567"/>
      <c r="BT257" s="1307"/>
      <c r="BU257" s="567"/>
      <c r="BV257" s="567"/>
      <c r="BW257" s="1307"/>
      <c r="BX257" s="567"/>
      <c r="BY257" s="1295"/>
      <c r="BZ257" s="1301" t="s">
        <v>347</v>
      </c>
      <c r="CA257" s="1295"/>
    </row>
    <row r="258" spans="1:79" ht="14.85" customHeight="1" x14ac:dyDescent="0.4">
      <c r="A258" s="249"/>
      <c r="B258" s="249"/>
      <c r="C258" s="584">
        <v>0.55902777777777701</v>
      </c>
      <c r="D258" s="1310"/>
      <c r="E258" s="1299"/>
      <c r="F258" s="1310"/>
      <c r="G258" s="1298"/>
      <c r="H258" s="1299"/>
      <c r="I258" s="1298"/>
      <c r="J258" s="1298"/>
      <c r="K258" s="1299"/>
      <c r="L258" s="1298"/>
      <c r="M258" s="1310"/>
      <c r="N258" s="1310"/>
      <c r="O258" s="1311"/>
      <c r="P258" s="1310"/>
      <c r="Q258" s="1310"/>
      <c r="R258" s="1298"/>
      <c r="S258" s="1299"/>
      <c r="T258" s="1310"/>
      <c r="U258" s="1300"/>
      <c r="V258" s="1299"/>
      <c r="W258" s="1310"/>
      <c r="X258" s="1300"/>
      <c r="Y258" s="1310"/>
      <c r="Z258" s="1310"/>
      <c r="AA258" s="1311"/>
      <c r="AB258" s="740"/>
      <c r="AC258" s="740"/>
      <c r="AD258" s="740"/>
      <c r="AE258" s="1312"/>
      <c r="AF258" s="1313"/>
      <c r="AG258" s="1303"/>
      <c r="AH258" s="1312"/>
      <c r="AI258" s="1313"/>
      <c r="AJ258" s="1303"/>
      <c r="AK258" s="1310"/>
      <c r="AL258" s="1314"/>
      <c r="AM258" s="1315"/>
      <c r="AN258" s="1310"/>
      <c r="AO258" s="1314"/>
      <c r="AP258" s="1315"/>
      <c r="AQ258" s="1310"/>
      <c r="AR258" s="1314"/>
      <c r="AS258" s="1315"/>
      <c r="AT258" s="1311"/>
      <c r="AU258" s="1316"/>
      <c r="AV258" s="1295"/>
      <c r="AW258" s="1311"/>
      <c r="AX258" s="1316"/>
      <c r="AY258" s="1295"/>
      <c r="AZ258" s="1311"/>
      <c r="BA258" s="1316"/>
      <c r="BB258" s="1295"/>
      <c r="BC258" s="1311"/>
      <c r="BD258" s="1316"/>
      <c r="BE258" s="1295"/>
      <c r="BF258" s="1295"/>
      <c r="BG258" s="1317"/>
      <c r="BH258" s="1295"/>
      <c r="BI258" s="1295"/>
      <c r="BJ258" s="1317"/>
      <c r="BK258" s="1295"/>
      <c r="BL258" s="568"/>
      <c r="BM258" s="567"/>
      <c r="BN258" s="567"/>
      <c r="BO258" s="1308"/>
      <c r="BP258" s="1318"/>
      <c r="BQ258" s="1319"/>
      <c r="BR258" s="1308"/>
      <c r="BS258" s="568"/>
      <c r="BT258" s="567"/>
      <c r="BU258" s="567"/>
      <c r="BV258" s="568"/>
      <c r="BW258" s="567"/>
      <c r="BX258" s="567"/>
      <c r="BY258" s="1311"/>
      <c r="BZ258" s="1316"/>
      <c r="CA258" s="1295"/>
    </row>
    <row r="259" spans="1:79" ht="29.1" customHeight="1" x14ac:dyDescent="0.4">
      <c r="A259" s="249"/>
      <c r="B259" s="249"/>
      <c r="C259" s="584">
        <v>0.562499999999999</v>
      </c>
      <c r="D259" s="1305"/>
      <c r="E259" s="1320"/>
      <c r="F259" s="1320"/>
      <c r="G259" s="1321"/>
      <c r="H259" s="1320"/>
      <c r="I259" s="1321"/>
      <c r="J259" s="1321"/>
      <c r="K259" s="1048"/>
      <c r="L259" s="1321"/>
      <c r="M259" s="1324"/>
      <c r="N259" s="2834" t="s">
        <v>407</v>
      </c>
      <c r="O259" s="1326"/>
      <c r="P259" s="1305"/>
      <c r="Q259" s="1320"/>
      <c r="R259" s="1321"/>
      <c r="S259" s="1320"/>
      <c r="T259" s="1322"/>
      <c r="U259" s="1323"/>
      <c r="V259" s="1320"/>
      <c r="W259" s="1322" t="s">
        <v>371</v>
      </c>
      <c r="X259" s="1305"/>
      <c r="Y259" s="1324"/>
      <c r="Z259" s="1325"/>
      <c r="AA259" s="1326"/>
      <c r="AB259" s="1327"/>
      <c r="AC259" s="985"/>
      <c r="AD259" s="912"/>
      <c r="AE259" s="1328"/>
      <c r="AF259" s="1329" t="s">
        <v>332</v>
      </c>
      <c r="AG259" s="1328"/>
      <c r="AH259" s="1328"/>
      <c r="AI259" s="1328" t="s">
        <v>337</v>
      </c>
      <c r="AJ259" s="1328"/>
      <c r="AK259" s="1330"/>
      <c r="AL259" s="1331" t="s">
        <v>408</v>
      </c>
      <c r="AM259" s="1332"/>
      <c r="AN259" s="1330"/>
      <c r="AO259" s="1333"/>
      <c r="AP259" s="1305"/>
      <c r="AQ259" s="1295"/>
      <c r="AR259" s="1295"/>
      <c r="AS259" s="1334"/>
      <c r="AT259" s="1305"/>
      <c r="AU259" s="1333"/>
      <c r="AV259" s="1305"/>
      <c r="AW259" s="1305"/>
      <c r="AX259" s="2601" t="s">
        <v>409</v>
      </c>
      <c r="AY259" s="1305"/>
      <c r="AZ259" s="1295"/>
      <c r="BA259" s="1336"/>
      <c r="BB259" s="1334"/>
      <c r="BC259" s="1305"/>
      <c r="BD259" s="1328" t="s">
        <v>379</v>
      </c>
      <c r="BE259" s="1337"/>
      <c r="BF259" s="1330"/>
      <c r="BG259" s="1338" t="s">
        <v>334</v>
      </c>
      <c r="BH259" s="1305"/>
      <c r="BI259" s="1305"/>
      <c r="BJ259" s="1328" t="s">
        <v>410</v>
      </c>
      <c r="BK259" s="1334"/>
      <c r="BL259" s="567"/>
      <c r="BM259" s="567"/>
      <c r="BN259" s="1339"/>
      <c r="BO259" s="1308"/>
      <c r="BP259" s="1308"/>
      <c r="BQ259" s="1308"/>
      <c r="BR259" s="1340"/>
      <c r="BS259" s="567"/>
      <c r="BT259" s="567"/>
      <c r="BU259" s="1339"/>
      <c r="BV259" s="567"/>
      <c r="BW259" s="567"/>
      <c r="BX259" s="1339"/>
      <c r="BY259" s="1295"/>
      <c r="BZ259" s="1295"/>
      <c r="CA259" s="1334"/>
    </row>
    <row r="260" spans="1:79" ht="21" customHeight="1" x14ac:dyDescent="0.4">
      <c r="A260" s="249"/>
      <c r="B260" s="249"/>
      <c r="C260" s="584" t="s">
        <v>307</v>
      </c>
      <c r="D260" s="1341"/>
      <c r="E260" s="1320"/>
      <c r="F260" s="1341"/>
      <c r="G260" s="1342"/>
      <c r="H260" s="1320"/>
      <c r="I260" s="1342"/>
      <c r="J260" s="1342"/>
      <c r="K260" s="1048"/>
      <c r="L260" s="1342"/>
      <c r="M260" s="1344"/>
      <c r="N260" s="2834"/>
      <c r="O260" s="1345"/>
      <c r="P260" s="1341"/>
      <c r="Q260" s="1341"/>
      <c r="R260" s="1342"/>
      <c r="S260" s="1320"/>
      <c r="T260" s="1343"/>
      <c r="U260" s="1323"/>
      <c r="V260" s="1320"/>
      <c r="W260" s="1325" t="s">
        <v>334</v>
      </c>
      <c r="X260" s="1305"/>
      <c r="Y260" s="1344"/>
      <c r="Z260" s="1325"/>
      <c r="AA260" s="1345"/>
      <c r="AB260" s="912"/>
      <c r="AC260" s="912"/>
      <c r="AD260" s="912"/>
      <c r="AE260" s="1328"/>
      <c r="AF260" s="1329"/>
      <c r="AG260" s="1328"/>
      <c r="AH260" s="1328"/>
      <c r="AI260" s="1328" t="s">
        <v>366</v>
      </c>
      <c r="AJ260" s="1328"/>
      <c r="AK260" s="1330"/>
      <c r="AL260" s="1346"/>
      <c r="AM260" s="1305"/>
      <c r="AN260" s="1330"/>
      <c r="AO260" s="1346"/>
      <c r="AP260" s="1305"/>
      <c r="AQ260" s="1334"/>
      <c r="AR260" s="1337"/>
      <c r="AS260" s="1334"/>
      <c r="AT260" s="1341"/>
      <c r="AU260" s="1347"/>
      <c r="AV260" s="1348"/>
      <c r="AW260" s="1305"/>
      <c r="AX260" s="1349" t="s">
        <v>411</v>
      </c>
      <c r="AY260" s="1305"/>
      <c r="AZ260" s="1350"/>
      <c r="BA260" s="1351"/>
      <c r="BB260" s="1334"/>
      <c r="BC260" s="1334"/>
      <c r="BD260" s="1352" t="s">
        <v>381</v>
      </c>
      <c r="BE260" s="1334"/>
      <c r="BF260" s="1334"/>
      <c r="BG260" s="1353"/>
      <c r="BH260" s="1337"/>
      <c r="BI260" s="1305"/>
      <c r="BJ260" s="1354"/>
      <c r="BK260" s="1305"/>
      <c r="BL260" s="1339"/>
      <c r="BM260" s="1339"/>
      <c r="BN260" s="1339"/>
      <c r="BO260" s="1340"/>
      <c r="BP260" s="1340"/>
      <c r="BQ260" s="1340"/>
      <c r="BR260" s="1340"/>
      <c r="BS260" s="1339"/>
      <c r="BT260" s="1339"/>
      <c r="BU260" s="1339"/>
      <c r="BV260" s="1339"/>
      <c r="BW260" s="1339"/>
      <c r="BX260" s="1339"/>
      <c r="BY260" s="1334"/>
      <c r="BZ260" s="1334"/>
      <c r="CA260" s="1334"/>
    </row>
    <row r="261" spans="1:79" ht="17.850000000000001" customHeight="1" x14ac:dyDescent="0.4">
      <c r="A261" s="249"/>
      <c r="B261" s="249"/>
      <c r="C261" s="584" t="s">
        <v>307</v>
      </c>
      <c r="D261" s="1341"/>
      <c r="E261" s="1320"/>
      <c r="F261" s="1341"/>
      <c r="G261" s="1342"/>
      <c r="H261" s="1320"/>
      <c r="I261" s="1342"/>
      <c r="J261" s="1342"/>
      <c r="K261" s="1048"/>
      <c r="L261" s="1342"/>
      <c r="M261" s="1344"/>
      <c r="N261" s="2834"/>
      <c r="O261" s="1345"/>
      <c r="P261" s="1341"/>
      <c r="Q261" s="1341"/>
      <c r="R261" s="1342"/>
      <c r="S261" s="1320"/>
      <c r="T261" s="1343"/>
      <c r="U261" s="1323"/>
      <c r="V261" s="1320"/>
      <c r="W261" s="1325"/>
      <c r="X261" s="1305"/>
      <c r="Y261" s="1344"/>
      <c r="Z261" s="1343"/>
      <c r="AA261" s="1345"/>
      <c r="AB261" s="912"/>
      <c r="AC261" s="912"/>
      <c r="AD261" s="912"/>
      <c r="AE261" s="1328"/>
      <c r="AF261" s="1328"/>
      <c r="AG261" s="1328"/>
      <c r="AH261" s="1355"/>
      <c r="AI261" s="1328"/>
      <c r="AJ261" s="1355"/>
      <c r="AK261" s="1305"/>
      <c r="AL261" s="1333"/>
      <c r="AM261" s="1305"/>
      <c r="AN261" s="1330"/>
      <c r="AO261" s="1333"/>
      <c r="AP261" s="1305"/>
      <c r="AQ261" s="1334"/>
      <c r="AR261" s="1334"/>
      <c r="AS261" s="1334"/>
      <c r="AT261" s="1330"/>
      <c r="AU261" s="1338" t="s">
        <v>329</v>
      </c>
      <c r="AV261" s="1305"/>
      <c r="AW261" s="1330"/>
      <c r="AX261" s="1357"/>
      <c r="AY261" s="1305"/>
      <c r="AZ261" s="1334"/>
      <c r="BA261" s="1358"/>
      <c r="BB261" s="1334"/>
      <c r="BC261" s="1334"/>
      <c r="BD261" s="1352"/>
      <c r="BE261" s="1334"/>
      <c r="BF261" s="1334"/>
      <c r="BG261" s="1353"/>
      <c r="BH261" s="1334"/>
      <c r="BI261" s="1334"/>
      <c r="BJ261" s="1334"/>
      <c r="BK261" s="1334"/>
      <c r="BL261" s="1361"/>
      <c r="BM261" s="759"/>
      <c r="BN261" s="1339"/>
      <c r="BO261" s="1362"/>
      <c r="BP261" s="1363"/>
      <c r="BQ261" s="1364"/>
      <c r="BR261" s="1340"/>
      <c r="BS261" s="1361"/>
      <c r="BT261" s="759"/>
      <c r="BU261" s="1339"/>
      <c r="BV261" s="1361"/>
      <c r="BW261" s="759"/>
      <c r="BX261" s="1339"/>
      <c r="BY261" s="1350"/>
      <c r="BZ261" s="1360"/>
      <c r="CA261" s="1334"/>
    </row>
    <row r="262" spans="1:79" ht="22.5" customHeight="1" x14ac:dyDescent="0.4">
      <c r="A262" s="249"/>
      <c r="B262" s="249"/>
      <c r="C262" s="584" t="s">
        <v>307</v>
      </c>
      <c r="D262" s="1341"/>
      <c r="E262" s="1320"/>
      <c r="F262" s="1341"/>
      <c r="G262" s="1342"/>
      <c r="H262" s="1320"/>
      <c r="I262" s="1342"/>
      <c r="J262" s="1342"/>
      <c r="K262" s="1048"/>
      <c r="L262" s="1342"/>
      <c r="M262" s="1344"/>
      <c r="N262" s="2834"/>
      <c r="O262" s="1345"/>
      <c r="P262" s="1341"/>
      <c r="Q262" s="1341"/>
      <c r="R262" s="1342"/>
      <c r="S262" s="1320"/>
      <c r="T262" s="1343"/>
      <c r="U262" s="1323"/>
      <c r="V262" s="1320"/>
      <c r="W262" s="1341"/>
      <c r="X262" s="1305"/>
      <c r="Y262" s="1344"/>
      <c r="Z262" s="1343"/>
      <c r="AA262" s="1345"/>
      <c r="AB262" s="912"/>
      <c r="AC262" s="912"/>
      <c r="AD262" s="912"/>
      <c r="AE262" s="1328"/>
      <c r="AF262" s="1329"/>
      <c r="AG262" s="1328"/>
      <c r="AH262" s="1355"/>
      <c r="AI262" s="1355"/>
      <c r="AJ262" s="1355"/>
      <c r="AK262" s="1341"/>
      <c r="AL262" s="1347"/>
      <c r="AM262" s="1348"/>
      <c r="AN262" s="1330"/>
      <c r="AO262" s="1365"/>
      <c r="AP262" s="1332"/>
      <c r="AQ262" s="1334"/>
      <c r="AR262" s="1334"/>
      <c r="AS262" s="1334"/>
      <c r="AT262" s="1330"/>
      <c r="AU262" s="1338"/>
      <c r="AV262" s="1305"/>
      <c r="AW262" s="1353"/>
      <c r="AX262" s="1366"/>
      <c r="AY262" s="1305"/>
      <c r="AZ262" s="1367"/>
      <c r="BA262" s="1370" t="s">
        <v>412</v>
      </c>
      <c r="BB262" s="1369"/>
      <c r="BC262" s="1334"/>
      <c r="BD262" s="1352" t="s">
        <v>384</v>
      </c>
      <c r="BE262" s="1334"/>
      <c r="BF262" s="1367"/>
      <c r="BG262" s="1368" t="s">
        <v>413</v>
      </c>
      <c r="BH262" s="1369"/>
      <c r="BI262" s="1367"/>
      <c r="BJ262" s="1368" t="s">
        <v>414</v>
      </c>
      <c r="BK262" s="1369"/>
      <c r="BL262" s="1371"/>
      <c r="BM262" s="1339"/>
      <c r="BN262" s="1339"/>
      <c r="BO262" s="1340"/>
      <c r="BP262" s="1372"/>
      <c r="BQ262" s="1340"/>
      <c r="BR262" s="1340"/>
      <c r="BS262" s="1371"/>
      <c r="BT262" s="1339"/>
      <c r="BU262" s="1339"/>
      <c r="BV262" s="1371"/>
      <c r="BW262" s="1339"/>
      <c r="BX262" s="1339"/>
      <c r="BY262" s="1337"/>
      <c r="BZ262" s="1334"/>
      <c r="CA262" s="1334"/>
    </row>
    <row r="263" spans="1:79" ht="50.25" customHeight="1" x14ac:dyDescent="0.4">
      <c r="A263" s="249"/>
      <c r="B263" s="249"/>
      <c r="C263" s="584"/>
      <c r="D263" s="1341"/>
      <c r="E263" s="1320"/>
      <c r="F263" s="1341"/>
      <c r="G263" s="1342"/>
      <c r="H263" s="1320"/>
      <c r="I263" s="1342"/>
      <c r="J263" s="1342"/>
      <c r="K263" s="1048"/>
      <c r="L263" s="1342"/>
      <c r="M263" s="1344"/>
      <c r="N263" s="2834"/>
      <c r="O263" s="1345"/>
      <c r="P263" s="1341"/>
      <c r="Q263" s="1341"/>
      <c r="R263" s="1342"/>
      <c r="S263" s="1320"/>
      <c r="T263" s="1343"/>
      <c r="U263" s="1323"/>
      <c r="V263" s="1320"/>
      <c r="W263" s="1341"/>
      <c r="X263" s="1305"/>
      <c r="Y263" s="1344"/>
      <c r="Z263" s="1343"/>
      <c r="AA263" s="1345"/>
      <c r="AB263" s="912"/>
      <c r="AC263" s="912"/>
      <c r="AD263" s="912"/>
      <c r="AE263" s="1328"/>
      <c r="AF263" s="1329"/>
      <c r="AG263" s="1328"/>
      <c r="AH263" s="1355"/>
      <c r="AI263" s="1355"/>
      <c r="AJ263" s="1355"/>
      <c r="AK263" s="1341"/>
      <c r="AL263" s="1356"/>
      <c r="AM263" s="1348"/>
      <c r="AN263" s="1330"/>
      <c r="AO263" s="1365"/>
      <c r="AP263" s="1332"/>
      <c r="AQ263" s="1334"/>
      <c r="AR263" s="1334"/>
      <c r="AS263" s="1334"/>
      <c r="AT263" s="1330"/>
      <c r="AU263" s="1338"/>
      <c r="AV263" s="1305"/>
      <c r="AW263" s="1353"/>
      <c r="AX263" s="1366"/>
      <c r="AY263" s="1305"/>
      <c r="AZ263" s="1334"/>
      <c r="BA263" s="1334"/>
      <c r="BB263" s="1334"/>
      <c r="BC263" s="1334"/>
      <c r="BD263" s="1353"/>
      <c r="BE263" s="1334"/>
      <c r="BF263" s="1334"/>
      <c r="BG263" s="1334"/>
      <c r="BH263" s="1334"/>
      <c r="BI263" s="1334"/>
      <c r="BJ263" s="1334"/>
      <c r="BK263" s="1334"/>
      <c r="BL263" s="1371"/>
      <c r="BM263" s="1339"/>
      <c r="BN263" s="1339"/>
      <c r="BO263" s="1340"/>
      <c r="BP263" s="1372"/>
      <c r="BQ263" s="1340"/>
      <c r="BR263" s="1340"/>
      <c r="BS263" s="1371"/>
      <c r="BT263" s="1339"/>
      <c r="BU263" s="1339"/>
      <c r="BV263" s="1371"/>
      <c r="BW263" s="1339"/>
      <c r="BX263" s="1339"/>
      <c r="BY263" s="1337"/>
      <c r="BZ263" s="1334"/>
      <c r="CA263" s="1334"/>
    </row>
    <row r="264" spans="1:79" ht="67.5" customHeight="1" x14ac:dyDescent="0.4">
      <c r="A264" s="249"/>
      <c r="B264" s="249"/>
      <c r="C264" s="584" t="s">
        <v>307</v>
      </c>
      <c r="D264" s="1341"/>
      <c r="E264" s="1320"/>
      <c r="F264" s="1341"/>
      <c r="G264" s="1342"/>
      <c r="H264" s="1320"/>
      <c r="I264" s="1342"/>
      <c r="J264" s="1342"/>
      <c r="K264" s="1048"/>
      <c r="L264" s="1342"/>
      <c r="M264" s="1344"/>
      <c r="N264" s="2834"/>
      <c r="O264" s="1345"/>
      <c r="P264" s="1341"/>
      <c r="Q264" s="1341"/>
      <c r="R264" s="1342"/>
      <c r="S264" s="1320"/>
      <c r="T264" s="1343"/>
      <c r="U264" s="1323"/>
      <c r="V264" s="1320"/>
      <c r="W264" s="1341"/>
      <c r="X264" s="1305"/>
      <c r="Y264" s="1344"/>
      <c r="Z264" s="1343"/>
      <c r="AA264" s="1345"/>
      <c r="AB264" s="912"/>
      <c r="AC264" s="912"/>
      <c r="AD264" s="912"/>
      <c r="AE264" s="1328"/>
      <c r="AF264" s="1328"/>
      <c r="AG264" s="1328"/>
      <c r="AH264" s="1355"/>
      <c r="AI264" s="1355"/>
      <c r="AJ264" s="1355"/>
      <c r="AK264" s="1330"/>
      <c r="AL264" s="1360"/>
      <c r="AM264" s="1305"/>
      <c r="AN264" s="1333"/>
      <c r="AO264" s="1365"/>
      <c r="AP264" s="1332"/>
      <c r="AQ264" s="1334"/>
      <c r="AR264" s="1334"/>
      <c r="AS264" s="1334"/>
      <c r="AT264" s="1305"/>
      <c r="AU264" s="1333"/>
      <c r="AV264" s="1332"/>
      <c r="AW264" s="1353"/>
      <c r="AX264" s="1366"/>
      <c r="AY264" s="1305"/>
      <c r="AZ264" s="1334"/>
      <c r="BA264" s="1334"/>
      <c r="BB264" s="1334"/>
      <c r="BC264" s="1334"/>
      <c r="BD264" s="1334"/>
      <c r="BE264" s="1334"/>
      <c r="BF264" s="1334"/>
      <c r="BG264" s="1334"/>
      <c r="BH264" s="1334"/>
      <c r="BI264" s="1334"/>
      <c r="BJ264" s="1334"/>
      <c r="BK264" s="1334"/>
      <c r="BL264" s="1371"/>
      <c r="BM264" s="1339"/>
      <c r="BN264" s="1339"/>
      <c r="BO264" s="1340"/>
      <c r="BP264" s="1372"/>
      <c r="BQ264" s="1340"/>
      <c r="BR264" s="1340"/>
      <c r="BS264" s="1371"/>
      <c r="BT264" s="1339"/>
      <c r="BU264" s="1339"/>
      <c r="BV264" s="1371"/>
      <c r="BW264" s="1339"/>
      <c r="BX264" s="1339"/>
      <c r="BY264" s="1337"/>
      <c r="BZ264" s="1334"/>
      <c r="CA264" s="1334"/>
    </row>
    <row r="265" spans="1:79" ht="23.85" customHeight="1" x14ac:dyDescent="0.4">
      <c r="A265" s="249"/>
      <c r="B265" s="249"/>
      <c r="C265" s="584">
        <v>0.56597222222222199</v>
      </c>
      <c r="D265" s="1328"/>
      <c r="E265" s="1373"/>
      <c r="F265" s="1373"/>
      <c r="G265" s="1328"/>
      <c r="H265" s="1373"/>
      <c r="I265" s="1328"/>
      <c r="J265" s="1328"/>
      <c r="K265" s="2687"/>
      <c r="L265" s="1328"/>
      <c r="M265" s="1328"/>
      <c r="N265" s="2834"/>
      <c r="O265" s="1328"/>
      <c r="P265" s="1328"/>
      <c r="Q265" s="1373"/>
      <c r="R265" s="1328"/>
      <c r="S265" s="1328"/>
      <c r="T265" s="1373"/>
      <c r="U265" s="1328"/>
      <c r="V265" s="1328"/>
      <c r="W265" s="1373"/>
      <c r="X265" s="1328"/>
      <c r="Y265" s="1328"/>
      <c r="Z265" s="1373"/>
      <c r="AA265" s="1328"/>
      <c r="AB265" s="967"/>
      <c r="AC265" s="1374"/>
      <c r="AD265" s="967"/>
      <c r="AE265" s="1328"/>
      <c r="AF265" s="1373"/>
      <c r="AG265" s="1328"/>
      <c r="AH265" s="1355"/>
      <c r="AI265" s="1355"/>
      <c r="AJ265" s="1355"/>
      <c r="AK265" s="1350"/>
      <c r="AL265" s="1360"/>
      <c r="AM265" s="1334"/>
      <c r="AN265" s="1330"/>
      <c r="AO265" s="1375"/>
      <c r="AP265" s="1305"/>
      <c r="AQ265" s="1334"/>
      <c r="AR265" s="1334"/>
      <c r="AS265" s="1334"/>
      <c r="AT265" s="1305"/>
      <c r="AU265" s="1376"/>
      <c r="AV265" s="1305"/>
      <c r="AW265" s="1305"/>
      <c r="AX265" s="1333"/>
      <c r="AY265" s="1305"/>
      <c r="AZ265" s="1334"/>
      <c r="BA265" s="1334"/>
      <c r="BB265" s="1334"/>
      <c r="BC265" s="1334"/>
      <c r="BD265" s="1334"/>
      <c r="BE265" s="1334"/>
      <c r="BF265" s="1334"/>
      <c r="BG265" s="1334"/>
      <c r="BH265" s="1334"/>
      <c r="BI265" s="1334"/>
      <c r="BJ265" s="1334"/>
      <c r="BK265" s="1334"/>
      <c r="BL265" s="1339"/>
      <c r="BM265" s="1339"/>
      <c r="BN265" s="1339"/>
      <c r="BO265" s="1340"/>
      <c r="BP265" s="1340"/>
      <c r="BQ265" s="1340"/>
      <c r="BR265" s="1340"/>
      <c r="BS265" s="1339"/>
      <c r="BT265" s="1339"/>
      <c r="BU265" s="1339"/>
      <c r="BV265" s="1339"/>
      <c r="BW265" s="1339"/>
      <c r="BX265" s="1339"/>
      <c r="BY265" s="1334"/>
      <c r="BZ265" s="1334"/>
      <c r="CA265" s="1334"/>
    </row>
    <row r="266" spans="1:79" ht="36.6" customHeight="1" x14ac:dyDescent="0.4">
      <c r="A266" s="249"/>
      <c r="B266" s="249"/>
      <c r="C266" s="584">
        <v>0.56944444444444398</v>
      </c>
      <c r="D266" s="845"/>
      <c r="E266" s="688"/>
      <c r="F266" s="845"/>
      <c r="G266" s="1377"/>
      <c r="H266" s="594"/>
      <c r="I266" s="742"/>
      <c r="J266" s="935"/>
      <c r="K266" s="2688"/>
      <c r="L266" s="936"/>
      <c r="M266" s="1382"/>
      <c r="N266" s="2834"/>
      <c r="O266" s="1383"/>
      <c r="P266" s="1379"/>
      <c r="Q266" s="2834" t="s">
        <v>361</v>
      </c>
      <c r="R266" s="1380"/>
      <c r="S266" s="696"/>
      <c r="T266" s="2834" t="s">
        <v>361</v>
      </c>
      <c r="U266" s="1381"/>
      <c r="V266" s="709"/>
      <c r="W266" s="2834" t="s">
        <v>361</v>
      </c>
      <c r="X266" s="684"/>
      <c r="Y266" s="1382"/>
      <c r="Z266" s="2834" t="s">
        <v>361</v>
      </c>
      <c r="AA266" s="1383"/>
      <c r="AB266" s="1384"/>
      <c r="AC266" s="2843" t="s">
        <v>361</v>
      </c>
      <c r="AD266" s="1384"/>
      <c r="AE266" s="1385"/>
      <c r="AF266" s="1385"/>
      <c r="AG266" s="1385"/>
      <c r="AH266" s="1386"/>
      <c r="AI266" s="1387"/>
      <c r="AJ266" s="1388"/>
      <c r="AK266" s="1272"/>
      <c r="AL266" s="1201" t="s">
        <v>415</v>
      </c>
      <c r="AM266" s="1272"/>
      <c r="AN266" s="1273"/>
      <c r="AO266" s="1204"/>
      <c r="AP266" s="1275"/>
      <c r="AQ266" s="1389"/>
      <c r="AR266" s="1390"/>
      <c r="AS266" s="1391"/>
      <c r="AT266" s="1392"/>
      <c r="AU266" s="1393"/>
      <c r="AV266" s="1394"/>
      <c r="AW266" s="1395"/>
      <c r="AX266" s="1395"/>
      <c r="AY266" s="1395"/>
      <c r="AZ266" s="1396"/>
      <c r="BA266" s="1397"/>
      <c r="BB266" s="1398"/>
      <c r="BC266" s="1399"/>
      <c r="BD266" s="1400"/>
      <c r="BE266" s="687"/>
      <c r="BF266" s="1217"/>
      <c r="BG266" s="1218"/>
      <c r="BH266" s="2602"/>
      <c r="BI266" s="1219"/>
      <c r="BJ266" s="1403"/>
      <c r="BK266" s="1402"/>
      <c r="BL266" s="1339"/>
      <c r="BM266" s="1371"/>
      <c r="BN266" s="1339"/>
      <c r="BO266" s="1406"/>
      <c r="BP266" s="1406"/>
      <c r="BQ266" s="1407"/>
      <c r="BR266" s="1406"/>
      <c r="BS266" s="1339"/>
      <c r="BT266" s="1371"/>
      <c r="BU266" s="1339"/>
      <c r="BV266" s="1339"/>
      <c r="BW266" s="1371"/>
      <c r="BX266" s="1339"/>
      <c r="BY266" s="1404"/>
      <c r="BZ266" s="1405"/>
      <c r="CA266" s="1404"/>
    </row>
    <row r="267" spans="1:79" ht="23.85" customHeight="1" x14ac:dyDescent="0.4">
      <c r="A267" s="249"/>
      <c r="B267" s="249"/>
      <c r="C267" s="584">
        <v>0.57291666666666596</v>
      </c>
      <c r="D267" s="1237"/>
      <c r="E267" s="609"/>
      <c r="F267" s="609"/>
      <c r="G267" s="1238"/>
      <c r="H267" s="612"/>
      <c r="I267" s="1239"/>
      <c r="J267" s="848"/>
      <c r="K267" s="2688"/>
      <c r="L267" s="705"/>
      <c r="M267" s="1382"/>
      <c r="N267" s="2834"/>
      <c r="O267" s="1383"/>
      <c r="P267" s="851"/>
      <c r="Q267" s="2834"/>
      <c r="R267" s="708"/>
      <c r="S267" s="696"/>
      <c r="T267" s="2834"/>
      <c r="U267" s="1381"/>
      <c r="V267" s="709"/>
      <c r="W267" s="2834"/>
      <c r="X267" s="684"/>
      <c r="Y267" s="1382"/>
      <c r="Z267" s="2834"/>
      <c r="AA267" s="1383"/>
      <c r="AB267" s="1384"/>
      <c r="AC267" s="2843"/>
      <c r="AD267" s="1384"/>
      <c r="AE267" s="1385"/>
      <c r="AF267" s="1385" t="s">
        <v>332</v>
      </c>
      <c r="AG267" s="1408"/>
      <c r="AH267" s="1159"/>
      <c r="AI267" s="1160" t="s">
        <v>331</v>
      </c>
      <c r="AJ267" s="1160"/>
      <c r="AK267" s="1283"/>
      <c r="AL267" s="1227" t="s">
        <v>416</v>
      </c>
      <c r="AM267" s="1285"/>
      <c r="AN267" s="1421"/>
      <c r="AO267" s="1422"/>
      <c r="AP267" s="1275"/>
      <c r="AQ267" s="1409"/>
      <c r="AR267" s="1410"/>
      <c r="AS267" s="778"/>
      <c r="AT267" s="1411"/>
      <c r="AU267" s="2603" t="s">
        <v>417</v>
      </c>
      <c r="AV267" s="1413"/>
      <c r="AW267" s="1278"/>
      <c r="AX267" s="1414"/>
      <c r="AY267" s="1278"/>
      <c r="AZ267" s="1280"/>
      <c r="BA267" s="1397"/>
      <c r="BB267" s="1280"/>
      <c r="BC267" s="1399"/>
      <c r="BD267" s="1400"/>
      <c r="BE267" s="687"/>
      <c r="BF267" s="1234"/>
      <c r="BG267" s="2604" t="s">
        <v>379</v>
      </c>
      <c r="BH267" s="1234"/>
      <c r="BI267" s="1219"/>
      <c r="BJ267" s="2605"/>
      <c r="BK267" s="1402"/>
      <c r="BL267" s="1339"/>
      <c r="BM267" s="1371"/>
      <c r="BN267" s="1339"/>
      <c r="BO267" s="1406"/>
      <c r="BP267" s="1406"/>
      <c r="BQ267" s="1407"/>
      <c r="BR267" s="1406"/>
      <c r="BS267" s="1339"/>
      <c r="BT267" s="1371"/>
      <c r="BU267" s="1339"/>
      <c r="BV267" s="1339"/>
      <c r="BW267" s="1371"/>
      <c r="BX267" s="1339"/>
      <c r="BY267" s="1404"/>
      <c r="BZ267" s="1405"/>
      <c r="CA267" s="1404"/>
    </row>
    <row r="268" spans="1:79" ht="40.35" customHeight="1" x14ac:dyDescent="0.4">
      <c r="A268" s="249"/>
      <c r="B268" s="249"/>
      <c r="C268" s="584" t="s">
        <v>307</v>
      </c>
      <c r="D268" s="845"/>
      <c r="E268" s="1416"/>
      <c r="F268" s="1417"/>
      <c r="G268" s="1377"/>
      <c r="H268" s="1418"/>
      <c r="I268" s="742"/>
      <c r="J268" s="848"/>
      <c r="K268" s="2688"/>
      <c r="L268" s="705"/>
      <c r="M268" s="1382"/>
      <c r="N268" s="2834"/>
      <c r="O268" s="1383"/>
      <c r="P268" s="851"/>
      <c r="Q268" s="2834"/>
      <c r="R268" s="708"/>
      <c r="S268" s="696"/>
      <c r="T268" s="2834"/>
      <c r="U268" s="1381"/>
      <c r="V268" s="709"/>
      <c r="W268" s="2834"/>
      <c r="X268" s="684"/>
      <c r="Y268" s="1382"/>
      <c r="Z268" s="2834"/>
      <c r="AA268" s="1383"/>
      <c r="AB268" s="1384"/>
      <c r="AC268" s="2843"/>
      <c r="AD268" s="1384"/>
      <c r="AE268" s="1385"/>
      <c r="AF268" s="1419" t="s">
        <v>418</v>
      </c>
      <c r="AG268" s="1385"/>
      <c r="AH268" s="1160"/>
      <c r="AI268" s="1164" t="s">
        <v>349</v>
      </c>
      <c r="AJ268" s="1160"/>
      <c r="AK268" s="1420"/>
      <c r="AL268" s="1284" t="s">
        <v>350</v>
      </c>
      <c r="AM268" s="1283"/>
      <c r="AN268" s="1421"/>
      <c r="AO268" s="1422"/>
      <c r="AP268" s="1275"/>
      <c r="AQ268" s="1391"/>
      <c r="AR268" s="2606" t="s">
        <v>334</v>
      </c>
      <c r="AS268" s="1391"/>
      <c r="AT268" s="1210"/>
      <c r="AU268" s="1244"/>
      <c r="AV268" s="1277"/>
      <c r="AW268" s="1278"/>
      <c r="AX268" s="1414"/>
      <c r="AY268" s="1278"/>
      <c r="AZ268" s="1280"/>
      <c r="BA268" s="2607" t="s">
        <v>419</v>
      </c>
      <c r="BB268" s="1280"/>
      <c r="BC268" s="1425"/>
      <c r="BD268" s="1400"/>
      <c r="BE268" s="784"/>
      <c r="BF268" s="1248"/>
      <c r="BG268" s="2608" t="s">
        <v>381</v>
      </c>
      <c r="BH268" s="2609"/>
      <c r="BI268" s="1292"/>
      <c r="BJ268" s="2610"/>
      <c r="BK268" s="1292"/>
      <c r="BL268" s="1339"/>
      <c r="BM268" s="1371"/>
      <c r="BN268" s="1339"/>
      <c r="BO268" s="1406"/>
      <c r="BP268" s="1406"/>
      <c r="BQ268" s="1407"/>
      <c r="BR268" s="1406"/>
      <c r="BS268" s="1339"/>
      <c r="BT268" s="1371"/>
      <c r="BU268" s="1339"/>
      <c r="BV268" s="1339"/>
      <c r="BW268" s="1371"/>
      <c r="BX268" s="1339"/>
      <c r="BY268" s="1404"/>
      <c r="BZ268" s="1405"/>
      <c r="CA268" s="1404"/>
    </row>
    <row r="269" spans="1:79" ht="45.6" customHeight="1" x14ac:dyDescent="0.4">
      <c r="A269" s="249"/>
      <c r="B269" s="249"/>
      <c r="C269" s="584" t="s">
        <v>307</v>
      </c>
      <c r="D269" s="845"/>
      <c r="E269" s="1416"/>
      <c r="F269" s="1417"/>
      <c r="G269" s="1377"/>
      <c r="H269" s="1418"/>
      <c r="I269" s="742"/>
      <c r="J269" s="848"/>
      <c r="K269" s="2688"/>
      <c r="L269" s="705"/>
      <c r="M269" s="1382"/>
      <c r="N269" s="2834"/>
      <c r="O269" s="1383"/>
      <c r="P269" s="851"/>
      <c r="Q269" s="2834"/>
      <c r="R269" s="708"/>
      <c r="S269" s="696"/>
      <c r="T269" s="2834"/>
      <c r="U269" s="1381"/>
      <c r="V269" s="709"/>
      <c r="W269" s="2834"/>
      <c r="X269" s="684"/>
      <c r="Y269" s="1382"/>
      <c r="Z269" s="2834"/>
      <c r="AA269" s="1383"/>
      <c r="AB269" s="1384"/>
      <c r="AC269" s="2843"/>
      <c r="AD269" s="1384"/>
      <c r="AE269" s="1157"/>
      <c r="AF269" s="1429"/>
      <c r="AG269" s="1157"/>
      <c r="AH269" s="1430"/>
      <c r="AI269" s="793" t="s">
        <v>336</v>
      </c>
      <c r="AJ269" s="1430"/>
      <c r="AK269" s="1420"/>
      <c r="AL269" s="2553" t="s">
        <v>420</v>
      </c>
      <c r="AM269" s="1283"/>
      <c r="AN269" s="1273"/>
      <c r="AO269" s="1437"/>
      <c r="AP269" s="1275"/>
      <c r="AQ269" s="778"/>
      <c r="AR269" s="1276"/>
      <c r="AS269" s="1207"/>
      <c r="AT269" s="1210"/>
      <c r="AU269" s="1244"/>
      <c r="AV269" s="1277"/>
      <c r="AW269" s="1278"/>
      <c r="AX269" s="1279"/>
      <c r="AY269" s="1278"/>
      <c r="AZ269" s="1280"/>
      <c r="BA269" s="1424" t="s">
        <v>421</v>
      </c>
      <c r="BB269" s="1280"/>
      <c r="BC269" s="1425"/>
      <c r="BD269" s="1400"/>
      <c r="BE269" s="784"/>
      <c r="BF269" s="1234"/>
      <c r="BG269" s="1269" t="s">
        <v>384</v>
      </c>
      <c r="BH269" s="2611"/>
      <c r="BI269" s="1292"/>
      <c r="BJ269" s="1271"/>
      <c r="BK269" s="1292"/>
      <c r="BL269" s="1339"/>
      <c r="BM269" s="1371"/>
      <c r="BN269" s="1339"/>
      <c r="BO269" s="1406"/>
      <c r="BP269" s="1406"/>
      <c r="BQ269" s="1433"/>
      <c r="BR269" s="1406"/>
      <c r="BS269" s="1339"/>
      <c r="BT269" s="1371"/>
      <c r="BU269" s="1339"/>
      <c r="BV269" s="1339"/>
      <c r="BW269" s="1371"/>
      <c r="BX269" s="1339"/>
      <c r="BY269" s="1404"/>
      <c r="BZ269" s="1432"/>
      <c r="CA269" s="1404"/>
    </row>
    <row r="270" spans="1:79" ht="45" customHeight="1" x14ac:dyDescent="0.4">
      <c r="A270" s="249"/>
      <c r="B270" s="249"/>
      <c r="C270" s="584" t="s">
        <v>307</v>
      </c>
      <c r="D270" s="845"/>
      <c r="E270" s="1416"/>
      <c r="F270" s="1417"/>
      <c r="G270" s="1377"/>
      <c r="H270" s="1418"/>
      <c r="I270" s="742"/>
      <c r="J270" s="848"/>
      <c r="K270" s="2688"/>
      <c r="L270" s="705"/>
      <c r="M270" s="1382"/>
      <c r="N270" s="2834"/>
      <c r="O270" s="1383"/>
      <c r="P270" s="851"/>
      <c r="Q270" s="2834"/>
      <c r="R270" s="708"/>
      <c r="S270" s="696"/>
      <c r="T270" s="2834"/>
      <c r="U270" s="1381"/>
      <c r="V270" s="709"/>
      <c r="W270" s="2834"/>
      <c r="X270" s="684"/>
      <c r="Y270" s="1382"/>
      <c r="Z270" s="2834"/>
      <c r="AA270" s="1383"/>
      <c r="AB270" s="1434"/>
      <c r="AC270" s="2843"/>
      <c r="AD270" s="1384"/>
      <c r="AE270" s="1385"/>
      <c r="AF270" s="1385"/>
      <c r="AG270" s="1435"/>
      <c r="AH270" s="1388"/>
      <c r="AI270" s="1386"/>
      <c r="AJ270" s="1388"/>
      <c r="AK270" s="1420"/>
      <c r="AL270" s="1227"/>
      <c r="AM270" s="1283"/>
      <c r="AN270" s="1273"/>
      <c r="AO270" s="1437"/>
      <c r="AP270" s="1438"/>
      <c r="AQ270" s="1134"/>
      <c r="AR270" s="1276"/>
      <c r="AS270" s="1207"/>
      <c r="AT270" s="1392"/>
      <c r="AU270" s="1412"/>
      <c r="AV270" s="1439"/>
      <c r="AW270" s="1440"/>
      <c r="AX270" s="1441"/>
      <c r="AY270" s="1278"/>
      <c r="AZ270" s="1442"/>
      <c r="BA270" s="1424" t="s">
        <v>422</v>
      </c>
      <c r="BB270" s="1442"/>
      <c r="BC270" s="1399"/>
      <c r="BD270" s="975" t="s">
        <v>423</v>
      </c>
      <c r="BE270" s="869"/>
      <c r="BF270" s="1234"/>
      <c r="BG270" s="1269"/>
      <c r="BH270" s="2611"/>
      <c r="BI270" s="1292"/>
      <c r="BJ270" s="1282"/>
      <c r="BK270" s="1292"/>
      <c r="BL270" s="1339"/>
      <c r="BM270" s="1446"/>
      <c r="BN270" s="1339"/>
      <c r="BO270" s="1406"/>
      <c r="BP270" s="1406"/>
      <c r="BQ270" s="1447"/>
      <c r="BR270" s="1406"/>
      <c r="BS270" s="1339"/>
      <c r="BT270" s="1446"/>
      <c r="BU270" s="1339"/>
      <c r="BV270" s="1339"/>
      <c r="BW270" s="1446"/>
      <c r="BX270" s="1339"/>
      <c r="BY270" s="1404"/>
      <c r="BZ270" s="1445"/>
      <c r="CA270" s="1404"/>
    </row>
    <row r="271" spans="1:79" ht="21" customHeight="1" x14ac:dyDescent="0.4">
      <c r="A271" s="249"/>
      <c r="B271" s="249"/>
      <c r="C271" s="584" t="s">
        <v>307</v>
      </c>
      <c r="D271" s="845"/>
      <c r="E271" s="1416"/>
      <c r="F271" s="1417"/>
      <c r="G271" s="1377"/>
      <c r="H271" s="1418"/>
      <c r="I271" s="742"/>
      <c r="J271" s="848"/>
      <c r="K271" s="2688"/>
      <c r="L271" s="705"/>
      <c r="M271" s="1382"/>
      <c r="N271" s="2834"/>
      <c r="O271" s="1383"/>
      <c r="P271" s="851"/>
      <c r="Q271" s="2834"/>
      <c r="R271" s="708"/>
      <c r="S271" s="696"/>
      <c r="T271" s="2834"/>
      <c r="U271" s="1381"/>
      <c r="V271" s="709"/>
      <c r="W271" s="2834"/>
      <c r="X271" s="684"/>
      <c r="Y271" s="1382"/>
      <c r="Z271" s="2834"/>
      <c r="AA271" s="1383"/>
      <c r="AB271" s="1434"/>
      <c r="AC271" s="2843"/>
      <c r="AD271" s="1384"/>
      <c r="AE271" s="1435"/>
      <c r="AF271" s="1448"/>
      <c r="AG271" s="1435"/>
      <c r="AH271" s="1388"/>
      <c r="AI271" s="1388"/>
      <c r="AJ271" s="1388"/>
      <c r="AK271" s="1420"/>
      <c r="AL271" s="1449"/>
      <c r="AM271" s="1283"/>
      <c r="AN271" s="1273"/>
      <c r="AO271" s="1450"/>
      <c r="AP271" s="1438"/>
      <c r="AQ271" s="1391"/>
      <c r="AR271" s="1451"/>
      <c r="AS271" s="1391"/>
      <c r="AT271" s="1452"/>
      <c r="AU271" s="1453"/>
      <c r="AV271" s="1454"/>
      <c r="AW271" s="1440"/>
      <c r="AX271" s="1455"/>
      <c r="AY271" s="1278"/>
      <c r="AZ271" s="1442"/>
      <c r="BA271" s="1456"/>
      <c r="BB271" s="1442"/>
      <c r="BC271" s="916"/>
      <c r="BD271" s="1457"/>
      <c r="BE271" s="916"/>
      <c r="BF271" s="1234"/>
      <c r="BG271" s="1269"/>
      <c r="BH271" s="2612"/>
      <c r="BI271" s="1292"/>
      <c r="BJ271" s="2613"/>
      <c r="BK271" s="1292"/>
      <c r="BL271" s="1339"/>
      <c r="BM271" s="1446"/>
      <c r="BN271" s="1339"/>
      <c r="BO271" s="1406"/>
      <c r="BP271" s="1406"/>
      <c r="BQ271" s="1447"/>
      <c r="BR271" s="1406"/>
      <c r="BS271" s="1339"/>
      <c r="BT271" s="1446"/>
      <c r="BU271" s="1339"/>
      <c r="BV271" s="1339"/>
      <c r="BW271" s="1446"/>
      <c r="BX271" s="1339"/>
      <c r="BY271" s="1404"/>
      <c r="BZ271" s="1445"/>
      <c r="CA271" s="1404"/>
    </row>
    <row r="272" spans="1:79" ht="21" customHeight="1" x14ac:dyDescent="0.4">
      <c r="A272" s="249"/>
      <c r="B272" s="249"/>
      <c r="C272" s="584" t="s">
        <v>307</v>
      </c>
      <c r="D272" s="845"/>
      <c r="E272" s="1416"/>
      <c r="F272" s="1417"/>
      <c r="G272" s="1377"/>
      <c r="H272" s="1418"/>
      <c r="I272" s="742"/>
      <c r="J272" s="848"/>
      <c r="K272" s="2688"/>
      <c r="L272" s="705"/>
      <c r="M272" s="685"/>
      <c r="N272" s="2834"/>
      <c r="O272" s="1383"/>
      <c r="P272" s="851"/>
      <c r="Q272" s="2834"/>
      <c r="R272" s="708"/>
      <c r="S272" s="696"/>
      <c r="T272" s="2834"/>
      <c r="U272" s="1459"/>
      <c r="V272" s="709"/>
      <c r="W272" s="2834"/>
      <c r="X272" s="684"/>
      <c r="Y272" s="685"/>
      <c r="Z272" s="2834"/>
      <c r="AA272" s="1383"/>
      <c r="AB272" s="1399"/>
      <c r="AC272" s="2843"/>
      <c r="AD272" s="1399"/>
      <c r="AE272" s="1435"/>
      <c r="AF272" s="1448"/>
      <c r="AG272" s="1435"/>
      <c r="AH272" s="1388"/>
      <c r="AI272" s="1388"/>
      <c r="AJ272" s="1388"/>
      <c r="AK272" s="1420"/>
      <c r="AL272" s="1449"/>
      <c r="AM272" s="1283"/>
      <c r="AN272" s="1273"/>
      <c r="AO272" s="1450"/>
      <c r="AP272" s="1438"/>
      <c r="AQ272" s="1391"/>
      <c r="AR272" s="1451"/>
      <c r="AS272" s="1391"/>
      <c r="AT272" s="1392"/>
      <c r="AU272" s="1392"/>
      <c r="AV272" s="1460"/>
      <c r="AW272" s="1461"/>
      <c r="AX272" s="1455"/>
      <c r="AY272" s="1395"/>
      <c r="AZ272" s="1442"/>
      <c r="BA272" s="1456"/>
      <c r="BB272" s="1442"/>
      <c r="BC272" s="1399"/>
      <c r="BD272" s="1462"/>
      <c r="BE272" s="869"/>
      <c r="BF272" s="1234"/>
      <c r="BG272" s="1260"/>
      <c r="BH272" s="1234"/>
      <c r="BI272" s="1292"/>
      <c r="BJ272" s="2613"/>
      <c r="BK272" s="1292"/>
      <c r="BL272" s="1339"/>
      <c r="BM272" s="1446"/>
      <c r="BN272" s="1339"/>
      <c r="BO272" s="1406"/>
      <c r="BP272" s="1406"/>
      <c r="BQ272" s="1447"/>
      <c r="BR272" s="1406"/>
      <c r="BS272" s="1339"/>
      <c r="BT272" s="1446"/>
      <c r="BU272" s="1339"/>
      <c r="BV272" s="1339"/>
      <c r="BW272" s="1446"/>
      <c r="BX272" s="1339"/>
      <c r="BY272" s="1404"/>
      <c r="BZ272" s="1445"/>
      <c r="CA272" s="1404"/>
    </row>
    <row r="273" spans="1:79" ht="13.5" customHeight="1" x14ac:dyDescent="0.4">
      <c r="A273" s="249"/>
      <c r="B273" s="249"/>
      <c r="C273" s="584" t="s">
        <v>307</v>
      </c>
      <c r="D273" s="845"/>
      <c r="E273" s="1416"/>
      <c r="F273" s="1417"/>
      <c r="G273" s="1377"/>
      <c r="H273" s="1418"/>
      <c r="I273" s="742"/>
      <c r="J273" s="848"/>
      <c r="K273" s="2805" t="s">
        <v>368</v>
      </c>
      <c r="L273" s="705"/>
      <c r="M273" s="685"/>
      <c r="N273" s="2834"/>
      <c r="O273" s="1383"/>
      <c r="P273" s="851"/>
      <c r="Q273" s="2834"/>
      <c r="R273" s="708"/>
      <c r="S273" s="696"/>
      <c r="T273" s="2834"/>
      <c r="U273" s="1459"/>
      <c r="V273" s="709"/>
      <c r="W273" s="2834"/>
      <c r="X273" s="684"/>
      <c r="Y273" s="685"/>
      <c r="Z273" s="2834"/>
      <c r="AA273" s="1383"/>
      <c r="AB273" s="1465"/>
      <c r="AC273" s="2843"/>
      <c r="AD273" s="1399"/>
      <c r="AE273" s="1466"/>
      <c r="AF273" s="1467"/>
      <c r="AG273" s="1385"/>
      <c r="AH273" s="1388"/>
      <c r="AI273" s="1468"/>
      <c r="AJ273" s="1388"/>
      <c r="AK273" s="1420"/>
      <c r="AL273" s="1449"/>
      <c r="AM273" s="1469"/>
      <c r="AN273" s="1470"/>
      <c r="AO273" s="1471"/>
      <c r="AP273" s="1273"/>
      <c r="AQ273" s="1391"/>
      <c r="AR273" s="1472"/>
      <c r="AS273" s="1391"/>
      <c r="AT273" s="1392"/>
      <c r="AU273" s="1473"/>
      <c r="AV273" s="1394"/>
      <c r="AW273" s="1461"/>
      <c r="AX273" s="1474"/>
      <c r="AY273" s="1395"/>
      <c r="AZ273" s="1442"/>
      <c r="BA273" s="1475"/>
      <c r="BB273" s="1442"/>
      <c r="BC273" s="916"/>
      <c r="BD273" s="869"/>
      <c r="BE273" s="916"/>
      <c r="BF273" s="1234"/>
      <c r="BG273" s="1260"/>
      <c r="BH273" s="1234"/>
      <c r="BI273" s="1292"/>
      <c r="BJ273" s="2613"/>
      <c r="BK273" s="1292"/>
      <c r="BL273" s="1371"/>
      <c r="BM273" s="1371"/>
      <c r="BN273" s="1339"/>
      <c r="BO273" s="1406"/>
      <c r="BP273" s="1433"/>
      <c r="BQ273" s="1407"/>
      <c r="BR273" s="1406"/>
      <c r="BS273" s="1371"/>
      <c r="BT273" s="1371"/>
      <c r="BU273" s="1339"/>
      <c r="BV273" s="1371"/>
      <c r="BW273" s="1371"/>
      <c r="BX273" s="1339"/>
      <c r="BY273" s="1432"/>
      <c r="BZ273" s="1405"/>
      <c r="CA273" s="1404"/>
    </row>
    <row r="274" spans="1:79" ht="13.5" customHeight="1" x14ac:dyDescent="0.4">
      <c r="A274" s="249"/>
      <c r="B274" s="249"/>
      <c r="C274" s="584">
        <v>0.57638888888888795</v>
      </c>
      <c r="D274" s="845"/>
      <c r="E274" s="1416"/>
      <c r="F274" s="1417"/>
      <c r="G274" s="1377"/>
      <c r="H274" s="1418"/>
      <c r="I274" s="742"/>
      <c r="J274" s="848"/>
      <c r="K274" s="2688"/>
      <c r="L274" s="705"/>
      <c r="M274" s="685"/>
      <c r="N274" s="2834"/>
      <c r="O274" s="1383"/>
      <c r="P274" s="851"/>
      <c r="Q274" s="2834"/>
      <c r="R274" s="708"/>
      <c r="S274" s="696"/>
      <c r="T274" s="2834"/>
      <c r="U274" s="1459"/>
      <c r="V274" s="709"/>
      <c r="W274" s="2834"/>
      <c r="X274" s="684"/>
      <c r="Y274" s="685"/>
      <c r="Z274" s="2834"/>
      <c r="AA274" s="1383"/>
      <c r="AB274" s="1465"/>
      <c r="AC274" s="2843"/>
      <c r="AD274" s="1399"/>
      <c r="AE274" s="1466"/>
      <c r="AF274" s="1467"/>
      <c r="AG274" s="1385"/>
      <c r="AH274" s="1388"/>
      <c r="AI274" s="1468"/>
      <c r="AJ274" s="1388"/>
      <c r="AK274" s="1420"/>
      <c r="AL274" s="1477"/>
      <c r="AM274" s="1469"/>
      <c r="AN274" s="1470"/>
      <c r="AO274" s="1471"/>
      <c r="AP274" s="1273"/>
      <c r="AQ274" s="1391"/>
      <c r="AR274" s="1472"/>
      <c r="AS274" s="1391"/>
      <c r="AT274" s="1392"/>
      <c r="AU274" s="2844"/>
      <c r="AV274" s="1394"/>
      <c r="AW274" s="1461"/>
      <c r="AX274" s="2845"/>
      <c r="AY274" s="1395"/>
      <c r="AZ274" s="1442"/>
      <c r="BA274" s="1475"/>
      <c r="BB274" s="1442"/>
      <c r="BC274" s="916"/>
      <c r="BD274" s="1291"/>
      <c r="BE274" s="916"/>
      <c r="BF274" s="1234"/>
      <c r="BG274" s="2614"/>
      <c r="BH274" s="1234"/>
      <c r="BI274" s="1292"/>
      <c r="BJ274" s="1476"/>
      <c r="BK274" s="1292"/>
      <c r="BL274" s="1371"/>
      <c r="BM274" s="1371"/>
      <c r="BN274" s="1339"/>
      <c r="BO274" s="1406"/>
      <c r="BP274" s="1433"/>
      <c r="BQ274" s="1407"/>
      <c r="BR274" s="1406"/>
      <c r="BS274" s="1371"/>
      <c r="BT274" s="1371"/>
      <c r="BU274" s="1339"/>
      <c r="BV274" s="1371"/>
      <c r="BW274" s="1371"/>
      <c r="BX274" s="1339"/>
      <c r="BY274" s="1432"/>
      <c r="BZ274" s="1405"/>
      <c r="CA274" s="1404"/>
    </row>
    <row r="275" spans="1:79" ht="29.25" customHeight="1" x14ac:dyDescent="0.4">
      <c r="A275" s="249"/>
      <c r="B275" s="249"/>
      <c r="C275" s="584" t="s">
        <v>307</v>
      </c>
      <c r="D275" s="845"/>
      <c r="E275" s="1416"/>
      <c r="F275" s="1417"/>
      <c r="G275" s="1377"/>
      <c r="H275" s="1418"/>
      <c r="I275" s="742"/>
      <c r="J275" s="848"/>
      <c r="K275" s="2688"/>
      <c r="L275" s="705"/>
      <c r="M275" s="685"/>
      <c r="N275" s="2834"/>
      <c r="O275" s="1383"/>
      <c r="P275" s="851"/>
      <c r="Q275" s="2834"/>
      <c r="R275" s="708"/>
      <c r="S275" s="697"/>
      <c r="T275" s="2834"/>
      <c r="U275" s="1459"/>
      <c r="V275" s="709"/>
      <c r="W275" s="2834"/>
      <c r="X275" s="684"/>
      <c r="Y275" s="685"/>
      <c r="Z275" s="2834"/>
      <c r="AA275" s="1383"/>
      <c r="AB275" s="1465"/>
      <c r="AC275" s="2843"/>
      <c r="AD275" s="1399"/>
      <c r="AE275" s="1466"/>
      <c r="AF275" s="1478"/>
      <c r="AG275" s="1385"/>
      <c r="AH275" s="1388"/>
      <c r="AI275" s="1468"/>
      <c r="AJ275" s="1388"/>
      <c r="AK275" s="1285"/>
      <c r="AL275" s="1479"/>
      <c r="AM275" s="1469"/>
      <c r="AN275" s="1421"/>
      <c r="AO275" s="1480"/>
      <c r="AP275" s="1273"/>
      <c r="AQ275" s="1391"/>
      <c r="AR275" s="1472"/>
      <c r="AS275" s="1391"/>
      <c r="AT275" s="1392"/>
      <c r="AU275" s="2844"/>
      <c r="AV275" s="1394"/>
      <c r="AW275" s="1461"/>
      <c r="AX275" s="2845"/>
      <c r="AY275" s="1395"/>
      <c r="AZ275" s="1442"/>
      <c r="BA275" s="1475"/>
      <c r="BB275" s="1442"/>
      <c r="BC275" s="916"/>
      <c r="BD275" s="1291"/>
      <c r="BE275" s="916"/>
      <c r="BF275" s="1234"/>
      <c r="BG275" s="2614"/>
      <c r="BH275" s="1234"/>
      <c r="BI275" s="1292"/>
      <c r="BJ275" s="1476"/>
      <c r="BK275" s="1292"/>
      <c r="BL275" s="1371"/>
      <c r="BM275" s="1371"/>
      <c r="BN275" s="1339"/>
      <c r="BO275" s="1406"/>
      <c r="BP275" s="1433"/>
      <c r="BQ275" s="1407"/>
      <c r="BR275" s="1406"/>
      <c r="BS275" s="1371"/>
      <c r="BT275" s="1371"/>
      <c r="BU275" s="1339"/>
      <c r="BV275" s="1371"/>
      <c r="BW275" s="1371"/>
      <c r="BX275" s="1339"/>
      <c r="BY275" s="1432"/>
      <c r="BZ275" s="1405"/>
      <c r="CA275" s="1404"/>
    </row>
    <row r="276" spans="1:79" ht="37.35" customHeight="1" x14ac:dyDescent="0.4">
      <c r="A276" s="249"/>
      <c r="B276" s="249"/>
      <c r="C276" s="802">
        <v>0.57986111111111005</v>
      </c>
      <c r="D276" s="804"/>
      <c r="E276" s="1481"/>
      <c r="F276" s="1482"/>
      <c r="G276" s="1483"/>
      <c r="H276" s="1484"/>
      <c r="I276" s="873"/>
      <c r="J276" s="1485"/>
      <c r="K276" s="2688"/>
      <c r="L276" s="875"/>
      <c r="M276" s="1488"/>
      <c r="N276" s="2834"/>
      <c r="O276" s="1489"/>
      <c r="P276" s="850"/>
      <c r="Q276" s="2834"/>
      <c r="R276" s="878"/>
      <c r="S276" s="1017"/>
      <c r="T276" s="2834"/>
      <c r="U276" s="1487"/>
      <c r="V276" s="814"/>
      <c r="W276" s="2834"/>
      <c r="X276" s="814"/>
      <c r="Y276" s="1488"/>
      <c r="Z276" s="2834"/>
      <c r="AA276" s="1489"/>
      <c r="AB276" s="1490"/>
      <c r="AC276" s="2843"/>
      <c r="AD276" s="1491"/>
      <c r="AE276" s="1492"/>
      <c r="AF276" s="1448"/>
      <c r="AG276" s="1493"/>
      <c r="AH276" s="1494"/>
      <c r="AI276" s="1495"/>
      <c r="AJ276" s="1494"/>
      <c r="AK276" s="1496"/>
      <c r="AL276" s="1497"/>
      <c r="AM276" s="1496"/>
      <c r="AN276" s="1498"/>
      <c r="AO276" s="1499"/>
      <c r="AP276" s="1500"/>
      <c r="AQ276" s="1501"/>
      <c r="AR276" s="1502"/>
      <c r="AS276" s="1501"/>
      <c r="AT276" s="1503"/>
      <c r="AU276" s="1504"/>
      <c r="AV276" s="1505"/>
      <c r="AW276" s="1506"/>
      <c r="AX276" s="1507"/>
      <c r="AY276" s="943"/>
      <c r="AZ276" s="1508"/>
      <c r="BA276" s="1509"/>
      <c r="BB276" s="1508"/>
      <c r="BC276" s="1510"/>
      <c r="BD276" s="1511"/>
      <c r="BE276" s="1510"/>
      <c r="BF276" s="2615"/>
      <c r="BG276" s="2616"/>
      <c r="BH276" s="2615"/>
      <c r="BI276" s="1513"/>
      <c r="BJ276" s="1516"/>
      <c r="BK276" s="1513"/>
      <c r="BL276" s="583"/>
      <c r="BM276" s="645" t="s">
        <v>424</v>
      </c>
      <c r="BN276" s="645"/>
      <c r="BO276" s="1517"/>
      <c r="BP276" s="1517"/>
      <c r="BQ276" s="1518"/>
      <c r="BR276" s="1517"/>
      <c r="BS276" s="583"/>
      <c r="BT276" s="645" t="s">
        <v>424</v>
      </c>
      <c r="BU276" s="647"/>
      <c r="BV276" s="583"/>
      <c r="BW276" s="645" t="s">
        <v>424</v>
      </c>
      <c r="BX276" s="647"/>
      <c r="BY276" s="1517"/>
      <c r="BZ276" s="1518"/>
      <c r="CA276" s="1517"/>
    </row>
    <row r="277" spans="1:79" ht="21" customHeight="1" x14ac:dyDescent="0.4">
      <c r="A277" s="249"/>
      <c r="B277" s="249"/>
      <c r="C277" s="578">
        <v>0.58333333333333304</v>
      </c>
      <c r="D277" s="609"/>
      <c r="E277" s="1519"/>
      <c r="F277" s="1520"/>
      <c r="G277" s="1521"/>
      <c r="H277" s="1522"/>
      <c r="I277" s="616"/>
      <c r="J277" s="1523"/>
      <c r="K277" s="2688"/>
      <c r="L277" s="705"/>
      <c r="M277" s="1526"/>
      <c r="N277" s="2834"/>
      <c r="O277" s="1383"/>
      <c r="P277" s="1524"/>
      <c r="Q277" s="2834"/>
      <c r="R277" s="708"/>
      <c r="S277" s="696"/>
      <c r="T277" s="2834"/>
      <c r="U277" s="1525"/>
      <c r="V277" s="709"/>
      <c r="W277" s="2834"/>
      <c r="X277" s="684"/>
      <c r="Y277" s="1526"/>
      <c r="Z277" s="2834"/>
      <c r="AA277" s="1383"/>
      <c r="AB277" s="1527"/>
      <c r="AC277" s="2843"/>
      <c r="AD277" s="1527"/>
      <c r="AE277" s="1136"/>
      <c r="AF277" s="2846" t="s">
        <v>407</v>
      </c>
      <c r="AG277" s="1528"/>
      <c r="AH277" s="1159"/>
      <c r="AI277" s="1139" t="s">
        <v>356</v>
      </c>
      <c r="AJ277" s="1160"/>
      <c r="AK277" s="1529"/>
      <c r="AL277" s="1530" t="s">
        <v>331</v>
      </c>
      <c r="AM277" s="1531"/>
      <c r="AN277" s="1273"/>
      <c r="AO277" s="1625" t="s">
        <v>334</v>
      </c>
      <c r="AP277" s="1533"/>
      <c r="AQ277" s="778"/>
      <c r="AR277" s="2848" t="s">
        <v>361</v>
      </c>
      <c r="AS277" s="1534"/>
      <c r="AT277" s="1535"/>
      <c r="AU277" s="1536" t="s">
        <v>425</v>
      </c>
      <c r="AV277" s="1537"/>
      <c r="AW277" s="1538"/>
      <c r="AX277" s="2849" t="s">
        <v>407</v>
      </c>
      <c r="AY277" s="1395"/>
      <c r="AZ277" s="1539"/>
      <c r="BA277" s="2617" t="s">
        <v>426</v>
      </c>
      <c r="BB277" s="1280"/>
      <c r="BC277" s="1541"/>
      <c r="BD277" s="1216" t="s">
        <v>379</v>
      </c>
      <c r="BE277" s="687"/>
      <c r="BF277" s="1794"/>
      <c r="BG277" s="2852" t="s">
        <v>427</v>
      </c>
      <c r="BH277" s="1401"/>
      <c r="BI277" s="1542"/>
      <c r="BJ277" s="1403"/>
      <c r="BK277" s="1543"/>
      <c r="BL277" s="1544"/>
      <c r="BM277" s="1544"/>
      <c r="BN277" s="1544"/>
      <c r="BO277" s="1107"/>
      <c r="BP277" s="1161"/>
      <c r="BQ277" s="1161"/>
      <c r="BR277" s="1107"/>
      <c r="BS277" s="1107"/>
      <c r="BT277" s="1107"/>
      <c r="BU277" s="1107"/>
      <c r="BV277" s="1545"/>
      <c r="BW277" s="1546" t="s">
        <v>428</v>
      </c>
      <c r="BX277" s="1547"/>
      <c r="BY277" s="604"/>
      <c r="BZ277" s="1161"/>
      <c r="CA277" s="1107"/>
    </row>
    <row r="278" spans="1:79" ht="19.350000000000001" customHeight="1" x14ac:dyDescent="0.4">
      <c r="A278" s="249"/>
      <c r="B278" s="249"/>
      <c r="C278" s="584" t="s">
        <v>307</v>
      </c>
      <c r="D278" s="587"/>
      <c r="E278" s="1416"/>
      <c r="F278" s="1417"/>
      <c r="G278" s="1377"/>
      <c r="H278" s="1418"/>
      <c r="I278" s="742"/>
      <c r="J278" s="848"/>
      <c r="K278" s="2688"/>
      <c r="L278" s="705"/>
      <c r="M278" s="1526"/>
      <c r="N278" s="2834"/>
      <c r="O278" s="1383"/>
      <c r="P278" s="851"/>
      <c r="Q278" s="2834"/>
      <c r="R278" s="708"/>
      <c r="S278" s="696"/>
      <c r="T278" s="2834"/>
      <c r="U278" s="1525"/>
      <c r="V278" s="709"/>
      <c r="W278" s="2834"/>
      <c r="X278" s="684"/>
      <c r="Y278" s="1526"/>
      <c r="Z278" s="2834"/>
      <c r="AA278" s="1383"/>
      <c r="AB278" s="1548"/>
      <c r="AC278" s="2843"/>
      <c r="AD278" s="1527"/>
      <c r="AE278" s="1385"/>
      <c r="AF278" s="2846"/>
      <c r="AG278" s="1385"/>
      <c r="AH278" s="1160"/>
      <c r="AI278" s="1160" t="s">
        <v>334</v>
      </c>
      <c r="AJ278" s="1160"/>
      <c r="AK278" s="2855"/>
      <c r="AL278" s="1530" t="s">
        <v>366</v>
      </c>
      <c r="AM278" s="1283"/>
      <c r="AN278" s="1273"/>
      <c r="AO278" s="1625"/>
      <c r="AP278" s="1273"/>
      <c r="AQ278" s="1134"/>
      <c r="AR278" s="2846"/>
      <c r="AS278" s="1550"/>
      <c r="AT278" s="1551"/>
      <c r="AU278" s="1552"/>
      <c r="AV278" s="1210"/>
      <c r="AW278" s="1538"/>
      <c r="AX278" s="2850"/>
      <c r="AY278" s="1395"/>
      <c r="AZ278" s="1553"/>
      <c r="BA278" s="2617" t="s">
        <v>335</v>
      </c>
      <c r="BB278" s="1280"/>
      <c r="BC278" s="869"/>
      <c r="BD278" s="1555" t="s">
        <v>381</v>
      </c>
      <c r="BE278" s="687"/>
      <c r="BF278" s="1794"/>
      <c r="BG278" s="2853"/>
      <c r="BH278" s="1794"/>
      <c r="BI278" s="1556"/>
      <c r="BJ278" s="2605"/>
      <c r="BK278" s="1557"/>
      <c r="BL278" s="605"/>
      <c r="BM278" s="605"/>
      <c r="BN278" s="607"/>
      <c r="BO278" s="1107"/>
      <c r="BP278" s="1161"/>
      <c r="BQ278" s="1161"/>
      <c r="BR278" s="1107"/>
      <c r="BS278" s="605"/>
      <c r="BT278" s="605"/>
      <c r="BU278" s="607"/>
      <c r="BV278" s="605"/>
      <c r="BW278" s="605"/>
      <c r="BX278" s="607"/>
      <c r="BY278" s="1161"/>
      <c r="BZ278" s="1161"/>
      <c r="CA278" s="1107"/>
    </row>
    <row r="279" spans="1:79" ht="25.35" customHeight="1" x14ac:dyDescent="0.4">
      <c r="A279" s="249"/>
      <c r="B279" s="249"/>
      <c r="C279" s="584" t="s">
        <v>307</v>
      </c>
      <c r="D279" s="587"/>
      <c r="E279" s="1416"/>
      <c r="F279" s="1417"/>
      <c r="G279" s="1377"/>
      <c r="H279" s="1418"/>
      <c r="I279" s="742"/>
      <c r="J279" s="848"/>
      <c r="K279" s="2688"/>
      <c r="L279" s="705"/>
      <c r="M279" s="1526"/>
      <c r="N279" s="2834"/>
      <c r="O279" s="1383"/>
      <c r="P279" s="851"/>
      <c r="Q279" s="2834"/>
      <c r="R279" s="708"/>
      <c r="S279" s="696"/>
      <c r="T279" s="2834"/>
      <c r="U279" s="1525"/>
      <c r="V279" s="709"/>
      <c r="W279" s="2834"/>
      <c r="X279" s="684"/>
      <c r="Y279" s="1526"/>
      <c r="Z279" s="2834"/>
      <c r="AA279" s="1383"/>
      <c r="AB279" s="1548"/>
      <c r="AC279" s="2843"/>
      <c r="AD279" s="1527"/>
      <c r="AE279" s="1408"/>
      <c r="AF279" s="2846"/>
      <c r="AG279" s="1408"/>
      <c r="AH279" s="1159"/>
      <c r="AI279" s="1160"/>
      <c r="AJ279" s="1159"/>
      <c r="AK279" s="2855"/>
      <c r="AL279" s="1558"/>
      <c r="AM279" s="1283"/>
      <c r="AN279" s="1273"/>
      <c r="AO279" s="1549"/>
      <c r="AP279" s="1273"/>
      <c r="AQ279" s="1134"/>
      <c r="AR279" s="2846"/>
      <c r="AS279" s="1550"/>
      <c r="AT279" s="1559"/>
      <c r="AU279" s="1413"/>
      <c r="AV279" s="1411"/>
      <c r="AW279" s="1395"/>
      <c r="AX279" s="2850"/>
      <c r="AY279" s="1395"/>
      <c r="AZ279" s="1280"/>
      <c r="BA279" s="1554"/>
      <c r="BB279" s="1280"/>
      <c r="BC279" s="664"/>
      <c r="BD279" s="975" t="s">
        <v>384</v>
      </c>
      <c r="BE279" s="664"/>
      <c r="BF279" s="1862"/>
      <c r="BG279" s="2853"/>
      <c r="BH279" s="1794"/>
      <c r="BI279" s="1556"/>
      <c r="BJ279" s="2610"/>
      <c r="BK279" s="1543"/>
      <c r="BL279" s="605"/>
      <c r="BM279" s="605"/>
      <c r="BN279" s="607"/>
      <c r="BO279" s="1107"/>
      <c r="BP279" s="1161"/>
      <c r="BQ279" s="1161"/>
      <c r="BR279" s="1107"/>
      <c r="BS279" s="605"/>
      <c r="BT279" s="605"/>
      <c r="BU279" s="607"/>
      <c r="BV279" s="605"/>
      <c r="BW279" s="605"/>
      <c r="BX279" s="607"/>
      <c r="BY279" s="1161"/>
      <c r="BZ279" s="1161"/>
      <c r="CA279" s="1107"/>
    </row>
    <row r="280" spans="1:79" ht="21" customHeight="1" x14ac:dyDescent="0.4">
      <c r="A280" s="249"/>
      <c r="B280" s="249"/>
      <c r="C280" s="584" t="s">
        <v>307</v>
      </c>
      <c r="D280" s="587"/>
      <c r="E280" s="1416"/>
      <c r="F280" s="1417"/>
      <c r="G280" s="1377"/>
      <c r="H280" s="1418"/>
      <c r="I280" s="742"/>
      <c r="J280" s="848"/>
      <c r="K280" s="2688"/>
      <c r="L280" s="705"/>
      <c r="M280" s="1526"/>
      <c r="N280" s="2834"/>
      <c r="O280" s="1383"/>
      <c r="P280" s="851"/>
      <c r="Q280" s="2834"/>
      <c r="R280" s="708"/>
      <c r="S280" s="696"/>
      <c r="T280" s="2834"/>
      <c r="U280" s="1525"/>
      <c r="V280" s="709"/>
      <c r="W280" s="2834"/>
      <c r="X280" s="684"/>
      <c r="Y280" s="1526"/>
      <c r="Z280" s="2834"/>
      <c r="AA280" s="1383"/>
      <c r="AB280" s="1548"/>
      <c r="AC280" s="2843"/>
      <c r="AD280" s="1527"/>
      <c r="AE280" s="1408"/>
      <c r="AF280" s="2846"/>
      <c r="AG280" s="1408"/>
      <c r="AH280" s="1159"/>
      <c r="AI280" s="1160"/>
      <c r="AJ280" s="1256"/>
      <c r="AK280" s="2855"/>
      <c r="AL280" s="1563"/>
      <c r="AM280" s="1469"/>
      <c r="AN280" s="1273"/>
      <c r="AO280" s="1564"/>
      <c r="AP280" s="1273"/>
      <c r="AQ280" s="778"/>
      <c r="AR280" s="2846"/>
      <c r="AS280" s="1550"/>
      <c r="AT280" s="1559"/>
      <c r="AU280" s="1413"/>
      <c r="AV280" s="1411"/>
      <c r="AW280" s="927"/>
      <c r="AX280" s="2850"/>
      <c r="AY280" s="1395"/>
      <c r="AZ280" s="1565"/>
      <c r="BA280" s="1554"/>
      <c r="BB280" s="1280"/>
      <c r="BC280" s="664"/>
      <c r="BD280" s="975"/>
      <c r="BE280" s="664"/>
      <c r="BF280" s="1794"/>
      <c r="BG280" s="2853"/>
      <c r="BH280" s="1862"/>
      <c r="BI280" s="1566"/>
      <c r="BJ280" s="1271"/>
      <c r="BK280" s="1543"/>
      <c r="BL280" s="1567"/>
      <c r="BM280" s="1568"/>
      <c r="BN280" s="604"/>
      <c r="BO280" s="1107"/>
      <c r="BP280" s="1161"/>
      <c r="BQ280" s="1161"/>
      <c r="BR280" s="1107"/>
      <c r="BS280" s="1567"/>
      <c r="BT280" s="1568"/>
      <c r="BU280" s="604"/>
      <c r="BV280" s="1567"/>
      <c r="BW280" s="1568"/>
      <c r="BX280" s="604"/>
      <c r="BY280" s="1161"/>
      <c r="BZ280" s="1161"/>
      <c r="CA280" s="1107"/>
    </row>
    <row r="281" spans="1:79" ht="23.85" customHeight="1" x14ac:dyDescent="0.4">
      <c r="A281" s="249"/>
      <c r="B281" s="249"/>
      <c r="C281" s="584" t="s">
        <v>307</v>
      </c>
      <c r="D281" s="587"/>
      <c r="E281" s="1416"/>
      <c r="F281" s="1417"/>
      <c r="G281" s="1377"/>
      <c r="H281" s="1418"/>
      <c r="I281" s="742"/>
      <c r="J281" s="848"/>
      <c r="K281" s="2688"/>
      <c r="L281" s="705"/>
      <c r="M281" s="1526"/>
      <c r="N281" s="2834"/>
      <c r="O281" s="1383"/>
      <c r="P281" s="851"/>
      <c r="Q281" s="2834"/>
      <c r="R281" s="708"/>
      <c r="S281" s="696"/>
      <c r="T281" s="2834"/>
      <c r="U281" s="1525"/>
      <c r="V281" s="709"/>
      <c r="W281" s="2834"/>
      <c r="X281" s="684"/>
      <c r="Y281" s="1526"/>
      <c r="Z281" s="2834"/>
      <c r="AA281" s="1383"/>
      <c r="AB281" s="1548"/>
      <c r="AC281" s="2843"/>
      <c r="AD281" s="1527"/>
      <c r="AE281" s="1408"/>
      <c r="AF281" s="2846"/>
      <c r="AG281" s="1385"/>
      <c r="AH281" s="1569"/>
      <c r="AI281" s="1160"/>
      <c r="AJ281" s="1570"/>
      <c r="AK281" s="1285"/>
      <c r="AL281" s="1571"/>
      <c r="AM281" s="1469"/>
      <c r="AN281" s="1273"/>
      <c r="AO281" s="1273"/>
      <c r="AP281" s="1273"/>
      <c r="AQ281" s="778"/>
      <c r="AR281" s="2846"/>
      <c r="AS281" s="1550"/>
      <c r="AT281" s="1413"/>
      <c r="AU281" s="1413"/>
      <c r="AV281" s="1210"/>
      <c r="AW281" s="1538"/>
      <c r="AX281" s="2850"/>
      <c r="AY281" s="1572"/>
      <c r="AZ281" s="1553"/>
      <c r="BA281" s="1554"/>
      <c r="BB281" s="1573"/>
      <c r="BC281" s="664"/>
      <c r="BD281" s="1374"/>
      <c r="BE281" s="1574"/>
      <c r="BF281" s="1794"/>
      <c r="BG281" s="2853"/>
      <c r="BH281" s="1794"/>
      <c r="BI281" s="1542"/>
      <c r="BJ281" s="1282"/>
      <c r="BK281" s="1575"/>
      <c r="BL281" s="601"/>
      <c r="BM281" s="1581" t="s">
        <v>309</v>
      </c>
      <c r="BN281" s="601"/>
      <c r="BO281" s="1577"/>
      <c r="BP281" s="1578"/>
      <c r="BQ281" s="1579"/>
      <c r="BR281" s="1580"/>
      <c r="BS281" s="601"/>
      <c r="BT281" s="1582" t="s">
        <v>309</v>
      </c>
      <c r="BU281" s="601"/>
      <c r="BV281" s="601"/>
      <c r="BW281" s="1582" t="s">
        <v>309</v>
      </c>
      <c r="BX281" s="601"/>
      <c r="BY281" s="1578"/>
      <c r="BZ281" s="1579"/>
      <c r="CA281" s="1580"/>
    </row>
    <row r="282" spans="1:79" ht="13.5" customHeight="1" x14ac:dyDescent="0.4">
      <c r="A282" s="249"/>
      <c r="B282" s="249"/>
      <c r="C282" s="584" t="s">
        <v>307</v>
      </c>
      <c r="D282" s="587"/>
      <c r="E282" s="1416"/>
      <c r="F282" s="1417"/>
      <c r="G282" s="1377"/>
      <c r="H282" s="1418"/>
      <c r="I282" s="742"/>
      <c r="J282" s="848"/>
      <c r="K282" s="2688"/>
      <c r="L282" s="705"/>
      <c r="M282" s="1526"/>
      <c r="N282" s="2834"/>
      <c r="O282" s="1383"/>
      <c r="P282" s="851"/>
      <c r="Q282" s="2834"/>
      <c r="R282" s="708"/>
      <c r="S282" s="696"/>
      <c r="T282" s="2834"/>
      <c r="U282" s="1525"/>
      <c r="V282" s="709"/>
      <c r="W282" s="2834"/>
      <c r="X282" s="684"/>
      <c r="Y282" s="1526"/>
      <c r="Z282" s="2834"/>
      <c r="AA282" s="1383"/>
      <c r="AB282" s="1548"/>
      <c r="AC282" s="2843"/>
      <c r="AD282" s="1527"/>
      <c r="AE282" s="1408"/>
      <c r="AF282" s="2846"/>
      <c r="AG282" s="1385"/>
      <c r="AH282" s="1569"/>
      <c r="AI282" s="1160"/>
      <c r="AJ282" s="1570"/>
      <c r="AK282" s="1285"/>
      <c r="AL282" s="1571"/>
      <c r="AM282" s="1469"/>
      <c r="AN282" s="1273"/>
      <c r="AO282" s="1583"/>
      <c r="AP282" s="1273"/>
      <c r="AQ282" s="778"/>
      <c r="AR282" s="2846"/>
      <c r="AS282" s="1550"/>
      <c r="AT282" s="1413"/>
      <c r="AU282" s="1597"/>
      <c r="AV282" s="1210"/>
      <c r="AW282" s="1395"/>
      <c r="AX282" s="2850"/>
      <c r="AY282" s="1585"/>
      <c r="AZ282" s="1565"/>
      <c r="BA282" s="1554"/>
      <c r="BB282" s="1586"/>
      <c r="BC282" s="664"/>
      <c r="BD282" s="967"/>
      <c r="BE282" s="1574"/>
      <c r="BF282" s="1794"/>
      <c r="BG282" s="2853"/>
      <c r="BH282" s="1794"/>
      <c r="BI282" s="1542"/>
      <c r="BJ282" s="2613"/>
      <c r="BK282" s="1587"/>
      <c r="BL282" s="1567"/>
      <c r="BM282" s="1568"/>
      <c r="BN282" s="604"/>
      <c r="BO282" s="1577"/>
      <c r="BP282" s="1578"/>
      <c r="BQ282" s="1579"/>
      <c r="BR282" s="1580"/>
      <c r="BS282" s="1567"/>
      <c r="BT282" s="1568"/>
      <c r="BU282" s="604"/>
      <c r="BV282" s="1567"/>
      <c r="BW282" s="1568"/>
      <c r="BX282" s="604"/>
      <c r="BY282" s="1578"/>
      <c r="BZ282" s="1579"/>
      <c r="CA282" s="1580"/>
    </row>
    <row r="283" spans="1:79" ht="13.5" customHeight="1" x14ac:dyDescent="0.4">
      <c r="A283" s="249"/>
      <c r="B283" s="249"/>
      <c r="C283" s="584" t="s">
        <v>307</v>
      </c>
      <c r="D283" s="587"/>
      <c r="E283" s="1416"/>
      <c r="F283" s="1417"/>
      <c r="G283" s="1377"/>
      <c r="H283" s="1418"/>
      <c r="I283" s="742"/>
      <c r="J283" s="848"/>
      <c r="K283" s="2688"/>
      <c r="L283" s="705"/>
      <c r="M283" s="1589"/>
      <c r="N283" s="2834"/>
      <c r="O283" s="1383"/>
      <c r="P283" s="851"/>
      <c r="Q283" s="2834"/>
      <c r="R283" s="708"/>
      <c r="S283" s="696"/>
      <c r="T283" s="2834"/>
      <c r="U283" s="1525"/>
      <c r="V283" s="709"/>
      <c r="W283" s="2834"/>
      <c r="X283" s="684"/>
      <c r="Y283" s="1589"/>
      <c r="Z283" s="2834"/>
      <c r="AA283" s="1383"/>
      <c r="AB283" s="1548"/>
      <c r="AC283" s="2843"/>
      <c r="AD283" s="1527"/>
      <c r="AE283" s="1408"/>
      <c r="AF283" s="2846"/>
      <c r="AG283" s="1385"/>
      <c r="AH283" s="1569"/>
      <c r="AI283" s="1160"/>
      <c r="AJ283" s="1570"/>
      <c r="AK283" s="1285"/>
      <c r="AL283" s="1571"/>
      <c r="AM283" s="1469"/>
      <c r="AN283" s="1273"/>
      <c r="AO283" s="1583"/>
      <c r="AP283" s="1273"/>
      <c r="AQ283" s="778"/>
      <c r="AR283" s="2846"/>
      <c r="AS283" s="1550"/>
      <c r="AT283" s="1413"/>
      <c r="AU283" s="1597"/>
      <c r="AV283" s="1210"/>
      <c r="AW283" s="1395"/>
      <c r="AX283" s="2850"/>
      <c r="AY283" s="1585"/>
      <c r="AZ283" s="1565"/>
      <c r="BA283" s="2617"/>
      <c r="BB283" s="1586"/>
      <c r="BC283" s="664"/>
      <c r="BD283" s="967"/>
      <c r="BE283" s="1574"/>
      <c r="BF283" s="1794"/>
      <c r="BG283" s="2853"/>
      <c r="BH283" s="1794"/>
      <c r="BI283" s="1542"/>
      <c r="BJ283" s="2613"/>
      <c r="BK283" s="1587"/>
      <c r="BL283" s="1567"/>
      <c r="BM283" s="1568"/>
      <c r="BN283" s="604"/>
      <c r="BO283" s="1577"/>
      <c r="BP283" s="1578"/>
      <c r="BQ283" s="1579"/>
      <c r="BR283" s="1580"/>
      <c r="BS283" s="1567"/>
      <c r="BT283" s="1568"/>
      <c r="BU283" s="604"/>
      <c r="BV283" s="1567"/>
      <c r="BW283" s="1568"/>
      <c r="BX283" s="604"/>
      <c r="BY283" s="1578"/>
      <c r="BZ283" s="1579"/>
      <c r="CA283" s="1580"/>
    </row>
    <row r="284" spans="1:79" ht="13.5" customHeight="1" x14ac:dyDescent="0.4">
      <c r="A284" s="249"/>
      <c r="B284" s="249"/>
      <c r="C284" s="584">
        <v>0.58680555555555503</v>
      </c>
      <c r="D284" s="845"/>
      <c r="E284" s="1416"/>
      <c r="F284" s="1417"/>
      <c r="G284" s="1377"/>
      <c r="H284" s="1418"/>
      <c r="I284" s="742"/>
      <c r="J284" s="848"/>
      <c r="K284" s="2688"/>
      <c r="L284" s="705"/>
      <c r="M284" s="1589"/>
      <c r="N284" s="2834"/>
      <c r="O284" s="1383"/>
      <c r="P284" s="851"/>
      <c r="Q284" s="2834"/>
      <c r="R284" s="708"/>
      <c r="S284" s="696"/>
      <c r="T284" s="2834"/>
      <c r="U284" s="1525"/>
      <c r="V284" s="709"/>
      <c r="W284" s="2834"/>
      <c r="X284" s="684"/>
      <c r="Y284" s="1589"/>
      <c r="Z284" s="2834"/>
      <c r="AA284" s="1383"/>
      <c r="AB284" s="1527"/>
      <c r="AC284" s="2843"/>
      <c r="AD284" s="1527"/>
      <c r="AE284" s="1590"/>
      <c r="AF284" s="2846"/>
      <c r="AG284" s="1591"/>
      <c r="AH284" s="1592"/>
      <c r="AI284" s="1593"/>
      <c r="AJ284" s="1594"/>
      <c r="AK284" s="1200"/>
      <c r="AL284" s="1595"/>
      <c r="AM284" s="1285"/>
      <c r="AN284" s="1421"/>
      <c r="AO284" s="1596"/>
      <c r="AP284" s="1273"/>
      <c r="AQ284" s="1134"/>
      <c r="AR284" s="2846"/>
      <c r="AS284" s="1534"/>
      <c r="AT284" s="1551"/>
      <c r="AU284" s="1597"/>
      <c r="AV284" s="1537"/>
      <c r="AW284" s="1461"/>
      <c r="AX284" s="2850"/>
      <c r="AY284" s="1395"/>
      <c r="AZ284" s="1598"/>
      <c r="BA284" s="2617"/>
      <c r="BB284" s="1573"/>
      <c r="BC284" s="687"/>
      <c r="BD284" s="1374"/>
      <c r="BE284" s="974"/>
      <c r="BF284" s="1794"/>
      <c r="BG284" s="2853"/>
      <c r="BH284" s="1794"/>
      <c r="BI284" s="1556"/>
      <c r="BJ284" s="2613"/>
      <c r="BK284" s="1543"/>
      <c r="BL284" s="1600"/>
      <c r="BM284" s="1568"/>
      <c r="BN284" s="604"/>
      <c r="BO284" s="1577"/>
      <c r="BP284" s="1599"/>
      <c r="BQ284" s="1579"/>
      <c r="BR284" s="1580"/>
      <c r="BS284" s="1600"/>
      <c r="BT284" s="1568"/>
      <c r="BU284" s="604"/>
      <c r="BV284" s="1600"/>
      <c r="BW284" s="1568"/>
      <c r="BX284" s="604"/>
      <c r="BY284" s="1599"/>
      <c r="BZ284" s="1579"/>
      <c r="CA284" s="1580"/>
    </row>
    <row r="285" spans="1:79" ht="13.5" customHeight="1" x14ac:dyDescent="0.4">
      <c r="A285" s="249"/>
      <c r="B285" s="249"/>
      <c r="C285" s="584">
        <v>0.59027777777777701</v>
      </c>
      <c r="D285" s="587"/>
      <c r="E285" s="1416"/>
      <c r="F285" s="1417"/>
      <c r="G285" s="1377"/>
      <c r="H285" s="1418"/>
      <c r="I285" s="742"/>
      <c r="J285" s="848"/>
      <c r="K285" s="2688"/>
      <c r="L285" s="705"/>
      <c r="M285" s="1589"/>
      <c r="N285" s="2834"/>
      <c r="O285" s="1383"/>
      <c r="P285" s="851"/>
      <c r="Q285" s="2834"/>
      <c r="R285" s="708"/>
      <c r="S285" s="696"/>
      <c r="T285" s="2834"/>
      <c r="U285" s="1525"/>
      <c r="V285" s="709"/>
      <c r="W285" s="2834"/>
      <c r="X285" s="684"/>
      <c r="Y285" s="1589"/>
      <c r="Z285" s="2834"/>
      <c r="AA285" s="1383"/>
      <c r="AB285" s="1527"/>
      <c r="AC285" s="2843"/>
      <c r="AD285" s="1527"/>
      <c r="AE285" s="1466"/>
      <c r="AF285" s="2846"/>
      <c r="AG285" s="1385"/>
      <c r="AH285" s="1601"/>
      <c r="AI285" s="1160"/>
      <c r="AJ285" s="1160"/>
      <c r="AK285" s="1200"/>
      <c r="AL285" s="1449"/>
      <c r="AM285" s="1531"/>
      <c r="AN285" s="1421"/>
      <c r="AO285" s="1583"/>
      <c r="AP285" s="1438"/>
      <c r="AQ285" s="1134"/>
      <c r="AR285" s="2846"/>
      <c r="AS285" s="1534"/>
      <c r="AT285" s="1551"/>
      <c r="AU285" s="1597"/>
      <c r="AV285" s="1210"/>
      <c r="AW285" s="1461"/>
      <c r="AX285" s="2850"/>
      <c r="AY285" s="1022"/>
      <c r="AZ285" s="1598"/>
      <c r="BA285" s="2617"/>
      <c r="BB285" s="1573"/>
      <c r="BC285" s="1602"/>
      <c r="BD285" s="967"/>
      <c r="BE285" s="687"/>
      <c r="BF285" s="1794"/>
      <c r="BG285" s="2853"/>
      <c r="BH285" s="1794"/>
      <c r="BI285" s="1556"/>
      <c r="BJ285" s="1476"/>
      <c r="BK285" s="1587"/>
      <c r="BL285" s="1567"/>
      <c r="BM285" s="1568"/>
      <c r="BN285" s="604"/>
      <c r="BO285" s="1107"/>
      <c r="BP285" s="1108"/>
      <c r="BQ285" s="1195"/>
      <c r="BR285" s="1107"/>
      <c r="BS285" s="1567"/>
      <c r="BT285" s="1568"/>
      <c r="BU285" s="604"/>
      <c r="BV285" s="1567"/>
      <c r="BW285" s="1568"/>
      <c r="BX285" s="604"/>
      <c r="BY285" s="1108"/>
      <c r="BZ285" s="1195"/>
      <c r="CA285" s="1107"/>
    </row>
    <row r="286" spans="1:79" ht="29.85" customHeight="1" x14ac:dyDescent="0.4">
      <c r="A286" s="249"/>
      <c r="B286" s="249"/>
      <c r="C286" s="584">
        <v>0.59375</v>
      </c>
      <c r="D286" s="688"/>
      <c r="E286" s="592" t="s">
        <v>429</v>
      </c>
      <c r="F286" s="1417"/>
      <c r="G286" s="1377"/>
      <c r="H286" s="592" t="s">
        <v>430</v>
      </c>
      <c r="I286" s="742"/>
      <c r="J286" s="848"/>
      <c r="K286" s="2688"/>
      <c r="L286" s="705"/>
      <c r="M286" s="1589"/>
      <c r="N286" s="2834"/>
      <c r="O286" s="1383"/>
      <c r="P286" s="851"/>
      <c r="Q286" s="2834"/>
      <c r="R286" s="708"/>
      <c r="S286" s="696"/>
      <c r="T286" s="2834"/>
      <c r="U286" s="1525"/>
      <c r="V286" s="709"/>
      <c r="W286" s="2834"/>
      <c r="X286" s="684"/>
      <c r="Y286" s="1589"/>
      <c r="Z286" s="2834"/>
      <c r="AA286" s="1383"/>
      <c r="AB286" s="1527"/>
      <c r="AC286" s="2843"/>
      <c r="AD286" s="1527"/>
      <c r="AE286" s="1385"/>
      <c r="AF286" s="2846"/>
      <c r="AG286" s="1385"/>
      <c r="AH286" s="1159"/>
      <c r="AI286" s="1160" t="s">
        <v>332</v>
      </c>
      <c r="AJ286" s="1160"/>
      <c r="AK286" s="2806"/>
      <c r="AL286" s="1530" t="s">
        <v>331</v>
      </c>
      <c r="AM286" s="1531"/>
      <c r="AN286" s="1450"/>
      <c r="AO286" s="2856" t="s">
        <v>341</v>
      </c>
      <c r="AP286" s="1603"/>
      <c r="AQ286" s="1134"/>
      <c r="AR286" s="2846"/>
      <c r="AS286" s="1550"/>
      <c r="AT286" s="1392"/>
      <c r="AU286" s="2618"/>
      <c r="AV286" s="1460"/>
      <c r="AW286" s="1607"/>
      <c r="AX286" s="2850"/>
      <c r="AY286" s="1395"/>
      <c r="AZ286" s="1553"/>
      <c r="BA286" s="2617" t="s">
        <v>335</v>
      </c>
      <c r="BB286" s="1609"/>
      <c r="BC286" s="687"/>
      <c r="BD286" s="1216" t="s">
        <v>379</v>
      </c>
      <c r="BE286" s="687"/>
      <c r="BF286" s="1794"/>
      <c r="BG286" s="2853"/>
      <c r="BH286" s="1794"/>
      <c r="BI286" s="1556"/>
      <c r="BJ286" s="1476"/>
      <c r="BK286" s="1557"/>
      <c r="BL286" s="591"/>
      <c r="BM286" s="592" t="s">
        <v>431</v>
      </c>
      <c r="BN286" s="593"/>
      <c r="BO286" s="1610"/>
      <c r="BP286" s="1610"/>
      <c r="BQ286" s="1579"/>
      <c r="BR286" s="1191"/>
      <c r="BS286" s="1107"/>
      <c r="BT286" s="1107"/>
      <c r="BU286" s="1107"/>
      <c r="BV286" s="1611"/>
      <c r="BW286" s="1611"/>
      <c r="BX286" s="1611"/>
      <c r="BY286" s="1610"/>
      <c r="BZ286" s="1579"/>
      <c r="CA286" s="1191"/>
    </row>
    <row r="287" spans="1:79" ht="28.5" customHeight="1" x14ac:dyDescent="0.4">
      <c r="A287" s="249"/>
      <c r="B287" s="249"/>
      <c r="C287" s="584" t="s">
        <v>404</v>
      </c>
      <c r="D287" s="688"/>
      <c r="E287" s="1416"/>
      <c r="F287" s="1417"/>
      <c r="G287" s="1377"/>
      <c r="H287" s="2564" t="s">
        <v>432</v>
      </c>
      <c r="I287" s="742"/>
      <c r="J287" s="848"/>
      <c r="K287" s="2688"/>
      <c r="L287" s="705"/>
      <c r="M287" s="685"/>
      <c r="N287" s="2834"/>
      <c r="O287" s="1383"/>
      <c r="P287" s="851"/>
      <c r="Q287" s="2834"/>
      <c r="R287" s="708"/>
      <c r="S287" s="696"/>
      <c r="T287" s="2834"/>
      <c r="U287" s="1525"/>
      <c r="V287" s="709"/>
      <c r="W287" s="2834"/>
      <c r="X287" s="684"/>
      <c r="Y287" s="685"/>
      <c r="Z287" s="2834"/>
      <c r="AA287" s="1383"/>
      <c r="AB287" s="1527"/>
      <c r="AC287" s="2843"/>
      <c r="AD287" s="1527"/>
      <c r="AE287" s="1385"/>
      <c r="AF287" s="2846"/>
      <c r="AG287" s="1385"/>
      <c r="AH287" s="1159"/>
      <c r="AI287" s="1160" t="s">
        <v>334</v>
      </c>
      <c r="AJ287" s="1159"/>
      <c r="AK287" s="2806"/>
      <c r="AL287" s="1285" t="s">
        <v>333</v>
      </c>
      <c r="AM287" s="1531"/>
      <c r="AN287" s="1273"/>
      <c r="AO287" s="2856"/>
      <c r="AP287" s="1603"/>
      <c r="AQ287" s="778"/>
      <c r="AR287" s="2846"/>
      <c r="AS287" s="778"/>
      <c r="AT287" s="1392"/>
      <c r="AU287" s="2618" t="s">
        <v>350</v>
      </c>
      <c r="AV287" s="1394"/>
      <c r="AW287" s="1395"/>
      <c r="AX287" s="2850"/>
      <c r="AY287" s="1395"/>
      <c r="AZ287" s="1553"/>
      <c r="BA287" s="2617"/>
      <c r="BB287" s="1609"/>
      <c r="BC287" s="687"/>
      <c r="BD287" s="1555" t="s">
        <v>381</v>
      </c>
      <c r="BE287" s="687"/>
      <c r="BF287" s="1794"/>
      <c r="BG287" s="2853"/>
      <c r="BH287" s="1401"/>
      <c r="BI287" s="1556"/>
      <c r="BJ287" s="1476"/>
      <c r="BK287" s="1587"/>
      <c r="BL287" s="1544"/>
      <c r="BM287" s="1544"/>
      <c r="BN287" s="1544"/>
      <c r="BO287" s="1107"/>
      <c r="BP287" s="1107"/>
      <c r="BQ287" s="1161"/>
      <c r="BR287" s="1107"/>
      <c r="BS287" s="1107"/>
      <c r="BT287" s="1107"/>
      <c r="BU287" s="1107"/>
      <c r="BV287" s="1611"/>
      <c r="BW287" s="1611"/>
      <c r="BX287" s="1611"/>
      <c r="BY287" s="1107"/>
      <c r="BZ287" s="1161"/>
      <c r="CA287" s="1107"/>
    </row>
    <row r="288" spans="1:79" ht="19.350000000000001" customHeight="1" x14ac:dyDescent="0.4">
      <c r="A288" s="249"/>
      <c r="B288" s="249"/>
      <c r="C288" s="584" t="s">
        <v>307</v>
      </c>
      <c r="D288" s="587"/>
      <c r="E288" s="1416"/>
      <c r="F288" s="1417"/>
      <c r="G288" s="1377"/>
      <c r="H288" s="1418"/>
      <c r="I288" s="742"/>
      <c r="J288" s="848"/>
      <c r="K288" s="2688"/>
      <c r="L288" s="705"/>
      <c r="M288" s="685"/>
      <c r="N288" s="2834"/>
      <c r="O288" s="1383"/>
      <c r="P288" s="851"/>
      <c r="Q288" s="2834"/>
      <c r="R288" s="708"/>
      <c r="S288" s="696"/>
      <c r="T288" s="2834"/>
      <c r="U288" s="1525"/>
      <c r="V288" s="709"/>
      <c r="W288" s="2834"/>
      <c r="X288" s="684"/>
      <c r="Y288" s="685"/>
      <c r="Z288" s="2834"/>
      <c r="AA288" s="1383"/>
      <c r="AB288" s="1527"/>
      <c r="AC288" s="2843"/>
      <c r="AD288" s="1527"/>
      <c r="AE288" s="1385"/>
      <c r="AF288" s="2846"/>
      <c r="AG288" s="1385"/>
      <c r="AH288" s="793"/>
      <c r="AI288" s="793" t="s">
        <v>433</v>
      </c>
      <c r="AJ288" s="793"/>
      <c r="AK288" s="1430"/>
      <c r="AL288" s="793" t="s">
        <v>336</v>
      </c>
      <c r="AM288" s="1430"/>
      <c r="AN288" s="1273"/>
      <c r="AO288" s="2856"/>
      <c r="AP288" s="1603"/>
      <c r="AQ288" s="1134"/>
      <c r="AR288" s="2846"/>
      <c r="AS288" s="1612"/>
      <c r="AT288" s="1392"/>
      <c r="AU288" s="2618"/>
      <c r="AV288" s="1460"/>
      <c r="AW288" s="1395"/>
      <c r="AX288" s="2850"/>
      <c r="AY288" s="1395"/>
      <c r="AZ288" s="1553"/>
      <c r="BA288" s="2617"/>
      <c r="BB288" s="1609"/>
      <c r="BC288" s="687"/>
      <c r="BD288" s="975" t="s">
        <v>384</v>
      </c>
      <c r="BE288" s="687"/>
      <c r="BF288" s="1862"/>
      <c r="BG288" s="2853"/>
      <c r="BH288" s="1794"/>
      <c r="BI288" s="1556"/>
      <c r="BJ288" s="1403"/>
      <c r="BK288" s="1587"/>
      <c r="BL288" s="1544"/>
      <c r="BM288" s="1544"/>
      <c r="BN288" s="1615"/>
      <c r="BO288" s="1107"/>
      <c r="BP288" s="1108"/>
      <c r="BQ288" s="1161"/>
      <c r="BR288" s="1614"/>
      <c r="BS288" s="1107"/>
      <c r="BT288" s="1107"/>
      <c r="BU288" s="1614"/>
      <c r="BV288" s="1611"/>
      <c r="BW288" s="1611"/>
      <c r="BX288" s="1616"/>
      <c r="BY288" s="1108"/>
      <c r="BZ288" s="1161"/>
      <c r="CA288" s="1614"/>
    </row>
    <row r="289" spans="1:79" ht="19.350000000000001" customHeight="1" x14ac:dyDescent="0.4">
      <c r="A289" s="249"/>
      <c r="B289" s="249"/>
      <c r="C289" s="584" t="s">
        <v>307</v>
      </c>
      <c r="D289" s="688"/>
      <c r="E289" s="1416"/>
      <c r="F289" s="1417"/>
      <c r="G289" s="1377"/>
      <c r="H289" s="1418"/>
      <c r="I289" s="742"/>
      <c r="J289" s="691"/>
      <c r="K289" s="2688"/>
      <c r="L289" s="705"/>
      <c r="M289" s="685"/>
      <c r="N289" s="2834"/>
      <c r="O289" s="1383"/>
      <c r="P289" s="769"/>
      <c r="Q289" s="2834"/>
      <c r="R289" s="708"/>
      <c r="S289" s="696"/>
      <c r="T289" s="2834"/>
      <c r="U289" s="1525"/>
      <c r="V289" s="709"/>
      <c r="W289" s="2834"/>
      <c r="X289" s="684"/>
      <c r="Y289" s="685"/>
      <c r="Z289" s="2834"/>
      <c r="AA289" s="1383"/>
      <c r="AB289" s="1527"/>
      <c r="AC289" s="2843"/>
      <c r="AD289" s="1527"/>
      <c r="AE289" s="1385"/>
      <c r="AF289" s="2846"/>
      <c r="AG289" s="1385"/>
      <c r="AH289" s="1160"/>
      <c r="AI289" s="1617"/>
      <c r="AJ289" s="1618"/>
      <c r="AK289" s="1285"/>
      <c r="AL289" s="1595"/>
      <c r="AM289" s="1285"/>
      <c r="AN289" s="1619"/>
      <c r="AO289" s="2856"/>
      <c r="AP289" s="1620"/>
      <c r="AQ289" s="1134"/>
      <c r="AR289" s="2846"/>
      <c r="AS289" s="1612"/>
      <c r="AT289" s="1392"/>
      <c r="AU289" s="2618"/>
      <c r="AV289" s="1460"/>
      <c r="AW289" s="1395"/>
      <c r="AX289" s="2850"/>
      <c r="AY289" s="1395"/>
      <c r="AZ289" s="1553"/>
      <c r="BA289" s="2617"/>
      <c r="BB289" s="1609"/>
      <c r="BC289" s="687"/>
      <c r="BD289" s="975"/>
      <c r="BE289" s="687"/>
      <c r="BF289" s="1794"/>
      <c r="BG289" s="2853"/>
      <c r="BH289" s="1794"/>
      <c r="BI289" s="1556"/>
      <c r="BJ289" s="2605"/>
      <c r="BK289" s="1587"/>
      <c r="BL289" s="1621"/>
      <c r="BM289" s="1544"/>
      <c r="BN289" s="1615"/>
      <c r="BO289" s="1107"/>
      <c r="BP289" s="1108"/>
      <c r="BQ289" s="1161"/>
      <c r="BR289" s="1614"/>
      <c r="BS289" s="1622"/>
      <c r="BT289" s="1107"/>
      <c r="BU289" s="1614"/>
      <c r="BV289" s="1623"/>
      <c r="BW289" s="1611"/>
      <c r="BX289" s="1616"/>
      <c r="BY289" s="1108"/>
      <c r="BZ289" s="1161"/>
      <c r="CA289" s="1614"/>
    </row>
    <row r="290" spans="1:79" ht="25.35" customHeight="1" x14ac:dyDescent="0.4">
      <c r="A290" s="249"/>
      <c r="B290" s="249"/>
      <c r="C290" s="584">
        <v>0.59722222222222099</v>
      </c>
      <c r="D290" s="587"/>
      <c r="E290" s="1519"/>
      <c r="F290" s="1520"/>
      <c r="G290" s="615"/>
      <c r="H290" s="1522"/>
      <c r="I290" s="742"/>
      <c r="J290" s="691"/>
      <c r="K290" s="2688"/>
      <c r="L290" s="705"/>
      <c r="M290" s="1589"/>
      <c r="N290" s="2834"/>
      <c r="O290" s="1383"/>
      <c r="P290" s="769"/>
      <c r="Q290" s="2834"/>
      <c r="R290" s="708"/>
      <c r="S290" s="696"/>
      <c r="T290" s="2834"/>
      <c r="U290" s="1525"/>
      <c r="V290" s="709"/>
      <c r="W290" s="2834"/>
      <c r="X290" s="684"/>
      <c r="Y290" s="1589"/>
      <c r="Z290" s="2834"/>
      <c r="AA290" s="1383"/>
      <c r="AB290" s="1527"/>
      <c r="AC290" s="2843"/>
      <c r="AD290" s="1527"/>
      <c r="AE290" s="1466"/>
      <c r="AF290" s="2846"/>
      <c r="AG290" s="1624"/>
      <c r="AH290" s="1601"/>
      <c r="AI290" s="1160"/>
      <c r="AJ290" s="1256"/>
      <c r="AK290" s="1285"/>
      <c r="AL290" s="1595"/>
      <c r="AM290" s="1285"/>
      <c r="AN290" s="1619"/>
      <c r="AO290" s="2856"/>
      <c r="AP290" s="1625"/>
      <c r="AQ290" s="1626"/>
      <c r="AR290" s="2846"/>
      <c r="AS290" s="778"/>
      <c r="AT290" s="1210"/>
      <c r="AU290" s="1413"/>
      <c r="AV290" s="1210"/>
      <c r="AW290" s="1395"/>
      <c r="AX290" s="2850"/>
      <c r="AY290" s="1628"/>
      <c r="AZ290" s="1280"/>
      <c r="BA290" s="2617"/>
      <c r="BB290" s="1629"/>
      <c r="BC290" s="1399"/>
      <c r="BD290" s="967"/>
      <c r="BE290" s="908"/>
      <c r="BF290" s="1794"/>
      <c r="BG290" s="2853"/>
      <c r="BH290" s="1862"/>
      <c r="BI290" s="1556"/>
      <c r="BJ290" s="2610"/>
      <c r="BK290" s="1543"/>
      <c r="BL290" s="1544"/>
      <c r="BM290" s="1544"/>
      <c r="BN290" s="1615"/>
      <c r="BO290" s="1107"/>
      <c r="BP290" s="1108"/>
      <c r="BQ290" s="1107"/>
      <c r="BR290" s="1614"/>
      <c r="BS290" s="1107"/>
      <c r="BT290" s="1107"/>
      <c r="BU290" s="1614"/>
      <c r="BV290" s="1611"/>
      <c r="BW290" s="1631"/>
      <c r="BX290" s="1611"/>
      <c r="BY290" s="1108"/>
      <c r="BZ290" s="1107"/>
      <c r="CA290" s="1614"/>
    </row>
    <row r="291" spans="1:79" ht="18" customHeight="1" x14ac:dyDescent="0.4">
      <c r="A291" s="249"/>
      <c r="B291" s="249"/>
      <c r="C291" s="584">
        <v>0.60069444444444398</v>
      </c>
      <c r="D291" s="688"/>
      <c r="E291" s="1416"/>
      <c r="F291" s="1417"/>
      <c r="G291" s="594"/>
      <c r="H291" s="1418"/>
      <c r="I291" s="742"/>
      <c r="J291" s="635"/>
      <c r="K291" s="2688"/>
      <c r="L291" s="705"/>
      <c r="M291" s="1589"/>
      <c r="N291" s="2834"/>
      <c r="O291" s="1383"/>
      <c r="P291" s="795"/>
      <c r="Q291" s="2834"/>
      <c r="R291" s="708"/>
      <c r="S291" s="696"/>
      <c r="T291" s="2834"/>
      <c r="U291" s="1459"/>
      <c r="V291" s="709"/>
      <c r="W291" s="2834"/>
      <c r="X291" s="1632"/>
      <c r="Y291" s="1589"/>
      <c r="Z291" s="2834"/>
      <c r="AA291" s="1383"/>
      <c r="AB291" s="1399"/>
      <c r="AC291" s="2843"/>
      <c r="AD291" s="1399"/>
      <c r="AE291" s="1385"/>
      <c r="AF291" s="2846"/>
      <c r="AG291" s="1633"/>
      <c r="AH291" s="1160"/>
      <c r="AI291" s="1617"/>
      <c r="AJ291" s="1618"/>
      <c r="AK291" s="1285"/>
      <c r="AL291" s="1285" t="s">
        <v>353</v>
      </c>
      <c r="AM291" s="1531"/>
      <c r="AN291" s="1421"/>
      <c r="AO291" s="2856"/>
      <c r="AP291" s="1533"/>
      <c r="AQ291" s="1626"/>
      <c r="AR291" s="2846"/>
      <c r="AS291" s="778"/>
      <c r="AT291" s="1452"/>
      <c r="AU291" s="2618"/>
      <c r="AV291" s="1460"/>
      <c r="AW291" s="1395"/>
      <c r="AX291" s="2850"/>
      <c r="AY291" s="1628"/>
      <c r="AZ291" s="1280"/>
      <c r="BA291" s="2617"/>
      <c r="BB291" s="1629"/>
      <c r="BC291" s="687"/>
      <c r="BD291" s="1555"/>
      <c r="BE291" s="1635"/>
      <c r="BF291" s="1794"/>
      <c r="BG291" s="2853"/>
      <c r="BH291" s="1401"/>
      <c r="BI291" s="1556"/>
      <c r="BJ291" s="1271"/>
      <c r="BK291" s="1636"/>
      <c r="BL291" s="1621"/>
      <c r="BM291" s="1544"/>
      <c r="BN291" s="1615"/>
      <c r="BO291" s="1107"/>
      <c r="BP291" s="1108"/>
      <c r="BQ291" s="1107"/>
      <c r="BR291" s="1614"/>
      <c r="BS291" s="1622"/>
      <c r="BT291" s="1107"/>
      <c r="BU291" s="1614"/>
      <c r="BV291" s="1623"/>
      <c r="BW291" s="1611"/>
      <c r="BX291" s="1616"/>
      <c r="BY291" s="1108"/>
      <c r="BZ291" s="1107"/>
      <c r="CA291" s="1614"/>
    </row>
    <row r="292" spans="1:79" ht="22.35" customHeight="1" x14ac:dyDescent="0.4">
      <c r="A292" s="249"/>
      <c r="B292" s="249"/>
      <c r="C292" s="584">
        <v>0.60416666666666596</v>
      </c>
      <c r="D292" s="587"/>
      <c r="E292" s="1519"/>
      <c r="F292" s="1520"/>
      <c r="G292" s="615"/>
      <c r="H292" s="1522"/>
      <c r="I292" s="742"/>
      <c r="J292" s="635"/>
      <c r="K292" s="2688"/>
      <c r="L292" s="705"/>
      <c r="M292" s="1589"/>
      <c r="N292" s="1383"/>
      <c r="O292" s="1383"/>
      <c r="P292" s="795"/>
      <c r="Q292" s="2834"/>
      <c r="R292" s="708"/>
      <c r="S292" s="696"/>
      <c r="T292" s="2834"/>
      <c r="U292" s="1459"/>
      <c r="V292" s="709"/>
      <c r="W292" s="2834"/>
      <c r="X292" s="1632"/>
      <c r="Y292" s="1589"/>
      <c r="Z292" s="2834"/>
      <c r="AA292" s="1383"/>
      <c r="AB292" s="1399"/>
      <c r="AC292" s="2843"/>
      <c r="AD292" s="1399"/>
      <c r="AE292" s="1385"/>
      <c r="AF292" s="2846"/>
      <c r="AG292" s="1385"/>
      <c r="AH292" s="1159"/>
      <c r="AI292" s="1160" t="s">
        <v>332</v>
      </c>
      <c r="AJ292" s="1160"/>
      <c r="AK292" s="1285"/>
      <c r="AL292" s="1530" t="s">
        <v>331</v>
      </c>
      <c r="AM292" s="1285"/>
      <c r="AN292" s="1273"/>
      <c r="AO292" s="2856"/>
      <c r="AP292" s="1639"/>
      <c r="AQ292" s="1550"/>
      <c r="AR292" s="2846"/>
      <c r="AS292" s="1640"/>
      <c r="AT292" s="1394"/>
      <c r="AU292" s="2618" t="s">
        <v>350</v>
      </c>
      <c r="AV292" s="1460"/>
      <c r="AW292" s="1395"/>
      <c r="AX292" s="2850"/>
      <c r="AY292" s="1628"/>
      <c r="AZ292" s="1280"/>
      <c r="BA292" s="2617" t="s">
        <v>335</v>
      </c>
      <c r="BB292" s="1629"/>
      <c r="BC292" s="687"/>
      <c r="BD292" s="1216" t="s">
        <v>379</v>
      </c>
      <c r="BE292" s="687"/>
      <c r="BF292" s="1794"/>
      <c r="BG292" s="2853"/>
      <c r="BH292" s="1794"/>
      <c r="BI292" s="1542"/>
      <c r="BJ292" s="1282"/>
      <c r="BK292" s="1543"/>
      <c r="BL292" s="1544"/>
      <c r="BM292" s="1544" t="s">
        <v>278</v>
      </c>
      <c r="BN292" s="1544"/>
      <c r="BO292" s="1107"/>
      <c r="BP292" s="1107"/>
      <c r="BQ292" s="1642"/>
      <c r="BR292" s="1614"/>
      <c r="BS292" s="1107"/>
      <c r="BT292" s="1107" t="s">
        <v>278</v>
      </c>
      <c r="BU292" s="1107"/>
      <c r="BV292" s="1611"/>
      <c r="BW292" s="1611"/>
      <c r="BX292" s="1611"/>
      <c r="BY292" s="1107"/>
      <c r="BZ292" s="1642"/>
      <c r="CA292" s="1614"/>
    </row>
    <row r="293" spans="1:79" ht="20.85" customHeight="1" x14ac:dyDescent="0.4">
      <c r="A293" s="249"/>
      <c r="B293" s="249"/>
      <c r="C293" s="584" t="s">
        <v>307</v>
      </c>
      <c r="D293" s="587"/>
      <c r="E293" s="1416"/>
      <c r="F293" s="1417"/>
      <c r="G293" s="588"/>
      <c r="H293" s="1418"/>
      <c r="I293" s="742"/>
      <c r="J293" s="635"/>
      <c r="K293" s="2688"/>
      <c r="L293" s="705"/>
      <c r="M293" s="1589"/>
      <c r="N293" s="1383"/>
      <c r="O293" s="1383"/>
      <c r="P293" s="795"/>
      <c r="Q293" s="2834"/>
      <c r="R293" s="708"/>
      <c r="S293" s="696"/>
      <c r="T293" s="2834"/>
      <c r="U293" s="1459"/>
      <c r="V293" s="709"/>
      <c r="W293" s="2834"/>
      <c r="X293" s="1632"/>
      <c r="Y293" s="1589"/>
      <c r="Z293" s="2834"/>
      <c r="AA293" s="1383"/>
      <c r="AB293" s="1399"/>
      <c r="AC293" s="2843"/>
      <c r="AD293" s="1399"/>
      <c r="AE293" s="1385"/>
      <c r="AF293" s="2846"/>
      <c r="AG293" s="1385"/>
      <c r="AH293" s="1159"/>
      <c r="AI293" s="1160" t="s">
        <v>334</v>
      </c>
      <c r="AJ293" s="1159"/>
      <c r="AK293" s="1285"/>
      <c r="AL293" s="1285" t="s">
        <v>366</v>
      </c>
      <c r="AM293" s="1285"/>
      <c r="AN293" s="1421"/>
      <c r="AO293" s="2856"/>
      <c r="AP293" s="1533"/>
      <c r="AQ293" s="1626"/>
      <c r="AR293" s="2846"/>
      <c r="AS293" s="778"/>
      <c r="AT293" s="1208"/>
      <c r="AU293" s="1413"/>
      <c r="AV293" s="1210"/>
      <c r="AW293" s="1461"/>
      <c r="AX293" s="2850"/>
      <c r="AY293" s="1461"/>
      <c r="AZ293" s="1643"/>
      <c r="BA293" s="2617"/>
      <c r="BB293" s="1644"/>
      <c r="BC293" s="687"/>
      <c r="BD293" s="1555" t="s">
        <v>381</v>
      </c>
      <c r="BE293" s="687"/>
      <c r="BF293" s="1794"/>
      <c r="BG293" s="2853"/>
      <c r="BH293" s="1794"/>
      <c r="BI293" s="1556"/>
      <c r="BJ293" s="2613"/>
      <c r="BK293" s="1557"/>
      <c r="BL293" s="1544"/>
      <c r="BM293" s="1544"/>
      <c r="BN293" s="1544"/>
      <c r="BO293" s="1107"/>
      <c r="BP293" s="1161"/>
      <c r="BQ293" s="1642"/>
      <c r="BR293" s="1614"/>
      <c r="BS293" s="1107"/>
      <c r="BT293" s="1107"/>
      <c r="BU293" s="1107"/>
      <c r="BV293" s="1611"/>
      <c r="BW293" s="1611"/>
      <c r="BX293" s="1611"/>
      <c r="BY293" s="1161"/>
      <c r="BZ293" s="1642"/>
      <c r="CA293" s="1614"/>
    </row>
    <row r="294" spans="1:79" ht="29.25" customHeight="1" x14ac:dyDescent="0.4">
      <c r="A294" s="249"/>
      <c r="B294" s="249"/>
      <c r="C294" s="584" t="s">
        <v>307</v>
      </c>
      <c r="D294" s="587"/>
      <c r="E294" s="1416"/>
      <c r="F294" s="1417"/>
      <c r="G294" s="588"/>
      <c r="H294" s="1418"/>
      <c r="I294" s="742"/>
      <c r="J294" s="635"/>
      <c r="K294" s="2688"/>
      <c r="L294" s="705"/>
      <c r="M294" s="1589"/>
      <c r="N294" s="1383"/>
      <c r="O294" s="1383"/>
      <c r="P294" s="795"/>
      <c r="Q294" s="2834"/>
      <c r="R294" s="708"/>
      <c r="S294" s="696"/>
      <c r="T294" s="2834"/>
      <c r="U294" s="1459"/>
      <c r="V294" s="709"/>
      <c r="W294" s="2834"/>
      <c r="X294" s="1632"/>
      <c r="Y294" s="1589"/>
      <c r="Z294" s="2834"/>
      <c r="AA294" s="1383"/>
      <c r="AB294" s="1399"/>
      <c r="AC294" s="2843"/>
      <c r="AD294" s="1399"/>
      <c r="AE294" s="1385"/>
      <c r="AF294" s="2846"/>
      <c r="AG294" s="1624"/>
      <c r="AH294" s="1645"/>
      <c r="AI294" s="1160"/>
      <c r="AJ294" s="1160"/>
      <c r="AK294" s="1285"/>
      <c r="AL294" s="1595"/>
      <c r="AM294" s="1285"/>
      <c r="AN294" s="1421"/>
      <c r="AO294" s="1646"/>
      <c r="AP294" s="1533"/>
      <c r="AQ294" s="1647"/>
      <c r="AR294" s="2846"/>
      <c r="AS294" s="1648"/>
      <c r="AT294" s="1394"/>
      <c r="AU294" s="1597"/>
      <c r="AV294" s="1649"/>
      <c r="AW294" s="1395"/>
      <c r="AX294" s="2850"/>
      <c r="AY294" s="1395"/>
      <c r="AZ294" s="1650"/>
      <c r="BA294" s="2617"/>
      <c r="BB294" s="1651"/>
      <c r="BC294" s="687"/>
      <c r="BD294" s="975" t="s">
        <v>384</v>
      </c>
      <c r="BE294" s="908"/>
      <c r="BF294" s="1794"/>
      <c r="BG294" s="2853"/>
      <c r="BH294" s="1862"/>
      <c r="BI294" s="1556"/>
      <c r="BJ294" s="2613"/>
      <c r="BK294" s="1636"/>
      <c r="BL294" s="1544"/>
      <c r="BM294" s="1544"/>
      <c r="BN294" s="1615"/>
      <c r="BO294" s="1107"/>
      <c r="BP294" s="1161"/>
      <c r="BQ294" s="1642"/>
      <c r="BR294" s="1614"/>
      <c r="BS294" s="1107"/>
      <c r="BT294" s="1107"/>
      <c r="BU294" s="1614"/>
      <c r="BV294" s="1611"/>
      <c r="BW294" s="1611"/>
      <c r="BX294" s="1616"/>
      <c r="BY294" s="1161"/>
      <c r="BZ294" s="1642"/>
      <c r="CA294" s="1614"/>
    </row>
    <row r="295" spans="1:79" ht="17.100000000000001" customHeight="1" x14ac:dyDescent="0.4">
      <c r="A295" s="249"/>
      <c r="B295" s="249"/>
      <c r="C295" s="584" t="s">
        <v>307</v>
      </c>
      <c r="D295" s="587"/>
      <c r="E295" s="1416"/>
      <c r="F295" s="1417"/>
      <c r="G295" s="588"/>
      <c r="H295" s="1418"/>
      <c r="I295" s="742"/>
      <c r="J295" s="635"/>
      <c r="K295" s="2688"/>
      <c r="L295" s="1652"/>
      <c r="M295" s="1589"/>
      <c r="N295" s="1383"/>
      <c r="O295" s="1383"/>
      <c r="P295" s="795"/>
      <c r="Q295" s="2834"/>
      <c r="R295" s="1653"/>
      <c r="S295" s="696"/>
      <c r="T295" s="2834"/>
      <c r="U295" s="1459"/>
      <c r="V295" s="709"/>
      <c r="W295" s="2834"/>
      <c r="X295" s="1632"/>
      <c r="Y295" s="1589"/>
      <c r="Z295" s="2834"/>
      <c r="AA295" s="1383"/>
      <c r="AB295" s="1399"/>
      <c r="AC295" s="2843"/>
      <c r="AD295" s="1399"/>
      <c r="AE295" s="1385"/>
      <c r="AF295" s="2846"/>
      <c r="AG295" s="1624"/>
      <c r="AH295" s="1645"/>
      <c r="AI295" s="1160"/>
      <c r="AJ295" s="1160"/>
      <c r="AK295" s="1285"/>
      <c r="AL295" s="1595"/>
      <c r="AM295" s="1285"/>
      <c r="AN295" s="1421"/>
      <c r="AO295" s="1654"/>
      <c r="AP295" s="1533"/>
      <c r="AQ295" s="1647"/>
      <c r="AR295" s="2846"/>
      <c r="AS295" s="1648"/>
      <c r="AT295" s="1394"/>
      <c r="AU295" s="1597"/>
      <c r="AV295" s="1649"/>
      <c r="AW295" s="684"/>
      <c r="AX295" s="2850"/>
      <c r="AY295" s="684"/>
      <c r="AZ295" s="1650"/>
      <c r="BA295" s="2617"/>
      <c r="BB295" s="1651"/>
      <c r="BC295" s="687"/>
      <c r="BD295" s="975"/>
      <c r="BE295" s="908"/>
      <c r="BF295" s="1794"/>
      <c r="BG295" s="2853"/>
      <c r="BH295" s="1794"/>
      <c r="BI295" s="1556"/>
      <c r="BJ295" s="2613"/>
      <c r="BK295" s="1636"/>
      <c r="BL295" s="1544"/>
      <c r="BM295" s="1544"/>
      <c r="BN295" s="1615"/>
      <c r="BO295" s="1107"/>
      <c r="BP295" s="1161"/>
      <c r="BQ295" s="1642"/>
      <c r="BR295" s="1614"/>
      <c r="BS295" s="1107"/>
      <c r="BT295" s="1107"/>
      <c r="BU295" s="1614"/>
      <c r="BV295" s="1611"/>
      <c r="BW295" s="1611"/>
      <c r="BX295" s="1616"/>
      <c r="BY295" s="1161"/>
      <c r="BZ295" s="1642"/>
      <c r="CA295" s="1614"/>
    </row>
    <row r="296" spans="1:79" ht="14.85" customHeight="1" x14ac:dyDescent="0.4">
      <c r="A296" s="249"/>
      <c r="B296" s="249"/>
      <c r="C296" s="584">
        <v>0.60763888888888795</v>
      </c>
      <c r="D296" s="587"/>
      <c r="E296" s="1416"/>
      <c r="F296" s="1417"/>
      <c r="G296" s="588"/>
      <c r="H296" s="1418"/>
      <c r="I296" s="1118"/>
      <c r="J296" s="635"/>
      <c r="K296" s="2688"/>
      <c r="L296" s="1652"/>
      <c r="M296" s="1656"/>
      <c r="N296" s="1383"/>
      <c r="O296" s="1383"/>
      <c r="P296" s="795"/>
      <c r="Q296" s="2834"/>
      <c r="R296" s="1653"/>
      <c r="S296" s="696"/>
      <c r="T296" s="2834"/>
      <c r="U296" s="1655"/>
      <c r="V296" s="709"/>
      <c r="W296" s="2834"/>
      <c r="X296" s="1632"/>
      <c r="Y296" s="1656"/>
      <c r="Z296" s="2834"/>
      <c r="AA296" s="1383"/>
      <c r="AB296" s="912"/>
      <c r="AC296" s="2843"/>
      <c r="AD296" s="912"/>
      <c r="AE296" s="1657"/>
      <c r="AF296" s="2846"/>
      <c r="AG296" s="1385"/>
      <c r="AH296" s="1645"/>
      <c r="AI296" s="1160"/>
      <c r="AJ296" s="1160"/>
      <c r="AK296" s="1285"/>
      <c r="AL296" s="1595"/>
      <c r="AM296" s="1285"/>
      <c r="AN296" s="1273"/>
      <c r="AO296" s="1533"/>
      <c r="AP296" s="1533"/>
      <c r="AQ296" s="1647"/>
      <c r="AR296" s="2846"/>
      <c r="AS296" s="1612"/>
      <c r="AT296" s="1392"/>
      <c r="AU296" s="1597"/>
      <c r="AV296" s="1394"/>
      <c r="AW296" s="684"/>
      <c r="AX296" s="2850"/>
      <c r="AY296" s="684"/>
      <c r="AZ296" s="1658"/>
      <c r="BA296" s="2617"/>
      <c r="BB296" s="1659"/>
      <c r="BC296" s="869"/>
      <c r="BD296" s="1555"/>
      <c r="BE296" s="687"/>
      <c r="BF296" s="1862"/>
      <c r="BG296" s="2853"/>
      <c r="BH296" s="1794"/>
      <c r="BI296" s="1542"/>
      <c r="BJ296" s="1476"/>
      <c r="BK296" s="1587"/>
      <c r="BL296" s="1661"/>
      <c r="BM296" s="1544"/>
      <c r="BN296" s="1544"/>
      <c r="BO296" s="1107"/>
      <c r="BP296" s="1161"/>
      <c r="BQ296" s="1642"/>
      <c r="BR296" s="1107"/>
      <c r="BS296" s="1161"/>
      <c r="BT296" s="1107"/>
      <c r="BU296" s="1107"/>
      <c r="BV296" s="1662"/>
      <c r="BW296" s="1611"/>
      <c r="BX296" s="1611"/>
      <c r="BY296" s="1161"/>
      <c r="BZ296" s="1642"/>
      <c r="CA296" s="1107"/>
    </row>
    <row r="297" spans="1:79" ht="14.85" customHeight="1" x14ac:dyDescent="0.4">
      <c r="A297" s="249"/>
      <c r="B297" s="249"/>
      <c r="C297" s="584">
        <v>0.61111111111111005</v>
      </c>
      <c r="D297" s="587"/>
      <c r="E297" s="1416"/>
      <c r="F297" s="1417"/>
      <c r="G297" s="588"/>
      <c r="H297" s="1418"/>
      <c r="I297" s="1118"/>
      <c r="J297" s="691"/>
      <c r="K297" s="2688"/>
      <c r="L297" s="705"/>
      <c r="M297" s="1656"/>
      <c r="N297" s="1383"/>
      <c r="O297" s="1383"/>
      <c r="P297" s="769"/>
      <c r="Q297" s="2834"/>
      <c r="R297" s="708"/>
      <c r="S297" s="696"/>
      <c r="T297" s="2834"/>
      <c r="U297" s="1655"/>
      <c r="V297" s="709"/>
      <c r="W297" s="2834"/>
      <c r="X297" s="684"/>
      <c r="Y297" s="1656"/>
      <c r="Z297" s="2834"/>
      <c r="AA297" s="1383"/>
      <c r="AB297" s="912"/>
      <c r="AC297" s="2843"/>
      <c r="AD297" s="912"/>
      <c r="AE297" s="1385"/>
      <c r="AF297" s="2846"/>
      <c r="AG297" s="1385"/>
      <c r="AH297" s="1160"/>
      <c r="AI297" s="1160"/>
      <c r="AJ297" s="1160"/>
      <c r="AK297" s="1663"/>
      <c r="AL297" s="1595"/>
      <c r="AM297" s="1200"/>
      <c r="AN297" s="1273"/>
      <c r="AO297" s="1533"/>
      <c r="AP297" s="1533"/>
      <c r="AQ297" s="1550"/>
      <c r="AR297" s="2846"/>
      <c r="AS297" s="778"/>
      <c r="AT297" s="1394"/>
      <c r="AU297" s="1413"/>
      <c r="AV297" s="1394"/>
      <c r="AW297" s="1395"/>
      <c r="AX297" s="2850"/>
      <c r="AY297" s="1395"/>
      <c r="AZ297" s="1280"/>
      <c r="BA297" s="2617"/>
      <c r="BB297" s="1280"/>
      <c r="BC297" s="687"/>
      <c r="BD297" s="967"/>
      <c r="BE297" s="687"/>
      <c r="BF297" s="1794"/>
      <c r="BG297" s="2853"/>
      <c r="BH297" s="1794"/>
      <c r="BI297" s="1556"/>
      <c r="BJ297" s="1476"/>
      <c r="BK297" s="1636"/>
      <c r="BL297" s="1544"/>
      <c r="BM297" s="1544"/>
      <c r="BN297" s="1544"/>
      <c r="BO297" s="1107"/>
      <c r="BP297" s="1107"/>
      <c r="BQ297" s="1642"/>
      <c r="BR297" s="1107"/>
      <c r="BS297" s="1107"/>
      <c r="BT297" s="1107"/>
      <c r="BU297" s="1107"/>
      <c r="BV297" s="1611"/>
      <c r="BW297" s="1611"/>
      <c r="BX297" s="1611"/>
      <c r="BY297" s="1107"/>
      <c r="BZ297" s="1642"/>
      <c r="CA297" s="1107"/>
    </row>
    <row r="298" spans="1:79" ht="20.85" customHeight="1" x14ac:dyDescent="0.4">
      <c r="A298" s="249" t="s">
        <v>434</v>
      </c>
      <c r="B298" s="249"/>
      <c r="C298" s="584">
        <v>0.61458333333333304</v>
      </c>
      <c r="D298" s="587"/>
      <c r="E298" s="1519"/>
      <c r="F298" s="1520"/>
      <c r="G298" s="615"/>
      <c r="H298" s="1522"/>
      <c r="I298" s="742"/>
      <c r="J298" s="635"/>
      <c r="K298" s="2688"/>
      <c r="L298" s="705"/>
      <c r="M298" s="1656"/>
      <c r="N298" s="1383"/>
      <c r="O298" s="1383"/>
      <c r="P298" s="795"/>
      <c r="Q298" s="2834"/>
      <c r="R298" s="708"/>
      <c r="S298" s="696"/>
      <c r="T298" s="2834"/>
      <c r="U298" s="1655"/>
      <c r="V298" s="709"/>
      <c r="W298" s="2834"/>
      <c r="X298" s="684"/>
      <c r="Y298" s="1656"/>
      <c r="Z298" s="2834"/>
      <c r="AA298" s="1383"/>
      <c r="AB298" s="912"/>
      <c r="AC298" s="2843"/>
      <c r="AD298" s="912"/>
      <c r="AE298" s="1385"/>
      <c r="AF298" s="2846"/>
      <c r="AG298" s="1385"/>
      <c r="AH298" s="1159"/>
      <c r="AI298" s="1160" t="s">
        <v>332</v>
      </c>
      <c r="AJ298" s="1160"/>
      <c r="AK298" s="1285"/>
      <c r="AL298" s="2840" t="s">
        <v>361</v>
      </c>
      <c r="AM298" s="1285"/>
      <c r="AN298" s="1273"/>
      <c r="AO298" s="1625" t="s">
        <v>331</v>
      </c>
      <c r="AP298" s="1533"/>
      <c r="AQ298" s="1550"/>
      <c r="AR298" s="2846"/>
      <c r="AS298" s="1640"/>
      <c r="AT298" s="1210"/>
      <c r="AU298" s="1277"/>
      <c r="AV298" s="1537"/>
      <c r="AW298" s="1395"/>
      <c r="AX298" s="2850"/>
      <c r="AY298" s="1572"/>
      <c r="AZ298" s="1280"/>
      <c r="BA298" s="2617" t="s">
        <v>335</v>
      </c>
      <c r="BB298" s="1573"/>
      <c r="BC298" s="687"/>
      <c r="BD298" s="1216" t="s">
        <v>379</v>
      </c>
      <c r="BE298" s="687"/>
      <c r="BF298" s="1794"/>
      <c r="BG298" s="2853"/>
      <c r="BH298" s="1794"/>
      <c r="BI298" s="1556"/>
      <c r="BJ298" s="1476"/>
      <c r="BK298" s="1587"/>
      <c r="BL298" s="1544"/>
      <c r="BM298" s="1544"/>
      <c r="BN298" s="1615"/>
      <c r="BO298" s="1107"/>
      <c r="BP298" s="1107"/>
      <c r="BQ298" s="1642"/>
      <c r="BR298" s="1614"/>
      <c r="BS298" s="1107"/>
      <c r="BT298" s="1107"/>
      <c r="BU298" s="1614"/>
      <c r="BV298" s="1611"/>
      <c r="BW298" s="1611"/>
      <c r="BX298" s="1616"/>
      <c r="BY298" s="1107"/>
      <c r="BZ298" s="1642"/>
      <c r="CA298" s="1614"/>
    </row>
    <row r="299" spans="1:79" ht="21" customHeight="1" x14ac:dyDescent="0.4">
      <c r="A299" s="249"/>
      <c r="B299" s="249"/>
      <c r="C299" s="584" t="s">
        <v>307</v>
      </c>
      <c r="D299" s="587"/>
      <c r="E299" s="1416"/>
      <c r="F299" s="1417"/>
      <c r="G299" s="588"/>
      <c r="H299" s="1418"/>
      <c r="I299" s="742"/>
      <c r="J299" s="635"/>
      <c r="K299" s="1378"/>
      <c r="L299" s="705"/>
      <c r="M299" s="1656"/>
      <c r="N299" s="1383"/>
      <c r="O299" s="1383"/>
      <c r="P299" s="795"/>
      <c r="Q299" s="2834"/>
      <c r="R299" s="708"/>
      <c r="S299" s="696"/>
      <c r="T299" s="2834"/>
      <c r="U299" s="1655"/>
      <c r="V299" s="709"/>
      <c r="W299" s="2834"/>
      <c r="X299" s="684"/>
      <c r="Y299" s="1656"/>
      <c r="Z299" s="2834"/>
      <c r="AA299" s="1383"/>
      <c r="AB299" s="912"/>
      <c r="AC299" s="2843"/>
      <c r="AD299" s="912"/>
      <c r="AE299" s="1385"/>
      <c r="AF299" s="2846"/>
      <c r="AG299" s="1385"/>
      <c r="AH299" s="1430"/>
      <c r="AI299" s="793" t="s">
        <v>336</v>
      </c>
      <c r="AJ299" s="1430"/>
      <c r="AK299" s="1285"/>
      <c r="AL299" s="2840"/>
      <c r="AM299" s="1285"/>
      <c r="AN299" s="1273"/>
      <c r="AO299" s="1533" t="s">
        <v>366</v>
      </c>
      <c r="AP299" s="1533"/>
      <c r="AQ299" s="1550"/>
      <c r="AR299" s="2846"/>
      <c r="AS299" s="1648"/>
      <c r="AT299" s="1210"/>
      <c r="AU299" s="2618" t="s">
        <v>350</v>
      </c>
      <c r="AV299" s="1537"/>
      <c r="AW299" s="1395"/>
      <c r="AX299" s="2850"/>
      <c r="AY299" s="1022"/>
      <c r="AZ299" s="1280"/>
      <c r="BA299" s="2617"/>
      <c r="BB299" s="1573"/>
      <c r="BC299" s="687"/>
      <c r="BD299" s="1555" t="s">
        <v>381</v>
      </c>
      <c r="BE299" s="687"/>
      <c r="BF299" s="1794"/>
      <c r="BG299" s="2853"/>
      <c r="BH299" s="1794"/>
      <c r="BI299" s="1556"/>
      <c r="BJ299" s="1403"/>
      <c r="BK299" s="1587"/>
      <c r="BL299" s="1621"/>
      <c r="BM299" s="1544"/>
      <c r="BN299" s="1615"/>
      <c r="BO299" s="1107"/>
      <c r="BP299" s="1622"/>
      <c r="BQ299" s="1642"/>
      <c r="BR299" s="1614"/>
      <c r="BS299" s="1622"/>
      <c r="BT299" s="1107"/>
      <c r="BU299" s="1614"/>
      <c r="BV299" s="1623"/>
      <c r="BW299" s="1611"/>
      <c r="BX299" s="1616"/>
      <c r="BY299" s="1622"/>
      <c r="BZ299" s="1642"/>
      <c r="CA299" s="1614"/>
    </row>
    <row r="300" spans="1:79" ht="19.350000000000001" customHeight="1" x14ac:dyDescent="0.4">
      <c r="A300" s="249"/>
      <c r="B300" s="249"/>
      <c r="C300" s="584" t="s">
        <v>307</v>
      </c>
      <c r="D300" s="587"/>
      <c r="E300" s="1416"/>
      <c r="F300" s="1417"/>
      <c r="G300" s="588"/>
      <c r="H300" s="1418"/>
      <c r="I300" s="742"/>
      <c r="J300" s="635"/>
      <c r="K300" s="1378"/>
      <c r="L300" s="705"/>
      <c r="M300" s="1656"/>
      <c r="N300" s="1383"/>
      <c r="O300" s="1383"/>
      <c r="P300" s="795"/>
      <c r="Q300" s="2834"/>
      <c r="R300" s="708"/>
      <c r="S300" s="696"/>
      <c r="T300" s="2834"/>
      <c r="U300" s="1655"/>
      <c r="V300" s="709"/>
      <c r="W300" s="2834"/>
      <c r="X300" s="684"/>
      <c r="Y300" s="1656"/>
      <c r="Z300" s="2834"/>
      <c r="AA300" s="1383"/>
      <c r="AB300" s="912"/>
      <c r="AC300" s="2843"/>
      <c r="AD300" s="912"/>
      <c r="AE300" s="1385"/>
      <c r="AF300" s="2846"/>
      <c r="AG300" s="1624"/>
      <c r="AH300" s="1160"/>
      <c r="AI300" s="1160"/>
      <c r="AJ300" s="1160"/>
      <c r="AK300" s="1285"/>
      <c r="AL300" s="2840"/>
      <c r="AM300" s="1285"/>
      <c r="AN300" s="1273"/>
      <c r="AO300" s="1533" t="s">
        <v>329</v>
      </c>
      <c r="AP300" s="1533"/>
      <c r="AQ300" s="1550"/>
      <c r="AR300" s="2846"/>
      <c r="AS300" s="1648"/>
      <c r="AT300" s="1210"/>
      <c r="AU300" s="1277"/>
      <c r="AV300" s="1537"/>
      <c r="AW300" s="1395"/>
      <c r="AX300" s="2850"/>
      <c r="AY300" s="1022"/>
      <c r="AZ300" s="1608"/>
      <c r="BA300" s="2617"/>
      <c r="BB300" s="1609"/>
      <c r="BC300" s="687"/>
      <c r="BD300" s="975" t="s">
        <v>384</v>
      </c>
      <c r="BE300" s="908"/>
      <c r="BF300" s="1794"/>
      <c r="BG300" s="2853"/>
      <c r="BH300" s="1794"/>
      <c r="BI300" s="1556"/>
      <c r="BJ300" s="2605"/>
      <c r="BK300" s="1587"/>
      <c r="BL300" s="1621"/>
      <c r="BM300" s="1544"/>
      <c r="BN300" s="1615"/>
      <c r="BO300" s="1107"/>
      <c r="BP300" s="1622"/>
      <c r="BQ300" s="1642"/>
      <c r="BR300" s="1614"/>
      <c r="BS300" s="1622"/>
      <c r="BT300" s="1107"/>
      <c r="BU300" s="1614"/>
      <c r="BV300" s="1623"/>
      <c r="BW300" s="1611"/>
      <c r="BX300" s="1616"/>
      <c r="BY300" s="1622"/>
      <c r="BZ300" s="1642"/>
      <c r="CA300" s="1614"/>
    </row>
    <row r="301" spans="1:79" ht="19.350000000000001" customHeight="1" x14ac:dyDescent="0.4">
      <c r="A301" s="249"/>
      <c r="B301" s="249"/>
      <c r="C301" s="584" t="s">
        <v>307</v>
      </c>
      <c r="D301" s="587"/>
      <c r="E301" s="1416"/>
      <c r="F301" s="1417"/>
      <c r="G301" s="588"/>
      <c r="H301" s="1418"/>
      <c r="I301" s="742"/>
      <c r="J301" s="635"/>
      <c r="K301" s="1378"/>
      <c r="L301" s="705"/>
      <c r="M301" s="685"/>
      <c r="N301" s="1383"/>
      <c r="O301" s="1383"/>
      <c r="P301" s="795"/>
      <c r="Q301" s="2834"/>
      <c r="R301" s="708"/>
      <c r="S301" s="696"/>
      <c r="T301" s="2834"/>
      <c r="U301" s="1459"/>
      <c r="V301" s="709"/>
      <c r="W301" s="2834"/>
      <c r="X301" s="684"/>
      <c r="Y301" s="685"/>
      <c r="Z301" s="2834"/>
      <c r="AA301" s="1383"/>
      <c r="AB301" s="1399"/>
      <c r="AC301" s="2843"/>
      <c r="AD301" s="1399"/>
      <c r="AE301" s="1385"/>
      <c r="AF301" s="2846"/>
      <c r="AG301" s="1624"/>
      <c r="AH301" s="1160"/>
      <c r="AI301" s="1160"/>
      <c r="AJ301" s="1160"/>
      <c r="AK301" s="1285"/>
      <c r="AL301" s="2840"/>
      <c r="AM301" s="1285"/>
      <c r="AN301" s="1273"/>
      <c r="AO301" s="1666"/>
      <c r="AP301" s="1533"/>
      <c r="AQ301" s="1550"/>
      <c r="AR301" s="2846"/>
      <c r="AS301" s="1648"/>
      <c r="AT301" s="1667"/>
      <c r="AU301" s="1277"/>
      <c r="AV301" s="1668"/>
      <c r="AW301" s="683"/>
      <c r="AX301" s="2850"/>
      <c r="AY301" s="1585"/>
      <c r="AZ301" s="1669"/>
      <c r="BA301" s="2617"/>
      <c r="BB301" s="1586"/>
      <c r="BC301" s="687"/>
      <c r="BD301" s="975"/>
      <c r="BE301" s="908"/>
      <c r="BF301" s="1794"/>
      <c r="BG301" s="2853"/>
      <c r="BH301" s="1794"/>
      <c r="BI301" s="1670"/>
      <c r="BJ301" s="2610"/>
      <c r="BK301" s="1671"/>
      <c r="BL301" s="1621"/>
      <c r="BM301" s="1544"/>
      <c r="BN301" s="1615"/>
      <c r="BO301" s="1107"/>
      <c r="BP301" s="1622"/>
      <c r="BQ301" s="1642"/>
      <c r="BR301" s="1614"/>
      <c r="BS301" s="1622"/>
      <c r="BT301" s="1107"/>
      <c r="BU301" s="1614"/>
      <c r="BV301" s="1623"/>
      <c r="BW301" s="1611"/>
      <c r="BX301" s="1616"/>
      <c r="BY301" s="1622"/>
      <c r="BZ301" s="1642"/>
      <c r="CA301" s="1614"/>
    </row>
    <row r="302" spans="1:79" ht="14.85" customHeight="1" x14ac:dyDescent="0.4">
      <c r="A302" s="249"/>
      <c r="B302" s="249"/>
      <c r="C302" s="584">
        <v>0.61805555555555503</v>
      </c>
      <c r="D302" s="587"/>
      <c r="E302" s="1416"/>
      <c r="F302" s="1417"/>
      <c r="G302" s="588"/>
      <c r="H302" s="1418"/>
      <c r="I302" s="742"/>
      <c r="J302" s="635"/>
      <c r="K302" s="1378"/>
      <c r="L302" s="705"/>
      <c r="M302" s="685"/>
      <c r="N302" s="1383"/>
      <c r="O302" s="1383"/>
      <c r="P302" s="795"/>
      <c r="Q302" s="2834"/>
      <c r="R302" s="996"/>
      <c r="S302" s="697"/>
      <c r="T302" s="2834"/>
      <c r="U302" s="1459"/>
      <c r="V302" s="684"/>
      <c r="W302" s="2834"/>
      <c r="X302" s="684"/>
      <c r="Y302" s="685"/>
      <c r="Z302" s="2834"/>
      <c r="AA302" s="1383"/>
      <c r="AB302" s="1399"/>
      <c r="AC302" s="2843"/>
      <c r="AD302" s="1399"/>
      <c r="AE302" s="1385"/>
      <c r="AF302" s="2846"/>
      <c r="AG302" s="1385"/>
      <c r="AH302" s="1160"/>
      <c r="AI302" s="1160"/>
      <c r="AJ302" s="1160"/>
      <c r="AK302" s="1285"/>
      <c r="AL302" s="2840"/>
      <c r="AM302" s="1531"/>
      <c r="AN302" s="1273"/>
      <c r="AO302" s="1672"/>
      <c r="AP302" s="1673"/>
      <c r="AQ302" s="1550"/>
      <c r="AR302" s="2846"/>
      <c r="AS302" s="1640"/>
      <c r="AT302" s="1674"/>
      <c r="AU302" s="1413"/>
      <c r="AV302" s="1411"/>
      <c r="AW302" s="1252"/>
      <c r="AX302" s="2850"/>
      <c r="AY302" s="1572"/>
      <c r="AZ302" s="1598"/>
      <c r="BA302" s="2617"/>
      <c r="BB302" s="1573"/>
      <c r="BC302" s="687"/>
      <c r="BD302" s="967"/>
      <c r="BE302" s="687"/>
      <c r="BF302" s="1794"/>
      <c r="BG302" s="2853"/>
      <c r="BH302" s="1794"/>
      <c r="BI302" s="1675"/>
      <c r="BJ302" s="1271"/>
      <c r="BK302" s="1575"/>
      <c r="BL302" s="1544"/>
      <c r="BM302" s="1544"/>
      <c r="BN302" s="1544"/>
      <c r="BO302" s="1107"/>
      <c r="BP302" s="1107"/>
      <c r="BQ302" s="1642"/>
      <c r="BR302" s="1107"/>
      <c r="BS302" s="1107"/>
      <c r="BT302" s="1107"/>
      <c r="BU302" s="1107"/>
      <c r="BV302" s="1611"/>
      <c r="BW302" s="1611"/>
      <c r="BX302" s="1611"/>
      <c r="BY302" s="1107"/>
      <c r="BZ302" s="1642"/>
      <c r="CA302" s="1107"/>
    </row>
    <row r="303" spans="1:79" ht="46.5" customHeight="1" x14ac:dyDescent="0.4">
      <c r="A303" s="249"/>
      <c r="B303" s="249"/>
      <c r="C303" s="802">
        <v>0.62152777777777701</v>
      </c>
      <c r="D303" s="1010"/>
      <c r="E303" s="1481"/>
      <c r="F303" s="1482"/>
      <c r="G303" s="1012"/>
      <c r="H303" s="1484"/>
      <c r="I303" s="873"/>
      <c r="J303" s="1676"/>
      <c r="K303" s="1677"/>
      <c r="L303" s="810"/>
      <c r="M303" s="1685"/>
      <c r="N303" s="2778"/>
      <c r="O303" s="1685"/>
      <c r="P303" s="1678"/>
      <c r="Q303" s="1679"/>
      <c r="R303" s="1053"/>
      <c r="S303" s="1680"/>
      <c r="T303" s="1681"/>
      <c r="U303" s="1680"/>
      <c r="V303" s="1682"/>
      <c r="W303" s="1683"/>
      <c r="X303" s="1684"/>
      <c r="Y303" s="1061"/>
      <c r="Z303" s="1064"/>
      <c r="AA303" s="1061"/>
      <c r="AB303" s="687"/>
      <c r="AC303" s="687"/>
      <c r="AD303" s="687"/>
      <c r="AE303" s="1686"/>
      <c r="AF303" s="2847"/>
      <c r="AG303" s="1385"/>
      <c r="AH303" s="1687"/>
      <c r="AI303" s="1160"/>
      <c r="AJ303" s="1687"/>
      <c r="AK303" s="1688"/>
      <c r="AL303" s="2840"/>
      <c r="AM303" s="1688"/>
      <c r="AN303" s="1500"/>
      <c r="AO303" s="1689"/>
      <c r="AP303" s="1690"/>
      <c r="AQ303" s="1691"/>
      <c r="AR303" s="2846"/>
      <c r="AS303" s="1692"/>
      <c r="AT303" s="1693"/>
      <c r="AU303" s="2619"/>
      <c r="AV303" s="1505"/>
      <c r="AW303" s="814"/>
      <c r="AX303" s="2851"/>
      <c r="AY303" s="814"/>
      <c r="AZ303" s="2620"/>
      <c r="BA303" s="2621"/>
      <c r="BB303" s="2622"/>
      <c r="BC303" s="687"/>
      <c r="BD303" s="967"/>
      <c r="BE303" s="687"/>
      <c r="BF303" s="1697"/>
      <c r="BG303" s="2854"/>
      <c r="BH303" s="1697"/>
      <c r="BI303" s="1698"/>
      <c r="BJ303" s="2809" t="s">
        <v>435</v>
      </c>
      <c r="BK303" s="1699"/>
      <c r="BL303" s="1704"/>
      <c r="BM303" s="1704"/>
      <c r="BN303" s="1704"/>
      <c r="BO303" s="1702"/>
      <c r="BP303" s="1702"/>
      <c r="BQ303" s="1703"/>
      <c r="BR303" s="1702"/>
      <c r="BS303" s="1702"/>
      <c r="BT303" s="1702"/>
      <c r="BU303" s="1702"/>
      <c r="BV303" s="1705"/>
      <c r="BW303" s="1705"/>
      <c r="BX303" s="1705"/>
      <c r="BY303" s="1702"/>
      <c r="BZ303" s="1703"/>
      <c r="CA303" s="1702"/>
    </row>
    <row r="304" spans="1:79" ht="24.6" customHeight="1" x14ac:dyDescent="0.4">
      <c r="A304" s="249"/>
      <c r="B304" s="249"/>
      <c r="C304" s="578">
        <v>0.624999999999999</v>
      </c>
      <c r="D304" s="1706"/>
      <c r="E304" s="1707"/>
      <c r="F304" s="1708"/>
      <c r="G304" s="1706"/>
      <c r="H304" s="1707"/>
      <c r="I304" s="1709"/>
      <c r="J304" s="1706"/>
      <c r="K304" s="1707"/>
      <c r="L304" s="1709"/>
      <c r="M304" s="1706"/>
      <c r="N304" s="1707"/>
      <c r="O304" s="1709"/>
      <c r="P304" s="1710"/>
      <c r="Q304" s="2824" t="s">
        <v>436</v>
      </c>
      <c r="R304" s="1711"/>
      <c r="S304" s="764"/>
      <c r="T304" s="1713" t="s">
        <v>437</v>
      </c>
      <c r="U304" s="1254"/>
      <c r="V304" s="1712"/>
      <c r="W304" s="2623" t="s">
        <v>438</v>
      </c>
      <c r="X304" s="1714"/>
      <c r="Y304" s="1715"/>
      <c r="Z304" s="2623"/>
      <c r="AA304" s="1716"/>
      <c r="AB304" s="1717"/>
      <c r="AC304" s="1717"/>
      <c r="AD304" s="1717"/>
      <c r="AE304" s="1718"/>
      <c r="AF304" s="1385" t="s">
        <v>332</v>
      </c>
      <c r="AG304" s="1719"/>
      <c r="AH304" s="1645"/>
      <c r="AI304" s="2858" t="s">
        <v>407</v>
      </c>
      <c r="AJ304" s="1720"/>
      <c r="AK304" s="1285"/>
      <c r="AL304" s="2840"/>
      <c r="AM304" s="1285"/>
      <c r="AN304" s="1721"/>
      <c r="AO304" s="1798" t="s">
        <v>371</v>
      </c>
      <c r="AP304" s="1722"/>
      <c r="AQ304" s="778"/>
      <c r="AR304" s="2846"/>
      <c r="AS304" s="1640"/>
      <c r="AT304" s="1208"/>
      <c r="AU304" s="1723" t="s">
        <v>439</v>
      </c>
      <c r="AV304" s="1724"/>
      <c r="AW304" s="1461"/>
      <c r="AX304" s="2052" t="s">
        <v>440</v>
      </c>
      <c r="AY304" s="1461"/>
      <c r="AZ304" s="1160"/>
      <c r="BA304" s="1160"/>
      <c r="BB304" s="1160"/>
      <c r="BC304" s="1728"/>
      <c r="BD304" s="2861" t="s">
        <v>407</v>
      </c>
      <c r="BE304" s="1729"/>
      <c r="BF304" s="1850"/>
      <c r="BG304" s="1794" t="s">
        <v>379</v>
      </c>
      <c r="BH304" s="1852"/>
      <c r="BI304" s="1556"/>
      <c r="BJ304" s="2864" t="s">
        <v>407</v>
      </c>
      <c r="BK304" s="1556"/>
      <c r="BL304" s="1732"/>
      <c r="BM304" s="1733" t="s">
        <v>271</v>
      </c>
      <c r="BN304" s="1734"/>
      <c r="BO304" s="1610"/>
      <c r="BP304" s="1610"/>
      <c r="BQ304" s="1579"/>
      <c r="BR304" s="1191"/>
      <c r="BS304" s="1735"/>
      <c r="BT304" s="1736" t="s">
        <v>271</v>
      </c>
      <c r="BU304" s="1737"/>
      <c r="BV304" s="1738"/>
      <c r="BW304" s="1739"/>
      <c r="BX304" s="1740"/>
      <c r="BY304" s="1610"/>
      <c r="BZ304" s="1579"/>
      <c r="CA304" s="1191"/>
    </row>
    <row r="305" spans="1:79" ht="20.100000000000001" customHeight="1" x14ac:dyDescent="0.4">
      <c r="A305" s="249"/>
      <c r="B305" s="249"/>
      <c r="C305" s="584" t="s">
        <v>307</v>
      </c>
      <c r="D305" s="1741"/>
      <c r="E305" s="1707"/>
      <c r="F305" s="1708"/>
      <c r="G305" s="1741"/>
      <c r="H305" s="1707"/>
      <c r="I305" s="1742"/>
      <c r="J305" s="1741"/>
      <c r="K305" s="1707"/>
      <c r="L305" s="1742"/>
      <c r="M305" s="1741"/>
      <c r="N305" s="1707"/>
      <c r="O305" s="1742"/>
      <c r="P305" s="1743"/>
      <c r="Q305" s="1744"/>
      <c r="R305" s="1053"/>
      <c r="S305" s="764"/>
      <c r="T305" s="764"/>
      <c r="U305" s="1254"/>
      <c r="V305" s="1745"/>
      <c r="W305" s="1861" t="s">
        <v>441</v>
      </c>
      <c r="X305" s="1684"/>
      <c r="Y305" s="1747"/>
      <c r="Z305" s="1861"/>
      <c r="AA305" s="1061"/>
      <c r="AB305" s="687"/>
      <c r="AC305" s="687"/>
      <c r="AD305" s="687"/>
      <c r="AE305" s="1157"/>
      <c r="AF305" s="1385" t="s">
        <v>333</v>
      </c>
      <c r="AG305" s="1385"/>
      <c r="AH305" s="1645"/>
      <c r="AI305" s="2859"/>
      <c r="AJ305" s="1618"/>
      <c r="AK305" s="2806"/>
      <c r="AL305" s="2840"/>
      <c r="AM305" s="1531"/>
      <c r="AN305" s="1450"/>
      <c r="AO305" s="1798"/>
      <c r="AP305" s="1438"/>
      <c r="AQ305" s="778"/>
      <c r="AR305" s="2846"/>
      <c r="AS305" s="1749"/>
      <c r="AT305" s="1208"/>
      <c r="AU305" s="1750" t="s">
        <v>442</v>
      </c>
      <c r="AV305" s="1724"/>
      <c r="AW305" s="1395"/>
      <c r="AX305" s="1751"/>
      <c r="AY305" s="1461"/>
      <c r="AZ305" s="1160"/>
      <c r="BA305" s="1160"/>
      <c r="BB305" s="1160"/>
      <c r="BC305" s="1574"/>
      <c r="BD305" s="2862"/>
      <c r="BE305" s="687"/>
      <c r="BF305" s="1850"/>
      <c r="BG305" s="1862" t="s">
        <v>443</v>
      </c>
      <c r="BH305" s="1852"/>
      <c r="BI305" s="1556"/>
      <c r="BJ305" s="2865"/>
      <c r="BK305" s="1556"/>
      <c r="BL305" s="1754"/>
      <c r="BM305" s="1755" t="s">
        <v>310</v>
      </c>
      <c r="BN305" s="1755"/>
      <c r="BO305" s="1580"/>
      <c r="BP305" s="1108"/>
      <c r="BQ305" s="1109"/>
      <c r="BR305" s="1109"/>
      <c r="BS305" s="1756"/>
      <c r="BT305" s="1757" t="s">
        <v>310</v>
      </c>
      <c r="BU305" s="1757"/>
      <c r="BV305" s="1758"/>
      <c r="BW305" s="1759"/>
      <c r="BX305" s="1759"/>
      <c r="BY305" s="1108"/>
      <c r="BZ305" s="1109"/>
      <c r="CA305" s="1109"/>
    </row>
    <row r="306" spans="1:79" ht="21.75" customHeight="1" x14ac:dyDescent="0.4">
      <c r="A306" s="249"/>
      <c r="B306" s="249"/>
      <c r="C306" s="584" t="s">
        <v>307</v>
      </c>
      <c r="D306" s="1741"/>
      <c r="E306" s="1707"/>
      <c r="F306" s="1708"/>
      <c r="G306" s="1741"/>
      <c r="H306" s="1707"/>
      <c r="I306" s="1742"/>
      <c r="J306" s="1741"/>
      <c r="K306" s="1707"/>
      <c r="L306" s="1742"/>
      <c r="M306" s="1741"/>
      <c r="N306" s="1707"/>
      <c r="O306" s="1742"/>
      <c r="P306" s="1743"/>
      <c r="Q306" s="1744"/>
      <c r="R306" s="1053"/>
      <c r="S306" s="764"/>
      <c r="T306" s="764"/>
      <c r="U306" s="1254"/>
      <c r="V306" s="1745"/>
      <c r="W306" s="2624" t="s">
        <v>330</v>
      </c>
      <c r="X306" s="1684"/>
      <c r="Y306" s="1061"/>
      <c r="Z306" s="2624"/>
      <c r="AA306" s="1061"/>
      <c r="AB306" s="687"/>
      <c r="AC306" s="687"/>
      <c r="AD306" s="687"/>
      <c r="AE306" s="1385"/>
      <c r="AF306" s="1385"/>
      <c r="AG306" s="1385"/>
      <c r="AH306" s="1645"/>
      <c r="AI306" s="2859"/>
      <c r="AJ306" s="1618"/>
      <c r="AK306" s="1285"/>
      <c r="AL306" s="2840"/>
      <c r="AM306" s="1285"/>
      <c r="AN306" s="1450"/>
      <c r="AO306" s="1654"/>
      <c r="AP306" s="1761"/>
      <c r="AQ306" s="778"/>
      <c r="AR306" s="2846"/>
      <c r="AS306" s="1640"/>
      <c r="AT306" s="1210"/>
      <c r="AU306" s="1627"/>
      <c r="AV306" s="1210"/>
      <c r="AW306" s="1395"/>
      <c r="AX306" s="1751"/>
      <c r="AY306" s="1461"/>
      <c r="AZ306" s="1160"/>
      <c r="BA306" s="1160"/>
      <c r="BB306" s="1160"/>
      <c r="BC306" s="687"/>
      <c r="BD306" s="2862"/>
      <c r="BE306" s="687"/>
      <c r="BF306" s="1794"/>
      <c r="BG306" s="1859" t="s">
        <v>384</v>
      </c>
      <c r="BH306" s="1852"/>
      <c r="BI306" s="1556"/>
      <c r="BJ306" s="2865"/>
      <c r="BK306" s="1556"/>
      <c r="BL306" s="1754"/>
      <c r="BM306" s="182"/>
      <c r="BN306" s="1755"/>
      <c r="BO306" s="1107"/>
      <c r="BP306" s="1108"/>
      <c r="BQ306" s="1195"/>
      <c r="BR306" s="1109"/>
      <c r="BS306" s="1756"/>
      <c r="BT306" s="183"/>
      <c r="BU306" s="1757"/>
      <c r="BV306" s="1758"/>
      <c r="BW306" s="184"/>
      <c r="BX306" s="1759"/>
      <c r="BY306" s="1108"/>
      <c r="BZ306" s="1195"/>
      <c r="CA306" s="1109"/>
    </row>
    <row r="307" spans="1:79" ht="22.5" customHeight="1" x14ac:dyDescent="0.4">
      <c r="A307" s="249"/>
      <c r="B307" s="249"/>
      <c r="C307" s="584" t="s">
        <v>307</v>
      </c>
      <c r="D307" s="1741"/>
      <c r="E307" s="1707"/>
      <c r="F307" s="1708"/>
      <c r="G307" s="1741"/>
      <c r="H307" s="1707"/>
      <c r="I307" s="1742"/>
      <c r="J307" s="1741"/>
      <c r="K307" s="1707"/>
      <c r="L307" s="1742"/>
      <c r="M307" s="1741"/>
      <c r="N307" s="1707"/>
      <c r="O307" s="1742"/>
      <c r="P307" s="1743"/>
      <c r="Q307" s="1744"/>
      <c r="R307" s="1053"/>
      <c r="S307" s="764"/>
      <c r="T307" s="764"/>
      <c r="U307" s="1254"/>
      <c r="V307" s="1745"/>
      <c r="W307" s="2624" t="s">
        <v>329</v>
      </c>
      <c r="X307" s="1684"/>
      <c r="Y307" s="1061"/>
      <c r="Z307" s="2624"/>
      <c r="AA307" s="1061"/>
      <c r="AB307" s="687"/>
      <c r="AC307" s="687"/>
      <c r="AD307" s="687"/>
      <c r="AE307" s="1385"/>
      <c r="AF307" s="1385"/>
      <c r="AG307" s="1385"/>
      <c r="AH307" s="1159"/>
      <c r="AI307" s="2859"/>
      <c r="AJ307" s="1159"/>
      <c r="AK307" s="1285"/>
      <c r="AL307" s="2840"/>
      <c r="AM307" s="1285"/>
      <c r="AN307" s="1273"/>
      <c r="AO307" s="1533"/>
      <c r="AP307" s="1761"/>
      <c r="AQ307" s="778"/>
      <c r="AR307" s="2846"/>
      <c r="AS307" s="1640"/>
      <c r="AT307" s="1208"/>
      <c r="AU307" s="1763"/>
      <c r="AV307" s="1210"/>
      <c r="AW307" s="1395"/>
      <c r="AX307" s="1751"/>
      <c r="AY307" s="1461"/>
      <c r="AZ307" s="1160"/>
      <c r="BA307" s="1764" t="s">
        <v>444</v>
      </c>
      <c r="BB307" s="1160"/>
      <c r="BC307" s="687"/>
      <c r="BD307" s="2862"/>
      <c r="BE307" s="687"/>
      <c r="BF307" s="1787"/>
      <c r="BG307" s="1788"/>
      <c r="BH307" s="1401"/>
      <c r="BI307" s="1556"/>
      <c r="BJ307" s="2865"/>
      <c r="BK307" s="1556"/>
      <c r="BL307" s="182"/>
      <c r="BM307" s="182"/>
      <c r="BN307" s="182"/>
      <c r="BO307" s="1107"/>
      <c r="BP307" s="1107"/>
      <c r="BQ307" s="1195"/>
      <c r="BR307" s="1107"/>
      <c r="BS307" s="183"/>
      <c r="BT307" s="183"/>
      <c r="BU307" s="183"/>
      <c r="BV307" s="184"/>
      <c r="BW307" s="184"/>
      <c r="BX307" s="184"/>
      <c r="BY307" s="1107"/>
      <c r="BZ307" s="1195"/>
      <c r="CA307" s="1107"/>
    </row>
    <row r="308" spans="1:79" ht="22.5" customHeight="1" x14ac:dyDescent="0.4">
      <c r="A308" s="249"/>
      <c r="B308" s="249"/>
      <c r="C308" s="584" t="s">
        <v>307</v>
      </c>
      <c r="D308" s="1741"/>
      <c r="E308" s="1707"/>
      <c r="F308" s="1708"/>
      <c r="G308" s="1741"/>
      <c r="H308" s="1707"/>
      <c r="I308" s="1742"/>
      <c r="J308" s="1741"/>
      <c r="K308" s="1707"/>
      <c r="L308" s="1742"/>
      <c r="M308" s="1741"/>
      <c r="N308" s="1707"/>
      <c r="O308" s="1742"/>
      <c r="P308" s="1743"/>
      <c r="Q308" s="1744"/>
      <c r="R308" s="1053"/>
      <c r="S308" s="764"/>
      <c r="T308" s="764"/>
      <c r="U308" s="1254"/>
      <c r="V308" s="1745"/>
      <c r="W308" s="2624" t="s">
        <v>445</v>
      </c>
      <c r="X308" s="1684"/>
      <c r="Y308" s="1061"/>
      <c r="Z308" s="2624"/>
      <c r="AA308" s="1061"/>
      <c r="AB308" s="687"/>
      <c r="AC308" s="687"/>
      <c r="AD308" s="687"/>
      <c r="AE308" s="1385"/>
      <c r="AF308" s="1385"/>
      <c r="AG308" s="1385"/>
      <c r="AH308" s="1159"/>
      <c r="AI308" s="2859"/>
      <c r="AJ308" s="1159"/>
      <c r="AK308" s="1765"/>
      <c r="AL308" s="2840"/>
      <c r="AM308" s="1283"/>
      <c r="AN308" s="1619"/>
      <c r="AO308" s="1533"/>
      <c r="AP308" s="1761"/>
      <c r="AQ308" s="778"/>
      <c r="AR308" s="2846"/>
      <c r="AS308" s="1640"/>
      <c r="AT308" s="1452"/>
      <c r="AU308" s="1766"/>
      <c r="AV308" s="1394"/>
      <c r="AW308" s="1781"/>
      <c r="AX308" s="1751"/>
      <c r="AY308" s="783"/>
      <c r="AZ308" s="1160"/>
      <c r="BA308" s="1160"/>
      <c r="BB308" s="1160"/>
      <c r="BC308" s="687"/>
      <c r="BD308" s="2862"/>
      <c r="BE308" s="687"/>
      <c r="BF308" s="1787"/>
      <c r="BG308" s="1788"/>
      <c r="BH308" s="1401"/>
      <c r="BI308" s="1556"/>
      <c r="BJ308" s="2865"/>
      <c r="BK308" s="1556"/>
      <c r="BL308" s="1754"/>
      <c r="BM308" s="1755"/>
      <c r="BN308" s="182"/>
      <c r="BO308" s="1580"/>
      <c r="BP308" s="1108"/>
      <c r="BQ308" s="1767"/>
      <c r="BR308" s="1107"/>
      <c r="BS308" s="1756"/>
      <c r="BT308" s="1757"/>
      <c r="BU308" s="183"/>
      <c r="BV308" s="1758"/>
      <c r="BW308" s="1759"/>
      <c r="BX308" s="184"/>
      <c r="BY308" s="1108"/>
      <c r="BZ308" s="1767"/>
      <c r="CA308" s="1107"/>
    </row>
    <row r="309" spans="1:79" ht="22.5" customHeight="1" x14ac:dyDescent="0.4">
      <c r="A309" s="249"/>
      <c r="B309" s="249"/>
      <c r="C309" s="584" t="s">
        <v>307</v>
      </c>
      <c r="D309" s="1741"/>
      <c r="E309" s="1707"/>
      <c r="F309" s="1708"/>
      <c r="G309" s="1741"/>
      <c r="H309" s="1707"/>
      <c r="I309" s="1742"/>
      <c r="J309" s="1741"/>
      <c r="K309" s="1707"/>
      <c r="L309" s="1742"/>
      <c r="M309" s="1741"/>
      <c r="N309" s="1707"/>
      <c r="O309" s="1742"/>
      <c r="P309" s="1743"/>
      <c r="Q309" s="1744"/>
      <c r="R309" s="1053"/>
      <c r="S309" s="764"/>
      <c r="T309" s="764"/>
      <c r="U309" s="1254"/>
      <c r="V309" s="709"/>
      <c r="W309" s="1065"/>
      <c r="X309" s="684"/>
      <c r="Y309" s="1061"/>
      <c r="Z309" s="1065"/>
      <c r="AA309" s="1061"/>
      <c r="AB309" s="1399"/>
      <c r="AC309" s="1399"/>
      <c r="AD309" s="1399"/>
      <c r="AE309" s="1385"/>
      <c r="AF309" s="1385"/>
      <c r="AG309" s="1385"/>
      <c r="AH309" s="1159"/>
      <c r="AI309" s="2859"/>
      <c r="AJ309" s="1159"/>
      <c r="AK309" s="1765"/>
      <c r="AL309" s="2840"/>
      <c r="AM309" s="1283"/>
      <c r="AN309" s="1619"/>
      <c r="AO309" s="1533"/>
      <c r="AP309" s="1761"/>
      <c r="AQ309" s="778"/>
      <c r="AR309" s="2846"/>
      <c r="AS309" s="1640"/>
      <c r="AT309" s="1452"/>
      <c r="AU309" s="1766"/>
      <c r="AV309" s="1394"/>
      <c r="AW309" s="1781"/>
      <c r="AX309" s="1751"/>
      <c r="AY309" s="783"/>
      <c r="AZ309" s="1160"/>
      <c r="BA309" s="1160"/>
      <c r="BB309" s="1160"/>
      <c r="BC309" s="687"/>
      <c r="BD309" s="2862"/>
      <c r="BE309" s="687"/>
      <c r="BF309" s="1787"/>
      <c r="BG309" s="1788"/>
      <c r="BH309" s="1401"/>
      <c r="BI309" s="1556"/>
      <c r="BJ309" s="2865"/>
      <c r="BK309" s="1556"/>
      <c r="BL309" s="1754"/>
      <c r="BM309" s="1755"/>
      <c r="BN309" s="182"/>
      <c r="BO309" s="1580"/>
      <c r="BP309" s="1108"/>
      <c r="BQ309" s="1109"/>
      <c r="BR309" s="1107"/>
      <c r="BS309" s="1756"/>
      <c r="BT309" s="1757"/>
      <c r="BU309" s="183"/>
      <c r="BV309" s="1758"/>
      <c r="BW309" s="1759"/>
      <c r="BX309" s="184"/>
      <c r="BY309" s="1108"/>
      <c r="BZ309" s="1109"/>
      <c r="CA309" s="1107"/>
    </row>
    <row r="310" spans="1:79" ht="22.5" customHeight="1" x14ac:dyDescent="0.4">
      <c r="A310" s="249"/>
      <c r="B310" s="249"/>
      <c r="C310" s="584">
        <v>0.62847222222222099</v>
      </c>
      <c r="D310" s="1741"/>
      <c r="E310" s="1707"/>
      <c r="F310" s="1708"/>
      <c r="G310" s="1741"/>
      <c r="H310" s="1707"/>
      <c r="I310" s="1742"/>
      <c r="J310" s="1741"/>
      <c r="K310" s="1707"/>
      <c r="L310" s="1742"/>
      <c r="M310" s="1741"/>
      <c r="N310" s="1707"/>
      <c r="O310" s="1742"/>
      <c r="P310" s="1743"/>
      <c r="Q310" s="1768"/>
      <c r="R310" s="1053"/>
      <c r="S310" s="764"/>
      <c r="T310" s="1222"/>
      <c r="U310" s="1254"/>
      <c r="V310" s="709"/>
      <c r="W310" s="1065"/>
      <c r="X310" s="684"/>
      <c r="Y310" s="1061"/>
      <c r="Z310" s="1065"/>
      <c r="AA310" s="1061"/>
      <c r="AB310" s="1399"/>
      <c r="AC310" s="1399"/>
      <c r="AD310" s="1399"/>
      <c r="AE310" s="1385"/>
      <c r="AF310" s="1385"/>
      <c r="AG310" s="1385"/>
      <c r="AH310" s="1160"/>
      <c r="AI310" s="2859"/>
      <c r="AJ310" s="1160"/>
      <c r="AK310" s="1765"/>
      <c r="AL310" s="2840"/>
      <c r="AM310" s="1283"/>
      <c r="AN310" s="1721"/>
      <c r="AO310" s="2625"/>
      <c r="AP310" s="1722"/>
      <c r="AQ310" s="778"/>
      <c r="AR310" s="2846"/>
      <c r="AS310" s="1640"/>
      <c r="AT310" s="1208"/>
      <c r="AU310" s="1627"/>
      <c r="AV310" s="1208"/>
      <c r="AW310" s="1781"/>
      <c r="AX310" s="1751"/>
      <c r="AY310" s="783"/>
      <c r="AZ310" s="1160"/>
      <c r="BA310" s="1160"/>
      <c r="BB310" s="1160"/>
      <c r="BC310" s="1399"/>
      <c r="BD310" s="2862"/>
      <c r="BE310" s="1399"/>
      <c r="BF310" s="1787"/>
      <c r="BG310" s="1788"/>
      <c r="BH310" s="1401"/>
      <c r="BI310" s="1773"/>
      <c r="BJ310" s="2865"/>
      <c r="BK310" s="1773"/>
      <c r="BL310" s="1754"/>
      <c r="BM310" s="1733"/>
      <c r="BN310" s="1755"/>
      <c r="BO310" s="1107"/>
      <c r="BP310" s="1108"/>
      <c r="BQ310" s="1579"/>
      <c r="BR310" s="1109"/>
      <c r="BS310" s="1756"/>
      <c r="BT310" s="1736"/>
      <c r="BU310" s="1757"/>
      <c r="BV310" s="1758"/>
      <c r="BW310" s="1739"/>
      <c r="BX310" s="1759"/>
      <c r="BY310" s="1108"/>
      <c r="BZ310" s="1579"/>
      <c r="CA310" s="1109"/>
    </row>
    <row r="311" spans="1:79" ht="22.5" customHeight="1" x14ac:dyDescent="0.4">
      <c r="A311" s="249"/>
      <c r="B311" s="249"/>
      <c r="C311" s="584" t="s">
        <v>307</v>
      </c>
      <c r="D311" s="1741"/>
      <c r="E311" s="1769"/>
      <c r="F311" s="1770"/>
      <c r="G311" s="1741"/>
      <c r="H311" s="1769"/>
      <c r="I311" s="1742"/>
      <c r="J311" s="1741"/>
      <c r="K311" s="1769"/>
      <c r="L311" s="1742"/>
      <c r="M311" s="1741"/>
      <c r="N311" s="1769"/>
      <c r="O311" s="1742"/>
      <c r="P311" s="1743"/>
      <c r="Q311" s="1768"/>
      <c r="R311" s="1053"/>
      <c r="S311" s="764"/>
      <c r="T311" s="1222"/>
      <c r="U311" s="1254"/>
      <c r="V311" s="709"/>
      <c r="W311" s="1065"/>
      <c r="X311" s="684"/>
      <c r="Y311" s="1061"/>
      <c r="Z311" s="1065"/>
      <c r="AA311" s="1061"/>
      <c r="AB311" s="1399"/>
      <c r="AC311" s="1399"/>
      <c r="AD311" s="1399"/>
      <c r="AE311" s="1385"/>
      <c r="AF311" s="1385"/>
      <c r="AG311" s="1385"/>
      <c r="AH311" s="1160"/>
      <c r="AI311" s="2859"/>
      <c r="AJ311" s="1160"/>
      <c r="AK311" s="1765"/>
      <c r="AL311" s="2840"/>
      <c r="AM311" s="1283"/>
      <c r="AN311" s="1721"/>
      <c r="AO311" s="2625"/>
      <c r="AP311" s="1722"/>
      <c r="AQ311" s="778"/>
      <c r="AR311" s="2846"/>
      <c r="AS311" s="1640"/>
      <c r="AT311" s="1208"/>
      <c r="AU311" s="1627"/>
      <c r="AV311" s="1208"/>
      <c r="AW311" s="684"/>
      <c r="AX311" s="1751"/>
      <c r="AY311" s="684"/>
      <c r="AZ311" s="1160"/>
      <c r="BA311" s="1160"/>
      <c r="BB311" s="1160"/>
      <c r="BC311" s="1399"/>
      <c r="BD311" s="2862"/>
      <c r="BE311" s="1399"/>
      <c r="BF311" s="1787"/>
      <c r="BG311" s="1788"/>
      <c r="BH311" s="1401"/>
      <c r="BI311" s="1773"/>
      <c r="BJ311" s="2865"/>
      <c r="BK311" s="1773"/>
      <c r="BL311" s="1754"/>
      <c r="BM311" s="1733"/>
      <c r="BN311" s="1755"/>
      <c r="BO311" s="1107"/>
      <c r="BP311" s="1108"/>
      <c r="BQ311" s="1579"/>
      <c r="BR311" s="1109"/>
      <c r="BS311" s="1756"/>
      <c r="BT311" s="1736"/>
      <c r="BU311" s="1757"/>
      <c r="BV311" s="1758"/>
      <c r="BW311" s="1739"/>
      <c r="BX311" s="1759"/>
      <c r="BY311" s="1108"/>
      <c r="BZ311" s="1579"/>
      <c r="CA311" s="1109"/>
    </row>
    <row r="312" spans="1:79" ht="22.5" customHeight="1" x14ac:dyDescent="0.4">
      <c r="A312" s="249"/>
      <c r="B312" s="249"/>
      <c r="C312" s="584" t="s">
        <v>307</v>
      </c>
      <c r="D312" s="1741"/>
      <c r="E312" s="1769"/>
      <c r="F312" s="1770"/>
      <c r="G312" s="1741"/>
      <c r="H312" s="1769"/>
      <c r="I312" s="1742"/>
      <c r="J312" s="1741"/>
      <c r="K312" s="1769"/>
      <c r="L312" s="1742"/>
      <c r="M312" s="1741"/>
      <c r="N312" s="1769"/>
      <c r="O312" s="1742"/>
      <c r="P312" s="1743"/>
      <c r="Q312" s="1768"/>
      <c r="R312" s="1053"/>
      <c r="S312" s="764"/>
      <c r="T312" s="1222"/>
      <c r="U312" s="1254"/>
      <c r="V312" s="1771"/>
      <c r="W312" s="745"/>
      <c r="X312" s="1772"/>
      <c r="Y312" s="685"/>
      <c r="Z312" s="745"/>
      <c r="AA312" s="685"/>
      <c r="AB312" s="1399"/>
      <c r="AC312" s="1399"/>
      <c r="AD312" s="1399"/>
      <c r="AE312" s="1385"/>
      <c r="AF312" s="1385"/>
      <c r="AG312" s="1385"/>
      <c r="AH312" s="1160"/>
      <c r="AI312" s="2859"/>
      <c r="AJ312" s="1160"/>
      <c r="AK312" s="1765"/>
      <c r="AL312" s="2840"/>
      <c r="AM312" s="1283"/>
      <c r="AN312" s="1721"/>
      <c r="AO312" s="2625"/>
      <c r="AP312" s="1722"/>
      <c r="AQ312" s="778"/>
      <c r="AR312" s="2846"/>
      <c r="AS312" s="1640"/>
      <c r="AT312" s="1208"/>
      <c r="AU312" s="1627"/>
      <c r="AV312" s="1208"/>
      <c r="AW312" s="1461"/>
      <c r="AX312" s="1751"/>
      <c r="AY312" s="1461"/>
      <c r="AZ312" s="1694"/>
      <c r="BA312" s="2617"/>
      <c r="BB312" s="1727"/>
      <c r="BC312" s="1399"/>
      <c r="BD312" s="2862"/>
      <c r="BE312" s="1399"/>
      <c r="BF312" s="1787"/>
      <c r="BG312" s="1788"/>
      <c r="BH312" s="1401"/>
      <c r="BI312" s="1773"/>
      <c r="BJ312" s="2865"/>
      <c r="BK312" s="1773"/>
      <c r="BL312" s="1754"/>
      <c r="BM312" s="1733"/>
      <c r="BN312" s="1755"/>
      <c r="BO312" s="1107"/>
      <c r="BP312" s="1108"/>
      <c r="BQ312" s="1579"/>
      <c r="BR312" s="1109"/>
      <c r="BS312" s="1756"/>
      <c r="BT312" s="1736"/>
      <c r="BU312" s="1757"/>
      <c r="BV312" s="1758"/>
      <c r="BW312" s="1739"/>
      <c r="BX312" s="1759"/>
      <c r="BY312" s="1108"/>
      <c r="BZ312" s="1579"/>
      <c r="CA312" s="1109"/>
    </row>
    <row r="313" spans="1:79" ht="14.25" customHeight="1" x14ac:dyDescent="0.4">
      <c r="A313" s="249"/>
      <c r="B313" s="249"/>
      <c r="C313" s="584">
        <v>0.63194444444444398</v>
      </c>
      <c r="D313" s="1741"/>
      <c r="E313" s="1769"/>
      <c r="F313" s="1770"/>
      <c r="G313" s="1741"/>
      <c r="H313" s="1769"/>
      <c r="I313" s="1742"/>
      <c r="J313" s="1741"/>
      <c r="K313" s="1769"/>
      <c r="L313" s="1742"/>
      <c r="M313" s="1741"/>
      <c r="N313" s="1769"/>
      <c r="O313" s="1742"/>
      <c r="P313" s="1743"/>
      <c r="Q313" s="1768"/>
      <c r="R313" s="1053"/>
      <c r="S313" s="1792"/>
      <c r="T313" s="1792"/>
      <c r="U313" s="1078"/>
      <c r="V313" s="1771"/>
      <c r="W313" s="745"/>
      <c r="X313" s="1772"/>
      <c r="Y313" s="685"/>
      <c r="Z313" s="745"/>
      <c r="AA313" s="685"/>
      <c r="AB313" s="1399"/>
      <c r="AC313" s="1399"/>
      <c r="AD313" s="1399"/>
      <c r="AE313" s="1385"/>
      <c r="AF313" s="1385"/>
      <c r="AG313" s="1385"/>
      <c r="AH313" s="1160"/>
      <c r="AI313" s="2859"/>
      <c r="AJ313" s="1160"/>
      <c r="AK313" s="1663"/>
      <c r="AL313" s="2840"/>
      <c r="AM313" s="1200"/>
      <c r="AN313" s="1273"/>
      <c r="AO313" s="2625"/>
      <c r="AP313" s="1438"/>
      <c r="AQ313" s="778"/>
      <c r="AR313" s="2846"/>
      <c r="AS313" s="1640"/>
      <c r="AT313" s="1210"/>
      <c r="AU313" s="1775"/>
      <c r="AV313" s="1208"/>
      <c r="AW313" s="1395"/>
      <c r="AX313" s="1751"/>
      <c r="AY313" s="1461"/>
      <c r="AZ313" s="1280"/>
      <c r="BA313" s="2617"/>
      <c r="BB313" s="1289"/>
      <c r="BC313" s="687"/>
      <c r="BD313" s="2862"/>
      <c r="BE313" s="1399"/>
      <c r="BF313" s="1787"/>
      <c r="BG313" s="1788"/>
      <c r="BH313" s="1401"/>
      <c r="BI313" s="1556"/>
      <c r="BJ313" s="2865"/>
      <c r="BK313" s="1556"/>
      <c r="BL313" s="182"/>
      <c r="BM313" s="1733"/>
      <c r="BN313" s="182"/>
      <c r="BO313" s="1107"/>
      <c r="BP313" s="1107"/>
      <c r="BQ313" s="1579"/>
      <c r="BR313" s="1107"/>
      <c r="BS313" s="183"/>
      <c r="BT313" s="1736"/>
      <c r="BU313" s="183"/>
      <c r="BV313" s="184"/>
      <c r="BW313" s="1739"/>
      <c r="BX313" s="184"/>
      <c r="BY313" s="1107"/>
      <c r="BZ313" s="1579"/>
      <c r="CA313" s="1107"/>
    </row>
    <row r="314" spans="1:79" ht="14.85" customHeight="1" x14ac:dyDescent="0.4">
      <c r="A314" s="249"/>
      <c r="B314" s="249"/>
      <c r="C314" s="584" t="s">
        <v>307</v>
      </c>
      <c r="D314" s="1741"/>
      <c r="E314" s="1769"/>
      <c r="F314" s="1770"/>
      <c r="G314" s="1741"/>
      <c r="H314" s="1769"/>
      <c r="I314" s="1742"/>
      <c r="J314" s="1741"/>
      <c r="K314" s="1769"/>
      <c r="L314" s="1742"/>
      <c r="M314" s="1741"/>
      <c r="N314" s="1769"/>
      <c r="O314" s="1742"/>
      <c r="P314" s="1743"/>
      <c r="Q314" s="1768"/>
      <c r="R314" s="1053"/>
      <c r="S314" s="764"/>
      <c r="T314" s="764"/>
      <c r="U314" s="1254"/>
      <c r="V314" s="1745"/>
      <c r="W314" s="2626"/>
      <c r="X314" s="1684"/>
      <c r="Y314" s="685"/>
      <c r="Z314" s="2626"/>
      <c r="AA314" s="685"/>
      <c r="AB314" s="1399"/>
      <c r="AC314" s="1399"/>
      <c r="AD314" s="1399"/>
      <c r="AE314" s="1776"/>
      <c r="AF314" s="1385"/>
      <c r="AG314" s="1385"/>
      <c r="AH314" s="1160"/>
      <c r="AI314" s="2859"/>
      <c r="AJ314" s="1160"/>
      <c r="AK314" s="1663"/>
      <c r="AL314" s="2840"/>
      <c r="AM314" s="1200"/>
      <c r="AN314" s="1273"/>
      <c r="AO314" s="2625"/>
      <c r="AP314" s="1438"/>
      <c r="AQ314" s="778"/>
      <c r="AR314" s="2846"/>
      <c r="AS314" s="1640"/>
      <c r="AT314" s="1210"/>
      <c r="AU314" s="1775"/>
      <c r="AV314" s="1208"/>
      <c r="AW314" s="1395"/>
      <c r="AX314" s="1751"/>
      <c r="AY314" s="1461"/>
      <c r="AZ314" s="1280"/>
      <c r="BA314" s="2617"/>
      <c r="BB314" s="1289"/>
      <c r="BC314" s="1574"/>
      <c r="BD314" s="2862"/>
      <c r="BE314" s="1399"/>
      <c r="BF314" s="1787"/>
      <c r="BG314" s="1788"/>
      <c r="BH314" s="1401"/>
      <c r="BI314" s="1556"/>
      <c r="BJ314" s="2865"/>
      <c r="BK314" s="1556"/>
      <c r="BL314" s="182"/>
      <c r="BM314" s="1733"/>
      <c r="BN314" s="182"/>
      <c r="BO314" s="1107"/>
      <c r="BP314" s="1107"/>
      <c r="BQ314" s="1579"/>
      <c r="BR314" s="1107"/>
      <c r="BS314" s="183"/>
      <c r="BT314" s="1736"/>
      <c r="BU314" s="183"/>
      <c r="BV314" s="184"/>
      <c r="BW314" s="1739"/>
      <c r="BX314" s="184"/>
      <c r="BY314" s="1107"/>
      <c r="BZ314" s="1579"/>
      <c r="CA314" s="1107"/>
    </row>
    <row r="315" spans="1:79" ht="21.75" customHeight="1" x14ac:dyDescent="0.4">
      <c r="A315" s="249"/>
      <c r="B315" s="249"/>
      <c r="C315" s="584">
        <v>0.63541666666666596</v>
      </c>
      <c r="D315" s="1741"/>
      <c r="E315" s="1769"/>
      <c r="F315" s="1770"/>
      <c r="G315" s="1741"/>
      <c r="H315" s="1769"/>
      <c r="I315" s="1742"/>
      <c r="J315" s="1741"/>
      <c r="K315" s="1769"/>
      <c r="L315" s="1742"/>
      <c r="M315" s="1741"/>
      <c r="N315" s="1769"/>
      <c r="O315" s="1742"/>
      <c r="P315" s="1743"/>
      <c r="Q315" s="1768"/>
      <c r="R315" s="1053"/>
      <c r="S315" s="764"/>
      <c r="T315" s="764" t="s">
        <v>446</v>
      </c>
      <c r="U315" s="1254"/>
      <c r="V315" s="709"/>
      <c r="W315" s="2624" t="s">
        <v>334</v>
      </c>
      <c r="X315" s="709"/>
      <c r="Y315" s="685"/>
      <c r="Z315" s="2624"/>
      <c r="AA315" s="685"/>
      <c r="AB315" s="1399"/>
      <c r="AC315" s="1399"/>
      <c r="AD315" s="1399"/>
      <c r="AE315" s="1157"/>
      <c r="AF315" s="1385" t="s">
        <v>332</v>
      </c>
      <c r="AG315" s="1157"/>
      <c r="AH315" s="1645"/>
      <c r="AI315" s="2859"/>
      <c r="AJ315" s="1618"/>
      <c r="AK315" s="1285"/>
      <c r="AL315" s="2840"/>
      <c r="AM315" s="1531"/>
      <c r="AN315" s="1273"/>
      <c r="AO315" s="1798" t="s">
        <v>350</v>
      </c>
      <c r="AP315" s="1438"/>
      <c r="AQ315" s="778"/>
      <c r="AR315" s="778"/>
      <c r="AS315" s="1640"/>
      <c r="AT315" s="1452"/>
      <c r="AU315" s="1775"/>
      <c r="AV315" s="1394"/>
      <c r="AW315" s="1395"/>
      <c r="AX315" s="2052" t="s">
        <v>447</v>
      </c>
      <c r="AY315" s="1461"/>
      <c r="AZ315" s="1280"/>
      <c r="BA315" s="2617"/>
      <c r="BB315" s="1289"/>
      <c r="BC315" s="1574"/>
      <c r="BD315" s="2862"/>
      <c r="BE315" s="687"/>
      <c r="BF315" s="1850"/>
      <c r="BG315" s="1794" t="s">
        <v>379</v>
      </c>
      <c r="BH315" s="1852"/>
      <c r="BI315" s="1556"/>
      <c r="BJ315" s="2865"/>
      <c r="BK315" s="1556"/>
      <c r="BL315" s="1754"/>
      <c r="BM315" s="1755"/>
      <c r="BN315" s="1755"/>
      <c r="BO315" s="1107"/>
      <c r="BP315" s="1404"/>
      <c r="BQ315" s="1107"/>
      <c r="BR315" s="1779"/>
      <c r="BS315" s="1756"/>
      <c r="BT315" s="1757"/>
      <c r="BU315" s="1757"/>
      <c r="BV315" s="1758"/>
      <c r="BW315" s="1759"/>
      <c r="BX315" s="1759"/>
      <c r="BY315" s="1404"/>
      <c r="BZ315" s="1107"/>
      <c r="CA315" s="1779"/>
    </row>
    <row r="316" spans="1:79" ht="29.25" customHeight="1" x14ac:dyDescent="0.4">
      <c r="A316" s="249"/>
      <c r="B316" s="249"/>
      <c r="C316" s="584" t="s">
        <v>307</v>
      </c>
      <c r="D316" s="1741"/>
      <c r="E316" s="1769"/>
      <c r="F316" s="1770"/>
      <c r="G316" s="1741"/>
      <c r="H316" s="1769"/>
      <c r="I316" s="1742"/>
      <c r="J316" s="1741"/>
      <c r="K316" s="1769"/>
      <c r="L316" s="1742"/>
      <c r="M316" s="1741"/>
      <c r="N316" s="1769"/>
      <c r="O316" s="1742"/>
      <c r="P316" s="1743"/>
      <c r="Q316" s="1768"/>
      <c r="R316" s="1053"/>
      <c r="S316" s="764"/>
      <c r="T316" s="796" t="s">
        <v>336</v>
      </c>
      <c r="U316" s="1254"/>
      <c r="V316" s="709"/>
      <c r="W316" s="2624" t="s">
        <v>445</v>
      </c>
      <c r="X316" s="684"/>
      <c r="Y316" s="685"/>
      <c r="Z316" s="2624"/>
      <c r="AA316" s="685"/>
      <c r="AB316" s="1399"/>
      <c r="AC316" s="1399"/>
      <c r="AD316" s="1399"/>
      <c r="AE316" s="1385"/>
      <c r="AF316" s="1157" t="s">
        <v>366</v>
      </c>
      <c r="AG316" s="1385"/>
      <c r="AH316" s="1159"/>
      <c r="AI316" s="2859"/>
      <c r="AJ316" s="1159"/>
      <c r="AK316" s="2806"/>
      <c r="AL316" s="2840"/>
      <c r="AM316" s="1531"/>
      <c r="AN316" s="1450"/>
      <c r="AO316" s="2625"/>
      <c r="AP316" s="1603"/>
      <c r="AQ316" s="778"/>
      <c r="AR316" s="1780"/>
      <c r="AS316" s="778"/>
      <c r="AT316" s="1394"/>
      <c r="AU316" s="1775"/>
      <c r="AV316" s="1394"/>
      <c r="AW316" s="1781"/>
      <c r="AX316" s="1751"/>
      <c r="AY316" s="783"/>
      <c r="AZ316" s="1553"/>
      <c r="BA316" s="2617"/>
      <c r="BB316" s="1609"/>
      <c r="BC316" s="687"/>
      <c r="BD316" s="2862"/>
      <c r="BE316" s="687"/>
      <c r="BF316" s="1850"/>
      <c r="BG316" s="1862" t="s">
        <v>443</v>
      </c>
      <c r="BH316" s="1852"/>
      <c r="BI316" s="1556"/>
      <c r="BJ316" s="2865"/>
      <c r="BK316" s="1556"/>
      <c r="BL316" s="1754"/>
      <c r="BM316" s="1755"/>
      <c r="BN316" s="1783"/>
      <c r="BO316" s="1580"/>
      <c r="BP316" s="1108"/>
      <c r="BQ316" s="1109"/>
      <c r="BR316" s="1614"/>
      <c r="BS316" s="1756"/>
      <c r="BT316" s="1757"/>
      <c r="BU316" s="1784"/>
      <c r="BV316" s="1758"/>
      <c r="BW316" s="1759"/>
      <c r="BX316" s="1785"/>
      <c r="BY316" s="1108"/>
      <c r="BZ316" s="1109"/>
      <c r="CA316" s="1614"/>
    </row>
    <row r="317" spans="1:79" ht="17.850000000000001" customHeight="1" x14ac:dyDescent="0.4">
      <c r="A317" s="249"/>
      <c r="B317" s="249"/>
      <c r="C317" s="584" t="s">
        <v>307</v>
      </c>
      <c r="D317" s="1741"/>
      <c r="E317" s="1769"/>
      <c r="F317" s="1770"/>
      <c r="G317" s="1741"/>
      <c r="H317" s="1769"/>
      <c r="I317" s="1742"/>
      <c r="J317" s="1741"/>
      <c r="K317" s="1769"/>
      <c r="L317" s="1742"/>
      <c r="M317" s="1741"/>
      <c r="N317" s="1769"/>
      <c r="O317" s="1742"/>
      <c r="P317" s="1743"/>
      <c r="Q317" s="1768"/>
      <c r="R317" s="1053"/>
      <c r="S317" s="764"/>
      <c r="T317" s="764"/>
      <c r="U317" s="1254"/>
      <c r="V317" s="709"/>
      <c r="W317" s="745"/>
      <c r="X317" s="684"/>
      <c r="Y317" s="685"/>
      <c r="Z317" s="745"/>
      <c r="AA317" s="685"/>
      <c r="AB317" s="1399"/>
      <c r="AC317" s="1399"/>
      <c r="AD317" s="1399"/>
      <c r="AE317" s="1385"/>
      <c r="AF317" s="1385"/>
      <c r="AG317" s="1385"/>
      <c r="AH317" s="1160"/>
      <c r="AI317" s="2859"/>
      <c r="AJ317" s="1160"/>
      <c r="AK317" s="2806"/>
      <c r="AL317" s="2840"/>
      <c r="AM317" s="1531"/>
      <c r="AN317" s="1450"/>
      <c r="AO317" s="2625"/>
      <c r="AP317" s="1603"/>
      <c r="AQ317" s="778"/>
      <c r="AR317" s="1780"/>
      <c r="AS317" s="778"/>
      <c r="AT317" s="1394"/>
      <c r="AU317" s="1775"/>
      <c r="AV317" s="1394"/>
      <c r="AW317" s="1781"/>
      <c r="AX317" s="1751"/>
      <c r="AY317" s="783"/>
      <c r="AZ317" s="1553"/>
      <c r="BA317" s="2617"/>
      <c r="BB317" s="1609"/>
      <c r="BC317" s="687"/>
      <c r="BD317" s="2862"/>
      <c r="BE317" s="687"/>
      <c r="BF317" s="1794"/>
      <c r="BG317" s="1859" t="s">
        <v>384</v>
      </c>
      <c r="BH317" s="1852"/>
      <c r="BI317" s="1556"/>
      <c r="BJ317" s="2865"/>
      <c r="BK317" s="1778"/>
      <c r="BL317" s="1754"/>
      <c r="BM317" s="1755"/>
      <c r="BN317" s="1783"/>
      <c r="BO317" s="1580"/>
      <c r="BP317" s="1108"/>
      <c r="BQ317" s="1109"/>
      <c r="BR317" s="1614"/>
      <c r="BS317" s="1756"/>
      <c r="BT317" s="1757"/>
      <c r="BU317" s="1784"/>
      <c r="BV317" s="1758"/>
      <c r="BW317" s="1759"/>
      <c r="BX317" s="1785"/>
      <c r="BY317" s="1108"/>
      <c r="BZ317" s="1109"/>
      <c r="CA317" s="1614"/>
    </row>
    <row r="318" spans="1:79" ht="21" customHeight="1" x14ac:dyDescent="0.4">
      <c r="A318" s="249"/>
      <c r="B318" s="249"/>
      <c r="C318" s="584" t="s">
        <v>307</v>
      </c>
      <c r="D318" s="1741"/>
      <c r="E318" s="1769"/>
      <c r="F318" s="1770"/>
      <c r="G318" s="1741"/>
      <c r="H318" s="1769"/>
      <c r="I318" s="1742"/>
      <c r="J318" s="1741"/>
      <c r="K318" s="1769"/>
      <c r="L318" s="1742"/>
      <c r="M318" s="1741"/>
      <c r="N318" s="1769"/>
      <c r="O318" s="1742"/>
      <c r="P318" s="1743"/>
      <c r="Q318" s="1768"/>
      <c r="R318" s="1053"/>
      <c r="S318" s="764"/>
      <c r="T318" s="1222"/>
      <c r="U318" s="1254"/>
      <c r="V318" s="709"/>
      <c r="W318" s="1065"/>
      <c r="X318" s="684"/>
      <c r="Y318" s="1061"/>
      <c r="Z318" s="1065"/>
      <c r="AA318" s="1061"/>
      <c r="AB318" s="1399"/>
      <c r="AC318" s="1399"/>
      <c r="AD318" s="1399"/>
      <c r="AE318" s="1385"/>
      <c r="AF318" s="1385"/>
      <c r="AG318" s="1385"/>
      <c r="AH318" s="1160"/>
      <c r="AI318" s="2859"/>
      <c r="AJ318" s="1160"/>
      <c r="AK318" s="2806"/>
      <c r="AL318" s="2840"/>
      <c r="AM318" s="1531"/>
      <c r="AN318" s="1450"/>
      <c r="AO318" s="2625"/>
      <c r="AP318" s="1603"/>
      <c r="AQ318" s="778"/>
      <c r="AR318" s="1780"/>
      <c r="AS318" s="778"/>
      <c r="AT318" s="1394"/>
      <c r="AU318" s="1766"/>
      <c r="AV318" s="1394"/>
      <c r="AW318" s="1781"/>
      <c r="AX318" s="1751"/>
      <c r="AY318" s="783"/>
      <c r="AZ318" s="1650"/>
      <c r="BA318" s="2617"/>
      <c r="BB318" s="1727"/>
      <c r="BC318" s="687"/>
      <c r="BD318" s="2862"/>
      <c r="BE318" s="687"/>
      <c r="BF318" s="1794"/>
      <c r="BG318" s="1790"/>
      <c r="BH318" s="1852"/>
      <c r="BI318" s="1556"/>
      <c r="BJ318" s="2865"/>
      <c r="BK318" s="1778"/>
      <c r="BL318" s="1733"/>
      <c r="BM318" s="182"/>
      <c r="BN318" s="1783"/>
      <c r="BO318" s="1107"/>
      <c r="BP318" s="1622"/>
      <c r="BQ318" s="1642"/>
      <c r="BR318" s="1614"/>
      <c r="BS318" s="1736"/>
      <c r="BT318" s="183"/>
      <c r="BU318" s="1784"/>
      <c r="BV318" s="1739"/>
      <c r="BW318" s="184"/>
      <c r="BX318" s="1785"/>
      <c r="BY318" s="1622"/>
      <c r="BZ318" s="1642"/>
      <c r="CA318" s="1614"/>
    </row>
    <row r="319" spans="1:79" ht="23.85" customHeight="1" x14ac:dyDescent="0.4">
      <c r="A319" s="249"/>
      <c r="B319" s="249"/>
      <c r="C319" s="584">
        <v>0.63888888888888795</v>
      </c>
      <c r="D319" s="1741"/>
      <c r="E319" s="1769"/>
      <c r="F319" s="1770"/>
      <c r="G319" s="1741"/>
      <c r="H319" s="1769"/>
      <c r="I319" s="1742"/>
      <c r="J319" s="1741"/>
      <c r="K319" s="1769"/>
      <c r="L319" s="1742"/>
      <c r="M319" s="1741"/>
      <c r="N319" s="1769"/>
      <c r="O319" s="1742"/>
      <c r="P319" s="1743"/>
      <c r="Q319" s="1768"/>
      <c r="R319" s="1053"/>
      <c r="S319" s="764"/>
      <c r="T319" s="1222"/>
      <c r="U319" s="1254"/>
      <c r="V319" s="709"/>
      <c r="W319" s="1065"/>
      <c r="X319" s="684"/>
      <c r="Y319" s="1061"/>
      <c r="Z319" s="1065"/>
      <c r="AA319" s="1061"/>
      <c r="AB319" s="1399"/>
      <c r="AC319" s="1399"/>
      <c r="AD319" s="1399"/>
      <c r="AE319" s="1385"/>
      <c r="AF319" s="1169" t="s">
        <v>448</v>
      </c>
      <c r="AG319" s="1385"/>
      <c r="AH319" s="1160"/>
      <c r="AI319" s="2859"/>
      <c r="AJ319" s="1160"/>
      <c r="AK319" s="1285"/>
      <c r="AL319" s="2840"/>
      <c r="AM319" s="1531"/>
      <c r="AN319" s="1273"/>
      <c r="AO319" s="2625"/>
      <c r="AP319" s="1273"/>
      <c r="AQ319" s="1134"/>
      <c r="AR319" s="1780"/>
      <c r="AS319" s="1640"/>
      <c r="AT319" s="1394"/>
      <c r="AU319" s="2862" t="s">
        <v>361</v>
      </c>
      <c r="AV319" s="1786"/>
      <c r="AW319" s="684"/>
      <c r="AX319" s="2810" t="s">
        <v>449</v>
      </c>
      <c r="AY319" s="684"/>
      <c r="AZ319" s="1694"/>
      <c r="BA319" s="2617"/>
      <c r="BB319" s="1727"/>
      <c r="BC319" s="687"/>
      <c r="BD319" s="2862"/>
      <c r="BE319" s="687"/>
      <c r="BF319" s="1787"/>
      <c r="BG319" s="1788"/>
      <c r="BH319" s="1401"/>
      <c r="BI319" s="1773"/>
      <c r="BJ319" s="2865"/>
      <c r="BK319" s="1789"/>
      <c r="BL319" s="182"/>
      <c r="BM319" s="182"/>
      <c r="BN319" s="182"/>
      <c r="BO319" s="1107"/>
      <c r="BP319" s="1107"/>
      <c r="BQ319" s="1642"/>
      <c r="BR319" s="1107"/>
      <c r="BS319" s="183"/>
      <c r="BT319" s="183"/>
      <c r="BU319" s="183"/>
      <c r="BV319" s="184"/>
      <c r="BW319" s="184"/>
      <c r="BX319" s="184"/>
      <c r="BY319" s="1107"/>
      <c r="BZ319" s="1642"/>
      <c r="CA319" s="1107"/>
    </row>
    <row r="320" spans="1:79" ht="22.35" customHeight="1" x14ac:dyDescent="0.4">
      <c r="A320" s="249"/>
      <c r="B320" s="249"/>
      <c r="C320" s="584" t="s">
        <v>307</v>
      </c>
      <c r="D320" s="1741"/>
      <c r="E320" s="1769"/>
      <c r="F320" s="1770"/>
      <c r="G320" s="1741"/>
      <c r="H320" s="1769"/>
      <c r="I320" s="1742"/>
      <c r="J320" s="1741"/>
      <c r="K320" s="1769"/>
      <c r="L320" s="1742"/>
      <c r="M320" s="1741"/>
      <c r="N320" s="1769"/>
      <c r="O320" s="1742"/>
      <c r="P320" s="1743"/>
      <c r="Q320" s="1768"/>
      <c r="R320" s="1053"/>
      <c r="S320" s="764"/>
      <c r="T320" s="1222"/>
      <c r="U320" s="1254"/>
      <c r="V320" s="709"/>
      <c r="W320" s="1065"/>
      <c r="X320" s="684"/>
      <c r="Y320" s="1061"/>
      <c r="Z320" s="1065"/>
      <c r="AA320" s="1061"/>
      <c r="AB320" s="1399"/>
      <c r="AC320" s="1399"/>
      <c r="AD320" s="1399"/>
      <c r="AE320" s="1385"/>
      <c r="AF320" s="1169" t="s">
        <v>450</v>
      </c>
      <c r="AG320" s="1385"/>
      <c r="AH320" s="1160"/>
      <c r="AI320" s="2859"/>
      <c r="AJ320" s="1160"/>
      <c r="AK320" s="1285"/>
      <c r="AL320" s="2840"/>
      <c r="AM320" s="1531"/>
      <c r="AN320" s="1273"/>
      <c r="AO320" s="2625"/>
      <c r="AP320" s="1273"/>
      <c r="AQ320" s="1134"/>
      <c r="AR320" s="1780"/>
      <c r="AS320" s="1640"/>
      <c r="AT320" s="1394"/>
      <c r="AU320" s="2862"/>
      <c r="AV320" s="1786"/>
      <c r="AW320" s="684"/>
      <c r="AX320" s="1751"/>
      <c r="AY320" s="684"/>
      <c r="AZ320" s="1694"/>
      <c r="BA320" s="2617"/>
      <c r="BB320" s="1727"/>
      <c r="BC320" s="687"/>
      <c r="BD320" s="2862"/>
      <c r="BE320" s="687"/>
      <c r="BF320" s="1787"/>
      <c r="BG320" s="1790"/>
      <c r="BH320" s="1401"/>
      <c r="BI320" s="1773"/>
      <c r="BJ320" s="2865"/>
      <c r="BK320" s="1789"/>
      <c r="BL320" s="182"/>
      <c r="BM320" s="182"/>
      <c r="BN320" s="182"/>
      <c r="BO320" s="1107"/>
      <c r="BP320" s="1107"/>
      <c r="BQ320" s="1642"/>
      <c r="BR320" s="1107"/>
      <c r="BS320" s="183"/>
      <c r="BT320" s="183"/>
      <c r="BU320" s="183"/>
      <c r="BV320" s="184"/>
      <c r="BW320" s="184"/>
      <c r="BX320" s="184"/>
      <c r="BY320" s="1107"/>
      <c r="BZ320" s="1642"/>
      <c r="CA320" s="1107"/>
    </row>
    <row r="321" spans="1:79" ht="24" customHeight="1" x14ac:dyDescent="0.4">
      <c r="A321" s="249"/>
      <c r="B321" s="249"/>
      <c r="C321" s="584">
        <v>0.64236111111111005</v>
      </c>
      <c r="D321" s="1741"/>
      <c r="E321" s="1769"/>
      <c r="F321" s="1770"/>
      <c r="G321" s="1741"/>
      <c r="H321" s="1769"/>
      <c r="I321" s="1742"/>
      <c r="J321" s="1741"/>
      <c r="K321" s="1769"/>
      <c r="L321" s="1742"/>
      <c r="M321" s="1741"/>
      <c r="N321" s="1769"/>
      <c r="O321" s="1742"/>
      <c r="P321" s="1047"/>
      <c r="Q321" s="1791"/>
      <c r="R321" s="996"/>
      <c r="S321" s="1792"/>
      <c r="T321" s="1792"/>
      <c r="U321" s="1078"/>
      <c r="V321" s="1745"/>
      <c r="W321" s="928"/>
      <c r="X321" s="1684"/>
      <c r="Y321" s="915"/>
      <c r="Z321" s="928"/>
      <c r="AA321" s="915"/>
      <c r="AB321" s="908"/>
      <c r="AC321" s="908"/>
      <c r="AD321" s="908"/>
      <c r="AE321" s="1385"/>
      <c r="AF321" s="1136"/>
      <c r="AG321" s="1385"/>
      <c r="AH321" s="1160"/>
      <c r="AI321" s="2859"/>
      <c r="AJ321" s="1160"/>
      <c r="AK321" s="1285"/>
      <c r="AL321" s="2840"/>
      <c r="AM321" s="1531"/>
      <c r="AN321" s="1273"/>
      <c r="AO321" s="1798"/>
      <c r="AP321" s="1273"/>
      <c r="AQ321" s="778"/>
      <c r="AR321" s="1780"/>
      <c r="AS321" s="778"/>
      <c r="AT321" s="1392"/>
      <c r="AU321" s="2862"/>
      <c r="AV321" s="1394"/>
      <c r="AW321" s="1395"/>
      <c r="AX321" s="1751"/>
      <c r="AY321" s="684"/>
      <c r="AZ321" s="1650"/>
      <c r="BA321" s="2617"/>
      <c r="BB321" s="1727"/>
      <c r="BC321" s="687"/>
      <c r="BD321" s="2862"/>
      <c r="BE321" s="687"/>
      <c r="BF321" s="1794"/>
      <c r="BG321" s="1790"/>
      <c r="BH321" s="1401"/>
      <c r="BI321" s="1556"/>
      <c r="BJ321" s="2865"/>
      <c r="BK321" s="1789"/>
      <c r="BL321" s="182"/>
      <c r="BM321" s="182"/>
      <c r="BN321" s="182"/>
      <c r="BO321" s="1107"/>
      <c r="BP321" s="1107"/>
      <c r="BQ321" s="1642"/>
      <c r="BR321" s="1107"/>
      <c r="BS321" s="183"/>
      <c r="BT321" s="183"/>
      <c r="BU321" s="183"/>
      <c r="BV321" s="184"/>
      <c r="BW321" s="184"/>
      <c r="BX321" s="184"/>
      <c r="BY321" s="1107"/>
      <c r="BZ321" s="1642"/>
      <c r="CA321" s="1107"/>
    </row>
    <row r="322" spans="1:79" ht="27" customHeight="1" x14ac:dyDescent="0.4">
      <c r="A322" s="249"/>
      <c r="B322" s="249"/>
      <c r="C322" s="584">
        <v>0.64583333333333204</v>
      </c>
      <c r="D322" s="978"/>
      <c r="E322" s="1795"/>
      <c r="F322" s="1796"/>
      <c r="G322" s="978"/>
      <c r="H322" s="1795"/>
      <c r="I322" s="1797"/>
      <c r="J322" s="978"/>
      <c r="K322" s="1795"/>
      <c r="L322" s="1797"/>
      <c r="M322" s="978"/>
      <c r="N322" s="1795"/>
      <c r="O322" s="1797"/>
      <c r="P322" s="1047"/>
      <c r="Q322" s="707"/>
      <c r="R322" s="996"/>
      <c r="S322" s="1792"/>
      <c r="T322" s="764" t="s">
        <v>446</v>
      </c>
      <c r="U322" s="1078"/>
      <c r="V322" s="709"/>
      <c r="W322" s="2624" t="s">
        <v>330</v>
      </c>
      <c r="X322" s="684"/>
      <c r="Y322" s="915"/>
      <c r="Z322" s="2624"/>
      <c r="AA322" s="915"/>
      <c r="AB322" s="908"/>
      <c r="AC322" s="908"/>
      <c r="AD322" s="908"/>
      <c r="AE322" s="1157"/>
      <c r="AF322" s="1385" t="s">
        <v>332</v>
      </c>
      <c r="AG322" s="1157"/>
      <c r="AH322" s="1159"/>
      <c r="AI322" s="2859"/>
      <c r="AJ322" s="1618"/>
      <c r="AK322" s="2806"/>
      <c r="AL322" s="2840"/>
      <c r="AM322" s="1531"/>
      <c r="AN322" s="1273"/>
      <c r="AO322" s="1798"/>
      <c r="AP322" s="1438"/>
      <c r="AQ322" s="1799"/>
      <c r="AR322" s="1800" t="s">
        <v>451</v>
      </c>
      <c r="AS322" s="1640"/>
      <c r="AT322" s="1452"/>
      <c r="AU322" s="2862"/>
      <c r="AV322" s="1394"/>
      <c r="AW322" s="927"/>
      <c r="AX322" s="2052" t="s">
        <v>447</v>
      </c>
      <c r="AY322" s="1585"/>
      <c r="AZ322" s="1643"/>
      <c r="BA322" s="1750" t="s">
        <v>452</v>
      </c>
      <c r="BB322" s="1802"/>
      <c r="BC322" s="687"/>
      <c r="BD322" s="2862"/>
      <c r="BE322" s="687"/>
      <c r="BF322" s="1850"/>
      <c r="BG322" s="1794" t="s">
        <v>379</v>
      </c>
      <c r="BH322" s="1852"/>
      <c r="BI322" s="1556"/>
      <c r="BJ322" s="2865"/>
      <c r="BK322" s="1778"/>
      <c r="BL322" s="1732"/>
      <c r="BM322" s="182" t="s">
        <v>271</v>
      </c>
      <c r="BN322" s="1783"/>
      <c r="BO322" s="1107"/>
      <c r="BP322" s="1161"/>
      <c r="BQ322" s="1107"/>
      <c r="BR322" s="1614"/>
      <c r="BS322" s="1735"/>
      <c r="BT322" s="183" t="s">
        <v>271</v>
      </c>
      <c r="BU322" s="1784"/>
      <c r="BV322" s="1738"/>
      <c r="BW322" s="184"/>
      <c r="BX322" s="1785"/>
      <c r="BY322" s="1161"/>
      <c r="BZ322" s="1107"/>
      <c r="CA322" s="1614"/>
    </row>
    <row r="323" spans="1:79" ht="20.85" customHeight="1" x14ac:dyDescent="0.4">
      <c r="A323" s="249"/>
      <c r="B323" s="249"/>
      <c r="C323" s="584" t="s">
        <v>307</v>
      </c>
      <c r="D323" s="978"/>
      <c r="E323" s="1795"/>
      <c r="F323" s="1796"/>
      <c r="G323" s="978"/>
      <c r="H323" s="1795"/>
      <c r="I323" s="1797"/>
      <c r="J323" s="978"/>
      <c r="K323" s="1795"/>
      <c r="L323" s="1797"/>
      <c r="M323" s="978"/>
      <c r="N323" s="1795"/>
      <c r="O323" s="1797"/>
      <c r="P323" s="1047"/>
      <c r="Q323" s="1791"/>
      <c r="R323" s="996"/>
      <c r="S323" s="1792"/>
      <c r="T323" s="1792"/>
      <c r="U323" s="1078"/>
      <c r="V323" s="709"/>
      <c r="W323" s="2624"/>
      <c r="X323" s="684"/>
      <c r="Y323" s="915"/>
      <c r="Z323" s="2624"/>
      <c r="AA323" s="915"/>
      <c r="AB323" s="908"/>
      <c r="AC323" s="908"/>
      <c r="AD323" s="908"/>
      <c r="AE323" s="1385"/>
      <c r="AF323" s="1157" t="s">
        <v>366</v>
      </c>
      <c r="AG323" s="1385"/>
      <c r="AH323" s="1159"/>
      <c r="AI323" s="2859"/>
      <c r="AJ323" s="1159"/>
      <c r="AK323" s="2806"/>
      <c r="AL323" s="2840"/>
      <c r="AM323" s="1531"/>
      <c r="AN323" s="1273"/>
      <c r="AO323" s="2625" t="s">
        <v>350</v>
      </c>
      <c r="AP323" s="1273"/>
      <c r="AQ323" s="1799"/>
      <c r="AR323" s="778"/>
      <c r="AS323" s="1640"/>
      <c r="AT323" s="1394"/>
      <c r="AU323" s="2862"/>
      <c r="AV323" s="1394"/>
      <c r="AW323" s="1781"/>
      <c r="AX323" s="1751"/>
      <c r="AY323" s="1781"/>
      <c r="AZ323" s="1643"/>
      <c r="BA323" s="1750" t="s">
        <v>453</v>
      </c>
      <c r="BB323" s="1644"/>
      <c r="BC323" s="687"/>
      <c r="BD323" s="2862"/>
      <c r="BE323" s="687"/>
      <c r="BF323" s="1794"/>
      <c r="BG323" s="1859" t="s">
        <v>454</v>
      </c>
      <c r="BH323" s="1852"/>
      <c r="BI323" s="1542"/>
      <c r="BJ323" s="2865"/>
      <c r="BK323" s="1778"/>
      <c r="BL323" s="1754"/>
      <c r="BM323" s="1755" t="s">
        <v>310</v>
      </c>
      <c r="BN323" s="1755"/>
      <c r="BO323" s="1107"/>
      <c r="BP323" s="1161"/>
      <c r="BQ323" s="1107"/>
      <c r="BR323" s="1614"/>
      <c r="BS323" s="1756"/>
      <c r="BT323" s="1757" t="s">
        <v>310</v>
      </c>
      <c r="BU323" s="1757"/>
      <c r="BV323" s="1758"/>
      <c r="BW323" s="1759"/>
      <c r="BX323" s="1759"/>
      <c r="BY323" s="1161"/>
      <c r="BZ323" s="1107"/>
      <c r="CA323" s="1614"/>
    </row>
    <row r="324" spans="1:79" ht="26.1" customHeight="1" x14ac:dyDescent="0.4">
      <c r="A324" s="249"/>
      <c r="B324" s="249"/>
      <c r="C324" s="584" t="s">
        <v>307</v>
      </c>
      <c r="D324" s="978"/>
      <c r="E324" s="1795"/>
      <c r="F324" s="1796"/>
      <c r="G324" s="978"/>
      <c r="H324" s="1795"/>
      <c r="I324" s="1797"/>
      <c r="J324" s="978"/>
      <c r="K324" s="1795"/>
      <c r="L324" s="1797"/>
      <c r="M324" s="978"/>
      <c r="N324" s="1795"/>
      <c r="O324" s="1797"/>
      <c r="P324" s="1047"/>
      <c r="Q324" s="1791"/>
      <c r="R324" s="996"/>
      <c r="S324" s="1792"/>
      <c r="T324" s="1792"/>
      <c r="U324" s="1078"/>
      <c r="V324" s="709"/>
      <c r="W324" s="928"/>
      <c r="X324" s="684"/>
      <c r="Y324" s="915"/>
      <c r="Z324" s="928"/>
      <c r="AA324" s="915"/>
      <c r="AB324" s="908"/>
      <c r="AC324" s="908"/>
      <c r="AD324" s="908"/>
      <c r="AE324" s="1385"/>
      <c r="AF324" s="1169" t="s">
        <v>455</v>
      </c>
      <c r="AG324" s="1385"/>
      <c r="AH324" s="1645"/>
      <c r="AI324" s="2859"/>
      <c r="AJ324" s="1256"/>
      <c r="AK324" s="2806"/>
      <c r="AL324" s="2840"/>
      <c r="AM324" s="1531"/>
      <c r="AN324" s="1619"/>
      <c r="AO324" s="2625"/>
      <c r="AP324" s="1273"/>
      <c r="AQ324" s="1799"/>
      <c r="AR324" s="1780"/>
      <c r="AS324" s="1640"/>
      <c r="AT324" s="1394"/>
      <c r="AU324" s="2862"/>
      <c r="AV324" s="1394"/>
      <c r="AW324" s="1781"/>
      <c r="AX324" s="1751"/>
      <c r="AY324" s="1781"/>
      <c r="AZ324" s="1650"/>
      <c r="BA324" s="1331" t="s">
        <v>456</v>
      </c>
      <c r="BB324" s="1644"/>
      <c r="BC324" s="687"/>
      <c r="BD324" s="2862"/>
      <c r="BE324" s="908"/>
      <c r="BF324" s="1794"/>
      <c r="BG324" s="1862" t="s">
        <v>384</v>
      </c>
      <c r="BH324" s="1852"/>
      <c r="BI324" s="1542"/>
      <c r="BJ324" s="2865"/>
      <c r="BK324" s="1778"/>
      <c r="BL324" s="1732"/>
      <c r="BM324" s="182"/>
      <c r="BN324" s="1783"/>
      <c r="BO324" s="1107"/>
      <c r="BP324" s="1161"/>
      <c r="BQ324" s="1642"/>
      <c r="BR324" s="1614"/>
      <c r="BS324" s="1735"/>
      <c r="BT324" s="183"/>
      <c r="BU324" s="1784"/>
      <c r="BV324" s="1738"/>
      <c r="BW324" s="184"/>
      <c r="BX324" s="1785"/>
      <c r="BY324" s="1161"/>
      <c r="BZ324" s="1642"/>
      <c r="CA324" s="1614"/>
    </row>
    <row r="325" spans="1:79" ht="18" customHeight="1" x14ac:dyDescent="0.4">
      <c r="A325" s="249"/>
      <c r="B325" s="249"/>
      <c r="C325" s="584" t="s">
        <v>307</v>
      </c>
      <c r="D325" s="978"/>
      <c r="E325" s="1795"/>
      <c r="F325" s="1796"/>
      <c r="G325" s="978"/>
      <c r="H325" s="1795"/>
      <c r="I325" s="1797"/>
      <c r="J325" s="978"/>
      <c r="K325" s="1795"/>
      <c r="L325" s="1797"/>
      <c r="M325" s="978"/>
      <c r="N325" s="1795"/>
      <c r="O325" s="1797"/>
      <c r="P325" s="1047"/>
      <c r="Q325" s="1791"/>
      <c r="R325" s="996"/>
      <c r="S325" s="1792"/>
      <c r="T325" s="1792"/>
      <c r="U325" s="1078"/>
      <c r="V325" s="709"/>
      <c r="W325" s="928"/>
      <c r="X325" s="684"/>
      <c r="Y325" s="915"/>
      <c r="Z325" s="928"/>
      <c r="AA325" s="915"/>
      <c r="AB325" s="908"/>
      <c r="AC325" s="908"/>
      <c r="AD325" s="908"/>
      <c r="AE325" s="1385"/>
      <c r="AF325" s="1157"/>
      <c r="AG325" s="1385"/>
      <c r="AH325" s="1645"/>
      <c r="AI325" s="2859"/>
      <c r="AJ325" s="1256"/>
      <c r="AK325" s="2806"/>
      <c r="AL325" s="2840"/>
      <c r="AM325" s="1531"/>
      <c r="AN325" s="1619"/>
      <c r="AO325" s="2625"/>
      <c r="AP325" s="1273"/>
      <c r="AQ325" s="1799"/>
      <c r="AR325" s="1780"/>
      <c r="AS325" s="1640"/>
      <c r="AT325" s="1394"/>
      <c r="AU325" s="2862"/>
      <c r="AV325" s="1394"/>
      <c r="AW325" s="1781"/>
      <c r="AX325" s="1751"/>
      <c r="AY325" s="1781"/>
      <c r="AZ325" s="1650"/>
      <c r="BA325" s="2617"/>
      <c r="BB325" s="1644"/>
      <c r="BC325" s="687"/>
      <c r="BD325" s="2862"/>
      <c r="BE325" s="687"/>
      <c r="BF325" s="1850"/>
      <c r="BG325" s="1794"/>
      <c r="BH325" s="1852"/>
      <c r="BI325" s="1542"/>
      <c r="BJ325" s="2865"/>
      <c r="BK325" s="1778"/>
      <c r="BL325" s="1732"/>
      <c r="BM325" s="182"/>
      <c r="BN325" s="1783"/>
      <c r="BO325" s="1107"/>
      <c r="BP325" s="1161"/>
      <c r="BQ325" s="1642"/>
      <c r="BR325" s="1614"/>
      <c r="BS325" s="1735"/>
      <c r="BT325" s="183"/>
      <c r="BU325" s="1784"/>
      <c r="BV325" s="1738"/>
      <c r="BW325" s="184"/>
      <c r="BX325" s="1785"/>
      <c r="BY325" s="1161"/>
      <c r="BZ325" s="1642"/>
      <c r="CA325" s="1614"/>
    </row>
    <row r="326" spans="1:79" ht="13.5" customHeight="1" x14ac:dyDescent="0.4">
      <c r="A326" s="249"/>
      <c r="B326" s="249"/>
      <c r="C326" s="584" t="s">
        <v>307</v>
      </c>
      <c r="D326" s="978"/>
      <c r="E326" s="1795"/>
      <c r="F326" s="1796"/>
      <c r="G326" s="978"/>
      <c r="H326" s="1795"/>
      <c r="I326" s="1797"/>
      <c r="J326" s="978"/>
      <c r="K326" s="1795"/>
      <c r="L326" s="1797"/>
      <c r="M326" s="978"/>
      <c r="N326" s="1795"/>
      <c r="O326" s="1797"/>
      <c r="P326" s="1047"/>
      <c r="Q326" s="1791"/>
      <c r="R326" s="999"/>
      <c r="S326" s="764"/>
      <c r="T326" s="764"/>
      <c r="U326" s="1254"/>
      <c r="V326" s="1771"/>
      <c r="W326" s="745"/>
      <c r="X326" s="1772"/>
      <c r="Y326" s="685"/>
      <c r="Z326" s="745"/>
      <c r="AA326" s="685"/>
      <c r="AB326" s="1399"/>
      <c r="AC326" s="1399"/>
      <c r="AD326" s="1399"/>
      <c r="AE326" s="1385"/>
      <c r="AF326" s="1136"/>
      <c r="AG326" s="1385"/>
      <c r="AH326" s="1645"/>
      <c r="AI326" s="2859"/>
      <c r="AJ326" s="1256"/>
      <c r="AK326" s="2806"/>
      <c r="AL326" s="2840"/>
      <c r="AM326" s="1531"/>
      <c r="AN326" s="1619"/>
      <c r="AO326" s="2625"/>
      <c r="AP326" s="1273"/>
      <c r="AQ326" s="1799"/>
      <c r="AR326" s="1780"/>
      <c r="AS326" s="1640"/>
      <c r="AT326" s="1394"/>
      <c r="AU326" s="2862"/>
      <c r="AV326" s="1394"/>
      <c r="AW326" s="1781"/>
      <c r="AX326" s="1751"/>
      <c r="AY326" s="1781"/>
      <c r="AZ326" s="1650"/>
      <c r="BA326" s="2617"/>
      <c r="BB326" s="1644"/>
      <c r="BC326" s="687"/>
      <c r="BD326" s="2862"/>
      <c r="BE326" s="687"/>
      <c r="BF326" s="1794"/>
      <c r="BG326" s="1859"/>
      <c r="BH326" s="1401"/>
      <c r="BI326" s="1542"/>
      <c r="BJ326" s="2865"/>
      <c r="BK326" s="1778"/>
      <c r="BL326" s="1732"/>
      <c r="BM326" s="182"/>
      <c r="BN326" s="1783"/>
      <c r="BO326" s="1107"/>
      <c r="BP326" s="1161"/>
      <c r="BQ326" s="1642"/>
      <c r="BR326" s="1614"/>
      <c r="BS326" s="1735"/>
      <c r="BT326" s="183"/>
      <c r="BU326" s="1784"/>
      <c r="BV326" s="1738"/>
      <c r="BW326" s="184"/>
      <c r="BX326" s="1785"/>
      <c r="BY326" s="1161"/>
      <c r="BZ326" s="1642"/>
      <c r="CA326" s="1614"/>
    </row>
    <row r="327" spans="1:79" ht="14.85" customHeight="1" x14ac:dyDescent="0.4">
      <c r="A327" s="249"/>
      <c r="B327" s="249"/>
      <c r="C327" s="584">
        <v>0.64930555555555503</v>
      </c>
      <c r="D327" s="978"/>
      <c r="E327" s="1795"/>
      <c r="F327" s="1796"/>
      <c r="G327" s="978"/>
      <c r="H327" s="1795"/>
      <c r="I327" s="1807"/>
      <c r="J327" s="978"/>
      <c r="K327" s="1795"/>
      <c r="L327" s="1807"/>
      <c r="M327" s="978"/>
      <c r="N327" s="1795"/>
      <c r="O327" s="1807"/>
      <c r="P327" s="997"/>
      <c r="Q327" s="998"/>
      <c r="R327" s="1053"/>
      <c r="S327" s="764"/>
      <c r="T327" s="1222"/>
      <c r="U327" s="1254"/>
      <c r="V327" s="709"/>
      <c r="W327" s="1065"/>
      <c r="X327" s="1808"/>
      <c r="Y327" s="1061"/>
      <c r="Z327" s="1065"/>
      <c r="AA327" s="1061"/>
      <c r="AB327" s="1399"/>
      <c r="AC327" s="1399"/>
      <c r="AD327" s="1399"/>
      <c r="AE327" s="1385"/>
      <c r="AF327" s="1136"/>
      <c r="AG327" s="1385"/>
      <c r="AH327" s="1160"/>
      <c r="AI327" s="2859"/>
      <c r="AJ327" s="1160"/>
      <c r="AK327" s="1200"/>
      <c r="AL327" s="2840"/>
      <c r="AM327" s="1531"/>
      <c r="AN327" s="1619"/>
      <c r="AO327" s="2625"/>
      <c r="AP327" s="1438"/>
      <c r="AQ327" s="1799"/>
      <c r="AR327" s="1780"/>
      <c r="AS327" s="778"/>
      <c r="AT327" s="1392"/>
      <c r="AU327" s="2862"/>
      <c r="AV327" s="1786"/>
      <c r="AW327" s="1772"/>
      <c r="AX327" s="1751"/>
      <c r="AY327" s="783"/>
      <c r="AZ327" s="1694"/>
      <c r="BA327" s="2617"/>
      <c r="BB327" s="1644"/>
      <c r="BC327" s="687"/>
      <c r="BD327" s="2862"/>
      <c r="BE327" s="687"/>
      <c r="BF327" s="1794"/>
      <c r="BG327" s="1862"/>
      <c r="BH327" s="1401"/>
      <c r="BI327" s="1773"/>
      <c r="BJ327" s="2865"/>
      <c r="BK327" s="1789"/>
      <c r="BL327" s="182"/>
      <c r="BM327" s="182"/>
      <c r="BN327" s="182"/>
      <c r="BO327" s="1107"/>
      <c r="BP327" s="1107"/>
      <c r="BQ327" s="1642"/>
      <c r="BR327" s="1107"/>
      <c r="BS327" s="183"/>
      <c r="BT327" s="183"/>
      <c r="BU327" s="183"/>
      <c r="BV327" s="184"/>
      <c r="BW327" s="184"/>
      <c r="BX327" s="184"/>
      <c r="BY327" s="1107"/>
      <c r="BZ327" s="1642"/>
      <c r="CA327" s="1107"/>
    </row>
    <row r="328" spans="1:79" ht="18.600000000000001" customHeight="1" x14ac:dyDescent="0.4">
      <c r="A328" s="249"/>
      <c r="B328" s="249"/>
      <c r="C328" s="584">
        <v>0.65277777777777779</v>
      </c>
      <c r="D328" s="568"/>
      <c r="E328" s="1795"/>
      <c r="F328" s="1809"/>
      <c r="G328" s="568"/>
      <c r="H328" s="1795"/>
      <c r="I328" s="1742"/>
      <c r="J328" s="568"/>
      <c r="K328" s="1795"/>
      <c r="L328" s="1742"/>
      <c r="M328" s="568"/>
      <c r="N328" s="1795"/>
      <c r="O328" s="1742"/>
      <c r="P328" s="997"/>
      <c r="Q328" s="998"/>
      <c r="R328" s="1053"/>
      <c r="S328" s="764"/>
      <c r="T328" s="1222"/>
      <c r="U328" s="1254"/>
      <c r="V328" s="709"/>
      <c r="W328" s="1065"/>
      <c r="X328" s="1808"/>
      <c r="Y328" s="1061"/>
      <c r="Z328" s="1065"/>
      <c r="AA328" s="1061"/>
      <c r="AB328" s="1399"/>
      <c r="AC328" s="1399"/>
      <c r="AD328" s="1399"/>
      <c r="AE328" s="1385"/>
      <c r="AF328" s="1136"/>
      <c r="AG328" s="1385"/>
      <c r="AH328" s="1160"/>
      <c r="AI328" s="2859"/>
      <c r="AJ328" s="1160"/>
      <c r="AK328" s="1200"/>
      <c r="AL328" s="2840"/>
      <c r="AM328" s="1531"/>
      <c r="AN328" s="1619"/>
      <c r="AO328" s="2625"/>
      <c r="AP328" s="1438"/>
      <c r="AQ328" s="778"/>
      <c r="AR328" s="1780"/>
      <c r="AS328" s="778"/>
      <c r="AT328" s="1392"/>
      <c r="AU328" s="2862"/>
      <c r="AV328" s="1394"/>
      <c r="AW328" s="788"/>
      <c r="AX328" s="1751"/>
      <c r="AY328" s="783"/>
      <c r="AZ328" s="1694"/>
      <c r="BA328" s="2617"/>
      <c r="BB328" s="1644"/>
      <c r="BC328" s="687"/>
      <c r="BD328" s="2862"/>
      <c r="BE328" s="687"/>
      <c r="BF328" s="1850"/>
      <c r="BG328" s="1794"/>
      <c r="BH328" s="1852"/>
      <c r="BI328" s="1773"/>
      <c r="BJ328" s="2865"/>
      <c r="BK328" s="1789"/>
      <c r="BL328" s="1810"/>
      <c r="BM328" s="182"/>
      <c r="BN328" s="1783"/>
      <c r="BO328" s="1107"/>
      <c r="BP328" s="1578"/>
      <c r="BQ328" s="1642"/>
      <c r="BR328" s="1614"/>
      <c r="BS328" s="1811"/>
      <c r="BT328" s="183"/>
      <c r="BU328" s="1784"/>
      <c r="BV328" s="1812"/>
      <c r="BW328" s="184"/>
      <c r="BX328" s="1785"/>
      <c r="BY328" s="1578"/>
      <c r="BZ328" s="1642"/>
      <c r="CA328" s="1614"/>
    </row>
    <row r="329" spans="1:79" ht="14.85" customHeight="1" x14ac:dyDescent="0.4">
      <c r="A329" s="249"/>
      <c r="B329" s="249"/>
      <c r="C329" s="584" t="s">
        <v>307</v>
      </c>
      <c r="D329" s="568"/>
      <c r="E329" s="1795"/>
      <c r="F329" s="1809"/>
      <c r="G329" s="568"/>
      <c r="H329" s="1795"/>
      <c r="I329" s="1742"/>
      <c r="J329" s="568"/>
      <c r="K329" s="1795"/>
      <c r="L329" s="1742"/>
      <c r="M329" s="568"/>
      <c r="N329" s="1795"/>
      <c r="O329" s="1742"/>
      <c r="P329" s="1047"/>
      <c r="Q329" s="1791"/>
      <c r="R329" s="996"/>
      <c r="S329" s="764"/>
      <c r="T329" s="1222"/>
      <c r="U329" s="1254"/>
      <c r="V329" s="1745"/>
      <c r="W329" s="1065"/>
      <c r="X329" s="1684"/>
      <c r="Y329" s="1061"/>
      <c r="Z329" s="1065"/>
      <c r="AA329" s="1061"/>
      <c r="AB329" s="1399"/>
      <c r="AC329" s="1399"/>
      <c r="AD329" s="1399"/>
      <c r="AE329" s="1385"/>
      <c r="AF329" s="1136"/>
      <c r="AG329" s="1385"/>
      <c r="AH329" s="1160"/>
      <c r="AI329" s="2859"/>
      <c r="AJ329" s="1160"/>
      <c r="AK329" s="1200"/>
      <c r="AL329" s="2840"/>
      <c r="AM329" s="1531"/>
      <c r="AN329" s="1619"/>
      <c r="AO329" s="2625"/>
      <c r="AP329" s="1438"/>
      <c r="AQ329" s="778"/>
      <c r="AR329" s="2627"/>
      <c r="AS329" s="778"/>
      <c r="AT329" s="1392"/>
      <c r="AU329" s="2862"/>
      <c r="AV329" s="1394"/>
      <c r="AW329" s="788"/>
      <c r="AX329" s="1751"/>
      <c r="AY329" s="783"/>
      <c r="AZ329" s="1694"/>
      <c r="BA329" s="2617"/>
      <c r="BB329" s="1644"/>
      <c r="BC329" s="687"/>
      <c r="BD329" s="2862"/>
      <c r="BE329" s="687"/>
      <c r="BF329" s="1794"/>
      <c r="BG329" s="1859"/>
      <c r="BH329" s="1401"/>
      <c r="BI329" s="1773"/>
      <c r="BJ329" s="2865"/>
      <c r="BK329" s="1789"/>
      <c r="BL329" s="182"/>
      <c r="BM329" s="182"/>
      <c r="BN329" s="1734"/>
      <c r="BO329" s="1107"/>
      <c r="BP329" s="1107"/>
      <c r="BQ329" s="1107"/>
      <c r="BR329" s="1191"/>
      <c r="BS329" s="183"/>
      <c r="BT329" s="183"/>
      <c r="BU329" s="1737"/>
      <c r="BV329" s="184"/>
      <c r="BW329" s="184"/>
      <c r="BX329" s="1740"/>
      <c r="BY329" s="1107"/>
      <c r="BZ329" s="1107"/>
      <c r="CA329" s="1191"/>
    </row>
    <row r="330" spans="1:79" ht="21" customHeight="1" x14ac:dyDescent="0.4">
      <c r="A330" s="249"/>
      <c r="B330" s="249"/>
      <c r="C330" s="584">
        <v>0.656249999999999</v>
      </c>
      <c r="D330" s="978"/>
      <c r="E330" s="1795"/>
      <c r="F330" s="1796"/>
      <c r="G330" s="978"/>
      <c r="H330" s="1795"/>
      <c r="I330" s="1797"/>
      <c r="J330" s="978"/>
      <c r="K330" s="1795"/>
      <c r="L330" s="1797"/>
      <c r="M330" s="978"/>
      <c r="N330" s="1795"/>
      <c r="O330" s="1797"/>
      <c r="P330" s="1743"/>
      <c r="Q330" s="1768"/>
      <c r="R330" s="1053"/>
      <c r="S330" s="764"/>
      <c r="T330" s="1222" t="s">
        <v>446</v>
      </c>
      <c r="U330" s="1254"/>
      <c r="V330" s="709"/>
      <c r="W330" s="2624" t="s">
        <v>334</v>
      </c>
      <c r="X330" s="709"/>
      <c r="Y330" s="1061"/>
      <c r="Z330" s="2624"/>
      <c r="AA330" s="1061"/>
      <c r="AB330" s="1399"/>
      <c r="AC330" s="1399"/>
      <c r="AD330" s="1399"/>
      <c r="AE330" s="1157"/>
      <c r="AF330" s="1385" t="s">
        <v>332</v>
      </c>
      <c r="AG330" s="1385"/>
      <c r="AH330" s="1159"/>
      <c r="AI330" s="2859"/>
      <c r="AJ330" s="1618"/>
      <c r="AK330" s="2806"/>
      <c r="AL330" s="2840"/>
      <c r="AM330" s="1531"/>
      <c r="AN330" s="1273"/>
      <c r="AO330" s="1798"/>
      <c r="AP330" s="1273"/>
      <c r="AQ330" s="778"/>
      <c r="AR330" s="1550" t="s">
        <v>334</v>
      </c>
      <c r="AS330" s="1640"/>
      <c r="AT330" s="1452"/>
      <c r="AU330" s="2862"/>
      <c r="AV330" s="1394"/>
      <c r="AW330" s="927"/>
      <c r="AX330" s="2052" t="s">
        <v>447</v>
      </c>
      <c r="AY330" s="1585"/>
      <c r="AZ330" s="1565"/>
      <c r="BA330" s="1750" t="s">
        <v>457</v>
      </c>
      <c r="BB330" s="1586"/>
      <c r="BC330" s="687"/>
      <c r="BD330" s="2862"/>
      <c r="BE330" s="687"/>
      <c r="BF330" s="1850"/>
      <c r="BG330" s="1794" t="s">
        <v>379</v>
      </c>
      <c r="BH330" s="1852"/>
      <c r="BI330" s="1556"/>
      <c r="BJ330" s="2865"/>
      <c r="BK330" s="1778"/>
      <c r="BL330" s="1754"/>
      <c r="BM330" s="1755"/>
      <c r="BN330" s="1755"/>
      <c r="BO330" s="1107"/>
      <c r="BP330" s="1404"/>
      <c r="BQ330" s="1107"/>
      <c r="BR330" s="1779"/>
      <c r="BS330" s="1756"/>
      <c r="BT330" s="1757"/>
      <c r="BU330" s="1757"/>
      <c r="BV330" s="1758"/>
      <c r="BW330" s="1759"/>
      <c r="BX330" s="1759"/>
      <c r="BY330" s="1404"/>
      <c r="BZ330" s="1107"/>
      <c r="CA330" s="1779"/>
    </row>
    <row r="331" spans="1:79" ht="26.85" customHeight="1" x14ac:dyDescent="0.4">
      <c r="A331" s="249"/>
      <c r="B331" s="249"/>
      <c r="C331" s="584" t="s">
        <v>307</v>
      </c>
      <c r="D331" s="1741"/>
      <c r="E331" s="1769"/>
      <c r="F331" s="1770"/>
      <c r="G331" s="1741"/>
      <c r="H331" s="1769"/>
      <c r="I331" s="1742"/>
      <c r="J331" s="1741"/>
      <c r="K331" s="1769"/>
      <c r="L331" s="1742"/>
      <c r="M331" s="1741"/>
      <c r="N331" s="1769"/>
      <c r="O331" s="1742"/>
      <c r="P331" s="1743"/>
      <c r="Q331" s="1768"/>
      <c r="R331" s="1053"/>
      <c r="S331" s="764"/>
      <c r="T331" s="796" t="s">
        <v>336</v>
      </c>
      <c r="U331" s="1254"/>
      <c r="V331" s="709"/>
      <c r="W331" s="2624" t="s">
        <v>445</v>
      </c>
      <c r="X331" s="1808"/>
      <c r="Y331" s="1061"/>
      <c r="Z331" s="2624"/>
      <c r="AA331" s="1061"/>
      <c r="AB331" s="1399"/>
      <c r="AC331" s="1399"/>
      <c r="AD331" s="1399"/>
      <c r="AE331" s="1385"/>
      <c r="AF331" s="1157" t="s">
        <v>366</v>
      </c>
      <c r="AG331" s="1385"/>
      <c r="AH331" s="1159"/>
      <c r="AI331" s="2859"/>
      <c r="AJ331" s="1159"/>
      <c r="AK331" s="2806"/>
      <c r="AL331" s="2840"/>
      <c r="AM331" s="1469"/>
      <c r="AN331" s="1273"/>
      <c r="AO331" s="2628"/>
      <c r="AP331" s="1273"/>
      <c r="AQ331" s="1813"/>
      <c r="AR331" s="1331" t="s">
        <v>458</v>
      </c>
      <c r="AS331" s="778"/>
      <c r="AT331" s="1452"/>
      <c r="AU331" s="2862"/>
      <c r="AV331" s="1460"/>
      <c r="AW331" s="1781"/>
      <c r="AX331" s="1751"/>
      <c r="AY331" s="783"/>
      <c r="AZ331" s="1643"/>
      <c r="BA331" s="2617"/>
      <c r="BB331" s="1727"/>
      <c r="BC331" s="687"/>
      <c r="BD331" s="2862"/>
      <c r="BE331" s="687"/>
      <c r="BF331" s="1794"/>
      <c r="BG331" s="1859" t="s">
        <v>381</v>
      </c>
      <c r="BH331" s="1401"/>
      <c r="BI331" s="1814"/>
      <c r="BJ331" s="2865"/>
      <c r="BK331" s="1778"/>
      <c r="BL331" s="1754"/>
      <c r="BM331" s="1755"/>
      <c r="BN331" s="1783"/>
      <c r="BO331" s="1580"/>
      <c r="BP331" s="1108"/>
      <c r="BQ331" s="1109"/>
      <c r="BR331" s="1614"/>
      <c r="BS331" s="1756"/>
      <c r="BT331" s="1757"/>
      <c r="BU331" s="1784"/>
      <c r="BV331" s="1758"/>
      <c r="BW331" s="1759"/>
      <c r="BX331" s="1785"/>
      <c r="BY331" s="1108"/>
      <c r="BZ331" s="1109"/>
      <c r="CA331" s="1614"/>
    </row>
    <row r="332" spans="1:79" ht="20.85" customHeight="1" x14ac:dyDescent="0.4">
      <c r="A332" s="249"/>
      <c r="B332" s="249"/>
      <c r="C332" s="584" t="s">
        <v>307</v>
      </c>
      <c r="D332" s="1741"/>
      <c r="E332" s="1769"/>
      <c r="F332" s="1770"/>
      <c r="G332" s="1741"/>
      <c r="H332" s="1769"/>
      <c r="I332" s="1742"/>
      <c r="J332" s="1741"/>
      <c r="K332" s="1769"/>
      <c r="L332" s="1742"/>
      <c r="M332" s="1741"/>
      <c r="N332" s="1769"/>
      <c r="O332" s="1742"/>
      <c r="P332" s="1816"/>
      <c r="Q332" s="1817"/>
      <c r="R332" s="996"/>
      <c r="S332" s="764"/>
      <c r="T332" s="1222"/>
      <c r="U332" s="1254"/>
      <c r="V332" s="709"/>
      <c r="W332" s="1065"/>
      <c r="X332" s="1808"/>
      <c r="Y332" s="1061"/>
      <c r="Z332" s="1065"/>
      <c r="AA332" s="1061"/>
      <c r="AB332" s="1399"/>
      <c r="AC332" s="1399"/>
      <c r="AD332" s="1399"/>
      <c r="AE332" s="1385"/>
      <c r="AF332" s="1169" t="s">
        <v>459</v>
      </c>
      <c r="AG332" s="1624"/>
      <c r="AH332" s="1160"/>
      <c r="AI332" s="2859"/>
      <c r="AJ332" s="1160"/>
      <c r="AK332" s="2806"/>
      <c r="AL332" s="2840"/>
      <c r="AM332" s="1469"/>
      <c r="AN332" s="1273"/>
      <c r="AO332" s="2628"/>
      <c r="AP332" s="1722"/>
      <c r="AQ332" s="1813"/>
      <c r="AR332" s="1331" t="s">
        <v>460</v>
      </c>
      <c r="AS332" s="778"/>
      <c r="AT332" s="1452"/>
      <c r="AU332" s="2862"/>
      <c r="AV332" s="1460"/>
      <c r="AW332" s="1781"/>
      <c r="AX332" s="1751"/>
      <c r="AY332" s="783"/>
      <c r="AZ332" s="1643"/>
      <c r="BA332" s="2617"/>
      <c r="BB332" s="1727"/>
      <c r="BC332" s="687"/>
      <c r="BD332" s="2862"/>
      <c r="BE332" s="908"/>
      <c r="BF332" s="1794"/>
      <c r="BG332" s="1862" t="s">
        <v>384</v>
      </c>
      <c r="BH332" s="1401"/>
      <c r="BI332" s="1814"/>
      <c r="BJ332" s="2865"/>
      <c r="BK332" s="1818"/>
      <c r="BL332" s="1754"/>
      <c r="BM332" s="1755"/>
      <c r="BN332" s="1783"/>
      <c r="BO332" s="1580"/>
      <c r="BP332" s="1108"/>
      <c r="BQ332" s="1109"/>
      <c r="BR332" s="1614"/>
      <c r="BS332" s="1756"/>
      <c r="BT332" s="1757"/>
      <c r="BU332" s="1784"/>
      <c r="BV332" s="1758"/>
      <c r="BW332" s="1759"/>
      <c r="BX332" s="1785"/>
      <c r="BY332" s="1108"/>
      <c r="BZ332" s="1109"/>
      <c r="CA332" s="1614"/>
    </row>
    <row r="333" spans="1:79" ht="21.6" customHeight="1" x14ac:dyDescent="0.4">
      <c r="A333" s="249"/>
      <c r="B333" s="249"/>
      <c r="C333" s="584" t="s">
        <v>307</v>
      </c>
      <c r="D333" s="1819"/>
      <c r="E333" s="1820"/>
      <c r="F333" s="1821"/>
      <c r="G333" s="1819"/>
      <c r="H333" s="1820"/>
      <c r="I333" s="1797"/>
      <c r="J333" s="1819"/>
      <c r="K333" s="1820"/>
      <c r="L333" s="1797"/>
      <c r="M333" s="1819"/>
      <c r="N333" s="1820"/>
      <c r="O333" s="1797"/>
      <c r="P333" s="1816"/>
      <c r="Q333" s="1817"/>
      <c r="R333" s="996"/>
      <c r="S333" s="764"/>
      <c r="T333" s="1222"/>
      <c r="U333" s="1254"/>
      <c r="V333" s="709"/>
      <c r="W333" s="1065"/>
      <c r="X333" s="1808"/>
      <c r="Y333" s="1061"/>
      <c r="Z333" s="1065"/>
      <c r="AA333" s="1061"/>
      <c r="AB333" s="1399"/>
      <c r="AC333" s="1399"/>
      <c r="AD333" s="1399"/>
      <c r="AE333" s="1385"/>
      <c r="AF333" s="1169" t="s">
        <v>461</v>
      </c>
      <c r="AG333" s="1385"/>
      <c r="AH333" s="1160"/>
      <c r="AI333" s="2859"/>
      <c r="AJ333" s="1160"/>
      <c r="AK333" s="1285"/>
      <c r="AL333" s="2840"/>
      <c r="AM333" s="1469"/>
      <c r="AN333" s="1450"/>
      <c r="AO333" s="2628"/>
      <c r="AP333" s="1761"/>
      <c r="AQ333" s="1799"/>
      <c r="AR333" s="2627"/>
      <c r="AS333" s="1640"/>
      <c r="AT333" s="1452"/>
      <c r="AU333" s="2862"/>
      <c r="AV333" s="1460"/>
      <c r="AW333" s="1781"/>
      <c r="AX333" s="1751"/>
      <c r="AY333" s="783"/>
      <c r="AZ333" s="1643"/>
      <c r="BA333" s="2617"/>
      <c r="BB333" s="1802"/>
      <c r="BC333" s="687"/>
      <c r="BD333" s="2862"/>
      <c r="BE333" s="687"/>
      <c r="BF333" s="1850"/>
      <c r="BG333" s="1794"/>
      <c r="BH333" s="1852"/>
      <c r="BI333" s="1773"/>
      <c r="BJ333" s="2865"/>
      <c r="BK333" s="1818"/>
      <c r="BL333" s="1732"/>
      <c r="BM333" s="182"/>
      <c r="BN333" s="1783"/>
      <c r="BO333" s="1107"/>
      <c r="BP333" s="1161"/>
      <c r="BQ333" s="1107"/>
      <c r="BR333" s="1614"/>
      <c r="BS333" s="1735"/>
      <c r="BT333" s="183"/>
      <c r="BU333" s="1784"/>
      <c r="BV333" s="1738"/>
      <c r="BW333" s="184"/>
      <c r="BX333" s="1785"/>
      <c r="BY333" s="1161"/>
      <c r="BZ333" s="1107"/>
      <c r="CA333" s="1614"/>
    </row>
    <row r="334" spans="1:79" ht="20.85" customHeight="1" x14ac:dyDescent="0.4">
      <c r="A334" s="249"/>
      <c r="B334" s="249"/>
      <c r="C334" s="584" t="s">
        <v>307</v>
      </c>
      <c r="D334" s="1819"/>
      <c r="E334" s="1820"/>
      <c r="F334" s="1821"/>
      <c r="G334" s="1819"/>
      <c r="H334" s="1820"/>
      <c r="I334" s="1797"/>
      <c r="J334" s="1819"/>
      <c r="K334" s="1820"/>
      <c r="L334" s="1797"/>
      <c r="M334" s="1819"/>
      <c r="N334" s="1820"/>
      <c r="O334" s="1797"/>
      <c r="P334" s="1816"/>
      <c r="Q334" s="1817"/>
      <c r="R334" s="996"/>
      <c r="S334" s="764"/>
      <c r="T334" s="1222"/>
      <c r="U334" s="1254"/>
      <c r="V334" s="709"/>
      <c r="W334" s="1065"/>
      <c r="X334" s="1808"/>
      <c r="Y334" s="1061"/>
      <c r="Z334" s="1065"/>
      <c r="AA334" s="1061"/>
      <c r="AB334" s="1399"/>
      <c r="AC334" s="1399"/>
      <c r="AD334" s="1399"/>
      <c r="AE334" s="1385"/>
      <c r="AF334" s="1822"/>
      <c r="AG334" s="1385"/>
      <c r="AH334" s="1160"/>
      <c r="AI334" s="2859"/>
      <c r="AJ334" s="1160"/>
      <c r="AK334" s="1285"/>
      <c r="AL334" s="2840"/>
      <c r="AM334" s="1469"/>
      <c r="AN334" s="1450"/>
      <c r="AO334" s="2628"/>
      <c r="AP334" s="1761"/>
      <c r="AQ334" s="1799"/>
      <c r="AR334" s="2627"/>
      <c r="AS334" s="1640"/>
      <c r="AT334" s="1452"/>
      <c r="AU334" s="2862"/>
      <c r="AV334" s="1460"/>
      <c r="AW334" s="1781"/>
      <c r="AX334" s="1751"/>
      <c r="AY334" s="783"/>
      <c r="AZ334" s="1643"/>
      <c r="BA334" s="2617"/>
      <c r="BB334" s="1802"/>
      <c r="BC334" s="687"/>
      <c r="BD334" s="2862"/>
      <c r="BE334" s="687"/>
      <c r="BF334" s="1794"/>
      <c r="BG334" s="1859"/>
      <c r="BH334" s="1401"/>
      <c r="BI334" s="1773"/>
      <c r="BJ334" s="2865"/>
      <c r="BK334" s="1818"/>
      <c r="BL334" s="1732"/>
      <c r="BM334" s="182"/>
      <c r="BN334" s="1783"/>
      <c r="BO334" s="1107"/>
      <c r="BP334" s="1161"/>
      <c r="BQ334" s="1107"/>
      <c r="BR334" s="1614"/>
      <c r="BS334" s="1735"/>
      <c r="BT334" s="183"/>
      <c r="BU334" s="1784"/>
      <c r="BV334" s="1738"/>
      <c r="BW334" s="184"/>
      <c r="BX334" s="1785"/>
      <c r="BY334" s="1161"/>
      <c r="BZ334" s="1107"/>
      <c r="CA334" s="1614"/>
    </row>
    <row r="335" spans="1:79" ht="14.85" customHeight="1" x14ac:dyDescent="0.4">
      <c r="A335" s="249"/>
      <c r="B335" s="249"/>
      <c r="C335" s="584" t="s">
        <v>307</v>
      </c>
      <c r="D335" s="1819"/>
      <c r="E335" s="1820"/>
      <c r="F335" s="1821"/>
      <c r="G335" s="1819"/>
      <c r="H335" s="1820"/>
      <c r="I335" s="1797"/>
      <c r="J335" s="1819"/>
      <c r="K335" s="1820"/>
      <c r="L335" s="1797"/>
      <c r="M335" s="1819"/>
      <c r="N335" s="1820"/>
      <c r="O335" s="1797"/>
      <c r="P335" s="997"/>
      <c r="Q335" s="998"/>
      <c r="R335" s="1251"/>
      <c r="S335" s="764"/>
      <c r="T335" s="1222"/>
      <c r="U335" s="1254"/>
      <c r="V335" s="709"/>
      <c r="W335" s="1065"/>
      <c r="X335" s="1808"/>
      <c r="Y335" s="1061"/>
      <c r="Z335" s="1065"/>
      <c r="AA335" s="1061"/>
      <c r="AB335" s="1399"/>
      <c r="AC335" s="1399"/>
      <c r="AD335" s="1399"/>
      <c r="AE335" s="1385"/>
      <c r="AF335" s="1385"/>
      <c r="AG335" s="1385"/>
      <c r="AH335" s="1160"/>
      <c r="AI335" s="2859"/>
      <c r="AJ335" s="1160"/>
      <c r="AK335" s="1285"/>
      <c r="AL335" s="2840"/>
      <c r="AM335" s="1469"/>
      <c r="AN335" s="1450"/>
      <c r="AO335" s="1583"/>
      <c r="AP335" s="1761"/>
      <c r="AQ335" s="1799"/>
      <c r="AR335" s="2627"/>
      <c r="AS335" s="1640"/>
      <c r="AT335" s="1452"/>
      <c r="AU335" s="2862"/>
      <c r="AV335" s="1460"/>
      <c r="AW335" s="1781"/>
      <c r="AX335" s="1751"/>
      <c r="AY335" s="783"/>
      <c r="AZ335" s="1643"/>
      <c r="BA335" s="2617"/>
      <c r="BB335" s="1802"/>
      <c r="BC335" s="687"/>
      <c r="BD335" s="2862"/>
      <c r="BE335" s="687"/>
      <c r="BF335" s="1794"/>
      <c r="BG335" s="1862"/>
      <c r="BH335" s="1401"/>
      <c r="BI335" s="1773"/>
      <c r="BJ335" s="2865"/>
      <c r="BK335" s="1818"/>
      <c r="BL335" s="1732"/>
      <c r="BM335" s="182"/>
      <c r="BN335" s="1783"/>
      <c r="BO335" s="1107"/>
      <c r="BP335" s="1161"/>
      <c r="BQ335" s="1107"/>
      <c r="BR335" s="1614"/>
      <c r="BS335" s="1735"/>
      <c r="BT335" s="183"/>
      <c r="BU335" s="1784"/>
      <c r="BV335" s="1738"/>
      <c r="BW335" s="184"/>
      <c r="BX335" s="1785"/>
      <c r="BY335" s="1161"/>
      <c r="BZ335" s="1107"/>
      <c r="CA335" s="1614"/>
    </row>
    <row r="336" spans="1:79" ht="14.85" customHeight="1" x14ac:dyDescent="0.4">
      <c r="A336" s="249"/>
      <c r="B336" s="249"/>
      <c r="C336" s="584">
        <v>0.65972222222222099</v>
      </c>
      <c r="D336" s="568"/>
      <c r="E336" s="1795"/>
      <c r="F336" s="1809"/>
      <c r="G336" s="568"/>
      <c r="H336" s="1795"/>
      <c r="I336" s="1824"/>
      <c r="J336" s="568"/>
      <c r="K336" s="1795"/>
      <c r="L336" s="1824"/>
      <c r="M336" s="568"/>
      <c r="N336" s="1795"/>
      <c r="O336" s="1824"/>
      <c r="P336" s="997"/>
      <c r="Q336" s="998"/>
      <c r="R336" s="1251"/>
      <c r="S336" s="764"/>
      <c r="T336" s="1222"/>
      <c r="U336" s="1254"/>
      <c r="V336" s="709"/>
      <c r="W336" s="1065"/>
      <c r="X336" s="1808"/>
      <c r="Y336" s="1061"/>
      <c r="Z336" s="1065"/>
      <c r="AA336" s="1061"/>
      <c r="AB336" s="1399"/>
      <c r="AC336" s="1399"/>
      <c r="AD336" s="1399"/>
      <c r="AE336" s="1385"/>
      <c r="AF336" s="1822"/>
      <c r="AG336" s="1385"/>
      <c r="AH336" s="1160"/>
      <c r="AI336" s="2859"/>
      <c r="AJ336" s="1160"/>
      <c r="AK336" s="1285"/>
      <c r="AL336" s="2840"/>
      <c r="AM336" s="1531"/>
      <c r="AN336" s="1421"/>
      <c r="AO336" s="1583"/>
      <c r="AP336" s="1438"/>
      <c r="AQ336" s="1134"/>
      <c r="AR336" s="2627"/>
      <c r="AS336" s="1640"/>
      <c r="AT336" s="1392"/>
      <c r="AU336" s="2862"/>
      <c r="AV336" s="1460"/>
      <c r="AW336" s="684"/>
      <c r="AX336" s="1751"/>
      <c r="AY336" s="684"/>
      <c r="AZ336" s="1802"/>
      <c r="BA336" s="2617"/>
      <c r="BB336" s="1825"/>
      <c r="BC336" s="687"/>
      <c r="BD336" s="2862"/>
      <c r="BE336" s="687"/>
      <c r="BF336" s="1850"/>
      <c r="BG336" s="1794"/>
      <c r="BH336" s="1852"/>
      <c r="BI336" s="1773"/>
      <c r="BJ336" s="2865"/>
      <c r="BK336" s="1789"/>
      <c r="BL336" s="182"/>
      <c r="BM336" s="182"/>
      <c r="BN336" s="1734"/>
      <c r="BO336" s="1107"/>
      <c r="BP336" s="1107"/>
      <c r="BQ336" s="1107"/>
      <c r="BR336" s="1191"/>
      <c r="BS336" s="183"/>
      <c r="BT336" s="183"/>
      <c r="BU336" s="1737"/>
      <c r="BV336" s="184"/>
      <c r="BW336" s="184"/>
      <c r="BX336" s="1740"/>
      <c r="BY336" s="1107"/>
      <c r="BZ336" s="1107"/>
      <c r="CA336" s="1191"/>
    </row>
    <row r="337" spans="1:79" ht="30.75" customHeight="1" x14ac:dyDescent="0.4">
      <c r="A337" s="249"/>
      <c r="B337" s="249"/>
      <c r="C337" s="802">
        <v>0.66319444444444298</v>
      </c>
      <c r="D337" s="815"/>
      <c r="E337" s="1826"/>
      <c r="F337" s="1827"/>
      <c r="G337" s="815"/>
      <c r="H337" s="1826"/>
      <c r="I337" s="1828"/>
      <c r="J337" s="815"/>
      <c r="K337" s="1826"/>
      <c r="L337" s="1828"/>
      <c r="M337" s="815"/>
      <c r="N337" s="1826"/>
      <c r="O337" s="1828"/>
      <c r="P337" s="2629"/>
      <c r="Q337" s="998"/>
      <c r="R337" s="2630"/>
      <c r="S337" s="764"/>
      <c r="T337" s="1222"/>
      <c r="U337" s="1222"/>
      <c r="V337" s="709"/>
      <c r="W337" s="1065"/>
      <c r="X337" s="1831"/>
      <c r="Y337" s="1064"/>
      <c r="Z337" s="1065"/>
      <c r="AA337" s="1064"/>
      <c r="AB337" s="1465"/>
      <c r="AC337" s="1465"/>
      <c r="AD337" s="1465"/>
      <c r="AE337" s="1385"/>
      <c r="AF337" s="1832"/>
      <c r="AG337" s="1385"/>
      <c r="AH337" s="1687"/>
      <c r="AI337" s="2860"/>
      <c r="AJ337" s="1687"/>
      <c r="AK337" s="1200"/>
      <c r="AL337" s="2857"/>
      <c r="AM337" s="1285"/>
      <c r="AN337" s="1498"/>
      <c r="AO337" s="1833"/>
      <c r="AP337" s="1500"/>
      <c r="AQ337" s="1834"/>
      <c r="AR337" s="2631"/>
      <c r="AS337" s="1692"/>
      <c r="AT337" s="1503"/>
      <c r="AU337" s="2862"/>
      <c r="AV337" s="1505"/>
      <c r="AW337" s="814"/>
      <c r="AX337" s="1836"/>
      <c r="AY337" s="814"/>
      <c r="AZ337" s="1837"/>
      <c r="BA337" s="2617"/>
      <c r="BB337" s="1837"/>
      <c r="BC337" s="687"/>
      <c r="BD337" s="2863"/>
      <c r="BE337" s="687"/>
      <c r="BF337" s="1697"/>
      <c r="BG337" s="1859"/>
      <c r="BH337" s="1512"/>
      <c r="BI337" s="1838"/>
      <c r="BJ337" s="2866"/>
      <c r="BK337" s="1840"/>
      <c r="BL337" s="243"/>
      <c r="BM337" s="243"/>
      <c r="BN337" s="243"/>
      <c r="BO337" s="1702"/>
      <c r="BP337" s="1702"/>
      <c r="BQ337" s="1702"/>
      <c r="BR337" s="1702"/>
      <c r="BS337" s="245"/>
      <c r="BT337" s="245"/>
      <c r="BU337" s="245"/>
      <c r="BV337" s="1841"/>
      <c r="BW337" s="1841"/>
      <c r="BX337" s="1841"/>
      <c r="BY337" s="1702"/>
      <c r="BZ337" s="1702"/>
      <c r="CA337" s="1702"/>
    </row>
    <row r="338" spans="1:79" ht="26.1" customHeight="1" x14ac:dyDescent="0.4">
      <c r="A338" s="249"/>
      <c r="B338" s="249"/>
      <c r="C338" s="578">
        <v>0.66666666666666596</v>
      </c>
      <c r="D338" s="978"/>
      <c r="E338" s="1842"/>
      <c r="F338" s="1795"/>
      <c r="G338" s="978"/>
      <c r="H338" s="1842"/>
      <c r="I338" s="1742"/>
      <c r="J338" s="978"/>
      <c r="K338" s="1842"/>
      <c r="L338" s="1742"/>
      <c r="M338" s="978"/>
      <c r="N338" s="1842"/>
      <c r="O338" s="1742"/>
      <c r="P338" s="1843"/>
      <c r="Q338" s="1094" t="s">
        <v>462</v>
      </c>
      <c r="R338" s="1844"/>
      <c r="S338" s="2632"/>
      <c r="T338" s="2632"/>
      <c r="U338" s="2633"/>
      <c r="V338" s="1712"/>
      <c r="W338" s="2634" t="s">
        <v>445</v>
      </c>
      <c r="X338" s="1714"/>
      <c r="Y338" s="827"/>
      <c r="Z338" s="2634"/>
      <c r="AA338" s="827"/>
      <c r="AB338" s="1717"/>
      <c r="AC338" s="1717"/>
      <c r="AD338" s="1717"/>
      <c r="AE338" s="1846"/>
      <c r="AF338" s="1385" t="s">
        <v>332</v>
      </c>
      <c r="AG338" s="1408"/>
      <c r="AH338" s="1159"/>
      <c r="AI338" s="1160" t="s">
        <v>371</v>
      </c>
      <c r="AJ338" s="1160"/>
      <c r="AK338" s="1847"/>
      <c r="AL338" s="1723" t="s">
        <v>463</v>
      </c>
      <c r="AM338" s="1847"/>
      <c r="AN338" s="1450"/>
      <c r="AO338" s="2861" t="s">
        <v>407</v>
      </c>
      <c r="AP338" s="1761"/>
      <c r="AQ338" s="778"/>
      <c r="AR338" s="1550" t="s">
        <v>350</v>
      </c>
      <c r="AS338" s="1640"/>
      <c r="AT338" s="1394"/>
      <c r="AU338" s="2862"/>
      <c r="AV338" s="1394"/>
      <c r="AW338" s="1395"/>
      <c r="AX338" s="1750" t="s">
        <v>464</v>
      </c>
      <c r="AY338" s="1848"/>
      <c r="AZ338" s="1643"/>
      <c r="BA338" s="2849" t="s">
        <v>427</v>
      </c>
      <c r="BB338" s="1727"/>
      <c r="BC338" s="1728"/>
      <c r="BD338" s="963" t="s">
        <v>379</v>
      </c>
      <c r="BE338" s="1729"/>
      <c r="BF338" s="1850"/>
      <c r="BG338" s="1851" t="s">
        <v>379</v>
      </c>
      <c r="BH338" s="1852"/>
      <c r="BI338" s="1556"/>
      <c r="BJ338" s="1853" t="s">
        <v>465</v>
      </c>
      <c r="BK338" s="1789"/>
      <c r="BL338" s="182"/>
      <c r="BM338" s="182" t="s">
        <v>271</v>
      </c>
      <c r="BN338" s="182"/>
      <c r="BO338" s="1107"/>
      <c r="BP338" s="1107"/>
      <c r="BQ338" s="1107"/>
      <c r="BR338" s="1107"/>
      <c r="BS338" s="183"/>
      <c r="BT338" s="183" t="s">
        <v>271</v>
      </c>
      <c r="BU338" s="183"/>
      <c r="BV338" s="184"/>
      <c r="BW338" s="184"/>
      <c r="BX338" s="184"/>
      <c r="BY338" s="1107"/>
      <c r="BZ338" s="1107"/>
      <c r="CA338" s="1107"/>
    </row>
    <row r="339" spans="1:79" ht="21" customHeight="1" x14ac:dyDescent="0.4">
      <c r="A339" s="249"/>
      <c r="B339" s="249"/>
      <c r="C339" s="584" t="s">
        <v>307</v>
      </c>
      <c r="D339" s="1741"/>
      <c r="E339" s="1769"/>
      <c r="F339" s="1770"/>
      <c r="G339" s="1741"/>
      <c r="H339" s="1769"/>
      <c r="I339" s="1742"/>
      <c r="J339" s="1741"/>
      <c r="K339" s="1769"/>
      <c r="L339" s="1742"/>
      <c r="M339" s="1741"/>
      <c r="N339" s="1769"/>
      <c r="O339" s="1742"/>
      <c r="P339" s="1743"/>
      <c r="Q339" s="707"/>
      <c r="R339" s="1053"/>
      <c r="S339" s="764"/>
      <c r="T339" s="764"/>
      <c r="U339" s="1254"/>
      <c r="V339" s="709"/>
      <c r="W339" s="2635" t="s">
        <v>350</v>
      </c>
      <c r="X339" s="1855"/>
      <c r="Y339" s="685"/>
      <c r="Z339" s="2635"/>
      <c r="AA339" s="685"/>
      <c r="AB339" s="1399"/>
      <c r="AC339" s="1399"/>
      <c r="AD339" s="1399"/>
      <c r="AE339" s="1157"/>
      <c r="AF339" s="1429"/>
      <c r="AG339" s="1157"/>
      <c r="AH339" s="1164"/>
      <c r="AI339" s="1160" t="s">
        <v>331</v>
      </c>
      <c r="AJ339" s="1165"/>
      <c r="AK339" s="1285"/>
      <c r="AL339" s="1285"/>
      <c r="AM339" s="1285"/>
      <c r="AN339" s="1421"/>
      <c r="AO339" s="2862"/>
      <c r="AP339" s="1273"/>
      <c r="AQ339" s="1813"/>
      <c r="AR339" s="778"/>
      <c r="AS339" s="1648"/>
      <c r="AT339" s="1452"/>
      <c r="AU339" s="2862"/>
      <c r="AV339" s="1394"/>
      <c r="AW339" s="1781"/>
      <c r="AX339" s="1856"/>
      <c r="AY339" s="1857"/>
      <c r="AZ339" s="1643"/>
      <c r="BA339" s="2850"/>
      <c r="BB339" s="1644"/>
      <c r="BC339" s="687"/>
      <c r="BD339" s="1555"/>
      <c r="BE339" s="687"/>
      <c r="BF339" s="1794"/>
      <c r="BG339" s="1859" t="s">
        <v>381</v>
      </c>
      <c r="BH339" s="1401"/>
      <c r="BI339" s="1670"/>
      <c r="BJ339" s="1860" t="s">
        <v>466</v>
      </c>
      <c r="BK339" s="1789"/>
      <c r="BL339" s="1754"/>
      <c r="BM339" s="1755" t="s">
        <v>310</v>
      </c>
      <c r="BN339" s="1755"/>
      <c r="BO339" s="1580"/>
      <c r="BP339" s="1108"/>
      <c r="BQ339" s="1109"/>
      <c r="BR339" s="1107"/>
      <c r="BS339" s="1756"/>
      <c r="BT339" s="1757" t="s">
        <v>310</v>
      </c>
      <c r="BU339" s="1757"/>
      <c r="BV339" s="1758"/>
      <c r="BW339" s="1759"/>
      <c r="BX339" s="1759"/>
      <c r="BY339" s="1108"/>
      <c r="BZ339" s="1109"/>
      <c r="CA339" s="1107"/>
    </row>
    <row r="340" spans="1:79" ht="13.5" customHeight="1" x14ac:dyDescent="0.4">
      <c r="A340" s="249"/>
      <c r="B340" s="249"/>
      <c r="C340" s="584" t="s">
        <v>307</v>
      </c>
      <c r="D340" s="1741"/>
      <c r="E340" s="1769"/>
      <c r="F340" s="1770"/>
      <c r="G340" s="1741"/>
      <c r="H340" s="1769"/>
      <c r="I340" s="1742"/>
      <c r="J340" s="1741"/>
      <c r="K340" s="1769"/>
      <c r="L340" s="1742"/>
      <c r="M340" s="1741"/>
      <c r="N340" s="1769"/>
      <c r="O340" s="1742"/>
      <c r="P340" s="1743"/>
      <c r="Q340" s="1768"/>
      <c r="R340" s="1053"/>
      <c r="S340" s="764"/>
      <c r="T340" s="764"/>
      <c r="U340" s="1254"/>
      <c r="V340" s="709"/>
      <c r="W340" s="1866"/>
      <c r="X340" s="1855"/>
      <c r="Y340" s="685"/>
      <c r="Z340" s="1866"/>
      <c r="AA340" s="685"/>
      <c r="AB340" s="1399"/>
      <c r="AC340" s="1399"/>
      <c r="AD340" s="1399"/>
      <c r="AE340" s="1385"/>
      <c r="AF340" s="1385"/>
      <c r="AG340" s="1385"/>
      <c r="AH340" s="1160"/>
      <c r="AI340" s="1139" t="s">
        <v>333</v>
      </c>
      <c r="AJ340" s="1160"/>
      <c r="AK340" s="1285"/>
      <c r="AL340" s="1285"/>
      <c r="AM340" s="1285"/>
      <c r="AN340" s="1721"/>
      <c r="AO340" s="2862"/>
      <c r="AP340" s="1722"/>
      <c r="AQ340" s="1799"/>
      <c r="AR340" s="778"/>
      <c r="AS340" s="1648"/>
      <c r="AT340" s="1452"/>
      <c r="AU340" s="2862"/>
      <c r="AV340" s="1394"/>
      <c r="AW340" s="1781"/>
      <c r="AX340" s="1856"/>
      <c r="AY340" s="1857"/>
      <c r="AZ340" s="1643"/>
      <c r="BA340" s="2850"/>
      <c r="BB340" s="1644"/>
      <c r="BC340" s="687"/>
      <c r="BD340" s="975"/>
      <c r="BE340" s="687"/>
      <c r="BF340" s="1794"/>
      <c r="BG340" s="1862" t="s">
        <v>384</v>
      </c>
      <c r="BH340" s="1401"/>
      <c r="BI340" s="1556"/>
      <c r="BJ340" s="1863" t="s">
        <v>467</v>
      </c>
      <c r="BK340" s="1789"/>
      <c r="BL340" s="1754"/>
      <c r="BM340" s="1755"/>
      <c r="BN340" s="182"/>
      <c r="BO340" s="1580"/>
      <c r="BP340" s="1108"/>
      <c r="BQ340" s="1109"/>
      <c r="BR340" s="1107"/>
      <c r="BS340" s="1756"/>
      <c r="BT340" s="1757"/>
      <c r="BU340" s="183"/>
      <c r="BV340" s="1758"/>
      <c r="BW340" s="1759"/>
      <c r="BX340" s="184"/>
      <c r="BY340" s="1108"/>
      <c r="BZ340" s="1109"/>
      <c r="CA340" s="1107"/>
    </row>
    <row r="341" spans="1:79" ht="13.5" customHeight="1" x14ac:dyDescent="0.4">
      <c r="A341" s="249"/>
      <c r="B341" s="249"/>
      <c r="C341" s="584" t="s">
        <v>307</v>
      </c>
      <c r="D341" s="1741"/>
      <c r="E341" s="1769"/>
      <c r="F341" s="1770"/>
      <c r="G341" s="1741"/>
      <c r="H341" s="1769"/>
      <c r="I341" s="1742"/>
      <c r="J341" s="1741"/>
      <c r="K341" s="1769"/>
      <c r="L341" s="1742"/>
      <c r="M341" s="1741"/>
      <c r="N341" s="1769"/>
      <c r="O341" s="1742"/>
      <c r="P341" s="997"/>
      <c r="Q341" s="998"/>
      <c r="R341" s="996"/>
      <c r="S341" s="764"/>
      <c r="T341" s="764"/>
      <c r="U341" s="1254"/>
      <c r="V341" s="709"/>
      <c r="W341" s="2635"/>
      <c r="X341" s="1855"/>
      <c r="Y341" s="685"/>
      <c r="Z341" s="2635"/>
      <c r="AA341" s="685"/>
      <c r="AB341" s="1399"/>
      <c r="AC341" s="1399"/>
      <c r="AD341" s="1399"/>
      <c r="AE341" s="1385"/>
      <c r="AF341" s="1385"/>
      <c r="AG341" s="1385"/>
      <c r="AH341" s="1160"/>
      <c r="AI341" s="1160"/>
      <c r="AJ341" s="1160"/>
      <c r="AK341" s="1285"/>
      <c r="AL341" s="1285"/>
      <c r="AM341" s="1285"/>
      <c r="AN341" s="1721"/>
      <c r="AO341" s="2862"/>
      <c r="AP341" s="1722"/>
      <c r="AQ341" s="1799"/>
      <c r="AR341" s="778"/>
      <c r="AS341" s="1648"/>
      <c r="AT341" s="1452"/>
      <c r="AU341" s="2862"/>
      <c r="AV341" s="1394"/>
      <c r="AW341" s="1781"/>
      <c r="AX341" s="1856"/>
      <c r="AY341" s="1857"/>
      <c r="AZ341" s="1643"/>
      <c r="BA341" s="2850"/>
      <c r="BB341" s="1644"/>
      <c r="BC341" s="687"/>
      <c r="BD341" s="975"/>
      <c r="BE341" s="687"/>
      <c r="BF341" s="1794"/>
      <c r="BG341" s="1862"/>
      <c r="BH341" s="1401"/>
      <c r="BI341" s="1556"/>
      <c r="BJ341" s="1865"/>
      <c r="BK341" s="1789"/>
      <c r="BL341" s="1732"/>
      <c r="BM341" s="182"/>
      <c r="BN341" s="182"/>
      <c r="BO341" s="1107"/>
      <c r="BP341" s="1161"/>
      <c r="BQ341" s="1107"/>
      <c r="BR341" s="1107"/>
      <c r="BS341" s="1735"/>
      <c r="BT341" s="183"/>
      <c r="BU341" s="183"/>
      <c r="BV341" s="1738"/>
      <c r="BW341" s="184"/>
      <c r="BX341" s="184"/>
      <c r="BY341" s="1161"/>
      <c r="BZ341" s="1107"/>
      <c r="CA341" s="1107"/>
    </row>
    <row r="342" spans="1:79" ht="13.5" customHeight="1" x14ac:dyDescent="0.4">
      <c r="A342" s="249"/>
      <c r="B342" s="249"/>
      <c r="C342" s="584">
        <v>0.67013888888888795</v>
      </c>
      <c r="D342" s="568"/>
      <c r="E342" s="1795"/>
      <c r="F342" s="1809"/>
      <c r="G342" s="568"/>
      <c r="H342" s="1795"/>
      <c r="I342" s="1797"/>
      <c r="J342" s="568"/>
      <c r="K342" s="1795"/>
      <c r="L342" s="1797"/>
      <c r="M342" s="568"/>
      <c r="N342" s="1795"/>
      <c r="O342" s="1797"/>
      <c r="P342" s="977"/>
      <c r="Q342" s="707"/>
      <c r="R342" s="996"/>
      <c r="S342" s="764"/>
      <c r="T342" s="764"/>
      <c r="U342" s="1254"/>
      <c r="V342" s="709"/>
      <c r="W342" s="1866"/>
      <c r="X342" s="1855"/>
      <c r="Y342" s="685"/>
      <c r="Z342" s="1866"/>
      <c r="AA342" s="685"/>
      <c r="AB342" s="1399"/>
      <c r="AC342" s="1399"/>
      <c r="AD342" s="1399"/>
      <c r="AE342" s="1385"/>
      <c r="AF342" s="1385"/>
      <c r="AG342" s="1385"/>
      <c r="AH342" s="1160"/>
      <c r="AI342" s="1160"/>
      <c r="AJ342" s="1160"/>
      <c r="AK342" s="1285"/>
      <c r="AL342" s="1285"/>
      <c r="AM342" s="1285"/>
      <c r="AN342" s="1619"/>
      <c r="AO342" s="2862"/>
      <c r="AP342" s="1761"/>
      <c r="AQ342" s="778"/>
      <c r="AR342" s="778"/>
      <c r="AS342" s="1640"/>
      <c r="AT342" s="1392"/>
      <c r="AU342" s="2862"/>
      <c r="AV342" s="1786"/>
      <c r="AW342" s="684"/>
      <c r="AX342" s="1856"/>
      <c r="AY342" s="684"/>
      <c r="AZ342" s="1802"/>
      <c r="BA342" s="2850"/>
      <c r="BB342" s="1802"/>
      <c r="BC342" s="687"/>
      <c r="BD342" s="970"/>
      <c r="BE342" s="687"/>
      <c r="BF342" s="1794"/>
      <c r="BG342" s="1867"/>
      <c r="BH342" s="1401"/>
      <c r="BI342" s="1556"/>
      <c r="BJ342" s="1865"/>
      <c r="BK342" s="1789"/>
      <c r="BL342" s="182"/>
      <c r="BM342" s="182"/>
      <c r="BN342" s="1734"/>
      <c r="BO342" s="1107"/>
      <c r="BP342" s="1107"/>
      <c r="BQ342" s="1107"/>
      <c r="BR342" s="1191"/>
      <c r="BS342" s="183"/>
      <c r="BT342" s="183"/>
      <c r="BU342" s="1737"/>
      <c r="BV342" s="184"/>
      <c r="BW342" s="184"/>
      <c r="BX342" s="1740"/>
      <c r="BY342" s="1107"/>
      <c r="BZ342" s="1107"/>
      <c r="CA342" s="1191"/>
    </row>
    <row r="343" spans="1:79" ht="13.5" customHeight="1" x14ac:dyDescent="0.4">
      <c r="A343" s="249"/>
      <c r="B343" s="249"/>
      <c r="C343" s="584">
        <v>0.67361111111111005</v>
      </c>
      <c r="D343" s="567"/>
      <c r="E343" s="1795"/>
      <c r="F343" s="1795"/>
      <c r="G343" s="567"/>
      <c r="H343" s="1795"/>
      <c r="I343" s="1797"/>
      <c r="J343" s="567"/>
      <c r="K343" s="1795"/>
      <c r="L343" s="1797"/>
      <c r="M343" s="567"/>
      <c r="N343" s="1795"/>
      <c r="O343" s="1797"/>
      <c r="P343" s="977"/>
      <c r="Q343" s="707"/>
      <c r="R343" s="996"/>
      <c r="S343" s="764"/>
      <c r="T343" s="764"/>
      <c r="U343" s="1254"/>
      <c r="V343" s="1745"/>
      <c r="W343" s="1866"/>
      <c r="X343" s="1684"/>
      <c r="Y343" s="915"/>
      <c r="Z343" s="1866"/>
      <c r="AA343" s="915"/>
      <c r="AB343" s="1399"/>
      <c r="AC343" s="1399"/>
      <c r="AD343" s="1399"/>
      <c r="AE343" s="1385"/>
      <c r="AF343" s="1385"/>
      <c r="AG343" s="1385"/>
      <c r="AH343" s="1160"/>
      <c r="AI343" s="1160"/>
      <c r="AJ343" s="1160"/>
      <c r="AK343" s="1285"/>
      <c r="AL343" s="1285"/>
      <c r="AM343" s="1285"/>
      <c r="AN343" s="1421"/>
      <c r="AO343" s="2862"/>
      <c r="AP343" s="1438"/>
      <c r="AQ343" s="1134"/>
      <c r="AR343" s="778"/>
      <c r="AS343" s="778"/>
      <c r="AT343" s="1392"/>
      <c r="AU343" s="2862"/>
      <c r="AV343" s="1786"/>
      <c r="AW343" s="684"/>
      <c r="AX343" s="1856"/>
      <c r="AY343" s="684"/>
      <c r="AZ343" s="1868"/>
      <c r="BA343" s="2850"/>
      <c r="BB343" s="1802"/>
      <c r="BC343" s="687"/>
      <c r="BD343" s="970"/>
      <c r="BE343" s="687"/>
      <c r="BF343" s="1794"/>
      <c r="BG343" s="1867"/>
      <c r="BH343" s="1401"/>
      <c r="BI343" s="1556"/>
      <c r="BJ343" s="1865"/>
      <c r="BK343" s="1789"/>
      <c r="BL343" s="182"/>
      <c r="BM343" s="182"/>
      <c r="BN343" s="182"/>
      <c r="BO343" s="1107"/>
      <c r="BP343" s="1107"/>
      <c r="BQ343" s="1107"/>
      <c r="BR343" s="1107"/>
      <c r="BS343" s="183"/>
      <c r="BT343" s="183"/>
      <c r="BU343" s="183"/>
      <c r="BV343" s="184"/>
      <c r="BW343" s="184"/>
      <c r="BX343" s="184"/>
      <c r="BY343" s="1107"/>
      <c r="BZ343" s="1107"/>
      <c r="CA343" s="1107"/>
    </row>
    <row r="344" spans="1:79" ht="30.6" customHeight="1" x14ac:dyDescent="0.4">
      <c r="A344" s="249"/>
      <c r="B344" s="249"/>
      <c r="C344" s="584">
        <v>0.67708333333333204</v>
      </c>
      <c r="D344" s="567"/>
      <c r="E344" s="1795"/>
      <c r="F344" s="1795"/>
      <c r="G344" s="567"/>
      <c r="H344" s="1795"/>
      <c r="I344" s="1797"/>
      <c r="J344" s="567"/>
      <c r="K344" s="1795"/>
      <c r="L344" s="1797"/>
      <c r="M344" s="567"/>
      <c r="N344" s="1795"/>
      <c r="O344" s="1797"/>
      <c r="P344" s="997"/>
      <c r="Q344" s="998"/>
      <c r="R344" s="996"/>
      <c r="S344" s="764"/>
      <c r="T344" s="1792"/>
      <c r="U344" s="983"/>
      <c r="V344" s="709"/>
      <c r="W344" s="2635" t="s">
        <v>440</v>
      </c>
      <c r="X344" s="1855"/>
      <c r="Y344" s="915"/>
      <c r="Z344" s="2635"/>
      <c r="AA344" s="915"/>
      <c r="AB344" s="1198"/>
      <c r="AC344" s="1198"/>
      <c r="AD344" s="1198"/>
      <c r="AE344" s="1385"/>
      <c r="AF344" s="1385"/>
      <c r="AG344" s="1385"/>
      <c r="AH344" s="1160"/>
      <c r="AI344" s="1160" t="s">
        <v>331</v>
      </c>
      <c r="AJ344" s="1160"/>
      <c r="AK344" s="1285"/>
      <c r="AL344" s="1285"/>
      <c r="AM344" s="1285"/>
      <c r="AN344" s="1421"/>
      <c r="AO344" s="2862"/>
      <c r="AP344" s="1761"/>
      <c r="AQ344" s="1134"/>
      <c r="AR344" s="1723" t="s">
        <v>468</v>
      </c>
      <c r="AS344" s="778"/>
      <c r="AT344" s="1392"/>
      <c r="AU344" s="2862"/>
      <c r="AV344" s="1869"/>
      <c r="AW344" s="684"/>
      <c r="AX344" s="1800" t="s">
        <v>469</v>
      </c>
      <c r="AY344" s="684"/>
      <c r="AZ344" s="1868"/>
      <c r="BA344" s="2850"/>
      <c r="BB344" s="1696"/>
      <c r="BC344" s="687"/>
      <c r="BD344" s="967" t="s">
        <v>379</v>
      </c>
      <c r="BE344" s="974"/>
      <c r="BF344" s="1794"/>
      <c r="BG344" s="1794" t="s">
        <v>379</v>
      </c>
      <c r="BH344" s="1401"/>
      <c r="BI344" s="1556"/>
      <c r="BJ344" s="1870"/>
      <c r="BK344" s="1871"/>
      <c r="BL344" s="1754"/>
      <c r="BM344" s="1755"/>
      <c r="BN344" s="1755"/>
      <c r="BO344" s="1580"/>
      <c r="BP344" s="1107"/>
      <c r="BQ344" s="1107"/>
      <c r="BR344" s="1107"/>
      <c r="BS344" s="1756"/>
      <c r="BT344" s="1757"/>
      <c r="BU344" s="1757"/>
      <c r="BV344" s="1758"/>
      <c r="BW344" s="1759"/>
      <c r="BX344" s="1759"/>
      <c r="BY344" s="1107"/>
      <c r="BZ344" s="1107"/>
      <c r="CA344" s="1107"/>
    </row>
    <row r="345" spans="1:79" ht="26.1" customHeight="1" x14ac:dyDescent="0.4">
      <c r="A345" s="249"/>
      <c r="B345" s="249"/>
      <c r="C345" s="584" t="s">
        <v>307</v>
      </c>
      <c r="D345" s="568"/>
      <c r="E345" s="1795"/>
      <c r="F345" s="1809"/>
      <c r="G345" s="568"/>
      <c r="H345" s="1795"/>
      <c r="I345" s="1797"/>
      <c r="J345" s="568"/>
      <c r="K345" s="1795"/>
      <c r="L345" s="1797"/>
      <c r="M345" s="568"/>
      <c r="N345" s="1795"/>
      <c r="O345" s="1797"/>
      <c r="P345" s="997"/>
      <c r="Q345" s="998"/>
      <c r="R345" s="996"/>
      <c r="S345" s="764"/>
      <c r="T345" s="1792"/>
      <c r="U345" s="983"/>
      <c r="V345" s="871"/>
      <c r="W345" s="796" t="s">
        <v>336</v>
      </c>
      <c r="X345" s="1395"/>
      <c r="Y345" s="915"/>
      <c r="Z345" s="796"/>
      <c r="AA345" s="915"/>
      <c r="AB345" s="1198"/>
      <c r="AC345" s="1198"/>
      <c r="AD345" s="1198"/>
      <c r="AE345" s="1385"/>
      <c r="AF345" s="1385" t="s">
        <v>332</v>
      </c>
      <c r="AG345" s="1408"/>
      <c r="AH345" s="1159"/>
      <c r="AI345" s="1160" t="s">
        <v>333</v>
      </c>
      <c r="AJ345" s="1160"/>
      <c r="AK345" s="1285"/>
      <c r="AL345" s="1285"/>
      <c r="AM345" s="1285"/>
      <c r="AN345" s="1872"/>
      <c r="AO345" s="2862"/>
      <c r="AP345" s="1761"/>
      <c r="AQ345" s="778"/>
      <c r="AR345" s="1550" t="s">
        <v>350</v>
      </c>
      <c r="AS345" s="778"/>
      <c r="AT345" s="1452"/>
      <c r="AU345" s="2862"/>
      <c r="AV345" s="1873"/>
      <c r="AW345" s="684"/>
      <c r="AX345" s="1856"/>
      <c r="AY345" s="684"/>
      <c r="AZ345" s="1643"/>
      <c r="BA345" s="2850"/>
      <c r="BB345" s="1727"/>
      <c r="BC345" s="687"/>
      <c r="BD345" s="1555"/>
      <c r="BE345" s="974"/>
      <c r="BF345" s="1850"/>
      <c r="BG345" s="1859" t="s">
        <v>381</v>
      </c>
      <c r="BH345" s="1852"/>
      <c r="BI345" s="1670"/>
      <c r="BJ345" s="1874"/>
      <c r="BK345" s="1818"/>
      <c r="BL345" s="1754"/>
      <c r="BM345" s="1755"/>
      <c r="BN345" s="182"/>
      <c r="BO345" s="1580"/>
      <c r="BP345" s="1108"/>
      <c r="BQ345" s="1109"/>
      <c r="BR345" s="1107"/>
      <c r="BS345" s="1756"/>
      <c r="BT345" s="1757"/>
      <c r="BU345" s="183"/>
      <c r="BV345" s="1758"/>
      <c r="BW345" s="1759"/>
      <c r="BX345" s="184"/>
      <c r="BY345" s="1108"/>
      <c r="BZ345" s="1109"/>
      <c r="CA345" s="1107"/>
    </row>
    <row r="346" spans="1:79" ht="19.350000000000001" customHeight="1" x14ac:dyDescent="0.4">
      <c r="A346" s="249"/>
      <c r="B346" s="249"/>
      <c r="C346" s="584" t="s">
        <v>307</v>
      </c>
      <c r="D346" s="568"/>
      <c r="E346" s="1795"/>
      <c r="F346" s="1809"/>
      <c r="G346" s="568"/>
      <c r="H346" s="1795"/>
      <c r="I346" s="1797"/>
      <c r="J346" s="568"/>
      <c r="K346" s="1795"/>
      <c r="L346" s="1797"/>
      <c r="M346" s="568"/>
      <c r="N346" s="1795"/>
      <c r="O346" s="1797"/>
      <c r="P346" s="997"/>
      <c r="Q346" s="998"/>
      <c r="R346" s="996"/>
      <c r="S346" s="764"/>
      <c r="T346" s="1792"/>
      <c r="U346" s="983"/>
      <c r="V346" s="871"/>
      <c r="W346" s="1866"/>
      <c r="X346" s="1395"/>
      <c r="Y346" s="915"/>
      <c r="Z346" s="1866"/>
      <c r="AA346" s="915"/>
      <c r="AB346" s="1198"/>
      <c r="AC346" s="1198"/>
      <c r="AD346" s="1198"/>
      <c r="AE346" s="1157"/>
      <c r="AF346" s="1429"/>
      <c r="AG346" s="1157"/>
      <c r="AH346" s="1164"/>
      <c r="AI346" s="1139" t="s">
        <v>371</v>
      </c>
      <c r="AJ346" s="1165"/>
      <c r="AK346" s="1285"/>
      <c r="AL346" s="1285"/>
      <c r="AM346" s="1285"/>
      <c r="AN346" s="1872"/>
      <c r="AO346" s="2862"/>
      <c r="AP346" s="1761"/>
      <c r="AQ346" s="778"/>
      <c r="AR346" s="1550"/>
      <c r="AS346" s="1648"/>
      <c r="AT346" s="1452"/>
      <c r="AU346" s="2862"/>
      <c r="AV346" s="1394"/>
      <c r="AW346" s="684"/>
      <c r="AX346" s="1856"/>
      <c r="AY346" s="1875"/>
      <c r="AZ346" s="1643"/>
      <c r="BA346" s="2850"/>
      <c r="BB346" s="1644"/>
      <c r="BC346" s="687"/>
      <c r="BD346" s="975"/>
      <c r="BE346" s="687"/>
      <c r="BF346" s="1850"/>
      <c r="BG346" s="1862" t="s">
        <v>384</v>
      </c>
      <c r="BH346" s="1852"/>
      <c r="BI346" s="1670"/>
      <c r="BJ346" s="1874"/>
      <c r="BK346" s="1818"/>
      <c r="BL346" s="182"/>
      <c r="BM346" s="182"/>
      <c r="BN346" s="182"/>
      <c r="BO346" s="1107"/>
      <c r="BP346" s="1107"/>
      <c r="BQ346" s="1107"/>
      <c r="BR346" s="1107"/>
      <c r="BS346" s="183"/>
      <c r="BT346" s="183"/>
      <c r="BU346" s="183"/>
      <c r="BV346" s="184"/>
      <c r="BW346" s="184"/>
      <c r="BX346" s="184"/>
      <c r="BY346" s="1107"/>
      <c r="BZ346" s="1107"/>
      <c r="CA346" s="1107"/>
    </row>
    <row r="347" spans="1:79" ht="19.350000000000001" customHeight="1" x14ac:dyDescent="0.4">
      <c r="A347" s="249"/>
      <c r="B347" s="249"/>
      <c r="C347" s="584" t="s">
        <v>307</v>
      </c>
      <c r="D347" s="568"/>
      <c r="E347" s="1795"/>
      <c r="F347" s="1809"/>
      <c r="G347" s="568"/>
      <c r="H347" s="1795"/>
      <c r="I347" s="1797"/>
      <c r="J347" s="568"/>
      <c r="K347" s="1795"/>
      <c r="L347" s="1797"/>
      <c r="M347" s="568"/>
      <c r="N347" s="1795"/>
      <c r="O347" s="1797"/>
      <c r="P347" s="997"/>
      <c r="Q347" s="998"/>
      <c r="R347" s="996"/>
      <c r="S347" s="764"/>
      <c r="T347" s="1792"/>
      <c r="U347" s="983"/>
      <c r="V347" s="871"/>
      <c r="W347" s="1866"/>
      <c r="X347" s="1395"/>
      <c r="Y347" s="915"/>
      <c r="Z347" s="1866"/>
      <c r="AA347" s="915"/>
      <c r="AB347" s="1198"/>
      <c r="AC347" s="1198"/>
      <c r="AD347" s="1198"/>
      <c r="AE347" s="1385"/>
      <c r="AF347" s="1385"/>
      <c r="AG347" s="1385"/>
      <c r="AH347" s="1160"/>
      <c r="AI347" s="1160"/>
      <c r="AJ347" s="1160"/>
      <c r="AK347" s="1285"/>
      <c r="AL347" s="1285"/>
      <c r="AM347" s="1285"/>
      <c r="AN347" s="1872"/>
      <c r="AO347" s="2862"/>
      <c r="AP347" s="1761"/>
      <c r="AQ347" s="778"/>
      <c r="AR347" s="1550"/>
      <c r="AS347" s="1648"/>
      <c r="AT347" s="1452"/>
      <c r="AU347" s="2862"/>
      <c r="AV347" s="1394"/>
      <c r="AW347" s="684"/>
      <c r="AX347" s="1856"/>
      <c r="AY347" s="1875"/>
      <c r="AZ347" s="1643"/>
      <c r="BA347" s="2850"/>
      <c r="BB347" s="1644"/>
      <c r="BC347" s="687"/>
      <c r="BD347" s="975"/>
      <c r="BE347" s="687"/>
      <c r="BF347" s="1850"/>
      <c r="BG347" s="1862"/>
      <c r="BH347" s="1852"/>
      <c r="BI347" s="1876"/>
      <c r="BJ347" s="1877"/>
      <c r="BK347" s="1818"/>
      <c r="BL347" s="182"/>
      <c r="BM347" s="182"/>
      <c r="BN347" s="182"/>
      <c r="BO347" s="1107"/>
      <c r="BP347" s="1107"/>
      <c r="BQ347" s="1107"/>
      <c r="BR347" s="1107"/>
      <c r="BS347" s="183"/>
      <c r="BT347" s="183"/>
      <c r="BU347" s="183"/>
      <c r="BV347" s="184"/>
      <c r="BW347" s="184"/>
      <c r="BX347" s="184"/>
      <c r="BY347" s="1107"/>
      <c r="BZ347" s="1107"/>
      <c r="CA347" s="1107"/>
    </row>
    <row r="348" spans="1:79" ht="25.5" customHeight="1" x14ac:dyDescent="0.4">
      <c r="A348" s="249"/>
      <c r="B348" s="249"/>
      <c r="C348" s="584">
        <v>0.68055555555555503</v>
      </c>
      <c r="D348" s="568"/>
      <c r="E348" s="1795"/>
      <c r="F348" s="1809"/>
      <c r="G348" s="568"/>
      <c r="H348" s="1795"/>
      <c r="I348" s="1797"/>
      <c r="J348" s="568"/>
      <c r="K348" s="1795"/>
      <c r="L348" s="1797"/>
      <c r="M348" s="568"/>
      <c r="N348" s="1795"/>
      <c r="O348" s="1797"/>
      <c r="P348" s="997"/>
      <c r="Q348" s="998"/>
      <c r="R348" s="996"/>
      <c r="S348" s="764"/>
      <c r="T348" s="1792"/>
      <c r="U348" s="983"/>
      <c r="V348" s="871"/>
      <c r="W348" s="1866"/>
      <c r="X348" s="1395"/>
      <c r="Y348" s="915"/>
      <c r="Z348" s="1866"/>
      <c r="AA348" s="915"/>
      <c r="AB348" s="1198"/>
      <c r="AC348" s="1198"/>
      <c r="AD348" s="1198"/>
      <c r="AE348" s="1385"/>
      <c r="AF348" s="1385"/>
      <c r="AG348" s="1385"/>
      <c r="AH348" s="1160"/>
      <c r="AI348" s="1160"/>
      <c r="AJ348" s="1160"/>
      <c r="AK348" s="1285"/>
      <c r="AL348" s="2553" t="s">
        <v>470</v>
      </c>
      <c r="AM348" s="1285"/>
      <c r="AN348" s="1273"/>
      <c r="AO348" s="2862"/>
      <c r="AP348" s="1438"/>
      <c r="AQ348" s="778"/>
      <c r="AR348" s="1550"/>
      <c r="AS348" s="1640"/>
      <c r="AT348" s="1392"/>
      <c r="AU348" s="2862"/>
      <c r="AV348" s="1460"/>
      <c r="AW348" s="684"/>
      <c r="AX348" s="1856"/>
      <c r="AY348" s="684"/>
      <c r="AZ348" s="1643"/>
      <c r="BA348" s="2850"/>
      <c r="BB348" s="1802"/>
      <c r="BC348" s="687"/>
      <c r="BD348" s="970"/>
      <c r="BE348" s="687"/>
      <c r="BF348" s="1794"/>
      <c r="BG348" s="1867"/>
      <c r="BH348" s="1401"/>
      <c r="BI348" s="1670"/>
      <c r="BJ348" s="1877"/>
      <c r="BK348" s="1878"/>
      <c r="BL348" s="182"/>
      <c r="BM348" s="182"/>
      <c r="BN348" s="1734"/>
      <c r="BO348" s="1107"/>
      <c r="BP348" s="1107"/>
      <c r="BQ348" s="1107"/>
      <c r="BR348" s="1191"/>
      <c r="BS348" s="183"/>
      <c r="BT348" s="183"/>
      <c r="BU348" s="1737"/>
      <c r="BV348" s="184"/>
      <c r="BW348" s="184"/>
      <c r="BX348" s="1740"/>
      <c r="BY348" s="1107"/>
      <c r="BZ348" s="1107"/>
      <c r="CA348" s="1191"/>
    </row>
    <row r="349" spans="1:79" ht="13.5" customHeight="1" x14ac:dyDescent="0.4">
      <c r="A349" s="249"/>
      <c r="B349" s="249"/>
      <c r="C349" s="584">
        <v>0.68402777777777701</v>
      </c>
      <c r="D349" s="568"/>
      <c r="E349" s="1795"/>
      <c r="F349" s="1809"/>
      <c r="G349" s="568"/>
      <c r="H349" s="1795"/>
      <c r="I349" s="1797"/>
      <c r="J349" s="568"/>
      <c r="K349" s="1795"/>
      <c r="L349" s="1797"/>
      <c r="M349" s="568"/>
      <c r="N349" s="1795"/>
      <c r="O349" s="1797"/>
      <c r="P349" s="997"/>
      <c r="Q349" s="998"/>
      <c r="R349" s="996"/>
      <c r="S349" s="764"/>
      <c r="T349" s="764"/>
      <c r="U349" s="1254"/>
      <c r="V349" s="1745"/>
      <c r="W349" s="2635"/>
      <c r="X349" s="1684"/>
      <c r="Y349" s="685"/>
      <c r="Z349" s="2635"/>
      <c r="AA349" s="685"/>
      <c r="AB349" s="1399"/>
      <c r="AC349" s="1399"/>
      <c r="AD349" s="1399"/>
      <c r="AE349" s="1385"/>
      <c r="AF349" s="1385"/>
      <c r="AG349" s="1385"/>
      <c r="AH349" s="1160"/>
      <c r="AI349" s="1160"/>
      <c r="AJ349" s="1160"/>
      <c r="AK349" s="1200"/>
      <c r="AL349" s="1879"/>
      <c r="AM349" s="1531"/>
      <c r="AN349" s="1273"/>
      <c r="AO349" s="2862"/>
      <c r="AP349" s="1273"/>
      <c r="AQ349" s="778"/>
      <c r="AR349" s="1550"/>
      <c r="AS349" s="778"/>
      <c r="AT349" s="1392"/>
      <c r="AU349" s="2862"/>
      <c r="AV349" s="1394"/>
      <c r="AW349" s="684"/>
      <c r="AX349" s="1856"/>
      <c r="AY349" s="783"/>
      <c r="AZ349" s="1643"/>
      <c r="BA349" s="2850"/>
      <c r="BB349" s="1644"/>
      <c r="BC349" s="687"/>
      <c r="BD349" s="970"/>
      <c r="BE349" s="687"/>
      <c r="BF349" s="1787"/>
      <c r="BG349" s="1867"/>
      <c r="BH349" s="1401"/>
      <c r="BI349" s="1675"/>
      <c r="BJ349" s="1865"/>
      <c r="BK349" s="1878"/>
      <c r="BL349" s="182"/>
      <c r="BM349" s="182"/>
      <c r="BN349" s="182"/>
      <c r="BO349" s="1107"/>
      <c r="BP349" s="1107"/>
      <c r="BQ349" s="1107"/>
      <c r="BR349" s="1107"/>
      <c r="BS349" s="183"/>
      <c r="BT349" s="183"/>
      <c r="BU349" s="183"/>
      <c r="BV349" s="184"/>
      <c r="BW349" s="184"/>
      <c r="BX349" s="184"/>
      <c r="BY349" s="1107"/>
      <c r="BZ349" s="1107"/>
      <c r="CA349" s="1107"/>
    </row>
    <row r="350" spans="1:79" ht="23.1" customHeight="1" x14ac:dyDescent="0.4">
      <c r="A350" s="249"/>
      <c r="B350" s="249"/>
      <c r="C350" s="584">
        <v>0.687499999999999</v>
      </c>
      <c r="D350" s="568"/>
      <c r="E350" s="1795"/>
      <c r="F350" s="1809"/>
      <c r="G350" s="568"/>
      <c r="H350" s="1795"/>
      <c r="I350" s="1797"/>
      <c r="J350" s="568"/>
      <c r="K350" s="1795"/>
      <c r="L350" s="1797"/>
      <c r="M350" s="568"/>
      <c r="N350" s="1795"/>
      <c r="O350" s="1797"/>
      <c r="P350" s="997"/>
      <c r="Q350" s="998"/>
      <c r="R350" s="996"/>
      <c r="S350" s="764"/>
      <c r="T350" s="764"/>
      <c r="U350" s="1254"/>
      <c r="V350" s="871"/>
      <c r="W350" s="745" t="s">
        <v>440</v>
      </c>
      <c r="X350" s="1395"/>
      <c r="Y350" s="685"/>
      <c r="Z350" s="745"/>
      <c r="AA350" s="685"/>
      <c r="AB350" s="1399"/>
      <c r="AC350" s="1399"/>
      <c r="AD350" s="1399"/>
      <c r="AE350" s="1385"/>
      <c r="AF350" s="1385" t="s">
        <v>332</v>
      </c>
      <c r="AG350" s="1408"/>
      <c r="AH350" s="1159"/>
      <c r="AI350" s="1160" t="s">
        <v>371</v>
      </c>
      <c r="AJ350" s="1160"/>
      <c r="AK350" s="2806"/>
      <c r="AL350" s="1800" t="s">
        <v>471</v>
      </c>
      <c r="AM350" s="1531"/>
      <c r="AN350" s="1273"/>
      <c r="AO350" s="2862"/>
      <c r="AP350" s="1438"/>
      <c r="AQ350" s="778"/>
      <c r="AR350" s="2606" t="s">
        <v>350</v>
      </c>
      <c r="AS350" s="1640"/>
      <c r="AT350" s="1452"/>
      <c r="AU350" s="2862"/>
      <c r="AV350" s="1873"/>
      <c r="AW350" s="1781"/>
      <c r="AX350" s="2052"/>
      <c r="AY350" s="783"/>
      <c r="AZ350" s="1643"/>
      <c r="BA350" s="2850"/>
      <c r="BB350" s="1727"/>
      <c r="BC350" s="687"/>
      <c r="BD350" s="967" t="s">
        <v>379</v>
      </c>
      <c r="BE350" s="687"/>
      <c r="BF350" s="1862"/>
      <c r="BG350" s="1794" t="s">
        <v>379</v>
      </c>
      <c r="BH350" s="1852"/>
      <c r="BI350" s="1556"/>
      <c r="BJ350" s="1853"/>
      <c r="BK350" s="1789"/>
      <c r="BL350" s="1754"/>
      <c r="BM350" s="1755" t="s">
        <v>271</v>
      </c>
      <c r="BN350" s="182"/>
      <c r="BO350" s="1580"/>
      <c r="BP350" s="1108"/>
      <c r="BQ350" s="1109"/>
      <c r="BR350" s="1107"/>
      <c r="BS350" s="1756"/>
      <c r="BT350" s="1757" t="s">
        <v>271</v>
      </c>
      <c r="BU350" s="183"/>
      <c r="BV350" s="1758"/>
      <c r="BW350" s="1759"/>
      <c r="BX350" s="184"/>
      <c r="BY350" s="1108"/>
      <c r="BZ350" s="1109"/>
      <c r="CA350" s="1107"/>
    </row>
    <row r="351" spans="1:79" ht="24" customHeight="1" x14ac:dyDescent="0.4">
      <c r="A351" s="249"/>
      <c r="B351" s="249"/>
      <c r="C351" s="584" t="s">
        <v>307</v>
      </c>
      <c r="D351" s="568"/>
      <c r="E351" s="1795"/>
      <c r="F351" s="1809"/>
      <c r="G351" s="568"/>
      <c r="H351" s="1795"/>
      <c r="I351" s="1797"/>
      <c r="J351" s="568"/>
      <c r="K351" s="1795"/>
      <c r="L351" s="1797"/>
      <c r="M351" s="568"/>
      <c r="N351" s="1795"/>
      <c r="O351" s="1797"/>
      <c r="P351" s="997"/>
      <c r="Q351" s="998"/>
      <c r="R351" s="996"/>
      <c r="S351" s="764"/>
      <c r="T351" s="764"/>
      <c r="U351" s="1254"/>
      <c r="V351" s="871"/>
      <c r="W351" s="745" t="s">
        <v>350</v>
      </c>
      <c r="X351" s="1395"/>
      <c r="Y351" s="685"/>
      <c r="Z351" s="745"/>
      <c r="AA351" s="685"/>
      <c r="AB351" s="1399"/>
      <c r="AC351" s="1399"/>
      <c r="AD351" s="1399"/>
      <c r="AE351" s="1157"/>
      <c r="AF351" s="1429"/>
      <c r="AG351" s="1157"/>
      <c r="AH351" s="1164"/>
      <c r="AI351" s="1160" t="s">
        <v>331</v>
      </c>
      <c r="AJ351" s="1165"/>
      <c r="AK351" s="2806"/>
      <c r="AL351" s="1800" t="s">
        <v>472</v>
      </c>
      <c r="AM351" s="1531"/>
      <c r="AN351" s="1273"/>
      <c r="AO351" s="2862"/>
      <c r="AP351" s="1761"/>
      <c r="AQ351" s="1813"/>
      <c r="AR351" s="778"/>
      <c r="AS351" s="1648"/>
      <c r="AT351" s="1452"/>
      <c r="AU351" s="2862"/>
      <c r="AV351" s="1873"/>
      <c r="AW351" s="1781"/>
      <c r="AX351" s="1856"/>
      <c r="AY351" s="783"/>
      <c r="AZ351" s="1643"/>
      <c r="BA351" s="2850"/>
      <c r="BB351" s="1727"/>
      <c r="BC351" s="687"/>
      <c r="BD351" s="1555"/>
      <c r="BE351" s="687"/>
      <c r="BF351" s="1862"/>
      <c r="BG351" s="1859" t="s">
        <v>381</v>
      </c>
      <c r="BH351" s="1852"/>
      <c r="BI351" s="1542"/>
      <c r="BJ351" s="1880"/>
      <c r="BK351" s="1881"/>
      <c r="BL351" s="1754"/>
      <c r="BM351" s="1755" t="s">
        <v>310</v>
      </c>
      <c r="BN351" s="1755"/>
      <c r="BO351" s="1107"/>
      <c r="BP351" s="1107"/>
      <c r="BQ351" s="1882"/>
      <c r="BR351" s="1107"/>
      <c r="BS351" s="1756"/>
      <c r="BT351" s="1757" t="s">
        <v>310</v>
      </c>
      <c r="BU351" s="1757"/>
      <c r="BV351" s="1758"/>
      <c r="BW351" s="1759"/>
      <c r="BX351" s="1759"/>
      <c r="BY351" s="1107"/>
      <c r="BZ351" s="1882"/>
      <c r="CA351" s="1107"/>
    </row>
    <row r="352" spans="1:79" ht="19.350000000000001" customHeight="1" x14ac:dyDescent="0.4">
      <c r="A352" s="249"/>
      <c r="B352" s="249"/>
      <c r="C352" s="584" t="s">
        <v>307</v>
      </c>
      <c r="D352" s="568"/>
      <c r="E352" s="1795"/>
      <c r="F352" s="1809"/>
      <c r="G352" s="568"/>
      <c r="H352" s="1795"/>
      <c r="I352" s="1797"/>
      <c r="J352" s="568"/>
      <c r="K352" s="1795"/>
      <c r="L352" s="1797"/>
      <c r="M352" s="568"/>
      <c r="N352" s="1795"/>
      <c r="O352" s="1797"/>
      <c r="P352" s="997"/>
      <c r="Q352" s="998"/>
      <c r="R352" s="996"/>
      <c r="S352" s="764"/>
      <c r="T352" s="764"/>
      <c r="U352" s="1254"/>
      <c r="V352" s="871"/>
      <c r="W352" s="745"/>
      <c r="X352" s="1395"/>
      <c r="Y352" s="685"/>
      <c r="Z352" s="745"/>
      <c r="AA352" s="685"/>
      <c r="AB352" s="1399"/>
      <c r="AC352" s="1399"/>
      <c r="AD352" s="1399"/>
      <c r="AE352" s="1385"/>
      <c r="AF352" s="1385"/>
      <c r="AG352" s="1385"/>
      <c r="AH352" s="1645"/>
      <c r="AI352" s="1160" t="s">
        <v>349</v>
      </c>
      <c r="AJ352" s="1256"/>
      <c r="AK352" s="1663"/>
      <c r="AL352" s="1879"/>
      <c r="AM352" s="1531"/>
      <c r="AN352" s="1450"/>
      <c r="AO352" s="2862"/>
      <c r="AP352" s="1761"/>
      <c r="AQ352" s="1799"/>
      <c r="AR352" s="778"/>
      <c r="AS352" s="1648"/>
      <c r="AT352" s="1452"/>
      <c r="AU352" s="2862"/>
      <c r="AV352" s="1460"/>
      <c r="AW352" s="684"/>
      <c r="AX352" s="1856"/>
      <c r="AY352" s="783"/>
      <c r="AZ352" s="1802"/>
      <c r="BA352" s="2850"/>
      <c r="BB352" s="1644"/>
      <c r="BC352" s="687"/>
      <c r="BD352" s="1555"/>
      <c r="BE352" s="687"/>
      <c r="BF352" s="1862"/>
      <c r="BG352" s="1859" t="s">
        <v>384</v>
      </c>
      <c r="BH352" s="1883"/>
      <c r="BI352" s="1542"/>
      <c r="BJ352" s="1865"/>
      <c r="BK352" s="1881"/>
      <c r="BL352" s="182"/>
      <c r="BM352" s="182"/>
      <c r="BN352" s="182"/>
      <c r="BO352" s="1107"/>
      <c r="BP352" s="1107"/>
      <c r="BQ352" s="1107"/>
      <c r="BR352" s="1107"/>
      <c r="BS352" s="183"/>
      <c r="BT352" s="183"/>
      <c r="BU352" s="183"/>
      <c r="BV352" s="184"/>
      <c r="BW352" s="184"/>
      <c r="BX352" s="184"/>
      <c r="BY352" s="1107"/>
      <c r="BZ352" s="1107"/>
      <c r="CA352" s="1107"/>
    </row>
    <row r="353" spans="1:79" ht="21.6" customHeight="1" x14ac:dyDescent="0.4">
      <c r="A353" s="249"/>
      <c r="B353" s="249"/>
      <c r="C353" s="584" t="s">
        <v>307</v>
      </c>
      <c r="D353" s="568"/>
      <c r="E353" s="1795"/>
      <c r="F353" s="1809"/>
      <c r="G353" s="568"/>
      <c r="H353" s="1795"/>
      <c r="I353" s="1797"/>
      <c r="J353" s="568"/>
      <c r="K353" s="1795"/>
      <c r="L353" s="1797"/>
      <c r="M353" s="568"/>
      <c r="N353" s="1795"/>
      <c r="O353" s="1797"/>
      <c r="P353" s="997"/>
      <c r="Q353" s="998"/>
      <c r="R353" s="996"/>
      <c r="S353" s="764"/>
      <c r="T353" s="764"/>
      <c r="U353" s="1254"/>
      <c r="V353" s="871"/>
      <c r="W353" s="745"/>
      <c r="X353" s="1395"/>
      <c r="Y353" s="685"/>
      <c r="Z353" s="745"/>
      <c r="AA353" s="685"/>
      <c r="AB353" s="1399"/>
      <c r="AC353" s="1399"/>
      <c r="AD353" s="1399"/>
      <c r="AE353" s="1385"/>
      <c r="AF353" s="1385"/>
      <c r="AG353" s="1385"/>
      <c r="AH353" s="1645"/>
      <c r="AI353" s="1160" t="s">
        <v>330</v>
      </c>
      <c r="AJ353" s="1256"/>
      <c r="AK353" s="1663"/>
      <c r="AL353" s="1879"/>
      <c r="AM353" s="1531"/>
      <c r="AN353" s="1450"/>
      <c r="AO353" s="2862"/>
      <c r="AP353" s="1761"/>
      <c r="AQ353" s="1799"/>
      <c r="AR353" s="778"/>
      <c r="AS353" s="1648"/>
      <c r="AT353" s="1452"/>
      <c r="AU353" s="2862"/>
      <c r="AV353" s="1460"/>
      <c r="AW353" s="684"/>
      <c r="AX353" s="1856"/>
      <c r="AY353" s="783"/>
      <c r="AZ353" s="1802"/>
      <c r="BA353" s="2850"/>
      <c r="BB353" s="1644"/>
      <c r="BC353" s="687"/>
      <c r="BD353" s="1555"/>
      <c r="BE353" s="687"/>
      <c r="BF353" s="1862"/>
      <c r="BG353" s="1859"/>
      <c r="BH353" s="1883"/>
      <c r="BI353" s="1542"/>
      <c r="BJ353" s="1865"/>
      <c r="BK353" s="1881"/>
      <c r="BL353" s="182"/>
      <c r="BM353" s="415"/>
      <c r="BN353" s="182"/>
      <c r="BO353" s="1107"/>
      <c r="BP353" s="1107"/>
      <c r="BQ353" s="416"/>
      <c r="BR353" s="1107"/>
      <c r="BS353" s="183"/>
      <c r="BT353" s="416"/>
      <c r="BU353" s="183"/>
      <c r="BV353" s="184"/>
      <c r="BW353" s="417"/>
      <c r="BX353" s="184"/>
      <c r="BY353" s="1107"/>
      <c r="BZ353" s="416"/>
      <c r="CA353" s="1107"/>
    </row>
    <row r="354" spans="1:79" ht="19.350000000000001" customHeight="1" x14ac:dyDescent="0.4">
      <c r="A354" s="249"/>
      <c r="B354" s="249"/>
      <c r="C354" s="584" t="s">
        <v>307</v>
      </c>
      <c r="D354" s="568"/>
      <c r="E354" s="1795"/>
      <c r="F354" s="1809"/>
      <c r="G354" s="568"/>
      <c r="H354" s="1795"/>
      <c r="I354" s="1797"/>
      <c r="J354" s="568"/>
      <c r="K354" s="1795"/>
      <c r="L354" s="1797"/>
      <c r="M354" s="568"/>
      <c r="N354" s="1795"/>
      <c r="O354" s="1797"/>
      <c r="P354" s="977"/>
      <c r="Q354" s="707"/>
      <c r="R354" s="996"/>
      <c r="S354" s="764"/>
      <c r="T354" s="764"/>
      <c r="U354" s="1254"/>
      <c r="V354" s="709"/>
      <c r="W354" s="745"/>
      <c r="X354" s="1395"/>
      <c r="Y354" s="685"/>
      <c r="Z354" s="745"/>
      <c r="AA354" s="685"/>
      <c r="AB354" s="1399"/>
      <c r="AC354" s="1399"/>
      <c r="AD354" s="1399"/>
      <c r="AE354" s="1385"/>
      <c r="AF354" s="1385"/>
      <c r="AG354" s="1385"/>
      <c r="AH354" s="1645"/>
      <c r="AI354" s="1160"/>
      <c r="AJ354" s="1256"/>
      <c r="AK354" s="1663"/>
      <c r="AL354" s="1879"/>
      <c r="AM354" s="1531"/>
      <c r="AN354" s="1450"/>
      <c r="AO354" s="2862"/>
      <c r="AP354" s="1761"/>
      <c r="AQ354" s="1799"/>
      <c r="AR354" s="778"/>
      <c r="AS354" s="1648"/>
      <c r="AT354" s="1452"/>
      <c r="AU354" s="2862"/>
      <c r="AV354" s="1460"/>
      <c r="AW354" s="684"/>
      <c r="AX354" s="1856"/>
      <c r="AY354" s="783"/>
      <c r="AZ354" s="1802"/>
      <c r="BA354" s="2850"/>
      <c r="BB354" s="1644"/>
      <c r="BC354" s="687"/>
      <c r="BD354" s="970"/>
      <c r="BE354" s="687"/>
      <c r="BF354" s="1862"/>
      <c r="BG354" s="1867"/>
      <c r="BH354" s="1883"/>
      <c r="BI354" s="1542"/>
      <c r="BJ354" s="1865"/>
      <c r="BK354" s="1881"/>
      <c r="BL354" s="182"/>
      <c r="BM354" s="415"/>
      <c r="BN354" s="182"/>
      <c r="BO354" s="1107"/>
      <c r="BP354" s="1107"/>
      <c r="BQ354" s="416"/>
      <c r="BR354" s="1107"/>
      <c r="BS354" s="183"/>
      <c r="BT354" s="416"/>
      <c r="BU354" s="183"/>
      <c r="BV354" s="184"/>
      <c r="BW354" s="417"/>
      <c r="BX354" s="184"/>
      <c r="BY354" s="1107"/>
      <c r="BZ354" s="416"/>
      <c r="CA354" s="1107"/>
    </row>
    <row r="355" spans="1:79" ht="13.5" customHeight="1" x14ac:dyDescent="0.4">
      <c r="A355" s="249"/>
      <c r="B355" s="249"/>
      <c r="C355" s="584">
        <v>0.69097222222222099</v>
      </c>
      <c r="D355" s="567"/>
      <c r="E355" s="1795"/>
      <c r="F355" s="1795"/>
      <c r="G355" s="567"/>
      <c r="H355" s="1795"/>
      <c r="I355" s="1797"/>
      <c r="J355" s="567"/>
      <c r="K355" s="1795"/>
      <c r="L355" s="1797"/>
      <c r="M355" s="567"/>
      <c r="N355" s="1795"/>
      <c r="O355" s="1797"/>
      <c r="P355" s="977"/>
      <c r="Q355" s="707"/>
      <c r="R355" s="996"/>
      <c r="S355" s="764"/>
      <c r="T355" s="764"/>
      <c r="U355" s="1254"/>
      <c r="V355" s="709"/>
      <c r="W355" s="745"/>
      <c r="X355" s="1395"/>
      <c r="Y355" s="685"/>
      <c r="Z355" s="745"/>
      <c r="AA355" s="685"/>
      <c r="AB355" s="1399"/>
      <c r="AC355" s="1399"/>
      <c r="AD355" s="1399"/>
      <c r="AE355" s="1385"/>
      <c r="AF355" s="1385"/>
      <c r="AG355" s="1385"/>
      <c r="AH355" s="1160"/>
      <c r="AI355" s="1160"/>
      <c r="AJ355" s="1160"/>
      <c r="AK355" s="1200"/>
      <c r="AL355" s="1879"/>
      <c r="AM355" s="1531"/>
      <c r="AN355" s="1273"/>
      <c r="AO355" s="2862"/>
      <c r="AP355" s="1603"/>
      <c r="AQ355" s="1799"/>
      <c r="AR355" s="778"/>
      <c r="AS355" s="1640"/>
      <c r="AT355" s="1394"/>
      <c r="AU355" s="1884"/>
      <c r="AV355" s="1460"/>
      <c r="AW355" s="684"/>
      <c r="AX355" s="1856"/>
      <c r="AY355" s="1857"/>
      <c r="AZ355" s="1802"/>
      <c r="BA355" s="2850"/>
      <c r="BB355" s="1644"/>
      <c r="BC355" s="687"/>
      <c r="BD355" s="967"/>
      <c r="BE355" s="687"/>
      <c r="BF355" s="1794"/>
      <c r="BG355" s="1794"/>
      <c r="BH355" s="1883"/>
      <c r="BI355" s="1556"/>
      <c r="BJ355" s="1865"/>
      <c r="BK355" s="1881"/>
      <c r="BL355" s="182"/>
      <c r="BM355" s="182"/>
      <c r="BN355" s="182"/>
      <c r="BO355" s="1107"/>
      <c r="BP355" s="1107"/>
      <c r="BQ355" s="1107"/>
      <c r="BR355" s="1107"/>
      <c r="BS355" s="183"/>
      <c r="BT355" s="183"/>
      <c r="BU355" s="183"/>
      <c r="BV355" s="184"/>
      <c r="BW355" s="184"/>
      <c r="BX355" s="184"/>
      <c r="BY355" s="1107"/>
      <c r="BZ355" s="1107"/>
      <c r="CA355" s="1107"/>
    </row>
    <row r="356" spans="1:79" ht="46.5" customHeight="1" x14ac:dyDescent="0.4">
      <c r="A356" s="249"/>
      <c r="B356" s="249"/>
      <c r="C356" s="584">
        <v>0.69444444444444298</v>
      </c>
      <c r="D356" s="567"/>
      <c r="E356" s="1795"/>
      <c r="F356" s="1795"/>
      <c r="G356" s="567"/>
      <c r="H356" s="1795"/>
      <c r="I356" s="1797"/>
      <c r="J356" s="567"/>
      <c r="K356" s="1795"/>
      <c r="L356" s="1797"/>
      <c r="M356" s="567"/>
      <c r="N356" s="1795"/>
      <c r="O356" s="1797"/>
      <c r="P356" s="977"/>
      <c r="Q356" s="707"/>
      <c r="R356" s="996"/>
      <c r="S356" s="764"/>
      <c r="T356" s="1792"/>
      <c r="U356" s="983"/>
      <c r="V356" s="1745"/>
      <c r="W356" s="1885" t="s">
        <v>473</v>
      </c>
      <c r="X356" s="1684"/>
      <c r="Y356" s="686"/>
      <c r="Z356" s="1885"/>
      <c r="AA356" s="685"/>
      <c r="AB356" s="687"/>
      <c r="AC356" s="687"/>
      <c r="AD356" s="687"/>
      <c r="AE356" s="1385"/>
      <c r="AF356" s="1385"/>
      <c r="AG356" s="1385"/>
      <c r="AH356" s="1160"/>
      <c r="AI356" s="1160"/>
      <c r="AJ356" s="1160"/>
      <c r="AK356" s="1663"/>
      <c r="AL356" s="1879"/>
      <c r="AM356" s="1531"/>
      <c r="AN356" s="1273"/>
      <c r="AO356" s="2862"/>
      <c r="AP356" s="1438"/>
      <c r="AQ356" s="1886"/>
      <c r="AR356" s="778"/>
      <c r="AS356" s="1887"/>
      <c r="AT356" s="1394"/>
      <c r="AU356" s="1884"/>
      <c r="AV356" s="1873"/>
      <c r="AW356" s="684"/>
      <c r="AX356" s="1856"/>
      <c r="AY356" s="783"/>
      <c r="AZ356" s="1802"/>
      <c r="BA356" s="2850"/>
      <c r="BB356" s="1644"/>
      <c r="BC356" s="687"/>
      <c r="BD356" s="1555"/>
      <c r="BE356" s="687"/>
      <c r="BF356" s="1862"/>
      <c r="BG356" s="1859"/>
      <c r="BH356" s="1401"/>
      <c r="BI356" s="1542"/>
      <c r="BJ356" s="1865"/>
      <c r="BK356" s="1789"/>
      <c r="BL356" s="182"/>
      <c r="BM356" s="1889"/>
      <c r="BN356" s="182"/>
      <c r="BO356" s="1107"/>
      <c r="BP356" s="1107"/>
      <c r="BQ356" s="1888"/>
      <c r="BR356" s="1107"/>
      <c r="BS356" s="183"/>
      <c r="BT356" s="1890"/>
      <c r="BU356" s="183"/>
      <c r="BV356" s="184"/>
      <c r="BW356" s="1891"/>
      <c r="BX356" s="184"/>
      <c r="BY356" s="1107"/>
      <c r="BZ356" s="1888"/>
      <c r="CA356" s="1107"/>
    </row>
    <row r="357" spans="1:79" ht="25.35" customHeight="1" x14ac:dyDescent="0.4">
      <c r="A357" s="249"/>
      <c r="B357" s="249"/>
      <c r="C357" s="584">
        <v>0.69791666666666596</v>
      </c>
      <c r="D357" s="567"/>
      <c r="E357" s="1795"/>
      <c r="F357" s="1795"/>
      <c r="G357" s="567"/>
      <c r="H357" s="1795"/>
      <c r="I357" s="1797"/>
      <c r="J357" s="567"/>
      <c r="K357" s="1795"/>
      <c r="L357" s="1797"/>
      <c r="M357" s="567"/>
      <c r="N357" s="1795"/>
      <c r="O357" s="1797"/>
      <c r="P357" s="977"/>
      <c r="Q357" s="707"/>
      <c r="R357" s="996"/>
      <c r="S357" s="764"/>
      <c r="T357" s="1792"/>
      <c r="U357" s="1254"/>
      <c r="V357" s="1745"/>
      <c r="W357" s="796" t="s">
        <v>336</v>
      </c>
      <c r="X357" s="1684"/>
      <c r="Y357" s="685"/>
      <c r="Z357" s="796"/>
      <c r="AA357" s="685"/>
      <c r="AB357" s="687"/>
      <c r="AC357" s="687"/>
      <c r="AD357" s="687"/>
      <c r="AE357" s="1385"/>
      <c r="AF357" s="1385" t="s">
        <v>332</v>
      </c>
      <c r="AG357" s="1408"/>
      <c r="AH357" s="1159"/>
      <c r="AI357" s="1160" t="s">
        <v>331</v>
      </c>
      <c r="AJ357" s="1160"/>
      <c r="AK357" s="1200"/>
      <c r="AL357" s="1530"/>
      <c r="AM357" s="1531"/>
      <c r="AN357" s="1273"/>
      <c r="AO357" s="2862"/>
      <c r="AP357" s="1273"/>
      <c r="AQ357" s="778"/>
      <c r="AR357" s="1723" t="s">
        <v>474</v>
      </c>
      <c r="AS357" s="778"/>
      <c r="AT357" s="1892"/>
      <c r="AU357" s="2603" t="s">
        <v>371</v>
      </c>
      <c r="AV357" s="1394"/>
      <c r="AW357" s="684"/>
      <c r="AX357" s="1331" t="s">
        <v>475</v>
      </c>
      <c r="AY357" s="783"/>
      <c r="AZ357" s="1280"/>
      <c r="BA357" s="2850"/>
      <c r="BB357" s="1280"/>
      <c r="BC357" s="687"/>
      <c r="BD357" s="967" t="s">
        <v>379</v>
      </c>
      <c r="BE357" s="687"/>
      <c r="BF357" s="1794"/>
      <c r="BG357" s="1896" t="s">
        <v>445</v>
      </c>
      <c r="BH357" s="1883"/>
      <c r="BI357" s="1556"/>
      <c r="BJ357" s="2809" t="s">
        <v>476</v>
      </c>
      <c r="BK357" s="1556"/>
      <c r="BL357" s="1754"/>
      <c r="BM357" s="1755"/>
      <c r="BN357" s="1755"/>
      <c r="BO357" s="1577"/>
      <c r="BP357" s="1107"/>
      <c r="BQ357" s="1893"/>
      <c r="BR357" s="1107"/>
      <c r="BS357" s="1756"/>
      <c r="BT357" s="1757"/>
      <c r="BU357" s="1757"/>
      <c r="BV357" s="1758"/>
      <c r="BW357" s="1759"/>
      <c r="BX357" s="1759"/>
      <c r="BY357" s="1107"/>
      <c r="BZ357" s="1893"/>
      <c r="CA357" s="1107"/>
    </row>
    <row r="358" spans="1:79" ht="28.5" customHeight="1" x14ac:dyDescent="0.4">
      <c r="A358" s="249"/>
      <c r="B358" s="249"/>
      <c r="C358" s="584" t="s">
        <v>307</v>
      </c>
      <c r="D358" s="567"/>
      <c r="E358" s="1795"/>
      <c r="F358" s="1795"/>
      <c r="G358" s="567"/>
      <c r="H358" s="1795"/>
      <c r="I358" s="1797"/>
      <c r="J358" s="567"/>
      <c r="K358" s="1795"/>
      <c r="L358" s="1797"/>
      <c r="M358" s="567"/>
      <c r="N358" s="1795"/>
      <c r="O358" s="1797"/>
      <c r="P358" s="977"/>
      <c r="Q358" s="707"/>
      <c r="R358" s="996"/>
      <c r="S358" s="764"/>
      <c r="T358" s="1792"/>
      <c r="U358" s="1254"/>
      <c r="V358" s="871"/>
      <c r="W358" s="709"/>
      <c r="X358" s="1395"/>
      <c r="Y358" s="1061"/>
      <c r="Z358" s="1064"/>
      <c r="AA358" s="1061"/>
      <c r="AB358" s="687"/>
      <c r="AC358" s="687"/>
      <c r="AD358" s="687"/>
      <c r="AE358" s="1157"/>
      <c r="AF358" s="1429"/>
      <c r="AG358" s="1157"/>
      <c r="AH358" s="1164"/>
      <c r="AI358" s="1160" t="s">
        <v>334</v>
      </c>
      <c r="AJ358" s="1165"/>
      <c r="AK358" s="1200"/>
      <c r="AL358" s="1879"/>
      <c r="AM358" s="1531"/>
      <c r="AN358" s="1872"/>
      <c r="AO358" s="2862"/>
      <c r="AP358" s="1761"/>
      <c r="AQ358" s="778"/>
      <c r="AR358" s="778"/>
      <c r="AS358" s="1887"/>
      <c r="AT358" s="1452"/>
      <c r="AU358" s="1665"/>
      <c r="AV358" s="1873"/>
      <c r="AW358" s="1894"/>
      <c r="AX358" s="2052"/>
      <c r="AY358" s="783"/>
      <c r="AZ358" s="1280"/>
      <c r="BA358" s="2850"/>
      <c r="BB358" s="1280"/>
      <c r="BC358" s="687"/>
      <c r="BD358" s="1555"/>
      <c r="BE358" s="687"/>
      <c r="BF358" s="1794"/>
      <c r="BG358" s="1859" t="s">
        <v>381</v>
      </c>
      <c r="BH358" s="1883"/>
      <c r="BI358" s="1556"/>
      <c r="BJ358" s="2809" t="s">
        <v>477</v>
      </c>
      <c r="BK358" s="1881"/>
      <c r="BL358" s="182"/>
      <c r="BM358" s="415"/>
      <c r="BN358" s="182"/>
      <c r="BO358" s="1107"/>
      <c r="BP358" s="1107"/>
      <c r="BQ358" s="416"/>
      <c r="BR358" s="1107"/>
      <c r="BS358" s="183"/>
      <c r="BT358" s="416"/>
      <c r="BU358" s="183"/>
      <c r="BV358" s="184"/>
      <c r="BW358" s="417"/>
      <c r="BX358" s="184"/>
      <c r="BY358" s="1107"/>
      <c r="BZ358" s="416"/>
      <c r="CA358" s="1107"/>
    </row>
    <row r="359" spans="1:79" ht="25.5" customHeight="1" x14ac:dyDescent="0.4">
      <c r="A359" s="249"/>
      <c r="B359" s="249"/>
      <c r="C359" s="584" t="s">
        <v>307</v>
      </c>
      <c r="D359" s="567"/>
      <c r="E359" s="1795"/>
      <c r="F359" s="1795"/>
      <c r="G359" s="567"/>
      <c r="H359" s="1795"/>
      <c r="I359" s="1797"/>
      <c r="J359" s="567"/>
      <c r="K359" s="1795"/>
      <c r="L359" s="1797"/>
      <c r="M359" s="567"/>
      <c r="N359" s="1795"/>
      <c r="O359" s="1797"/>
      <c r="P359" s="1006"/>
      <c r="Q359" s="707"/>
      <c r="R359" s="996"/>
      <c r="S359" s="764"/>
      <c r="T359" s="1792"/>
      <c r="U359" s="1254"/>
      <c r="V359" s="886"/>
      <c r="W359" s="683"/>
      <c r="X359" s="1253"/>
      <c r="Y359" s="1061"/>
      <c r="Z359" s="1064"/>
      <c r="AA359" s="1061"/>
      <c r="AB359" s="687"/>
      <c r="AC359" s="687"/>
      <c r="AD359" s="687"/>
      <c r="AE359" s="1385"/>
      <c r="AF359" s="1385"/>
      <c r="AG359" s="1385"/>
      <c r="AH359" s="1160"/>
      <c r="AI359" s="1160"/>
      <c r="AJ359" s="1256"/>
      <c r="AK359" s="1200"/>
      <c r="AL359" s="1879"/>
      <c r="AM359" s="1531"/>
      <c r="AN359" s="1872"/>
      <c r="AO359" s="2862"/>
      <c r="AP359" s="1761"/>
      <c r="AQ359" s="1886"/>
      <c r="AR359" s="1887"/>
      <c r="AS359" s="1887"/>
      <c r="AT359" s="1452"/>
      <c r="AU359" s="1665"/>
      <c r="AV359" s="1873"/>
      <c r="AW359" s="1894"/>
      <c r="AX359" s="1895"/>
      <c r="AY359" s="783"/>
      <c r="AZ359" s="1643"/>
      <c r="BA359" s="2850"/>
      <c r="BB359" s="1644"/>
      <c r="BC359" s="687"/>
      <c r="BD359" s="970"/>
      <c r="BE359" s="687"/>
      <c r="BF359" s="1794"/>
      <c r="BG359" s="1859" t="s">
        <v>384</v>
      </c>
      <c r="BH359" s="1883"/>
      <c r="BI359" s="1556"/>
      <c r="BJ359" s="1880"/>
      <c r="BK359" s="1881"/>
      <c r="BL359" s="182"/>
      <c r="BM359" s="415"/>
      <c r="BN359" s="182"/>
      <c r="BO359" s="1107"/>
      <c r="BP359" s="1107"/>
      <c r="BQ359" s="416"/>
      <c r="BR359" s="1107"/>
      <c r="BS359" s="183"/>
      <c r="BT359" s="416"/>
      <c r="BU359" s="183"/>
      <c r="BV359" s="184"/>
      <c r="BW359" s="417"/>
      <c r="BX359" s="184"/>
      <c r="BY359" s="1107"/>
      <c r="BZ359" s="416"/>
      <c r="CA359" s="1107"/>
    </row>
    <row r="360" spans="1:79" ht="33" customHeight="1" x14ac:dyDescent="0.4">
      <c r="A360" s="249"/>
      <c r="B360" s="249"/>
      <c r="C360" s="584" t="s">
        <v>307</v>
      </c>
      <c r="D360" s="1898"/>
      <c r="E360" s="1795"/>
      <c r="F360" s="1898"/>
      <c r="G360" s="1898"/>
      <c r="H360" s="1795"/>
      <c r="I360" s="1797"/>
      <c r="J360" s="1898"/>
      <c r="K360" s="1795"/>
      <c r="L360" s="1797"/>
      <c r="M360" s="1898"/>
      <c r="N360" s="1795"/>
      <c r="O360" s="1797"/>
      <c r="P360" s="998"/>
      <c r="Q360" s="997"/>
      <c r="R360" s="1899"/>
      <c r="S360" s="764"/>
      <c r="T360" s="766"/>
      <c r="U360" s="1077"/>
      <c r="V360" s="709"/>
      <c r="W360" s="709"/>
      <c r="X360" s="709"/>
      <c r="Y360" s="686"/>
      <c r="Z360" s="686"/>
      <c r="AA360" s="686"/>
      <c r="AB360" s="1900"/>
      <c r="AC360" s="1900"/>
      <c r="AD360" s="1635"/>
      <c r="AE360" s="1385"/>
      <c r="AF360" s="1385"/>
      <c r="AG360" s="1385"/>
      <c r="AH360" s="1160"/>
      <c r="AI360" s="1160"/>
      <c r="AJ360" s="1256"/>
      <c r="AK360" s="1200"/>
      <c r="AL360" s="1879"/>
      <c r="AM360" s="1531"/>
      <c r="AN360" s="1872"/>
      <c r="AO360" s="2862"/>
      <c r="AP360" s="1761"/>
      <c r="AQ360" s="1886"/>
      <c r="AR360" s="778"/>
      <c r="AS360" s="1887"/>
      <c r="AT360" s="1452"/>
      <c r="AU360" s="1665"/>
      <c r="AV360" s="1873"/>
      <c r="AW360" s="1894"/>
      <c r="AX360" s="1895"/>
      <c r="AY360" s="783"/>
      <c r="AZ360" s="1643"/>
      <c r="BA360" s="2850"/>
      <c r="BB360" s="1644"/>
      <c r="BC360" s="687"/>
      <c r="BD360" s="970"/>
      <c r="BE360" s="687"/>
      <c r="BF360" s="1794"/>
      <c r="BG360" s="1859"/>
      <c r="BH360" s="1883"/>
      <c r="BI360" s="1556"/>
      <c r="BJ360" s="1865"/>
      <c r="BK360" s="1881"/>
      <c r="BL360" s="182"/>
      <c r="BM360" s="415"/>
      <c r="BN360" s="182"/>
      <c r="BO360" s="1107"/>
      <c r="BP360" s="1107"/>
      <c r="BQ360" s="416"/>
      <c r="BR360" s="1107"/>
      <c r="BS360" s="183"/>
      <c r="BT360" s="416"/>
      <c r="BU360" s="183"/>
      <c r="BV360" s="184"/>
      <c r="BW360" s="417"/>
      <c r="BX360" s="184"/>
      <c r="BY360" s="1107"/>
      <c r="BZ360" s="416"/>
      <c r="CA360" s="1107"/>
    </row>
    <row r="361" spans="1:79" ht="26.1" customHeight="1" x14ac:dyDescent="0.4">
      <c r="A361" s="249"/>
      <c r="B361" s="249"/>
      <c r="C361" s="866">
        <v>0.70138888888888795</v>
      </c>
      <c r="D361" s="1181"/>
      <c r="E361" s="1795"/>
      <c r="F361" s="1181"/>
      <c r="G361" s="1181"/>
      <c r="H361" s="1795"/>
      <c r="I361" s="1797"/>
      <c r="J361" s="1181"/>
      <c r="K361" s="1795"/>
      <c r="L361" s="1797"/>
      <c r="M361" s="1181"/>
      <c r="N361" s="1795"/>
      <c r="O361" s="1797"/>
      <c r="P361" s="998"/>
      <c r="Q361" s="997"/>
      <c r="R361" s="1899"/>
      <c r="S361" s="764"/>
      <c r="T361" s="1901"/>
      <c r="U361" s="1222"/>
      <c r="V361" s="709"/>
      <c r="W361" s="683"/>
      <c r="X361" s="1746"/>
      <c r="Y361" s="1902"/>
      <c r="Z361" s="686"/>
      <c r="AA361" s="1902"/>
      <c r="AB361" s="1465"/>
      <c r="AC361" s="1465"/>
      <c r="AD361" s="1399"/>
      <c r="AE361" s="1385"/>
      <c r="AF361" s="1385"/>
      <c r="AG361" s="1903"/>
      <c r="AH361" s="1160"/>
      <c r="AI361" s="1160"/>
      <c r="AJ361" s="1904"/>
      <c r="AK361" s="1200"/>
      <c r="AL361" s="2553" t="s">
        <v>470</v>
      </c>
      <c r="AM361" s="1531"/>
      <c r="AN361" s="1273"/>
      <c r="AO361" s="2862"/>
      <c r="AP361" s="1603"/>
      <c r="AQ361" s="1886"/>
      <c r="AR361" s="778"/>
      <c r="AS361" s="1886"/>
      <c r="AT361" s="1394"/>
      <c r="AU361" s="1665"/>
      <c r="AV361" s="1873"/>
      <c r="AW361" s="684"/>
      <c r="AX361" s="1856"/>
      <c r="AY361" s="783"/>
      <c r="AZ361" s="1802"/>
      <c r="BA361" s="2850"/>
      <c r="BB361" s="1644"/>
      <c r="BC361" s="687"/>
      <c r="BD361" s="970"/>
      <c r="BE361" s="1906"/>
      <c r="BF361" s="1794"/>
      <c r="BG361" s="1907"/>
      <c r="BH361" s="1401"/>
      <c r="BI361" s="1556"/>
      <c r="BJ361" s="1865"/>
      <c r="BK361" s="1789"/>
      <c r="BL361" s="182"/>
      <c r="BM361" s="182"/>
      <c r="BN361" s="1734"/>
      <c r="BO361" s="1107"/>
      <c r="BP361" s="1107"/>
      <c r="BQ361" s="1107"/>
      <c r="BR361" s="1191"/>
      <c r="BS361" s="183"/>
      <c r="BT361" s="183"/>
      <c r="BU361" s="1737"/>
      <c r="BV361" s="184"/>
      <c r="BW361" s="184"/>
      <c r="BX361" s="1740"/>
      <c r="BY361" s="1107"/>
      <c r="BZ361" s="1107"/>
      <c r="CA361" s="1191"/>
    </row>
    <row r="362" spans="1:79" ht="28.5" customHeight="1" x14ac:dyDescent="0.4">
      <c r="A362" s="249"/>
      <c r="B362" s="249"/>
      <c r="C362" s="621">
        <v>0.70486111111111005</v>
      </c>
      <c r="D362" s="815"/>
      <c r="E362" s="1826"/>
      <c r="F362" s="1827"/>
      <c r="G362" s="815"/>
      <c r="H362" s="1826"/>
      <c r="I362" s="1909"/>
      <c r="J362" s="815"/>
      <c r="K362" s="1826"/>
      <c r="L362" s="1909"/>
      <c r="M362" s="815"/>
      <c r="N362" s="1826"/>
      <c r="O362" s="1909"/>
      <c r="P362" s="1910"/>
      <c r="Q362" s="1829"/>
      <c r="R362" s="1016"/>
      <c r="S362" s="1911"/>
      <c r="T362" s="1912"/>
      <c r="U362" s="1681"/>
      <c r="V362" s="880"/>
      <c r="W362" s="1913"/>
      <c r="X362" s="1914"/>
      <c r="Y362" s="1915"/>
      <c r="Z362" s="1916"/>
      <c r="AA362" s="1915"/>
      <c r="AB362" s="1917"/>
      <c r="AC362" s="1917"/>
      <c r="AD362" s="1917"/>
      <c r="AE362" s="1686"/>
      <c r="AF362" s="1686"/>
      <c r="AG362" s="1918"/>
      <c r="AH362" s="1687"/>
      <c r="AI362" s="1687"/>
      <c r="AJ362" s="1919"/>
      <c r="AK362" s="1920"/>
      <c r="AL362" s="1921"/>
      <c r="AM362" s="1922"/>
      <c r="AN362" s="1500"/>
      <c r="AO362" s="2863"/>
      <c r="AP362" s="1923"/>
      <c r="AQ362" s="1924"/>
      <c r="AR362" s="1692"/>
      <c r="AS362" s="1925"/>
      <c r="AT362" s="1505"/>
      <c r="AU362" s="1926"/>
      <c r="AV362" s="1927"/>
      <c r="AW362" s="814"/>
      <c r="AX362" s="1928"/>
      <c r="AY362" s="1020"/>
      <c r="AZ362" s="1929"/>
      <c r="BA362" s="2851"/>
      <c r="BB362" s="1931"/>
      <c r="BC362" s="1932"/>
      <c r="BD362" s="1933"/>
      <c r="BE362" s="1021"/>
      <c r="BF362" s="1934"/>
      <c r="BG362" s="1935"/>
      <c r="BH362" s="1936"/>
      <c r="BI362" s="1698"/>
      <c r="BJ362" s="1937"/>
      <c r="BK362" s="1938"/>
      <c r="BL362" s="243"/>
      <c r="BM362" s="1942"/>
      <c r="BN362" s="1943"/>
      <c r="BO362" s="1702"/>
      <c r="BP362" s="1702"/>
      <c r="BQ362" s="1940"/>
      <c r="BR362" s="1941"/>
      <c r="BS362" s="245"/>
      <c r="BT362" s="1944"/>
      <c r="BU362" s="1945"/>
      <c r="BV362" s="1841"/>
      <c r="BW362" s="1946"/>
      <c r="BX362" s="1947"/>
      <c r="BY362" s="1702"/>
      <c r="BZ362" s="1940"/>
      <c r="CA362" s="1941"/>
    </row>
    <row r="363" spans="1:79" ht="26.1" customHeight="1" x14ac:dyDescent="0.4">
      <c r="A363" s="249"/>
      <c r="B363" s="249"/>
      <c r="C363" s="578">
        <v>0.70833333333333204</v>
      </c>
      <c r="D363" s="1948"/>
      <c r="E363" s="1949"/>
      <c r="F363" s="1950"/>
      <c r="G363" s="1948"/>
      <c r="H363" s="1949"/>
      <c r="I363" s="1951"/>
      <c r="J363" s="1948"/>
      <c r="K363" s="1950"/>
      <c r="L363" s="1951"/>
      <c r="M363" s="1952"/>
      <c r="N363" s="1955"/>
      <c r="O363" s="2807"/>
      <c r="P363" s="1948"/>
      <c r="Q363" s="1950"/>
      <c r="R363" s="1951"/>
      <c r="S363" s="2807"/>
      <c r="T363" s="1952"/>
      <c r="U363" s="1953"/>
      <c r="V363" s="1954"/>
      <c r="W363" s="1948"/>
      <c r="X363" s="1954"/>
      <c r="Y363" s="1952"/>
      <c r="Z363" s="1955"/>
      <c r="AA363" s="2807"/>
      <c r="AB363" s="1953"/>
      <c r="AC363" s="1953"/>
      <c r="AD363" s="1953"/>
      <c r="AE363" s="1385"/>
      <c r="AF363" s="1385" t="s">
        <v>332</v>
      </c>
      <c r="AG363" s="1408"/>
      <c r="AH363" s="1159"/>
      <c r="AI363" s="1160" t="s">
        <v>331</v>
      </c>
      <c r="AJ363" s="1160"/>
      <c r="AK363" s="2806"/>
      <c r="AL363" s="1723" t="s">
        <v>478</v>
      </c>
      <c r="AM363" s="1531"/>
      <c r="AN363" s="1273"/>
      <c r="AO363" s="1331" t="s">
        <v>479</v>
      </c>
      <c r="AP363" s="1438"/>
      <c r="AQ363" s="778"/>
      <c r="AR363" s="1331" t="s">
        <v>480</v>
      </c>
      <c r="AS363" s="1640"/>
      <c r="AT363" s="1956"/>
      <c r="AU363" s="1723" t="s">
        <v>481</v>
      </c>
      <c r="AV363" s="1537"/>
      <c r="AW363" s="1395"/>
      <c r="AX363" s="1957" t="s">
        <v>482</v>
      </c>
      <c r="AY363" s="1395"/>
      <c r="AZ363" s="1802"/>
      <c r="BA363" s="1723" t="s">
        <v>483</v>
      </c>
      <c r="BB363" s="1802"/>
      <c r="BC363" s="1958"/>
      <c r="BD363" s="967" t="s">
        <v>379</v>
      </c>
      <c r="BE363" s="1959"/>
      <c r="BF363" s="1794"/>
      <c r="BG363" s="1896" t="s">
        <v>379</v>
      </c>
      <c r="BH363" s="1883"/>
      <c r="BI363" s="1556"/>
      <c r="BJ363" s="1853"/>
      <c r="BK363" s="1818"/>
      <c r="BL363" s="182"/>
      <c r="BM363" s="182" t="s">
        <v>271</v>
      </c>
      <c r="BN363" s="1783"/>
      <c r="BO363" s="1107"/>
      <c r="BP363" s="1107"/>
      <c r="BQ363" s="1107"/>
      <c r="BR363" s="1614"/>
      <c r="BS363" s="183"/>
      <c r="BT363" s="183" t="s">
        <v>271</v>
      </c>
      <c r="BU363" s="1784"/>
      <c r="BV363" s="184"/>
      <c r="BW363" s="2867" t="s">
        <v>484</v>
      </c>
      <c r="BX363" s="1785"/>
      <c r="BY363" s="1107"/>
      <c r="BZ363" s="1107"/>
      <c r="CA363" s="1614"/>
    </row>
    <row r="364" spans="1:79" ht="26.1" customHeight="1" x14ac:dyDescent="0.4">
      <c r="A364" s="249"/>
      <c r="B364" s="249"/>
      <c r="C364" s="584" t="s">
        <v>307</v>
      </c>
      <c r="D364" s="1948"/>
      <c r="E364" s="1949"/>
      <c r="F364" s="1950"/>
      <c r="G364" s="1948"/>
      <c r="H364" s="1949"/>
      <c r="I364" s="1951"/>
      <c r="J364" s="1948"/>
      <c r="K364" s="1950"/>
      <c r="L364" s="1951"/>
      <c r="M364" s="1952"/>
      <c r="N364" s="1955"/>
      <c r="O364" s="2807"/>
      <c r="P364" s="1948"/>
      <c r="Q364" s="1950"/>
      <c r="R364" s="1951"/>
      <c r="S364" s="2807"/>
      <c r="T364" s="1952"/>
      <c r="U364" s="1961"/>
      <c r="V364" s="1954"/>
      <c r="W364" s="1948"/>
      <c r="X364" s="1954"/>
      <c r="Y364" s="1952"/>
      <c r="Z364" s="1955"/>
      <c r="AA364" s="2807"/>
      <c r="AB364" s="1961"/>
      <c r="AC364" s="1961"/>
      <c r="AD364" s="1961"/>
      <c r="AE364" s="1157"/>
      <c r="AF364" s="1385" t="s">
        <v>334</v>
      </c>
      <c r="AG364" s="1157"/>
      <c r="AH364" s="1164"/>
      <c r="AI364" s="1160" t="s">
        <v>334</v>
      </c>
      <c r="AJ364" s="1165"/>
      <c r="AK364" s="2806"/>
      <c r="AL364" s="1723" t="s">
        <v>485</v>
      </c>
      <c r="AM364" s="1531"/>
      <c r="AN364" s="1273"/>
      <c r="AO364" s="1331" t="s">
        <v>486</v>
      </c>
      <c r="AP364" s="1438"/>
      <c r="AQ364" s="778"/>
      <c r="AR364" s="1331" t="s">
        <v>487</v>
      </c>
      <c r="AS364" s="1640"/>
      <c r="AT364" s="1452"/>
      <c r="AU364" s="1723" t="s">
        <v>488</v>
      </c>
      <c r="AV364" s="1613"/>
      <c r="AW364" s="1894"/>
      <c r="AX364" s="1800" t="s">
        <v>489</v>
      </c>
      <c r="AY364" s="783"/>
      <c r="AZ364" s="1802"/>
      <c r="BA364" s="1723" t="s">
        <v>490</v>
      </c>
      <c r="BB364" s="1802"/>
      <c r="BC364" s="1958"/>
      <c r="BD364" s="970"/>
      <c r="BE364" s="1959"/>
      <c r="BF364" s="1794"/>
      <c r="BG364" s="1859" t="s">
        <v>381</v>
      </c>
      <c r="BH364" s="1883"/>
      <c r="BI364" s="1556"/>
      <c r="BJ364" s="1874"/>
      <c r="BK364" s="1789"/>
      <c r="BL364" s="1754"/>
      <c r="BM364" s="1755" t="s">
        <v>310</v>
      </c>
      <c r="BN364" s="1755"/>
      <c r="BO364" s="1580"/>
      <c r="BP364" s="1108"/>
      <c r="BQ364" s="1109"/>
      <c r="BR364" s="1614"/>
      <c r="BS364" s="1756"/>
      <c r="BT364" s="1757" t="s">
        <v>310</v>
      </c>
      <c r="BU364" s="1757"/>
      <c r="BV364" s="1758"/>
      <c r="BW364" s="2868"/>
      <c r="BX364" s="1759"/>
      <c r="BY364" s="1108"/>
      <c r="BZ364" s="1109"/>
      <c r="CA364" s="1614"/>
    </row>
    <row r="365" spans="1:79" ht="24" customHeight="1" x14ac:dyDescent="0.4">
      <c r="A365" s="249"/>
      <c r="B365" s="249"/>
      <c r="C365" s="584" t="s">
        <v>307</v>
      </c>
      <c r="D365" s="1962"/>
      <c r="E365" s="1963"/>
      <c r="F365" s="1964"/>
      <c r="G365" s="1962"/>
      <c r="H365" s="1963"/>
      <c r="I365" s="1965"/>
      <c r="J365" s="1962"/>
      <c r="K365" s="1964"/>
      <c r="L365" s="1965"/>
      <c r="M365" s="1952"/>
      <c r="N365" s="1955"/>
      <c r="O365" s="2807"/>
      <c r="P365" s="1962"/>
      <c r="Q365" s="1964"/>
      <c r="R365" s="1965"/>
      <c r="S365" s="2807"/>
      <c r="T365" s="1952"/>
      <c r="U365" s="1961"/>
      <c r="V365" s="1966"/>
      <c r="W365" s="1962"/>
      <c r="X365" s="1966"/>
      <c r="Y365" s="1952"/>
      <c r="Z365" s="1955"/>
      <c r="AA365" s="2807"/>
      <c r="AB365" s="1961"/>
      <c r="AC365" s="1961"/>
      <c r="AD365" s="1961"/>
      <c r="AE365" s="1967"/>
      <c r="AF365" s="1385"/>
      <c r="AG365" s="1968"/>
      <c r="AH365" s="1645"/>
      <c r="AI365" s="1160" t="s">
        <v>491</v>
      </c>
      <c r="AJ365" s="1256"/>
      <c r="AK365" s="1285"/>
      <c r="AL365" s="1879"/>
      <c r="AM365" s="1969"/>
      <c r="AN365" s="1273"/>
      <c r="AO365" s="1723" t="s">
        <v>492</v>
      </c>
      <c r="AP365" s="1438"/>
      <c r="AQ365" s="778"/>
      <c r="AR365" s="778"/>
      <c r="AS365" s="1640"/>
      <c r="AT365" s="1452"/>
      <c r="AU365" s="1665"/>
      <c r="AV365" s="1613"/>
      <c r="AW365" s="1894"/>
      <c r="AX365" s="1895"/>
      <c r="AY365" s="783"/>
      <c r="AZ365" s="1802"/>
      <c r="BA365" s="1802"/>
      <c r="BB365" s="1802"/>
      <c r="BC365" s="1958"/>
      <c r="BD365" s="970"/>
      <c r="BE365" s="1959"/>
      <c r="BF365" s="1794"/>
      <c r="BG365" s="1859" t="s">
        <v>351</v>
      </c>
      <c r="BH365" s="1883"/>
      <c r="BI365" s="1814"/>
      <c r="BJ365" s="1970"/>
      <c r="BK365" s="1818"/>
      <c r="BL365" s="1732"/>
      <c r="BM365" s="182"/>
      <c r="BN365" s="1783"/>
      <c r="BO365" s="1107"/>
      <c r="BP365" s="1161"/>
      <c r="BQ365" s="1107"/>
      <c r="BR365" s="1614"/>
      <c r="BS365" s="1735"/>
      <c r="BT365" s="183"/>
      <c r="BU365" s="1784"/>
      <c r="BV365" s="1738"/>
      <c r="BW365" s="2868"/>
      <c r="BX365" s="1785"/>
      <c r="BY365" s="1161"/>
      <c r="BZ365" s="1107"/>
      <c r="CA365" s="1614"/>
    </row>
    <row r="366" spans="1:79" ht="14.85" customHeight="1" x14ac:dyDescent="0.4">
      <c r="A366" s="249"/>
      <c r="B366" s="249"/>
      <c r="C366" s="584" t="s">
        <v>307</v>
      </c>
      <c r="D366" s="1962"/>
      <c r="E366" s="1963"/>
      <c r="F366" s="1964"/>
      <c r="G366" s="1962"/>
      <c r="H366" s="1963"/>
      <c r="I366" s="1965"/>
      <c r="J366" s="1962"/>
      <c r="K366" s="1964"/>
      <c r="L366" s="1965"/>
      <c r="M366" s="1952"/>
      <c r="N366" s="1955"/>
      <c r="O366" s="2807"/>
      <c r="P366" s="1962"/>
      <c r="Q366" s="1964"/>
      <c r="R366" s="1965"/>
      <c r="S366" s="2807"/>
      <c r="T366" s="1952"/>
      <c r="U366" s="1961"/>
      <c r="V366" s="1966"/>
      <c r="W366" s="1962"/>
      <c r="X366" s="1966"/>
      <c r="Y366" s="1952"/>
      <c r="Z366" s="1955"/>
      <c r="AA366" s="2807"/>
      <c r="AB366" s="1961"/>
      <c r="AC366" s="1961"/>
      <c r="AD366" s="1961"/>
      <c r="AE366" s="1967"/>
      <c r="AF366" s="1385"/>
      <c r="AG366" s="1968"/>
      <c r="AH366" s="1645"/>
      <c r="AI366" s="1160" t="s">
        <v>330</v>
      </c>
      <c r="AJ366" s="1256"/>
      <c r="AK366" s="1285"/>
      <c r="AL366" s="1879"/>
      <c r="AM366" s="1969"/>
      <c r="AN366" s="1273"/>
      <c r="AO366" s="1564"/>
      <c r="AP366" s="1438"/>
      <c r="AQ366" s="1799"/>
      <c r="AR366" s="778"/>
      <c r="AS366" s="1640"/>
      <c r="AT366" s="1452"/>
      <c r="AU366" s="1665"/>
      <c r="AV366" s="1613"/>
      <c r="AW366" s="1894"/>
      <c r="AX366" s="1895"/>
      <c r="AY366" s="783"/>
      <c r="AZ366" s="1802"/>
      <c r="BA366" s="1802"/>
      <c r="BB366" s="1802"/>
      <c r="BC366" s="1958"/>
      <c r="BD366" s="970"/>
      <c r="BE366" s="1959"/>
      <c r="BF366" s="1794"/>
      <c r="BG366" s="1896"/>
      <c r="BH366" s="1883"/>
      <c r="BI366" s="1556"/>
      <c r="BJ366" s="1870"/>
      <c r="BK366" s="1818"/>
      <c r="BL366" s="1732"/>
      <c r="BM366" s="182"/>
      <c r="BN366" s="1783"/>
      <c r="BO366" s="1107"/>
      <c r="BP366" s="1161"/>
      <c r="BQ366" s="1107"/>
      <c r="BR366" s="1614"/>
      <c r="BS366" s="1735"/>
      <c r="BT366" s="183"/>
      <c r="BU366" s="1784"/>
      <c r="BV366" s="1738"/>
      <c r="BW366" s="2868"/>
      <c r="BX366" s="1785"/>
      <c r="BY366" s="1161"/>
      <c r="BZ366" s="1107"/>
      <c r="CA366" s="1614"/>
    </row>
    <row r="367" spans="1:79" ht="13.5" customHeight="1" x14ac:dyDescent="0.4">
      <c r="A367" s="249"/>
      <c r="B367" s="249"/>
      <c r="C367" s="1971">
        <v>0.71180555555555403</v>
      </c>
      <c r="D367" s="1972"/>
      <c r="E367" s="1973"/>
      <c r="F367" s="1974"/>
      <c r="G367" s="1972"/>
      <c r="H367" s="1973"/>
      <c r="I367" s="1975"/>
      <c r="J367" s="1972"/>
      <c r="K367" s="1974"/>
      <c r="L367" s="1975"/>
      <c r="M367" s="1952"/>
      <c r="N367" s="1955"/>
      <c r="O367" s="2808"/>
      <c r="P367" s="1972"/>
      <c r="Q367" s="1974"/>
      <c r="R367" s="1975"/>
      <c r="S367" s="2807"/>
      <c r="T367" s="1952"/>
      <c r="U367" s="1976"/>
      <c r="V367" s="1977"/>
      <c r="W367" s="1972"/>
      <c r="X367" s="1977"/>
      <c r="Y367" s="1952"/>
      <c r="Z367" s="1955"/>
      <c r="AA367" s="2808"/>
      <c r="AB367" s="1976"/>
      <c r="AC367" s="1976"/>
      <c r="AD367" s="1976"/>
      <c r="AE367" s="1385"/>
      <c r="AF367" s="1385"/>
      <c r="AG367" s="1624"/>
      <c r="AH367" s="1160"/>
      <c r="AI367" s="1160"/>
      <c r="AJ367" s="1256"/>
      <c r="AK367" s="1285"/>
      <c r="AL367" s="1879"/>
      <c r="AM367" s="1969"/>
      <c r="AN367" s="1273"/>
      <c r="AO367" s="1564"/>
      <c r="AP367" s="1438"/>
      <c r="AQ367" s="1886"/>
      <c r="AR367" s="1886"/>
      <c r="AS367" s="1887"/>
      <c r="AT367" s="1392"/>
      <c r="AU367" s="1665"/>
      <c r="AV367" s="1460"/>
      <c r="AW367" s="684"/>
      <c r="AX367" s="1895"/>
      <c r="AY367" s="1857"/>
      <c r="AZ367" s="1802"/>
      <c r="BA367" s="1802"/>
      <c r="BB367" s="1802"/>
      <c r="BC367" s="687"/>
      <c r="BD367" s="970"/>
      <c r="BE367" s="985"/>
      <c r="BF367" s="1862"/>
      <c r="BG367" s="1401"/>
      <c r="BH367" s="1978"/>
      <c r="BI367" s="1542"/>
      <c r="BJ367" s="1874"/>
      <c r="BK367" s="1878"/>
      <c r="BL367" s="182"/>
      <c r="BM367" s="182"/>
      <c r="BN367" s="1783"/>
      <c r="BO367" s="1107"/>
      <c r="BP367" s="1107"/>
      <c r="BQ367" s="1107"/>
      <c r="BR367" s="1614"/>
      <c r="BS367" s="183"/>
      <c r="BT367" s="183"/>
      <c r="BU367" s="1784"/>
      <c r="BV367" s="184"/>
      <c r="BW367" s="2868"/>
      <c r="BX367" s="1785"/>
      <c r="BY367" s="1107"/>
      <c r="BZ367" s="1107"/>
      <c r="CA367" s="1614"/>
    </row>
    <row r="368" spans="1:79" ht="13.5" customHeight="1" x14ac:dyDescent="0.4">
      <c r="A368" s="249"/>
      <c r="B368" s="249"/>
      <c r="C368" s="1979">
        <v>0.71527777777777701</v>
      </c>
      <c r="D368" s="1980"/>
      <c r="E368" s="1981"/>
      <c r="F368" s="1982"/>
      <c r="G368" s="1980"/>
      <c r="H368" s="1981"/>
      <c r="I368" s="1983"/>
      <c r="J368" s="1980"/>
      <c r="K368" s="1982"/>
      <c r="L368" s="1983"/>
      <c r="M368" s="1980"/>
      <c r="N368" s="1972"/>
      <c r="O368" s="1980"/>
      <c r="P368" s="1980"/>
      <c r="Q368" s="1982"/>
      <c r="R368" s="1983"/>
      <c r="S368" s="1984"/>
      <c r="T368" s="1980"/>
      <c r="U368" s="1980"/>
      <c r="V368" s="1984"/>
      <c r="W368" s="1980"/>
      <c r="X368" s="1984"/>
      <c r="Y368" s="1980"/>
      <c r="Z368" s="1972"/>
      <c r="AA368" s="1980"/>
      <c r="AB368" s="1980"/>
      <c r="AC368" s="1980"/>
      <c r="AD368" s="1980"/>
      <c r="AE368" s="1385"/>
      <c r="AF368" s="1385"/>
      <c r="AG368" s="1903"/>
      <c r="AH368" s="1160"/>
      <c r="AI368" s="1160"/>
      <c r="AJ368" s="1904"/>
      <c r="AK368" s="1285"/>
      <c r="AL368" s="1879"/>
      <c r="AM368" s="1969"/>
      <c r="AN368" s="1273"/>
      <c r="AO368" s="1564"/>
      <c r="AP368" s="1438"/>
      <c r="AQ368" s="1886"/>
      <c r="AR368" s="1886"/>
      <c r="AS368" s="1887"/>
      <c r="AT368" s="1394"/>
      <c r="AU368" s="1665"/>
      <c r="AV368" s="1786"/>
      <c r="AW368" s="684"/>
      <c r="AX368" s="1895"/>
      <c r="AY368" s="1857"/>
      <c r="AZ368" s="1802"/>
      <c r="BA368" s="1802"/>
      <c r="BB368" s="1644"/>
      <c r="BC368" s="687"/>
      <c r="BD368" s="970"/>
      <c r="BE368" s="1985"/>
      <c r="BF368" s="1794"/>
      <c r="BG368" s="1794"/>
      <c r="BH368" s="1794"/>
      <c r="BI368" s="1556"/>
      <c r="BJ368" s="1870"/>
      <c r="BK368" s="1556"/>
      <c r="BL368" s="1732"/>
      <c r="BM368" s="182"/>
      <c r="BN368" s="1783"/>
      <c r="BO368" s="1107"/>
      <c r="BP368" s="1161"/>
      <c r="BQ368" s="1107"/>
      <c r="BR368" s="1614"/>
      <c r="BS368" s="1735"/>
      <c r="BT368" s="183"/>
      <c r="BU368" s="1784"/>
      <c r="BV368" s="1738"/>
      <c r="BW368" s="2868"/>
      <c r="BX368" s="1785"/>
      <c r="BY368" s="1161"/>
      <c r="BZ368" s="1107"/>
      <c r="CA368" s="1614"/>
    </row>
    <row r="369" spans="1:79" ht="24.6" customHeight="1" x14ac:dyDescent="0.4">
      <c r="A369" s="249"/>
      <c r="B369" s="249"/>
      <c r="C369" s="584">
        <v>0.718749999999999</v>
      </c>
      <c r="D369" s="1948"/>
      <c r="E369" s="1949"/>
      <c r="F369" s="1950"/>
      <c r="G369" s="1948"/>
      <c r="H369" s="1949"/>
      <c r="I369" s="1951"/>
      <c r="J369" s="1948"/>
      <c r="K369" s="1950"/>
      <c r="L369" s="1951"/>
      <c r="M369" s="2807"/>
      <c r="N369" s="1986"/>
      <c r="O369" s="2808"/>
      <c r="P369" s="1948"/>
      <c r="Q369" s="1950"/>
      <c r="R369" s="1951"/>
      <c r="S369" s="2807"/>
      <c r="T369" s="2807"/>
      <c r="U369" s="1953"/>
      <c r="V369" s="1954"/>
      <c r="W369" s="1948"/>
      <c r="X369" s="1954"/>
      <c r="Y369" s="2807"/>
      <c r="Z369" s="1986"/>
      <c r="AA369" s="2808"/>
      <c r="AB369" s="1953"/>
      <c r="AC369" s="1953"/>
      <c r="AD369" s="1953"/>
      <c r="AE369" s="1385"/>
      <c r="AF369" s="1385" t="s">
        <v>332</v>
      </c>
      <c r="AG369" s="1408"/>
      <c r="AH369" s="1159"/>
      <c r="AI369" s="1160" t="s">
        <v>331</v>
      </c>
      <c r="AJ369" s="1160"/>
      <c r="AK369" s="1285"/>
      <c r="AL369" s="1879"/>
      <c r="AM369" s="1969"/>
      <c r="AN369" s="1273"/>
      <c r="AO369" s="1273"/>
      <c r="AP369" s="1438"/>
      <c r="AQ369" s="1799"/>
      <c r="AR369" s="1886"/>
      <c r="AS369" s="1887"/>
      <c r="AT369" s="1452"/>
      <c r="AU369" s="1331" t="s">
        <v>493</v>
      </c>
      <c r="AV369" s="1394"/>
      <c r="AW369" s="1894"/>
      <c r="AX369" s="2636" t="s">
        <v>334</v>
      </c>
      <c r="AY369" s="783"/>
      <c r="AZ369" s="1643"/>
      <c r="BA369" s="1802"/>
      <c r="BB369" s="1802"/>
      <c r="BC369" s="1958"/>
      <c r="BD369" s="967" t="s">
        <v>379</v>
      </c>
      <c r="BE369" s="985"/>
      <c r="BF369" s="1794"/>
      <c r="BG369" s="1896" t="s">
        <v>379</v>
      </c>
      <c r="BH369" s="1883"/>
      <c r="BI369" s="1556"/>
      <c r="BJ369" s="1874"/>
      <c r="BK369" s="1789"/>
      <c r="BL369" s="1754"/>
      <c r="BM369" s="1755"/>
      <c r="BN369" s="1755"/>
      <c r="BO369" s="1107"/>
      <c r="BP369" s="1107"/>
      <c r="BQ369" s="1107"/>
      <c r="BR369" s="1614"/>
      <c r="BS369" s="1756"/>
      <c r="BT369" s="1757"/>
      <c r="BU369" s="1757"/>
      <c r="BV369" s="1758"/>
      <c r="BW369" s="2868"/>
      <c r="BX369" s="1759"/>
      <c r="BY369" s="1107"/>
      <c r="BZ369" s="1107"/>
      <c r="CA369" s="1614"/>
    </row>
    <row r="370" spans="1:79" ht="18.600000000000001" customHeight="1" x14ac:dyDescent="0.4">
      <c r="A370" s="249"/>
      <c r="B370" s="249"/>
      <c r="C370" s="584" t="s">
        <v>307</v>
      </c>
      <c r="D370" s="1948"/>
      <c r="E370" s="1949"/>
      <c r="F370" s="1950"/>
      <c r="G370" s="1948"/>
      <c r="H370" s="1949"/>
      <c r="I370" s="1951"/>
      <c r="J370" s="1948"/>
      <c r="K370" s="1950"/>
      <c r="L370" s="1951"/>
      <c r="M370" s="2807"/>
      <c r="N370" s="1986"/>
      <c r="O370" s="2808"/>
      <c r="P370" s="1948"/>
      <c r="Q370" s="1950"/>
      <c r="R370" s="1951"/>
      <c r="S370" s="2807"/>
      <c r="T370" s="2807"/>
      <c r="U370" s="1953"/>
      <c r="V370" s="1954"/>
      <c r="W370" s="1948"/>
      <c r="X370" s="1954"/>
      <c r="Y370" s="2807"/>
      <c r="Z370" s="1986"/>
      <c r="AA370" s="2808"/>
      <c r="AB370" s="1953"/>
      <c r="AC370" s="1953"/>
      <c r="AD370" s="1953"/>
      <c r="AE370" s="1157"/>
      <c r="AF370" s="1385" t="s">
        <v>334</v>
      </c>
      <c r="AG370" s="1157"/>
      <c r="AH370" s="1164"/>
      <c r="AI370" s="1139" t="s">
        <v>366</v>
      </c>
      <c r="AJ370" s="1165"/>
      <c r="AK370" s="1285"/>
      <c r="AL370" s="1879"/>
      <c r="AM370" s="1969"/>
      <c r="AN370" s="1273"/>
      <c r="AO370" s="1564"/>
      <c r="AP370" s="1438"/>
      <c r="AQ370" s="1799"/>
      <c r="AR370" s="1886"/>
      <c r="AS370" s="1887"/>
      <c r="AT370" s="1892"/>
      <c r="AU370" s="1665"/>
      <c r="AV370" s="1873"/>
      <c r="AW370" s="1894"/>
      <c r="AX370" s="2052"/>
      <c r="AY370" s="783"/>
      <c r="AZ370" s="1868"/>
      <c r="BA370" s="1868"/>
      <c r="BB370" s="1644"/>
      <c r="BC370" s="1958"/>
      <c r="BD370" s="970"/>
      <c r="BE370" s="985"/>
      <c r="BF370" s="1794"/>
      <c r="BG370" s="1859" t="s">
        <v>381</v>
      </c>
      <c r="BH370" s="1883"/>
      <c r="BI370" s="1814"/>
      <c r="BJ370" s="1970"/>
      <c r="BK370" s="1881"/>
      <c r="BL370" s="1754"/>
      <c r="BM370" s="1755"/>
      <c r="BN370" s="1783"/>
      <c r="BO370" s="1580"/>
      <c r="BP370" s="1108"/>
      <c r="BQ370" s="1109"/>
      <c r="BR370" s="1614"/>
      <c r="BS370" s="1756"/>
      <c r="BT370" s="1757"/>
      <c r="BU370" s="1784"/>
      <c r="BV370" s="1758"/>
      <c r="BW370" s="2868"/>
      <c r="BX370" s="1785"/>
      <c r="BY370" s="1108"/>
      <c r="BZ370" s="1109"/>
      <c r="CA370" s="1614"/>
    </row>
    <row r="371" spans="1:79" ht="20.25" customHeight="1" x14ac:dyDescent="0.4">
      <c r="A371" s="249"/>
      <c r="B371" s="249"/>
      <c r="C371" s="584" t="s">
        <v>307</v>
      </c>
      <c r="D371" s="1948"/>
      <c r="E371" s="1949"/>
      <c r="F371" s="1950"/>
      <c r="G371" s="1948"/>
      <c r="H371" s="1949"/>
      <c r="I371" s="1951"/>
      <c r="J371" s="1948"/>
      <c r="K371" s="1950"/>
      <c r="L371" s="1951"/>
      <c r="M371" s="2807"/>
      <c r="N371" s="1986"/>
      <c r="O371" s="2808"/>
      <c r="P371" s="1948"/>
      <c r="Q371" s="1950"/>
      <c r="R371" s="1951"/>
      <c r="S371" s="2807"/>
      <c r="T371" s="2807"/>
      <c r="U371" s="1953"/>
      <c r="V371" s="1954"/>
      <c r="W371" s="1948"/>
      <c r="X371" s="1954"/>
      <c r="Y371" s="2807"/>
      <c r="Z371" s="1986"/>
      <c r="AA371" s="2808"/>
      <c r="AB371" s="1987"/>
      <c r="AC371" s="1987"/>
      <c r="AD371" s="1987"/>
      <c r="AE371" s="1988"/>
      <c r="AF371" s="1385"/>
      <c r="AG371" s="1968"/>
      <c r="AH371" s="1989"/>
      <c r="AI371" s="1160" t="s">
        <v>491</v>
      </c>
      <c r="AJ371" s="1570"/>
      <c r="AK371" s="1285"/>
      <c r="AL371" s="1879"/>
      <c r="AM371" s="1969"/>
      <c r="AN371" s="1273"/>
      <c r="AO371" s="1564"/>
      <c r="AP371" s="1438"/>
      <c r="AQ371" s="1799"/>
      <c r="AR371" s="1886"/>
      <c r="AS371" s="1887"/>
      <c r="AT371" s="1892"/>
      <c r="AU371" s="1665"/>
      <c r="AV371" s="1873"/>
      <c r="AW371" s="1894"/>
      <c r="AX371" s="1895"/>
      <c r="AY371" s="783"/>
      <c r="AZ371" s="1868"/>
      <c r="BA371" s="1289"/>
      <c r="BB371" s="1644"/>
      <c r="BC371" s="1990"/>
      <c r="BD371" s="970"/>
      <c r="BE371" s="965"/>
      <c r="BF371" s="1794"/>
      <c r="BG371" s="1859" t="s">
        <v>351</v>
      </c>
      <c r="BH371" s="1883"/>
      <c r="BI371" s="1543"/>
      <c r="BJ371" s="1991"/>
      <c r="BK371" s="1636"/>
      <c r="BL371" s="1810"/>
      <c r="BM371" s="182"/>
      <c r="BN371" s="1993"/>
      <c r="BO371" s="1577"/>
      <c r="BP371" s="1578"/>
      <c r="BQ371" s="1107"/>
      <c r="BR371" s="1992"/>
      <c r="BS371" s="1811"/>
      <c r="BT371" s="183"/>
      <c r="BU371" s="1994"/>
      <c r="BV371" s="1812"/>
      <c r="BW371" s="2868"/>
      <c r="BX371" s="1995"/>
      <c r="BY371" s="1578"/>
      <c r="BZ371" s="1107"/>
      <c r="CA371" s="1992"/>
    </row>
    <row r="372" spans="1:79" ht="22.35" customHeight="1" x14ac:dyDescent="0.4">
      <c r="A372" s="249"/>
      <c r="B372" s="249"/>
      <c r="C372" s="584" t="s">
        <v>307</v>
      </c>
      <c r="D372" s="1948"/>
      <c r="E372" s="1949"/>
      <c r="F372" s="1950"/>
      <c r="G372" s="1948"/>
      <c r="H372" s="1949"/>
      <c r="I372" s="1951"/>
      <c r="J372" s="1948"/>
      <c r="K372" s="1950"/>
      <c r="L372" s="1951"/>
      <c r="M372" s="2807"/>
      <c r="N372" s="1986"/>
      <c r="O372" s="2808"/>
      <c r="P372" s="1948"/>
      <c r="Q372" s="1950"/>
      <c r="R372" s="1951"/>
      <c r="S372" s="2807"/>
      <c r="T372" s="2807"/>
      <c r="U372" s="1953"/>
      <c r="V372" s="1954"/>
      <c r="W372" s="1948"/>
      <c r="X372" s="1954"/>
      <c r="Y372" s="2807"/>
      <c r="Z372" s="1986"/>
      <c r="AA372" s="2808"/>
      <c r="AB372" s="1987"/>
      <c r="AC372" s="1987"/>
      <c r="AD372" s="1987"/>
      <c r="AE372" s="1988"/>
      <c r="AF372" s="1385"/>
      <c r="AG372" s="1968"/>
      <c r="AH372" s="793"/>
      <c r="AI372" s="793" t="s">
        <v>336</v>
      </c>
      <c r="AJ372" s="1430"/>
      <c r="AK372" s="1285"/>
      <c r="AL372" s="1879"/>
      <c r="AM372" s="1969"/>
      <c r="AN372" s="1273"/>
      <c r="AO372" s="1564"/>
      <c r="AP372" s="1438"/>
      <c r="AQ372" s="1799"/>
      <c r="AR372" s="1886"/>
      <c r="AS372" s="1887"/>
      <c r="AT372" s="1892"/>
      <c r="AU372" s="1665"/>
      <c r="AV372" s="1873"/>
      <c r="AW372" s="1894"/>
      <c r="AX372" s="1895"/>
      <c r="AY372" s="783"/>
      <c r="AZ372" s="1868"/>
      <c r="BA372" s="1868"/>
      <c r="BB372" s="1644"/>
      <c r="BC372" s="1990"/>
      <c r="BD372" s="970"/>
      <c r="BE372" s="965"/>
      <c r="BF372" s="1794"/>
      <c r="BG372" s="1896"/>
      <c r="BH372" s="1883"/>
      <c r="BI372" s="1996"/>
      <c r="BJ372" s="1997"/>
      <c r="BK372" s="1998"/>
      <c r="BL372" s="1810"/>
      <c r="BM372" s="182"/>
      <c r="BN372" s="1993"/>
      <c r="BO372" s="1577"/>
      <c r="BP372" s="1578"/>
      <c r="BQ372" s="1107"/>
      <c r="BR372" s="1992"/>
      <c r="BS372" s="1811"/>
      <c r="BT372" s="183"/>
      <c r="BU372" s="1994"/>
      <c r="BV372" s="1812"/>
      <c r="BW372" s="2868"/>
      <c r="BX372" s="1995"/>
      <c r="BY372" s="1578"/>
      <c r="BZ372" s="1107"/>
      <c r="CA372" s="1992"/>
    </row>
    <row r="373" spans="1:79" ht="29.25" customHeight="1" x14ac:dyDescent="0.4">
      <c r="A373" s="249"/>
      <c r="B373" s="249"/>
      <c r="C373" s="584">
        <v>0.72222222222222099</v>
      </c>
      <c r="D373" s="1948"/>
      <c r="E373" s="1949"/>
      <c r="F373" s="1950"/>
      <c r="G373" s="1948"/>
      <c r="H373" s="1949"/>
      <c r="I373" s="1951"/>
      <c r="J373" s="1948"/>
      <c r="K373" s="1950"/>
      <c r="L373" s="1951"/>
      <c r="M373" s="2807"/>
      <c r="N373" s="1986"/>
      <c r="O373" s="2808"/>
      <c r="P373" s="1948"/>
      <c r="Q373" s="1950"/>
      <c r="R373" s="1951"/>
      <c r="S373" s="2807"/>
      <c r="T373" s="2807"/>
      <c r="U373" s="2808"/>
      <c r="V373" s="1954"/>
      <c r="W373" s="1948"/>
      <c r="X373" s="1954"/>
      <c r="Y373" s="2807"/>
      <c r="Z373" s="1986"/>
      <c r="AA373" s="2808"/>
      <c r="AB373" s="1999"/>
      <c r="AC373" s="1999"/>
      <c r="AD373" s="1999"/>
      <c r="AE373" s="1408"/>
      <c r="AF373" s="1385"/>
      <c r="AG373" s="1968"/>
      <c r="AH373" s="2000"/>
      <c r="AI373" s="1160"/>
      <c r="AJ373" s="1570"/>
      <c r="AK373" s="1285"/>
      <c r="AL373" s="2553" t="s">
        <v>470</v>
      </c>
      <c r="AM373" s="1969"/>
      <c r="AN373" s="1273"/>
      <c r="AO373" s="1564"/>
      <c r="AP373" s="1438"/>
      <c r="AQ373" s="2001"/>
      <c r="AR373" s="1886"/>
      <c r="AS373" s="1887"/>
      <c r="AT373" s="1394"/>
      <c r="AU373" s="1665"/>
      <c r="AV373" s="2002"/>
      <c r="AW373" s="684"/>
      <c r="AX373" s="1895"/>
      <c r="AY373" s="783"/>
      <c r="AZ373" s="1868"/>
      <c r="BA373" s="1868"/>
      <c r="BB373" s="1644"/>
      <c r="BC373" s="664"/>
      <c r="BD373" s="970"/>
      <c r="BE373" s="965"/>
      <c r="BF373" s="1794"/>
      <c r="BG373" s="1896"/>
      <c r="BH373" s="1883"/>
      <c r="BI373" s="1543"/>
      <c r="BJ373" s="1870"/>
      <c r="BK373" s="1636"/>
      <c r="BL373" s="182"/>
      <c r="BM373" s="182"/>
      <c r="BN373" s="1734"/>
      <c r="BO373" s="1107"/>
      <c r="BP373" s="1107"/>
      <c r="BQ373" s="1107"/>
      <c r="BR373" s="1191"/>
      <c r="BS373" s="183"/>
      <c r="BT373" s="183"/>
      <c r="BU373" s="1737"/>
      <c r="BV373" s="184"/>
      <c r="BW373" s="2868"/>
      <c r="BX373" s="1740"/>
      <c r="BY373" s="1107"/>
      <c r="BZ373" s="1107"/>
      <c r="CA373" s="1191"/>
    </row>
    <row r="374" spans="1:79" ht="32.85" customHeight="1" x14ac:dyDescent="0.4">
      <c r="A374" s="249"/>
      <c r="B374" s="249"/>
      <c r="C374" s="584" t="s">
        <v>307</v>
      </c>
      <c r="D374" s="1948"/>
      <c r="E374" s="1949"/>
      <c r="F374" s="1950"/>
      <c r="G374" s="1948"/>
      <c r="H374" s="1949"/>
      <c r="I374" s="1951"/>
      <c r="J374" s="1948"/>
      <c r="K374" s="1950"/>
      <c r="L374" s="1951"/>
      <c r="M374" s="2807"/>
      <c r="N374" s="1986"/>
      <c r="O374" s="2808"/>
      <c r="P374" s="1948"/>
      <c r="Q374" s="1950"/>
      <c r="R374" s="1951"/>
      <c r="S374" s="2807"/>
      <c r="T374" s="2807"/>
      <c r="U374" s="2808"/>
      <c r="V374" s="1954"/>
      <c r="W374" s="1948"/>
      <c r="X374" s="1954"/>
      <c r="Y374" s="2807"/>
      <c r="Z374" s="1986"/>
      <c r="AA374" s="2808"/>
      <c r="AB374" s="1999"/>
      <c r="AC374" s="1999"/>
      <c r="AD374" s="1999"/>
      <c r="AE374" s="1408"/>
      <c r="AF374" s="1385"/>
      <c r="AG374" s="1968"/>
      <c r="AH374" s="2000"/>
      <c r="AI374" s="1160"/>
      <c r="AJ374" s="1570"/>
      <c r="AK374" s="1285"/>
      <c r="AL374" s="1879"/>
      <c r="AM374" s="1969"/>
      <c r="AN374" s="1273"/>
      <c r="AO374" s="1564"/>
      <c r="AP374" s="1438"/>
      <c r="AQ374" s="2001"/>
      <c r="AR374" s="1886"/>
      <c r="AS374" s="1887"/>
      <c r="AT374" s="1394"/>
      <c r="AU374" s="1665"/>
      <c r="AV374" s="2002"/>
      <c r="AW374" s="684"/>
      <c r="AX374" s="1895"/>
      <c r="AY374" s="783"/>
      <c r="AZ374" s="1868"/>
      <c r="BA374" s="1289"/>
      <c r="BB374" s="1644"/>
      <c r="BC374" s="664"/>
      <c r="BD374" s="970"/>
      <c r="BE374" s="965"/>
      <c r="BF374" s="1794"/>
      <c r="BG374" s="1859"/>
      <c r="BH374" s="1883"/>
      <c r="BI374" s="1556"/>
      <c r="BJ374" s="2003"/>
      <c r="BK374" s="1789"/>
      <c r="BL374" s="1754"/>
      <c r="BM374" s="1755"/>
      <c r="BN374" s="1993"/>
      <c r="BO374" s="1580"/>
      <c r="BP374" s="1108"/>
      <c r="BQ374" s="1109"/>
      <c r="BR374" s="1992"/>
      <c r="BS374" s="1756"/>
      <c r="BT374" s="1757"/>
      <c r="BU374" s="1994"/>
      <c r="BV374" s="1758"/>
      <c r="BW374" s="2868"/>
      <c r="BX374" s="1995"/>
      <c r="BY374" s="1108"/>
      <c r="BZ374" s="1109"/>
      <c r="CA374" s="1992"/>
    </row>
    <row r="375" spans="1:79" ht="13.5" customHeight="1" x14ac:dyDescent="0.4">
      <c r="A375" s="249"/>
      <c r="B375" s="249"/>
      <c r="C375" s="584">
        <v>0.72569444444444298</v>
      </c>
      <c r="D375" s="1948"/>
      <c r="E375" s="1949"/>
      <c r="F375" s="1950"/>
      <c r="G375" s="1948"/>
      <c r="H375" s="1949"/>
      <c r="I375" s="1951"/>
      <c r="J375" s="1948"/>
      <c r="K375" s="1950"/>
      <c r="L375" s="1951"/>
      <c r="M375" s="1948"/>
      <c r="N375" s="1962"/>
      <c r="O375" s="1948"/>
      <c r="P375" s="1948"/>
      <c r="Q375" s="1950"/>
      <c r="R375" s="1951"/>
      <c r="S375" s="1954"/>
      <c r="T375" s="1948"/>
      <c r="U375" s="1948"/>
      <c r="V375" s="1954"/>
      <c r="W375" s="1948"/>
      <c r="X375" s="1954"/>
      <c r="Y375" s="1948"/>
      <c r="Z375" s="1962"/>
      <c r="AA375" s="1948"/>
      <c r="AB375" s="1962"/>
      <c r="AC375" s="1962"/>
      <c r="AD375" s="1962"/>
      <c r="AE375" s="1408"/>
      <c r="AF375" s="1385"/>
      <c r="AG375" s="1968"/>
      <c r="AH375" s="2000"/>
      <c r="AI375" s="1160"/>
      <c r="AJ375" s="1570"/>
      <c r="AK375" s="1285"/>
      <c r="AL375" s="1879"/>
      <c r="AM375" s="1969"/>
      <c r="AN375" s="1273"/>
      <c r="AO375" s="1564"/>
      <c r="AP375" s="1438"/>
      <c r="AQ375" s="1886"/>
      <c r="AR375" s="2004"/>
      <c r="AS375" s="1887"/>
      <c r="AT375" s="1394"/>
      <c r="AU375" s="1665"/>
      <c r="AV375" s="2002"/>
      <c r="AW375" s="684"/>
      <c r="AX375" s="1895"/>
      <c r="AY375" s="783"/>
      <c r="AZ375" s="1802"/>
      <c r="BA375" s="1802"/>
      <c r="BB375" s="1644"/>
      <c r="BC375" s="664"/>
      <c r="BD375" s="970"/>
      <c r="BE375" s="965"/>
      <c r="BF375" s="1794"/>
      <c r="BG375" s="1859"/>
      <c r="BH375" s="1883"/>
      <c r="BI375" s="1542"/>
      <c r="BJ375" s="1870"/>
      <c r="BK375" s="1881"/>
      <c r="BL375" s="1754"/>
      <c r="BM375" s="1755"/>
      <c r="BN375" s="1993"/>
      <c r="BO375" s="1580"/>
      <c r="BP375" s="1108"/>
      <c r="BQ375" s="1109"/>
      <c r="BR375" s="1992"/>
      <c r="BS375" s="1756"/>
      <c r="BT375" s="1757"/>
      <c r="BU375" s="1994"/>
      <c r="BV375" s="1758"/>
      <c r="BW375" s="2868"/>
      <c r="BX375" s="1995"/>
      <c r="BY375" s="1108"/>
      <c r="BZ375" s="1109"/>
      <c r="CA375" s="1992"/>
    </row>
    <row r="376" spans="1:79" ht="26.1" customHeight="1" x14ac:dyDescent="0.4">
      <c r="A376" s="249"/>
      <c r="B376" s="249"/>
      <c r="C376" s="584">
        <v>0.72916666666666496</v>
      </c>
      <c r="D376" s="1948"/>
      <c r="E376" s="1949"/>
      <c r="F376" s="1950"/>
      <c r="G376" s="1948"/>
      <c r="H376" s="1949"/>
      <c r="I376" s="1951"/>
      <c r="J376" s="1948"/>
      <c r="K376" s="1950"/>
      <c r="L376" s="1951"/>
      <c r="M376" s="1952"/>
      <c r="N376" s="1955"/>
      <c r="O376" s="2807"/>
      <c r="P376" s="1948"/>
      <c r="Q376" s="1950"/>
      <c r="R376" s="1951"/>
      <c r="S376" s="2807"/>
      <c r="T376" s="1952"/>
      <c r="U376" s="1953"/>
      <c r="V376" s="1954"/>
      <c r="W376" s="1948"/>
      <c r="X376" s="1954"/>
      <c r="Y376" s="1952"/>
      <c r="Z376" s="1955"/>
      <c r="AA376" s="2807"/>
      <c r="AB376" s="1953"/>
      <c r="AC376" s="1953"/>
      <c r="AD376" s="1953"/>
      <c r="AE376" s="1385"/>
      <c r="AF376" s="1385" t="s">
        <v>332</v>
      </c>
      <c r="AG376" s="1408"/>
      <c r="AH376" s="1159"/>
      <c r="AI376" s="1160" t="s">
        <v>331</v>
      </c>
      <c r="AJ376" s="1160"/>
      <c r="AK376" s="1285"/>
      <c r="AL376" s="1331" t="s">
        <v>494</v>
      </c>
      <c r="AM376" s="1969"/>
      <c r="AN376" s="1273"/>
      <c r="AO376" s="1564"/>
      <c r="AP376" s="1438"/>
      <c r="AQ376" s="778"/>
      <c r="AR376" s="1331" t="s">
        <v>495</v>
      </c>
      <c r="AS376" s="1886"/>
      <c r="AT376" s="1892"/>
      <c r="AU376" s="1331" t="s">
        <v>496</v>
      </c>
      <c r="AV376" s="1460"/>
      <c r="AW376" s="1538"/>
      <c r="AX376" s="2637" t="s">
        <v>497</v>
      </c>
      <c r="AY376" s="1395"/>
      <c r="AZ376" s="1643"/>
      <c r="BA376" s="1331" t="s">
        <v>498</v>
      </c>
      <c r="BB376" s="1802"/>
      <c r="BC376" s="1958"/>
      <c r="BD376" s="967" t="s">
        <v>379</v>
      </c>
      <c r="BE376" s="687"/>
      <c r="BF376" s="1883"/>
      <c r="BG376" s="2846" t="s">
        <v>341</v>
      </c>
      <c r="BH376" s="1883"/>
      <c r="BI376" s="1556"/>
      <c r="BJ376" s="1870" t="s">
        <v>371</v>
      </c>
      <c r="BK376" s="1789"/>
      <c r="BL376" s="1754"/>
      <c r="BM376" s="2869" t="s">
        <v>499</v>
      </c>
      <c r="BN376" s="1783"/>
      <c r="BO376" s="1580"/>
      <c r="BP376" s="1108"/>
      <c r="BQ376" s="1109"/>
      <c r="BR376" s="1614"/>
      <c r="BS376" s="1756"/>
      <c r="BT376" s="1757"/>
      <c r="BU376" s="1784"/>
      <c r="BV376" s="1758"/>
      <c r="BW376" s="2868"/>
      <c r="BX376" s="1785"/>
      <c r="BY376" s="1108"/>
      <c r="BZ376" s="1109"/>
      <c r="CA376" s="1614"/>
    </row>
    <row r="377" spans="1:79" ht="24.6" customHeight="1" x14ac:dyDescent="0.4">
      <c r="A377" s="249"/>
      <c r="B377" s="249"/>
      <c r="C377" s="584" t="s">
        <v>307</v>
      </c>
      <c r="D377" s="1948"/>
      <c r="E377" s="1949"/>
      <c r="F377" s="1950"/>
      <c r="G377" s="1948"/>
      <c r="H377" s="1949"/>
      <c r="I377" s="1951"/>
      <c r="J377" s="1948"/>
      <c r="K377" s="1950"/>
      <c r="L377" s="1951"/>
      <c r="M377" s="1948"/>
      <c r="N377" s="1962"/>
      <c r="O377" s="1948"/>
      <c r="P377" s="1948"/>
      <c r="Q377" s="1950"/>
      <c r="R377" s="1951"/>
      <c r="S377" s="1954"/>
      <c r="T377" s="1948"/>
      <c r="U377" s="1948"/>
      <c r="V377" s="1954"/>
      <c r="W377" s="1948"/>
      <c r="X377" s="1954"/>
      <c r="Y377" s="1948"/>
      <c r="Z377" s="1962"/>
      <c r="AA377" s="1948"/>
      <c r="AB377" s="1948"/>
      <c r="AC377" s="1948"/>
      <c r="AD377" s="1948"/>
      <c r="AE377" s="1157"/>
      <c r="AF377" s="1385" t="s">
        <v>334</v>
      </c>
      <c r="AG377" s="1157"/>
      <c r="AH377" s="1164"/>
      <c r="AI377" s="1139" t="s">
        <v>366</v>
      </c>
      <c r="AJ377" s="1165"/>
      <c r="AK377" s="1285"/>
      <c r="AL377" s="1879"/>
      <c r="AM377" s="1969"/>
      <c r="AN377" s="1273"/>
      <c r="AO377" s="1564"/>
      <c r="AP377" s="1438"/>
      <c r="AQ377" s="1799"/>
      <c r="AR377" s="1723" t="s">
        <v>500</v>
      </c>
      <c r="AS377" s="1887"/>
      <c r="AT377" s="1892"/>
      <c r="AU377" s="1331" t="s">
        <v>501</v>
      </c>
      <c r="AV377" s="1460"/>
      <c r="AW377" s="1781"/>
      <c r="AX377" s="1331" t="s">
        <v>502</v>
      </c>
      <c r="AY377" s="783"/>
      <c r="AZ377" s="1553"/>
      <c r="BA377" s="1331" t="s">
        <v>503</v>
      </c>
      <c r="BB377" s="1802"/>
      <c r="BC377" s="1958"/>
      <c r="BD377" s="970"/>
      <c r="BE377" s="965"/>
      <c r="BF377" s="1883"/>
      <c r="BG377" s="2846"/>
      <c r="BH377" s="1883"/>
      <c r="BI377" s="1556"/>
      <c r="BJ377" s="2003"/>
      <c r="BK377" s="1778"/>
      <c r="BL377" s="2007"/>
      <c r="BM377" s="2869"/>
      <c r="BN377" s="1783"/>
      <c r="BO377" s="1577"/>
      <c r="BP377" s="1577"/>
      <c r="BQ377" s="1107"/>
      <c r="BR377" s="1614"/>
      <c r="BS377" s="2008"/>
      <c r="BT377" s="183"/>
      <c r="BU377" s="1784"/>
      <c r="BV377" s="2009"/>
      <c r="BW377" s="2868"/>
      <c r="BX377" s="1785"/>
      <c r="BY377" s="1577"/>
      <c r="BZ377" s="1107"/>
      <c r="CA377" s="1614"/>
    </row>
    <row r="378" spans="1:79" ht="22.5" customHeight="1" x14ac:dyDescent="0.4">
      <c r="A378" s="249"/>
      <c r="B378" s="249"/>
      <c r="C378" s="584" t="s">
        <v>307</v>
      </c>
      <c r="D378" s="1948"/>
      <c r="E378" s="1949"/>
      <c r="F378" s="1950"/>
      <c r="G378" s="1948"/>
      <c r="H378" s="1949"/>
      <c r="I378" s="1951"/>
      <c r="J378" s="1948"/>
      <c r="K378" s="1950"/>
      <c r="L378" s="1951"/>
      <c r="M378" s="1948"/>
      <c r="N378" s="1962"/>
      <c r="O378" s="1948"/>
      <c r="P378" s="1948"/>
      <c r="Q378" s="1950"/>
      <c r="R378" s="1951"/>
      <c r="S378" s="1954"/>
      <c r="T378" s="1948"/>
      <c r="U378" s="1948"/>
      <c r="V378" s="1954"/>
      <c r="W378" s="1948"/>
      <c r="X378" s="1954"/>
      <c r="Y378" s="1948"/>
      <c r="Z378" s="1962"/>
      <c r="AA378" s="1948"/>
      <c r="AB378" s="1962"/>
      <c r="AC378" s="1962"/>
      <c r="AD378" s="1962"/>
      <c r="AE378" s="1408"/>
      <c r="AF378" s="1385"/>
      <c r="AG378" s="1968"/>
      <c r="AH378" s="1645"/>
      <c r="AI378" s="1160" t="s">
        <v>330</v>
      </c>
      <c r="AJ378" s="1256"/>
      <c r="AK378" s="1285"/>
      <c r="AL378" s="1879"/>
      <c r="AM378" s="1969"/>
      <c r="AN378" s="1273"/>
      <c r="AO378" s="1564"/>
      <c r="AP378" s="1438"/>
      <c r="AQ378" s="1799"/>
      <c r="AR378" s="1886"/>
      <c r="AS378" s="1887"/>
      <c r="AT378" s="1892"/>
      <c r="AU378" s="1665"/>
      <c r="AV378" s="1873"/>
      <c r="AW378" s="1781"/>
      <c r="AX378" s="2155" t="s">
        <v>329</v>
      </c>
      <c r="AY378" s="783"/>
      <c r="AZ378" s="1553"/>
      <c r="BA378" s="2006" t="s">
        <v>504</v>
      </c>
      <c r="BB378" s="1802"/>
      <c r="BC378" s="664"/>
      <c r="BD378" s="970"/>
      <c r="BE378" s="965"/>
      <c r="BF378" s="1883"/>
      <c r="BG378" s="2846"/>
      <c r="BH378" s="1883"/>
      <c r="BI378" s="2010"/>
      <c r="BJ378" s="1870" t="s">
        <v>505</v>
      </c>
      <c r="BK378" s="1789"/>
      <c r="BL378" s="182"/>
      <c r="BM378" s="2869"/>
      <c r="BN378" s="1993"/>
      <c r="BO378" s="1107"/>
      <c r="BP378" s="1107"/>
      <c r="BQ378" s="1107"/>
      <c r="BR378" s="1992"/>
      <c r="BS378" s="183"/>
      <c r="BT378" s="183"/>
      <c r="BU378" s="1994"/>
      <c r="BV378" s="184"/>
      <c r="BW378" s="2868"/>
      <c r="BX378" s="1995"/>
      <c r="BY378" s="1107"/>
      <c r="BZ378" s="1107"/>
      <c r="CA378" s="1992"/>
    </row>
    <row r="379" spans="1:79" ht="13.5" customHeight="1" x14ac:dyDescent="0.4">
      <c r="A379" s="249"/>
      <c r="B379" s="249"/>
      <c r="C379" s="584" t="s">
        <v>307</v>
      </c>
      <c r="D379" s="1948"/>
      <c r="E379" s="1949"/>
      <c r="F379" s="1950"/>
      <c r="G379" s="1948"/>
      <c r="H379" s="1949"/>
      <c r="I379" s="1951"/>
      <c r="J379" s="1948"/>
      <c r="K379" s="1950"/>
      <c r="L379" s="1951"/>
      <c r="M379" s="1948"/>
      <c r="N379" s="1962"/>
      <c r="O379" s="1948"/>
      <c r="P379" s="1948"/>
      <c r="Q379" s="1950"/>
      <c r="R379" s="1951"/>
      <c r="S379" s="1954"/>
      <c r="T379" s="1948"/>
      <c r="U379" s="1948"/>
      <c r="V379" s="1954"/>
      <c r="W379" s="1948"/>
      <c r="X379" s="1954"/>
      <c r="Y379" s="1948"/>
      <c r="Z379" s="1962"/>
      <c r="AA379" s="1948"/>
      <c r="AB379" s="1962"/>
      <c r="AC379" s="1962"/>
      <c r="AD379" s="1962"/>
      <c r="AE379" s="1408"/>
      <c r="AF379" s="1385"/>
      <c r="AG379" s="1968"/>
      <c r="AH379" s="1645"/>
      <c r="AI379" s="1159"/>
      <c r="AJ379" s="1256"/>
      <c r="AK379" s="1285"/>
      <c r="AL379" s="1879"/>
      <c r="AM379" s="1969"/>
      <c r="AN379" s="1273"/>
      <c r="AO379" s="1564"/>
      <c r="AP379" s="1438"/>
      <c r="AQ379" s="1799"/>
      <c r="AR379" s="1886"/>
      <c r="AS379" s="1887"/>
      <c r="AT379" s="1892"/>
      <c r="AU379" s="1665"/>
      <c r="AV379" s="1873"/>
      <c r="AW379" s="1781"/>
      <c r="AX379" s="1895"/>
      <c r="AY379" s="783"/>
      <c r="AZ379" s="1553"/>
      <c r="BA379" s="1280"/>
      <c r="BB379" s="1802"/>
      <c r="BC379" s="664"/>
      <c r="BD379" s="970"/>
      <c r="BE379" s="965"/>
      <c r="BF379" s="1883"/>
      <c r="BG379" s="2846"/>
      <c r="BH379" s="1883"/>
      <c r="BI379" s="2010"/>
      <c r="BJ379" s="1877" t="s">
        <v>506</v>
      </c>
      <c r="BK379" s="1789"/>
      <c r="BL379" s="1810"/>
      <c r="BM379" s="2869"/>
      <c r="BN379" s="1993"/>
      <c r="BO379" s="1577"/>
      <c r="BP379" s="1578"/>
      <c r="BQ379" s="1107"/>
      <c r="BR379" s="1992"/>
      <c r="BS379" s="1811"/>
      <c r="BT379" s="183"/>
      <c r="BU379" s="1994"/>
      <c r="BV379" s="1812"/>
      <c r="BW379" s="2868"/>
      <c r="BX379" s="1995"/>
      <c r="BY379" s="1578"/>
      <c r="BZ379" s="1107"/>
      <c r="CA379" s="1992"/>
    </row>
    <row r="380" spans="1:79" ht="13.5" customHeight="1" x14ac:dyDescent="0.4">
      <c r="A380" s="249"/>
      <c r="B380" s="249"/>
      <c r="C380" s="584" t="s">
        <v>307</v>
      </c>
      <c r="D380" s="1948"/>
      <c r="E380" s="1949"/>
      <c r="F380" s="1950"/>
      <c r="G380" s="1948"/>
      <c r="H380" s="1949"/>
      <c r="I380" s="1951"/>
      <c r="J380" s="1948"/>
      <c r="K380" s="1950"/>
      <c r="L380" s="1951"/>
      <c r="M380" s="1948"/>
      <c r="N380" s="1962"/>
      <c r="O380" s="1948"/>
      <c r="P380" s="1948"/>
      <c r="Q380" s="1950"/>
      <c r="R380" s="1951"/>
      <c r="S380" s="1954"/>
      <c r="T380" s="1948"/>
      <c r="U380" s="1948"/>
      <c r="V380" s="1954"/>
      <c r="W380" s="1948"/>
      <c r="X380" s="1954"/>
      <c r="Y380" s="1948"/>
      <c r="Z380" s="1962"/>
      <c r="AA380" s="1948"/>
      <c r="AB380" s="1962"/>
      <c r="AC380" s="1962"/>
      <c r="AD380" s="1962"/>
      <c r="AE380" s="1408"/>
      <c r="AF380" s="1385"/>
      <c r="AG380" s="1968"/>
      <c r="AH380" s="1645"/>
      <c r="AI380" s="1160"/>
      <c r="AJ380" s="1256"/>
      <c r="AK380" s="1285"/>
      <c r="AL380" s="1879"/>
      <c r="AM380" s="1969"/>
      <c r="AN380" s="1273"/>
      <c r="AO380" s="1564"/>
      <c r="AP380" s="1438"/>
      <c r="AQ380" s="1799"/>
      <c r="AR380" s="1886"/>
      <c r="AS380" s="1887"/>
      <c r="AT380" s="1892"/>
      <c r="AU380" s="1665"/>
      <c r="AV380" s="1873"/>
      <c r="AW380" s="1781"/>
      <c r="AX380" s="1895"/>
      <c r="AY380" s="783"/>
      <c r="AZ380" s="1553"/>
      <c r="BA380" s="1280"/>
      <c r="BB380" s="1802"/>
      <c r="BC380" s="664"/>
      <c r="BD380" s="970"/>
      <c r="BE380" s="965"/>
      <c r="BF380" s="1883"/>
      <c r="BG380" s="2846"/>
      <c r="BH380" s="1883"/>
      <c r="BI380" s="2010"/>
      <c r="BJ380" s="1877" t="s">
        <v>351</v>
      </c>
      <c r="BK380" s="1789"/>
      <c r="BL380" s="1810"/>
      <c r="BM380" s="2869"/>
      <c r="BN380" s="1993"/>
      <c r="BO380" s="1577"/>
      <c r="BP380" s="1578"/>
      <c r="BQ380" s="1107"/>
      <c r="BR380" s="1992"/>
      <c r="BS380" s="1811"/>
      <c r="BT380" s="183"/>
      <c r="BU380" s="1994"/>
      <c r="BV380" s="1812"/>
      <c r="BW380" s="2868"/>
      <c r="BX380" s="1995"/>
      <c r="BY380" s="1578"/>
      <c r="BZ380" s="1107"/>
      <c r="CA380" s="1992"/>
    </row>
    <row r="381" spans="1:79" ht="13.5" customHeight="1" x14ac:dyDescent="0.4">
      <c r="A381" s="249"/>
      <c r="B381" s="249"/>
      <c r="C381" s="584">
        <v>0.73263888888888795</v>
      </c>
      <c r="D381" s="1948"/>
      <c r="E381" s="1949"/>
      <c r="F381" s="1950"/>
      <c r="G381" s="1948"/>
      <c r="H381" s="1949"/>
      <c r="I381" s="1951"/>
      <c r="J381" s="1948"/>
      <c r="K381" s="1950"/>
      <c r="L381" s="1951"/>
      <c r="M381" s="1948"/>
      <c r="N381" s="1962"/>
      <c r="O381" s="1948"/>
      <c r="P381" s="1948"/>
      <c r="Q381" s="1950"/>
      <c r="R381" s="1951"/>
      <c r="S381" s="1954"/>
      <c r="T381" s="1948"/>
      <c r="U381" s="1948"/>
      <c r="V381" s="1954"/>
      <c r="W381" s="1948"/>
      <c r="X381" s="1954"/>
      <c r="Y381" s="1948"/>
      <c r="Z381" s="1962"/>
      <c r="AA381" s="1948"/>
      <c r="AB381" s="1948"/>
      <c r="AC381" s="1948"/>
      <c r="AD381" s="1948"/>
      <c r="AE381" s="1385"/>
      <c r="AF381" s="1385"/>
      <c r="AG381" s="1385"/>
      <c r="AH381" s="1160"/>
      <c r="AI381" s="1160"/>
      <c r="AJ381" s="1160"/>
      <c r="AK381" s="1285"/>
      <c r="AL381" s="1879"/>
      <c r="AM381" s="1969"/>
      <c r="AN381" s="1273"/>
      <c r="AO381" s="1564"/>
      <c r="AP381" s="1438"/>
      <c r="AQ381" s="778"/>
      <c r="AR381" s="778"/>
      <c r="AS381" s="1207"/>
      <c r="AT381" s="1892"/>
      <c r="AU381" s="1665"/>
      <c r="AV381" s="1873"/>
      <c r="AW381" s="684"/>
      <c r="AX381" s="1895"/>
      <c r="AY381" s="783"/>
      <c r="AZ381" s="1280"/>
      <c r="BA381" s="1280"/>
      <c r="BB381" s="1644"/>
      <c r="BC381" s="687"/>
      <c r="BD381" s="970"/>
      <c r="BE381" s="687"/>
      <c r="BF381" s="1883"/>
      <c r="BG381" s="2846"/>
      <c r="BH381" s="1883"/>
      <c r="BI381" s="1556"/>
      <c r="BJ381" s="2003"/>
      <c r="BK381" s="1789"/>
      <c r="BL381" s="2007"/>
      <c r="BM381" s="2869"/>
      <c r="BN381" s="1993"/>
      <c r="BO381" s="1577"/>
      <c r="BP381" s="1577"/>
      <c r="BQ381" s="1107"/>
      <c r="BR381" s="1992"/>
      <c r="BS381" s="2008"/>
      <c r="BT381" s="183"/>
      <c r="BU381" s="1994"/>
      <c r="BV381" s="2009"/>
      <c r="BW381" s="2868"/>
      <c r="BX381" s="1995"/>
      <c r="BY381" s="1577"/>
      <c r="BZ381" s="1107"/>
      <c r="CA381" s="1992"/>
    </row>
    <row r="382" spans="1:79" ht="13.5" customHeight="1" x14ac:dyDescent="0.4">
      <c r="A382" s="249"/>
      <c r="B382" s="249"/>
      <c r="C382" s="584" t="s">
        <v>307</v>
      </c>
      <c r="D382" s="1948"/>
      <c r="E382" s="1949"/>
      <c r="F382" s="1950"/>
      <c r="G382" s="1948"/>
      <c r="H382" s="1949"/>
      <c r="I382" s="1951"/>
      <c r="J382" s="1948"/>
      <c r="K382" s="1950"/>
      <c r="L382" s="1951"/>
      <c r="M382" s="1948"/>
      <c r="N382" s="1962"/>
      <c r="O382" s="1948"/>
      <c r="P382" s="1948"/>
      <c r="Q382" s="1950"/>
      <c r="R382" s="1951"/>
      <c r="S382" s="1954"/>
      <c r="T382" s="1948"/>
      <c r="U382" s="1948"/>
      <c r="V382" s="1954"/>
      <c r="W382" s="1948"/>
      <c r="X382" s="1954"/>
      <c r="Y382" s="1948"/>
      <c r="Z382" s="1962"/>
      <c r="AA382" s="1948"/>
      <c r="AB382" s="1948"/>
      <c r="AC382" s="1948"/>
      <c r="AD382" s="1948"/>
      <c r="AE382" s="1385"/>
      <c r="AF382" s="1385"/>
      <c r="AG382" s="1385"/>
      <c r="AH382" s="1160"/>
      <c r="AI382" s="1160"/>
      <c r="AJ382" s="1160"/>
      <c r="AK382" s="1285"/>
      <c r="AL382" s="1879"/>
      <c r="AM382" s="1969"/>
      <c r="AN382" s="1273"/>
      <c r="AO382" s="1564"/>
      <c r="AP382" s="1438"/>
      <c r="AQ382" s="778"/>
      <c r="AR382" s="778"/>
      <c r="AS382" s="1207"/>
      <c r="AT382" s="1892"/>
      <c r="AU382" s="1665"/>
      <c r="AV382" s="1873"/>
      <c r="AW382" s="684"/>
      <c r="AX382" s="1895"/>
      <c r="AY382" s="783"/>
      <c r="AZ382" s="1280"/>
      <c r="BA382" s="1280"/>
      <c r="BB382" s="1644"/>
      <c r="BC382" s="687"/>
      <c r="BD382" s="970"/>
      <c r="BE382" s="687"/>
      <c r="BF382" s="1883"/>
      <c r="BG382" s="2846"/>
      <c r="BH382" s="1883"/>
      <c r="BI382" s="1556"/>
      <c r="BJ382" s="2003"/>
      <c r="BK382" s="1789"/>
      <c r="BL382" s="2007"/>
      <c r="BM382" s="2869"/>
      <c r="BN382" s="1993"/>
      <c r="BO382" s="1577"/>
      <c r="BP382" s="1577"/>
      <c r="BQ382" s="1107"/>
      <c r="BR382" s="1992"/>
      <c r="BS382" s="2008"/>
      <c r="BT382" s="183"/>
      <c r="BU382" s="1994"/>
      <c r="BV382" s="2009"/>
      <c r="BW382" s="2868"/>
      <c r="BX382" s="1995"/>
      <c r="BY382" s="1577"/>
      <c r="BZ382" s="1107"/>
      <c r="CA382" s="1992"/>
    </row>
    <row r="383" spans="1:79" ht="14.25" customHeight="1" x14ac:dyDescent="0.4">
      <c r="A383" s="249"/>
      <c r="B383" s="249"/>
      <c r="C383" s="584">
        <v>0.73611111111111005</v>
      </c>
      <c r="D383" s="1948"/>
      <c r="E383" s="1949"/>
      <c r="F383" s="1950"/>
      <c r="G383" s="1948"/>
      <c r="H383" s="1949"/>
      <c r="I383" s="1951"/>
      <c r="J383" s="1948"/>
      <c r="K383" s="1950"/>
      <c r="L383" s="1951"/>
      <c r="M383" s="1948"/>
      <c r="N383" s="1962"/>
      <c r="O383" s="1948"/>
      <c r="P383" s="1948"/>
      <c r="Q383" s="1950"/>
      <c r="R383" s="1951"/>
      <c r="S383" s="1954"/>
      <c r="T383" s="1948"/>
      <c r="U383" s="1948"/>
      <c r="V383" s="1954"/>
      <c r="W383" s="1948"/>
      <c r="X383" s="1954"/>
      <c r="Y383" s="1948"/>
      <c r="Z383" s="1962"/>
      <c r="AA383" s="1948"/>
      <c r="AB383" s="1948"/>
      <c r="AC383" s="1948"/>
      <c r="AD383" s="1948"/>
      <c r="AE383" s="1385"/>
      <c r="AF383" s="1385"/>
      <c r="AG383" s="1385"/>
      <c r="AH383" s="1160"/>
      <c r="AI383" s="1160"/>
      <c r="AJ383" s="1256"/>
      <c r="AK383" s="1285"/>
      <c r="AL383" s="1879"/>
      <c r="AM383" s="1969"/>
      <c r="AN383" s="1273"/>
      <c r="AO383" s="1564"/>
      <c r="AP383" s="1438"/>
      <c r="AQ383" s="778"/>
      <c r="AR383" s="1813"/>
      <c r="AS383" s="1640"/>
      <c r="AT383" s="1892"/>
      <c r="AU383" s="1665"/>
      <c r="AV383" s="1873"/>
      <c r="AW383" s="684"/>
      <c r="AX383" s="1895"/>
      <c r="AY383" s="738"/>
      <c r="AZ383" s="1280"/>
      <c r="BA383" s="1280"/>
      <c r="BB383" s="1644"/>
      <c r="BC383" s="687"/>
      <c r="BD383" s="970"/>
      <c r="BE383" s="687"/>
      <c r="BF383" s="1883"/>
      <c r="BG383" s="2846"/>
      <c r="BH383" s="1883"/>
      <c r="BI383" s="1556"/>
      <c r="BJ383" s="2003"/>
      <c r="BK383" s="1881"/>
      <c r="BL383" s="1754"/>
      <c r="BM383" s="2869"/>
      <c r="BN383" s="1783"/>
      <c r="BO383" s="1580"/>
      <c r="BP383" s="1108"/>
      <c r="BQ383" s="1109"/>
      <c r="BR383" s="1614"/>
      <c r="BS383" s="1756"/>
      <c r="BT383" s="1757"/>
      <c r="BU383" s="1784"/>
      <c r="BV383" s="1758"/>
      <c r="BW383" s="2868"/>
      <c r="BX383" s="1785"/>
      <c r="BY383" s="1108"/>
      <c r="BZ383" s="1109"/>
      <c r="CA383" s="1614"/>
    </row>
    <row r="384" spans="1:79" ht="26.1" customHeight="1" x14ac:dyDescent="0.4">
      <c r="A384" s="249"/>
      <c r="B384" s="249"/>
      <c r="C384" s="584">
        <v>0.73958333333333204</v>
      </c>
      <c r="D384" s="1948"/>
      <c r="E384" s="1949"/>
      <c r="F384" s="1950"/>
      <c r="G384" s="1948"/>
      <c r="H384" s="1949"/>
      <c r="I384" s="1951"/>
      <c r="J384" s="1948"/>
      <c r="K384" s="1950"/>
      <c r="L384" s="1951"/>
      <c r="M384" s="2807"/>
      <c r="N384" s="1986"/>
      <c r="O384" s="2808"/>
      <c r="P384" s="1948"/>
      <c r="Q384" s="1950"/>
      <c r="R384" s="1951"/>
      <c r="S384" s="2807"/>
      <c r="T384" s="2807"/>
      <c r="U384" s="2808"/>
      <c r="V384" s="1954"/>
      <c r="W384" s="1948"/>
      <c r="X384" s="1954"/>
      <c r="Y384" s="2807"/>
      <c r="Z384" s="1986"/>
      <c r="AA384" s="2808"/>
      <c r="AB384" s="2808"/>
      <c r="AC384" s="2808"/>
      <c r="AD384" s="2808"/>
      <c r="AE384" s="1385"/>
      <c r="AF384" s="1385" t="s">
        <v>332</v>
      </c>
      <c r="AG384" s="1408"/>
      <c r="AH384" s="1159"/>
      <c r="AI384" s="1160" t="s">
        <v>331</v>
      </c>
      <c r="AJ384" s="1160"/>
      <c r="AK384" s="1285"/>
      <c r="AL384" s="2014"/>
      <c r="AM384" s="1969"/>
      <c r="AN384" s="1273"/>
      <c r="AO384" s="1273"/>
      <c r="AP384" s="1438"/>
      <c r="AQ384" s="778"/>
      <c r="AR384" s="1723" t="s">
        <v>507</v>
      </c>
      <c r="AS384" s="778"/>
      <c r="AT384" s="1452"/>
      <c r="AU384" s="1665"/>
      <c r="AV384" s="1873"/>
      <c r="AW384" s="1894"/>
      <c r="AX384" s="1331" t="s">
        <v>508</v>
      </c>
      <c r="AY384" s="783"/>
      <c r="AZ384" s="1608"/>
      <c r="BA384" s="1723" t="s">
        <v>509</v>
      </c>
      <c r="BB384" s="1609"/>
      <c r="BC384" s="1958"/>
      <c r="BD384" s="967" t="s">
        <v>379</v>
      </c>
      <c r="BE384" s="908"/>
      <c r="BF384" s="1883"/>
      <c r="BG384" s="1794" t="s">
        <v>379</v>
      </c>
      <c r="BH384" s="1883"/>
      <c r="BI384" s="1556"/>
      <c r="BJ384" s="2016" t="s">
        <v>371</v>
      </c>
      <c r="BK384" s="1778"/>
      <c r="BL384" s="1754"/>
      <c r="BM384" s="2869"/>
      <c r="BN384" s="1783"/>
      <c r="BO384" s="1580"/>
      <c r="BP384" s="1108"/>
      <c r="BQ384" s="1109"/>
      <c r="BR384" s="1614"/>
      <c r="BS384" s="1756"/>
      <c r="BT384" s="1757"/>
      <c r="BU384" s="1784"/>
      <c r="BV384" s="1758"/>
      <c r="BW384" s="2868"/>
      <c r="BX384" s="1785"/>
      <c r="BY384" s="1108"/>
      <c r="BZ384" s="1109"/>
      <c r="CA384" s="1614"/>
    </row>
    <row r="385" spans="1:79" ht="17.850000000000001" customHeight="1" x14ac:dyDescent="0.4">
      <c r="A385" s="249"/>
      <c r="B385" s="249"/>
      <c r="C385" s="584" t="s">
        <v>307</v>
      </c>
      <c r="D385" s="1948"/>
      <c r="E385" s="1949"/>
      <c r="F385" s="1950"/>
      <c r="G385" s="1948"/>
      <c r="H385" s="1949"/>
      <c r="I385" s="1951"/>
      <c r="J385" s="1948"/>
      <c r="K385" s="1950"/>
      <c r="L385" s="1951"/>
      <c r="M385" s="2807"/>
      <c r="N385" s="1986"/>
      <c r="O385" s="2808"/>
      <c r="P385" s="1948"/>
      <c r="Q385" s="1950"/>
      <c r="R385" s="1951"/>
      <c r="S385" s="2807"/>
      <c r="T385" s="2807"/>
      <c r="U385" s="2808"/>
      <c r="V385" s="1954"/>
      <c r="W385" s="1948"/>
      <c r="X385" s="1954"/>
      <c r="Y385" s="2807"/>
      <c r="Z385" s="1986"/>
      <c r="AA385" s="2808"/>
      <c r="AB385" s="2808"/>
      <c r="AC385" s="2808"/>
      <c r="AD385" s="2808"/>
      <c r="AE385" s="1157"/>
      <c r="AF385" s="1385" t="s">
        <v>334</v>
      </c>
      <c r="AG385" s="1157"/>
      <c r="AH385" s="1164"/>
      <c r="AI385" s="1139" t="s">
        <v>366</v>
      </c>
      <c r="AJ385" s="1165"/>
      <c r="AK385" s="1285"/>
      <c r="AL385" s="1879"/>
      <c r="AM385" s="1969"/>
      <c r="AN385" s="1273"/>
      <c r="AO385" s="1564"/>
      <c r="AP385" s="1438"/>
      <c r="AQ385" s="1813"/>
      <c r="AR385" s="778"/>
      <c r="AS385" s="778"/>
      <c r="AT385" s="1452"/>
      <c r="AU385" s="1665"/>
      <c r="AV385" s="1873"/>
      <c r="AW385" s="1894"/>
      <c r="AX385" s="2636" t="s">
        <v>334</v>
      </c>
      <c r="AY385" s="783"/>
      <c r="AZ385" s="1289"/>
      <c r="BA385" s="1280"/>
      <c r="BB385" s="1644"/>
      <c r="BC385" s="1958"/>
      <c r="BD385" s="970"/>
      <c r="BE385" s="908"/>
      <c r="BF385" s="1883"/>
      <c r="BG385" s="2638" t="s">
        <v>381</v>
      </c>
      <c r="BH385" s="1883"/>
      <c r="BI385" s="1542"/>
      <c r="BJ385" s="2016"/>
      <c r="BK385" s="2017"/>
      <c r="BL385" s="182"/>
      <c r="BM385" s="2869"/>
      <c r="BN385" s="1783"/>
      <c r="BO385" s="1107"/>
      <c r="BP385" s="1107"/>
      <c r="BQ385" s="1108"/>
      <c r="BR385" s="1614"/>
      <c r="BS385" s="183"/>
      <c r="BT385" s="1756"/>
      <c r="BU385" s="1784"/>
      <c r="BV385" s="184"/>
      <c r="BW385" s="2868"/>
      <c r="BX385" s="1785"/>
      <c r="BY385" s="1107"/>
      <c r="BZ385" s="1108"/>
      <c r="CA385" s="1614"/>
    </row>
    <row r="386" spans="1:79" ht="26.25" customHeight="1" x14ac:dyDescent="0.4">
      <c r="A386" s="249"/>
      <c r="B386" s="249"/>
      <c r="C386" s="584" t="s">
        <v>307</v>
      </c>
      <c r="D386" s="1948"/>
      <c r="E386" s="1949"/>
      <c r="F386" s="1950"/>
      <c r="G386" s="1948"/>
      <c r="H386" s="1949"/>
      <c r="I386" s="1951"/>
      <c r="J386" s="1948"/>
      <c r="K386" s="1950"/>
      <c r="L386" s="1951"/>
      <c r="M386" s="2807"/>
      <c r="N386" s="1986"/>
      <c r="O386" s="2808"/>
      <c r="P386" s="1948"/>
      <c r="Q386" s="1950"/>
      <c r="R386" s="1951"/>
      <c r="S386" s="2807"/>
      <c r="T386" s="2807"/>
      <c r="U386" s="2808"/>
      <c r="V386" s="1954"/>
      <c r="W386" s="1948"/>
      <c r="X386" s="1954"/>
      <c r="Y386" s="2807"/>
      <c r="Z386" s="1986"/>
      <c r="AA386" s="2808"/>
      <c r="AB386" s="2808"/>
      <c r="AC386" s="2808"/>
      <c r="AD386" s="2808"/>
      <c r="AE386" s="1385"/>
      <c r="AF386" s="1385"/>
      <c r="AG386" s="1385"/>
      <c r="AH386" s="793"/>
      <c r="AI386" s="793" t="s">
        <v>510</v>
      </c>
      <c r="AJ386" s="1430"/>
      <c r="AK386" s="1285"/>
      <c r="AL386" s="1879"/>
      <c r="AM386" s="1969"/>
      <c r="AN386" s="1273"/>
      <c r="AO386" s="1564"/>
      <c r="AP386" s="1438"/>
      <c r="AQ386" s="1813"/>
      <c r="AR386" s="778"/>
      <c r="AS386" s="778"/>
      <c r="AT386" s="1452"/>
      <c r="AU386" s="1665"/>
      <c r="AV386" s="1873"/>
      <c r="AW386" s="1894"/>
      <c r="AX386" s="1895"/>
      <c r="AY386" s="783"/>
      <c r="AZ386" s="1289"/>
      <c r="BA386" s="1280"/>
      <c r="BB386" s="1644"/>
      <c r="BC386" s="687"/>
      <c r="BD386" s="970"/>
      <c r="BE386" s="687"/>
      <c r="BF386" s="1862"/>
      <c r="BG386" s="2638" t="s">
        <v>351</v>
      </c>
      <c r="BH386" s="1862"/>
      <c r="BI386" s="1542"/>
      <c r="BJ386" s="2016"/>
      <c r="BK386" s="2017"/>
      <c r="BL386" s="1733"/>
      <c r="BM386" s="2869"/>
      <c r="BN386" s="1993"/>
      <c r="BO386" s="1107"/>
      <c r="BP386" s="1622"/>
      <c r="BQ386" s="1107"/>
      <c r="BR386" s="1992"/>
      <c r="BS386" s="1736"/>
      <c r="BT386" s="183"/>
      <c r="BU386" s="1994"/>
      <c r="BV386" s="1739"/>
      <c r="BW386" s="2868"/>
      <c r="BX386" s="1995"/>
      <c r="BY386" s="1622"/>
      <c r="BZ386" s="1107"/>
      <c r="CA386" s="1992"/>
    </row>
    <row r="387" spans="1:79" ht="14.25" customHeight="1" x14ac:dyDescent="0.4">
      <c r="A387" s="249"/>
      <c r="B387" s="249"/>
      <c r="C387" s="584" t="s">
        <v>307</v>
      </c>
      <c r="D387" s="1948"/>
      <c r="E387" s="1949"/>
      <c r="F387" s="1950"/>
      <c r="G387" s="1948"/>
      <c r="H387" s="1949"/>
      <c r="I387" s="1951"/>
      <c r="J387" s="1948"/>
      <c r="K387" s="1950"/>
      <c r="L387" s="1951"/>
      <c r="M387" s="2807"/>
      <c r="N387" s="1986"/>
      <c r="O387" s="2808"/>
      <c r="P387" s="1948"/>
      <c r="Q387" s="1950"/>
      <c r="R387" s="1951"/>
      <c r="S387" s="2807"/>
      <c r="T387" s="2807"/>
      <c r="U387" s="2808"/>
      <c r="V387" s="1954"/>
      <c r="W387" s="1948"/>
      <c r="X387" s="1954"/>
      <c r="Y387" s="2807"/>
      <c r="Z387" s="1986"/>
      <c r="AA387" s="2808"/>
      <c r="AB387" s="2808"/>
      <c r="AC387" s="2808"/>
      <c r="AD387" s="2808"/>
      <c r="AE387" s="1385"/>
      <c r="AF387" s="1385"/>
      <c r="AG387" s="1624"/>
      <c r="AH387" s="1160"/>
      <c r="AI387" s="1160"/>
      <c r="AJ387" s="1256"/>
      <c r="AK387" s="1285"/>
      <c r="AL387" s="1879"/>
      <c r="AM387" s="1969"/>
      <c r="AN387" s="1273"/>
      <c r="AO387" s="1564"/>
      <c r="AP387" s="1438"/>
      <c r="AQ387" s="1813"/>
      <c r="AR387" s="778"/>
      <c r="AS387" s="778"/>
      <c r="AT387" s="1452"/>
      <c r="AU387" s="1665"/>
      <c r="AV387" s="1873"/>
      <c r="AW387" s="1894"/>
      <c r="AX387" s="1895"/>
      <c r="AY387" s="783"/>
      <c r="AZ387" s="1868"/>
      <c r="BA387" s="1802"/>
      <c r="BB387" s="1644"/>
      <c r="BC387" s="687"/>
      <c r="BD387" s="970"/>
      <c r="BE387" s="908"/>
      <c r="BF387" s="1862"/>
      <c r="BG387" s="2020"/>
      <c r="BH387" s="2639"/>
      <c r="BI387" s="1542"/>
      <c r="BJ387" s="2016"/>
      <c r="BK387" s="2017"/>
      <c r="BL387" s="1733"/>
      <c r="BM387" s="2869"/>
      <c r="BN387" s="1993"/>
      <c r="BO387" s="1107"/>
      <c r="BP387" s="1622"/>
      <c r="BQ387" s="1107"/>
      <c r="BR387" s="1992"/>
      <c r="BS387" s="1736"/>
      <c r="BT387" s="183"/>
      <c r="BU387" s="1994"/>
      <c r="BV387" s="1739"/>
      <c r="BW387" s="2868"/>
      <c r="BX387" s="1995"/>
      <c r="BY387" s="1622"/>
      <c r="BZ387" s="1107"/>
      <c r="CA387" s="1992"/>
    </row>
    <row r="388" spans="1:79" ht="30" customHeight="1" x14ac:dyDescent="0.4">
      <c r="A388" s="249"/>
      <c r="B388" s="249"/>
      <c r="C388" s="584">
        <v>0.74305555555555403</v>
      </c>
      <c r="D388" s="1948"/>
      <c r="E388" s="1949"/>
      <c r="F388" s="1950"/>
      <c r="G388" s="1948"/>
      <c r="H388" s="1949"/>
      <c r="I388" s="1951"/>
      <c r="J388" s="1948"/>
      <c r="K388" s="1950"/>
      <c r="L388" s="1951"/>
      <c r="M388" s="1948"/>
      <c r="N388" s="1962"/>
      <c r="O388" s="1948"/>
      <c r="P388" s="1948"/>
      <c r="Q388" s="1950"/>
      <c r="R388" s="1951"/>
      <c r="S388" s="1954"/>
      <c r="T388" s="1948"/>
      <c r="U388" s="1948"/>
      <c r="V388" s="1954"/>
      <c r="W388" s="1948"/>
      <c r="X388" s="1954"/>
      <c r="Y388" s="1948"/>
      <c r="Z388" s="1962"/>
      <c r="AA388" s="1948"/>
      <c r="AB388" s="1948"/>
      <c r="AC388" s="1948"/>
      <c r="AD388" s="1948"/>
      <c r="AE388" s="1385"/>
      <c r="AF388" s="1385"/>
      <c r="AG388" s="1385"/>
      <c r="AH388" s="1160"/>
      <c r="AI388" s="1160"/>
      <c r="AJ388" s="1256"/>
      <c r="AK388" s="1285"/>
      <c r="AL388" s="2553" t="s">
        <v>470</v>
      </c>
      <c r="AM388" s="1969"/>
      <c r="AN388" s="1273"/>
      <c r="AO388" s="1564"/>
      <c r="AP388" s="1438"/>
      <c r="AQ388" s="778"/>
      <c r="AR388" s="778"/>
      <c r="AS388" s="1640"/>
      <c r="AT388" s="1394"/>
      <c r="AU388" s="1665"/>
      <c r="AV388" s="1460"/>
      <c r="AW388" s="684"/>
      <c r="AX388" s="1895"/>
      <c r="AY388" s="738"/>
      <c r="AZ388" s="1802"/>
      <c r="BA388" s="1802"/>
      <c r="BB388" s="1802"/>
      <c r="BC388" s="687"/>
      <c r="BD388" s="970"/>
      <c r="BE388" s="687"/>
      <c r="BF388" s="2019"/>
      <c r="BG388" s="2020"/>
      <c r="BH388" s="2022"/>
      <c r="BI388" s="2021"/>
      <c r="BJ388" s="1870"/>
      <c r="BK388" s="1587"/>
      <c r="BL388" s="2007"/>
      <c r="BM388" s="2869"/>
      <c r="BN388" s="1993"/>
      <c r="BO388" s="1577"/>
      <c r="BP388" s="1577"/>
      <c r="BQ388" s="1107"/>
      <c r="BR388" s="1992"/>
      <c r="BS388" s="2008"/>
      <c r="BT388" s="183"/>
      <c r="BU388" s="1994"/>
      <c r="BV388" s="2009"/>
      <c r="BW388" s="2868"/>
      <c r="BX388" s="1995"/>
      <c r="BY388" s="1577"/>
      <c r="BZ388" s="1107"/>
      <c r="CA388" s="1992"/>
    </row>
    <row r="389" spans="1:79" ht="14.25" customHeight="1" x14ac:dyDescent="0.4">
      <c r="A389" s="249"/>
      <c r="B389" s="249"/>
      <c r="C389" s="584" t="s">
        <v>307</v>
      </c>
      <c r="D389" s="1948"/>
      <c r="E389" s="1949"/>
      <c r="F389" s="1950"/>
      <c r="G389" s="1948"/>
      <c r="H389" s="1949"/>
      <c r="I389" s="1951"/>
      <c r="J389" s="1948"/>
      <c r="K389" s="1950"/>
      <c r="L389" s="1951"/>
      <c r="M389" s="1948"/>
      <c r="N389" s="1962"/>
      <c r="O389" s="1948"/>
      <c r="P389" s="1948"/>
      <c r="Q389" s="1950"/>
      <c r="R389" s="1951"/>
      <c r="S389" s="1954"/>
      <c r="T389" s="1948"/>
      <c r="U389" s="1948"/>
      <c r="V389" s="1954"/>
      <c r="W389" s="1948"/>
      <c r="X389" s="1954"/>
      <c r="Y389" s="1948"/>
      <c r="Z389" s="1962"/>
      <c r="AA389" s="1948"/>
      <c r="AB389" s="1948"/>
      <c r="AC389" s="1948"/>
      <c r="AD389" s="1948"/>
      <c r="AE389" s="1385"/>
      <c r="AF389" s="1385"/>
      <c r="AG389" s="1624"/>
      <c r="AH389" s="1160"/>
      <c r="AI389" s="1160"/>
      <c r="AJ389" s="1256"/>
      <c r="AK389" s="1285"/>
      <c r="AL389" s="1879"/>
      <c r="AM389" s="1969"/>
      <c r="AN389" s="1273"/>
      <c r="AO389" s="1564"/>
      <c r="AP389" s="1438"/>
      <c r="AQ389" s="778"/>
      <c r="AR389" s="778"/>
      <c r="AS389" s="1640"/>
      <c r="AT389" s="1394"/>
      <c r="AU389" s="1665"/>
      <c r="AV389" s="1460"/>
      <c r="AW389" s="684"/>
      <c r="AX389" s="1895"/>
      <c r="AY389" s="738"/>
      <c r="AZ389" s="1802"/>
      <c r="BA389" s="1802"/>
      <c r="BB389" s="1802"/>
      <c r="BC389" s="687"/>
      <c r="BD389" s="970"/>
      <c r="BE389" s="908"/>
      <c r="BF389" s="2019"/>
      <c r="BG389" s="2020"/>
      <c r="BH389" s="2022"/>
      <c r="BI389" s="2021"/>
      <c r="BJ389" s="2023"/>
      <c r="BK389" s="1587"/>
      <c r="BL389" s="2007"/>
      <c r="BM389" s="2869"/>
      <c r="BN389" s="1993"/>
      <c r="BO389" s="1577"/>
      <c r="BP389" s="1577"/>
      <c r="BQ389" s="1107"/>
      <c r="BR389" s="1992"/>
      <c r="BS389" s="2008"/>
      <c r="BT389" s="183"/>
      <c r="BU389" s="1994"/>
      <c r="BV389" s="2009"/>
      <c r="BW389" s="2868"/>
      <c r="BX389" s="1995"/>
      <c r="BY389" s="1577"/>
      <c r="BZ389" s="1107"/>
      <c r="CA389" s="1992"/>
    </row>
    <row r="390" spans="1:79" ht="14.25" customHeight="1" x14ac:dyDescent="0.4">
      <c r="A390" s="249"/>
      <c r="B390" s="249"/>
      <c r="C390" s="802">
        <v>0.74652777777777601</v>
      </c>
      <c r="D390" s="2024"/>
      <c r="E390" s="2025"/>
      <c r="F390" s="2026"/>
      <c r="G390" s="2024"/>
      <c r="H390" s="2025"/>
      <c r="I390" s="1951"/>
      <c r="J390" s="2024"/>
      <c r="K390" s="2026"/>
      <c r="L390" s="1951"/>
      <c r="M390" s="2024"/>
      <c r="N390" s="2028"/>
      <c r="O390" s="2024"/>
      <c r="P390" s="2024"/>
      <c r="Q390" s="2026"/>
      <c r="R390" s="1951"/>
      <c r="S390" s="2027"/>
      <c r="T390" s="2024"/>
      <c r="U390" s="2024"/>
      <c r="V390" s="2027"/>
      <c r="W390" s="2024"/>
      <c r="X390" s="1954"/>
      <c r="Y390" s="2024"/>
      <c r="Z390" s="2028"/>
      <c r="AA390" s="2024"/>
      <c r="AB390" s="2024"/>
      <c r="AC390" s="2024"/>
      <c r="AD390" s="2024"/>
      <c r="AE390" s="1686"/>
      <c r="AF390" s="1686"/>
      <c r="AG390" s="1918"/>
      <c r="AH390" s="1687"/>
      <c r="AI390" s="1687"/>
      <c r="AJ390" s="1919"/>
      <c r="AK390" s="1688"/>
      <c r="AL390" s="1921"/>
      <c r="AM390" s="2029"/>
      <c r="AN390" s="1500"/>
      <c r="AO390" s="1498"/>
      <c r="AP390" s="1923"/>
      <c r="AQ390" s="1692"/>
      <c r="AR390" s="1692"/>
      <c r="AS390" s="2030"/>
      <c r="AT390" s="1505"/>
      <c r="AU390" s="1926"/>
      <c r="AV390" s="2031"/>
      <c r="AW390" s="2032"/>
      <c r="AX390" s="1928"/>
      <c r="AY390" s="1020"/>
      <c r="AZ390" s="1837"/>
      <c r="BA390" s="1837"/>
      <c r="BB390" s="1931"/>
      <c r="BC390" s="1932"/>
      <c r="BD390" s="1933"/>
      <c r="BE390" s="1021"/>
      <c r="BF390" s="2033"/>
      <c r="BG390" s="2034"/>
      <c r="BH390" s="2035"/>
      <c r="BI390" s="2021"/>
      <c r="BJ390" s="2640" t="s">
        <v>511</v>
      </c>
      <c r="BK390" s="1587"/>
      <c r="BL390" s="2041"/>
      <c r="BM390" s="2869"/>
      <c r="BN390" s="2042"/>
      <c r="BO390" s="2039"/>
      <c r="BP390" s="2039"/>
      <c r="BQ390" s="1702"/>
      <c r="BR390" s="2040"/>
      <c r="BS390" s="2043"/>
      <c r="BT390" s="245"/>
      <c r="BU390" s="2044"/>
      <c r="BV390" s="2045"/>
      <c r="BW390" s="2868"/>
      <c r="BX390" s="2046"/>
      <c r="BY390" s="2039"/>
      <c r="BZ390" s="1702"/>
      <c r="CA390" s="2040"/>
    </row>
    <row r="391" spans="1:79" ht="26.1" customHeight="1" x14ac:dyDescent="0.4">
      <c r="A391" s="249"/>
      <c r="B391" s="249"/>
      <c r="C391" s="578">
        <v>0.749999999999999</v>
      </c>
      <c r="D391" s="1962"/>
      <c r="E391" s="1963"/>
      <c r="F391" s="1964"/>
      <c r="G391" s="1962"/>
      <c r="H391" s="1963"/>
      <c r="I391" s="2047"/>
      <c r="J391" s="1962"/>
      <c r="K391" s="1964"/>
      <c r="L391" s="2047"/>
      <c r="M391" s="1962"/>
      <c r="N391" s="1962"/>
      <c r="O391" s="1962"/>
      <c r="P391" s="1962"/>
      <c r="Q391" s="1964"/>
      <c r="R391" s="2047"/>
      <c r="S391" s="1966"/>
      <c r="T391" s="1962"/>
      <c r="U391" s="1962"/>
      <c r="V391" s="1966"/>
      <c r="W391" s="1962"/>
      <c r="X391" s="2048"/>
      <c r="Y391" s="1962"/>
      <c r="Z391" s="1962"/>
      <c r="AA391" s="1962"/>
      <c r="AB391" s="1962"/>
      <c r="AC391" s="1962"/>
      <c r="AD391" s="1962"/>
      <c r="AE391" s="1157"/>
      <c r="AF391" s="2049" t="s">
        <v>512</v>
      </c>
      <c r="AG391" s="2050"/>
      <c r="AH391" s="1645"/>
      <c r="AI391" s="2051" t="s">
        <v>513</v>
      </c>
      <c r="AJ391" s="1256"/>
      <c r="AK391" s="1285"/>
      <c r="AL391" s="1723" t="s">
        <v>514</v>
      </c>
      <c r="AM391" s="1969"/>
      <c r="AN391" s="1273"/>
      <c r="AO391" s="1750" t="s">
        <v>515</v>
      </c>
      <c r="AP391" s="1603"/>
      <c r="AQ391" s="1799"/>
      <c r="AR391" s="1331" t="s">
        <v>516</v>
      </c>
      <c r="AS391" s="1640"/>
      <c r="AT391" s="1452"/>
      <c r="AU391" s="1331" t="s">
        <v>517</v>
      </c>
      <c r="AV391" s="1873"/>
      <c r="AW391" s="2052"/>
      <c r="AX391" s="1536" t="s">
        <v>518</v>
      </c>
      <c r="AY391" s="1022"/>
      <c r="AZ391" s="1802"/>
      <c r="BA391" s="1331" t="s">
        <v>519</v>
      </c>
      <c r="BB391" s="1825"/>
      <c r="BC391" s="687"/>
      <c r="BD391" s="967" t="s">
        <v>379</v>
      </c>
      <c r="BE391" s="967"/>
      <c r="BF391" s="1794"/>
      <c r="BG391" s="1794" t="s">
        <v>379</v>
      </c>
      <c r="BH391" s="1794"/>
      <c r="BI391" s="2053"/>
      <c r="BJ391" s="2062" t="s">
        <v>371</v>
      </c>
      <c r="BK391" s="2055"/>
      <c r="BL391" s="182"/>
      <c r="BM391" s="2869"/>
      <c r="BN391" s="182"/>
      <c r="BO391" s="1107"/>
      <c r="BP391" s="1107"/>
      <c r="BQ391" s="2056"/>
      <c r="BR391" s="1107"/>
      <c r="BS391" s="183"/>
      <c r="BT391" s="183"/>
      <c r="BU391" s="183"/>
      <c r="BV391" s="184"/>
      <c r="BW391" s="2868"/>
      <c r="BX391" s="184"/>
      <c r="BY391" s="1107"/>
      <c r="BZ391" s="2056"/>
      <c r="CA391" s="1107"/>
    </row>
    <row r="392" spans="1:79" ht="22.35" customHeight="1" x14ac:dyDescent="0.4">
      <c r="A392" s="249"/>
      <c r="B392" s="249"/>
      <c r="C392" s="584" t="s">
        <v>307</v>
      </c>
      <c r="D392" s="1962"/>
      <c r="E392" s="1963"/>
      <c r="F392" s="1964"/>
      <c r="G392" s="1962"/>
      <c r="H392" s="1963"/>
      <c r="I392" s="1965"/>
      <c r="J392" s="1962"/>
      <c r="K392" s="1964"/>
      <c r="L392" s="1965"/>
      <c r="M392" s="1962"/>
      <c r="N392" s="1962"/>
      <c r="O392" s="1962"/>
      <c r="P392" s="1962"/>
      <c r="Q392" s="1964"/>
      <c r="R392" s="1965"/>
      <c r="S392" s="1966"/>
      <c r="T392" s="1962"/>
      <c r="U392" s="1962"/>
      <c r="V392" s="1966"/>
      <c r="W392" s="1962"/>
      <c r="X392" s="1966"/>
      <c r="Y392" s="1962"/>
      <c r="Z392" s="1962"/>
      <c r="AA392" s="1962"/>
      <c r="AB392" s="1962"/>
      <c r="AC392" s="1962"/>
      <c r="AD392" s="1962"/>
      <c r="AE392" s="1385"/>
      <c r="AF392" s="1385" t="s">
        <v>332</v>
      </c>
      <c r="AG392" s="1408"/>
      <c r="AH392" s="1159"/>
      <c r="AI392" s="1160" t="s">
        <v>331</v>
      </c>
      <c r="AJ392" s="1160"/>
      <c r="AK392" s="1285"/>
      <c r="AL392" s="1530"/>
      <c r="AM392" s="1969"/>
      <c r="AN392" s="1273"/>
      <c r="AO392" s="2057"/>
      <c r="AP392" s="1603"/>
      <c r="AQ392" s="1813"/>
      <c r="AR392" s="1886"/>
      <c r="AS392" s="778"/>
      <c r="AT392" s="1452"/>
      <c r="AU392" s="1723" t="s">
        <v>520</v>
      </c>
      <c r="AV392" s="1873"/>
      <c r="AW392" s="684"/>
      <c r="AX392" s="684"/>
      <c r="AY392" s="1857"/>
      <c r="AZ392" s="1802"/>
      <c r="BA392" s="1723" t="s">
        <v>521</v>
      </c>
      <c r="BB392" s="1644"/>
      <c r="BC392" s="1958"/>
      <c r="BD392" s="967"/>
      <c r="BE392" s="965"/>
      <c r="BF392" s="1794"/>
      <c r="BG392" s="1859" t="s">
        <v>522</v>
      </c>
      <c r="BH392" s="1883"/>
      <c r="BI392" s="1556"/>
      <c r="BJ392" s="1870"/>
      <c r="BK392" s="1556"/>
      <c r="BL392" s="182"/>
      <c r="BM392" s="2869"/>
      <c r="BN392" s="1783"/>
      <c r="BO392" s="1107"/>
      <c r="BP392" s="1107"/>
      <c r="BQ392" s="2058"/>
      <c r="BR392" s="1614"/>
      <c r="BS392" s="183"/>
      <c r="BT392" s="2059"/>
      <c r="BU392" s="1784"/>
      <c r="BV392" s="184"/>
      <c r="BW392" s="2868"/>
      <c r="BX392" s="1785"/>
      <c r="BY392" s="1107"/>
      <c r="BZ392" s="2058"/>
      <c r="CA392" s="1614"/>
    </row>
    <row r="393" spans="1:79" ht="22.35" customHeight="1" x14ac:dyDescent="0.4">
      <c r="A393" s="249"/>
      <c r="B393" s="249"/>
      <c r="C393" s="584" t="s">
        <v>307</v>
      </c>
      <c r="D393" s="1962"/>
      <c r="E393" s="1963"/>
      <c r="F393" s="1964"/>
      <c r="G393" s="1962"/>
      <c r="H393" s="1963"/>
      <c r="I393" s="1965"/>
      <c r="J393" s="1962"/>
      <c r="K393" s="1964"/>
      <c r="L393" s="1965"/>
      <c r="M393" s="1962"/>
      <c r="N393" s="1962"/>
      <c r="O393" s="1962"/>
      <c r="P393" s="1962"/>
      <c r="Q393" s="1964"/>
      <c r="R393" s="1965"/>
      <c r="S393" s="1966"/>
      <c r="T393" s="1962"/>
      <c r="U393" s="1962"/>
      <c r="V393" s="1966"/>
      <c r="W393" s="1962"/>
      <c r="X393" s="1966"/>
      <c r="Y393" s="1962"/>
      <c r="Z393" s="1962"/>
      <c r="AA393" s="1962"/>
      <c r="AB393" s="1962"/>
      <c r="AC393" s="1962"/>
      <c r="AD393" s="1962"/>
      <c r="AE393" s="1157"/>
      <c r="AF393" s="1385" t="s">
        <v>334</v>
      </c>
      <c r="AG393" s="1157"/>
      <c r="AH393" s="1164"/>
      <c r="AI393" s="1139" t="s">
        <v>366</v>
      </c>
      <c r="AJ393" s="1165"/>
      <c r="AK393" s="1285"/>
      <c r="AL393" s="1879"/>
      <c r="AM393" s="1969"/>
      <c r="AN393" s="1273"/>
      <c r="AO393" s="2057"/>
      <c r="AP393" s="1603"/>
      <c r="AQ393" s="1813"/>
      <c r="AR393" s="1886"/>
      <c r="AS393" s="778"/>
      <c r="AT393" s="1452"/>
      <c r="AU393" s="1394"/>
      <c r="AV393" s="1873"/>
      <c r="AW393" s="684"/>
      <c r="AX393" s="684"/>
      <c r="AY393" s="1857"/>
      <c r="AZ393" s="1802"/>
      <c r="BA393" s="1331" t="s">
        <v>523</v>
      </c>
      <c r="BB393" s="1644"/>
      <c r="BC393" s="1958"/>
      <c r="BD393" s="967"/>
      <c r="BE393" s="965"/>
      <c r="BF393" s="1794"/>
      <c r="BG393" s="1859" t="s">
        <v>351</v>
      </c>
      <c r="BH393" s="1883"/>
      <c r="BI393" s="1556"/>
      <c r="BJ393" s="2062"/>
      <c r="BK393" s="1789"/>
      <c r="BL393" s="1733"/>
      <c r="BM393" s="2869"/>
      <c r="BN393" s="1783"/>
      <c r="BO393" s="1107"/>
      <c r="BP393" s="1622"/>
      <c r="BQ393" s="1107"/>
      <c r="BR393" s="1614"/>
      <c r="BS393" s="1736"/>
      <c r="BT393" s="183"/>
      <c r="BU393" s="1784"/>
      <c r="BV393" s="1739"/>
      <c r="BW393" s="2868"/>
      <c r="BX393" s="1785"/>
      <c r="BY393" s="1622"/>
      <c r="BZ393" s="1107"/>
      <c r="CA393" s="1614"/>
    </row>
    <row r="394" spans="1:79" ht="13.5" customHeight="1" x14ac:dyDescent="0.4">
      <c r="A394" s="249"/>
      <c r="B394" s="249"/>
      <c r="C394" s="584" t="s">
        <v>307</v>
      </c>
      <c r="D394" s="1962"/>
      <c r="E394" s="1963"/>
      <c r="F394" s="1964"/>
      <c r="G394" s="1962"/>
      <c r="H394" s="1963"/>
      <c r="I394" s="1965"/>
      <c r="J394" s="1962"/>
      <c r="K394" s="1964"/>
      <c r="L394" s="1965"/>
      <c r="M394" s="1962"/>
      <c r="N394" s="1962"/>
      <c r="O394" s="1962"/>
      <c r="P394" s="1962"/>
      <c r="Q394" s="1964"/>
      <c r="R394" s="1965"/>
      <c r="S394" s="1966"/>
      <c r="T394" s="1962"/>
      <c r="U394" s="1962"/>
      <c r="V394" s="1966"/>
      <c r="W394" s="1962"/>
      <c r="X394" s="1966"/>
      <c r="Y394" s="1962"/>
      <c r="Z394" s="1962"/>
      <c r="AA394" s="1962"/>
      <c r="AB394" s="1962"/>
      <c r="AC394" s="1962"/>
      <c r="AD394" s="1962"/>
      <c r="AE394" s="1385"/>
      <c r="AF394" s="1385"/>
      <c r="AG394" s="1408"/>
      <c r="AH394" s="1159"/>
      <c r="AI394" s="1160" t="s">
        <v>334</v>
      </c>
      <c r="AJ394" s="1160"/>
      <c r="AK394" s="1285"/>
      <c r="AL394" s="1879"/>
      <c r="AM394" s="1969"/>
      <c r="AN394" s="1273"/>
      <c r="AO394" s="1273"/>
      <c r="AP394" s="1273"/>
      <c r="AQ394" s="778"/>
      <c r="AR394" s="778"/>
      <c r="AS394" s="1887"/>
      <c r="AT394" s="1452"/>
      <c r="AU394" s="1394"/>
      <c r="AV394" s="1873"/>
      <c r="AW394" s="684"/>
      <c r="AX394" s="684"/>
      <c r="AY394" s="1857"/>
      <c r="AZ394" s="1802"/>
      <c r="BA394" s="1802"/>
      <c r="BB394" s="1644"/>
      <c r="BC394" s="1958"/>
      <c r="BD394" s="967"/>
      <c r="BE394" s="965"/>
      <c r="BF394" s="1794"/>
      <c r="BG394" s="1978"/>
      <c r="BH394" s="1401"/>
      <c r="BI394" s="1556"/>
      <c r="BJ394" s="1870"/>
      <c r="BK394" s="1778"/>
      <c r="BL394" s="182"/>
      <c r="BM394" s="2869"/>
      <c r="BN394" s="1783"/>
      <c r="BO394" s="1107"/>
      <c r="BP394" s="1107"/>
      <c r="BQ394" s="1107"/>
      <c r="BR394" s="1614"/>
      <c r="BS394" s="183"/>
      <c r="BT394" s="183"/>
      <c r="BU394" s="1784"/>
      <c r="BV394" s="184"/>
      <c r="BW394" s="2868"/>
      <c r="BX394" s="1785"/>
      <c r="BY394" s="1107"/>
      <c r="BZ394" s="1107"/>
      <c r="CA394" s="1614"/>
    </row>
    <row r="395" spans="1:79" ht="17.100000000000001" customHeight="1" x14ac:dyDescent="0.4">
      <c r="A395" s="249"/>
      <c r="B395" s="249"/>
      <c r="C395" s="584" t="s">
        <v>307</v>
      </c>
      <c r="D395" s="1962"/>
      <c r="E395" s="1963"/>
      <c r="F395" s="1964"/>
      <c r="G395" s="1962"/>
      <c r="H395" s="1963"/>
      <c r="I395" s="1965"/>
      <c r="J395" s="1962"/>
      <c r="K395" s="1964"/>
      <c r="L395" s="1965"/>
      <c r="M395" s="1962"/>
      <c r="N395" s="1962"/>
      <c r="O395" s="1962"/>
      <c r="P395" s="1962"/>
      <c r="Q395" s="1964"/>
      <c r="R395" s="1965"/>
      <c r="S395" s="1966"/>
      <c r="T395" s="1962"/>
      <c r="U395" s="1962"/>
      <c r="V395" s="1966"/>
      <c r="W395" s="1962"/>
      <c r="X395" s="1966"/>
      <c r="Y395" s="1962"/>
      <c r="Z395" s="1962"/>
      <c r="AA395" s="1962"/>
      <c r="AB395" s="1962"/>
      <c r="AC395" s="1962"/>
      <c r="AD395" s="1962"/>
      <c r="AE395" s="1157"/>
      <c r="AF395" s="1429"/>
      <c r="AG395" s="1157"/>
      <c r="AH395" s="1164"/>
      <c r="AI395" s="1139" t="s">
        <v>330</v>
      </c>
      <c r="AJ395" s="1165"/>
      <c r="AK395" s="1285"/>
      <c r="AL395" s="1879"/>
      <c r="AM395" s="1969"/>
      <c r="AN395" s="1619"/>
      <c r="AO395" s="1619"/>
      <c r="AP395" s="2060"/>
      <c r="AQ395" s="1799"/>
      <c r="AR395" s="1886"/>
      <c r="AS395" s="1887"/>
      <c r="AT395" s="1452"/>
      <c r="AU395" s="1394"/>
      <c r="AV395" s="1873"/>
      <c r="AW395" s="684"/>
      <c r="AX395" s="684"/>
      <c r="AY395" s="1857"/>
      <c r="AZ395" s="1802"/>
      <c r="BA395" s="2061"/>
      <c r="BB395" s="1644"/>
      <c r="BC395" s="1958"/>
      <c r="BD395" s="967"/>
      <c r="BE395" s="965"/>
      <c r="BF395" s="1794"/>
      <c r="BG395" s="1794"/>
      <c r="BH395" s="1794"/>
      <c r="BI395" s="1556"/>
      <c r="BJ395" s="2062"/>
      <c r="BK395" s="1778"/>
      <c r="BL395" s="182"/>
      <c r="BM395" s="2869"/>
      <c r="BN395" s="1734"/>
      <c r="BO395" s="1107"/>
      <c r="BP395" s="1107"/>
      <c r="BQ395" s="1622"/>
      <c r="BR395" s="1191"/>
      <c r="BS395" s="183"/>
      <c r="BT395" s="1736"/>
      <c r="BU395" s="1737"/>
      <c r="BV395" s="184"/>
      <c r="BW395" s="2868"/>
      <c r="BX395" s="1740"/>
      <c r="BY395" s="1107"/>
      <c r="BZ395" s="1622"/>
      <c r="CA395" s="1191"/>
    </row>
    <row r="396" spans="1:79" ht="18.600000000000001" customHeight="1" x14ac:dyDescent="0.4">
      <c r="A396" s="249"/>
      <c r="B396" s="249"/>
      <c r="C396" s="1971">
        <v>0.75347222222222099</v>
      </c>
      <c r="D396" s="1972"/>
      <c r="E396" s="1973"/>
      <c r="F396" s="1974"/>
      <c r="G396" s="1972"/>
      <c r="H396" s="1973"/>
      <c r="I396" s="1975"/>
      <c r="J396" s="1972"/>
      <c r="K396" s="1974"/>
      <c r="L396" s="1975"/>
      <c r="M396" s="2807"/>
      <c r="N396" s="2064"/>
      <c r="O396" s="2807"/>
      <c r="P396" s="1972"/>
      <c r="Q396" s="1974"/>
      <c r="R396" s="1975"/>
      <c r="S396" s="2807"/>
      <c r="T396" s="2807"/>
      <c r="U396" s="2063"/>
      <c r="V396" s="1977"/>
      <c r="W396" s="1972"/>
      <c r="X396" s="1977"/>
      <c r="Y396" s="2807"/>
      <c r="Z396" s="2064"/>
      <c r="AA396" s="2807"/>
      <c r="AB396" s="2063"/>
      <c r="AC396" s="2063"/>
      <c r="AD396" s="2063"/>
      <c r="AE396" s="1157"/>
      <c r="AF396" s="1136"/>
      <c r="AG396" s="1157"/>
      <c r="AH396" s="1160"/>
      <c r="AI396" s="1645"/>
      <c r="AJ396" s="1160"/>
      <c r="AK396" s="1285"/>
      <c r="AL396" s="1879"/>
      <c r="AM396" s="1969"/>
      <c r="AN396" s="1450"/>
      <c r="AO396" s="1273"/>
      <c r="AP396" s="1438"/>
      <c r="AQ396" s="778"/>
      <c r="AR396" s="778"/>
      <c r="AS396" s="1612"/>
      <c r="AT396" s="1394"/>
      <c r="AU396" s="2002"/>
      <c r="AV396" s="1786"/>
      <c r="AW396" s="684"/>
      <c r="AX396" s="684"/>
      <c r="AY396" s="783"/>
      <c r="AZ396" s="1802"/>
      <c r="BA396" s="2065"/>
      <c r="BB396" s="1644"/>
      <c r="BC396" s="687"/>
      <c r="BD396" s="1374"/>
      <c r="BE396" s="908"/>
      <c r="BF396" s="1794"/>
      <c r="BG396" s="1859"/>
      <c r="BH396" s="1883"/>
      <c r="BI396" s="2066"/>
      <c r="BJ396" s="2003"/>
      <c r="BK396" s="1778"/>
      <c r="BL396" s="1732"/>
      <c r="BM396" s="2869"/>
      <c r="BN396" s="1783"/>
      <c r="BO396" s="1107"/>
      <c r="BP396" s="1161"/>
      <c r="BQ396" s="1161"/>
      <c r="BR396" s="1614"/>
      <c r="BS396" s="1735"/>
      <c r="BT396" s="1735"/>
      <c r="BU396" s="1784"/>
      <c r="BV396" s="1738"/>
      <c r="BW396" s="2868"/>
      <c r="BX396" s="1785"/>
      <c r="BY396" s="1161"/>
      <c r="BZ396" s="1161"/>
      <c r="CA396" s="1614"/>
    </row>
    <row r="397" spans="1:79" ht="13.5" customHeight="1" x14ac:dyDescent="0.4">
      <c r="A397" s="249"/>
      <c r="B397" s="249"/>
      <c r="C397" s="584" t="s">
        <v>307</v>
      </c>
      <c r="D397" s="1972"/>
      <c r="E397" s="1973"/>
      <c r="F397" s="1974"/>
      <c r="G397" s="1972"/>
      <c r="H397" s="1973"/>
      <c r="I397" s="1975"/>
      <c r="J397" s="1972"/>
      <c r="K397" s="1974"/>
      <c r="L397" s="1975"/>
      <c r="M397" s="2807"/>
      <c r="N397" s="1986"/>
      <c r="O397" s="2807"/>
      <c r="P397" s="1972"/>
      <c r="Q397" s="1974"/>
      <c r="R397" s="1975"/>
      <c r="S397" s="2807"/>
      <c r="T397" s="2807"/>
      <c r="U397" s="2063"/>
      <c r="V397" s="1977"/>
      <c r="W397" s="1972"/>
      <c r="X397" s="1977"/>
      <c r="Y397" s="2807"/>
      <c r="Z397" s="1986"/>
      <c r="AA397" s="2807"/>
      <c r="AB397" s="2063"/>
      <c r="AC397" s="2063"/>
      <c r="AD397" s="2063"/>
      <c r="AE397" s="1157"/>
      <c r="AF397" s="1136"/>
      <c r="AG397" s="1157"/>
      <c r="AH397" s="1160"/>
      <c r="AI397" s="1645"/>
      <c r="AJ397" s="1160"/>
      <c r="AK397" s="1285"/>
      <c r="AL397" s="1879"/>
      <c r="AM397" s="1969"/>
      <c r="AN397" s="1273"/>
      <c r="AO397" s="2068"/>
      <c r="AP397" s="1438"/>
      <c r="AQ397" s="778"/>
      <c r="AR397" s="2069"/>
      <c r="AS397" s="1640"/>
      <c r="AT397" s="1394"/>
      <c r="AU397" s="2002"/>
      <c r="AV397" s="1786"/>
      <c r="AW397" s="684"/>
      <c r="AX397" s="684"/>
      <c r="AY397" s="783"/>
      <c r="AZ397" s="1802"/>
      <c r="BA397" s="1802"/>
      <c r="BB397" s="1644"/>
      <c r="BC397" s="687"/>
      <c r="BD397" s="1374"/>
      <c r="BE397" s="1906"/>
      <c r="BF397" s="1794"/>
      <c r="BG397" s="1859"/>
      <c r="BH397" s="1883"/>
      <c r="BI397" s="1556"/>
      <c r="BJ397" s="2003"/>
      <c r="BK397" s="1789"/>
      <c r="BL397" s="1732"/>
      <c r="BM397" s="2869"/>
      <c r="BN397" s="182"/>
      <c r="BO397" s="1107"/>
      <c r="BP397" s="1161"/>
      <c r="BQ397" s="1107"/>
      <c r="BR397" s="1107"/>
      <c r="BS397" s="1735"/>
      <c r="BT397" s="183"/>
      <c r="BU397" s="183"/>
      <c r="BV397" s="1738"/>
      <c r="BW397" s="2868"/>
      <c r="BX397" s="184"/>
      <c r="BY397" s="1161"/>
      <c r="BZ397" s="1107"/>
      <c r="CA397" s="1107"/>
    </row>
    <row r="398" spans="1:79" ht="13.5" customHeight="1" x14ac:dyDescent="0.4">
      <c r="A398" s="249"/>
      <c r="B398" s="249"/>
      <c r="C398" s="1979">
        <v>0.75694444444444298</v>
      </c>
      <c r="D398" s="1980"/>
      <c r="E398" s="1973"/>
      <c r="F398" s="1974"/>
      <c r="G398" s="1980"/>
      <c r="H398" s="1973"/>
      <c r="I398" s="1983"/>
      <c r="J398" s="1980"/>
      <c r="K398" s="1974"/>
      <c r="L398" s="1983"/>
      <c r="M398" s="2807"/>
      <c r="N398" s="1986"/>
      <c r="O398" s="2808"/>
      <c r="P398" s="1980"/>
      <c r="Q398" s="1974"/>
      <c r="R398" s="1983"/>
      <c r="S398" s="2807"/>
      <c r="T398" s="2807"/>
      <c r="U398" s="2808"/>
      <c r="V398" s="1984"/>
      <c r="W398" s="1980"/>
      <c r="X398" s="1984"/>
      <c r="Y398" s="2807"/>
      <c r="Z398" s="1986"/>
      <c r="AA398" s="2808"/>
      <c r="AB398" s="2808"/>
      <c r="AC398" s="2808"/>
      <c r="AD398" s="2808"/>
      <c r="AE398" s="1157"/>
      <c r="AF398" s="1124"/>
      <c r="AG398" s="2070"/>
      <c r="AH398" s="1160"/>
      <c r="AI398" s="1159"/>
      <c r="AJ398" s="1904"/>
      <c r="AK398" s="1285"/>
      <c r="AL398" s="1200"/>
      <c r="AM398" s="1969"/>
      <c r="AN398" s="1872"/>
      <c r="AO398" s="1273"/>
      <c r="AP398" s="1761"/>
      <c r="AQ398" s="778"/>
      <c r="AR398" s="2071"/>
      <c r="AS398" s="1640"/>
      <c r="AT398" s="1394"/>
      <c r="AU398" s="1394"/>
      <c r="AV398" s="1786"/>
      <c r="AW398" s="684"/>
      <c r="AX398" s="684"/>
      <c r="AY398" s="783"/>
      <c r="AZ398" s="1802"/>
      <c r="BA398" s="1802"/>
      <c r="BB398" s="1644"/>
      <c r="BC398" s="687"/>
      <c r="BD398" s="967"/>
      <c r="BE398" s="908"/>
      <c r="BF398" s="1794"/>
      <c r="BG398" s="1978"/>
      <c r="BH398" s="1883"/>
      <c r="BI398" s="1556"/>
      <c r="BJ398" s="2003"/>
      <c r="BK398" s="1881"/>
      <c r="BL398" s="182"/>
      <c r="BM398" s="2869"/>
      <c r="BN398" s="1734"/>
      <c r="BO398" s="1107"/>
      <c r="BP398" s="1107"/>
      <c r="BQ398" s="1107"/>
      <c r="BR398" s="1191"/>
      <c r="BS398" s="183"/>
      <c r="BT398" s="183"/>
      <c r="BU398" s="1737"/>
      <c r="BV398" s="184"/>
      <c r="BW398" s="2868"/>
      <c r="BX398" s="1740"/>
      <c r="BY398" s="1107"/>
      <c r="BZ398" s="1107"/>
      <c r="CA398" s="1191"/>
    </row>
    <row r="399" spans="1:79" ht="26.85" customHeight="1" x14ac:dyDescent="0.4">
      <c r="A399" s="249"/>
      <c r="B399" s="249"/>
      <c r="C399" s="584">
        <v>0.76041666666666496</v>
      </c>
      <c r="D399" s="1948"/>
      <c r="E399" s="1963"/>
      <c r="F399" s="1964"/>
      <c r="G399" s="1948"/>
      <c r="H399" s="1963"/>
      <c r="I399" s="1951"/>
      <c r="J399" s="1948"/>
      <c r="K399" s="1964"/>
      <c r="L399" s="1951"/>
      <c r="M399" s="1948"/>
      <c r="N399" s="1962"/>
      <c r="O399" s="1948"/>
      <c r="P399" s="1948"/>
      <c r="Q399" s="1964"/>
      <c r="R399" s="1951"/>
      <c r="S399" s="1954"/>
      <c r="T399" s="1948"/>
      <c r="U399" s="1948"/>
      <c r="V399" s="1954"/>
      <c r="W399" s="1948"/>
      <c r="X399" s="1954"/>
      <c r="Y399" s="1948"/>
      <c r="Z399" s="1962"/>
      <c r="AA399" s="1948"/>
      <c r="AB399" s="1948"/>
      <c r="AC399" s="1948"/>
      <c r="AD399" s="1948"/>
      <c r="AE399" s="1385"/>
      <c r="AF399" s="1385" t="s">
        <v>332</v>
      </c>
      <c r="AG399" s="1408"/>
      <c r="AH399" s="1159"/>
      <c r="AI399" s="1160" t="s">
        <v>331</v>
      </c>
      <c r="AJ399" s="1160"/>
      <c r="AK399" s="1285"/>
      <c r="AL399" s="1723" t="s">
        <v>524</v>
      </c>
      <c r="AM399" s="1969"/>
      <c r="AN399" s="1872"/>
      <c r="AO399" s="2641" t="s">
        <v>334</v>
      </c>
      <c r="AP399" s="1872"/>
      <c r="AQ399" s="778"/>
      <c r="AR399" s="1723" t="s">
        <v>525</v>
      </c>
      <c r="AS399" s="778"/>
      <c r="AT399" s="1452"/>
      <c r="AU399" s="1394"/>
      <c r="AV399" s="1873"/>
      <c r="AW399" s="1538"/>
      <c r="AX399" s="1331" t="s">
        <v>526</v>
      </c>
      <c r="AY399" s="1752"/>
      <c r="AZ399" s="1802"/>
      <c r="BA399" s="1723" t="s">
        <v>527</v>
      </c>
      <c r="BB399" s="1644"/>
      <c r="BC399" s="687"/>
      <c r="BD399" s="967" t="s">
        <v>379</v>
      </c>
      <c r="BE399" s="967"/>
      <c r="BF399" s="1794"/>
      <c r="BG399" s="1794" t="s">
        <v>379</v>
      </c>
      <c r="BH399" s="1794"/>
      <c r="BI399" s="1556"/>
      <c r="BJ399" s="1870"/>
      <c r="BK399" s="1556"/>
      <c r="BL399" s="1733"/>
      <c r="BM399" s="2869"/>
      <c r="BN399" s="2073"/>
      <c r="BO399" s="1107"/>
      <c r="BP399" s="1622"/>
      <c r="BQ399" s="1107"/>
      <c r="BR399" s="2072"/>
      <c r="BS399" s="1736"/>
      <c r="BT399" s="183"/>
      <c r="BU399" s="2074"/>
      <c r="BV399" s="1739"/>
      <c r="BW399" s="2868"/>
      <c r="BX399" s="2075"/>
      <c r="BY399" s="1622"/>
      <c r="BZ399" s="1107"/>
      <c r="CA399" s="2072"/>
    </row>
    <row r="400" spans="1:79" ht="27.6" customHeight="1" x14ac:dyDescent="0.4">
      <c r="A400" s="249"/>
      <c r="B400" s="249"/>
      <c r="C400" s="584" t="s">
        <v>307</v>
      </c>
      <c r="D400" s="1948"/>
      <c r="E400" s="1963"/>
      <c r="F400" s="1964"/>
      <c r="G400" s="1948"/>
      <c r="H400" s="1963"/>
      <c r="I400" s="1951"/>
      <c r="J400" s="1948"/>
      <c r="K400" s="1964"/>
      <c r="L400" s="1951"/>
      <c r="M400" s="1948"/>
      <c r="N400" s="1962"/>
      <c r="O400" s="1948"/>
      <c r="P400" s="1948"/>
      <c r="Q400" s="1964"/>
      <c r="R400" s="1951"/>
      <c r="S400" s="1954"/>
      <c r="T400" s="1948"/>
      <c r="U400" s="1948"/>
      <c r="V400" s="1954"/>
      <c r="W400" s="1948"/>
      <c r="X400" s="1954"/>
      <c r="Y400" s="1948"/>
      <c r="Z400" s="1962"/>
      <c r="AA400" s="1948"/>
      <c r="AB400" s="1948"/>
      <c r="AC400" s="1948"/>
      <c r="AD400" s="1948"/>
      <c r="AE400" s="1157"/>
      <c r="AF400" s="1385" t="s">
        <v>334</v>
      </c>
      <c r="AG400" s="1157"/>
      <c r="AH400" s="1164"/>
      <c r="AI400" s="1139" t="s">
        <v>366</v>
      </c>
      <c r="AJ400" s="1165"/>
      <c r="AK400" s="1285"/>
      <c r="AL400" s="1200"/>
      <c r="AM400" s="1969"/>
      <c r="AN400" s="1872"/>
      <c r="AO400" s="1421"/>
      <c r="AP400" s="1438"/>
      <c r="AQ400" s="1134"/>
      <c r="AR400" s="1134"/>
      <c r="AS400" s="1640"/>
      <c r="AT400" s="1452"/>
      <c r="AU400" s="1394"/>
      <c r="AV400" s="1873"/>
      <c r="AW400" s="1894"/>
      <c r="AX400" s="684"/>
      <c r="AY400" s="783"/>
      <c r="AZ400" s="1694"/>
      <c r="BA400" s="1802"/>
      <c r="BB400" s="1644"/>
      <c r="BC400" s="1958"/>
      <c r="BD400" s="975"/>
      <c r="BE400" s="965"/>
      <c r="BF400" s="1794"/>
      <c r="BG400" s="1859" t="s">
        <v>522</v>
      </c>
      <c r="BH400" s="1883"/>
      <c r="BI400" s="1556"/>
      <c r="BJ400" s="1271"/>
      <c r="BK400" s="1881"/>
      <c r="BL400" s="182"/>
      <c r="BM400" s="2869"/>
      <c r="BN400" s="1783"/>
      <c r="BO400" s="1107"/>
      <c r="BP400" s="1107"/>
      <c r="BQ400" s="1107"/>
      <c r="BR400" s="1614"/>
      <c r="BS400" s="183"/>
      <c r="BT400" s="183"/>
      <c r="BU400" s="1784"/>
      <c r="BV400" s="184"/>
      <c r="BW400" s="2802"/>
      <c r="BX400" s="1785"/>
      <c r="BY400" s="1107"/>
      <c r="BZ400" s="1107"/>
      <c r="CA400" s="1614"/>
    </row>
    <row r="401" spans="1:79" ht="27.6" customHeight="1" x14ac:dyDescent="0.4">
      <c r="A401" s="249"/>
      <c r="B401" s="249"/>
      <c r="C401" s="584"/>
      <c r="D401" s="1948"/>
      <c r="E401" s="1963"/>
      <c r="F401" s="1964"/>
      <c r="G401" s="1948"/>
      <c r="H401" s="1963"/>
      <c r="I401" s="1951"/>
      <c r="J401" s="1948"/>
      <c r="K401" s="1964"/>
      <c r="L401" s="1951"/>
      <c r="M401" s="1948"/>
      <c r="N401" s="1962"/>
      <c r="O401" s="1948"/>
      <c r="P401" s="1948"/>
      <c r="Q401" s="1964"/>
      <c r="R401" s="1951"/>
      <c r="S401" s="1954"/>
      <c r="T401" s="1948"/>
      <c r="U401" s="1948"/>
      <c r="V401" s="1954"/>
      <c r="W401" s="1948"/>
      <c r="X401" s="1954"/>
      <c r="Y401" s="1948"/>
      <c r="Z401" s="1962"/>
      <c r="AA401" s="1948"/>
      <c r="AB401" s="1948"/>
      <c r="AC401" s="1948"/>
      <c r="AD401" s="1948"/>
      <c r="AE401" s="1157"/>
      <c r="AF401" s="1429"/>
      <c r="AG401" s="1157"/>
      <c r="AH401" s="793"/>
      <c r="AI401" s="793" t="s">
        <v>336</v>
      </c>
      <c r="AJ401" s="793"/>
      <c r="AK401" s="1285"/>
      <c r="AL401" s="1200"/>
      <c r="AM401" s="1969"/>
      <c r="AN401" s="1872"/>
      <c r="AO401" s="1421"/>
      <c r="AP401" s="1438"/>
      <c r="AQ401" s="1134"/>
      <c r="AR401" s="1134"/>
      <c r="AS401" s="1640"/>
      <c r="AT401" s="1452"/>
      <c r="AU401" s="1394"/>
      <c r="AV401" s="1873"/>
      <c r="AW401" s="1894"/>
      <c r="AX401" s="684"/>
      <c r="AY401" s="783"/>
      <c r="AZ401" s="1694"/>
      <c r="BA401" s="1802"/>
      <c r="BB401" s="1644"/>
      <c r="BC401" s="1958"/>
      <c r="BD401" s="975"/>
      <c r="BE401" s="965"/>
      <c r="BF401" s="1794"/>
      <c r="BG401" s="1859" t="s">
        <v>351</v>
      </c>
      <c r="BH401" s="1883"/>
      <c r="BI401" s="1556"/>
      <c r="BJ401" s="1169" t="s">
        <v>371</v>
      </c>
      <c r="BK401" s="1881"/>
      <c r="BL401" s="182"/>
      <c r="BM401" s="2869"/>
      <c r="BN401" s="1783"/>
      <c r="BO401" s="1580"/>
      <c r="BP401" s="1107"/>
      <c r="BQ401" s="1107"/>
      <c r="BR401" s="1614"/>
      <c r="BS401" s="183"/>
      <c r="BT401" s="183"/>
      <c r="BU401" s="1784"/>
      <c r="BV401" s="184"/>
      <c r="BW401" s="2802"/>
      <c r="BX401" s="1785"/>
      <c r="BY401" s="1107"/>
      <c r="BZ401" s="1107"/>
      <c r="CA401" s="1614"/>
    </row>
    <row r="402" spans="1:79" ht="18" customHeight="1" x14ac:dyDescent="0.4">
      <c r="A402" s="249"/>
      <c r="B402" s="249"/>
      <c r="C402" s="584" t="s">
        <v>307</v>
      </c>
      <c r="D402" s="1948"/>
      <c r="E402" s="1963"/>
      <c r="F402" s="1964"/>
      <c r="G402" s="1948"/>
      <c r="H402" s="1963"/>
      <c r="I402" s="1951"/>
      <c r="J402" s="1948"/>
      <c r="K402" s="1964"/>
      <c r="L402" s="1951"/>
      <c r="M402" s="1948"/>
      <c r="N402" s="1962"/>
      <c r="O402" s="1948"/>
      <c r="P402" s="1948"/>
      <c r="Q402" s="1964"/>
      <c r="R402" s="1951"/>
      <c r="S402" s="1954"/>
      <c r="T402" s="1948"/>
      <c r="U402" s="1948"/>
      <c r="V402" s="1954"/>
      <c r="W402" s="1948"/>
      <c r="X402" s="1954"/>
      <c r="Y402" s="1948"/>
      <c r="Z402" s="1962"/>
      <c r="AA402" s="1948"/>
      <c r="AB402" s="1948"/>
      <c r="AC402" s="1948"/>
      <c r="AD402" s="1948"/>
      <c r="AE402" s="1157"/>
      <c r="AF402" s="1157"/>
      <c r="AG402" s="2070"/>
      <c r="AH402" s="1645"/>
      <c r="AI402" s="1160" t="s">
        <v>330</v>
      </c>
      <c r="AJ402" s="1256"/>
      <c r="AK402" s="1285"/>
      <c r="AL402" s="1200"/>
      <c r="AM402" s="1969"/>
      <c r="AN402" s="1872"/>
      <c r="AO402" s="1421"/>
      <c r="AP402" s="1438"/>
      <c r="AQ402" s="1134"/>
      <c r="AR402" s="1134"/>
      <c r="AS402" s="1640"/>
      <c r="AT402" s="1452"/>
      <c r="AU402" s="1394"/>
      <c r="AV402" s="1873"/>
      <c r="AW402" s="1894"/>
      <c r="AX402" s="684"/>
      <c r="AY402" s="783"/>
      <c r="AZ402" s="1694"/>
      <c r="BA402" s="1802"/>
      <c r="BB402" s="1644"/>
      <c r="BC402" s="1958"/>
      <c r="BD402" s="975"/>
      <c r="BE402" s="965"/>
      <c r="BF402" s="1794"/>
      <c r="BG402" s="1794"/>
      <c r="BH402" s="1794"/>
      <c r="BI402" s="1556"/>
      <c r="BJ402" s="1169"/>
      <c r="BK402" s="1881"/>
      <c r="BL402" s="1733"/>
      <c r="BM402" s="2869"/>
      <c r="BN402" s="1783"/>
      <c r="BO402" s="1580"/>
      <c r="BP402" s="1622"/>
      <c r="BQ402" s="1108"/>
      <c r="BR402" s="1614"/>
      <c r="BS402" s="1736"/>
      <c r="BT402" s="1756"/>
      <c r="BU402" s="1784"/>
      <c r="BV402" s="1739"/>
      <c r="BW402" s="2076"/>
      <c r="BX402" s="1785"/>
      <c r="BY402" s="1622"/>
      <c r="BZ402" s="1108"/>
      <c r="CA402" s="1614"/>
    </row>
    <row r="403" spans="1:79" ht="29.25" customHeight="1" x14ac:dyDescent="0.4">
      <c r="A403" s="249"/>
      <c r="B403" s="249"/>
      <c r="C403" s="584">
        <v>0.76388888888888795</v>
      </c>
      <c r="D403" s="1948"/>
      <c r="E403" s="1963"/>
      <c r="F403" s="1964"/>
      <c r="G403" s="1948"/>
      <c r="H403" s="1963"/>
      <c r="I403" s="1951"/>
      <c r="J403" s="1948"/>
      <c r="K403" s="1964"/>
      <c r="L403" s="1951"/>
      <c r="M403" s="1948"/>
      <c r="N403" s="1962"/>
      <c r="O403" s="1948"/>
      <c r="P403" s="1948"/>
      <c r="Q403" s="1964"/>
      <c r="R403" s="1951"/>
      <c r="S403" s="1954"/>
      <c r="T403" s="1948"/>
      <c r="U403" s="1948"/>
      <c r="V403" s="1954"/>
      <c r="W403" s="1948"/>
      <c r="X403" s="1954"/>
      <c r="Y403" s="1948"/>
      <c r="Z403" s="1962"/>
      <c r="AA403" s="1948"/>
      <c r="AB403" s="1948"/>
      <c r="AC403" s="1948"/>
      <c r="AD403" s="1948"/>
      <c r="AE403" s="1157"/>
      <c r="AF403" s="2077"/>
      <c r="AG403" s="1528"/>
      <c r="AH403" s="1160"/>
      <c r="AI403" s="1159"/>
      <c r="AJ403" s="1160"/>
      <c r="AK403" s="1285"/>
      <c r="AL403" s="2553" t="s">
        <v>470</v>
      </c>
      <c r="AM403" s="1969"/>
      <c r="AN403" s="1273"/>
      <c r="AO403" s="1273"/>
      <c r="AP403" s="1603"/>
      <c r="AQ403" s="1134"/>
      <c r="AR403" s="1134"/>
      <c r="AS403" s="1640"/>
      <c r="AT403" s="1892"/>
      <c r="AU403" s="1394"/>
      <c r="AV403" s="1873"/>
      <c r="AW403" s="684"/>
      <c r="AX403" s="684"/>
      <c r="AY403" s="783"/>
      <c r="AZ403" s="1802"/>
      <c r="BA403" s="1802"/>
      <c r="BB403" s="1644"/>
      <c r="BC403" s="687"/>
      <c r="BD403" s="1374"/>
      <c r="BE403" s="965"/>
      <c r="BF403" s="1794"/>
      <c r="BG403" s="1859"/>
      <c r="BH403" s="1883"/>
      <c r="BI403" s="1556"/>
      <c r="BJ403" s="2642"/>
      <c r="BK403" s="2078"/>
      <c r="BL403" s="182"/>
      <c r="BM403" s="2869"/>
      <c r="BN403" s="1734"/>
      <c r="BO403" s="1580"/>
      <c r="BP403" s="1107"/>
      <c r="BQ403" s="1107"/>
      <c r="BR403" s="1191"/>
      <c r="BS403" s="183"/>
      <c r="BT403" s="183"/>
      <c r="BU403" s="1737"/>
      <c r="BV403" s="184"/>
      <c r="BW403" s="2802"/>
      <c r="BX403" s="1740"/>
      <c r="BY403" s="1107"/>
      <c r="BZ403" s="1107"/>
      <c r="CA403" s="1191"/>
    </row>
    <row r="404" spans="1:79" ht="14.25" customHeight="1" x14ac:dyDescent="0.4">
      <c r="A404" s="249"/>
      <c r="B404" s="249"/>
      <c r="C404" s="584" t="s">
        <v>307</v>
      </c>
      <c r="D404" s="1948"/>
      <c r="E404" s="1963"/>
      <c r="F404" s="1964"/>
      <c r="G404" s="1948"/>
      <c r="H404" s="1963"/>
      <c r="I404" s="1951"/>
      <c r="J404" s="1948"/>
      <c r="K404" s="1964"/>
      <c r="L404" s="1951"/>
      <c r="M404" s="1948"/>
      <c r="N404" s="1962"/>
      <c r="O404" s="1948"/>
      <c r="P404" s="1948"/>
      <c r="Q404" s="1964"/>
      <c r="R404" s="1951"/>
      <c r="S404" s="1954"/>
      <c r="T404" s="1948"/>
      <c r="U404" s="1948"/>
      <c r="V404" s="1954"/>
      <c r="W404" s="1948"/>
      <c r="X404" s="1954"/>
      <c r="Y404" s="1948"/>
      <c r="Z404" s="1962"/>
      <c r="AA404" s="1948"/>
      <c r="AB404" s="1948"/>
      <c r="AC404" s="1948"/>
      <c r="AD404" s="1948"/>
      <c r="AE404" s="1157"/>
      <c r="AF404" s="2077"/>
      <c r="AG404" s="1528"/>
      <c r="AH404" s="1160"/>
      <c r="AI404" s="1159"/>
      <c r="AJ404" s="1160"/>
      <c r="AK404" s="1285"/>
      <c r="AL404" s="1200"/>
      <c r="AM404" s="1969"/>
      <c r="AN404" s="1273"/>
      <c r="AO404" s="1273"/>
      <c r="AP404" s="1603"/>
      <c r="AQ404" s="1134"/>
      <c r="AR404" s="1134"/>
      <c r="AS404" s="1640"/>
      <c r="AT404" s="1892"/>
      <c r="AU404" s="1394"/>
      <c r="AV404" s="1873"/>
      <c r="AW404" s="684"/>
      <c r="AX404" s="684"/>
      <c r="AY404" s="783"/>
      <c r="AZ404" s="1802"/>
      <c r="BA404" s="1802"/>
      <c r="BB404" s="1644"/>
      <c r="BC404" s="664"/>
      <c r="BD404" s="1374"/>
      <c r="BE404" s="965"/>
      <c r="BF404" s="1794"/>
      <c r="BG404" s="1859"/>
      <c r="BH404" s="1883"/>
      <c r="BI404" s="1556"/>
      <c r="BJ404" s="2643"/>
      <c r="BK404" s="2079"/>
      <c r="BL404" s="182"/>
      <c r="BM404" s="2869"/>
      <c r="BN404" s="1734"/>
      <c r="BO404" s="1580"/>
      <c r="BP404" s="1107"/>
      <c r="BQ404" s="1107"/>
      <c r="BR404" s="1191"/>
      <c r="BS404" s="183"/>
      <c r="BT404" s="183"/>
      <c r="BU404" s="1737"/>
      <c r="BV404" s="184"/>
      <c r="BW404" s="2802"/>
      <c r="BX404" s="1740"/>
      <c r="BY404" s="1107"/>
      <c r="BZ404" s="1107"/>
      <c r="CA404" s="1191"/>
    </row>
    <row r="405" spans="1:79" ht="26.1" customHeight="1" x14ac:dyDescent="0.4">
      <c r="A405" s="249"/>
      <c r="B405" s="249"/>
      <c r="C405" s="584">
        <v>0.76736111111111005</v>
      </c>
      <c r="D405" s="1948"/>
      <c r="E405" s="1963"/>
      <c r="F405" s="1964"/>
      <c r="G405" s="1948"/>
      <c r="H405" s="1963"/>
      <c r="I405" s="1951"/>
      <c r="J405" s="1948"/>
      <c r="K405" s="1964"/>
      <c r="L405" s="1951"/>
      <c r="M405" s="1948"/>
      <c r="N405" s="1962"/>
      <c r="O405" s="1948"/>
      <c r="P405" s="1948"/>
      <c r="Q405" s="1964"/>
      <c r="R405" s="1951"/>
      <c r="S405" s="1954"/>
      <c r="T405" s="1948"/>
      <c r="U405" s="1948"/>
      <c r="V405" s="1954"/>
      <c r="W405" s="1948"/>
      <c r="X405" s="1954"/>
      <c r="Y405" s="1948"/>
      <c r="Z405" s="1962"/>
      <c r="AA405" s="1948"/>
      <c r="AB405" s="1948"/>
      <c r="AC405" s="1948"/>
      <c r="AD405" s="1948"/>
      <c r="AE405" s="1157"/>
      <c r="AF405" s="1157"/>
      <c r="AG405" s="2080"/>
      <c r="AH405" s="1160"/>
      <c r="AI405" s="1645"/>
      <c r="AJ405" s="1160"/>
      <c r="AK405" s="1285"/>
      <c r="AL405" s="1200"/>
      <c r="AM405" s="1969"/>
      <c r="AN405" s="1273"/>
      <c r="AO405" s="1421"/>
      <c r="AP405" s="1438"/>
      <c r="AQ405" s="778"/>
      <c r="AR405" s="1536" t="s">
        <v>528</v>
      </c>
      <c r="AS405" s="1640"/>
      <c r="AT405" s="1394"/>
      <c r="AU405" s="2081"/>
      <c r="AV405" s="1873"/>
      <c r="AW405" s="1781"/>
      <c r="AX405" s="684"/>
      <c r="AY405" s="783"/>
      <c r="AZ405" s="1802"/>
      <c r="BA405" s="2082"/>
      <c r="BB405" s="1644"/>
      <c r="BC405" s="664"/>
      <c r="BD405" s="967"/>
      <c r="BE405" s="965"/>
      <c r="BF405" s="1794"/>
      <c r="BG405" s="1978"/>
      <c r="BH405" s="1883"/>
      <c r="BI405" s="1556"/>
      <c r="BJ405" s="2642"/>
      <c r="BK405" s="1998"/>
      <c r="BL405" s="182"/>
      <c r="BM405" s="2869"/>
      <c r="BN405" s="1734"/>
      <c r="BO405" s="1107"/>
      <c r="BP405" s="1107"/>
      <c r="BQ405" s="1107"/>
      <c r="BR405" s="1191"/>
      <c r="BS405" s="183"/>
      <c r="BT405" s="183"/>
      <c r="BU405" s="1737"/>
      <c r="BV405" s="184"/>
      <c r="BW405" s="2802"/>
      <c r="BX405" s="1740"/>
      <c r="BY405" s="1107"/>
      <c r="BZ405" s="1107"/>
      <c r="CA405" s="1191"/>
    </row>
    <row r="406" spans="1:79" ht="14.25" customHeight="1" x14ac:dyDescent="0.4">
      <c r="A406" s="249"/>
      <c r="B406" s="249"/>
      <c r="C406" s="584" t="s">
        <v>307</v>
      </c>
      <c r="D406" s="1948"/>
      <c r="E406" s="1963"/>
      <c r="F406" s="1964"/>
      <c r="G406" s="1948"/>
      <c r="H406" s="1963"/>
      <c r="I406" s="1951"/>
      <c r="J406" s="1948"/>
      <c r="K406" s="1964"/>
      <c r="L406" s="1951"/>
      <c r="M406" s="1948"/>
      <c r="N406" s="1962"/>
      <c r="O406" s="1948"/>
      <c r="P406" s="1948"/>
      <c r="Q406" s="1964"/>
      <c r="R406" s="1951"/>
      <c r="S406" s="1954"/>
      <c r="T406" s="1948"/>
      <c r="U406" s="1948"/>
      <c r="V406" s="1954"/>
      <c r="W406" s="1948"/>
      <c r="X406" s="1954"/>
      <c r="Y406" s="1948"/>
      <c r="Z406" s="1962"/>
      <c r="AA406" s="1948"/>
      <c r="AB406" s="1948"/>
      <c r="AC406" s="1948"/>
      <c r="AD406" s="1948"/>
      <c r="AE406" s="1157"/>
      <c r="AF406" s="1136"/>
      <c r="AG406" s="1157"/>
      <c r="AH406" s="1160"/>
      <c r="AI406" s="1645"/>
      <c r="AJ406" s="1160"/>
      <c r="AK406" s="1285"/>
      <c r="AL406" s="1200"/>
      <c r="AM406" s="1969"/>
      <c r="AN406" s="1273"/>
      <c r="AO406" s="1273"/>
      <c r="AP406" s="1438"/>
      <c r="AQ406" s="778"/>
      <c r="AR406" s="778"/>
      <c r="AS406" s="1640"/>
      <c r="AT406" s="1394"/>
      <c r="AU406" s="2083"/>
      <c r="AV406" s="1786"/>
      <c r="AW406" s="1781"/>
      <c r="AX406" s="684"/>
      <c r="AY406" s="2084"/>
      <c r="AZ406" s="1802"/>
      <c r="BA406" s="2082"/>
      <c r="BB406" s="1644"/>
      <c r="BC406" s="664"/>
      <c r="BD406" s="967"/>
      <c r="BE406" s="965"/>
      <c r="BF406" s="1794"/>
      <c r="BG406" s="1978"/>
      <c r="BH406" s="1883"/>
      <c r="BI406" s="1556"/>
      <c r="BJ406" s="2644"/>
      <c r="BK406" s="1998"/>
      <c r="BL406" s="182"/>
      <c r="BM406" s="2869"/>
      <c r="BN406" s="2073"/>
      <c r="BO406" s="1107"/>
      <c r="BP406" s="1107"/>
      <c r="BQ406" s="1107"/>
      <c r="BR406" s="2072"/>
      <c r="BS406" s="183"/>
      <c r="BT406" s="183"/>
      <c r="BU406" s="2074"/>
      <c r="BV406" s="184"/>
      <c r="BW406" s="2802"/>
      <c r="BX406" s="2075"/>
      <c r="BY406" s="1107"/>
      <c r="BZ406" s="1107"/>
      <c r="CA406" s="2072"/>
    </row>
    <row r="407" spans="1:79" ht="26.85" customHeight="1" x14ac:dyDescent="0.4">
      <c r="A407" s="249"/>
      <c r="B407" s="249"/>
      <c r="C407" s="584">
        <v>0.77083333333333204</v>
      </c>
      <c r="D407" s="1948"/>
      <c r="E407" s="1963"/>
      <c r="F407" s="1964"/>
      <c r="G407" s="1948"/>
      <c r="H407" s="1963"/>
      <c r="I407" s="1951"/>
      <c r="J407" s="1948"/>
      <c r="K407" s="1964"/>
      <c r="L407" s="1951"/>
      <c r="M407" s="1948"/>
      <c r="N407" s="1962"/>
      <c r="O407" s="1948"/>
      <c r="P407" s="1948"/>
      <c r="Q407" s="1964"/>
      <c r="R407" s="1951"/>
      <c r="S407" s="1954"/>
      <c r="T407" s="1948"/>
      <c r="U407" s="1948"/>
      <c r="V407" s="1954"/>
      <c r="W407" s="1948"/>
      <c r="X407" s="1954"/>
      <c r="Y407" s="1948"/>
      <c r="Z407" s="1962"/>
      <c r="AA407" s="1948"/>
      <c r="AB407" s="1948"/>
      <c r="AC407" s="1948"/>
      <c r="AD407" s="1948"/>
      <c r="AE407" s="1385"/>
      <c r="AF407" s="1385" t="s">
        <v>332</v>
      </c>
      <c r="AG407" s="1408"/>
      <c r="AH407" s="1159"/>
      <c r="AI407" s="1160" t="s">
        <v>331</v>
      </c>
      <c r="AJ407" s="1160"/>
      <c r="AK407" s="1285"/>
      <c r="AL407" s="1200"/>
      <c r="AM407" s="1969"/>
      <c r="AN407" s="1872"/>
      <c r="AO407" s="2086"/>
      <c r="AP407" s="1438"/>
      <c r="AQ407" s="778"/>
      <c r="AR407" s="778"/>
      <c r="AS407" s="1640"/>
      <c r="AT407" s="1892"/>
      <c r="AU407" s="1331" t="s">
        <v>529</v>
      </c>
      <c r="AV407" s="1873"/>
      <c r="AW407" s="1781"/>
      <c r="AX407" s="2087" t="s">
        <v>530</v>
      </c>
      <c r="AY407" s="2084"/>
      <c r="AZ407" s="1802"/>
      <c r="BA407" s="1723" t="s">
        <v>531</v>
      </c>
      <c r="BB407" s="1644"/>
      <c r="BC407" s="687"/>
      <c r="BD407" s="967" t="s">
        <v>379</v>
      </c>
      <c r="BE407" s="967"/>
      <c r="BF407" s="1794"/>
      <c r="BG407" s="1794" t="s">
        <v>379</v>
      </c>
      <c r="BH407" s="1794"/>
      <c r="BI407" s="1556"/>
      <c r="BJ407" s="2642" t="s">
        <v>371</v>
      </c>
      <c r="BK407" s="1789"/>
      <c r="BL407" s="1733"/>
      <c r="BM407" s="2869"/>
      <c r="BN407" s="1734"/>
      <c r="BO407" s="1107"/>
      <c r="BP407" s="1622"/>
      <c r="BQ407" s="1107"/>
      <c r="BR407" s="1191"/>
      <c r="BS407" s="1736"/>
      <c r="BT407" s="183"/>
      <c r="BU407" s="1737"/>
      <c r="BV407" s="1739"/>
      <c r="BW407" s="2802"/>
      <c r="BX407" s="1740"/>
      <c r="BY407" s="1622"/>
      <c r="BZ407" s="1107"/>
      <c r="CA407" s="1191"/>
    </row>
    <row r="408" spans="1:79" ht="27.6" customHeight="1" x14ac:dyDescent="0.4">
      <c r="A408" s="249"/>
      <c r="B408" s="249"/>
      <c r="C408" s="584" t="s">
        <v>307</v>
      </c>
      <c r="D408" s="1948"/>
      <c r="E408" s="1963"/>
      <c r="F408" s="1964"/>
      <c r="G408" s="1948"/>
      <c r="H408" s="1963"/>
      <c r="I408" s="1951"/>
      <c r="J408" s="1948"/>
      <c r="K408" s="1964"/>
      <c r="L408" s="1951"/>
      <c r="M408" s="1948"/>
      <c r="N408" s="1962"/>
      <c r="O408" s="1948"/>
      <c r="P408" s="1948"/>
      <c r="Q408" s="1964"/>
      <c r="R408" s="1951"/>
      <c r="S408" s="1954"/>
      <c r="T408" s="1948"/>
      <c r="U408" s="1948"/>
      <c r="V408" s="1954"/>
      <c r="W408" s="1948"/>
      <c r="X408" s="1954"/>
      <c r="Y408" s="1948"/>
      <c r="Z408" s="1962"/>
      <c r="AA408" s="1948"/>
      <c r="AB408" s="1948"/>
      <c r="AC408" s="1948"/>
      <c r="AD408" s="1948"/>
      <c r="AE408" s="1157"/>
      <c r="AF408" s="1157"/>
      <c r="AG408" s="1157"/>
      <c r="AH408" s="1164"/>
      <c r="AI408" s="1139" t="s">
        <v>366</v>
      </c>
      <c r="AJ408" s="1165"/>
      <c r="AK408" s="1285"/>
      <c r="AL408" s="1723" t="s">
        <v>532</v>
      </c>
      <c r="AM408" s="1969"/>
      <c r="AN408" s="1273"/>
      <c r="AO408" s="2086"/>
      <c r="AP408" s="1438"/>
      <c r="AQ408" s="778"/>
      <c r="AR408" s="778"/>
      <c r="AS408" s="1640"/>
      <c r="AT408" s="1892"/>
      <c r="AU408" s="2083"/>
      <c r="AV408" s="1460"/>
      <c r="AW408" s="1781"/>
      <c r="AX408" s="684"/>
      <c r="AY408" s="2084"/>
      <c r="AZ408" s="1802"/>
      <c r="BA408" s="1802"/>
      <c r="BB408" s="1644"/>
      <c r="BC408" s="1958"/>
      <c r="BD408" s="967"/>
      <c r="BE408" s="965"/>
      <c r="BF408" s="1794"/>
      <c r="BG408" s="1859" t="s">
        <v>533</v>
      </c>
      <c r="BH408" s="1883"/>
      <c r="BI408" s="1556"/>
      <c r="BJ408" s="2645" t="s">
        <v>334</v>
      </c>
      <c r="BK408" s="1556"/>
      <c r="BL408" s="182"/>
      <c r="BM408" s="2869"/>
      <c r="BN408" s="2073"/>
      <c r="BO408" s="1107"/>
      <c r="BP408" s="1107"/>
      <c r="BQ408" s="1107"/>
      <c r="BR408" s="2072"/>
      <c r="BS408" s="183"/>
      <c r="BT408" s="183"/>
      <c r="BU408" s="2074"/>
      <c r="BV408" s="504"/>
      <c r="BW408" s="2871" t="s">
        <v>534</v>
      </c>
      <c r="BX408" s="504"/>
      <c r="BY408" s="1107"/>
      <c r="BZ408" s="1107"/>
      <c r="CA408" s="2072"/>
    </row>
    <row r="409" spans="1:79" ht="28.5" customHeight="1" x14ac:dyDescent="0.4">
      <c r="A409" s="249"/>
      <c r="B409" s="249"/>
      <c r="C409" s="584" t="s">
        <v>307</v>
      </c>
      <c r="D409" s="1948"/>
      <c r="E409" s="1963"/>
      <c r="F409" s="1964"/>
      <c r="G409" s="1948"/>
      <c r="H409" s="1963"/>
      <c r="I409" s="1951"/>
      <c r="J409" s="1948"/>
      <c r="K409" s="1964"/>
      <c r="L409" s="1951"/>
      <c r="M409" s="1948"/>
      <c r="N409" s="1962"/>
      <c r="O409" s="1948"/>
      <c r="P409" s="1948"/>
      <c r="Q409" s="1964"/>
      <c r="R409" s="1951"/>
      <c r="S409" s="1954"/>
      <c r="T409" s="1948"/>
      <c r="U409" s="1948"/>
      <c r="V409" s="1954"/>
      <c r="W409" s="1948"/>
      <c r="X409" s="1954"/>
      <c r="Y409" s="1948"/>
      <c r="Z409" s="1962"/>
      <c r="AA409" s="1948"/>
      <c r="AB409" s="1948"/>
      <c r="AC409" s="1948"/>
      <c r="AD409" s="1948"/>
      <c r="AE409" s="1157"/>
      <c r="AF409" s="1157"/>
      <c r="AG409" s="1157"/>
      <c r="AH409" s="1159"/>
      <c r="AI409" s="1159" t="s">
        <v>334</v>
      </c>
      <c r="AJ409" s="1159"/>
      <c r="AK409" s="1285"/>
      <c r="AL409" s="1200"/>
      <c r="AM409" s="1969"/>
      <c r="AN409" s="1872"/>
      <c r="AO409" s="2086"/>
      <c r="AP409" s="1761"/>
      <c r="AQ409" s="778"/>
      <c r="AR409" s="778"/>
      <c r="AS409" s="1640"/>
      <c r="AT409" s="1892"/>
      <c r="AU409" s="2083"/>
      <c r="AV409" s="1460"/>
      <c r="AW409" s="1781"/>
      <c r="AX409" s="684"/>
      <c r="AY409" s="2084"/>
      <c r="AZ409" s="1802"/>
      <c r="BA409" s="1802"/>
      <c r="BB409" s="1644"/>
      <c r="BC409" s="664"/>
      <c r="BD409" s="967"/>
      <c r="BE409" s="965"/>
      <c r="BF409" s="1794"/>
      <c r="BG409" s="1859" t="s">
        <v>351</v>
      </c>
      <c r="BH409" s="1883"/>
      <c r="BI409" s="1556"/>
      <c r="BJ409" s="1169"/>
      <c r="BK409" s="2088"/>
      <c r="BL409" s="1732"/>
      <c r="BM409" s="2869"/>
      <c r="BN409" s="1783"/>
      <c r="BO409" s="1107"/>
      <c r="BP409" s="1161"/>
      <c r="BQ409" s="1107"/>
      <c r="BR409" s="1614"/>
      <c r="BS409" s="1735"/>
      <c r="BT409" s="183"/>
      <c r="BU409" s="1784"/>
      <c r="BV409" s="504"/>
      <c r="BW409" s="2871"/>
      <c r="BX409" s="504"/>
      <c r="BY409" s="1161"/>
      <c r="BZ409" s="1107"/>
      <c r="CA409" s="1614"/>
    </row>
    <row r="410" spans="1:79" ht="34.35" customHeight="1" x14ac:dyDescent="0.4">
      <c r="A410" s="249"/>
      <c r="B410" s="249"/>
      <c r="C410" s="584" t="s">
        <v>307</v>
      </c>
      <c r="D410" s="1948"/>
      <c r="E410" s="1963"/>
      <c r="F410" s="1964"/>
      <c r="G410" s="1948"/>
      <c r="H410" s="1963"/>
      <c r="I410" s="1951"/>
      <c r="J410" s="1948"/>
      <c r="K410" s="1964"/>
      <c r="L410" s="1951"/>
      <c r="M410" s="1948"/>
      <c r="N410" s="2089"/>
      <c r="O410" s="1948"/>
      <c r="P410" s="1948"/>
      <c r="Q410" s="1964"/>
      <c r="R410" s="1951"/>
      <c r="S410" s="1954"/>
      <c r="T410" s="1948"/>
      <c r="U410" s="1948"/>
      <c r="V410" s="1954"/>
      <c r="W410" s="1948"/>
      <c r="X410" s="1954"/>
      <c r="Y410" s="1948"/>
      <c r="Z410" s="2089"/>
      <c r="AA410" s="1948"/>
      <c r="AB410" s="1948"/>
      <c r="AC410" s="1948"/>
      <c r="AD410" s="1948"/>
      <c r="AE410" s="1157"/>
      <c r="AF410" s="1157"/>
      <c r="AG410" s="1157"/>
      <c r="AH410" s="1159"/>
      <c r="AI410" s="1159"/>
      <c r="AJ410" s="1159"/>
      <c r="AK410" s="1285"/>
      <c r="AL410" s="1200"/>
      <c r="AM410" s="1969"/>
      <c r="AN410" s="1872"/>
      <c r="AO410" s="2086"/>
      <c r="AP410" s="1761"/>
      <c r="AQ410" s="778"/>
      <c r="AR410" s="778"/>
      <c r="AS410" s="1640"/>
      <c r="AT410" s="1892"/>
      <c r="AU410" s="2083"/>
      <c r="AV410" s="1873"/>
      <c r="AW410" s="1781"/>
      <c r="AX410" s="684"/>
      <c r="AY410" s="2084"/>
      <c r="AZ410" s="1802"/>
      <c r="BA410" s="1802"/>
      <c r="BB410" s="1644"/>
      <c r="BC410" s="664"/>
      <c r="BD410" s="967"/>
      <c r="BE410" s="965"/>
      <c r="BF410" s="1794"/>
      <c r="BG410" s="1794"/>
      <c r="BH410" s="1794"/>
      <c r="BI410" s="1542"/>
      <c r="BJ410" s="2646"/>
      <c r="BK410" s="2088"/>
      <c r="BL410" s="1732"/>
      <c r="BM410" s="2869"/>
      <c r="BN410" s="1783"/>
      <c r="BO410" s="1107"/>
      <c r="BP410" s="1161"/>
      <c r="BQ410" s="1107"/>
      <c r="BR410" s="1614"/>
      <c r="BS410" s="1735"/>
      <c r="BT410" s="183"/>
      <c r="BU410" s="1784"/>
      <c r="BV410" s="504"/>
      <c r="BW410" s="2871"/>
      <c r="BX410" s="504"/>
      <c r="BY410" s="1161"/>
      <c r="BZ410" s="1107"/>
      <c r="CA410" s="1614"/>
    </row>
    <row r="411" spans="1:79" ht="34.35" customHeight="1" x14ac:dyDescent="0.4">
      <c r="A411" s="249"/>
      <c r="B411" s="249"/>
      <c r="C411" s="584"/>
      <c r="D411" s="1948"/>
      <c r="E411" s="1963"/>
      <c r="F411" s="1964"/>
      <c r="G411" s="1948"/>
      <c r="H411" s="1963"/>
      <c r="I411" s="1951"/>
      <c r="J411" s="1948"/>
      <c r="K411" s="1964"/>
      <c r="L411" s="1951"/>
      <c r="M411" s="1948"/>
      <c r="N411" s="2089"/>
      <c r="O411" s="1948"/>
      <c r="P411" s="1948"/>
      <c r="Q411" s="1964"/>
      <c r="R411" s="1951"/>
      <c r="S411" s="1954"/>
      <c r="T411" s="1948"/>
      <c r="U411" s="1948"/>
      <c r="V411" s="1954"/>
      <c r="W411" s="1948"/>
      <c r="X411" s="1954"/>
      <c r="Y411" s="1948"/>
      <c r="Z411" s="2089"/>
      <c r="AA411" s="1948"/>
      <c r="AB411" s="1948"/>
      <c r="AC411" s="1948"/>
      <c r="AD411" s="1948"/>
      <c r="AE411" s="1157"/>
      <c r="AF411" s="1157"/>
      <c r="AG411" s="1157"/>
      <c r="AH411" s="1159"/>
      <c r="AI411" s="1159"/>
      <c r="AJ411" s="1159"/>
      <c r="AK411" s="1285"/>
      <c r="AL411" s="1200"/>
      <c r="AM411" s="1969"/>
      <c r="AN411" s="1872"/>
      <c r="AO411" s="2086"/>
      <c r="AP411" s="1761"/>
      <c r="AQ411" s="778"/>
      <c r="AR411" s="778"/>
      <c r="AS411" s="1640"/>
      <c r="AT411" s="1892"/>
      <c r="AU411" s="2083"/>
      <c r="AV411" s="1873"/>
      <c r="AW411" s="1781"/>
      <c r="AX411" s="684"/>
      <c r="AY411" s="2084"/>
      <c r="AZ411" s="1802"/>
      <c r="BA411" s="1802"/>
      <c r="BB411" s="1644"/>
      <c r="BC411" s="664"/>
      <c r="BD411" s="967"/>
      <c r="BE411" s="965"/>
      <c r="BF411" s="1794"/>
      <c r="BG411" s="1859"/>
      <c r="BH411" s="1883"/>
      <c r="BI411" s="1542"/>
      <c r="BJ411" s="2646"/>
      <c r="BK411" s="2088"/>
      <c r="BL411" s="1732"/>
      <c r="BM411" s="2869"/>
      <c r="BN411" s="1783"/>
      <c r="BO411" s="1580"/>
      <c r="BP411" s="1161"/>
      <c r="BQ411" s="1107"/>
      <c r="BR411" s="1614"/>
      <c r="BS411" s="1735"/>
      <c r="BT411" s="183"/>
      <c r="BU411" s="1784"/>
      <c r="BV411" s="504"/>
      <c r="BW411" s="2871"/>
      <c r="BX411" s="504"/>
      <c r="BY411" s="1161"/>
      <c r="BZ411" s="1107"/>
      <c r="CA411" s="1614"/>
    </row>
    <row r="412" spans="1:79" ht="22.35" customHeight="1" x14ac:dyDescent="0.4">
      <c r="A412" s="249"/>
      <c r="B412" s="249"/>
      <c r="C412" s="584">
        <v>0.77430555555555403</v>
      </c>
      <c r="D412" s="1948"/>
      <c r="E412" s="1963"/>
      <c r="F412" s="1964"/>
      <c r="G412" s="1948"/>
      <c r="H412" s="1963"/>
      <c r="I412" s="1951"/>
      <c r="J412" s="1948"/>
      <c r="K412" s="1964"/>
      <c r="L412" s="1951"/>
      <c r="M412" s="2807"/>
      <c r="N412" s="1986"/>
      <c r="O412" s="2808"/>
      <c r="P412" s="1948"/>
      <c r="Q412" s="1964"/>
      <c r="R412" s="1951"/>
      <c r="S412" s="2807"/>
      <c r="T412" s="2807"/>
      <c r="U412" s="2808"/>
      <c r="V412" s="1954"/>
      <c r="W412" s="1948"/>
      <c r="X412" s="1954"/>
      <c r="Y412" s="2807"/>
      <c r="Z412" s="1986"/>
      <c r="AA412" s="2808"/>
      <c r="AB412" s="2808"/>
      <c r="AC412" s="2808"/>
      <c r="AD412" s="2808"/>
      <c r="AE412" s="1157"/>
      <c r="AF412" s="1136"/>
      <c r="AG412" s="1157"/>
      <c r="AH412" s="1160"/>
      <c r="AI412" s="1645"/>
      <c r="AJ412" s="1160"/>
      <c r="AK412" s="1285"/>
      <c r="AL412" s="1200"/>
      <c r="AM412" s="1969"/>
      <c r="AN412" s="1273"/>
      <c r="AO412" s="2086"/>
      <c r="AP412" s="1438"/>
      <c r="AQ412" s="778"/>
      <c r="AR412" s="778"/>
      <c r="AS412" s="1640"/>
      <c r="AT412" s="1892"/>
      <c r="AU412" s="1210"/>
      <c r="AV412" s="1873"/>
      <c r="AW412" s="684"/>
      <c r="AX412" s="684"/>
      <c r="AY412" s="993"/>
      <c r="AZ412" s="1802"/>
      <c r="BA412" s="2091"/>
      <c r="BB412" s="1644"/>
      <c r="BC412" s="869"/>
      <c r="BD412" s="1374"/>
      <c r="BE412" s="965"/>
      <c r="BF412" s="1794"/>
      <c r="BG412" s="1859"/>
      <c r="BH412" s="1883"/>
      <c r="BI412" s="1556"/>
      <c r="BJ412" s="2642"/>
      <c r="BK412" s="1636"/>
      <c r="BL412" s="182"/>
      <c r="BM412" s="2869"/>
      <c r="BN412" s="1734"/>
      <c r="BO412" s="1580"/>
      <c r="BP412" s="1107"/>
      <c r="BQ412" s="1107"/>
      <c r="BR412" s="1191"/>
      <c r="BS412" s="183"/>
      <c r="BT412" s="183"/>
      <c r="BU412" s="1737"/>
      <c r="BV412" s="504"/>
      <c r="BW412" s="2871"/>
      <c r="BX412" s="504"/>
      <c r="BY412" s="1107"/>
      <c r="BZ412" s="1107"/>
      <c r="CA412" s="1191"/>
    </row>
    <row r="413" spans="1:79" ht="13.5" customHeight="1" x14ac:dyDescent="0.4">
      <c r="A413" s="249"/>
      <c r="B413" s="249"/>
      <c r="C413" s="584" t="s">
        <v>307</v>
      </c>
      <c r="D413" s="1948"/>
      <c r="E413" s="1963"/>
      <c r="F413" s="1964"/>
      <c r="G413" s="1948"/>
      <c r="H413" s="1963"/>
      <c r="I413" s="1951"/>
      <c r="J413" s="1948"/>
      <c r="K413" s="1964"/>
      <c r="L413" s="1951"/>
      <c r="M413" s="2807"/>
      <c r="N413" s="1986"/>
      <c r="O413" s="2808"/>
      <c r="P413" s="1948"/>
      <c r="Q413" s="1964"/>
      <c r="R413" s="1951"/>
      <c r="S413" s="2807"/>
      <c r="T413" s="2807"/>
      <c r="U413" s="2808"/>
      <c r="V413" s="1954"/>
      <c r="W413" s="1948"/>
      <c r="X413" s="1954"/>
      <c r="Y413" s="2807"/>
      <c r="Z413" s="1986"/>
      <c r="AA413" s="2808"/>
      <c r="AB413" s="2808"/>
      <c r="AC413" s="2808"/>
      <c r="AD413" s="2808"/>
      <c r="AE413" s="1157"/>
      <c r="AF413" s="1136"/>
      <c r="AG413" s="1157"/>
      <c r="AH413" s="1160"/>
      <c r="AI413" s="1645"/>
      <c r="AJ413" s="1160"/>
      <c r="AK413" s="1285"/>
      <c r="AL413" s="1200"/>
      <c r="AM413" s="1969"/>
      <c r="AN413" s="1273"/>
      <c r="AO413" s="1273"/>
      <c r="AP413" s="1438"/>
      <c r="AQ413" s="778"/>
      <c r="AR413" s="778"/>
      <c r="AS413" s="1640"/>
      <c r="AT413" s="1892"/>
      <c r="AU413" s="1394"/>
      <c r="AV413" s="1873"/>
      <c r="AW413" s="684"/>
      <c r="AX413" s="684"/>
      <c r="AY413" s="993"/>
      <c r="AZ413" s="1802"/>
      <c r="BA413" s="2091"/>
      <c r="BB413" s="1644"/>
      <c r="BC413" s="664"/>
      <c r="BD413" s="967"/>
      <c r="BE413" s="965"/>
      <c r="BF413" s="1794"/>
      <c r="BG413" s="1859"/>
      <c r="BH413" s="1401"/>
      <c r="BI413" s="1556"/>
      <c r="BJ413" s="2642"/>
      <c r="BK413" s="1636"/>
      <c r="BL413" s="182"/>
      <c r="BM413" s="2869"/>
      <c r="BN413" s="1734"/>
      <c r="BO413" s="1580"/>
      <c r="BP413" s="1107"/>
      <c r="BQ413" s="1107"/>
      <c r="BR413" s="1191"/>
      <c r="BS413" s="183"/>
      <c r="BT413" s="183"/>
      <c r="BU413" s="1737"/>
      <c r="BV413" s="504"/>
      <c r="BW413" s="2871"/>
      <c r="BX413" s="504"/>
      <c r="BY413" s="1107"/>
      <c r="BZ413" s="1107"/>
      <c r="CA413" s="1191"/>
    </row>
    <row r="414" spans="1:79" ht="13.5" customHeight="1" x14ac:dyDescent="0.4">
      <c r="A414" s="249"/>
      <c r="B414" s="249"/>
      <c r="C414" s="584">
        <v>0.77777777777777601</v>
      </c>
      <c r="D414" s="1948"/>
      <c r="E414" s="1963"/>
      <c r="F414" s="1964"/>
      <c r="G414" s="1948"/>
      <c r="H414" s="1963"/>
      <c r="I414" s="1951"/>
      <c r="J414" s="1948"/>
      <c r="K414" s="1964"/>
      <c r="L414" s="1951"/>
      <c r="M414" s="2092"/>
      <c r="N414" s="2093"/>
      <c r="O414" s="2808"/>
      <c r="P414" s="1948"/>
      <c r="Q414" s="1964"/>
      <c r="R414" s="1951"/>
      <c r="S414" s="2807"/>
      <c r="T414" s="2092"/>
      <c r="U414" s="1953"/>
      <c r="V414" s="1954"/>
      <c r="W414" s="1948"/>
      <c r="X414" s="1954"/>
      <c r="Y414" s="2092"/>
      <c r="Z414" s="2093"/>
      <c r="AA414" s="2808"/>
      <c r="AB414" s="1953"/>
      <c r="AC414" s="1953"/>
      <c r="AD414" s="1953"/>
      <c r="AE414" s="1157"/>
      <c r="AF414" s="1136"/>
      <c r="AG414" s="1157"/>
      <c r="AH414" s="1160"/>
      <c r="AI414" s="1645"/>
      <c r="AJ414" s="1160"/>
      <c r="AK414" s="1285"/>
      <c r="AL414" s="1200"/>
      <c r="AM414" s="1969"/>
      <c r="AN414" s="1273"/>
      <c r="AO414" s="1273"/>
      <c r="AP414" s="1438"/>
      <c r="AQ414" s="778"/>
      <c r="AR414" s="778"/>
      <c r="AS414" s="1640"/>
      <c r="AT414" s="1394"/>
      <c r="AU414" s="1392"/>
      <c r="AV414" s="1873"/>
      <c r="AW414" s="684"/>
      <c r="AX414" s="684"/>
      <c r="AY414" s="783"/>
      <c r="AZ414" s="1802"/>
      <c r="BA414" s="1802"/>
      <c r="BB414" s="1802"/>
      <c r="BC414" s="664"/>
      <c r="BD414" s="967"/>
      <c r="BE414" s="965"/>
      <c r="BF414" s="1794"/>
      <c r="BG414" s="1859"/>
      <c r="BH414" s="1883"/>
      <c r="BI414" s="1556"/>
      <c r="BJ414" s="2642"/>
      <c r="BK414" s="1998"/>
      <c r="BL414" s="182"/>
      <c r="BM414" s="2869"/>
      <c r="BN414" s="1734"/>
      <c r="BO414" s="1580"/>
      <c r="BP414" s="1107"/>
      <c r="BQ414" s="1107"/>
      <c r="BR414" s="1191"/>
      <c r="BS414" s="183"/>
      <c r="BT414" s="183"/>
      <c r="BU414" s="1737"/>
      <c r="BV414" s="504"/>
      <c r="BW414" s="2871"/>
      <c r="BX414" s="504"/>
      <c r="BY414" s="1107"/>
      <c r="BZ414" s="1107"/>
      <c r="CA414" s="1191"/>
    </row>
    <row r="415" spans="1:79" ht="26.1" customHeight="1" x14ac:dyDescent="0.4">
      <c r="A415" s="249"/>
      <c r="B415" s="249"/>
      <c r="C415" s="584">
        <v>0.781249999999999</v>
      </c>
      <c r="D415" s="1948"/>
      <c r="E415" s="1963"/>
      <c r="F415" s="1964"/>
      <c r="G415" s="1948"/>
      <c r="H415" s="1963"/>
      <c r="I415" s="1951"/>
      <c r="J415" s="1948"/>
      <c r="K415" s="1964"/>
      <c r="L415" s="1951"/>
      <c r="M415" s="2092"/>
      <c r="N415" s="2093"/>
      <c r="O415" s="2808"/>
      <c r="P415" s="1948"/>
      <c r="Q415" s="1964"/>
      <c r="R415" s="1951"/>
      <c r="S415" s="2807"/>
      <c r="T415" s="2092"/>
      <c r="U415" s="1953"/>
      <c r="V415" s="1954"/>
      <c r="W415" s="1948"/>
      <c r="X415" s="1954"/>
      <c r="Y415" s="2092"/>
      <c r="Z415" s="2093"/>
      <c r="AA415" s="2808"/>
      <c r="AB415" s="1953"/>
      <c r="AC415" s="1953"/>
      <c r="AD415" s="1953"/>
      <c r="AE415" s="1385"/>
      <c r="AF415" s="1385" t="s">
        <v>332</v>
      </c>
      <c r="AG415" s="1408"/>
      <c r="AH415" s="1159"/>
      <c r="AI415" s="1160" t="s">
        <v>331</v>
      </c>
      <c r="AJ415" s="1160"/>
      <c r="AK415" s="1285"/>
      <c r="AL415" s="1200"/>
      <c r="AM415" s="1969"/>
      <c r="AN415" s="1273"/>
      <c r="AO415" s="1273"/>
      <c r="AP415" s="1438"/>
      <c r="AQ415" s="778"/>
      <c r="AR415" s="778"/>
      <c r="AS415" s="1640"/>
      <c r="AT415" s="1394"/>
      <c r="AU415" s="1394"/>
      <c r="AV415" s="1394"/>
      <c r="AW415" s="684"/>
      <c r="AX415" s="1331" t="s">
        <v>535</v>
      </c>
      <c r="AY415" s="783"/>
      <c r="AZ415" s="1802"/>
      <c r="BA415" s="1802"/>
      <c r="BB415" s="1644"/>
      <c r="BC415" s="687"/>
      <c r="BD415" s="967" t="s">
        <v>379</v>
      </c>
      <c r="BE415" s="967"/>
      <c r="BF415" s="1794"/>
      <c r="BG415" s="1896" t="s">
        <v>379</v>
      </c>
      <c r="BH415" s="1794"/>
      <c r="BI415" s="1556"/>
      <c r="BJ415" s="2642" t="s">
        <v>371</v>
      </c>
      <c r="BK415" s="1556"/>
      <c r="BL415" s="1733"/>
      <c r="BM415" s="2869"/>
      <c r="BN415" s="182"/>
      <c r="BO415" s="1107"/>
      <c r="BP415" s="1622"/>
      <c r="BQ415" s="1107"/>
      <c r="BR415" s="1107"/>
      <c r="BS415" s="1736"/>
      <c r="BT415" s="183"/>
      <c r="BU415" s="183"/>
      <c r="BV415" s="504"/>
      <c r="BW415" s="2871"/>
      <c r="BX415" s="504"/>
      <c r="BY415" s="1622"/>
      <c r="BZ415" s="1107"/>
      <c r="CA415" s="1107"/>
    </row>
    <row r="416" spans="1:79" ht="19.350000000000001" customHeight="1" x14ac:dyDescent="0.4">
      <c r="A416" s="249"/>
      <c r="B416" s="249"/>
      <c r="C416" s="584" t="s">
        <v>307</v>
      </c>
      <c r="D416" s="1948"/>
      <c r="E416" s="1963"/>
      <c r="F416" s="1964"/>
      <c r="G416" s="1948"/>
      <c r="H416" s="1963"/>
      <c r="I416" s="1951"/>
      <c r="J416" s="1948"/>
      <c r="K416" s="1964"/>
      <c r="L416" s="1951"/>
      <c r="M416" s="1948"/>
      <c r="N416" s="1962"/>
      <c r="O416" s="1948"/>
      <c r="P416" s="1948"/>
      <c r="Q416" s="1964"/>
      <c r="R416" s="1951"/>
      <c r="S416" s="1954"/>
      <c r="T416" s="1948"/>
      <c r="U416" s="1948"/>
      <c r="V416" s="1954"/>
      <c r="W416" s="1948"/>
      <c r="X416" s="1954"/>
      <c r="Y416" s="1948"/>
      <c r="Z416" s="1962"/>
      <c r="AA416" s="1948"/>
      <c r="AB416" s="1948"/>
      <c r="AC416" s="1948"/>
      <c r="AD416" s="1948"/>
      <c r="AE416" s="1157"/>
      <c r="AF416" s="1157" t="s">
        <v>334</v>
      </c>
      <c r="AG416" s="1157"/>
      <c r="AH416" s="1164"/>
      <c r="AI416" s="1139" t="s">
        <v>366</v>
      </c>
      <c r="AJ416" s="1165"/>
      <c r="AK416" s="1285"/>
      <c r="AL416" s="1200"/>
      <c r="AM416" s="1969"/>
      <c r="AN416" s="1872"/>
      <c r="AO416" s="1421"/>
      <c r="AP416" s="1761"/>
      <c r="AQ416" s="778"/>
      <c r="AR416" s="778"/>
      <c r="AS416" s="1640"/>
      <c r="AT416" s="1452"/>
      <c r="AU416" s="1394"/>
      <c r="AV416" s="1460"/>
      <c r="AW416" s="1781"/>
      <c r="AX416" s="684"/>
      <c r="AY416" s="783"/>
      <c r="AZ416" s="1802"/>
      <c r="BA416" s="1802"/>
      <c r="BB416" s="1644"/>
      <c r="BC416" s="687"/>
      <c r="BD416" s="967"/>
      <c r="BE416" s="687"/>
      <c r="BF416" s="1794"/>
      <c r="BG416" s="1859" t="s">
        <v>533</v>
      </c>
      <c r="BH416" s="1883"/>
      <c r="BI416" s="1556"/>
      <c r="BJ416" s="2647" t="s">
        <v>334</v>
      </c>
      <c r="BK416" s="1778"/>
      <c r="BL416" s="182"/>
      <c r="BM416" s="2869"/>
      <c r="BN416" s="1734"/>
      <c r="BO416" s="1107"/>
      <c r="BP416" s="1107"/>
      <c r="BQ416" s="1107"/>
      <c r="BR416" s="1191"/>
      <c r="BS416" s="183"/>
      <c r="BT416" s="183"/>
      <c r="BU416" s="1737"/>
      <c r="BV416" s="504"/>
      <c r="BW416" s="2871"/>
      <c r="BX416" s="504"/>
      <c r="BY416" s="1107"/>
      <c r="BZ416" s="1107"/>
      <c r="CA416" s="1191"/>
    </row>
    <row r="417" spans="1:79" ht="21.6" customHeight="1" x14ac:dyDescent="0.4">
      <c r="A417" s="249"/>
      <c r="B417" s="249"/>
      <c r="C417" s="584" t="s">
        <v>307</v>
      </c>
      <c r="D417" s="1948"/>
      <c r="E417" s="1963"/>
      <c r="F417" s="1964"/>
      <c r="G417" s="1948"/>
      <c r="H417" s="1963"/>
      <c r="I417" s="1951"/>
      <c r="J417" s="1948"/>
      <c r="K417" s="1964"/>
      <c r="L417" s="1951"/>
      <c r="M417" s="1948"/>
      <c r="N417" s="1962"/>
      <c r="O417" s="1948"/>
      <c r="P417" s="1948"/>
      <c r="Q417" s="1964"/>
      <c r="R417" s="1951"/>
      <c r="S417" s="1954"/>
      <c r="T417" s="1948"/>
      <c r="U417" s="1948"/>
      <c r="V417" s="1954"/>
      <c r="W417" s="1948"/>
      <c r="X417" s="1954"/>
      <c r="Y417" s="1948"/>
      <c r="Z417" s="1962"/>
      <c r="AA417" s="1948"/>
      <c r="AB417" s="1948"/>
      <c r="AC417" s="1948"/>
      <c r="AD417" s="1948"/>
      <c r="AE417" s="1157"/>
      <c r="AF417" s="1157"/>
      <c r="AG417" s="1157"/>
      <c r="AH417" s="793"/>
      <c r="AI417" s="793" t="s">
        <v>336</v>
      </c>
      <c r="AJ417" s="1430"/>
      <c r="AK417" s="1285"/>
      <c r="AL417" s="1200"/>
      <c r="AM417" s="1969"/>
      <c r="AN417" s="1872"/>
      <c r="AO417" s="1421"/>
      <c r="AP417" s="1761"/>
      <c r="AQ417" s="778"/>
      <c r="AR417" s="778"/>
      <c r="AS417" s="1640"/>
      <c r="AT417" s="1452"/>
      <c r="AU417" s="1394"/>
      <c r="AV417" s="1460"/>
      <c r="AW417" s="1781"/>
      <c r="AX417" s="684"/>
      <c r="AY417" s="783"/>
      <c r="AZ417" s="1802"/>
      <c r="BA417" s="1802"/>
      <c r="BB417" s="1644"/>
      <c r="BC417" s="687"/>
      <c r="BD417" s="967"/>
      <c r="BE417" s="687"/>
      <c r="BF417" s="1794"/>
      <c r="BG417" s="1859" t="s">
        <v>351</v>
      </c>
      <c r="BH417" s="1883"/>
      <c r="BI417" s="1556"/>
      <c r="BJ417" s="2642"/>
      <c r="BK417" s="1881"/>
      <c r="BL417" s="1733"/>
      <c r="BM417" s="2869"/>
      <c r="BN417" s="1783"/>
      <c r="BO417" s="1107"/>
      <c r="BP417" s="1622"/>
      <c r="BQ417" s="2095"/>
      <c r="BR417" s="1614"/>
      <c r="BS417" s="1736"/>
      <c r="BT417" s="183"/>
      <c r="BU417" s="1784"/>
      <c r="BV417" s="504"/>
      <c r="BW417" s="2871"/>
      <c r="BX417" s="504"/>
      <c r="BY417" s="1622"/>
      <c r="BZ417" s="2095"/>
      <c r="CA417" s="1614"/>
    </row>
    <row r="418" spans="1:79" ht="27.75" customHeight="1" x14ac:dyDescent="0.4">
      <c r="A418" s="249"/>
      <c r="B418" s="249"/>
      <c r="C418" s="584">
        <v>0.78472222222222099</v>
      </c>
      <c r="D418" s="1948"/>
      <c r="E418" s="1963"/>
      <c r="F418" s="1964"/>
      <c r="G418" s="1948"/>
      <c r="H418" s="1963"/>
      <c r="I418" s="1951"/>
      <c r="J418" s="1948"/>
      <c r="K418" s="1964"/>
      <c r="L418" s="1951"/>
      <c r="M418" s="1948"/>
      <c r="N418" s="1962"/>
      <c r="O418" s="1948"/>
      <c r="P418" s="1948"/>
      <c r="Q418" s="1964"/>
      <c r="R418" s="1951"/>
      <c r="S418" s="1954"/>
      <c r="T418" s="1948"/>
      <c r="U418" s="1948"/>
      <c r="V418" s="1954"/>
      <c r="W418" s="1948"/>
      <c r="X418" s="1954"/>
      <c r="Y418" s="1948"/>
      <c r="Z418" s="1962"/>
      <c r="AA418" s="1948"/>
      <c r="AB418" s="1948"/>
      <c r="AC418" s="1948"/>
      <c r="AD418" s="1948"/>
      <c r="AE418" s="1157"/>
      <c r="AF418" s="1157"/>
      <c r="AG418" s="2070"/>
      <c r="AH418" s="1160"/>
      <c r="AI418" s="1160"/>
      <c r="AJ418" s="1256"/>
      <c r="AK418" s="1285"/>
      <c r="AL418" s="2553" t="s">
        <v>470</v>
      </c>
      <c r="AM418" s="1531"/>
      <c r="AN418" s="1273"/>
      <c r="AO418" s="1273"/>
      <c r="AP418" s="1438"/>
      <c r="AQ418" s="778"/>
      <c r="AR418" s="778"/>
      <c r="AS418" s="1640"/>
      <c r="AT418" s="1394"/>
      <c r="AU418" s="1394"/>
      <c r="AV418" s="2002"/>
      <c r="AW418" s="684"/>
      <c r="AX418" s="684"/>
      <c r="AY418" s="783"/>
      <c r="AZ418" s="1802"/>
      <c r="BA418" s="1802"/>
      <c r="BB418" s="1644"/>
      <c r="BC418" s="687"/>
      <c r="BD418" s="1374"/>
      <c r="BE418" s="908"/>
      <c r="BF418" s="1794"/>
      <c r="BG418" s="1794"/>
      <c r="BH418" s="1794"/>
      <c r="BI418" s="1556"/>
      <c r="BJ418" s="2642"/>
      <c r="BK418" s="2078"/>
      <c r="BL418" s="182"/>
      <c r="BM418" s="2869"/>
      <c r="BN418" s="1734"/>
      <c r="BO418" s="1107"/>
      <c r="BP418" s="1107"/>
      <c r="BQ418" s="2096"/>
      <c r="BR418" s="1191"/>
      <c r="BS418" s="183"/>
      <c r="BT418" s="183"/>
      <c r="BU418" s="1737"/>
      <c r="BV418" s="504"/>
      <c r="BW418" s="2871"/>
      <c r="BX418" s="504"/>
      <c r="BY418" s="1107"/>
      <c r="BZ418" s="2096"/>
      <c r="CA418" s="1191"/>
    </row>
    <row r="419" spans="1:79" ht="16.350000000000001" customHeight="1" x14ac:dyDescent="0.4">
      <c r="A419" s="249"/>
      <c r="B419" s="249"/>
      <c r="C419" s="584" t="s">
        <v>307</v>
      </c>
      <c r="D419" s="1948"/>
      <c r="E419" s="1963"/>
      <c r="F419" s="1964"/>
      <c r="G419" s="1948"/>
      <c r="H419" s="1963"/>
      <c r="I419" s="1951"/>
      <c r="J419" s="1948"/>
      <c r="K419" s="1964"/>
      <c r="L419" s="1951"/>
      <c r="M419" s="1948"/>
      <c r="N419" s="1962"/>
      <c r="O419" s="1948"/>
      <c r="P419" s="1948"/>
      <c r="Q419" s="1964"/>
      <c r="R419" s="1951"/>
      <c r="S419" s="1954"/>
      <c r="T419" s="1948"/>
      <c r="U419" s="1948"/>
      <c r="V419" s="1954"/>
      <c r="W419" s="1948"/>
      <c r="X419" s="1954"/>
      <c r="Y419" s="1948"/>
      <c r="Z419" s="1962"/>
      <c r="AA419" s="1948"/>
      <c r="AB419" s="1948"/>
      <c r="AC419" s="1948"/>
      <c r="AD419" s="1948"/>
      <c r="AE419" s="1157"/>
      <c r="AF419" s="1157"/>
      <c r="AG419" s="2070"/>
      <c r="AH419" s="1160"/>
      <c r="AI419" s="1160"/>
      <c r="AJ419" s="1904"/>
      <c r="AK419" s="1285"/>
      <c r="AL419" s="1202"/>
      <c r="AM419" s="1969"/>
      <c r="AN419" s="1273"/>
      <c r="AO419" s="1273"/>
      <c r="AP419" s="1438"/>
      <c r="AQ419" s="778"/>
      <c r="AR419" s="778"/>
      <c r="AS419" s="1640"/>
      <c r="AT419" s="1394"/>
      <c r="AU419" s="1394"/>
      <c r="AV419" s="2002"/>
      <c r="AW419" s="684"/>
      <c r="AX419" s="684"/>
      <c r="AY419" s="783"/>
      <c r="AZ419" s="1802"/>
      <c r="BA419" s="1802"/>
      <c r="BB419" s="1644"/>
      <c r="BC419" s="687"/>
      <c r="BD419" s="1374"/>
      <c r="BE419" s="908"/>
      <c r="BF419" s="1794"/>
      <c r="BG419" s="1978"/>
      <c r="BH419" s="1883"/>
      <c r="BI419" s="1556"/>
      <c r="BJ419" s="2642"/>
      <c r="BK419" s="1881"/>
      <c r="BL419" s="182"/>
      <c r="BM419" s="2869"/>
      <c r="BN419" s="1783"/>
      <c r="BO419" s="1107"/>
      <c r="BP419" s="1107"/>
      <c r="BQ419" s="1107"/>
      <c r="BR419" s="1614"/>
      <c r="BS419" s="183"/>
      <c r="BT419" s="183"/>
      <c r="BU419" s="1784"/>
      <c r="BV419" s="504"/>
      <c r="BW419" s="2871"/>
      <c r="BX419" s="504"/>
      <c r="BY419" s="1107"/>
      <c r="BZ419" s="1107"/>
      <c r="CA419" s="1614"/>
    </row>
    <row r="420" spans="1:79" ht="13.5" customHeight="1" x14ac:dyDescent="0.4">
      <c r="A420" s="249"/>
      <c r="B420" s="249"/>
      <c r="C420" s="584" t="s">
        <v>307</v>
      </c>
      <c r="D420" s="1948"/>
      <c r="E420" s="1963"/>
      <c r="F420" s="1964"/>
      <c r="G420" s="1948"/>
      <c r="H420" s="1963"/>
      <c r="I420" s="1951"/>
      <c r="J420" s="1948"/>
      <c r="K420" s="1964"/>
      <c r="L420" s="1951"/>
      <c r="M420" s="1948"/>
      <c r="N420" s="1962"/>
      <c r="O420" s="1948"/>
      <c r="P420" s="1948"/>
      <c r="Q420" s="1964"/>
      <c r="R420" s="1951"/>
      <c r="S420" s="1954"/>
      <c r="T420" s="1948"/>
      <c r="U420" s="1948"/>
      <c r="V420" s="1954"/>
      <c r="W420" s="1948"/>
      <c r="X420" s="1954"/>
      <c r="Y420" s="1948"/>
      <c r="Z420" s="1962"/>
      <c r="AA420" s="1948"/>
      <c r="AB420" s="1948"/>
      <c r="AC420" s="1948"/>
      <c r="AD420" s="1948"/>
      <c r="AE420" s="1157"/>
      <c r="AF420" s="1157"/>
      <c r="AG420" s="2070"/>
      <c r="AH420" s="1160"/>
      <c r="AI420" s="1160"/>
      <c r="AJ420" s="1904"/>
      <c r="AK420" s="1285"/>
      <c r="AL420" s="1272"/>
      <c r="AM420" s="1531"/>
      <c r="AN420" s="1273"/>
      <c r="AO420" s="1273"/>
      <c r="AP420" s="1438"/>
      <c r="AQ420" s="778"/>
      <c r="AR420" s="778"/>
      <c r="AS420" s="1640"/>
      <c r="AT420" s="1394"/>
      <c r="AU420" s="1394"/>
      <c r="AV420" s="1460"/>
      <c r="AW420" s="684"/>
      <c r="AX420" s="684"/>
      <c r="AY420" s="783"/>
      <c r="AZ420" s="1802"/>
      <c r="BA420" s="1802"/>
      <c r="BB420" s="1644"/>
      <c r="BC420" s="687"/>
      <c r="BD420" s="967"/>
      <c r="BE420" s="687"/>
      <c r="BF420" s="1794"/>
      <c r="BG420" s="1978"/>
      <c r="BH420" s="1401"/>
      <c r="BI420" s="1556"/>
      <c r="BJ420" s="2642"/>
      <c r="BK420" s="1789"/>
      <c r="BL420" s="182"/>
      <c r="BM420" s="2869"/>
      <c r="BN420" s="1734"/>
      <c r="BO420" s="1107"/>
      <c r="BP420" s="1107"/>
      <c r="BQ420" s="1107"/>
      <c r="BR420" s="1191"/>
      <c r="BS420" s="183"/>
      <c r="BT420" s="183"/>
      <c r="BU420" s="1737"/>
      <c r="BV420" s="504"/>
      <c r="BW420" s="2871"/>
      <c r="BX420" s="504"/>
      <c r="BY420" s="1107"/>
      <c r="BZ420" s="1107"/>
      <c r="CA420" s="1191"/>
    </row>
    <row r="421" spans="1:79" ht="13.5" customHeight="1" x14ac:dyDescent="0.4">
      <c r="A421" s="249"/>
      <c r="B421" s="249"/>
      <c r="C421" s="621">
        <v>0.78819444444444298</v>
      </c>
      <c r="D421" s="1948"/>
      <c r="E421" s="1963"/>
      <c r="F421" s="1964"/>
      <c r="G421" s="1948"/>
      <c r="H421" s="1963"/>
      <c r="I421" s="2097"/>
      <c r="J421" s="1948"/>
      <c r="K421" s="1964"/>
      <c r="L421" s="2097"/>
      <c r="M421" s="1948"/>
      <c r="N421" s="1962"/>
      <c r="O421" s="1948"/>
      <c r="P421" s="1948"/>
      <c r="Q421" s="1964"/>
      <c r="R421" s="2097"/>
      <c r="S421" s="1954"/>
      <c r="T421" s="1948"/>
      <c r="U421" s="1948"/>
      <c r="V421" s="2027"/>
      <c r="W421" s="2024"/>
      <c r="X421" s="2027"/>
      <c r="Y421" s="1948"/>
      <c r="Z421" s="1962"/>
      <c r="AA421" s="1948"/>
      <c r="AB421" s="1962"/>
      <c r="AC421" s="1962"/>
      <c r="AD421" s="1962"/>
      <c r="AE421" s="2098"/>
      <c r="AF421" s="2099"/>
      <c r="AG421" s="2100"/>
      <c r="AH421" s="2101"/>
      <c r="AI421" s="2102"/>
      <c r="AJ421" s="2103"/>
      <c r="AK421" s="1920"/>
      <c r="AL421" s="1920"/>
      <c r="AM421" s="1922"/>
      <c r="AN421" s="1500"/>
      <c r="AO421" s="2104"/>
      <c r="AP421" s="1923"/>
      <c r="AQ421" s="1692"/>
      <c r="AR421" s="1692"/>
      <c r="AS421" s="2030"/>
      <c r="AT421" s="1505"/>
      <c r="AU421" s="1505"/>
      <c r="AV421" s="1927"/>
      <c r="AW421" s="814"/>
      <c r="AX421" s="814"/>
      <c r="AY421" s="1020"/>
      <c r="AZ421" s="1837"/>
      <c r="BA421" s="1837"/>
      <c r="BB421" s="1837"/>
      <c r="BC421" s="1932"/>
      <c r="BD421" s="2105"/>
      <c r="BE421" s="1021"/>
      <c r="BF421" s="1697"/>
      <c r="BG421" s="2106"/>
      <c r="BH421" s="1512"/>
      <c r="BI421" s="1698"/>
      <c r="BJ421" s="2648"/>
      <c r="BK421" s="1840"/>
      <c r="BL421" s="243"/>
      <c r="BM421" s="2870"/>
      <c r="BN421" s="2111"/>
      <c r="BO421" s="1107"/>
      <c r="BP421" s="1702"/>
      <c r="BQ421" s="1702"/>
      <c r="BR421" s="2110"/>
      <c r="BS421" s="245"/>
      <c r="BT421" s="245"/>
      <c r="BU421" s="2112"/>
      <c r="BV421" s="504"/>
      <c r="BW421" s="2872"/>
      <c r="BX421" s="504"/>
      <c r="BY421" s="1702"/>
      <c r="BZ421" s="1702"/>
      <c r="CA421" s="2110"/>
    </row>
    <row r="422" spans="1:79" ht="26.1" customHeight="1" x14ac:dyDescent="0.4">
      <c r="A422" s="249"/>
      <c r="B422" s="249"/>
      <c r="C422" s="622">
        <v>0.79166666666666696</v>
      </c>
      <c r="D422" s="2113"/>
      <c r="E422" s="2114"/>
      <c r="F422" s="2115"/>
      <c r="G422" s="2113"/>
      <c r="H422" s="2114"/>
      <c r="I422" s="1951"/>
      <c r="J422" s="2113"/>
      <c r="K422" s="2115"/>
      <c r="L422" s="1951"/>
      <c r="M422" s="2113"/>
      <c r="N422" s="2117"/>
      <c r="O422" s="2113"/>
      <c r="P422" s="2113"/>
      <c r="Q422" s="2115"/>
      <c r="R422" s="1951"/>
      <c r="S422" s="2116"/>
      <c r="T422" s="2113"/>
      <c r="U422" s="2113"/>
      <c r="V422" s="1954"/>
      <c r="W422" s="1948"/>
      <c r="X422" s="1954"/>
      <c r="Y422" s="2113"/>
      <c r="Z422" s="2117"/>
      <c r="AA422" s="2113"/>
      <c r="AB422" s="1948"/>
      <c r="AC422" s="1948"/>
      <c r="AD422" s="1948"/>
      <c r="AE422" s="1385"/>
      <c r="AF422" s="1385" t="s">
        <v>332</v>
      </c>
      <c r="AG422" s="1408"/>
      <c r="AH422" s="1159"/>
      <c r="AI422" s="1160" t="s">
        <v>331</v>
      </c>
      <c r="AJ422" s="1160"/>
      <c r="AK422" s="1765"/>
      <c r="AL422" s="1449"/>
      <c r="AM422" s="1531"/>
      <c r="AN422" s="1273"/>
      <c r="AO422" s="1331" t="s">
        <v>536</v>
      </c>
      <c r="AP422" s="1438"/>
      <c r="AQ422" s="778"/>
      <c r="AR422" s="1331" t="s">
        <v>537</v>
      </c>
      <c r="AS422" s="1640"/>
      <c r="AT422" s="1452"/>
      <c r="AU422" s="2118"/>
      <c r="AV422" s="1394"/>
      <c r="AW422" s="1395"/>
      <c r="AX422" s="1331" t="s">
        <v>538</v>
      </c>
      <c r="AY422" s="1022"/>
      <c r="AZ422" s="1802"/>
      <c r="BA422" s="1802"/>
      <c r="BB422" s="1644"/>
      <c r="BC422" s="687"/>
      <c r="BD422" s="967" t="s">
        <v>379</v>
      </c>
      <c r="BE422" s="687"/>
      <c r="BF422" s="1794"/>
      <c r="BG422" s="1794" t="s">
        <v>379</v>
      </c>
      <c r="BH422" s="1794"/>
      <c r="BI422" s="1556"/>
      <c r="BJ422" s="1169" t="s">
        <v>371</v>
      </c>
      <c r="BK422" s="1789"/>
      <c r="BL422" s="2119"/>
      <c r="BM422" s="182"/>
      <c r="BN422" s="1734"/>
      <c r="BO422" s="1097"/>
      <c r="BP422" s="1580"/>
      <c r="BQ422" s="1107"/>
      <c r="BR422" s="1191"/>
      <c r="BS422" s="1893"/>
      <c r="BT422" s="2848" t="s">
        <v>499</v>
      </c>
      <c r="BU422" s="1737"/>
      <c r="BV422" s="2120"/>
      <c r="BW422" s="2566" t="s">
        <v>539</v>
      </c>
      <c r="BX422" s="1740"/>
      <c r="BY422" s="1580"/>
      <c r="BZ422" s="1107"/>
      <c r="CA422" s="1191"/>
    </row>
    <row r="423" spans="1:79" ht="30" customHeight="1" x14ac:dyDescent="0.4">
      <c r="A423" s="249"/>
      <c r="B423" s="249"/>
      <c r="C423" s="584" t="s">
        <v>307</v>
      </c>
      <c r="D423" s="1948"/>
      <c r="E423" s="1949"/>
      <c r="F423" s="1950"/>
      <c r="G423" s="1948"/>
      <c r="H423" s="1949"/>
      <c r="I423" s="1951"/>
      <c r="J423" s="1948"/>
      <c r="K423" s="1950"/>
      <c r="L423" s="1951"/>
      <c r="M423" s="1948"/>
      <c r="N423" s="1962"/>
      <c r="O423" s="1948"/>
      <c r="P423" s="1948"/>
      <c r="Q423" s="1950"/>
      <c r="R423" s="1951"/>
      <c r="S423" s="1954"/>
      <c r="T423" s="1948"/>
      <c r="U423" s="1948"/>
      <c r="V423" s="1954"/>
      <c r="W423" s="1948"/>
      <c r="X423" s="1954"/>
      <c r="Y423" s="1948"/>
      <c r="Z423" s="1962"/>
      <c r="AA423" s="1948"/>
      <c r="AB423" s="1948"/>
      <c r="AC423" s="1948"/>
      <c r="AD423" s="1948"/>
      <c r="AE423" s="1157"/>
      <c r="AF423" s="1429"/>
      <c r="AG423" s="1157"/>
      <c r="AH423" s="1164"/>
      <c r="AI423" s="1139" t="s">
        <v>366</v>
      </c>
      <c r="AJ423" s="1165"/>
      <c r="AK423" s="1285"/>
      <c r="AL423" s="1285"/>
      <c r="AM423" s="1531"/>
      <c r="AN423" s="1872"/>
      <c r="AO423" s="1723" t="s">
        <v>540</v>
      </c>
      <c r="AP423" s="1603"/>
      <c r="AQ423" s="778"/>
      <c r="AR423" s="778"/>
      <c r="AS423" s="1640"/>
      <c r="AT423" s="1452"/>
      <c r="AU423" s="2118"/>
      <c r="AV423" s="1460"/>
      <c r="AW423" s="1538"/>
      <c r="AX423" s="1395"/>
      <c r="AY423" s="1585"/>
      <c r="AZ423" s="1802"/>
      <c r="BA423" s="1802"/>
      <c r="BB423" s="1802"/>
      <c r="BC423" s="1958"/>
      <c r="BD423" s="1555"/>
      <c r="BE423" s="965"/>
      <c r="BF423" s="1794"/>
      <c r="BG423" s="1859" t="s">
        <v>522</v>
      </c>
      <c r="BH423" s="1883"/>
      <c r="BI423" s="1556"/>
      <c r="BJ423" s="2649" t="s">
        <v>334</v>
      </c>
      <c r="BK423" s="1778"/>
      <c r="BL423" s="182"/>
      <c r="BM423" s="182"/>
      <c r="BN423" s="1783"/>
      <c r="BO423" s="1107"/>
      <c r="BP423" s="1107"/>
      <c r="BQ423" s="1107"/>
      <c r="BR423" s="1614"/>
      <c r="BS423" s="183"/>
      <c r="BT423" s="2846"/>
      <c r="BU423" s="1784"/>
      <c r="BV423" s="184"/>
      <c r="BW423" s="2259"/>
      <c r="BX423" s="1785"/>
      <c r="BY423" s="1107"/>
      <c r="BZ423" s="1107"/>
      <c r="CA423" s="1614"/>
    </row>
    <row r="424" spans="1:79" ht="17.100000000000001" customHeight="1" x14ac:dyDescent="0.4">
      <c r="A424" s="249"/>
      <c r="B424" s="249"/>
      <c r="C424" s="584" t="s">
        <v>307</v>
      </c>
      <c r="D424" s="1948"/>
      <c r="E424" s="1949"/>
      <c r="F424" s="1950"/>
      <c r="G424" s="1948"/>
      <c r="H424" s="1949"/>
      <c r="I424" s="1951"/>
      <c r="J424" s="1948"/>
      <c r="K424" s="1950"/>
      <c r="L424" s="1951"/>
      <c r="M424" s="1948"/>
      <c r="N424" s="1962"/>
      <c r="O424" s="1948"/>
      <c r="P424" s="1948"/>
      <c r="Q424" s="1950"/>
      <c r="R424" s="1951"/>
      <c r="S424" s="1954"/>
      <c r="T424" s="1948"/>
      <c r="U424" s="1948"/>
      <c r="V424" s="1954"/>
      <c r="W424" s="1948"/>
      <c r="X424" s="1954"/>
      <c r="Y424" s="1948"/>
      <c r="Z424" s="1962"/>
      <c r="AA424" s="1948"/>
      <c r="AB424" s="1948"/>
      <c r="AC424" s="1948"/>
      <c r="AD424" s="1948"/>
      <c r="AE424" s="1157"/>
      <c r="AF424" s="1157"/>
      <c r="AG424" s="1157"/>
      <c r="AH424" s="1160"/>
      <c r="AI424" s="1139" t="s">
        <v>334</v>
      </c>
      <c r="AJ424" s="1256"/>
      <c r="AK424" s="1285"/>
      <c r="AL424" s="1449"/>
      <c r="AM424" s="1531"/>
      <c r="AN424" s="1450"/>
      <c r="AO424" s="2123"/>
      <c r="AP424" s="1438"/>
      <c r="AQ424" s="778"/>
      <c r="AR424" s="778"/>
      <c r="AS424" s="1640"/>
      <c r="AT424" s="1452"/>
      <c r="AU424" s="2118"/>
      <c r="AV424" s="1460"/>
      <c r="AW424" s="1781"/>
      <c r="AX424" s="1395"/>
      <c r="AY424" s="783"/>
      <c r="AZ424" s="1802"/>
      <c r="BA424" s="1802"/>
      <c r="BB424" s="1644"/>
      <c r="BC424" s="664"/>
      <c r="BD424" s="975"/>
      <c r="BE424" s="965"/>
      <c r="BF424" s="1794"/>
      <c r="BG424" s="1859" t="s">
        <v>351</v>
      </c>
      <c r="BH424" s="1883"/>
      <c r="BI424" s="1556"/>
      <c r="BJ424" s="1169"/>
      <c r="BK424" s="1881"/>
      <c r="BL424" s="182"/>
      <c r="BM424" s="182"/>
      <c r="BN424" s="182"/>
      <c r="BO424" s="1107"/>
      <c r="BP424" s="1107"/>
      <c r="BQ424" s="2124"/>
      <c r="BR424" s="1107"/>
      <c r="BS424" s="183"/>
      <c r="BT424" s="2846"/>
      <c r="BU424" s="183"/>
      <c r="BV424" s="184"/>
      <c r="BW424" s="2259"/>
      <c r="BX424" s="184"/>
      <c r="BY424" s="1107"/>
      <c r="BZ424" s="2124"/>
      <c r="CA424" s="1107"/>
    </row>
    <row r="425" spans="1:79" ht="20.100000000000001" customHeight="1" x14ac:dyDescent="0.4">
      <c r="A425" s="249"/>
      <c r="B425" s="249"/>
      <c r="C425" s="584" t="s">
        <v>307</v>
      </c>
      <c r="D425" s="1948"/>
      <c r="E425" s="1949"/>
      <c r="F425" s="1950"/>
      <c r="G425" s="1948"/>
      <c r="H425" s="1949"/>
      <c r="I425" s="1951"/>
      <c r="J425" s="1948"/>
      <c r="K425" s="1950"/>
      <c r="L425" s="1951"/>
      <c r="M425" s="1948"/>
      <c r="N425" s="1962"/>
      <c r="O425" s="1948"/>
      <c r="P425" s="1948"/>
      <c r="Q425" s="1950"/>
      <c r="R425" s="1951"/>
      <c r="S425" s="1954"/>
      <c r="T425" s="1948"/>
      <c r="U425" s="1948"/>
      <c r="V425" s="1954"/>
      <c r="W425" s="1948"/>
      <c r="X425" s="1954"/>
      <c r="Y425" s="1948"/>
      <c r="Z425" s="1962"/>
      <c r="AA425" s="1948"/>
      <c r="AB425" s="1948"/>
      <c r="AC425" s="1948"/>
      <c r="AD425" s="1948"/>
      <c r="AE425" s="1157"/>
      <c r="AF425" s="1157"/>
      <c r="AG425" s="1157"/>
      <c r="AH425" s="1160"/>
      <c r="AI425" s="1160" t="s">
        <v>330</v>
      </c>
      <c r="AJ425" s="1256"/>
      <c r="AK425" s="1285"/>
      <c r="AL425" s="1449"/>
      <c r="AM425" s="1531"/>
      <c r="AN425" s="1450"/>
      <c r="AO425" s="2123"/>
      <c r="AP425" s="1438"/>
      <c r="AQ425" s="778"/>
      <c r="AR425" s="778"/>
      <c r="AS425" s="1640"/>
      <c r="AT425" s="1452"/>
      <c r="AU425" s="1394"/>
      <c r="AV425" s="1873"/>
      <c r="AW425" s="1781"/>
      <c r="AX425" s="1395"/>
      <c r="AY425" s="783"/>
      <c r="AZ425" s="1802"/>
      <c r="BA425" s="1802"/>
      <c r="BB425" s="1644"/>
      <c r="BC425" s="664"/>
      <c r="BD425" s="975"/>
      <c r="BE425" s="965"/>
      <c r="BF425" s="1794"/>
      <c r="BG425" s="1978"/>
      <c r="BH425" s="1401"/>
      <c r="BI425" s="1814"/>
      <c r="BJ425" s="1169"/>
      <c r="BK425" s="1881"/>
      <c r="BL425" s="1732"/>
      <c r="BM425" s="182"/>
      <c r="BN425" s="182"/>
      <c r="BO425" s="1107"/>
      <c r="BP425" s="1161"/>
      <c r="BQ425" s="2124"/>
      <c r="BR425" s="1107"/>
      <c r="BS425" s="1735"/>
      <c r="BT425" s="2846"/>
      <c r="BU425" s="183"/>
      <c r="BV425" s="1738"/>
      <c r="BW425" s="2259"/>
      <c r="BX425" s="184"/>
      <c r="BY425" s="1161"/>
      <c r="BZ425" s="2124"/>
      <c r="CA425" s="1107"/>
    </row>
    <row r="426" spans="1:79" ht="20.100000000000001" customHeight="1" x14ac:dyDescent="0.4">
      <c r="A426" s="249"/>
      <c r="B426" s="249"/>
      <c r="C426" s="584"/>
      <c r="D426" s="1948"/>
      <c r="E426" s="1949"/>
      <c r="F426" s="1950"/>
      <c r="G426" s="1948"/>
      <c r="H426" s="1949"/>
      <c r="I426" s="1951"/>
      <c r="J426" s="1948"/>
      <c r="K426" s="1950"/>
      <c r="L426" s="1951"/>
      <c r="M426" s="1948"/>
      <c r="N426" s="1962"/>
      <c r="O426" s="1948"/>
      <c r="P426" s="1948"/>
      <c r="Q426" s="1950"/>
      <c r="R426" s="1951"/>
      <c r="S426" s="1954"/>
      <c r="T426" s="1948"/>
      <c r="U426" s="1948"/>
      <c r="V426" s="1954"/>
      <c r="W426" s="1948"/>
      <c r="X426" s="1954"/>
      <c r="Y426" s="1948"/>
      <c r="Z426" s="1962"/>
      <c r="AA426" s="1948"/>
      <c r="AB426" s="1948"/>
      <c r="AC426" s="1948"/>
      <c r="AD426" s="1948"/>
      <c r="AE426" s="1157"/>
      <c r="AF426" s="1157"/>
      <c r="AG426" s="1157"/>
      <c r="AH426" s="1160"/>
      <c r="AI426" s="1160"/>
      <c r="AJ426" s="1256"/>
      <c r="AK426" s="1285"/>
      <c r="AL426" s="1449"/>
      <c r="AM426" s="1531"/>
      <c r="AN426" s="1450"/>
      <c r="AO426" s="2123"/>
      <c r="AP426" s="1438"/>
      <c r="AQ426" s="778"/>
      <c r="AR426" s="778"/>
      <c r="AS426" s="1640"/>
      <c r="AT426" s="1452"/>
      <c r="AU426" s="1394"/>
      <c r="AV426" s="1873"/>
      <c r="AW426" s="1781"/>
      <c r="AX426" s="1395"/>
      <c r="AY426" s="783"/>
      <c r="AZ426" s="1802"/>
      <c r="BA426" s="1802"/>
      <c r="BB426" s="1644"/>
      <c r="BC426" s="664"/>
      <c r="BD426" s="975"/>
      <c r="BE426" s="965"/>
      <c r="BF426" s="1794"/>
      <c r="BG426" s="1794"/>
      <c r="BH426" s="1794"/>
      <c r="BI426" s="1814"/>
      <c r="BJ426" s="1169"/>
      <c r="BK426" s="1881"/>
      <c r="BL426" s="1732"/>
      <c r="BM426" s="182"/>
      <c r="BN426" s="182"/>
      <c r="BO426" s="1107"/>
      <c r="BP426" s="1161"/>
      <c r="BQ426" s="2124"/>
      <c r="BR426" s="1107"/>
      <c r="BS426" s="1735"/>
      <c r="BT426" s="2846"/>
      <c r="BU426" s="183"/>
      <c r="BV426" s="1738"/>
      <c r="BW426" s="2259"/>
      <c r="BX426" s="184"/>
      <c r="BY426" s="1161"/>
      <c r="BZ426" s="2124"/>
      <c r="CA426" s="1107"/>
    </row>
    <row r="427" spans="1:79" ht="14.85" customHeight="1" x14ac:dyDescent="0.4">
      <c r="A427" s="249"/>
      <c r="B427" s="249"/>
      <c r="C427" s="584">
        <v>0.79513888888888895</v>
      </c>
      <c r="D427" s="1948"/>
      <c r="E427" s="1949"/>
      <c r="F427" s="1950"/>
      <c r="G427" s="1948"/>
      <c r="H427" s="1949"/>
      <c r="I427" s="1951"/>
      <c r="J427" s="1948"/>
      <c r="K427" s="1950"/>
      <c r="L427" s="1951"/>
      <c r="M427" s="1948"/>
      <c r="N427" s="1962"/>
      <c r="O427" s="1948"/>
      <c r="P427" s="1948"/>
      <c r="Q427" s="1950"/>
      <c r="R427" s="1951"/>
      <c r="S427" s="1954"/>
      <c r="T427" s="1948"/>
      <c r="U427" s="1948"/>
      <c r="V427" s="1954"/>
      <c r="W427" s="1948"/>
      <c r="X427" s="1954"/>
      <c r="Y427" s="1948"/>
      <c r="Z427" s="1962"/>
      <c r="AA427" s="1948"/>
      <c r="AB427" s="1948"/>
      <c r="AC427" s="1948"/>
      <c r="AD427" s="1948"/>
      <c r="AE427" s="1157"/>
      <c r="AF427" s="1157"/>
      <c r="AG427" s="2050"/>
      <c r="AH427" s="1160"/>
      <c r="AI427" s="1160"/>
      <c r="AJ427" s="1256"/>
      <c r="AK427" s="1285"/>
      <c r="AL427" s="1285"/>
      <c r="AM427" s="1531"/>
      <c r="AN427" s="1450"/>
      <c r="AO427" s="2125"/>
      <c r="AP427" s="1438"/>
      <c r="AQ427" s="778"/>
      <c r="AR427" s="778"/>
      <c r="AS427" s="1640"/>
      <c r="AT427" s="1892"/>
      <c r="AU427" s="1394"/>
      <c r="AV427" s="1873"/>
      <c r="AW427" s="684"/>
      <c r="AX427" s="2126"/>
      <c r="AY427" s="783"/>
      <c r="AZ427" s="1802"/>
      <c r="BA427" s="1802"/>
      <c r="BB427" s="1644"/>
      <c r="BC427" s="664"/>
      <c r="BD427" s="967"/>
      <c r="BE427" s="965"/>
      <c r="BF427" s="1794"/>
      <c r="BG427" s="1859"/>
      <c r="BH427" s="1883"/>
      <c r="BI427" s="1556"/>
      <c r="BJ427" s="1169"/>
      <c r="BK427" s="2127"/>
      <c r="BL427" s="1732"/>
      <c r="BM427" s="182"/>
      <c r="BN427" s="182"/>
      <c r="BO427" s="1107"/>
      <c r="BP427" s="1161"/>
      <c r="BQ427" s="2124"/>
      <c r="BR427" s="1107"/>
      <c r="BS427" s="1735"/>
      <c r="BT427" s="2846"/>
      <c r="BU427" s="183"/>
      <c r="BV427" s="1738"/>
      <c r="BW427" s="2259"/>
      <c r="BX427" s="184"/>
      <c r="BY427" s="1161"/>
      <c r="BZ427" s="2124"/>
      <c r="CA427" s="1107"/>
    </row>
    <row r="428" spans="1:79" ht="14.85" customHeight="1" x14ac:dyDescent="0.4">
      <c r="A428" s="249"/>
      <c r="B428" s="249"/>
      <c r="C428" s="584">
        <v>0.79861111111111105</v>
      </c>
      <c r="D428" s="1948"/>
      <c r="E428" s="1949"/>
      <c r="F428" s="1950"/>
      <c r="G428" s="1948"/>
      <c r="H428" s="1949"/>
      <c r="I428" s="1951"/>
      <c r="J428" s="1948"/>
      <c r="K428" s="1950"/>
      <c r="L428" s="1951"/>
      <c r="M428" s="1948"/>
      <c r="N428" s="1962"/>
      <c r="O428" s="1948"/>
      <c r="P428" s="1948"/>
      <c r="Q428" s="1950"/>
      <c r="R428" s="1951"/>
      <c r="S428" s="1954"/>
      <c r="T428" s="1948"/>
      <c r="U428" s="1948"/>
      <c r="V428" s="1954"/>
      <c r="W428" s="1948"/>
      <c r="X428" s="1954"/>
      <c r="Y428" s="1948"/>
      <c r="Z428" s="1962"/>
      <c r="AA428" s="1948"/>
      <c r="AB428" s="1948"/>
      <c r="AC428" s="1948"/>
      <c r="AD428" s="1948"/>
      <c r="AE428" s="1157"/>
      <c r="AF428" s="1157"/>
      <c r="AG428" s="2070"/>
      <c r="AH428" s="1160"/>
      <c r="AI428" s="2128"/>
      <c r="AJ428" s="1904"/>
      <c r="AK428" s="1285"/>
      <c r="AL428" s="1449"/>
      <c r="AM428" s="1531"/>
      <c r="AN428" s="1273"/>
      <c r="AO428" s="2125"/>
      <c r="AP428" s="1438"/>
      <c r="AQ428" s="778"/>
      <c r="AR428" s="778"/>
      <c r="AS428" s="1640"/>
      <c r="AT428" s="1394"/>
      <c r="AU428" s="1394"/>
      <c r="AV428" s="1786"/>
      <c r="AW428" s="1772"/>
      <c r="AX428" s="2129"/>
      <c r="AY428" s="783"/>
      <c r="AZ428" s="1802"/>
      <c r="BA428" s="1802"/>
      <c r="BB428" s="1644"/>
      <c r="BC428" s="664"/>
      <c r="BD428" s="967"/>
      <c r="BE428" s="965"/>
      <c r="BF428" s="1794"/>
      <c r="BG428" s="1859"/>
      <c r="BH428" s="1883"/>
      <c r="BI428" s="1556"/>
      <c r="BJ428" s="1169"/>
      <c r="BK428" s="2127"/>
      <c r="BL428" s="2119"/>
      <c r="BM428" s="182"/>
      <c r="BN428" s="1734"/>
      <c r="BO428" s="1580"/>
      <c r="BP428" s="1580"/>
      <c r="BQ428" s="2130"/>
      <c r="BR428" s="1191"/>
      <c r="BS428" s="1893"/>
      <c r="BT428" s="2846"/>
      <c r="BU428" s="1737"/>
      <c r="BV428" s="2120"/>
      <c r="BW428" s="2259"/>
      <c r="BX428" s="1740"/>
      <c r="BY428" s="1580"/>
      <c r="BZ428" s="2130"/>
      <c r="CA428" s="1191"/>
    </row>
    <row r="429" spans="1:79" ht="21" customHeight="1" x14ac:dyDescent="0.4">
      <c r="A429" s="249"/>
      <c r="B429" s="249"/>
      <c r="C429" s="584">
        <v>0.80208333333333304</v>
      </c>
      <c r="D429" s="1948"/>
      <c r="E429" s="1949"/>
      <c r="F429" s="1950"/>
      <c r="G429" s="1948"/>
      <c r="H429" s="1949"/>
      <c r="I429" s="1951"/>
      <c r="J429" s="1948"/>
      <c r="K429" s="1950"/>
      <c r="L429" s="1951"/>
      <c r="M429" s="1948"/>
      <c r="N429" s="1962"/>
      <c r="O429" s="1948"/>
      <c r="P429" s="1948"/>
      <c r="Q429" s="1950"/>
      <c r="R429" s="1951"/>
      <c r="S429" s="1954"/>
      <c r="T429" s="1948"/>
      <c r="U429" s="1948"/>
      <c r="V429" s="1954"/>
      <c r="W429" s="1948"/>
      <c r="X429" s="1954"/>
      <c r="Y429" s="1948"/>
      <c r="Z429" s="1962"/>
      <c r="AA429" s="1948"/>
      <c r="AB429" s="1948"/>
      <c r="AC429" s="1948"/>
      <c r="AD429" s="1948"/>
      <c r="AE429" s="1385"/>
      <c r="AF429" s="1385" t="s">
        <v>332</v>
      </c>
      <c r="AG429" s="1408"/>
      <c r="AH429" s="1159"/>
      <c r="AI429" s="1160" t="s">
        <v>331</v>
      </c>
      <c r="AJ429" s="1160"/>
      <c r="AK429" s="2806"/>
      <c r="AL429" s="2131"/>
      <c r="AM429" s="1531"/>
      <c r="AN429" s="1273"/>
      <c r="AO429" s="2132"/>
      <c r="AP429" s="1438"/>
      <c r="AQ429" s="778"/>
      <c r="AR429" s="778"/>
      <c r="AS429" s="1640"/>
      <c r="AT429" s="1394"/>
      <c r="AU429" s="1392"/>
      <c r="AV429" s="1873"/>
      <c r="AW429" s="1894"/>
      <c r="AX429" s="2133"/>
      <c r="AY429" s="870"/>
      <c r="AZ429" s="1802"/>
      <c r="BA429" s="1802"/>
      <c r="BB429" s="1802"/>
      <c r="BC429" s="687"/>
      <c r="BD429" s="1555"/>
      <c r="BE429" s="687"/>
      <c r="BF429" s="1794"/>
      <c r="BG429" s="1978" t="s">
        <v>330</v>
      </c>
      <c r="BH429" s="1883"/>
      <c r="BI429" s="1556"/>
      <c r="BJ429" s="1169" t="s">
        <v>371</v>
      </c>
      <c r="BK429" s="2127"/>
      <c r="BL429" s="2007"/>
      <c r="BM429" s="182"/>
      <c r="BN429" s="1734"/>
      <c r="BO429" s="2134"/>
      <c r="BP429" s="1577"/>
      <c r="BQ429" s="1107"/>
      <c r="BR429" s="1191"/>
      <c r="BS429" s="2008"/>
      <c r="BT429" s="2846"/>
      <c r="BU429" s="1737"/>
      <c r="BV429" s="2009"/>
      <c r="BW429" s="2259"/>
      <c r="BX429" s="1740"/>
      <c r="BY429" s="1577"/>
      <c r="BZ429" s="1107"/>
      <c r="CA429" s="1191"/>
    </row>
    <row r="430" spans="1:79" ht="23.85" customHeight="1" x14ac:dyDescent="0.4">
      <c r="A430" s="249"/>
      <c r="B430" s="249"/>
      <c r="C430" s="584" t="s">
        <v>307</v>
      </c>
      <c r="D430" s="1948"/>
      <c r="E430" s="1949"/>
      <c r="F430" s="1950"/>
      <c r="G430" s="1948"/>
      <c r="H430" s="1949"/>
      <c r="I430" s="1951"/>
      <c r="J430" s="1948"/>
      <c r="K430" s="1950"/>
      <c r="L430" s="1951"/>
      <c r="M430" s="1948"/>
      <c r="N430" s="1962"/>
      <c r="O430" s="1948"/>
      <c r="P430" s="1948"/>
      <c r="Q430" s="1950"/>
      <c r="R430" s="1951"/>
      <c r="S430" s="1954"/>
      <c r="T430" s="1948"/>
      <c r="U430" s="1948"/>
      <c r="V430" s="1954"/>
      <c r="W430" s="1948"/>
      <c r="X430" s="1954"/>
      <c r="Y430" s="1948"/>
      <c r="Z430" s="1962"/>
      <c r="AA430" s="1948"/>
      <c r="AB430" s="1948"/>
      <c r="AC430" s="1948"/>
      <c r="AD430" s="1948"/>
      <c r="AE430" s="1157"/>
      <c r="AF430" s="1429"/>
      <c r="AG430" s="1157"/>
      <c r="AH430" s="1164"/>
      <c r="AI430" s="1139" t="s">
        <v>366</v>
      </c>
      <c r="AJ430" s="1165"/>
      <c r="AK430" s="2806"/>
      <c r="AL430" s="1285"/>
      <c r="AM430" s="1531"/>
      <c r="AN430" s="1273"/>
      <c r="AO430" s="2132"/>
      <c r="AP430" s="1438"/>
      <c r="AQ430" s="778"/>
      <c r="AR430" s="778"/>
      <c r="AS430" s="1640"/>
      <c r="AT430" s="1452"/>
      <c r="AU430" s="1394"/>
      <c r="AV430" s="1394"/>
      <c r="AW430" s="1894"/>
      <c r="AX430" s="2133"/>
      <c r="AY430" s="870"/>
      <c r="AZ430" s="1802"/>
      <c r="BA430" s="1802"/>
      <c r="BB430" s="1644"/>
      <c r="BC430" s="687"/>
      <c r="BD430" s="975"/>
      <c r="BE430" s="687"/>
      <c r="BF430" s="1794"/>
      <c r="BG430" s="1862" t="s">
        <v>522</v>
      </c>
      <c r="BH430" s="1794"/>
      <c r="BI430" s="1556"/>
      <c r="BJ430" s="1169" t="s">
        <v>334</v>
      </c>
      <c r="BK430" s="1778"/>
      <c r="BL430" s="182"/>
      <c r="BM430" s="182"/>
      <c r="BN430" s="2136"/>
      <c r="BO430" s="1107"/>
      <c r="BP430" s="1107"/>
      <c r="BQ430" s="1107"/>
      <c r="BR430" s="2135"/>
      <c r="BS430" s="183"/>
      <c r="BT430" s="2846"/>
      <c r="BU430" s="2137"/>
      <c r="BV430" s="184"/>
      <c r="BW430" s="2259"/>
      <c r="BX430" s="2138"/>
      <c r="BY430" s="1107"/>
      <c r="BZ430" s="1107"/>
      <c r="CA430" s="2135"/>
    </row>
    <row r="431" spans="1:79" ht="20.85" customHeight="1" x14ac:dyDescent="0.4">
      <c r="A431" s="249"/>
      <c r="B431" s="249"/>
      <c r="C431" s="584" t="s">
        <v>307</v>
      </c>
      <c r="D431" s="1948"/>
      <c r="E431" s="1949"/>
      <c r="F431" s="1950"/>
      <c r="G431" s="1948"/>
      <c r="H431" s="1949"/>
      <c r="I431" s="1951"/>
      <c r="J431" s="1948"/>
      <c r="K431" s="1950"/>
      <c r="L431" s="1951"/>
      <c r="M431" s="1948"/>
      <c r="N431" s="1962"/>
      <c r="O431" s="1948"/>
      <c r="P431" s="1948"/>
      <c r="Q431" s="1950"/>
      <c r="R431" s="1951"/>
      <c r="S431" s="1954"/>
      <c r="T431" s="1948"/>
      <c r="U431" s="1948"/>
      <c r="V431" s="1954"/>
      <c r="W431" s="1948"/>
      <c r="X431" s="1954"/>
      <c r="Y431" s="1948"/>
      <c r="Z431" s="1962"/>
      <c r="AA431" s="1948"/>
      <c r="AB431" s="1948"/>
      <c r="AC431" s="1948"/>
      <c r="AD431" s="1948"/>
      <c r="AE431" s="1157"/>
      <c r="AF431" s="1157"/>
      <c r="AG431" s="1157"/>
      <c r="AH431" s="2000"/>
      <c r="AI431" s="1139" t="s">
        <v>334</v>
      </c>
      <c r="AJ431" s="1904"/>
      <c r="AK431" s="2139"/>
      <c r="AL431" s="1765"/>
      <c r="AM431" s="1531"/>
      <c r="AN431" s="1273"/>
      <c r="AO431" s="2140"/>
      <c r="AP431" s="1438"/>
      <c r="AQ431" s="778"/>
      <c r="AR431" s="778"/>
      <c r="AS431" s="1640"/>
      <c r="AT431" s="1452"/>
      <c r="AU431" s="1394"/>
      <c r="AV431" s="1394"/>
      <c r="AW431" s="1461"/>
      <c r="AX431" s="1455"/>
      <c r="AY431" s="1395"/>
      <c r="AZ431" s="1802"/>
      <c r="BA431" s="1802"/>
      <c r="BB431" s="1644"/>
      <c r="BC431" s="1958"/>
      <c r="BD431" s="975"/>
      <c r="BE431" s="908"/>
      <c r="BF431" s="1794"/>
      <c r="BG431" s="1859" t="s">
        <v>541</v>
      </c>
      <c r="BH431" s="1883"/>
      <c r="BI431" s="1556"/>
      <c r="BJ431" s="1419"/>
      <c r="BK431" s="2127"/>
      <c r="BL431" s="2007"/>
      <c r="BM431" s="182"/>
      <c r="BN431" s="2136"/>
      <c r="BO431" s="2134"/>
      <c r="BP431" s="1577"/>
      <c r="BQ431" s="1107"/>
      <c r="BR431" s="2135"/>
      <c r="BS431" s="2008"/>
      <c r="BT431" s="2846"/>
      <c r="BU431" s="2137"/>
      <c r="BV431" s="2009"/>
      <c r="BW431" s="2259"/>
      <c r="BX431" s="2138"/>
      <c r="BY431" s="1577"/>
      <c r="BZ431" s="1107"/>
      <c r="CA431" s="2135"/>
    </row>
    <row r="432" spans="1:79" ht="19.350000000000001" customHeight="1" x14ac:dyDescent="0.4">
      <c r="A432" s="249"/>
      <c r="B432" s="249"/>
      <c r="C432" s="584" t="s">
        <v>307</v>
      </c>
      <c r="D432" s="1948"/>
      <c r="E432" s="1949"/>
      <c r="F432" s="1950"/>
      <c r="G432" s="1948"/>
      <c r="H432" s="1949"/>
      <c r="I432" s="1951"/>
      <c r="J432" s="1948"/>
      <c r="K432" s="1950"/>
      <c r="L432" s="1951"/>
      <c r="M432" s="1948"/>
      <c r="N432" s="1962"/>
      <c r="O432" s="1948"/>
      <c r="P432" s="1948"/>
      <c r="Q432" s="1950"/>
      <c r="R432" s="1951"/>
      <c r="S432" s="1954"/>
      <c r="T432" s="1948"/>
      <c r="U432" s="1948"/>
      <c r="V432" s="1954"/>
      <c r="W432" s="1948"/>
      <c r="X432" s="1954"/>
      <c r="Y432" s="1948"/>
      <c r="Z432" s="1962"/>
      <c r="AA432" s="1948"/>
      <c r="AB432" s="1948"/>
      <c r="AC432" s="1948"/>
      <c r="AD432" s="1948"/>
      <c r="AE432" s="1157"/>
      <c r="AF432" s="1157"/>
      <c r="AG432" s="1157"/>
      <c r="AH432" s="793"/>
      <c r="AI432" s="793" t="s">
        <v>336</v>
      </c>
      <c r="AJ432" s="1430"/>
      <c r="AK432" s="2139"/>
      <c r="AL432" s="1765"/>
      <c r="AM432" s="1531"/>
      <c r="AN432" s="1273"/>
      <c r="AO432" s="2140"/>
      <c r="AP432" s="1438"/>
      <c r="AQ432" s="778"/>
      <c r="AR432" s="778"/>
      <c r="AS432" s="1640"/>
      <c r="AT432" s="1452"/>
      <c r="AU432" s="1394"/>
      <c r="AV432" s="1394"/>
      <c r="AW432" s="1894"/>
      <c r="AX432" s="2142"/>
      <c r="AY432" s="870"/>
      <c r="AZ432" s="1802"/>
      <c r="BA432" s="1802"/>
      <c r="BB432" s="1644"/>
      <c r="BC432" s="1958"/>
      <c r="BD432" s="967"/>
      <c r="BE432" s="965"/>
      <c r="BF432" s="1794"/>
      <c r="BG432" s="1859"/>
      <c r="BH432" s="1883"/>
      <c r="BI432" s="1556"/>
      <c r="BJ432" s="1419"/>
      <c r="BK432" s="2127"/>
      <c r="BL432" s="2007"/>
      <c r="BM432" s="182"/>
      <c r="BN432" s="2136"/>
      <c r="BO432" s="2134"/>
      <c r="BP432" s="1577"/>
      <c r="BQ432" s="1107"/>
      <c r="BR432" s="2135"/>
      <c r="BS432" s="2008"/>
      <c r="BT432" s="2846"/>
      <c r="BU432" s="2137"/>
      <c r="BV432" s="2009"/>
      <c r="BW432" s="2259"/>
      <c r="BX432" s="2138"/>
      <c r="BY432" s="1577"/>
      <c r="BZ432" s="1107"/>
      <c r="CA432" s="2135"/>
    </row>
    <row r="433" spans="1:79" ht="27.75" customHeight="1" x14ac:dyDescent="0.4">
      <c r="A433" s="249"/>
      <c r="B433" s="249"/>
      <c r="C433" s="584">
        <v>0.80555555555555503</v>
      </c>
      <c r="D433" s="1948"/>
      <c r="E433" s="1949"/>
      <c r="F433" s="1950"/>
      <c r="G433" s="1948"/>
      <c r="H433" s="1949"/>
      <c r="I433" s="1951"/>
      <c r="J433" s="1948"/>
      <c r="K433" s="1950"/>
      <c r="L433" s="1951"/>
      <c r="M433" s="1948"/>
      <c r="N433" s="1962"/>
      <c r="O433" s="1948"/>
      <c r="P433" s="1948"/>
      <c r="Q433" s="1950"/>
      <c r="R433" s="1951"/>
      <c r="S433" s="1954"/>
      <c r="T433" s="1948"/>
      <c r="U433" s="1948"/>
      <c r="V433" s="1954"/>
      <c r="W433" s="1948"/>
      <c r="X433" s="1954"/>
      <c r="Y433" s="1948"/>
      <c r="Z433" s="1962"/>
      <c r="AA433" s="1948"/>
      <c r="AB433" s="1948"/>
      <c r="AC433" s="1948"/>
      <c r="AD433" s="1948"/>
      <c r="AE433" s="1157"/>
      <c r="AF433" s="2143"/>
      <c r="AG433" s="2050"/>
      <c r="AH433" s="1160"/>
      <c r="AI433" s="2144"/>
      <c r="AJ433" s="1256"/>
      <c r="AK433" s="2139"/>
      <c r="AL433" s="2553" t="s">
        <v>470</v>
      </c>
      <c r="AM433" s="1469"/>
      <c r="AN433" s="1273"/>
      <c r="AO433" s="2145"/>
      <c r="AP433" s="1438"/>
      <c r="AQ433" s="778"/>
      <c r="AR433" s="778"/>
      <c r="AS433" s="1640"/>
      <c r="AT433" s="1394"/>
      <c r="AU433" s="1394"/>
      <c r="AV433" s="1460"/>
      <c r="AW433" s="1395"/>
      <c r="AX433" s="2146"/>
      <c r="AY433" s="1395"/>
      <c r="AZ433" s="1802"/>
      <c r="BA433" s="1802"/>
      <c r="BB433" s="1644"/>
      <c r="BC433" s="1958"/>
      <c r="BD433" s="967"/>
      <c r="BE433" s="965"/>
      <c r="BF433" s="1794"/>
      <c r="BG433" s="1794"/>
      <c r="BH433" s="1794"/>
      <c r="BI433" s="1556"/>
      <c r="BJ433" s="2642"/>
      <c r="BK433" s="1556"/>
      <c r="BL433" s="182"/>
      <c r="BM433" s="182"/>
      <c r="BN433" s="1734"/>
      <c r="BO433" s="1107"/>
      <c r="BP433" s="1107"/>
      <c r="BQ433" s="2124"/>
      <c r="BR433" s="1191"/>
      <c r="BS433" s="183"/>
      <c r="BT433" s="2846"/>
      <c r="BU433" s="1737"/>
      <c r="BV433" s="184"/>
      <c r="BW433" s="2259"/>
      <c r="BX433" s="1740"/>
      <c r="BY433" s="1107"/>
      <c r="BZ433" s="2124"/>
      <c r="CA433" s="1191"/>
    </row>
    <row r="434" spans="1:79" ht="14.85" customHeight="1" x14ac:dyDescent="0.4">
      <c r="A434" s="249"/>
      <c r="B434" s="249"/>
      <c r="C434" s="584" t="s">
        <v>307</v>
      </c>
      <c r="D434" s="1948"/>
      <c r="E434" s="1949"/>
      <c r="F434" s="1950"/>
      <c r="G434" s="1948"/>
      <c r="H434" s="1949"/>
      <c r="I434" s="1951"/>
      <c r="J434" s="1948"/>
      <c r="K434" s="1950"/>
      <c r="L434" s="1951"/>
      <c r="M434" s="1948"/>
      <c r="N434" s="1962"/>
      <c r="O434" s="1948"/>
      <c r="P434" s="1948"/>
      <c r="Q434" s="1950"/>
      <c r="R434" s="1951"/>
      <c r="S434" s="1954"/>
      <c r="T434" s="1948"/>
      <c r="U434" s="1948"/>
      <c r="V434" s="1954"/>
      <c r="W434" s="1948"/>
      <c r="X434" s="1954"/>
      <c r="Y434" s="1948"/>
      <c r="Z434" s="1962"/>
      <c r="AA434" s="1948"/>
      <c r="AB434" s="1948"/>
      <c r="AC434" s="1948"/>
      <c r="AD434" s="1948"/>
      <c r="AE434" s="1157"/>
      <c r="AF434" s="2143"/>
      <c r="AG434" s="2050"/>
      <c r="AH434" s="1160"/>
      <c r="AI434" s="1160"/>
      <c r="AJ434" s="1256"/>
      <c r="AK434" s="1285"/>
      <c r="AL434" s="1285"/>
      <c r="AM434" s="1531"/>
      <c r="AN434" s="1273"/>
      <c r="AO434" s="1273"/>
      <c r="AP434" s="1438"/>
      <c r="AQ434" s="778"/>
      <c r="AR434" s="778"/>
      <c r="AS434" s="1640"/>
      <c r="AT434" s="1394"/>
      <c r="AU434" s="1394"/>
      <c r="AV434" s="1460"/>
      <c r="AW434" s="1395"/>
      <c r="AX434" s="2052"/>
      <c r="AY434" s="1022"/>
      <c r="AZ434" s="1802"/>
      <c r="BA434" s="1802"/>
      <c r="BB434" s="1644"/>
      <c r="BC434" s="664"/>
      <c r="BD434" s="967"/>
      <c r="BE434" s="965"/>
      <c r="BF434" s="1794"/>
      <c r="BG434" s="1859"/>
      <c r="BH434" s="1883"/>
      <c r="BI434" s="1556"/>
      <c r="BJ434" s="1186"/>
      <c r="BK434" s="1778"/>
      <c r="BL434" s="2149"/>
      <c r="BM434" s="182"/>
      <c r="BN434" s="1993"/>
      <c r="BO434" s="2134"/>
      <c r="BP434" s="2147"/>
      <c r="BQ434" s="2148"/>
      <c r="BR434" s="1992"/>
      <c r="BS434" s="2150"/>
      <c r="BT434" s="2846"/>
      <c r="BU434" s="1994"/>
      <c r="BV434" s="2151"/>
      <c r="BW434" s="2259"/>
      <c r="BX434" s="1995"/>
      <c r="BY434" s="2147"/>
      <c r="BZ434" s="2148"/>
      <c r="CA434" s="1992"/>
    </row>
    <row r="435" spans="1:79" ht="14.85" customHeight="1" x14ac:dyDescent="0.4">
      <c r="A435" s="249"/>
      <c r="B435" s="249"/>
      <c r="C435" s="584">
        <v>0.80902777777777801</v>
      </c>
      <c r="D435" s="1948"/>
      <c r="E435" s="1949"/>
      <c r="F435" s="1950"/>
      <c r="G435" s="1948"/>
      <c r="H435" s="1949"/>
      <c r="I435" s="1951"/>
      <c r="J435" s="1948"/>
      <c r="K435" s="1950"/>
      <c r="L435" s="1951"/>
      <c r="M435" s="1948"/>
      <c r="N435" s="1962"/>
      <c r="O435" s="1948"/>
      <c r="P435" s="1948"/>
      <c r="Q435" s="1950"/>
      <c r="R435" s="1951"/>
      <c r="S435" s="1954"/>
      <c r="T435" s="1948"/>
      <c r="U435" s="1948"/>
      <c r="V435" s="1954"/>
      <c r="W435" s="1948"/>
      <c r="X435" s="1954"/>
      <c r="Y435" s="1948"/>
      <c r="Z435" s="1962"/>
      <c r="AA435" s="1948"/>
      <c r="AB435" s="1948"/>
      <c r="AC435" s="1948"/>
      <c r="AD435" s="1948"/>
      <c r="AE435" s="1157"/>
      <c r="AF435" s="2152"/>
      <c r="AG435" s="2070"/>
      <c r="AH435" s="1160"/>
      <c r="AI435" s="1160"/>
      <c r="AJ435" s="1256"/>
      <c r="AK435" s="1285"/>
      <c r="AL435" s="1285"/>
      <c r="AM435" s="1969"/>
      <c r="AN435" s="1273"/>
      <c r="AO435" s="1273"/>
      <c r="AP435" s="1438"/>
      <c r="AQ435" s="778"/>
      <c r="AR435" s="778"/>
      <c r="AS435" s="1640"/>
      <c r="AT435" s="1394"/>
      <c r="AU435" s="1394"/>
      <c r="AV435" s="2002"/>
      <c r="AW435" s="1395"/>
      <c r="AX435" s="2052"/>
      <c r="AY435" s="1752"/>
      <c r="AZ435" s="1802"/>
      <c r="BA435" s="1802"/>
      <c r="BB435" s="1644"/>
      <c r="BC435" s="664"/>
      <c r="BD435" s="967"/>
      <c r="BE435" s="965"/>
      <c r="BF435" s="1794"/>
      <c r="BG435" s="1859"/>
      <c r="BH435" s="1883"/>
      <c r="BI435" s="1556"/>
      <c r="BJ435" s="1271"/>
      <c r="BK435" s="2153"/>
      <c r="BL435" s="182"/>
      <c r="BM435" s="182"/>
      <c r="BN435" s="1734"/>
      <c r="BO435" s="1580"/>
      <c r="BP435" s="1107"/>
      <c r="BQ435" s="1107"/>
      <c r="BR435" s="1191"/>
      <c r="BS435" s="183"/>
      <c r="BT435" s="2846"/>
      <c r="BU435" s="1737"/>
      <c r="BV435" s="184"/>
      <c r="BW435" s="2259"/>
      <c r="BX435" s="1740"/>
      <c r="BY435" s="1107"/>
      <c r="BZ435" s="1107"/>
      <c r="CA435" s="1191"/>
    </row>
    <row r="436" spans="1:79" ht="25.5" customHeight="1" x14ac:dyDescent="0.4">
      <c r="A436" s="249"/>
      <c r="B436" s="249"/>
      <c r="C436" s="584">
        <v>0.8125</v>
      </c>
      <c r="D436" s="1948"/>
      <c r="E436" s="1949"/>
      <c r="F436" s="1950"/>
      <c r="G436" s="1948"/>
      <c r="H436" s="1949"/>
      <c r="I436" s="1951"/>
      <c r="J436" s="1948"/>
      <c r="K436" s="1950"/>
      <c r="L436" s="1951"/>
      <c r="M436" s="1948"/>
      <c r="N436" s="1962"/>
      <c r="O436" s="1948"/>
      <c r="P436" s="1948"/>
      <c r="Q436" s="1950"/>
      <c r="R436" s="1951"/>
      <c r="S436" s="1954"/>
      <c r="T436" s="1948"/>
      <c r="U436" s="1948"/>
      <c r="V436" s="1954"/>
      <c r="W436" s="1948"/>
      <c r="X436" s="1954"/>
      <c r="Y436" s="1948"/>
      <c r="Z436" s="1962"/>
      <c r="AA436" s="1948"/>
      <c r="AB436" s="1948"/>
      <c r="AC436" s="1948"/>
      <c r="AD436" s="1948"/>
      <c r="AE436" s="1385"/>
      <c r="AF436" s="1385" t="s">
        <v>332</v>
      </c>
      <c r="AG436" s="1408"/>
      <c r="AH436" s="1159"/>
      <c r="AI436" s="1160" t="s">
        <v>331</v>
      </c>
      <c r="AJ436" s="1160"/>
      <c r="AK436" s="2806"/>
      <c r="AL436" s="1285"/>
      <c r="AM436" s="1531"/>
      <c r="AN436" s="1872"/>
      <c r="AO436" s="2145"/>
      <c r="AP436" s="1603"/>
      <c r="AQ436" s="778"/>
      <c r="AR436" s="778"/>
      <c r="AS436" s="1640"/>
      <c r="AT436" s="1892"/>
      <c r="AU436" s="2118"/>
      <c r="AV436" s="1460"/>
      <c r="AW436" s="1538"/>
      <c r="AX436" s="2154"/>
      <c r="AY436" s="1022"/>
      <c r="AZ436" s="1802"/>
      <c r="BA436" s="1802"/>
      <c r="BB436" s="1644"/>
      <c r="BC436" s="664"/>
      <c r="BD436" s="1555"/>
      <c r="BE436" s="965"/>
      <c r="BF436" s="1794"/>
      <c r="BG436" s="2157" t="s">
        <v>533</v>
      </c>
      <c r="BH436" s="1883"/>
      <c r="BI436" s="1556"/>
      <c r="BJ436" s="1169" t="s">
        <v>371</v>
      </c>
      <c r="BK436" s="1778"/>
      <c r="BL436" s="2007"/>
      <c r="BM436" s="182"/>
      <c r="BN436" s="1783"/>
      <c r="BO436" s="2134"/>
      <c r="BP436" s="1577"/>
      <c r="BQ436" s="1107"/>
      <c r="BR436" s="1614"/>
      <c r="BS436" s="2008"/>
      <c r="BT436" s="2846"/>
      <c r="BU436" s="1784"/>
      <c r="BV436" s="2009"/>
      <c r="BW436" s="2259"/>
      <c r="BX436" s="1785"/>
      <c r="BY436" s="1577"/>
      <c r="BZ436" s="1107"/>
      <c r="CA436" s="1614"/>
    </row>
    <row r="437" spans="1:79" ht="17.850000000000001" customHeight="1" x14ac:dyDescent="0.4">
      <c r="A437" s="249"/>
      <c r="B437" s="249"/>
      <c r="C437" s="584" t="s">
        <v>307</v>
      </c>
      <c r="D437" s="1948"/>
      <c r="E437" s="1949"/>
      <c r="F437" s="1950"/>
      <c r="G437" s="1948"/>
      <c r="H437" s="1949"/>
      <c r="I437" s="1951"/>
      <c r="J437" s="1948"/>
      <c r="K437" s="1950"/>
      <c r="L437" s="1951"/>
      <c r="M437" s="1948"/>
      <c r="N437" s="1962"/>
      <c r="O437" s="1948"/>
      <c r="P437" s="1948"/>
      <c r="Q437" s="1950"/>
      <c r="R437" s="1951"/>
      <c r="S437" s="1954"/>
      <c r="T437" s="1948"/>
      <c r="U437" s="1948"/>
      <c r="V437" s="1954"/>
      <c r="W437" s="1948"/>
      <c r="X437" s="1954"/>
      <c r="Y437" s="1948"/>
      <c r="Z437" s="1962"/>
      <c r="AA437" s="1948"/>
      <c r="AB437" s="1948"/>
      <c r="AC437" s="1948"/>
      <c r="AD437" s="1948"/>
      <c r="AE437" s="1157"/>
      <c r="AF437" s="1429"/>
      <c r="AG437" s="1157"/>
      <c r="AH437" s="1164"/>
      <c r="AI437" s="1139" t="s">
        <v>366</v>
      </c>
      <c r="AJ437" s="1165"/>
      <c r="AK437" s="2806"/>
      <c r="AL437" s="1285"/>
      <c r="AM437" s="1469"/>
      <c r="AN437" s="1273"/>
      <c r="AO437" s="1872"/>
      <c r="AP437" s="1438"/>
      <c r="AQ437" s="778"/>
      <c r="AR437" s="778"/>
      <c r="AS437" s="1640"/>
      <c r="AT437" s="1452"/>
      <c r="AU437" s="1394"/>
      <c r="AV437" s="1394"/>
      <c r="AW437" s="2155"/>
      <c r="AX437" s="2155"/>
      <c r="AY437" s="2156"/>
      <c r="AZ437" s="1802"/>
      <c r="BA437" s="1802"/>
      <c r="BB437" s="1644"/>
      <c r="BC437" s="687"/>
      <c r="BD437" s="975"/>
      <c r="BE437" s="687"/>
      <c r="BF437" s="1794"/>
      <c r="BG437" s="2157" t="s">
        <v>384</v>
      </c>
      <c r="BH437" s="1883"/>
      <c r="BI437" s="1556"/>
      <c r="BJ437" s="2649" t="s">
        <v>334</v>
      </c>
      <c r="BK437" s="1789"/>
      <c r="BL437" s="182"/>
      <c r="BM437" s="182"/>
      <c r="BN437" s="1783"/>
      <c r="BO437" s="1107"/>
      <c r="BP437" s="1107"/>
      <c r="BQ437" s="1107"/>
      <c r="BR437" s="1614"/>
      <c r="BS437" s="183"/>
      <c r="BT437" s="2846"/>
      <c r="BU437" s="1784"/>
      <c r="BV437" s="184"/>
      <c r="BW437" s="2259"/>
      <c r="BX437" s="1785"/>
      <c r="BY437" s="1107"/>
      <c r="BZ437" s="1107"/>
      <c r="CA437" s="1614"/>
    </row>
    <row r="438" spans="1:79" ht="22.35" customHeight="1" x14ac:dyDescent="0.4">
      <c r="A438" s="249"/>
      <c r="B438" s="249"/>
      <c r="C438" s="584" t="s">
        <v>307</v>
      </c>
      <c r="D438" s="1948"/>
      <c r="E438" s="1949"/>
      <c r="F438" s="1950"/>
      <c r="G438" s="1948"/>
      <c r="H438" s="1949"/>
      <c r="I438" s="1951"/>
      <c r="J438" s="1948"/>
      <c r="K438" s="1950"/>
      <c r="L438" s="1951"/>
      <c r="M438" s="1948"/>
      <c r="N438" s="1962"/>
      <c r="O438" s="1948"/>
      <c r="P438" s="1948"/>
      <c r="Q438" s="1950"/>
      <c r="R438" s="1951"/>
      <c r="S438" s="1954"/>
      <c r="T438" s="1948"/>
      <c r="U438" s="1948"/>
      <c r="V438" s="1954"/>
      <c r="W438" s="1948"/>
      <c r="X438" s="1954"/>
      <c r="Y438" s="1948"/>
      <c r="Z438" s="1962"/>
      <c r="AA438" s="1948"/>
      <c r="AB438" s="1948"/>
      <c r="AC438" s="1948"/>
      <c r="AD438" s="1948"/>
      <c r="AE438" s="1157"/>
      <c r="AF438" s="1157"/>
      <c r="AG438" s="1157"/>
      <c r="AH438" s="1160"/>
      <c r="AI438" s="1160" t="s">
        <v>334</v>
      </c>
      <c r="AJ438" s="1160"/>
      <c r="AK438" s="2806"/>
      <c r="AL438" s="1285"/>
      <c r="AM438" s="1469"/>
      <c r="AN438" s="1273"/>
      <c r="AO438" s="1872"/>
      <c r="AP438" s="1438"/>
      <c r="AQ438" s="778"/>
      <c r="AR438" s="778"/>
      <c r="AS438" s="1640"/>
      <c r="AT438" s="1452"/>
      <c r="AU438" s="1394"/>
      <c r="AV438" s="1394"/>
      <c r="AW438" s="2155"/>
      <c r="AX438" s="2158"/>
      <c r="AY438" s="2156"/>
      <c r="AZ438" s="1802"/>
      <c r="BA438" s="1802"/>
      <c r="BB438" s="1644"/>
      <c r="BC438" s="687"/>
      <c r="BD438" s="975"/>
      <c r="BE438" s="687"/>
      <c r="BF438" s="1794"/>
      <c r="BG438" s="1794"/>
      <c r="BH438" s="1794"/>
      <c r="BI438" s="1556"/>
      <c r="BJ438" s="2642"/>
      <c r="BK438" s="2159"/>
      <c r="BL438" s="182"/>
      <c r="BM438" s="182"/>
      <c r="BN438" s="1783"/>
      <c r="BO438" s="1107"/>
      <c r="BP438" s="1107"/>
      <c r="BQ438" s="2124"/>
      <c r="BR438" s="1614"/>
      <c r="BS438" s="183"/>
      <c r="BT438" s="2846"/>
      <c r="BU438" s="1784"/>
      <c r="BV438" s="184"/>
      <c r="BW438" s="2259"/>
      <c r="BX438" s="1785"/>
      <c r="BY438" s="1107"/>
      <c r="BZ438" s="2124"/>
      <c r="CA438" s="1614"/>
    </row>
    <row r="439" spans="1:79" ht="16.350000000000001" customHeight="1" x14ac:dyDescent="0.4">
      <c r="A439" s="249"/>
      <c r="B439" s="249"/>
      <c r="C439" s="584" t="s">
        <v>307</v>
      </c>
      <c r="D439" s="1948"/>
      <c r="E439" s="1949"/>
      <c r="F439" s="1950"/>
      <c r="G439" s="1948"/>
      <c r="H439" s="1949"/>
      <c r="I439" s="1951"/>
      <c r="J439" s="1948"/>
      <c r="K439" s="1950"/>
      <c r="L439" s="1951"/>
      <c r="M439" s="1948"/>
      <c r="N439" s="1962"/>
      <c r="O439" s="1948"/>
      <c r="P439" s="1948"/>
      <c r="Q439" s="1950"/>
      <c r="R439" s="1951"/>
      <c r="S439" s="1954"/>
      <c r="T439" s="1948"/>
      <c r="U439" s="1948"/>
      <c r="V439" s="1954"/>
      <c r="W439" s="1948"/>
      <c r="X439" s="1954"/>
      <c r="Y439" s="1948"/>
      <c r="Z439" s="1962"/>
      <c r="AA439" s="1948"/>
      <c r="AB439" s="1948"/>
      <c r="AC439" s="1948"/>
      <c r="AD439" s="1948"/>
      <c r="AE439" s="2160"/>
      <c r="AF439" s="1478"/>
      <c r="AG439" s="1157"/>
      <c r="AH439" s="1160"/>
      <c r="AI439" s="1139" t="s">
        <v>330</v>
      </c>
      <c r="AJ439" s="1160"/>
      <c r="AK439" s="2806"/>
      <c r="AL439" s="1285"/>
      <c r="AM439" s="1531"/>
      <c r="AN439" s="1273"/>
      <c r="AO439" s="1872"/>
      <c r="AP439" s="1438"/>
      <c r="AQ439" s="778"/>
      <c r="AR439" s="778"/>
      <c r="AS439" s="1640"/>
      <c r="AT439" s="1452"/>
      <c r="AU439" s="1392"/>
      <c r="AV439" s="1460"/>
      <c r="AW439" s="684"/>
      <c r="AX439" s="2133"/>
      <c r="AY439" s="870"/>
      <c r="AZ439" s="1802"/>
      <c r="BA439" s="1802"/>
      <c r="BB439" s="1802"/>
      <c r="BC439" s="687"/>
      <c r="BD439" s="967"/>
      <c r="BE439" s="687"/>
      <c r="BF439" s="1794"/>
      <c r="BG439" s="1859"/>
      <c r="BH439" s="1883"/>
      <c r="BI439" s="1556"/>
      <c r="BJ439" s="2642"/>
      <c r="BK439" s="2127"/>
      <c r="BL439" s="182"/>
      <c r="BM439" s="182"/>
      <c r="BN439" s="182"/>
      <c r="BO439" s="1107"/>
      <c r="BP439" s="1107"/>
      <c r="BQ439" s="2124"/>
      <c r="BR439" s="1107"/>
      <c r="BS439" s="183"/>
      <c r="BT439" s="2846"/>
      <c r="BU439" s="183"/>
      <c r="BV439" s="184"/>
      <c r="BW439" s="2259"/>
      <c r="BX439" s="184"/>
      <c r="BY439" s="1107"/>
      <c r="BZ439" s="2124"/>
      <c r="CA439" s="1107"/>
    </row>
    <row r="440" spans="1:79" ht="14.85" customHeight="1" x14ac:dyDescent="0.4">
      <c r="A440" s="249"/>
      <c r="B440" s="249"/>
      <c r="C440" s="584" t="s">
        <v>307</v>
      </c>
      <c r="D440" s="1948"/>
      <c r="E440" s="1949"/>
      <c r="F440" s="1950"/>
      <c r="G440" s="1948"/>
      <c r="H440" s="1949"/>
      <c r="I440" s="1951"/>
      <c r="J440" s="1948"/>
      <c r="K440" s="1950"/>
      <c r="L440" s="1951"/>
      <c r="M440" s="1948"/>
      <c r="N440" s="1962"/>
      <c r="O440" s="1948"/>
      <c r="P440" s="1948"/>
      <c r="Q440" s="1950"/>
      <c r="R440" s="1951"/>
      <c r="S440" s="1954"/>
      <c r="T440" s="1948"/>
      <c r="U440" s="1948"/>
      <c r="V440" s="1954"/>
      <c r="W440" s="1948"/>
      <c r="X440" s="1954"/>
      <c r="Y440" s="1948"/>
      <c r="Z440" s="1962"/>
      <c r="AA440" s="1948"/>
      <c r="AB440" s="1948"/>
      <c r="AC440" s="1948"/>
      <c r="AD440" s="1948"/>
      <c r="AE440" s="1157"/>
      <c r="AF440" s="1429"/>
      <c r="AG440" s="1157"/>
      <c r="AH440" s="1645"/>
      <c r="AI440" s="1593"/>
      <c r="AJ440" s="1160"/>
      <c r="AK440" s="2806"/>
      <c r="AL440" s="1285"/>
      <c r="AM440" s="1531"/>
      <c r="AN440" s="1722"/>
      <c r="AO440" s="2162"/>
      <c r="AP440" s="1761"/>
      <c r="AQ440" s="778"/>
      <c r="AR440" s="778"/>
      <c r="AS440" s="1640"/>
      <c r="AT440" s="1452"/>
      <c r="AU440" s="1392"/>
      <c r="AV440" s="1873"/>
      <c r="AW440" s="684"/>
      <c r="AX440" s="2133"/>
      <c r="AY440" s="870"/>
      <c r="AZ440" s="1802"/>
      <c r="BA440" s="1802"/>
      <c r="BB440" s="1802"/>
      <c r="BC440" s="687"/>
      <c r="BD440" s="967"/>
      <c r="BE440" s="687"/>
      <c r="BF440" s="1794"/>
      <c r="BG440" s="1859"/>
      <c r="BH440" s="1883"/>
      <c r="BI440" s="1556"/>
      <c r="BJ440" s="2642"/>
      <c r="BK440" s="1998"/>
      <c r="BL440" s="182"/>
      <c r="BM440" s="182"/>
      <c r="BN440" s="182"/>
      <c r="BO440" s="1107"/>
      <c r="BP440" s="1107"/>
      <c r="BQ440" s="2124"/>
      <c r="BR440" s="1107"/>
      <c r="BS440" s="183"/>
      <c r="BT440" s="2846"/>
      <c r="BU440" s="183"/>
      <c r="BV440" s="184"/>
      <c r="BW440" s="2259"/>
      <c r="BX440" s="184"/>
      <c r="BY440" s="1107"/>
      <c r="BZ440" s="2124"/>
      <c r="CA440" s="1107"/>
    </row>
    <row r="441" spans="1:79" ht="14.85" customHeight="1" x14ac:dyDescent="0.4">
      <c r="A441" s="249"/>
      <c r="B441" s="249"/>
      <c r="C441" s="584" t="s">
        <v>307</v>
      </c>
      <c r="D441" s="1948"/>
      <c r="E441" s="1949"/>
      <c r="F441" s="1950"/>
      <c r="G441" s="1948"/>
      <c r="H441" s="1949"/>
      <c r="I441" s="1951"/>
      <c r="J441" s="1948"/>
      <c r="K441" s="1950"/>
      <c r="L441" s="1951"/>
      <c r="M441" s="1948"/>
      <c r="N441" s="1962"/>
      <c r="O441" s="1948"/>
      <c r="P441" s="1948"/>
      <c r="Q441" s="1950"/>
      <c r="R441" s="1951"/>
      <c r="S441" s="1954"/>
      <c r="T441" s="1948"/>
      <c r="U441" s="1948"/>
      <c r="V441" s="1954"/>
      <c r="W441" s="1948"/>
      <c r="X441" s="1954"/>
      <c r="Y441" s="1948"/>
      <c r="Z441" s="1962"/>
      <c r="AA441" s="1948"/>
      <c r="AB441" s="1948"/>
      <c r="AC441" s="1948"/>
      <c r="AD441" s="1948"/>
      <c r="AE441" s="1157"/>
      <c r="AF441" s="1429"/>
      <c r="AG441" s="1157"/>
      <c r="AH441" s="1160"/>
      <c r="AI441" s="2161"/>
      <c r="AJ441" s="1160"/>
      <c r="AK441" s="2806"/>
      <c r="AL441" s="1285"/>
      <c r="AM441" s="1531"/>
      <c r="AN441" s="1722"/>
      <c r="AO441" s="2162"/>
      <c r="AP441" s="1761"/>
      <c r="AQ441" s="778"/>
      <c r="AR441" s="778"/>
      <c r="AS441" s="1640"/>
      <c r="AT441" s="1452"/>
      <c r="AU441" s="1392"/>
      <c r="AV441" s="1873"/>
      <c r="AW441" s="684"/>
      <c r="AX441" s="2133"/>
      <c r="AY441" s="870"/>
      <c r="AZ441" s="1802"/>
      <c r="BA441" s="1802"/>
      <c r="BB441" s="1802"/>
      <c r="BC441" s="687"/>
      <c r="BD441" s="967"/>
      <c r="BE441" s="687"/>
      <c r="BF441" s="1794"/>
      <c r="BG441" s="1794"/>
      <c r="BH441" s="1794"/>
      <c r="BI441" s="1556"/>
      <c r="BJ441" s="2642"/>
      <c r="BK441" s="1998"/>
      <c r="BL441" s="182"/>
      <c r="BM441" s="182"/>
      <c r="BN441" s="182"/>
      <c r="BO441" s="1107"/>
      <c r="BP441" s="1107"/>
      <c r="BQ441" s="2124"/>
      <c r="BR441" s="1107"/>
      <c r="BS441" s="183"/>
      <c r="BT441" s="2846"/>
      <c r="BU441" s="183"/>
      <c r="BV441" s="184"/>
      <c r="BW441" s="2259"/>
      <c r="BX441" s="184"/>
      <c r="BY441" s="1107"/>
      <c r="BZ441" s="2124"/>
      <c r="CA441" s="1107"/>
    </row>
    <row r="442" spans="1:79" ht="14.85" customHeight="1" x14ac:dyDescent="0.4">
      <c r="A442" s="249"/>
      <c r="B442" s="249"/>
      <c r="C442" s="584" t="s">
        <v>307</v>
      </c>
      <c r="D442" s="1948"/>
      <c r="E442" s="1949"/>
      <c r="F442" s="1950"/>
      <c r="G442" s="1948"/>
      <c r="H442" s="1949"/>
      <c r="I442" s="1951"/>
      <c r="J442" s="1948"/>
      <c r="K442" s="1950"/>
      <c r="L442" s="1951"/>
      <c r="M442" s="1948"/>
      <c r="N442" s="1962"/>
      <c r="O442" s="1948"/>
      <c r="P442" s="1948"/>
      <c r="Q442" s="1950"/>
      <c r="R442" s="1951"/>
      <c r="S442" s="1954"/>
      <c r="T442" s="1948"/>
      <c r="U442" s="1948"/>
      <c r="V442" s="1954"/>
      <c r="W442" s="1948"/>
      <c r="X442" s="1954"/>
      <c r="Y442" s="1948"/>
      <c r="Z442" s="1962"/>
      <c r="AA442" s="1948"/>
      <c r="AB442" s="1948"/>
      <c r="AC442" s="1948"/>
      <c r="AD442" s="1948"/>
      <c r="AE442" s="1157"/>
      <c r="AF442" s="1429"/>
      <c r="AG442" s="1157"/>
      <c r="AH442" s="1160"/>
      <c r="AI442" s="2161"/>
      <c r="AJ442" s="1160"/>
      <c r="AK442" s="2806"/>
      <c r="AL442" s="1285"/>
      <c r="AM442" s="1531"/>
      <c r="AN442" s="1722"/>
      <c r="AO442" s="2162"/>
      <c r="AP442" s="1761"/>
      <c r="AQ442" s="778"/>
      <c r="AR442" s="778"/>
      <c r="AS442" s="1640"/>
      <c r="AT442" s="1452"/>
      <c r="AU442" s="1392"/>
      <c r="AV442" s="1873"/>
      <c r="AW442" s="684"/>
      <c r="AX442" s="2133"/>
      <c r="AY442" s="870"/>
      <c r="AZ442" s="1802"/>
      <c r="BA442" s="1802"/>
      <c r="BB442" s="1802"/>
      <c r="BC442" s="1958"/>
      <c r="BD442" s="967"/>
      <c r="BE442" s="908"/>
      <c r="BF442" s="1794"/>
      <c r="BG442" s="1859"/>
      <c r="BH442" s="1883"/>
      <c r="BI442" s="1556"/>
      <c r="BJ442" s="2642"/>
      <c r="BK442" s="1998"/>
      <c r="BL442" s="182"/>
      <c r="BM442" s="182"/>
      <c r="BN442" s="182"/>
      <c r="BO442" s="1107"/>
      <c r="BP442" s="1107"/>
      <c r="BQ442" s="2124"/>
      <c r="BR442" s="1107"/>
      <c r="BS442" s="183"/>
      <c r="BT442" s="2846"/>
      <c r="BU442" s="183"/>
      <c r="BV442" s="184"/>
      <c r="BW442" s="2259"/>
      <c r="BX442" s="184"/>
      <c r="BY442" s="1107"/>
      <c r="BZ442" s="2124"/>
      <c r="CA442" s="1107"/>
    </row>
    <row r="443" spans="1:79" ht="21.6" customHeight="1" x14ac:dyDescent="0.4">
      <c r="A443" s="249"/>
      <c r="B443" s="249"/>
      <c r="C443" s="584">
        <v>0.81597222222222199</v>
      </c>
      <c r="D443" s="1948"/>
      <c r="E443" s="1949"/>
      <c r="F443" s="1950"/>
      <c r="G443" s="1948"/>
      <c r="H443" s="1949"/>
      <c r="I443" s="1951"/>
      <c r="J443" s="1948"/>
      <c r="K443" s="1950"/>
      <c r="L443" s="1951"/>
      <c r="M443" s="1948"/>
      <c r="N443" s="1962"/>
      <c r="O443" s="1948"/>
      <c r="P443" s="1948"/>
      <c r="Q443" s="1950"/>
      <c r="R443" s="1951"/>
      <c r="S443" s="1954"/>
      <c r="T443" s="1948"/>
      <c r="U443" s="1948"/>
      <c r="V443" s="1954"/>
      <c r="W443" s="1948"/>
      <c r="X443" s="1954"/>
      <c r="Y443" s="1948"/>
      <c r="Z443" s="1962"/>
      <c r="AA443" s="1948"/>
      <c r="AB443" s="1948"/>
      <c r="AC443" s="1948"/>
      <c r="AD443" s="1948"/>
      <c r="AE443" s="1157"/>
      <c r="AF443" s="2163"/>
      <c r="AG443" s="2070"/>
      <c r="AH443" s="1160"/>
      <c r="AI443" s="2161"/>
      <c r="AJ443" s="1160"/>
      <c r="AK443" s="1285"/>
      <c r="AL443" s="1285"/>
      <c r="AM443" s="1969"/>
      <c r="AN443" s="1722"/>
      <c r="AO443" s="1722"/>
      <c r="AP443" s="1722"/>
      <c r="AQ443" s="778"/>
      <c r="AR443" s="778"/>
      <c r="AS443" s="1640"/>
      <c r="AT443" s="1394"/>
      <c r="AU443" s="1392"/>
      <c r="AV443" s="1873"/>
      <c r="AW443" s="1682"/>
      <c r="AX443" s="2164"/>
      <c r="AY443" s="783"/>
      <c r="AZ443" s="1802"/>
      <c r="BA443" s="1280"/>
      <c r="BB443" s="1644"/>
      <c r="BC443" s="687"/>
      <c r="BD443" s="1374"/>
      <c r="BE443" s="687"/>
      <c r="BF443" s="1794"/>
      <c r="BG443" s="1859"/>
      <c r="BH443" s="1883"/>
      <c r="BI443" s="1556"/>
      <c r="BJ443" s="2182"/>
      <c r="BK443" s="1543"/>
      <c r="BL443" s="2007"/>
      <c r="BM443" s="182"/>
      <c r="BN443" s="2073"/>
      <c r="BO443" s="2134"/>
      <c r="BP443" s="1577"/>
      <c r="BQ443" s="2124"/>
      <c r="BR443" s="2072"/>
      <c r="BS443" s="2008"/>
      <c r="BT443" s="2846"/>
      <c r="BU443" s="2074"/>
      <c r="BV443" s="2009"/>
      <c r="BW443" s="2259"/>
      <c r="BX443" s="2075"/>
      <c r="BY443" s="1577"/>
      <c r="BZ443" s="2124"/>
      <c r="CA443" s="2072"/>
    </row>
    <row r="444" spans="1:79" ht="14.85" customHeight="1" x14ac:dyDescent="0.4">
      <c r="A444" s="249"/>
      <c r="B444" s="249"/>
      <c r="C444" s="584" t="s">
        <v>307</v>
      </c>
      <c r="D444" s="1948"/>
      <c r="E444" s="1949"/>
      <c r="F444" s="1950"/>
      <c r="G444" s="1948"/>
      <c r="H444" s="1949"/>
      <c r="I444" s="1951"/>
      <c r="J444" s="1948"/>
      <c r="K444" s="1950"/>
      <c r="L444" s="1951"/>
      <c r="M444" s="1948"/>
      <c r="N444" s="1962"/>
      <c r="O444" s="1948"/>
      <c r="P444" s="1948"/>
      <c r="Q444" s="1950"/>
      <c r="R444" s="1951"/>
      <c r="S444" s="1954"/>
      <c r="T444" s="1948"/>
      <c r="U444" s="1948"/>
      <c r="V444" s="1954"/>
      <c r="W444" s="1948"/>
      <c r="X444" s="1954"/>
      <c r="Y444" s="1948"/>
      <c r="Z444" s="1962"/>
      <c r="AA444" s="1948"/>
      <c r="AB444" s="1962"/>
      <c r="AC444" s="1962"/>
      <c r="AD444" s="1962"/>
      <c r="AE444" s="1036"/>
      <c r="AF444" s="2163"/>
      <c r="AG444" s="2166"/>
      <c r="AH444" s="2000"/>
      <c r="AI444" s="2161"/>
      <c r="AJ444" s="1594"/>
      <c r="AK444" s="1285"/>
      <c r="AL444" s="1285"/>
      <c r="AM444" s="1969"/>
      <c r="AN444" s="1722"/>
      <c r="AO444" s="1722"/>
      <c r="AP444" s="1722"/>
      <c r="AQ444" s="778"/>
      <c r="AR444" s="778"/>
      <c r="AS444" s="1640"/>
      <c r="AT444" s="1394"/>
      <c r="AU444" s="1392"/>
      <c r="AV444" s="1873"/>
      <c r="AW444" s="1682"/>
      <c r="AX444" s="2164"/>
      <c r="AY444" s="783"/>
      <c r="AZ444" s="1802"/>
      <c r="BA444" s="1280"/>
      <c r="BB444" s="1644"/>
      <c r="BC444" s="869"/>
      <c r="BD444" s="2167"/>
      <c r="BE444" s="687"/>
      <c r="BF444" s="1794"/>
      <c r="BG444" s="1859"/>
      <c r="BH444" s="1401"/>
      <c r="BI444" s="1542"/>
      <c r="BJ444" s="2221"/>
      <c r="BK444" s="1543"/>
      <c r="BL444" s="182"/>
      <c r="BM444" s="182"/>
      <c r="BN444" s="2073"/>
      <c r="BO444" s="1107"/>
      <c r="BP444" s="1107"/>
      <c r="BQ444" s="1107"/>
      <c r="BR444" s="2072"/>
      <c r="BS444" s="183"/>
      <c r="BT444" s="2846"/>
      <c r="BU444" s="2074"/>
      <c r="BV444" s="184"/>
      <c r="BW444" s="2259"/>
      <c r="BX444" s="2075"/>
      <c r="BY444" s="1107"/>
      <c r="BZ444" s="1107"/>
      <c r="CA444" s="2072"/>
    </row>
    <row r="445" spans="1:79" ht="22.35" customHeight="1" x14ac:dyDescent="0.4">
      <c r="A445" s="249"/>
      <c r="B445" s="249"/>
      <c r="C445" s="584" t="s">
        <v>307</v>
      </c>
      <c r="D445" s="1948"/>
      <c r="E445" s="1949"/>
      <c r="F445" s="1950"/>
      <c r="G445" s="1948"/>
      <c r="H445" s="1949"/>
      <c r="I445" s="1951"/>
      <c r="J445" s="1948"/>
      <c r="K445" s="1950"/>
      <c r="L445" s="1951"/>
      <c r="M445" s="1948"/>
      <c r="N445" s="1962"/>
      <c r="O445" s="1948"/>
      <c r="P445" s="1948"/>
      <c r="Q445" s="1950"/>
      <c r="R445" s="1951"/>
      <c r="S445" s="1954"/>
      <c r="T445" s="1948"/>
      <c r="U445" s="1948"/>
      <c r="V445" s="1954"/>
      <c r="W445" s="1948"/>
      <c r="X445" s="1954"/>
      <c r="Y445" s="1948"/>
      <c r="Z445" s="1962"/>
      <c r="AA445" s="1948"/>
      <c r="AB445" s="1962"/>
      <c r="AC445" s="1962"/>
      <c r="AD445" s="1962"/>
      <c r="AE445" s="2169"/>
      <c r="AF445" s="2170"/>
      <c r="AG445" s="2166"/>
      <c r="AH445" s="1592"/>
      <c r="AI445" s="1593"/>
      <c r="AJ445" s="1594"/>
      <c r="AK445" s="1285"/>
      <c r="AL445" s="1285"/>
      <c r="AM445" s="1969"/>
      <c r="AN445" s="2171"/>
      <c r="AO445" s="1596"/>
      <c r="AP445" s="1438"/>
      <c r="AQ445" s="778"/>
      <c r="AR445" s="778"/>
      <c r="AS445" s="1640"/>
      <c r="AT445" s="1394"/>
      <c r="AU445" s="1394"/>
      <c r="AV445" s="1786"/>
      <c r="AW445" s="1682"/>
      <c r="AX445" s="2164"/>
      <c r="AY445" s="783"/>
      <c r="AZ445" s="1802"/>
      <c r="BA445" s="1802"/>
      <c r="BB445" s="1644"/>
      <c r="BC445" s="1399"/>
      <c r="BD445" s="2167"/>
      <c r="BE445" s="908"/>
      <c r="BF445" s="1794"/>
      <c r="BG445" s="1859"/>
      <c r="BH445" s="1883"/>
      <c r="BI445" s="1773"/>
      <c r="BJ445" s="2221"/>
      <c r="BK445" s="1587"/>
      <c r="BL445" s="182"/>
      <c r="BM445" s="182"/>
      <c r="BN445" s="2073"/>
      <c r="BO445" s="1107"/>
      <c r="BP445" s="1107"/>
      <c r="BQ445" s="1107"/>
      <c r="BR445" s="2072"/>
      <c r="BS445" s="183"/>
      <c r="BT445" s="2846"/>
      <c r="BU445" s="2074"/>
      <c r="BV445" s="184"/>
      <c r="BW445" s="2259"/>
      <c r="BX445" s="2075"/>
      <c r="BY445" s="1107"/>
      <c r="BZ445" s="1107"/>
      <c r="CA445" s="2072"/>
    </row>
    <row r="446" spans="1:79" ht="23.85" customHeight="1" x14ac:dyDescent="0.4">
      <c r="A446" s="249"/>
      <c r="B446" s="249"/>
      <c r="C446" s="584" t="s">
        <v>307</v>
      </c>
      <c r="D446" s="1948"/>
      <c r="E446" s="1949"/>
      <c r="F446" s="1950"/>
      <c r="G446" s="1948"/>
      <c r="H446" s="1949"/>
      <c r="I446" s="1951"/>
      <c r="J446" s="1948"/>
      <c r="K446" s="1950"/>
      <c r="L446" s="1951"/>
      <c r="M446" s="1948"/>
      <c r="N446" s="1962"/>
      <c r="O446" s="1948"/>
      <c r="P446" s="1948"/>
      <c r="Q446" s="1950"/>
      <c r="R446" s="1951"/>
      <c r="S446" s="1954"/>
      <c r="T446" s="1948"/>
      <c r="U446" s="1948"/>
      <c r="V446" s="1954"/>
      <c r="W446" s="1948"/>
      <c r="X446" s="1954"/>
      <c r="Y446" s="1948"/>
      <c r="Z446" s="1962"/>
      <c r="AA446" s="1948"/>
      <c r="AB446" s="1962"/>
      <c r="AC446" s="1962"/>
      <c r="AD446" s="1962"/>
      <c r="AE446" s="2169"/>
      <c r="AF446" s="2170"/>
      <c r="AG446" s="2166"/>
      <c r="AH446" s="1592"/>
      <c r="AI446" s="1593"/>
      <c r="AJ446" s="1594"/>
      <c r="AK446" s="1285"/>
      <c r="AL446" s="1285"/>
      <c r="AM446" s="1969"/>
      <c r="AN446" s="2171"/>
      <c r="AO446" s="1596"/>
      <c r="AP446" s="1438"/>
      <c r="AQ446" s="778"/>
      <c r="AR446" s="778"/>
      <c r="AS446" s="1640"/>
      <c r="AT446" s="1394"/>
      <c r="AU446" s="1394"/>
      <c r="AV446" s="1786"/>
      <c r="AW446" s="1682"/>
      <c r="AX446" s="2164"/>
      <c r="AY446" s="783"/>
      <c r="AZ446" s="1802"/>
      <c r="BA446" s="1802"/>
      <c r="BB446" s="1644"/>
      <c r="BC446" s="2172"/>
      <c r="BD446" s="2167"/>
      <c r="BE446" s="1527"/>
      <c r="BF446" s="1794"/>
      <c r="BG446" s="1896"/>
      <c r="BH446" s="1794"/>
      <c r="BI446" s="2173"/>
      <c r="BJ446" s="2221"/>
      <c r="BK446" s="2174"/>
      <c r="BL446" s="182"/>
      <c r="BM446" s="182"/>
      <c r="BN446" s="2073"/>
      <c r="BO446" s="1107"/>
      <c r="BP446" s="1107"/>
      <c r="BQ446" s="1107"/>
      <c r="BR446" s="2072"/>
      <c r="BS446" s="183"/>
      <c r="BT446" s="2846"/>
      <c r="BU446" s="2074"/>
      <c r="BV446" s="184"/>
      <c r="BW446" s="2259"/>
      <c r="BX446" s="2075"/>
      <c r="BY446" s="1107"/>
      <c r="BZ446" s="1107"/>
      <c r="CA446" s="2072"/>
    </row>
    <row r="447" spans="1:79" ht="14.85" customHeight="1" x14ac:dyDescent="0.4">
      <c r="A447" s="249"/>
      <c r="B447" s="249"/>
      <c r="C447" s="584" t="s">
        <v>307</v>
      </c>
      <c r="D447" s="1948"/>
      <c r="E447" s="1949"/>
      <c r="F447" s="1950"/>
      <c r="G447" s="1948"/>
      <c r="H447" s="1949"/>
      <c r="I447" s="1951"/>
      <c r="J447" s="1948"/>
      <c r="K447" s="1950"/>
      <c r="L447" s="1951"/>
      <c r="M447" s="1948"/>
      <c r="N447" s="1962"/>
      <c r="O447" s="1948"/>
      <c r="P447" s="1948"/>
      <c r="Q447" s="1950"/>
      <c r="R447" s="1951"/>
      <c r="S447" s="1954"/>
      <c r="T447" s="1948"/>
      <c r="U447" s="1948"/>
      <c r="V447" s="1954"/>
      <c r="W447" s="1948"/>
      <c r="X447" s="1954"/>
      <c r="Y447" s="1948"/>
      <c r="Z447" s="1962"/>
      <c r="AA447" s="1948"/>
      <c r="AB447" s="1962"/>
      <c r="AC447" s="1962"/>
      <c r="AD447" s="1962"/>
      <c r="AE447" s="2169"/>
      <c r="AF447" s="2170"/>
      <c r="AG447" s="2166"/>
      <c r="AH447" s="1592"/>
      <c r="AI447" s="1593"/>
      <c r="AJ447" s="1594"/>
      <c r="AK447" s="1285"/>
      <c r="AL447" s="1285"/>
      <c r="AM447" s="1969"/>
      <c r="AN447" s="2171"/>
      <c r="AO447" s="1596"/>
      <c r="AP447" s="1438"/>
      <c r="AQ447" s="778"/>
      <c r="AR447" s="778"/>
      <c r="AS447" s="1640"/>
      <c r="AT447" s="1394"/>
      <c r="AU447" s="1394"/>
      <c r="AV447" s="1786"/>
      <c r="AW447" s="1682"/>
      <c r="AX447" s="2164"/>
      <c r="AY447" s="783"/>
      <c r="AZ447" s="1802"/>
      <c r="BA447" s="1802"/>
      <c r="BB447" s="1644"/>
      <c r="BC447" s="664"/>
      <c r="BD447" s="967"/>
      <c r="BE447" s="965"/>
      <c r="BF447" s="1794"/>
      <c r="BG447" s="1859"/>
      <c r="BH447" s="1883"/>
      <c r="BI447" s="1773"/>
      <c r="BJ447" s="2221"/>
      <c r="BK447" s="1587"/>
      <c r="BL447" s="182"/>
      <c r="BM447" s="182"/>
      <c r="BN447" s="2073"/>
      <c r="BO447" s="1107"/>
      <c r="BP447" s="1107"/>
      <c r="BQ447" s="1107"/>
      <c r="BR447" s="2072"/>
      <c r="BS447" s="183"/>
      <c r="BT447" s="2846"/>
      <c r="BU447" s="2074"/>
      <c r="BV447" s="184"/>
      <c r="BW447" s="2259"/>
      <c r="BX447" s="2075"/>
      <c r="BY447" s="1107"/>
      <c r="BZ447" s="1107"/>
      <c r="CA447" s="2072"/>
    </row>
    <row r="448" spans="1:79" ht="21" customHeight="1" x14ac:dyDescent="0.4">
      <c r="A448" s="249"/>
      <c r="B448" s="249"/>
      <c r="C448" s="584">
        <v>0.81944444444444398</v>
      </c>
      <c r="D448" s="1948"/>
      <c r="E448" s="1949"/>
      <c r="F448" s="1950"/>
      <c r="G448" s="1948"/>
      <c r="H448" s="1949"/>
      <c r="I448" s="1951"/>
      <c r="J448" s="1948"/>
      <c r="K448" s="1950"/>
      <c r="L448" s="1951"/>
      <c r="M448" s="1948"/>
      <c r="N448" s="1962"/>
      <c r="O448" s="1948"/>
      <c r="P448" s="1948"/>
      <c r="Q448" s="1950"/>
      <c r="R448" s="1951"/>
      <c r="S448" s="1954"/>
      <c r="T448" s="1948"/>
      <c r="U448" s="1948"/>
      <c r="V448" s="1954"/>
      <c r="W448" s="1948"/>
      <c r="X448" s="1954"/>
      <c r="Y448" s="1948"/>
      <c r="Z448" s="1962"/>
      <c r="AA448" s="1948"/>
      <c r="AB448" s="1962"/>
      <c r="AC448" s="1962"/>
      <c r="AD448" s="1962"/>
      <c r="AE448" s="2169"/>
      <c r="AF448" s="1124"/>
      <c r="AG448" s="2166"/>
      <c r="AH448" s="1645"/>
      <c r="AI448" s="1593"/>
      <c r="AJ448" s="1904"/>
      <c r="AK448" s="2806"/>
      <c r="AL448" s="1272"/>
      <c r="AM448" s="1969"/>
      <c r="AN448" s="1273"/>
      <c r="AO448" s="1273"/>
      <c r="AP448" s="2060"/>
      <c r="AQ448" s="778"/>
      <c r="AR448" s="778"/>
      <c r="AS448" s="1640"/>
      <c r="AT448" s="1394"/>
      <c r="AU448" s="1394"/>
      <c r="AV448" s="1394"/>
      <c r="AW448" s="684"/>
      <c r="AX448" s="2129"/>
      <c r="AY448" s="783"/>
      <c r="AZ448" s="1802"/>
      <c r="BA448" s="2091"/>
      <c r="BB448" s="1802"/>
      <c r="BC448" s="664"/>
      <c r="BD448" s="967"/>
      <c r="BE448" s="965"/>
      <c r="BF448" s="1794"/>
      <c r="BG448" s="1859"/>
      <c r="BH448" s="1883"/>
      <c r="BI448" s="1556"/>
      <c r="BJ448" s="2182"/>
      <c r="BK448" s="1543"/>
      <c r="BL448" s="1754"/>
      <c r="BM448" s="1733"/>
      <c r="BN448" s="1783"/>
      <c r="BO448" s="1107"/>
      <c r="BP448" s="1108"/>
      <c r="BQ448" s="1579"/>
      <c r="BR448" s="1614"/>
      <c r="BS448" s="1756"/>
      <c r="BT448" s="2846"/>
      <c r="BU448" s="1784"/>
      <c r="BV448" s="1758"/>
      <c r="BW448" s="2259"/>
      <c r="BX448" s="1785"/>
      <c r="BY448" s="1108"/>
      <c r="BZ448" s="1579"/>
      <c r="CA448" s="1614"/>
    </row>
    <row r="449" spans="1:79" ht="14.85" customHeight="1" x14ac:dyDescent="0.4">
      <c r="A449" s="249"/>
      <c r="B449" s="249"/>
      <c r="C449" s="584" t="s">
        <v>307</v>
      </c>
      <c r="D449" s="1948"/>
      <c r="E449" s="1949"/>
      <c r="F449" s="1950"/>
      <c r="G449" s="1948"/>
      <c r="H449" s="1949"/>
      <c r="I449" s="1951"/>
      <c r="J449" s="1948"/>
      <c r="K449" s="1950"/>
      <c r="L449" s="1951"/>
      <c r="M449" s="1948"/>
      <c r="N449" s="1962"/>
      <c r="O449" s="1948"/>
      <c r="P449" s="1948"/>
      <c r="Q449" s="1950"/>
      <c r="R449" s="1951"/>
      <c r="S449" s="1954"/>
      <c r="T449" s="1948"/>
      <c r="U449" s="1948"/>
      <c r="V449" s="1954"/>
      <c r="W449" s="1948"/>
      <c r="X449" s="1954"/>
      <c r="Y449" s="1948"/>
      <c r="Z449" s="1962"/>
      <c r="AA449" s="1948"/>
      <c r="AB449" s="1948"/>
      <c r="AC449" s="1948"/>
      <c r="AD449" s="1948"/>
      <c r="AE449" s="1124"/>
      <c r="AF449" s="1157"/>
      <c r="AG449" s="2175"/>
      <c r="AH449" s="1160"/>
      <c r="AI449" s="2161"/>
      <c r="AJ449" s="1160"/>
      <c r="AK449" s="1285"/>
      <c r="AL449" s="1449"/>
      <c r="AM449" s="1285"/>
      <c r="AN449" s="1273"/>
      <c r="AO449" s="1273"/>
      <c r="AP449" s="2060"/>
      <c r="AQ449" s="778"/>
      <c r="AR449" s="778"/>
      <c r="AS449" s="1640"/>
      <c r="AT449" s="1394"/>
      <c r="AU449" s="1394"/>
      <c r="AV449" s="1394"/>
      <c r="AW449" s="684"/>
      <c r="AX449" s="684"/>
      <c r="AY449" s="783"/>
      <c r="AZ449" s="1802"/>
      <c r="BA449" s="2091"/>
      <c r="BB449" s="1802"/>
      <c r="BC449" s="664"/>
      <c r="BD449" s="967"/>
      <c r="BE449" s="965"/>
      <c r="BF449" s="1794"/>
      <c r="BG449" s="1794"/>
      <c r="BH449" s="1794"/>
      <c r="BI449" s="1556"/>
      <c r="BJ449" s="2182"/>
      <c r="BK449" s="1587"/>
      <c r="BL449" s="1754"/>
      <c r="BM449" s="1733"/>
      <c r="BN449" s="1783"/>
      <c r="BO449" s="1107"/>
      <c r="BP449" s="1108"/>
      <c r="BQ449" s="1579"/>
      <c r="BR449" s="1614"/>
      <c r="BS449" s="1756"/>
      <c r="BT449" s="2846"/>
      <c r="BU449" s="1784"/>
      <c r="BV449" s="1758"/>
      <c r="BW449" s="2259"/>
      <c r="BX449" s="1785"/>
      <c r="BY449" s="1108"/>
      <c r="BZ449" s="1579"/>
      <c r="CA449" s="1614"/>
    </row>
    <row r="450" spans="1:79" ht="14.85" customHeight="1" x14ac:dyDescent="0.4">
      <c r="A450" s="249"/>
      <c r="B450" s="249"/>
      <c r="C450" s="584" t="s">
        <v>307</v>
      </c>
      <c r="D450" s="1948"/>
      <c r="E450" s="1949"/>
      <c r="F450" s="1950"/>
      <c r="G450" s="1948"/>
      <c r="H450" s="1949"/>
      <c r="I450" s="1951"/>
      <c r="J450" s="1948"/>
      <c r="K450" s="1950"/>
      <c r="L450" s="1951"/>
      <c r="M450" s="1948"/>
      <c r="N450" s="1962"/>
      <c r="O450" s="1948"/>
      <c r="P450" s="1948"/>
      <c r="Q450" s="1950"/>
      <c r="R450" s="1951"/>
      <c r="S450" s="1954"/>
      <c r="T450" s="1948"/>
      <c r="U450" s="1948"/>
      <c r="V450" s="1954"/>
      <c r="W450" s="1948"/>
      <c r="X450" s="1954"/>
      <c r="Y450" s="1948"/>
      <c r="Z450" s="1962"/>
      <c r="AA450" s="1948"/>
      <c r="AB450" s="1948"/>
      <c r="AC450" s="1948"/>
      <c r="AD450" s="1948"/>
      <c r="AE450" s="2160"/>
      <c r="AF450" s="1124"/>
      <c r="AG450" s="2050"/>
      <c r="AH450" s="1601"/>
      <c r="AI450" s="1593"/>
      <c r="AJ450" s="1256"/>
      <c r="AK450" s="1200"/>
      <c r="AL450" s="1272"/>
      <c r="AM450" s="1531"/>
      <c r="AN450" s="1273"/>
      <c r="AO450" s="1273"/>
      <c r="AP450" s="2060"/>
      <c r="AQ450" s="778"/>
      <c r="AR450" s="778"/>
      <c r="AS450" s="1640"/>
      <c r="AT450" s="1394"/>
      <c r="AU450" s="1394"/>
      <c r="AV450" s="1394"/>
      <c r="AW450" s="684"/>
      <c r="AX450" s="684"/>
      <c r="AY450" s="783"/>
      <c r="AZ450" s="1802"/>
      <c r="BA450" s="2091"/>
      <c r="BB450" s="1802"/>
      <c r="BC450" s="687"/>
      <c r="BD450" s="967"/>
      <c r="BE450" s="687"/>
      <c r="BF450" s="1794"/>
      <c r="BG450" s="1978"/>
      <c r="BH450" s="1883"/>
      <c r="BI450" s="1556"/>
      <c r="BJ450" s="2650"/>
      <c r="BK450" s="1543"/>
      <c r="BL450" s="1754"/>
      <c r="BM450" s="1733"/>
      <c r="BN450" s="1783"/>
      <c r="BO450" s="1107"/>
      <c r="BP450" s="1108"/>
      <c r="BQ450" s="1579"/>
      <c r="BR450" s="1614"/>
      <c r="BS450" s="1756"/>
      <c r="BT450" s="2846"/>
      <c r="BU450" s="1784"/>
      <c r="BV450" s="1758"/>
      <c r="BW450" s="2259"/>
      <c r="BX450" s="1785"/>
      <c r="BY450" s="1108"/>
      <c r="BZ450" s="1579"/>
      <c r="CA450" s="1614"/>
    </row>
    <row r="451" spans="1:79" ht="23.25" customHeight="1" x14ac:dyDescent="0.4">
      <c r="A451" s="249"/>
      <c r="B451" s="249"/>
      <c r="C451" s="584">
        <v>0.82291666666666596</v>
      </c>
      <c r="D451" s="1948"/>
      <c r="E451" s="1949"/>
      <c r="F451" s="1950"/>
      <c r="G451" s="1948"/>
      <c r="H451" s="1949"/>
      <c r="I451" s="1951"/>
      <c r="J451" s="1948"/>
      <c r="K451" s="1950"/>
      <c r="L451" s="1951"/>
      <c r="M451" s="1948"/>
      <c r="N451" s="1962"/>
      <c r="O451" s="1948"/>
      <c r="P451" s="1948"/>
      <c r="Q451" s="1950"/>
      <c r="R451" s="1951"/>
      <c r="S451" s="1954"/>
      <c r="T451" s="1948"/>
      <c r="U451" s="1948"/>
      <c r="V451" s="1954"/>
      <c r="W451" s="1948"/>
      <c r="X451" s="1954"/>
      <c r="Y451" s="1948"/>
      <c r="Z451" s="1962"/>
      <c r="AA451" s="1948"/>
      <c r="AB451" s="1948"/>
      <c r="AC451" s="1948"/>
      <c r="AD451" s="1948"/>
      <c r="AE451" s="1385"/>
      <c r="AF451" s="1385" t="s">
        <v>332</v>
      </c>
      <c r="AG451" s="1408"/>
      <c r="AH451" s="1159"/>
      <c r="AI451" s="1160" t="s">
        <v>331</v>
      </c>
      <c r="AJ451" s="1160"/>
      <c r="AK451" s="1285"/>
      <c r="AL451" s="1285"/>
      <c r="AM451" s="1531"/>
      <c r="AN451" s="2171"/>
      <c r="AO451" s="1596"/>
      <c r="AP451" s="1438"/>
      <c r="AQ451" s="778"/>
      <c r="AR451" s="778"/>
      <c r="AS451" s="1640"/>
      <c r="AT451" s="1394"/>
      <c r="AU451" s="1394"/>
      <c r="AV451" s="1786"/>
      <c r="AW451" s="2155"/>
      <c r="AX451" s="2177"/>
      <c r="AY451" s="2155"/>
      <c r="AZ451" s="1802"/>
      <c r="BA451" s="2091"/>
      <c r="BB451" s="1802"/>
      <c r="BC451" s="2172"/>
      <c r="BD451" s="2167"/>
      <c r="BE451" s="2172"/>
      <c r="BF451" s="1794"/>
      <c r="BG451" s="2157" t="s">
        <v>533</v>
      </c>
      <c r="BH451" s="1401"/>
      <c r="BI451" s="2173"/>
      <c r="BJ451" s="1169" t="s">
        <v>371</v>
      </c>
      <c r="BK451" s="2178"/>
      <c r="BL451" s="2007"/>
      <c r="BM451" s="1733"/>
      <c r="BN451" s="1783"/>
      <c r="BO451" s="2134"/>
      <c r="BP451" s="1577"/>
      <c r="BQ451" s="1107"/>
      <c r="BR451" s="1614"/>
      <c r="BS451" s="2008"/>
      <c r="BT451" s="2846"/>
      <c r="BU451" s="1784"/>
      <c r="BV451" s="2009"/>
      <c r="BW451" s="2259"/>
      <c r="BX451" s="1785"/>
      <c r="BY451" s="1577"/>
      <c r="BZ451" s="1107"/>
      <c r="CA451" s="1614"/>
    </row>
    <row r="452" spans="1:79" ht="21" customHeight="1" x14ac:dyDescent="0.4">
      <c r="A452" s="249"/>
      <c r="B452" s="249"/>
      <c r="C452" s="584" t="s">
        <v>307</v>
      </c>
      <c r="D452" s="1948"/>
      <c r="E452" s="1949"/>
      <c r="F452" s="1950"/>
      <c r="G452" s="1948"/>
      <c r="H452" s="1949"/>
      <c r="I452" s="1951"/>
      <c r="J452" s="1948"/>
      <c r="K452" s="1950"/>
      <c r="L452" s="1951"/>
      <c r="M452" s="1948"/>
      <c r="N452" s="1962"/>
      <c r="O452" s="1948"/>
      <c r="P452" s="1948"/>
      <c r="Q452" s="1950"/>
      <c r="R452" s="1951"/>
      <c r="S452" s="1954"/>
      <c r="T452" s="1948"/>
      <c r="U452" s="1948"/>
      <c r="V452" s="1954"/>
      <c r="W452" s="1948"/>
      <c r="X452" s="1954"/>
      <c r="Y452" s="1948"/>
      <c r="Z452" s="1962"/>
      <c r="AA452" s="1948"/>
      <c r="AB452" s="1948"/>
      <c r="AC452" s="1948"/>
      <c r="AD452" s="1948"/>
      <c r="AE452" s="1157"/>
      <c r="AF452" s="1429"/>
      <c r="AG452" s="1157"/>
      <c r="AH452" s="1164"/>
      <c r="AI452" s="1139" t="s">
        <v>366</v>
      </c>
      <c r="AJ452" s="1165"/>
      <c r="AK452" s="2806"/>
      <c r="AL452" s="1202"/>
      <c r="AM452" s="1469"/>
      <c r="AN452" s="2171"/>
      <c r="AO452" s="1596"/>
      <c r="AP452" s="1438"/>
      <c r="AQ452" s="778"/>
      <c r="AR452" s="778"/>
      <c r="AS452" s="1640"/>
      <c r="AT452" s="1394"/>
      <c r="AU452" s="1394"/>
      <c r="AV452" s="1394"/>
      <c r="AW452" s="1781"/>
      <c r="AX452" s="684"/>
      <c r="AY452" s="738"/>
      <c r="AZ452" s="1802"/>
      <c r="BA452" s="2091"/>
      <c r="BB452" s="1802"/>
      <c r="BC452" s="2172"/>
      <c r="BD452" s="2167"/>
      <c r="BE452" s="1527"/>
      <c r="BF452" s="1794"/>
      <c r="BG452" s="2157" t="s">
        <v>384</v>
      </c>
      <c r="BH452" s="1401"/>
      <c r="BI452" s="2176"/>
      <c r="BJ452" s="1169" t="s">
        <v>334</v>
      </c>
      <c r="BK452" s="1636"/>
      <c r="BL452" s="182"/>
      <c r="BM452" s="182"/>
      <c r="BN452" s="1783"/>
      <c r="BO452" s="1107"/>
      <c r="BP452" s="1107"/>
      <c r="BQ452" s="1107"/>
      <c r="BR452" s="1614"/>
      <c r="BS452" s="183"/>
      <c r="BT452" s="2846"/>
      <c r="BU452" s="1784"/>
      <c r="BV452" s="184"/>
      <c r="BW452" s="2259"/>
      <c r="BX452" s="1785"/>
      <c r="BY452" s="1107"/>
      <c r="BZ452" s="1107"/>
      <c r="CA452" s="1614"/>
    </row>
    <row r="453" spans="1:79" ht="18" customHeight="1" x14ac:dyDescent="0.4">
      <c r="A453" s="249"/>
      <c r="B453" s="249"/>
      <c r="C453" s="584" t="s">
        <v>307</v>
      </c>
      <c r="D453" s="1948"/>
      <c r="E453" s="1949"/>
      <c r="F453" s="1950"/>
      <c r="G453" s="1948"/>
      <c r="H453" s="1949"/>
      <c r="I453" s="1951"/>
      <c r="J453" s="1948"/>
      <c r="K453" s="1950"/>
      <c r="L453" s="1951"/>
      <c r="M453" s="1948"/>
      <c r="N453" s="1962"/>
      <c r="O453" s="1948"/>
      <c r="P453" s="1948"/>
      <c r="Q453" s="1950"/>
      <c r="R453" s="1951"/>
      <c r="S453" s="1954"/>
      <c r="T453" s="1948"/>
      <c r="U453" s="1948"/>
      <c r="V453" s="1954"/>
      <c r="W453" s="1948"/>
      <c r="X453" s="1954"/>
      <c r="Y453" s="1948"/>
      <c r="Z453" s="1962"/>
      <c r="AA453" s="1948"/>
      <c r="AB453" s="1948"/>
      <c r="AC453" s="1948"/>
      <c r="AD453" s="1948"/>
      <c r="AE453" s="1157"/>
      <c r="AF453" s="1157"/>
      <c r="AG453" s="2050"/>
      <c r="AH453" s="1569"/>
      <c r="AI453" s="1139" t="s">
        <v>334</v>
      </c>
      <c r="AJ453" s="1159"/>
      <c r="AK453" s="2180"/>
      <c r="AL453" s="1202"/>
      <c r="AM453" s="1469"/>
      <c r="AN453" s="2171"/>
      <c r="AO453" s="1596"/>
      <c r="AP453" s="1438"/>
      <c r="AQ453" s="778"/>
      <c r="AR453" s="778"/>
      <c r="AS453" s="1640"/>
      <c r="AT453" s="1452"/>
      <c r="AU453" s="1394"/>
      <c r="AV453" s="1394"/>
      <c r="AW453" s="1781"/>
      <c r="AX453" s="1395"/>
      <c r="AY453" s="738"/>
      <c r="AZ453" s="1802"/>
      <c r="BA453" s="1802"/>
      <c r="BB453" s="1644"/>
      <c r="BC453" s="687"/>
      <c r="BD453" s="967"/>
      <c r="BE453" s="687"/>
      <c r="BF453" s="1794"/>
      <c r="BG453" s="1794" t="s">
        <v>426</v>
      </c>
      <c r="BH453" s="1794"/>
      <c r="BI453" s="2181"/>
      <c r="BJ453" s="2651"/>
      <c r="BK453" s="1636"/>
      <c r="BL453" s="182"/>
      <c r="BM453" s="182"/>
      <c r="BN453" s="1783"/>
      <c r="BO453" s="1107"/>
      <c r="BP453" s="1107"/>
      <c r="BQ453" s="1195"/>
      <c r="BR453" s="1614"/>
      <c r="BS453" s="183"/>
      <c r="BT453" s="2846"/>
      <c r="BU453" s="1784"/>
      <c r="BV453" s="184"/>
      <c r="BW453" s="2259"/>
      <c r="BX453" s="1785"/>
      <c r="BY453" s="1107"/>
      <c r="BZ453" s="1195"/>
      <c r="CA453" s="1614"/>
    </row>
    <row r="454" spans="1:79" ht="14.85" customHeight="1" x14ac:dyDescent="0.4">
      <c r="A454" s="249"/>
      <c r="B454" s="249"/>
      <c r="C454" s="584" t="s">
        <v>307</v>
      </c>
      <c r="D454" s="1948"/>
      <c r="E454" s="1949"/>
      <c r="F454" s="1950"/>
      <c r="G454" s="1948"/>
      <c r="H454" s="1949"/>
      <c r="I454" s="1951"/>
      <c r="J454" s="1948"/>
      <c r="K454" s="1950"/>
      <c r="L454" s="1951"/>
      <c r="M454" s="1948"/>
      <c r="N454" s="1962"/>
      <c r="O454" s="1948"/>
      <c r="P454" s="1948"/>
      <c r="Q454" s="1950"/>
      <c r="R454" s="1951"/>
      <c r="S454" s="1954"/>
      <c r="T454" s="1948"/>
      <c r="U454" s="1948"/>
      <c r="V454" s="1954"/>
      <c r="W454" s="1948"/>
      <c r="X454" s="1954"/>
      <c r="Y454" s="1948"/>
      <c r="Z454" s="1962"/>
      <c r="AA454" s="1948"/>
      <c r="AB454" s="1948"/>
      <c r="AC454" s="1948"/>
      <c r="AD454" s="1948"/>
      <c r="AE454" s="1157"/>
      <c r="AF454" s="1157"/>
      <c r="AG454" s="2050"/>
      <c r="AH454" s="1430"/>
      <c r="AI454" s="1430" t="s">
        <v>336</v>
      </c>
      <c r="AJ454" s="1430"/>
      <c r="AK454" s="2180"/>
      <c r="AL454" s="1202"/>
      <c r="AM454" s="1469"/>
      <c r="AN454" s="2171"/>
      <c r="AO454" s="1596"/>
      <c r="AP454" s="1438"/>
      <c r="AQ454" s="778"/>
      <c r="AR454" s="778"/>
      <c r="AS454" s="1640"/>
      <c r="AT454" s="1452"/>
      <c r="AU454" s="1394"/>
      <c r="AV454" s="1394"/>
      <c r="AW454" s="1781"/>
      <c r="AX454" s="684"/>
      <c r="AY454" s="738"/>
      <c r="AZ454" s="1802"/>
      <c r="BA454" s="1802"/>
      <c r="BB454" s="1644"/>
      <c r="BC454" s="1958"/>
      <c r="BD454" s="967"/>
      <c r="BE454" s="908"/>
      <c r="BF454" s="1794"/>
      <c r="BG454" s="1859"/>
      <c r="BH454" s="1883"/>
      <c r="BI454" s="2181"/>
      <c r="BJ454" s="2651"/>
      <c r="BK454" s="1636"/>
      <c r="BL454" s="182"/>
      <c r="BM454" s="182"/>
      <c r="BN454" s="1783"/>
      <c r="BO454" s="1107"/>
      <c r="BP454" s="1107"/>
      <c r="BQ454" s="1195"/>
      <c r="BR454" s="1614"/>
      <c r="BS454" s="183"/>
      <c r="BT454" s="2846"/>
      <c r="BU454" s="1784"/>
      <c r="BV454" s="184"/>
      <c r="BW454" s="2259"/>
      <c r="BX454" s="1785"/>
      <c r="BY454" s="1107"/>
      <c r="BZ454" s="1195"/>
      <c r="CA454" s="1614"/>
    </row>
    <row r="455" spans="1:79" ht="24" customHeight="1" x14ac:dyDescent="0.4">
      <c r="A455" s="249"/>
      <c r="B455" s="249"/>
      <c r="C455" s="584">
        <v>0.82638888888888895</v>
      </c>
      <c r="D455" s="1948"/>
      <c r="E455" s="1949"/>
      <c r="F455" s="1950"/>
      <c r="G455" s="1948"/>
      <c r="H455" s="1949"/>
      <c r="I455" s="1951"/>
      <c r="J455" s="1948"/>
      <c r="K455" s="1950"/>
      <c r="L455" s="1951"/>
      <c r="M455" s="1948"/>
      <c r="N455" s="1962"/>
      <c r="O455" s="1948"/>
      <c r="P455" s="1948"/>
      <c r="Q455" s="1950"/>
      <c r="R455" s="1951"/>
      <c r="S455" s="1954"/>
      <c r="T455" s="1948"/>
      <c r="U455" s="1948"/>
      <c r="V455" s="1954"/>
      <c r="W455" s="1948"/>
      <c r="X455" s="1954"/>
      <c r="Y455" s="1948"/>
      <c r="Z455" s="1962"/>
      <c r="AA455" s="1948"/>
      <c r="AB455" s="1948"/>
      <c r="AC455" s="1948"/>
      <c r="AD455" s="1948"/>
      <c r="AE455" s="1157"/>
      <c r="AF455" s="1157"/>
      <c r="AG455" s="2050"/>
      <c r="AH455" s="1160"/>
      <c r="AI455" s="2144"/>
      <c r="AJ455" s="1256"/>
      <c r="AK455" s="1200"/>
      <c r="AL455" s="2553" t="s">
        <v>470</v>
      </c>
      <c r="AM455" s="1531"/>
      <c r="AN455" s="2171"/>
      <c r="AO455" s="1596"/>
      <c r="AP455" s="1438"/>
      <c r="AQ455" s="778"/>
      <c r="AR455" s="778"/>
      <c r="AS455" s="1640"/>
      <c r="AT455" s="1394"/>
      <c r="AU455" s="2184"/>
      <c r="AV455" s="1460"/>
      <c r="AW455" s="684"/>
      <c r="AX455" s="684"/>
      <c r="AY455" s="783"/>
      <c r="AZ455" s="1802"/>
      <c r="BA455" s="1802"/>
      <c r="BB455" s="1644"/>
      <c r="BC455" s="687"/>
      <c r="BD455" s="967"/>
      <c r="BE455" s="687"/>
      <c r="BF455" s="1794"/>
      <c r="BG455" s="1859"/>
      <c r="BH455" s="1883"/>
      <c r="BI455" s="1556"/>
      <c r="BJ455" s="2182"/>
      <c r="BK455" s="2185"/>
      <c r="BL455" s="2007"/>
      <c r="BM455" s="182"/>
      <c r="BN455" s="1993"/>
      <c r="BO455" s="1577"/>
      <c r="BP455" s="1577"/>
      <c r="BQ455" s="1107"/>
      <c r="BR455" s="1992"/>
      <c r="BS455" s="2008"/>
      <c r="BT455" s="2846"/>
      <c r="BU455" s="1994"/>
      <c r="BV455" s="2009"/>
      <c r="BW455" s="2259"/>
      <c r="BX455" s="1995"/>
      <c r="BY455" s="1577"/>
      <c r="BZ455" s="1107"/>
      <c r="CA455" s="1992"/>
    </row>
    <row r="456" spans="1:79" ht="14.85" customHeight="1" x14ac:dyDescent="0.4">
      <c r="A456" s="249"/>
      <c r="B456" s="249"/>
      <c r="C456" s="584" t="s">
        <v>307</v>
      </c>
      <c r="D456" s="1948"/>
      <c r="E456" s="1949"/>
      <c r="F456" s="1950"/>
      <c r="G456" s="1948"/>
      <c r="H456" s="1949"/>
      <c r="I456" s="1951"/>
      <c r="J456" s="1948"/>
      <c r="K456" s="1950"/>
      <c r="L456" s="1951"/>
      <c r="M456" s="1948"/>
      <c r="N456" s="1962"/>
      <c r="O456" s="1948"/>
      <c r="P456" s="1948"/>
      <c r="Q456" s="1950"/>
      <c r="R456" s="1951"/>
      <c r="S456" s="1954"/>
      <c r="T456" s="1948"/>
      <c r="U456" s="1948"/>
      <c r="V456" s="1954"/>
      <c r="W456" s="1948"/>
      <c r="X456" s="1954"/>
      <c r="Y456" s="1948"/>
      <c r="Z456" s="1962"/>
      <c r="AA456" s="1948"/>
      <c r="AB456" s="1948"/>
      <c r="AC456" s="1948"/>
      <c r="AD456" s="1948"/>
      <c r="AE456" s="1157"/>
      <c r="AF456" s="1157"/>
      <c r="AG456" s="2050"/>
      <c r="AH456" s="1160"/>
      <c r="AI456" s="2144"/>
      <c r="AJ456" s="1256"/>
      <c r="AK456" s="1200"/>
      <c r="AL456" s="1200"/>
      <c r="AM456" s="1531"/>
      <c r="AN456" s="2171"/>
      <c r="AO456" s="1596"/>
      <c r="AP456" s="1438"/>
      <c r="AQ456" s="778"/>
      <c r="AR456" s="778"/>
      <c r="AS456" s="1640"/>
      <c r="AT456" s="1394"/>
      <c r="AU456" s="2184"/>
      <c r="AV456" s="1460"/>
      <c r="AW456" s="684"/>
      <c r="AX456" s="684"/>
      <c r="AY456" s="783"/>
      <c r="AZ456" s="1802"/>
      <c r="BA456" s="1802"/>
      <c r="BB456" s="1644"/>
      <c r="BC456" s="687"/>
      <c r="BD456" s="967"/>
      <c r="BE456" s="687"/>
      <c r="BF456" s="1794"/>
      <c r="BG456" s="1794"/>
      <c r="BH456" s="1896"/>
      <c r="BI456" s="1556"/>
      <c r="BJ456" s="1169"/>
      <c r="BK456" s="2185"/>
      <c r="BL456" s="182"/>
      <c r="BM456" s="182"/>
      <c r="BN456" s="1783"/>
      <c r="BO456" s="1107"/>
      <c r="BP456" s="1107"/>
      <c r="BQ456" s="1195"/>
      <c r="BR456" s="1614"/>
      <c r="BS456" s="183"/>
      <c r="BT456" s="2846"/>
      <c r="BU456" s="1784"/>
      <c r="BV456" s="184"/>
      <c r="BW456" s="2259"/>
      <c r="BX456" s="1785"/>
      <c r="BY456" s="1107"/>
      <c r="BZ456" s="1195"/>
      <c r="CA456" s="1614"/>
    </row>
    <row r="457" spans="1:79" ht="14.85" customHeight="1" x14ac:dyDescent="0.4">
      <c r="A457" s="249"/>
      <c r="B457" s="249"/>
      <c r="C457" s="584" t="s">
        <v>307</v>
      </c>
      <c r="D457" s="1948"/>
      <c r="E457" s="1949"/>
      <c r="F457" s="1950"/>
      <c r="G457" s="1948"/>
      <c r="H457" s="1949"/>
      <c r="I457" s="1951"/>
      <c r="J457" s="1948"/>
      <c r="K457" s="1950"/>
      <c r="L457" s="1951"/>
      <c r="M457" s="1948"/>
      <c r="N457" s="1962"/>
      <c r="O457" s="1948"/>
      <c r="P457" s="1948"/>
      <c r="Q457" s="1950"/>
      <c r="R457" s="1951"/>
      <c r="S457" s="1954"/>
      <c r="T457" s="1948"/>
      <c r="U457" s="1948"/>
      <c r="V457" s="1954"/>
      <c r="W457" s="1948"/>
      <c r="X457" s="1954"/>
      <c r="Y457" s="1948"/>
      <c r="Z457" s="1962"/>
      <c r="AA457" s="1948"/>
      <c r="AB457" s="1948"/>
      <c r="AC457" s="1948"/>
      <c r="AD457" s="1948"/>
      <c r="AE457" s="1157"/>
      <c r="AF457" s="1157"/>
      <c r="AG457" s="2050"/>
      <c r="AH457" s="1160"/>
      <c r="AI457" s="1160"/>
      <c r="AJ457" s="1256"/>
      <c r="AK457" s="1200"/>
      <c r="AL457" s="1200"/>
      <c r="AM457" s="1531"/>
      <c r="AN457" s="2171"/>
      <c r="AO457" s="1596"/>
      <c r="AP457" s="1438"/>
      <c r="AQ457" s="778"/>
      <c r="AR457" s="778"/>
      <c r="AS457" s="1640"/>
      <c r="AT457" s="1394"/>
      <c r="AU457" s="2184"/>
      <c r="AV457" s="1460"/>
      <c r="AW457" s="684"/>
      <c r="AX457" s="684"/>
      <c r="AY457" s="783"/>
      <c r="AZ457" s="1802"/>
      <c r="BA457" s="1280"/>
      <c r="BB457" s="1644"/>
      <c r="BC457" s="1958"/>
      <c r="BD457" s="967"/>
      <c r="BE457" s="908"/>
      <c r="BF457" s="2652"/>
      <c r="BG457" s="1790"/>
      <c r="BH457" s="1852"/>
      <c r="BI457" s="2186"/>
      <c r="BJ457" s="2182"/>
      <c r="BK457" s="1587"/>
      <c r="BL457" s="182"/>
      <c r="BM457" s="182"/>
      <c r="BN457" s="1783"/>
      <c r="BO457" s="1107"/>
      <c r="BP457" s="1107"/>
      <c r="BQ457" s="1195"/>
      <c r="BR457" s="1614"/>
      <c r="BS457" s="183"/>
      <c r="BT457" s="2846"/>
      <c r="BU457" s="1784"/>
      <c r="BV457" s="184"/>
      <c r="BW457" s="2259"/>
      <c r="BX457" s="1785"/>
      <c r="BY457" s="1107"/>
      <c r="BZ457" s="1195"/>
      <c r="CA457" s="1614"/>
    </row>
    <row r="458" spans="1:79" ht="14.85" customHeight="1" x14ac:dyDescent="0.4">
      <c r="A458" s="249"/>
      <c r="B458" s="249"/>
      <c r="C458" s="621">
        <v>0.82986111111111105</v>
      </c>
      <c r="D458" s="1948"/>
      <c r="E458" s="1949"/>
      <c r="F458" s="1950"/>
      <c r="G458" s="1948"/>
      <c r="H458" s="1949"/>
      <c r="I458" s="1951"/>
      <c r="J458" s="1948"/>
      <c r="K458" s="1950"/>
      <c r="L458" s="1951"/>
      <c r="M458" s="1948"/>
      <c r="N458" s="1962"/>
      <c r="O458" s="1948"/>
      <c r="P458" s="1948"/>
      <c r="Q458" s="1950"/>
      <c r="R458" s="1951"/>
      <c r="S458" s="1954"/>
      <c r="T458" s="1948"/>
      <c r="U458" s="1948"/>
      <c r="V458" s="1954"/>
      <c r="W458" s="1948"/>
      <c r="X458" s="1954"/>
      <c r="Y458" s="1948"/>
      <c r="Z458" s="1962"/>
      <c r="AA458" s="1948"/>
      <c r="AB458" s="1948"/>
      <c r="AC458" s="1948"/>
      <c r="AD458" s="1948"/>
      <c r="AE458" s="1157"/>
      <c r="AF458" s="1157"/>
      <c r="AG458" s="2050"/>
      <c r="AH458" s="1160"/>
      <c r="AI458" s="1160"/>
      <c r="AJ458" s="1256"/>
      <c r="AK458" s="1285"/>
      <c r="AL458" s="1285"/>
      <c r="AM458" s="1531"/>
      <c r="AN458" s="2171"/>
      <c r="AO458" s="1596"/>
      <c r="AP458" s="1438"/>
      <c r="AQ458" s="778"/>
      <c r="AR458" s="778"/>
      <c r="AS458" s="1640"/>
      <c r="AT458" s="1394"/>
      <c r="AU458" s="1394"/>
      <c r="AV458" s="1460"/>
      <c r="AW458" s="1395"/>
      <c r="AX458" s="2155"/>
      <c r="AY458" s="1752"/>
      <c r="AZ458" s="1802"/>
      <c r="BA458" s="1802"/>
      <c r="BB458" s="1644"/>
      <c r="BC458" s="687"/>
      <c r="BD458" s="967"/>
      <c r="BE458" s="687"/>
      <c r="BF458" s="2652"/>
      <c r="BG458" s="1794"/>
      <c r="BH458" s="1852"/>
      <c r="BI458" s="2186"/>
      <c r="BJ458" s="1169"/>
      <c r="BK458" s="1587"/>
      <c r="BL458" s="182"/>
      <c r="BM458" s="182"/>
      <c r="BN458" s="1783"/>
      <c r="BO458" s="1107"/>
      <c r="BP458" s="1107"/>
      <c r="BQ458" s="1107"/>
      <c r="BR458" s="1614"/>
      <c r="BS458" s="183"/>
      <c r="BT458" s="2846"/>
      <c r="BU458" s="1784"/>
      <c r="BV458" s="184"/>
      <c r="BW458" s="2259"/>
      <c r="BX458" s="1785"/>
      <c r="BY458" s="1107"/>
      <c r="BZ458" s="1107"/>
      <c r="CA458" s="1614"/>
    </row>
    <row r="459" spans="1:79" ht="14.85" customHeight="1" x14ac:dyDescent="0.4">
      <c r="A459" s="249"/>
      <c r="B459" s="249"/>
      <c r="C459" s="621" t="s">
        <v>542</v>
      </c>
      <c r="D459" s="2024"/>
      <c r="E459" s="2025"/>
      <c r="F459" s="2026"/>
      <c r="G459" s="2024"/>
      <c r="H459" s="2025"/>
      <c r="I459" s="2097"/>
      <c r="J459" s="2024"/>
      <c r="K459" s="2026"/>
      <c r="L459" s="2097"/>
      <c r="M459" s="2024"/>
      <c r="N459" s="2028"/>
      <c r="O459" s="2024"/>
      <c r="P459" s="2024"/>
      <c r="Q459" s="2026"/>
      <c r="R459" s="2097"/>
      <c r="S459" s="2027"/>
      <c r="T459" s="2024"/>
      <c r="U459" s="2024"/>
      <c r="V459" s="2027"/>
      <c r="W459" s="2024"/>
      <c r="X459" s="2027"/>
      <c r="Y459" s="2024"/>
      <c r="Z459" s="2028"/>
      <c r="AA459" s="2024"/>
      <c r="AB459" s="2024"/>
      <c r="AC459" s="2024"/>
      <c r="AD459" s="2024"/>
      <c r="AE459" s="2187"/>
      <c r="AF459" s="2187"/>
      <c r="AG459" s="2188"/>
      <c r="AH459" s="1687"/>
      <c r="AI459" s="1687"/>
      <c r="AJ459" s="1919"/>
      <c r="AK459" s="1688"/>
      <c r="AL459" s="1688"/>
      <c r="AM459" s="1922"/>
      <c r="AN459" s="2189"/>
      <c r="AO459" s="2190"/>
      <c r="AP459" s="1923"/>
      <c r="AQ459" s="1692"/>
      <c r="AR459" s="1692"/>
      <c r="AS459" s="2030"/>
      <c r="AT459" s="1505"/>
      <c r="AU459" s="2191"/>
      <c r="AV459" s="1927"/>
      <c r="AW459" s="2192"/>
      <c r="AX459" s="943"/>
      <c r="AY459" s="2193"/>
      <c r="AZ459" s="1837"/>
      <c r="BA459" s="1837"/>
      <c r="BB459" s="1931"/>
      <c r="BC459" s="2194"/>
      <c r="BD459" s="2105"/>
      <c r="BE459" s="1021"/>
      <c r="BF459" s="2653"/>
      <c r="BG459" s="1697"/>
      <c r="BH459" s="2654"/>
      <c r="BI459" s="2195"/>
      <c r="BJ459" s="2198"/>
      <c r="BK459" s="2196"/>
      <c r="BL459" s="243"/>
      <c r="BM459" s="243"/>
      <c r="BN459" s="1943"/>
      <c r="BO459" s="1702"/>
      <c r="BP459" s="1702"/>
      <c r="BQ459" s="1702"/>
      <c r="BR459" s="1941"/>
      <c r="BS459" s="245"/>
      <c r="BT459" s="2846"/>
      <c r="BU459" s="1945"/>
      <c r="BV459" s="1841"/>
      <c r="BW459" s="2565"/>
      <c r="BX459" s="1947"/>
      <c r="BY459" s="1702"/>
      <c r="BZ459" s="1702"/>
      <c r="CA459" s="1941"/>
    </row>
    <row r="460" spans="1:79" ht="20.100000000000001" customHeight="1" x14ac:dyDescent="0.4">
      <c r="A460" s="249"/>
      <c r="B460" s="249"/>
      <c r="C460" s="622">
        <v>0.83333333333333304</v>
      </c>
      <c r="D460" s="1948"/>
      <c r="E460" s="1949"/>
      <c r="F460" s="1950"/>
      <c r="G460" s="1948"/>
      <c r="H460" s="1949"/>
      <c r="I460" s="1951"/>
      <c r="J460" s="1948"/>
      <c r="K460" s="1950"/>
      <c r="L460" s="1951"/>
      <c r="M460" s="1948"/>
      <c r="N460" s="1962"/>
      <c r="O460" s="1948"/>
      <c r="P460" s="1948"/>
      <c r="Q460" s="1950"/>
      <c r="R460" s="1951"/>
      <c r="S460" s="1954"/>
      <c r="T460" s="1948"/>
      <c r="U460" s="1948"/>
      <c r="V460" s="1954"/>
      <c r="W460" s="1948"/>
      <c r="X460" s="1954"/>
      <c r="Y460" s="1948"/>
      <c r="Z460" s="1962"/>
      <c r="AA460" s="1948"/>
      <c r="AB460" s="1948"/>
      <c r="AC460" s="1948"/>
      <c r="AD460" s="1948"/>
      <c r="AE460" s="1385"/>
      <c r="AF460" s="1385" t="s">
        <v>332</v>
      </c>
      <c r="AG460" s="1408"/>
      <c r="AH460" s="1159"/>
      <c r="AI460" s="1160" t="s">
        <v>331</v>
      </c>
      <c r="AJ460" s="1160"/>
      <c r="AK460" s="2199"/>
      <c r="AL460" s="2655" t="s">
        <v>334</v>
      </c>
      <c r="AM460" s="2656"/>
      <c r="AN460" s="2657"/>
      <c r="AO460" s="2658" t="s">
        <v>334</v>
      </c>
      <c r="AP460" s="1438"/>
      <c r="AQ460" s="779"/>
      <c r="AR460" s="2202"/>
      <c r="AS460" s="2203"/>
      <c r="AT460" s="1394"/>
      <c r="AU460" s="2204"/>
      <c r="AV460" s="1394"/>
      <c r="AW460" s="1572"/>
      <c r="AX460" s="2205"/>
      <c r="AY460" s="1022"/>
      <c r="AZ460" s="1802"/>
      <c r="BA460" s="2206"/>
      <c r="BB460" s="1644"/>
      <c r="BC460" s="829"/>
      <c r="BD460" s="1374"/>
      <c r="BE460" s="687"/>
      <c r="BF460" s="2659"/>
      <c r="BG460" s="1862" t="s">
        <v>533</v>
      </c>
      <c r="BH460" s="2659"/>
      <c r="BI460" s="1556"/>
      <c r="BJ460" s="1169" t="s">
        <v>329</v>
      </c>
      <c r="BK460" s="1671"/>
      <c r="BL460" s="2208"/>
      <c r="BM460" s="2209"/>
      <c r="BN460" s="1993"/>
      <c r="BO460" s="1097"/>
      <c r="BP460" s="1097"/>
      <c r="BQ460" s="2207"/>
      <c r="BR460" s="1992"/>
      <c r="BS460" s="2210"/>
      <c r="BT460" s="2846"/>
      <c r="BU460" s="1994"/>
      <c r="BV460" s="2211"/>
      <c r="BW460" s="2259"/>
      <c r="BX460" s="1995"/>
      <c r="BY460" s="1097"/>
      <c r="BZ460" s="2207"/>
      <c r="CA460" s="1992"/>
    </row>
    <row r="461" spans="1:79" ht="20.85" customHeight="1" x14ac:dyDescent="0.4">
      <c r="A461" s="249"/>
      <c r="B461" s="249"/>
      <c r="C461" s="584" t="s">
        <v>307</v>
      </c>
      <c r="D461" s="1948"/>
      <c r="E461" s="1949"/>
      <c r="F461" s="1950"/>
      <c r="G461" s="1948"/>
      <c r="H461" s="1949"/>
      <c r="I461" s="1951"/>
      <c r="J461" s="1948"/>
      <c r="K461" s="1950"/>
      <c r="L461" s="1951"/>
      <c r="M461" s="1948"/>
      <c r="N461" s="1962"/>
      <c r="O461" s="1948"/>
      <c r="P461" s="1948"/>
      <c r="Q461" s="1950"/>
      <c r="R461" s="1951"/>
      <c r="S461" s="1954"/>
      <c r="T461" s="1948"/>
      <c r="U461" s="1948"/>
      <c r="V461" s="1954"/>
      <c r="W461" s="1948"/>
      <c r="X461" s="1954"/>
      <c r="Y461" s="1948"/>
      <c r="Z461" s="1962"/>
      <c r="AA461" s="1948"/>
      <c r="AB461" s="1948"/>
      <c r="AC461" s="1948"/>
      <c r="AD461" s="1948"/>
      <c r="AE461" s="1157"/>
      <c r="AF461" s="1429"/>
      <c r="AG461" s="1157"/>
      <c r="AH461" s="1164"/>
      <c r="AI461" s="1139" t="s">
        <v>330</v>
      </c>
      <c r="AJ461" s="1165"/>
      <c r="AK461" s="2199"/>
      <c r="AL461" s="1272"/>
      <c r="AM461" s="2200"/>
      <c r="AN461" s="2171"/>
      <c r="AO461" s="2212"/>
      <c r="AP461" s="1438"/>
      <c r="AQ461" s="778"/>
      <c r="AR461" s="2202"/>
      <c r="AS461" s="778"/>
      <c r="AT461" s="2213"/>
      <c r="AU461" s="2204"/>
      <c r="AV461" s="1613"/>
      <c r="AW461" s="1395"/>
      <c r="AX461" s="2205"/>
      <c r="AY461" s="1585"/>
      <c r="AZ461" s="1802"/>
      <c r="BA461" s="2214"/>
      <c r="BB461" s="1644"/>
      <c r="BC461" s="687"/>
      <c r="BD461" s="1374"/>
      <c r="BE461" s="687"/>
      <c r="BF461" s="2659"/>
      <c r="BG461" s="1862" t="s">
        <v>384</v>
      </c>
      <c r="BH461" s="2660"/>
      <c r="BI461" s="1670"/>
      <c r="BJ461" s="2645" t="s">
        <v>333</v>
      </c>
      <c r="BK461" s="1671"/>
      <c r="BL461" s="2007"/>
      <c r="BM461" s="1733"/>
      <c r="BN461" s="1993"/>
      <c r="BO461" s="1107"/>
      <c r="BP461" s="1577"/>
      <c r="BQ461" s="1622"/>
      <c r="BR461" s="1992"/>
      <c r="BS461" s="2008"/>
      <c r="BT461" s="2846"/>
      <c r="BU461" s="1994"/>
      <c r="BV461" s="2009"/>
      <c r="BW461" s="2259"/>
      <c r="BX461" s="1995"/>
      <c r="BY461" s="1577"/>
      <c r="BZ461" s="1622"/>
      <c r="CA461" s="1992"/>
    </row>
    <row r="462" spans="1:79" ht="18" customHeight="1" x14ac:dyDescent="0.4">
      <c r="A462" s="249"/>
      <c r="B462" s="249"/>
      <c r="C462" s="584" t="s">
        <v>307</v>
      </c>
      <c r="D462" s="1948"/>
      <c r="E462" s="1949"/>
      <c r="F462" s="1950"/>
      <c r="G462" s="1948"/>
      <c r="H462" s="1949"/>
      <c r="I462" s="1951"/>
      <c r="J462" s="1948"/>
      <c r="K462" s="1950"/>
      <c r="L462" s="1951"/>
      <c r="M462" s="1948"/>
      <c r="N462" s="1962"/>
      <c r="O462" s="1948"/>
      <c r="P462" s="1948"/>
      <c r="Q462" s="1950"/>
      <c r="R462" s="1951"/>
      <c r="S462" s="1954"/>
      <c r="T462" s="1948"/>
      <c r="U462" s="1948"/>
      <c r="V462" s="1954"/>
      <c r="W462" s="1948"/>
      <c r="X462" s="1954"/>
      <c r="Y462" s="1948"/>
      <c r="Z462" s="1962"/>
      <c r="AA462" s="1948"/>
      <c r="AB462" s="1948"/>
      <c r="AC462" s="1948"/>
      <c r="AD462" s="1948"/>
      <c r="AE462" s="1157"/>
      <c r="AF462" s="1157"/>
      <c r="AG462" s="1157"/>
      <c r="AH462" s="1159"/>
      <c r="AI462" s="1139" t="s">
        <v>371</v>
      </c>
      <c r="AJ462" s="1159"/>
      <c r="AK462" s="1765"/>
      <c r="AL462" s="1449"/>
      <c r="AM462" s="1283"/>
      <c r="AN462" s="2171"/>
      <c r="AO462" s="2212"/>
      <c r="AP462" s="1438"/>
      <c r="AQ462" s="2216"/>
      <c r="AR462" s="2217"/>
      <c r="AS462" s="1640"/>
      <c r="AT462" s="2213"/>
      <c r="AU462" s="2184"/>
      <c r="AV462" s="1613"/>
      <c r="AW462" s="1395"/>
      <c r="AX462" s="2154"/>
      <c r="AY462" s="1585"/>
      <c r="AZ462" s="1802"/>
      <c r="BA462" s="2214"/>
      <c r="BB462" s="1644"/>
      <c r="BC462" s="687"/>
      <c r="BD462" s="2167"/>
      <c r="BE462" s="687"/>
      <c r="BF462" s="2659"/>
      <c r="BG462" s="2661"/>
      <c r="BH462" s="2660"/>
      <c r="BI462" s="1670"/>
      <c r="BJ462" s="2643"/>
      <c r="BK462" s="1671"/>
      <c r="BL462" s="2007"/>
      <c r="BM462" s="1733"/>
      <c r="BN462" s="1993"/>
      <c r="BO462" s="1577"/>
      <c r="BP462" s="1577"/>
      <c r="BQ462" s="2095"/>
      <c r="BR462" s="1992"/>
      <c r="BS462" s="2008"/>
      <c r="BT462" s="2846"/>
      <c r="BU462" s="1994"/>
      <c r="BV462" s="2009"/>
      <c r="BW462" s="2259"/>
      <c r="BX462" s="1995"/>
      <c r="BY462" s="1577"/>
      <c r="BZ462" s="2095"/>
      <c r="CA462" s="1992"/>
    </row>
    <row r="463" spans="1:79" ht="16.350000000000001" customHeight="1" x14ac:dyDescent="0.4">
      <c r="A463" s="249"/>
      <c r="B463" s="249"/>
      <c r="C463" s="584" t="s">
        <v>307</v>
      </c>
      <c r="D463" s="1948"/>
      <c r="E463" s="1949"/>
      <c r="F463" s="1950"/>
      <c r="G463" s="1948"/>
      <c r="H463" s="1949"/>
      <c r="I463" s="1951"/>
      <c r="J463" s="1948"/>
      <c r="K463" s="1950"/>
      <c r="L463" s="1951"/>
      <c r="M463" s="1948"/>
      <c r="N463" s="1962"/>
      <c r="O463" s="1948"/>
      <c r="P463" s="1948"/>
      <c r="Q463" s="1950"/>
      <c r="R463" s="1951"/>
      <c r="S463" s="1954"/>
      <c r="T463" s="1948"/>
      <c r="U463" s="1948"/>
      <c r="V463" s="1954"/>
      <c r="W463" s="1948"/>
      <c r="X463" s="1954"/>
      <c r="Y463" s="1948"/>
      <c r="Z463" s="1962"/>
      <c r="AA463" s="1948"/>
      <c r="AB463" s="1948"/>
      <c r="AC463" s="1948"/>
      <c r="AD463" s="1948"/>
      <c r="AE463" s="2160"/>
      <c r="AF463" s="1478"/>
      <c r="AG463" s="1157"/>
      <c r="AH463" s="2218"/>
      <c r="AI463" s="1139"/>
      <c r="AJ463" s="1256"/>
      <c r="AK463" s="1765"/>
      <c r="AL463" s="1449"/>
      <c r="AM463" s="1283"/>
      <c r="AN463" s="1450"/>
      <c r="AO463" s="2212"/>
      <c r="AP463" s="1273"/>
      <c r="AQ463" s="778"/>
      <c r="AR463" s="2216"/>
      <c r="AS463" s="1640"/>
      <c r="AT463" s="1394"/>
      <c r="AU463" s="2219"/>
      <c r="AV463" s="1460"/>
      <c r="AW463" s="1395"/>
      <c r="AX463" s="2220"/>
      <c r="AY463" s="1395"/>
      <c r="AZ463" s="1802"/>
      <c r="BA463" s="2214"/>
      <c r="BB463" s="1644"/>
      <c r="BC463" s="1958"/>
      <c r="BD463" s="2167"/>
      <c r="BE463" s="908"/>
      <c r="BF463" s="1787"/>
      <c r="BG463" s="2661"/>
      <c r="BH463" s="2660"/>
      <c r="BI463" s="1773"/>
      <c r="BJ463" s="1169"/>
      <c r="BK463" s="1671"/>
      <c r="BL463" s="182"/>
      <c r="BM463" s="182"/>
      <c r="BN463" s="1993"/>
      <c r="BO463" s="1577"/>
      <c r="BP463" s="1107"/>
      <c r="BQ463" s="1195"/>
      <c r="BR463" s="1992"/>
      <c r="BS463" s="183"/>
      <c r="BT463" s="2846"/>
      <c r="BU463" s="1994"/>
      <c r="BV463" s="184"/>
      <c r="BW463" s="2259"/>
      <c r="BX463" s="1995"/>
      <c r="BY463" s="1107"/>
      <c r="BZ463" s="1195"/>
      <c r="CA463" s="1992"/>
    </row>
    <row r="464" spans="1:79" ht="24.6" customHeight="1" x14ac:dyDescent="0.4">
      <c r="A464" s="249"/>
      <c r="B464" s="249"/>
      <c r="C464" s="584" t="s">
        <v>307</v>
      </c>
      <c r="D464" s="1948"/>
      <c r="E464" s="1949"/>
      <c r="F464" s="1950"/>
      <c r="G464" s="1948"/>
      <c r="H464" s="1949"/>
      <c r="I464" s="1951"/>
      <c r="J464" s="1948"/>
      <c r="K464" s="1950"/>
      <c r="L464" s="1951"/>
      <c r="M464" s="1948"/>
      <c r="N464" s="1962"/>
      <c r="O464" s="1948"/>
      <c r="P464" s="1948"/>
      <c r="Q464" s="1950"/>
      <c r="R464" s="1951"/>
      <c r="S464" s="1954"/>
      <c r="T464" s="1948"/>
      <c r="U464" s="1948"/>
      <c r="V464" s="1954"/>
      <c r="W464" s="1948"/>
      <c r="X464" s="1954"/>
      <c r="Y464" s="1948"/>
      <c r="Z464" s="1962"/>
      <c r="AA464" s="1948"/>
      <c r="AB464" s="1948"/>
      <c r="AC464" s="1948"/>
      <c r="AD464" s="1948"/>
      <c r="AE464" s="2222"/>
      <c r="AF464" s="1478"/>
      <c r="AG464" s="2223"/>
      <c r="AH464" s="1160"/>
      <c r="AI464" s="1139"/>
      <c r="AJ464" s="1160"/>
      <c r="AK464" s="1765"/>
      <c r="AL464" s="1663"/>
      <c r="AM464" s="1469"/>
      <c r="AN464" s="1450"/>
      <c r="AO464" s="2212"/>
      <c r="AP464" s="1619"/>
      <c r="AQ464" s="778"/>
      <c r="AR464" s="778"/>
      <c r="AS464" s="1640"/>
      <c r="AT464" s="1394"/>
      <c r="AU464" s="2219"/>
      <c r="AV464" s="1460"/>
      <c r="AW464" s="1395"/>
      <c r="AX464" s="2154"/>
      <c r="AY464" s="1395"/>
      <c r="AZ464" s="1802"/>
      <c r="BA464" s="2214"/>
      <c r="BB464" s="1644"/>
      <c r="BC464" s="1958"/>
      <c r="BD464" s="1374"/>
      <c r="BE464" s="965"/>
      <c r="BF464" s="1787"/>
      <c r="BG464" s="2661"/>
      <c r="BH464" s="2660"/>
      <c r="BI464" s="1773"/>
      <c r="BJ464" s="1169"/>
      <c r="BK464" s="1671"/>
      <c r="BL464" s="1810"/>
      <c r="BM464" s="182"/>
      <c r="BN464" s="1783"/>
      <c r="BO464" s="1577"/>
      <c r="BP464" s="1578"/>
      <c r="BQ464" s="1195"/>
      <c r="BR464" s="1614"/>
      <c r="BS464" s="1811"/>
      <c r="BT464" s="2846"/>
      <c r="BU464" s="1784"/>
      <c r="BV464" s="1812"/>
      <c r="BW464" s="2259"/>
      <c r="BX464" s="1785"/>
      <c r="BY464" s="1578"/>
      <c r="BZ464" s="1195"/>
      <c r="CA464" s="1614"/>
    </row>
    <row r="465" spans="1:79" ht="14.85" customHeight="1" x14ac:dyDescent="0.4">
      <c r="A465" s="249"/>
      <c r="B465" s="249"/>
      <c r="C465" s="584" t="s">
        <v>307</v>
      </c>
      <c r="D465" s="1948"/>
      <c r="E465" s="1949"/>
      <c r="F465" s="1950"/>
      <c r="G465" s="1948"/>
      <c r="H465" s="1949"/>
      <c r="I465" s="1951"/>
      <c r="J465" s="1948"/>
      <c r="K465" s="1950"/>
      <c r="L465" s="1951"/>
      <c r="M465" s="1948"/>
      <c r="N465" s="1962"/>
      <c r="O465" s="1948"/>
      <c r="P465" s="1948"/>
      <c r="Q465" s="1950"/>
      <c r="R465" s="1951"/>
      <c r="S465" s="1954"/>
      <c r="T465" s="1948"/>
      <c r="U465" s="1948"/>
      <c r="V465" s="1954"/>
      <c r="W465" s="1948"/>
      <c r="X465" s="1954"/>
      <c r="Y465" s="1948"/>
      <c r="Z465" s="1962"/>
      <c r="AA465" s="1948"/>
      <c r="AB465" s="1948"/>
      <c r="AC465" s="1948"/>
      <c r="AD465" s="1948"/>
      <c r="AE465" s="2225"/>
      <c r="AF465" s="1478"/>
      <c r="AG465" s="2050"/>
      <c r="AH465" s="1160"/>
      <c r="AI465" s="2161"/>
      <c r="AJ465" s="1160"/>
      <c r="AK465" s="1765"/>
      <c r="AL465" s="1663"/>
      <c r="AM465" s="1469"/>
      <c r="AN465" s="1450"/>
      <c r="AO465" s="2212"/>
      <c r="AP465" s="1619"/>
      <c r="AQ465" s="778"/>
      <c r="AR465" s="778"/>
      <c r="AS465" s="1640"/>
      <c r="AT465" s="1394"/>
      <c r="AU465" s="2219"/>
      <c r="AV465" s="1460"/>
      <c r="AW465" s="1395"/>
      <c r="AX465" s="2226"/>
      <c r="AY465" s="1022"/>
      <c r="AZ465" s="1802"/>
      <c r="BA465" s="2214"/>
      <c r="BB465" s="1644"/>
      <c r="BC465" s="664"/>
      <c r="BD465" s="967"/>
      <c r="BE465" s="965"/>
      <c r="BF465" s="1787"/>
      <c r="BG465" s="2661"/>
      <c r="BH465" s="2660"/>
      <c r="BI465" s="1773"/>
      <c r="BJ465" s="1897"/>
      <c r="BK465" s="1671"/>
      <c r="BL465" s="182"/>
      <c r="BM465" s="182"/>
      <c r="BN465" s="1783"/>
      <c r="BO465" s="1107"/>
      <c r="BP465" s="1107"/>
      <c r="BQ465" s="1195"/>
      <c r="BR465" s="1614"/>
      <c r="BS465" s="183"/>
      <c r="BT465" s="2846"/>
      <c r="BU465" s="1784"/>
      <c r="BV465" s="184"/>
      <c r="BW465" s="2259"/>
      <c r="BX465" s="1785"/>
      <c r="BY465" s="1107"/>
      <c r="BZ465" s="1195"/>
      <c r="CA465" s="1614"/>
    </row>
    <row r="466" spans="1:79" ht="14.85" customHeight="1" x14ac:dyDescent="0.4">
      <c r="A466" s="249"/>
      <c r="B466" s="249"/>
      <c r="C466" s="584" t="s">
        <v>307</v>
      </c>
      <c r="D466" s="1948"/>
      <c r="E466" s="1949"/>
      <c r="F466" s="1950"/>
      <c r="G466" s="1948"/>
      <c r="H466" s="1949"/>
      <c r="I466" s="1951"/>
      <c r="J466" s="1948"/>
      <c r="K466" s="1950"/>
      <c r="L466" s="1951"/>
      <c r="M466" s="1948"/>
      <c r="N466" s="1962"/>
      <c r="O466" s="1948"/>
      <c r="P466" s="1948"/>
      <c r="Q466" s="1950"/>
      <c r="R466" s="1951"/>
      <c r="S466" s="1954"/>
      <c r="T466" s="1948"/>
      <c r="U466" s="1948"/>
      <c r="V466" s="1954"/>
      <c r="W466" s="1948"/>
      <c r="X466" s="1954"/>
      <c r="Y466" s="1948"/>
      <c r="Z466" s="1962"/>
      <c r="AA466" s="1948"/>
      <c r="AB466" s="1948"/>
      <c r="AC466" s="1948"/>
      <c r="AD466" s="1948"/>
      <c r="AE466" s="2225"/>
      <c r="AF466" s="1478"/>
      <c r="AG466" s="2050"/>
      <c r="AH466" s="1160"/>
      <c r="AI466" s="2161"/>
      <c r="AJ466" s="1160"/>
      <c r="AK466" s="1765"/>
      <c r="AL466" s="1663"/>
      <c r="AM466" s="1469"/>
      <c r="AN466" s="1450"/>
      <c r="AO466" s="2212"/>
      <c r="AP466" s="1619"/>
      <c r="AQ466" s="778"/>
      <c r="AR466" s="778"/>
      <c r="AS466" s="1640"/>
      <c r="AT466" s="1394"/>
      <c r="AU466" s="2219"/>
      <c r="AV466" s="1460"/>
      <c r="AW466" s="1395"/>
      <c r="AX466" s="2226"/>
      <c r="AY466" s="2227"/>
      <c r="AZ466" s="1802"/>
      <c r="BA466" s="2214"/>
      <c r="BB466" s="1644"/>
      <c r="BC466" s="664"/>
      <c r="BD466" s="967"/>
      <c r="BE466" s="965"/>
      <c r="BF466" s="1787"/>
      <c r="BG466" s="2661"/>
      <c r="BH466" s="2660"/>
      <c r="BI466" s="1773"/>
      <c r="BJ466" s="1897"/>
      <c r="BK466" s="1671"/>
      <c r="BL466" s="182"/>
      <c r="BM466" s="182"/>
      <c r="BN466" s="1783"/>
      <c r="BO466" s="1107"/>
      <c r="BP466" s="1107"/>
      <c r="BQ466" s="1195"/>
      <c r="BR466" s="1614"/>
      <c r="BS466" s="183"/>
      <c r="BT466" s="2846"/>
      <c r="BU466" s="1784"/>
      <c r="BV466" s="184"/>
      <c r="BW466" s="2259"/>
      <c r="BX466" s="1785"/>
      <c r="BY466" s="1107"/>
      <c r="BZ466" s="1195"/>
      <c r="CA466" s="1614"/>
    </row>
    <row r="467" spans="1:79" ht="14.85" customHeight="1" x14ac:dyDescent="0.4">
      <c r="A467" s="249"/>
      <c r="B467" s="249"/>
      <c r="C467" s="584">
        <v>0.83680555555555503</v>
      </c>
      <c r="D467" s="1948"/>
      <c r="E467" s="1949"/>
      <c r="F467" s="1950"/>
      <c r="G467" s="1948"/>
      <c r="H467" s="1949"/>
      <c r="I467" s="1951"/>
      <c r="J467" s="1948"/>
      <c r="K467" s="1950"/>
      <c r="L467" s="1951"/>
      <c r="M467" s="1948"/>
      <c r="N467" s="1962"/>
      <c r="O467" s="1948"/>
      <c r="P467" s="1948"/>
      <c r="Q467" s="1950"/>
      <c r="R467" s="1951"/>
      <c r="S467" s="1954"/>
      <c r="T467" s="1948"/>
      <c r="U467" s="1948"/>
      <c r="V467" s="1954"/>
      <c r="W467" s="1948"/>
      <c r="X467" s="1954"/>
      <c r="Y467" s="1948"/>
      <c r="Z467" s="1962"/>
      <c r="AA467" s="1948"/>
      <c r="AB467" s="1948"/>
      <c r="AC467" s="1948"/>
      <c r="AD467" s="1948"/>
      <c r="AE467" s="1157"/>
      <c r="AF467" s="1429"/>
      <c r="AG467" s="2050"/>
      <c r="AH467" s="1160"/>
      <c r="AI467" s="2161"/>
      <c r="AJ467" s="1256"/>
      <c r="AK467" s="1200"/>
      <c r="AL467" s="1285"/>
      <c r="AM467" s="1531"/>
      <c r="AN467" s="1273"/>
      <c r="AO467" s="2212"/>
      <c r="AP467" s="2228"/>
      <c r="AQ467" s="778"/>
      <c r="AR467" s="778"/>
      <c r="AS467" s="1640"/>
      <c r="AT467" s="1394"/>
      <c r="AU467" s="2229"/>
      <c r="AV467" s="1460"/>
      <c r="AW467" s="1395"/>
      <c r="AX467" s="2154"/>
      <c r="AY467" s="2227"/>
      <c r="AZ467" s="1802"/>
      <c r="BA467" s="2214"/>
      <c r="BB467" s="1802"/>
      <c r="BC467" s="687"/>
      <c r="BD467" s="1374"/>
      <c r="BE467" s="965"/>
      <c r="BF467" s="1862"/>
      <c r="BG467" s="2661"/>
      <c r="BH467" s="2660"/>
      <c r="BI467" s="1542"/>
      <c r="BJ467" s="1897"/>
      <c r="BK467" s="1671"/>
      <c r="BL467" s="182"/>
      <c r="BM467" s="182"/>
      <c r="BN467" s="1783"/>
      <c r="BO467" s="1107"/>
      <c r="BP467" s="1107"/>
      <c r="BQ467" s="1195"/>
      <c r="BR467" s="1614"/>
      <c r="BS467" s="183"/>
      <c r="BT467" s="2846"/>
      <c r="BU467" s="1784"/>
      <c r="BV467" s="184"/>
      <c r="BW467" s="2259"/>
      <c r="BX467" s="1785"/>
      <c r="BY467" s="1107"/>
      <c r="BZ467" s="1195"/>
      <c r="CA467" s="1614"/>
    </row>
    <row r="468" spans="1:79" ht="14.85" customHeight="1" x14ac:dyDescent="0.4">
      <c r="A468" s="249"/>
      <c r="B468" s="249"/>
      <c r="C468" s="584" t="s">
        <v>307</v>
      </c>
      <c r="D468" s="1948"/>
      <c r="E468" s="1949"/>
      <c r="F468" s="1950"/>
      <c r="G468" s="1948"/>
      <c r="H468" s="1949"/>
      <c r="I468" s="1951"/>
      <c r="J468" s="1948"/>
      <c r="K468" s="1950"/>
      <c r="L468" s="1951"/>
      <c r="M468" s="1948"/>
      <c r="N468" s="1962"/>
      <c r="O468" s="1948"/>
      <c r="P468" s="1948"/>
      <c r="Q468" s="1950"/>
      <c r="R468" s="1951"/>
      <c r="S468" s="1954"/>
      <c r="T468" s="1948"/>
      <c r="U468" s="1948"/>
      <c r="V468" s="1954"/>
      <c r="W468" s="1948"/>
      <c r="X468" s="1954"/>
      <c r="Y468" s="1948"/>
      <c r="Z468" s="1962"/>
      <c r="AA468" s="1948"/>
      <c r="AB468" s="1948"/>
      <c r="AC468" s="1948"/>
      <c r="AD468" s="1948"/>
      <c r="AE468" s="1157"/>
      <c r="AF468" s="1429"/>
      <c r="AG468" s="2050"/>
      <c r="AH468" s="1160"/>
      <c r="AI468" s="2161"/>
      <c r="AJ468" s="1256"/>
      <c r="AK468" s="1285"/>
      <c r="AL468" s="1285"/>
      <c r="AM468" s="1531"/>
      <c r="AN468" s="1273"/>
      <c r="AO468" s="2212"/>
      <c r="AP468" s="2228"/>
      <c r="AQ468" s="778"/>
      <c r="AR468" s="778"/>
      <c r="AS468" s="1640"/>
      <c r="AT468" s="1394"/>
      <c r="AU468" s="2229"/>
      <c r="AV468" s="1460"/>
      <c r="AW468" s="1395"/>
      <c r="AX468" s="1395"/>
      <c r="AY468" s="1022"/>
      <c r="AZ468" s="1696"/>
      <c r="BA468" s="2214"/>
      <c r="BB468" s="1644"/>
      <c r="BC468" s="664"/>
      <c r="BD468" s="967"/>
      <c r="BE468" s="965"/>
      <c r="BF468" s="2652"/>
      <c r="BG468" s="2661"/>
      <c r="BH468" s="1852"/>
      <c r="BI468" s="2186"/>
      <c r="BJ468" s="1897"/>
      <c r="BK468" s="1587"/>
      <c r="BL468" s="182"/>
      <c r="BM468" s="182"/>
      <c r="BN468" s="1783"/>
      <c r="BO468" s="1107"/>
      <c r="BP468" s="1107"/>
      <c r="BQ468" s="2124"/>
      <c r="BR468" s="1614"/>
      <c r="BS468" s="183"/>
      <c r="BT468" s="2846"/>
      <c r="BU468" s="1784"/>
      <c r="BV468" s="184"/>
      <c r="BW468" s="2259"/>
      <c r="BX468" s="1785"/>
      <c r="BY468" s="1107"/>
      <c r="BZ468" s="2124"/>
      <c r="CA468" s="1614"/>
    </row>
    <row r="469" spans="1:79" ht="14.85" customHeight="1" x14ac:dyDescent="0.4">
      <c r="A469" s="249"/>
      <c r="B469" s="249"/>
      <c r="C469" s="584" t="s">
        <v>307</v>
      </c>
      <c r="D469" s="1948"/>
      <c r="E469" s="1949"/>
      <c r="F469" s="1950"/>
      <c r="G469" s="1948"/>
      <c r="H469" s="1949"/>
      <c r="I469" s="1951"/>
      <c r="J469" s="1948"/>
      <c r="K469" s="1950"/>
      <c r="L469" s="1951"/>
      <c r="M469" s="1948"/>
      <c r="N469" s="1962"/>
      <c r="O469" s="1948"/>
      <c r="P469" s="1948"/>
      <c r="Q469" s="1950"/>
      <c r="R469" s="1951"/>
      <c r="S469" s="1954"/>
      <c r="T469" s="1948"/>
      <c r="U469" s="1948"/>
      <c r="V469" s="1954"/>
      <c r="W469" s="1948"/>
      <c r="X469" s="1954"/>
      <c r="Y469" s="1948"/>
      <c r="Z469" s="1962"/>
      <c r="AA469" s="1948"/>
      <c r="AB469" s="1948"/>
      <c r="AC469" s="1948"/>
      <c r="AD469" s="1948"/>
      <c r="AE469" s="1157"/>
      <c r="AF469" s="1429"/>
      <c r="AG469" s="2050"/>
      <c r="AH469" s="1160"/>
      <c r="AI469" s="2161"/>
      <c r="AJ469" s="1256"/>
      <c r="AK469" s="1285"/>
      <c r="AL469" s="1285"/>
      <c r="AM469" s="1531"/>
      <c r="AN469" s="1273"/>
      <c r="AO469" s="2212"/>
      <c r="AP469" s="2228"/>
      <c r="AQ469" s="778"/>
      <c r="AR469" s="778"/>
      <c r="AS469" s="1640"/>
      <c r="AT469" s="1394"/>
      <c r="AU469" s="2229"/>
      <c r="AV469" s="1460"/>
      <c r="AW469" s="1395"/>
      <c r="AX469" s="1395"/>
      <c r="AY469" s="1022"/>
      <c r="AZ469" s="1696"/>
      <c r="BA469" s="2214"/>
      <c r="BB469" s="1644"/>
      <c r="BC469" s="664"/>
      <c r="BD469" s="967"/>
      <c r="BE469" s="965"/>
      <c r="BF469" s="2652"/>
      <c r="BG469" s="2661"/>
      <c r="BH469" s="1852"/>
      <c r="BI469" s="2186"/>
      <c r="BJ469" s="1897"/>
      <c r="BK469" s="1587"/>
      <c r="BL469" s="182"/>
      <c r="BM469" s="182"/>
      <c r="BN469" s="1783"/>
      <c r="BO469" s="1107"/>
      <c r="BP469" s="1107"/>
      <c r="BQ469" s="2124"/>
      <c r="BR469" s="1614"/>
      <c r="BS469" s="183"/>
      <c r="BT469" s="2846"/>
      <c r="BU469" s="1784"/>
      <c r="BV469" s="184"/>
      <c r="BW469" s="2259"/>
      <c r="BX469" s="1785"/>
      <c r="BY469" s="1107"/>
      <c r="BZ469" s="2124"/>
      <c r="CA469" s="1614"/>
    </row>
    <row r="470" spans="1:79" ht="14.85" customHeight="1" x14ac:dyDescent="0.4">
      <c r="A470" s="249"/>
      <c r="B470" s="249"/>
      <c r="C470" s="584">
        <v>0.84027777777777701</v>
      </c>
      <c r="D470" s="1948"/>
      <c r="E470" s="1949"/>
      <c r="F470" s="1950"/>
      <c r="G470" s="1948"/>
      <c r="H470" s="1949"/>
      <c r="I470" s="1951"/>
      <c r="J470" s="1948"/>
      <c r="K470" s="1950"/>
      <c r="L470" s="1951"/>
      <c r="M470" s="1948"/>
      <c r="N470" s="1962"/>
      <c r="O470" s="1948"/>
      <c r="P470" s="1948"/>
      <c r="Q470" s="1950"/>
      <c r="R470" s="1951"/>
      <c r="S470" s="1954"/>
      <c r="T470" s="1948"/>
      <c r="U470" s="1948"/>
      <c r="V470" s="1954"/>
      <c r="W470" s="1948"/>
      <c r="X470" s="1954"/>
      <c r="Y470" s="1948"/>
      <c r="Z470" s="1962"/>
      <c r="AA470" s="1948"/>
      <c r="AB470" s="1948"/>
      <c r="AC470" s="1948"/>
      <c r="AD470" s="1948"/>
      <c r="AE470" s="1136"/>
      <c r="AF470" s="1429"/>
      <c r="AG470" s="2080"/>
      <c r="AH470" s="1645"/>
      <c r="AI470" s="2230"/>
      <c r="AJ470" s="2231"/>
      <c r="AK470" s="1200"/>
      <c r="AL470" s="2232"/>
      <c r="AM470" s="1285"/>
      <c r="AN470" s="1421"/>
      <c r="AO470" s="2212"/>
      <c r="AP470" s="1273"/>
      <c r="AQ470" s="778"/>
      <c r="AR470" s="2217"/>
      <c r="AS470" s="1640"/>
      <c r="AT470" s="2233"/>
      <c r="AU470" s="1627"/>
      <c r="AV470" s="1537"/>
      <c r="AW470" s="1538"/>
      <c r="AX470" s="2154"/>
      <c r="AY470" s="1022"/>
      <c r="AZ470" s="1802"/>
      <c r="BA470" s="2214"/>
      <c r="BB470" s="1644"/>
      <c r="BC470" s="687"/>
      <c r="BD470" s="967"/>
      <c r="BE470" s="687"/>
      <c r="BF470" s="2662"/>
      <c r="BG470" s="2661"/>
      <c r="BH470" s="1401"/>
      <c r="BI470" s="2234"/>
      <c r="BJ470" s="1897"/>
      <c r="BK470" s="1636"/>
      <c r="BL470" s="182"/>
      <c r="BM470" s="182"/>
      <c r="BN470" s="2073"/>
      <c r="BO470" s="1107"/>
      <c r="BP470" s="1107"/>
      <c r="BQ470" s="2124"/>
      <c r="BR470" s="2072"/>
      <c r="BS470" s="183"/>
      <c r="BT470" s="2846"/>
      <c r="BU470" s="2074"/>
      <c r="BV470" s="184"/>
      <c r="BW470" s="2259"/>
      <c r="BX470" s="2075"/>
      <c r="BY470" s="1107"/>
      <c r="BZ470" s="2124"/>
      <c r="CA470" s="2072"/>
    </row>
    <row r="471" spans="1:79" ht="14.85" customHeight="1" x14ac:dyDescent="0.4">
      <c r="A471" s="249"/>
      <c r="B471" s="249"/>
      <c r="C471" s="584" t="s">
        <v>307</v>
      </c>
      <c r="D471" s="1948"/>
      <c r="E471" s="1949"/>
      <c r="F471" s="1950"/>
      <c r="G471" s="1948"/>
      <c r="H471" s="1949"/>
      <c r="I471" s="1951"/>
      <c r="J471" s="1948"/>
      <c r="K471" s="1950"/>
      <c r="L471" s="1951"/>
      <c r="M471" s="1948"/>
      <c r="N471" s="1962"/>
      <c r="O471" s="1948"/>
      <c r="P471" s="1948"/>
      <c r="Q471" s="1950"/>
      <c r="R471" s="1951"/>
      <c r="S471" s="1954"/>
      <c r="T471" s="1948"/>
      <c r="U471" s="1948"/>
      <c r="V471" s="1954"/>
      <c r="W471" s="1948"/>
      <c r="X471" s="1954"/>
      <c r="Y471" s="1948"/>
      <c r="Z471" s="1962"/>
      <c r="AA471" s="1948"/>
      <c r="AB471" s="1948"/>
      <c r="AC471" s="1948"/>
      <c r="AD471" s="1948"/>
      <c r="AE471" s="1136"/>
      <c r="AF471" s="1429"/>
      <c r="AG471" s="2080"/>
      <c r="AH471" s="1645"/>
      <c r="AI471" s="2230"/>
      <c r="AJ471" s="2231"/>
      <c r="AK471" s="1200"/>
      <c r="AL471" s="2232"/>
      <c r="AM471" s="1285"/>
      <c r="AN471" s="1421"/>
      <c r="AO471" s="2212"/>
      <c r="AP471" s="1273"/>
      <c r="AQ471" s="778"/>
      <c r="AR471" s="2217"/>
      <c r="AS471" s="1640"/>
      <c r="AT471" s="1667"/>
      <c r="AU471" s="1627"/>
      <c r="AV471" s="1411"/>
      <c r="AW471" s="683"/>
      <c r="AX471" s="2154"/>
      <c r="AY471" s="1572"/>
      <c r="AZ471" s="1802"/>
      <c r="BA471" s="2214"/>
      <c r="BB471" s="1644"/>
      <c r="BC471" s="687"/>
      <c r="BD471" s="967"/>
      <c r="BE471" s="687"/>
      <c r="BF471" s="2662"/>
      <c r="BG471" s="2661"/>
      <c r="BH471" s="1401"/>
      <c r="BI471" s="2234"/>
      <c r="BJ471" s="1897"/>
      <c r="BK471" s="1636"/>
      <c r="BL471" s="1732"/>
      <c r="BM471" s="182"/>
      <c r="BN471" s="2073"/>
      <c r="BO471" s="1107"/>
      <c r="BP471" s="1161"/>
      <c r="BQ471" s="1195"/>
      <c r="BR471" s="2072"/>
      <c r="BS471" s="1735"/>
      <c r="BT471" s="2846"/>
      <c r="BU471" s="2074"/>
      <c r="BV471" s="1738"/>
      <c r="BW471" s="2259"/>
      <c r="BX471" s="2075"/>
      <c r="BY471" s="1161"/>
      <c r="BZ471" s="1195"/>
      <c r="CA471" s="2072"/>
    </row>
    <row r="472" spans="1:79" ht="22.35" customHeight="1" x14ac:dyDescent="0.4">
      <c r="A472" s="249"/>
      <c r="B472" s="249"/>
      <c r="C472" s="584">
        <v>0.84375</v>
      </c>
      <c r="D472" s="1948"/>
      <c r="E472" s="1949"/>
      <c r="F472" s="1950"/>
      <c r="G472" s="1948"/>
      <c r="H472" s="1949"/>
      <c r="I472" s="1951"/>
      <c r="J472" s="1948"/>
      <c r="K472" s="1950"/>
      <c r="L472" s="1951"/>
      <c r="M472" s="1948"/>
      <c r="N472" s="1962"/>
      <c r="O472" s="1948"/>
      <c r="P472" s="1948"/>
      <c r="Q472" s="1950"/>
      <c r="R472" s="1951"/>
      <c r="S472" s="1954"/>
      <c r="T472" s="1948"/>
      <c r="U472" s="1948"/>
      <c r="V472" s="1954"/>
      <c r="W472" s="1948"/>
      <c r="X472" s="1954"/>
      <c r="Y472" s="1948"/>
      <c r="Z472" s="1962"/>
      <c r="AA472" s="1948"/>
      <c r="AB472" s="1948"/>
      <c r="AC472" s="1948"/>
      <c r="AD472" s="1948"/>
      <c r="AE472" s="1385"/>
      <c r="AF472" s="1385" t="s">
        <v>332</v>
      </c>
      <c r="AG472" s="1408"/>
      <c r="AH472" s="1159"/>
      <c r="AI472" s="1160" t="s">
        <v>331</v>
      </c>
      <c r="AJ472" s="1160"/>
      <c r="AK472" s="2199"/>
      <c r="AL472" s="2655" t="s">
        <v>334</v>
      </c>
      <c r="AM472" s="2200"/>
      <c r="AN472" s="1273"/>
      <c r="AO472" s="2663" t="s">
        <v>334</v>
      </c>
      <c r="AP472" s="1438"/>
      <c r="AQ472" s="778"/>
      <c r="AR472" s="2217"/>
      <c r="AS472" s="1640"/>
      <c r="AT472" s="1956"/>
      <c r="AU472" s="1627"/>
      <c r="AV472" s="1537"/>
      <c r="AW472" s="683"/>
      <c r="AX472" s="2235"/>
      <c r="AY472" s="1572"/>
      <c r="AZ472" s="1802"/>
      <c r="BA472" s="2214"/>
      <c r="BB472" s="1644"/>
      <c r="BC472" s="974"/>
      <c r="BD472" s="1555"/>
      <c r="BE472" s="687"/>
      <c r="BF472" s="2659"/>
      <c r="BG472" s="1862" t="s">
        <v>533</v>
      </c>
      <c r="BH472" s="2659"/>
      <c r="BI472" s="1556"/>
      <c r="BJ472" s="2645" t="s">
        <v>329</v>
      </c>
      <c r="BK472" s="1636"/>
      <c r="BL472" s="2236"/>
      <c r="BM472" s="182"/>
      <c r="BN472" s="2236"/>
      <c r="BO472" s="1107"/>
      <c r="BP472" s="1404"/>
      <c r="BQ472" s="1107"/>
      <c r="BR472" s="1779"/>
      <c r="BS472" s="2237"/>
      <c r="BT472" s="2846"/>
      <c r="BU472" s="2237"/>
      <c r="BV472" s="2238"/>
      <c r="BW472" s="2259"/>
      <c r="BX472" s="2238"/>
      <c r="BY472" s="1404"/>
      <c r="BZ472" s="1107"/>
      <c r="CA472" s="1779"/>
    </row>
    <row r="473" spans="1:79" ht="17.100000000000001" customHeight="1" x14ac:dyDescent="0.4">
      <c r="A473" s="249"/>
      <c r="B473" s="249"/>
      <c r="C473" s="584" t="s">
        <v>307</v>
      </c>
      <c r="D473" s="1948"/>
      <c r="E473" s="1949"/>
      <c r="F473" s="1950"/>
      <c r="G473" s="1948"/>
      <c r="H473" s="1949"/>
      <c r="I473" s="1951"/>
      <c r="J473" s="1948"/>
      <c r="K473" s="1950"/>
      <c r="L473" s="1951"/>
      <c r="M473" s="1948"/>
      <c r="N473" s="1962"/>
      <c r="O473" s="1948"/>
      <c r="P473" s="1948"/>
      <c r="Q473" s="1950"/>
      <c r="R473" s="1951"/>
      <c r="S473" s="1954"/>
      <c r="T473" s="1948"/>
      <c r="U473" s="1948"/>
      <c r="V473" s="1954"/>
      <c r="W473" s="1948"/>
      <c r="X473" s="1954"/>
      <c r="Y473" s="1948"/>
      <c r="Z473" s="1962"/>
      <c r="AA473" s="1948"/>
      <c r="AB473" s="1948"/>
      <c r="AC473" s="1948"/>
      <c r="AD473" s="1948"/>
      <c r="AE473" s="1157"/>
      <c r="AF473" s="1429"/>
      <c r="AG473" s="1157"/>
      <c r="AH473" s="1430"/>
      <c r="AI473" s="1430" t="s">
        <v>336</v>
      </c>
      <c r="AJ473" s="1430"/>
      <c r="AK473" s="1200"/>
      <c r="AL473" s="2239"/>
      <c r="AM473" s="1285"/>
      <c r="AN473" s="1421"/>
      <c r="AO473" s="2212"/>
      <c r="AP473" s="1273"/>
      <c r="AQ473" s="778"/>
      <c r="AR473" s="778"/>
      <c r="AS473" s="1640"/>
      <c r="AT473" s="1411"/>
      <c r="AU473" s="2240"/>
      <c r="AV473" s="1411"/>
      <c r="AW473" s="1572"/>
      <c r="AX473" s="2220"/>
      <c r="AY473" s="1395"/>
      <c r="AZ473" s="1696"/>
      <c r="BA473" s="2214"/>
      <c r="BB473" s="1802"/>
      <c r="BC473" s="687"/>
      <c r="BD473" s="2241"/>
      <c r="BE473" s="687"/>
      <c r="BF473" s="2659"/>
      <c r="BG473" s="1862" t="s">
        <v>384</v>
      </c>
      <c r="BH473" s="2660"/>
      <c r="BI473" s="2176"/>
      <c r="BJ473" s="2643" t="s">
        <v>333</v>
      </c>
      <c r="BK473" s="1636"/>
      <c r="BL473" s="2007"/>
      <c r="BM473" s="182"/>
      <c r="BN473" s="1783"/>
      <c r="BO473" s="2134"/>
      <c r="BP473" s="1577"/>
      <c r="BQ473" s="1107"/>
      <c r="BR473" s="1614"/>
      <c r="BS473" s="2008"/>
      <c r="BT473" s="2846"/>
      <c r="BU473" s="1784"/>
      <c r="BV473" s="2009"/>
      <c r="BW473" s="2259"/>
      <c r="BX473" s="1785"/>
      <c r="BY473" s="1577"/>
      <c r="BZ473" s="1107"/>
      <c r="CA473" s="1614"/>
    </row>
    <row r="474" spans="1:79" ht="14.85" customHeight="1" x14ac:dyDescent="0.4">
      <c r="A474" s="249"/>
      <c r="B474" s="249"/>
      <c r="C474" s="584" t="s">
        <v>307</v>
      </c>
      <c r="D474" s="1948"/>
      <c r="E474" s="1949"/>
      <c r="F474" s="1950"/>
      <c r="G474" s="1948"/>
      <c r="H474" s="1949"/>
      <c r="I474" s="1951"/>
      <c r="J474" s="1948"/>
      <c r="K474" s="1950"/>
      <c r="L474" s="1951"/>
      <c r="M474" s="1948"/>
      <c r="N474" s="1962"/>
      <c r="O474" s="1948"/>
      <c r="P474" s="1948"/>
      <c r="Q474" s="1950"/>
      <c r="R474" s="1951"/>
      <c r="S474" s="1954"/>
      <c r="T474" s="1948"/>
      <c r="U474" s="1948"/>
      <c r="V474" s="1954"/>
      <c r="W474" s="1948"/>
      <c r="X474" s="1954"/>
      <c r="Y474" s="1948"/>
      <c r="Z474" s="1962"/>
      <c r="AA474" s="1948"/>
      <c r="AB474" s="1948"/>
      <c r="AC474" s="1948"/>
      <c r="AD474" s="1948"/>
      <c r="AE474" s="1157"/>
      <c r="AF474" s="1157"/>
      <c r="AG474" s="1157"/>
      <c r="AH474" s="1160"/>
      <c r="AI474" s="1139" t="s">
        <v>330</v>
      </c>
      <c r="AJ474" s="1256"/>
      <c r="AK474" s="1200"/>
      <c r="AL474" s="2239"/>
      <c r="AM474" s="1285"/>
      <c r="AN474" s="1421"/>
      <c r="AO474" s="2212"/>
      <c r="AP474" s="1273"/>
      <c r="AQ474" s="778"/>
      <c r="AR474" s="778"/>
      <c r="AS474" s="1640"/>
      <c r="AT474" s="1210"/>
      <c r="AU474" s="1627"/>
      <c r="AV474" s="1210"/>
      <c r="AW474" s="1395"/>
      <c r="AX474" s="2154"/>
      <c r="AY474" s="1395"/>
      <c r="AZ474" s="1696"/>
      <c r="BA474" s="2214"/>
      <c r="BB474" s="1802"/>
      <c r="BC474" s="974"/>
      <c r="BD474" s="2242"/>
      <c r="BE474" s="908"/>
      <c r="BF474" s="2659"/>
      <c r="BG474" s="1862"/>
      <c r="BH474" s="2659"/>
      <c r="BI474" s="2234"/>
      <c r="BJ474" s="1169"/>
      <c r="BK474" s="1636"/>
      <c r="BL474" s="182"/>
      <c r="BM474" s="182"/>
      <c r="BN474" s="1783"/>
      <c r="BO474" s="1107"/>
      <c r="BP474" s="1107"/>
      <c r="BQ474" s="1107"/>
      <c r="BR474" s="1614"/>
      <c r="BS474" s="183"/>
      <c r="BT474" s="2846"/>
      <c r="BU474" s="1784"/>
      <c r="BV474" s="184"/>
      <c r="BW474" s="2259"/>
      <c r="BX474" s="1785"/>
      <c r="BY474" s="1107"/>
      <c r="BZ474" s="1107"/>
      <c r="CA474" s="1614"/>
    </row>
    <row r="475" spans="1:79" ht="19.350000000000001" customHeight="1" x14ac:dyDescent="0.4">
      <c r="A475" s="249"/>
      <c r="B475" s="249"/>
      <c r="C475" s="584" t="s">
        <v>307</v>
      </c>
      <c r="D475" s="1948"/>
      <c r="E475" s="1949"/>
      <c r="F475" s="1950"/>
      <c r="G475" s="1948"/>
      <c r="H475" s="1949"/>
      <c r="I475" s="1951"/>
      <c r="J475" s="1948"/>
      <c r="K475" s="1950"/>
      <c r="L475" s="1951"/>
      <c r="M475" s="1948"/>
      <c r="N475" s="1962"/>
      <c r="O475" s="1948"/>
      <c r="P475" s="1948"/>
      <c r="Q475" s="1950"/>
      <c r="R475" s="1951"/>
      <c r="S475" s="1954"/>
      <c r="T475" s="1948"/>
      <c r="U475" s="1948"/>
      <c r="V475" s="1954"/>
      <c r="W475" s="1948"/>
      <c r="X475" s="1954"/>
      <c r="Y475" s="1948"/>
      <c r="Z475" s="1962"/>
      <c r="AA475" s="1948"/>
      <c r="AB475" s="1948"/>
      <c r="AC475" s="1948"/>
      <c r="AD475" s="1948"/>
      <c r="AE475" s="1157"/>
      <c r="AF475" s="1429"/>
      <c r="AG475" s="1157"/>
      <c r="AH475" s="1160"/>
      <c r="AI475" s="1139" t="s">
        <v>371</v>
      </c>
      <c r="AJ475" s="1256"/>
      <c r="AK475" s="1200"/>
      <c r="AL475" s="2239"/>
      <c r="AM475" s="1285"/>
      <c r="AN475" s="1421"/>
      <c r="AO475" s="2212"/>
      <c r="AP475" s="1273"/>
      <c r="AQ475" s="778"/>
      <c r="AR475" s="778"/>
      <c r="AS475" s="1640"/>
      <c r="AT475" s="1667"/>
      <c r="AU475" s="1210"/>
      <c r="AV475" s="1668"/>
      <c r="AW475" s="683"/>
      <c r="AX475" s="2154"/>
      <c r="AY475" s="1585"/>
      <c r="AZ475" s="1696"/>
      <c r="BA475" s="2214"/>
      <c r="BB475" s="1802"/>
      <c r="BC475" s="974"/>
      <c r="BD475" s="1374"/>
      <c r="BE475" s="687"/>
      <c r="BF475" s="2659"/>
      <c r="BG475" s="1862"/>
      <c r="BH475" s="2660"/>
      <c r="BI475" s="2234"/>
      <c r="BJ475" s="1169"/>
      <c r="BK475" s="1636"/>
      <c r="BL475" s="182"/>
      <c r="BM475" s="2245"/>
      <c r="BN475" s="1783"/>
      <c r="BO475" s="1107"/>
      <c r="BP475" s="1107"/>
      <c r="BQ475" s="2244"/>
      <c r="BR475" s="1614"/>
      <c r="BS475" s="183"/>
      <c r="BT475" s="2846"/>
      <c r="BU475" s="1784"/>
      <c r="BV475" s="184"/>
      <c r="BW475" s="2259"/>
      <c r="BX475" s="1785"/>
      <c r="BY475" s="1107"/>
      <c r="BZ475" s="2244"/>
      <c r="CA475" s="1614"/>
    </row>
    <row r="476" spans="1:79" ht="14.85" customHeight="1" x14ac:dyDescent="0.4">
      <c r="A476" s="249"/>
      <c r="B476" s="249"/>
      <c r="C476" s="584" t="s">
        <v>307</v>
      </c>
      <c r="D476" s="1948"/>
      <c r="E476" s="1949"/>
      <c r="F476" s="1950"/>
      <c r="G476" s="1948"/>
      <c r="H476" s="1949"/>
      <c r="I476" s="1951"/>
      <c r="J476" s="1948"/>
      <c r="K476" s="1950"/>
      <c r="L476" s="1951"/>
      <c r="M476" s="1948"/>
      <c r="N476" s="1962"/>
      <c r="O476" s="1948"/>
      <c r="P476" s="1948"/>
      <c r="Q476" s="1950"/>
      <c r="R476" s="1951"/>
      <c r="S476" s="1954"/>
      <c r="T476" s="1948"/>
      <c r="U476" s="1948"/>
      <c r="V476" s="1954"/>
      <c r="W476" s="1948"/>
      <c r="X476" s="1954"/>
      <c r="Y476" s="1948"/>
      <c r="Z476" s="1962"/>
      <c r="AA476" s="1948"/>
      <c r="AB476" s="1948"/>
      <c r="AC476" s="1948"/>
      <c r="AD476" s="1948"/>
      <c r="AE476" s="1157"/>
      <c r="AF476" s="1429"/>
      <c r="AG476" s="1157"/>
      <c r="AH476" s="1160"/>
      <c r="AI476" s="1139"/>
      <c r="AJ476" s="1256"/>
      <c r="AK476" s="1200"/>
      <c r="AL476" s="2239"/>
      <c r="AM476" s="1285"/>
      <c r="AN476" s="1421"/>
      <c r="AO476" s="2212"/>
      <c r="AP476" s="1273"/>
      <c r="AQ476" s="778"/>
      <c r="AR476" s="778"/>
      <c r="AS476" s="1640"/>
      <c r="AT476" s="1667"/>
      <c r="AU476" s="1210"/>
      <c r="AV476" s="1668"/>
      <c r="AW476" s="683"/>
      <c r="AX476" s="2177"/>
      <c r="AY476" s="1585"/>
      <c r="AZ476" s="1696"/>
      <c r="BA476" s="2214"/>
      <c r="BB476" s="1802"/>
      <c r="BC476" s="687"/>
      <c r="BD476" s="967"/>
      <c r="BE476" s="687"/>
      <c r="BF476" s="2662"/>
      <c r="BG476" s="1862"/>
      <c r="BH476" s="1401"/>
      <c r="BI476" s="2234"/>
      <c r="BJ476" s="1897"/>
      <c r="BK476" s="1636"/>
      <c r="BL476" s="182"/>
      <c r="BM476" s="2245"/>
      <c r="BN476" s="1783"/>
      <c r="BO476" s="1107"/>
      <c r="BP476" s="1107"/>
      <c r="BQ476" s="2244"/>
      <c r="BR476" s="1614"/>
      <c r="BS476" s="183"/>
      <c r="BT476" s="2846"/>
      <c r="BU476" s="1784"/>
      <c r="BV476" s="184"/>
      <c r="BW476" s="2259"/>
      <c r="BX476" s="1785"/>
      <c r="BY476" s="1107"/>
      <c r="BZ476" s="2244"/>
      <c r="CA476" s="1614"/>
    </row>
    <row r="477" spans="1:79" ht="13.35" customHeight="1" x14ac:dyDescent="0.4">
      <c r="A477" s="249"/>
      <c r="B477" s="249"/>
      <c r="C477" s="584" t="s">
        <v>307</v>
      </c>
      <c r="D477" s="1948"/>
      <c r="E477" s="1949"/>
      <c r="F477" s="1950"/>
      <c r="G477" s="1948"/>
      <c r="H477" s="1949"/>
      <c r="I477" s="1951"/>
      <c r="J477" s="1948"/>
      <c r="K477" s="1950"/>
      <c r="L477" s="1951"/>
      <c r="M477" s="1948"/>
      <c r="N477" s="1962"/>
      <c r="O477" s="1948"/>
      <c r="P477" s="1948"/>
      <c r="Q477" s="1950"/>
      <c r="R477" s="1951"/>
      <c r="S477" s="1954"/>
      <c r="T477" s="1948"/>
      <c r="U477" s="1948"/>
      <c r="V477" s="1954"/>
      <c r="W477" s="1948"/>
      <c r="X477" s="1954"/>
      <c r="Y477" s="1948"/>
      <c r="Z477" s="1962"/>
      <c r="AA477" s="1948"/>
      <c r="AB477" s="1948"/>
      <c r="AC477" s="1948"/>
      <c r="AD477" s="1948"/>
      <c r="AE477" s="1157"/>
      <c r="AF477" s="1429"/>
      <c r="AG477" s="1157"/>
      <c r="AH477" s="1160"/>
      <c r="AI477" s="2224"/>
      <c r="AJ477" s="1256"/>
      <c r="AK477" s="1200"/>
      <c r="AL477" s="2239"/>
      <c r="AM477" s="1285"/>
      <c r="AN477" s="1421"/>
      <c r="AO477" s="2212"/>
      <c r="AP477" s="1273"/>
      <c r="AQ477" s="778"/>
      <c r="AR477" s="778"/>
      <c r="AS477" s="1640"/>
      <c r="AT477" s="1667"/>
      <c r="AU477" s="1210"/>
      <c r="AV477" s="1668"/>
      <c r="AW477" s="683"/>
      <c r="AX477" s="2154"/>
      <c r="AY477" s="1585"/>
      <c r="AZ477" s="1696"/>
      <c r="BA477" s="2214"/>
      <c r="BB477" s="1802"/>
      <c r="BC477" s="687"/>
      <c r="BD477" s="967"/>
      <c r="BE477" s="687"/>
      <c r="BF477" s="2662"/>
      <c r="BG477" s="1862"/>
      <c r="BH477" s="1401"/>
      <c r="BI477" s="2234"/>
      <c r="BJ477" s="1897"/>
      <c r="BK477" s="1636"/>
      <c r="BL477" s="182"/>
      <c r="BM477" s="2245"/>
      <c r="BN477" s="1783"/>
      <c r="BO477" s="1107"/>
      <c r="BP477" s="1107"/>
      <c r="BQ477" s="2244"/>
      <c r="BR477" s="1614"/>
      <c r="BS477" s="183"/>
      <c r="BT477" s="2846"/>
      <c r="BU477" s="1784"/>
      <c r="BV477" s="184"/>
      <c r="BW477" s="2259"/>
      <c r="BX477" s="1785"/>
      <c r="BY477" s="1107"/>
      <c r="BZ477" s="2244"/>
      <c r="CA477" s="1614"/>
    </row>
    <row r="478" spans="1:79" ht="26.85" customHeight="1" x14ac:dyDescent="0.4">
      <c r="A478" s="249"/>
      <c r="B478" s="249"/>
      <c r="C478" s="584">
        <v>0.84722222222222199</v>
      </c>
      <c r="D478" s="1948"/>
      <c r="E478" s="1949"/>
      <c r="F478" s="1950"/>
      <c r="G478" s="1948"/>
      <c r="H478" s="1949"/>
      <c r="I478" s="1951"/>
      <c r="J478" s="1948"/>
      <c r="K478" s="1950"/>
      <c r="L478" s="1951"/>
      <c r="M478" s="1948"/>
      <c r="N478" s="1962"/>
      <c r="O478" s="1948"/>
      <c r="P478" s="1948"/>
      <c r="Q478" s="1950"/>
      <c r="R478" s="1951"/>
      <c r="S478" s="1954"/>
      <c r="T478" s="1948"/>
      <c r="U478" s="1948"/>
      <c r="V478" s="1954"/>
      <c r="W478" s="1948"/>
      <c r="X478" s="1954"/>
      <c r="Y478" s="1948"/>
      <c r="Z478" s="1962"/>
      <c r="AA478" s="1948"/>
      <c r="AB478" s="1948"/>
      <c r="AC478" s="1948"/>
      <c r="AD478" s="1948"/>
      <c r="AE478" s="2160"/>
      <c r="AF478" s="1478"/>
      <c r="AG478" s="1157"/>
      <c r="AH478" s="1160"/>
      <c r="AI478" s="2246"/>
      <c r="AJ478" s="1160"/>
      <c r="AK478" s="1285"/>
      <c r="AL478" s="2553" t="s">
        <v>470</v>
      </c>
      <c r="AM478" s="1531"/>
      <c r="AN478" s="1421"/>
      <c r="AO478" s="2212"/>
      <c r="AP478" s="1273"/>
      <c r="AQ478" s="778"/>
      <c r="AR478" s="2247"/>
      <c r="AS478" s="1640"/>
      <c r="AT478" s="1667"/>
      <c r="AU478" s="2248"/>
      <c r="AV478" s="1668"/>
      <c r="AW478" s="683"/>
      <c r="AX478" s="2177"/>
      <c r="AY478" s="1585"/>
      <c r="AZ478" s="1802"/>
      <c r="BA478" s="2214"/>
      <c r="BB478" s="1644"/>
      <c r="BC478" s="1958"/>
      <c r="BD478" s="1374"/>
      <c r="BE478" s="908"/>
      <c r="BF478" s="1787"/>
      <c r="BG478" s="1862"/>
      <c r="BH478" s="1794"/>
      <c r="BI478" s="1773"/>
      <c r="BJ478" s="1897"/>
      <c r="BK478" s="1543"/>
      <c r="BL478" s="182"/>
      <c r="BM478" s="2251"/>
      <c r="BN478" s="182"/>
      <c r="BO478" s="1577"/>
      <c r="BP478" s="1107"/>
      <c r="BQ478" s="2250"/>
      <c r="BR478" s="1107"/>
      <c r="BS478" s="183"/>
      <c r="BT478" s="2846"/>
      <c r="BU478" s="183"/>
      <c r="BV478" s="184"/>
      <c r="BW478" s="2259"/>
      <c r="BX478" s="184"/>
      <c r="BY478" s="1107"/>
      <c r="BZ478" s="2250"/>
      <c r="CA478" s="1107"/>
    </row>
    <row r="479" spans="1:79" ht="29.85" customHeight="1" x14ac:dyDescent="0.4">
      <c r="A479" s="249"/>
      <c r="B479" s="249"/>
      <c r="C479" s="584">
        <v>0.85069444444444398</v>
      </c>
      <c r="D479" s="1948"/>
      <c r="E479" s="1949"/>
      <c r="F479" s="1950"/>
      <c r="G479" s="1948"/>
      <c r="H479" s="1949"/>
      <c r="I479" s="1951"/>
      <c r="J479" s="1948"/>
      <c r="K479" s="1950"/>
      <c r="L479" s="1951"/>
      <c r="M479" s="1948"/>
      <c r="N479" s="1962"/>
      <c r="O479" s="1948"/>
      <c r="P479" s="1948"/>
      <c r="Q479" s="1950"/>
      <c r="R479" s="1951"/>
      <c r="S479" s="1954"/>
      <c r="T479" s="1948"/>
      <c r="U479" s="1948"/>
      <c r="V479" s="1954"/>
      <c r="W479" s="1948"/>
      <c r="X479" s="1954"/>
      <c r="Y479" s="1948"/>
      <c r="Z479" s="1962"/>
      <c r="AA479" s="1948"/>
      <c r="AB479" s="1948"/>
      <c r="AC479" s="1948"/>
      <c r="AD479" s="1948"/>
      <c r="AE479" s="2252"/>
      <c r="AF479" s="2152" t="s">
        <v>543</v>
      </c>
      <c r="AG479" s="2050"/>
      <c r="AH479" s="1160"/>
      <c r="AI479" s="2246"/>
      <c r="AJ479" s="1160"/>
      <c r="AK479" s="1200"/>
      <c r="AL479" s="2239"/>
      <c r="AM479" s="1531"/>
      <c r="AN479" s="1722"/>
      <c r="AO479" s="2212"/>
      <c r="AP479" s="1722"/>
      <c r="AQ479" s="778"/>
      <c r="AR479" s="2217"/>
      <c r="AS479" s="1640"/>
      <c r="AT479" s="1411"/>
      <c r="AU479" s="1627"/>
      <c r="AV479" s="1411"/>
      <c r="AW479" s="1572"/>
      <c r="AX479" s="2253"/>
      <c r="AY479" s="1572"/>
      <c r="AZ479" s="1573"/>
      <c r="BA479" s="2214"/>
      <c r="BB479" s="1573"/>
      <c r="BC479" s="687"/>
      <c r="BD479" s="1374"/>
      <c r="BE479" s="687"/>
      <c r="BF479" s="1794"/>
      <c r="BG479" s="1862"/>
      <c r="BH479" s="1401"/>
      <c r="BI479" s="1556"/>
      <c r="BJ479" s="1897"/>
      <c r="BK479" s="1636"/>
      <c r="BL479" s="182"/>
      <c r="BM479" s="2251"/>
      <c r="BN479" s="182"/>
      <c r="BO479" s="2134"/>
      <c r="BP479" s="1107"/>
      <c r="BQ479" s="2250"/>
      <c r="BR479" s="1107"/>
      <c r="BS479" s="183"/>
      <c r="BT479" s="2846"/>
      <c r="BU479" s="183"/>
      <c r="BV479" s="184"/>
      <c r="BW479" s="2259"/>
      <c r="BX479" s="184"/>
      <c r="BY479" s="1107"/>
      <c r="BZ479" s="2250"/>
      <c r="CA479" s="1107"/>
    </row>
    <row r="480" spans="1:79" ht="14.85" customHeight="1" x14ac:dyDescent="0.4">
      <c r="A480" s="249"/>
      <c r="B480" s="249"/>
      <c r="C480" s="584" t="s">
        <v>307</v>
      </c>
      <c r="D480" s="1948"/>
      <c r="E480" s="1949"/>
      <c r="F480" s="1950"/>
      <c r="G480" s="1948"/>
      <c r="H480" s="1949"/>
      <c r="I480" s="1951"/>
      <c r="J480" s="1948"/>
      <c r="K480" s="1950"/>
      <c r="L480" s="1951"/>
      <c r="M480" s="1948"/>
      <c r="N480" s="1962"/>
      <c r="O480" s="1948"/>
      <c r="P480" s="1948"/>
      <c r="Q480" s="1950"/>
      <c r="R480" s="1951"/>
      <c r="S480" s="1954"/>
      <c r="T480" s="1948"/>
      <c r="U480" s="1948"/>
      <c r="V480" s="1954"/>
      <c r="W480" s="1948"/>
      <c r="X480" s="1954"/>
      <c r="Y480" s="1948"/>
      <c r="Z480" s="1962"/>
      <c r="AA480" s="1948"/>
      <c r="AB480" s="1948"/>
      <c r="AC480" s="1948"/>
      <c r="AD480" s="1948"/>
      <c r="AE480" s="2252"/>
      <c r="AF480" s="2152"/>
      <c r="AG480" s="2050"/>
      <c r="AH480" s="1594"/>
      <c r="AI480" s="2128"/>
      <c r="AJ480" s="1256"/>
      <c r="AK480" s="2254"/>
      <c r="AL480" s="2239"/>
      <c r="AM480" s="1469"/>
      <c r="AN480" s="1421"/>
      <c r="AO480" s="2212"/>
      <c r="AP480" s="1273"/>
      <c r="AQ480" s="778"/>
      <c r="AR480" s="2255"/>
      <c r="AS480" s="1640"/>
      <c r="AT480" s="1674"/>
      <c r="AU480" s="1627"/>
      <c r="AV480" s="1411"/>
      <c r="AW480" s="1252"/>
      <c r="AX480" s="2177"/>
      <c r="AY480" s="1572"/>
      <c r="AZ480" s="1598"/>
      <c r="BA480" s="2214"/>
      <c r="BB480" s="1573"/>
      <c r="BC480" s="1958"/>
      <c r="BD480" s="1374"/>
      <c r="BE480" s="908"/>
      <c r="BF480" s="2659"/>
      <c r="BG480" s="1862"/>
      <c r="BH480" s="2659"/>
      <c r="BI480" s="1556"/>
      <c r="BJ480" s="1897"/>
      <c r="BK480" s="1557"/>
      <c r="BL480" s="182"/>
      <c r="BM480" s="182"/>
      <c r="BN480" s="182"/>
      <c r="BO480" s="1107"/>
      <c r="BP480" s="1107"/>
      <c r="BQ480" s="1195"/>
      <c r="BR480" s="1107"/>
      <c r="BS480" s="183"/>
      <c r="BT480" s="2846"/>
      <c r="BU480" s="183"/>
      <c r="BV480" s="184"/>
      <c r="BW480" s="2567"/>
      <c r="BX480" s="184"/>
      <c r="BY480" s="1107"/>
      <c r="BZ480" s="1195"/>
      <c r="CA480" s="1107"/>
    </row>
    <row r="481" spans="1:79" ht="26.1" customHeight="1" x14ac:dyDescent="0.4">
      <c r="A481" s="249"/>
      <c r="B481" s="249"/>
      <c r="C481" s="584">
        <v>0.85416666666666663</v>
      </c>
      <c r="D481" s="1948"/>
      <c r="E481" s="1949"/>
      <c r="F481" s="1950"/>
      <c r="G481" s="1948"/>
      <c r="H481" s="1949"/>
      <c r="I481" s="1951"/>
      <c r="J481" s="1948"/>
      <c r="K481" s="1950"/>
      <c r="L481" s="1951"/>
      <c r="M481" s="1948"/>
      <c r="N481" s="1962"/>
      <c r="O481" s="1948"/>
      <c r="P481" s="1948"/>
      <c r="Q481" s="1950"/>
      <c r="R481" s="1951"/>
      <c r="S481" s="1954"/>
      <c r="T481" s="1948"/>
      <c r="U481" s="1948"/>
      <c r="V481" s="1954"/>
      <c r="W481" s="1948"/>
      <c r="X481" s="1954"/>
      <c r="Y481" s="1948"/>
      <c r="Z481" s="1962"/>
      <c r="AA481" s="1948"/>
      <c r="AB481" s="1948"/>
      <c r="AC481" s="1948"/>
      <c r="AD481" s="1948"/>
      <c r="AE481" s="1157"/>
      <c r="AF481" s="1385" t="s">
        <v>356</v>
      </c>
      <c r="AG481" s="1157"/>
      <c r="AH481" s="1645"/>
      <c r="AI481" s="1139" t="s">
        <v>331</v>
      </c>
      <c r="AJ481" s="1618"/>
      <c r="AK481" s="2199"/>
      <c r="AL481" s="1285"/>
      <c r="AM481" s="2200"/>
      <c r="AN481" s="1722"/>
      <c r="AO481" s="2212"/>
      <c r="AP481" s="1438"/>
      <c r="AQ481" s="778"/>
      <c r="AR481" s="2217"/>
      <c r="AS481" s="1640"/>
      <c r="AT481" s="1210"/>
      <c r="AU481" s="1641"/>
      <c r="AV481" s="1537"/>
      <c r="AW481" s="1395"/>
      <c r="AX481" s="2840" t="s">
        <v>544</v>
      </c>
      <c r="AY481" s="1022"/>
      <c r="AZ481" s="1280"/>
      <c r="BA481" s="2214"/>
      <c r="BB481" s="1609"/>
      <c r="BC481" s="687"/>
      <c r="BD481" s="2664"/>
      <c r="BE481" s="908"/>
      <c r="BF481" s="2659"/>
      <c r="BG481" s="1862" t="s">
        <v>533</v>
      </c>
      <c r="BH481" s="2660"/>
      <c r="BI481" s="1556"/>
      <c r="BJ481" s="2645" t="s">
        <v>366</v>
      </c>
      <c r="BK481" s="1543"/>
      <c r="BL481" s="2007"/>
      <c r="BM481" s="182"/>
      <c r="BN481" s="182"/>
      <c r="BO481" s="2134"/>
      <c r="BP481" s="1577"/>
      <c r="BQ481" s="1107"/>
      <c r="BR481" s="1107"/>
      <c r="BS481" s="2008"/>
      <c r="BT481" s="2567" t="s">
        <v>545</v>
      </c>
      <c r="BU481" s="183"/>
      <c r="BV481" s="2009"/>
      <c r="BW481" s="184"/>
      <c r="BX481" s="184"/>
      <c r="BY481" s="1577"/>
      <c r="BZ481" s="1107"/>
      <c r="CA481" s="1107"/>
    </row>
    <row r="482" spans="1:79" ht="17.850000000000001" customHeight="1" x14ac:dyDescent="0.4">
      <c r="A482" s="249"/>
      <c r="B482" s="249"/>
      <c r="C482" s="584" t="s">
        <v>307</v>
      </c>
      <c r="D482" s="1948"/>
      <c r="E482" s="1949"/>
      <c r="F482" s="1950"/>
      <c r="G482" s="1948"/>
      <c r="H482" s="1949"/>
      <c r="I482" s="1951"/>
      <c r="J482" s="1948"/>
      <c r="K482" s="1950"/>
      <c r="L482" s="1951"/>
      <c r="M482" s="1948"/>
      <c r="N482" s="1962"/>
      <c r="O482" s="1948"/>
      <c r="P482" s="1948"/>
      <c r="Q482" s="1950"/>
      <c r="R482" s="1951"/>
      <c r="S482" s="1954"/>
      <c r="T482" s="1948"/>
      <c r="U482" s="1948"/>
      <c r="V482" s="1954"/>
      <c r="W482" s="1948"/>
      <c r="X482" s="1954"/>
      <c r="Y482" s="1948"/>
      <c r="Z482" s="1962"/>
      <c r="AA482" s="1948"/>
      <c r="AB482" s="1948"/>
      <c r="AC482" s="1948"/>
      <c r="AD482" s="1948"/>
      <c r="AE482" s="2257"/>
      <c r="AF482" s="2258" t="s">
        <v>546</v>
      </c>
      <c r="AG482" s="2257"/>
      <c r="AH482" s="1159"/>
      <c r="AI482" s="1139" t="s">
        <v>334</v>
      </c>
      <c r="AJ482" s="1159"/>
      <c r="AK482" s="1285"/>
      <c r="AL482" s="1420"/>
      <c r="AM482" s="1531"/>
      <c r="AN482" s="1273"/>
      <c r="AO482" s="2212"/>
      <c r="AP482" s="1438"/>
      <c r="AQ482" s="778"/>
      <c r="AR482" s="2217"/>
      <c r="AS482" s="1640"/>
      <c r="AT482" s="1210"/>
      <c r="AU482" s="1627"/>
      <c r="AV482" s="1537"/>
      <c r="AW482" s="1395"/>
      <c r="AX482" s="2840"/>
      <c r="AY482" s="1022"/>
      <c r="AZ482" s="1280"/>
      <c r="BA482" s="2214"/>
      <c r="BB482" s="1609"/>
      <c r="BC482" s="687"/>
      <c r="BD482" s="1374"/>
      <c r="BE482" s="908"/>
      <c r="BF482" s="2659"/>
      <c r="BG482" s="1862" t="s">
        <v>384</v>
      </c>
      <c r="BH482" s="2660"/>
      <c r="BI482" s="2176"/>
      <c r="BJ482" s="2643" t="s">
        <v>334</v>
      </c>
      <c r="BK482" s="1587"/>
      <c r="BL482" s="182"/>
      <c r="BM482" s="182"/>
      <c r="BN482" s="182"/>
      <c r="BO482" s="1107"/>
      <c r="BP482" s="1107"/>
      <c r="BQ482" s="1107"/>
      <c r="BR482" s="1107"/>
      <c r="BS482" s="183"/>
      <c r="BT482" s="2259"/>
      <c r="BU482" s="183"/>
      <c r="BV482" s="184"/>
      <c r="BW482" s="2122"/>
      <c r="BX482" s="184"/>
      <c r="BY482" s="1107"/>
      <c r="BZ482" s="1107"/>
      <c r="CA482" s="1107"/>
    </row>
    <row r="483" spans="1:79" ht="17.850000000000001" customHeight="1" x14ac:dyDescent="0.4">
      <c r="A483" s="249"/>
      <c r="B483" s="249"/>
      <c r="C483" s="584"/>
      <c r="D483" s="1948"/>
      <c r="E483" s="1949"/>
      <c r="F483" s="1950"/>
      <c r="G483" s="1948"/>
      <c r="H483" s="1949"/>
      <c r="I483" s="1951"/>
      <c r="J483" s="1948"/>
      <c r="K483" s="1950"/>
      <c r="L483" s="1951"/>
      <c r="M483" s="1948"/>
      <c r="N483" s="1962"/>
      <c r="O483" s="1948"/>
      <c r="P483" s="1948"/>
      <c r="Q483" s="1950"/>
      <c r="R483" s="1951"/>
      <c r="S483" s="1954"/>
      <c r="T483" s="1948"/>
      <c r="U483" s="1948"/>
      <c r="V483" s="1954"/>
      <c r="W483" s="1948"/>
      <c r="X483" s="1954"/>
      <c r="Y483" s="1948"/>
      <c r="Z483" s="1962"/>
      <c r="AA483" s="1948"/>
      <c r="AB483" s="1948"/>
      <c r="AC483" s="1948"/>
      <c r="AD483" s="1948"/>
      <c r="AE483" s="1169"/>
      <c r="AF483" s="1169" t="s">
        <v>547</v>
      </c>
      <c r="AG483" s="1169"/>
      <c r="AH483" s="2260"/>
      <c r="AI483" s="1139"/>
      <c r="AJ483" s="1159"/>
      <c r="AK483" s="1285"/>
      <c r="AL483" s="1449"/>
      <c r="AM483" s="1531"/>
      <c r="AN483" s="1273"/>
      <c r="AO483" s="2212"/>
      <c r="AP483" s="1438"/>
      <c r="AQ483" s="778"/>
      <c r="AR483" s="2217"/>
      <c r="AS483" s="1640"/>
      <c r="AT483" s="1210"/>
      <c r="AU483" s="1627"/>
      <c r="AV483" s="1537"/>
      <c r="AW483" s="1395"/>
      <c r="AX483" s="2840"/>
      <c r="AY483" s="1022"/>
      <c r="AZ483" s="1280"/>
      <c r="BA483" s="2214"/>
      <c r="BB483" s="1609"/>
      <c r="BC483" s="664"/>
      <c r="BD483" s="1374"/>
      <c r="BE483" s="908"/>
      <c r="BF483" s="1787"/>
      <c r="BG483" s="2661"/>
      <c r="BH483" s="2660"/>
      <c r="BI483" s="1556"/>
      <c r="BJ483" s="1169" t="s">
        <v>330</v>
      </c>
      <c r="BK483" s="1587"/>
      <c r="BL483" s="182"/>
      <c r="BM483" s="182"/>
      <c r="BN483" s="182"/>
      <c r="BO483" s="1107"/>
      <c r="BP483" s="1107"/>
      <c r="BQ483" s="1195"/>
      <c r="BR483" s="1107"/>
      <c r="BS483" s="183"/>
      <c r="BT483" s="2259"/>
      <c r="BU483" s="183"/>
      <c r="BV483" s="184"/>
      <c r="BW483" s="2122"/>
      <c r="BX483" s="184"/>
      <c r="BY483" s="1107"/>
      <c r="BZ483" s="1195"/>
      <c r="CA483" s="1107"/>
    </row>
    <row r="484" spans="1:79" ht="18.600000000000001" customHeight="1" x14ac:dyDescent="0.4">
      <c r="A484" s="249"/>
      <c r="B484" s="249"/>
      <c r="C484" s="584" t="s">
        <v>307</v>
      </c>
      <c r="D484" s="1948"/>
      <c r="E484" s="1949"/>
      <c r="F484" s="1950"/>
      <c r="G484" s="1948"/>
      <c r="H484" s="1949"/>
      <c r="I484" s="1951"/>
      <c r="J484" s="1948"/>
      <c r="K484" s="1950"/>
      <c r="L484" s="1951"/>
      <c r="M484" s="1948"/>
      <c r="N484" s="1962"/>
      <c r="O484" s="1948"/>
      <c r="P484" s="1948"/>
      <c r="Q484" s="1950"/>
      <c r="R484" s="1951"/>
      <c r="S484" s="1954"/>
      <c r="T484" s="1948"/>
      <c r="U484" s="1948"/>
      <c r="V484" s="1954"/>
      <c r="W484" s="1948"/>
      <c r="X484" s="1954"/>
      <c r="Y484" s="1948"/>
      <c r="Z484" s="1962"/>
      <c r="AA484" s="1948"/>
      <c r="AB484" s="1948"/>
      <c r="AC484" s="1948"/>
      <c r="AD484" s="1948"/>
      <c r="AE484" s="1169"/>
      <c r="AF484" s="1169" t="s">
        <v>548</v>
      </c>
      <c r="AG484" s="1169"/>
      <c r="AH484" s="1594"/>
      <c r="AI484" s="2128"/>
      <c r="AJ484" s="1256"/>
      <c r="AK484" s="1285"/>
      <c r="AL484" s="1449"/>
      <c r="AM484" s="1531"/>
      <c r="AN484" s="1273"/>
      <c r="AO484" s="2212"/>
      <c r="AP484" s="1438"/>
      <c r="AQ484" s="778"/>
      <c r="AR484" s="2261"/>
      <c r="AS484" s="1640"/>
      <c r="AT484" s="1210"/>
      <c r="AU484" s="1627"/>
      <c r="AV484" s="1537"/>
      <c r="AW484" s="684"/>
      <c r="AX484" s="2840"/>
      <c r="AY484" s="684"/>
      <c r="AZ484" s="1280"/>
      <c r="BA484" s="2214"/>
      <c r="BB484" s="1609"/>
      <c r="BC484" s="664"/>
      <c r="BD484" s="1374"/>
      <c r="BE484" s="687"/>
      <c r="BF484" s="1787"/>
      <c r="BG484" s="2661"/>
      <c r="BH484" s="2660"/>
      <c r="BI484" s="1556"/>
      <c r="BJ484" s="1169" t="s">
        <v>371</v>
      </c>
      <c r="BK484" s="1587"/>
      <c r="BL484" s="1754"/>
      <c r="BM484" s="1733"/>
      <c r="BN484" s="182"/>
      <c r="BO484" s="1107"/>
      <c r="BP484" s="1108"/>
      <c r="BQ484" s="1579"/>
      <c r="BR484" s="1107"/>
      <c r="BS484" s="1756"/>
      <c r="BT484" s="2259"/>
      <c r="BU484" s="183"/>
      <c r="BV484" s="1758"/>
      <c r="BW484" s="2122"/>
      <c r="BX484" s="184"/>
      <c r="BY484" s="1108"/>
      <c r="BZ484" s="1579"/>
      <c r="CA484" s="1107"/>
    </row>
    <row r="485" spans="1:79" ht="23.1" customHeight="1" x14ac:dyDescent="0.4">
      <c r="A485" s="249"/>
      <c r="B485" s="249"/>
      <c r="C485" s="584" t="s">
        <v>404</v>
      </c>
      <c r="D485" s="1948"/>
      <c r="E485" s="1949"/>
      <c r="F485" s="1950"/>
      <c r="G485" s="1948"/>
      <c r="H485" s="1949"/>
      <c r="I485" s="1951"/>
      <c r="J485" s="1948"/>
      <c r="K485" s="1950"/>
      <c r="L485" s="1951"/>
      <c r="M485" s="1948"/>
      <c r="N485" s="1962"/>
      <c r="O485" s="1948"/>
      <c r="P485" s="1948"/>
      <c r="Q485" s="1950"/>
      <c r="R485" s="1951"/>
      <c r="S485" s="1954"/>
      <c r="T485" s="1948"/>
      <c r="U485" s="1948"/>
      <c r="V485" s="1954"/>
      <c r="W485" s="1948"/>
      <c r="X485" s="1954"/>
      <c r="Y485" s="1948"/>
      <c r="Z485" s="1962"/>
      <c r="AA485" s="1948"/>
      <c r="AB485" s="1948"/>
      <c r="AC485" s="1948"/>
      <c r="AD485" s="1948"/>
      <c r="AE485" s="1036"/>
      <c r="AF485" s="2263" t="s">
        <v>549</v>
      </c>
      <c r="AG485" s="2050"/>
      <c r="AH485" s="1594"/>
      <c r="AI485" s="2246"/>
      <c r="AJ485" s="1256"/>
      <c r="AK485" s="1285"/>
      <c r="AL485" s="2239"/>
      <c r="AM485" s="1531"/>
      <c r="AN485" s="1273"/>
      <c r="AO485" s="2212"/>
      <c r="AP485" s="1438"/>
      <c r="AQ485" s="778"/>
      <c r="AR485" s="2217"/>
      <c r="AS485" s="1640"/>
      <c r="AT485" s="1210"/>
      <c r="AU485" s="2248"/>
      <c r="AV485" s="1537"/>
      <c r="AW485" s="1772"/>
      <c r="AX485" s="2840"/>
      <c r="AY485" s="684"/>
      <c r="AZ485" s="1280"/>
      <c r="BA485" s="2214"/>
      <c r="BB485" s="1609"/>
      <c r="BC485" s="664"/>
      <c r="BD485" s="2167"/>
      <c r="BE485" s="908"/>
      <c r="BF485" s="1787"/>
      <c r="BG485" s="2661"/>
      <c r="BH485" s="2660"/>
      <c r="BI485" s="1556"/>
      <c r="BJ485" s="1897"/>
      <c r="BK485" s="1587"/>
      <c r="BL485" s="182"/>
      <c r="BM485" s="182"/>
      <c r="BN485" s="1783"/>
      <c r="BO485" s="1107"/>
      <c r="BP485" s="1107"/>
      <c r="BQ485" s="1195"/>
      <c r="BR485" s="1614"/>
      <c r="BS485" s="183"/>
      <c r="BT485" s="2259"/>
      <c r="BU485" s="1784"/>
      <c r="BV485" s="184"/>
      <c r="BW485" s="2122"/>
      <c r="BX485" s="1785"/>
      <c r="BY485" s="1107"/>
      <c r="BZ485" s="1195"/>
      <c r="CA485" s="1614"/>
    </row>
    <row r="486" spans="1:79" ht="23.1" customHeight="1" x14ac:dyDescent="0.4">
      <c r="A486" s="249"/>
      <c r="B486" s="249"/>
      <c r="C486" s="584" t="s">
        <v>307</v>
      </c>
      <c r="D486" s="1948"/>
      <c r="E486" s="1949"/>
      <c r="F486" s="1950"/>
      <c r="G486" s="1948"/>
      <c r="H486" s="1949"/>
      <c r="I486" s="1951"/>
      <c r="J486" s="1948"/>
      <c r="K486" s="1950"/>
      <c r="L486" s="1951"/>
      <c r="M486" s="1948"/>
      <c r="N486" s="1962"/>
      <c r="O486" s="1948"/>
      <c r="P486" s="1948"/>
      <c r="Q486" s="1950"/>
      <c r="R486" s="1951"/>
      <c r="S486" s="1954"/>
      <c r="T486" s="1948"/>
      <c r="U486" s="1948"/>
      <c r="V486" s="1954"/>
      <c r="W486" s="1948"/>
      <c r="X486" s="1954"/>
      <c r="Y486" s="1948"/>
      <c r="Z486" s="1962"/>
      <c r="AA486" s="1948"/>
      <c r="AB486" s="1948"/>
      <c r="AC486" s="1948"/>
      <c r="AD486" s="1948"/>
      <c r="AE486" s="2252"/>
      <c r="AF486" s="1158"/>
      <c r="AG486" s="2050"/>
      <c r="AH486" s="1594"/>
      <c r="AI486" s="2246"/>
      <c r="AJ486" s="1256"/>
      <c r="AK486" s="1285"/>
      <c r="AL486" s="2239"/>
      <c r="AM486" s="1531"/>
      <c r="AN486" s="1273"/>
      <c r="AO486" s="2212"/>
      <c r="AP486" s="1438"/>
      <c r="AQ486" s="778"/>
      <c r="AR486" s="2247"/>
      <c r="AS486" s="1640"/>
      <c r="AT486" s="1210"/>
      <c r="AU486" s="1627"/>
      <c r="AV486" s="1537"/>
      <c r="AW486" s="1772"/>
      <c r="AX486" s="2840"/>
      <c r="AY486" s="684"/>
      <c r="AZ486" s="1280"/>
      <c r="BA486" s="2214"/>
      <c r="BB486" s="1609"/>
      <c r="BC486" s="664"/>
      <c r="BD486" s="1374"/>
      <c r="BE486" s="908"/>
      <c r="BF486" s="1787"/>
      <c r="BG486" s="2661"/>
      <c r="BH486" s="2660"/>
      <c r="BI486" s="1556"/>
      <c r="BJ486" s="1897"/>
      <c r="BK486" s="1587"/>
      <c r="BL486" s="182"/>
      <c r="BM486" s="182"/>
      <c r="BN486" s="1783"/>
      <c r="BO486" s="1107"/>
      <c r="BP486" s="1107"/>
      <c r="BQ486" s="1195"/>
      <c r="BR486" s="1614"/>
      <c r="BS486" s="183"/>
      <c r="BT486" s="2259"/>
      <c r="BU486" s="1784"/>
      <c r="BV486" s="184"/>
      <c r="BW486" s="2122"/>
      <c r="BX486" s="1785"/>
      <c r="BY486" s="1107"/>
      <c r="BZ486" s="1195"/>
      <c r="CA486" s="1614"/>
    </row>
    <row r="487" spans="1:79" ht="15" customHeight="1" x14ac:dyDescent="0.4">
      <c r="A487" s="249"/>
      <c r="B487" s="249"/>
      <c r="C487" s="584" t="s">
        <v>307</v>
      </c>
      <c r="D487" s="1948"/>
      <c r="E487" s="1949"/>
      <c r="F487" s="1950"/>
      <c r="G487" s="1948"/>
      <c r="H487" s="1949"/>
      <c r="I487" s="1951"/>
      <c r="J487" s="1948"/>
      <c r="K487" s="1950"/>
      <c r="L487" s="1951"/>
      <c r="M487" s="1948"/>
      <c r="N487" s="1962"/>
      <c r="O487" s="1948"/>
      <c r="P487" s="1948"/>
      <c r="Q487" s="1950"/>
      <c r="R487" s="1951"/>
      <c r="S487" s="1954"/>
      <c r="T487" s="1948"/>
      <c r="U487" s="1948"/>
      <c r="V487" s="1954"/>
      <c r="W487" s="1948"/>
      <c r="X487" s="1954"/>
      <c r="Y487" s="1948"/>
      <c r="Z487" s="1962"/>
      <c r="AA487" s="1948"/>
      <c r="AB487" s="1948"/>
      <c r="AC487" s="1948"/>
      <c r="AD487" s="1948"/>
      <c r="AE487" s="1157"/>
      <c r="AF487" s="1429"/>
      <c r="AG487" s="1157"/>
      <c r="AH487" s="1160"/>
      <c r="AI487" s="2246"/>
      <c r="AJ487" s="1160"/>
      <c r="AK487" s="1285"/>
      <c r="AL487" s="2131"/>
      <c r="AM487" s="1285"/>
      <c r="AN487" s="1273"/>
      <c r="AO487" s="2212"/>
      <c r="AP487" s="1273"/>
      <c r="AQ487" s="778"/>
      <c r="AR487" s="2247"/>
      <c r="AS487" s="1640"/>
      <c r="AT487" s="2233"/>
      <c r="AU487" s="1627"/>
      <c r="AV487" s="1210"/>
      <c r="AW487" s="684"/>
      <c r="AX487" s="2840"/>
      <c r="AY487" s="684"/>
      <c r="AZ487" s="1553"/>
      <c r="BA487" s="2214"/>
      <c r="BB487" s="1280"/>
      <c r="BC487" s="687"/>
      <c r="BD487" s="967"/>
      <c r="BE487" s="687"/>
      <c r="BF487" s="1862"/>
      <c r="BG487" s="2661"/>
      <c r="BH487" s="2660"/>
      <c r="BI487" s="1542"/>
      <c r="BJ487" s="1897"/>
      <c r="BK487" s="1543"/>
      <c r="BL487" s="182"/>
      <c r="BM487" s="182"/>
      <c r="BN487" s="1783"/>
      <c r="BO487" s="1107"/>
      <c r="BP487" s="1107"/>
      <c r="BQ487" s="1195"/>
      <c r="BR487" s="1614"/>
      <c r="BS487" s="183"/>
      <c r="BT487" s="2259"/>
      <c r="BU487" s="1784"/>
      <c r="BV487" s="184"/>
      <c r="BW487" s="2122"/>
      <c r="BX487" s="1785"/>
      <c r="BY487" s="1107"/>
      <c r="BZ487" s="1195"/>
      <c r="CA487" s="1614"/>
    </row>
    <row r="488" spans="1:79" ht="15" customHeight="1" x14ac:dyDescent="0.4">
      <c r="A488" s="249"/>
      <c r="B488" s="249"/>
      <c r="C488" s="584">
        <v>0.85763888888888895</v>
      </c>
      <c r="D488" s="1948"/>
      <c r="E488" s="1949"/>
      <c r="F488" s="1950"/>
      <c r="G488" s="1948"/>
      <c r="H488" s="1949"/>
      <c r="I488" s="1951"/>
      <c r="J488" s="1948"/>
      <c r="K488" s="1950"/>
      <c r="L488" s="1951"/>
      <c r="M488" s="1948"/>
      <c r="N488" s="1962"/>
      <c r="O488" s="1948"/>
      <c r="P488" s="1948"/>
      <c r="Q488" s="1950"/>
      <c r="R488" s="1951"/>
      <c r="S488" s="1954"/>
      <c r="T488" s="1948"/>
      <c r="U488" s="1948"/>
      <c r="V488" s="1954"/>
      <c r="W488" s="1948"/>
      <c r="X488" s="1954"/>
      <c r="Y488" s="1948"/>
      <c r="Z488" s="1962"/>
      <c r="AA488" s="1948"/>
      <c r="AB488" s="1962"/>
      <c r="AC488" s="1962"/>
      <c r="AD488" s="1962"/>
      <c r="AE488" s="1036"/>
      <c r="AF488" s="2263"/>
      <c r="AG488" s="1157"/>
      <c r="AH488" s="1160"/>
      <c r="AI488" s="2128"/>
      <c r="AJ488" s="1160"/>
      <c r="AK488" s="1765"/>
      <c r="AL488" s="2264"/>
      <c r="AM488" s="1285"/>
      <c r="AN488" s="1273"/>
      <c r="AO488" s="2212"/>
      <c r="AP488" s="1273"/>
      <c r="AQ488" s="778"/>
      <c r="AR488" s="2247"/>
      <c r="AS488" s="1640"/>
      <c r="AT488" s="2233"/>
      <c r="AU488" s="1627"/>
      <c r="AV488" s="1210"/>
      <c r="AW488" s="684"/>
      <c r="AX488" s="2840"/>
      <c r="AY488" s="684"/>
      <c r="AZ488" s="1553"/>
      <c r="BA488" s="2214"/>
      <c r="BB488" s="1280"/>
      <c r="BC488" s="687"/>
      <c r="BD488" s="967"/>
      <c r="BE488" s="687"/>
      <c r="BF488" s="2652"/>
      <c r="BG488" s="2661"/>
      <c r="BH488" s="1852"/>
      <c r="BI488" s="1542"/>
      <c r="BJ488" s="1897"/>
      <c r="BK488" s="1543"/>
      <c r="BL488" s="2119"/>
      <c r="BM488" s="182"/>
      <c r="BN488" s="1783"/>
      <c r="BO488" s="1107"/>
      <c r="BP488" s="1580"/>
      <c r="BQ488" s="1195"/>
      <c r="BR488" s="1614"/>
      <c r="BS488" s="1893"/>
      <c r="BT488" s="2259"/>
      <c r="BU488" s="1784"/>
      <c r="BV488" s="2120"/>
      <c r="BW488" s="2122"/>
      <c r="BX488" s="1785"/>
      <c r="BY488" s="1580"/>
      <c r="BZ488" s="1195"/>
      <c r="CA488" s="1614"/>
    </row>
    <row r="489" spans="1:79" ht="13.5" customHeight="1" x14ac:dyDescent="0.4">
      <c r="A489" s="249"/>
      <c r="B489" s="249"/>
      <c r="C489" s="584" t="s">
        <v>307</v>
      </c>
      <c r="D489" s="1948"/>
      <c r="E489" s="1949"/>
      <c r="F489" s="1950"/>
      <c r="G489" s="1948"/>
      <c r="H489" s="1949"/>
      <c r="I489" s="1951"/>
      <c r="J489" s="1948"/>
      <c r="K489" s="1950"/>
      <c r="L489" s="1951"/>
      <c r="M489" s="1948"/>
      <c r="N489" s="1962"/>
      <c r="O489" s="1948"/>
      <c r="P489" s="1948"/>
      <c r="Q489" s="1950"/>
      <c r="R489" s="1951"/>
      <c r="S489" s="1954"/>
      <c r="T489" s="1948"/>
      <c r="U489" s="1948"/>
      <c r="V489" s="1954"/>
      <c r="W489" s="1948"/>
      <c r="X489" s="1954"/>
      <c r="Y489" s="1948"/>
      <c r="Z489" s="1962"/>
      <c r="AA489" s="1948"/>
      <c r="AB489" s="1962"/>
      <c r="AC489" s="1962"/>
      <c r="AD489" s="1962"/>
      <c r="AE489" s="1036"/>
      <c r="AF489" s="2263"/>
      <c r="AG489" s="1157"/>
      <c r="AH489" s="1160"/>
      <c r="AI489" s="2246"/>
      <c r="AJ489" s="1160"/>
      <c r="AK489" s="1765"/>
      <c r="AL489" s="2265"/>
      <c r="AM489" s="1285"/>
      <c r="AN489" s="1273"/>
      <c r="AO489" s="2212"/>
      <c r="AP489" s="1273"/>
      <c r="AQ489" s="778"/>
      <c r="AR489" s="2247"/>
      <c r="AS489" s="1640"/>
      <c r="AT489" s="2233"/>
      <c r="AU489" s="1627"/>
      <c r="AV489" s="1210"/>
      <c r="AW489" s="684"/>
      <c r="AX489" s="2840"/>
      <c r="AY489" s="684"/>
      <c r="AZ489" s="1553"/>
      <c r="BA489" s="2214"/>
      <c r="BB489" s="1280"/>
      <c r="BC489" s="687"/>
      <c r="BD489" s="967"/>
      <c r="BE489" s="687"/>
      <c r="BF489" s="2652"/>
      <c r="BG489" s="2661"/>
      <c r="BH489" s="1852"/>
      <c r="BI489" s="1542"/>
      <c r="BJ489" s="1897"/>
      <c r="BK489" s="1543"/>
      <c r="BL489" s="2119"/>
      <c r="BM489" s="182"/>
      <c r="BN489" s="1783"/>
      <c r="BO489" s="1107"/>
      <c r="BP489" s="1580"/>
      <c r="BQ489" s="2244"/>
      <c r="BR489" s="1614"/>
      <c r="BS489" s="1893"/>
      <c r="BT489" s="2259"/>
      <c r="BU489" s="1784"/>
      <c r="BV489" s="2120"/>
      <c r="BW489" s="2122"/>
      <c r="BX489" s="1785"/>
      <c r="BY489" s="1580"/>
      <c r="BZ489" s="2244"/>
      <c r="CA489" s="1614"/>
    </row>
    <row r="490" spans="1:79" ht="15" customHeight="1" x14ac:dyDescent="0.4">
      <c r="A490" s="249"/>
      <c r="B490" s="249"/>
      <c r="C490" s="584" t="s">
        <v>307</v>
      </c>
      <c r="D490" s="1948"/>
      <c r="E490" s="1949"/>
      <c r="F490" s="1950"/>
      <c r="G490" s="1948"/>
      <c r="H490" s="1949"/>
      <c r="I490" s="1951"/>
      <c r="J490" s="1948"/>
      <c r="K490" s="1950"/>
      <c r="L490" s="1951"/>
      <c r="M490" s="1948"/>
      <c r="N490" s="1962"/>
      <c r="O490" s="1948"/>
      <c r="P490" s="1948"/>
      <c r="Q490" s="1950"/>
      <c r="R490" s="1951"/>
      <c r="S490" s="1954"/>
      <c r="T490" s="1948"/>
      <c r="U490" s="1948"/>
      <c r="V490" s="1954"/>
      <c r="W490" s="1948"/>
      <c r="X490" s="1954"/>
      <c r="Y490" s="1948"/>
      <c r="Z490" s="1962"/>
      <c r="AA490" s="1948"/>
      <c r="AB490" s="1962"/>
      <c r="AC490" s="1962"/>
      <c r="AD490" s="1962"/>
      <c r="AE490" s="1036"/>
      <c r="AF490" s="2263"/>
      <c r="AG490" s="2050"/>
      <c r="AH490" s="1160"/>
      <c r="AI490" s="2246"/>
      <c r="AJ490" s="1160"/>
      <c r="AK490" s="1765"/>
      <c r="AL490" s="2265"/>
      <c r="AM490" s="1285"/>
      <c r="AN490" s="1273"/>
      <c r="AO490" s="2212"/>
      <c r="AP490" s="1273"/>
      <c r="AQ490" s="778"/>
      <c r="AR490" s="2247"/>
      <c r="AS490" s="1640"/>
      <c r="AT490" s="2233"/>
      <c r="AU490" s="1627"/>
      <c r="AV490" s="1210"/>
      <c r="AW490" s="684"/>
      <c r="AX490" s="2840"/>
      <c r="AY490" s="684"/>
      <c r="AZ490" s="1553"/>
      <c r="BA490" s="2214"/>
      <c r="BB490" s="1280"/>
      <c r="BC490" s="687"/>
      <c r="BD490" s="967"/>
      <c r="BE490" s="687"/>
      <c r="BF490" s="2662"/>
      <c r="BG490" s="2661"/>
      <c r="BH490" s="1401"/>
      <c r="BI490" s="1542"/>
      <c r="BJ490" s="1897"/>
      <c r="BK490" s="1543"/>
      <c r="BL490" s="2119"/>
      <c r="BM490" s="182"/>
      <c r="BN490" s="1783"/>
      <c r="BO490" s="1107"/>
      <c r="BP490" s="1580"/>
      <c r="BQ490" s="2244"/>
      <c r="BR490" s="1614"/>
      <c r="BS490" s="1893"/>
      <c r="BT490" s="2259"/>
      <c r="BU490" s="1784"/>
      <c r="BV490" s="2120"/>
      <c r="BW490" s="2122"/>
      <c r="BX490" s="1785"/>
      <c r="BY490" s="1580"/>
      <c r="BZ490" s="2244"/>
      <c r="CA490" s="1614"/>
    </row>
    <row r="491" spans="1:79" ht="21.6" customHeight="1" x14ac:dyDescent="0.4">
      <c r="A491" s="249"/>
      <c r="B491" s="249"/>
      <c r="C491" s="584">
        <v>0.86111111111111105</v>
      </c>
      <c r="D491" s="1948"/>
      <c r="E491" s="1949"/>
      <c r="F491" s="1950"/>
      <c r="G491" s="1948"/>
      <c r="H491" s="1949"/>
      <c r="I491" s="1951"/>
      <c r="J491" s="1948"/>
      <c r="K491" s="1950"/>
      <c r="L491" s="1951"/>
      <c r="M491" s="1948"/>
      <c r="N491" s="1962"/>
      <c r="O491" s="1948"/>
      <c r="P491" s="1948"/>
      <c r="Q491" s="1950"/>
      <c r="R491" s="1951"/>
      <c r="S491" s="1954"/>
      <c r="T491" s="1948"/>
      <c r="U491" s="1948"/>
      <c r="V491" s="1954"/>
      <c r="W491" s="1948"/>
      <c r="X491" s="1954"/>
      <c r="Y491" s="1948"/>
      <c r="Z491" s="1962"/>
      <c r="AA491" s="1948"/>
      <c r="AB491" s="1948"/>
      <c r="AC491" s="1948"/>
      <c r="AD491" s="1948"/>
      <c r="AE491" s="1157"/>
      <c r="AF491" s="2266"/>
      <c r="AG491" s="1385"/>
      <c r="AH491" s="1160"/>
      <c r="AI491" s="2246"/>
      <c r="AJ491" s="1160"/>
      <c r="AK491" s="1765"/>
      <c r="AL491" s="2265"/>
      <c r="AM491" s="1531"/>
      <c r="AN491" s="1273"/>
      <c r="AO491" s="2212"/>
      <c r="AP491" s="1273"/>
      <c r="AQ491" s="778"/>
      <c r="AR491" s="2247"/>
      <c r="AS491" s="1640"/>
      <c r="AT491" s="1210"/>
      <c r="AU491" s="1627"/>
      <c r="AV491" s="1210"/>
      <c r="AW491" s="684"/>
      <c r="AX491" s="2840"/>
      <c r="AY491" s="684"/>
      <c r="AZ491" s="1280"/>
      <c r="BA491" s="2214"/>
      <c r="BB491" s="1280"/>
      <c r="BC491" s="687"/>
      <c r="BD491" s="967"/>
      <c r="BE491" s="687"/>
      <c r="BF491" s="2662"/>
      <c r="BG491" s="2661"/>
      <c r="BH491" s="1401"/>
      <c r="BI491" s="1556"/>
      <c r="BJ491" s="2645"/>
      <c r="BK491" s="1543"/>
      <c r="BL491" s="2119"/>
      <c r="BM491" s="182"/>
      <c r="BN491" s="1783"/>
      <c r="BO491" s="1107"/>
      <c r="BP491" s="1580"/>
      <c r="BQ491" s="1579"/>
      <c r="BR491" s="1614"/>
      <c r="BS491" s="1893"/>
      <c r="BT491" s="2259"/>
      <c r="BU491" s="1784"/>
      <c r="BV491" s="2120"/>
      <c r="BW491" s="2122"/>
      <c r="BX491" s="1785"/>
      <c r="BY491" s="1580"/>
      <c r="BZ491" s="1579"/>
      <c r="CA491" s="1614"/>
    </row>
    <row r="492" spans="1:79" ht="22.5" customHeight="1" x14ac:dyDescent="0.4">
      <c r="A492" s="249"/>
      <c r="B492" s="249"/>
      <c r="C492" s="584">
        <v>0.86458333333333304</v>
      </c>
      <c r="D492" s="1948"/>
      <c r="E492" s="1949"/>
      <c r="F492" s="1950"/>
      <c r="G492" s="1948"/>
      <c r="H492" s="1949"/>
      <c r="I492" s="1951"/>
      <c r="J492" s="1948"/>
      <c r="K492" s="1950"/>
      <c r="L492" s="1951"/>
      <c r="M492" s="1948"/>
      <c r="N492" s="1962"/>
      <c r="O492" s="1948"/>
      <c r="P492" s="1948"/>
      <c r="Q492" s="1950"/>
      <c r="R492" s="1951"/>
      <c r="S492" s="1954"/>
      <c r="T492" s="1948"/>
      <c r="U492" s="1948"/>
      <c r="V492" s="1954"/>
      <c r="W492" s="1948"/>
      <c r="X492" s="1954"/>
      <c r="Y492" s="1948"/>
      <c r="Z492" s="1962"/>
      <c r="AA492" s="1948"/>
      <c r="AB492" s="1948"/>
      <c r="AC492" s="1948"/>
      <c r="AD492" s="1948"/>
      <c r="AE492" s="1157"/>
      <c r="AF492" s="1385" t="s">
        <v>356</v>
      </c>
      <c r="AG492" s="1157"/>
      <c r="AH492" s="1160"/>
      <c r="AI492" s="1160" t="s">
        <v>330</v>
      </c>
      <c r="AJ492" s="1160"/>
      <c r="AK492" s="2806"/>
      <c r="AL492" s="2665"/>
      <c r="AM492" s="1531"/>
      <c r="AN492" s="1273"/>
      <c r="AO492" s="2212"/>
      <c r="AP492" s="1273"/>
      <c r="AQ492" s="778"/>
      <c r="AR492" s="2247"/>
      <c r="AS492" s="1640"/>
      <c r="AT492" s="2268"/>
      <c r="AU492" s="2269"/>
      <c r="AV492" s="1537"/>
      <c r="AW492" s="1607"/>
      <c r="AX492" s="2840"/>
      <c r="AY492" s="1022"/>
      <c r="AZ492" s="1280"/>
      <c r="BA492" s="2214"/>
      <c r="BB492" s="1280"/>
      <c r="BC492" s="687"/>
      <c r="BD492" s="2332"/>
      <c r="BE492" s="687"/>
      <c r="BF492" s="2659"/>
      <c r="BG492" s="1862" t="s">
        <v>533</v>
      </c>
      <c r="BH492" s="2659"/>
      <c r="BI492" s="2176"/>
      <c r="BJ492" s="2643" t="s">
        <v>366</v>
      </c>
      <c r="BK492" s="1543"/>
      <c r="BL492" s="2236"/>
      <c r="BM492" s="1733"/>
      <c r="BN492" s="2236"/>
      <c r="BO492" s="1107"/>
      <c r="BP492" s="1404"/>
      <c r="BQ492" s="1107"/>
      <c r="BR492" s="1779"/>
      <c r="BS492" s="2237"/>
      <c r="BT492" s="183"/>
      <c r="BU492" s="2237"/>
      <c r="BV492" s="2238"/>
      <c r="BW492" s="184"/>
      <c r="BX492" s="2238"/>
      <c r="BY492" s="1404"/>
      <c r="BZ492" s="1107"/>
      <c r="CA492" s="1779"/>
    </row>
    <row r="493" spans="1:79" ht="23.1" customHeight="1" x14ac:dyDescent="0.4">
      <c r="A493" s="249"/>
      <c r="B493" s="249"/>
      <c r="C493" s="584" t="s">
        <v>307</v>
      </c>
      <c r="D493" s="1948"/>
      <c r="E493" s="1949"/>
      <c r="F493" s="1950"/>
      <c r="G493" s="1948"/>
      <c r="H493" s="1949"/>
      <c r="I493" s="1951"/>
      <c r="J493" s="1948"/>
      <c r="K493" s="1950"/>
      <c r="L493" s="1951"/>
      <c r="M493" s="1948"/>
      <c r="N493" s="1962"/>
      <c r="O493" s="1948"/>
      <c r="P493" s="1948"/>
      <c r="Q493" s="1950"/>
      <c r="R493" s="1951"/>
      <c r="S493" s="1954"/>
      <c r="T493" s="1948"/>
      <c r="U493" s="1948"/>
      <c r="V493" s="1954"/>
      <c r="W493" s="1948"/>
      <c r="X493" s="1954"/>
      <c r="Y493" s="1948"/>
      <c r="Z493" s="1962"/>
      <c r="AA493" s="1948"/>
      <c r="AB493" s="1948"/>
      <c r="AC493" s="1948"/>
      <c r="AD493" s="1948"/>
      <c r="AE493" s="1967"/>
      <c r="AF493" s="1385"/>
      <c r="AG493" s="1624"/>
      <c r="AH493" s="1160"/>
      <c r="AI493" s="2666" t="s">
        <v>550</v>
      </c>
      <c r="AJ493" s="1160"/>
      <c r="AK493" s="1200"/>
      <c r="AL493" s="2131"/>
      <c r="AM493" s="1969"/>
      <c r="AN493" s="1273"/>
      <c r="AO493" s="2212"/>
      <c r="AP493" s="1273"/>
      <c r="AQ493" s="778"/>
      <c r="AR493" s="2247"/>
      <c r="AS493" s="1640"/>
      <c r="AT493" s="1210"/>
      <c r="AU493" s="2269"/>
      <c r="AV493" s="1210"/>
      <c r="AW493" s="1395"/>
      <c r="AX493" s="2840"/>
      <c r="AY493" s="1395"/>
      <c r="AZ493" s="1280"/>
      <c r="BA493" s="2214"/>
      <c r="BB493" s="1280"/>
      <c r="BC493" s="687"/>
      <c r="BD493" s="2332"/>
      <c r="BE493" s="687"/>
      <c r="BF493" s="2659"/>
      <c r="BG493" s="1862" t="s">
        <v>384</v>
      </c>
      <c r="BH493" s="2660"/>
      <c r="BI493" s="1556"/>
      <c r="BJ493" s="2643" t="s">
        <v>334</v>
      </c>
      <c r="BK493" s="1543"/>
      <c r="BL493" s="2119"/>
      <c r="BM493" s="182"/>
      <c r="BN493" s="1783"/>
      <c r="BO493" s="1107"/>
      <c r="BP493" s="1580"/>
      <c r="BQ493" s="1622"/>
      <c r="BR493" s="1614"/>
      <c r="BS493" s="1893"/>
      <c r="BT493" s="1736"/>
      <c r="BU493" s="1784"/>
      <c r="BV493" s="2120"/>
      <c r="BW493" s="1739"/>
      <c r="BX493" s="1785"/>
      <c r="BY493" s="1580"/>
      <c r="BZ493" s="1622"/>
      <c r="CA493" s="1614"/>
    </row>
    <row r="494" spans="1:79" ht="21.6" customHeight="1" x14ac:dyDescent="0.4">
      <c r="A494" s="249"/>
      <c r="B494" s="249"/>
      <c r="C494" s="584" t="s">
        <v>307</v>
      </c>
      <c r="D494" s="1948"/>
      <c r="E494" s="1949"/>
      <c r="F494" s="1950"/>
      <c r="G494" s="1948"/>
      <c r="H494" s="1949"/>
      <c r="I494" s="1951"/>
      <c r="J494" s="1948"/>
      <c r="K494" s="1950"/>
      <c r="L494" s="1951"/>
      <c r="M494" s="1948"/>
      <c r="N494" s="1962"/>
      <c r="O494" s="1948"/>
      <c r="P494" s="1948"/>
      <c r="Q494" s="1950"/>
      <c r="R494" s="1951"/>
      <c r="S494" s="1954"/>
      <c r="T494" s="1948"/>
      <c r="U494" s="1948"/>
      <c r="V494" s="1954"/>
      <c r="W494" s="1948"/>
      <c r="X494" s="1954"/>
      <c r="Y494" s="1948"/>
      <c r="Z494" s="1962"/>
      <c r="AA494" s="1948"/>
      <c r="AB494" s="1948"/>
      <c r="AC494" s="1948"/>
      <c r="AD494" s="1948"/>
      <c r="AE494" s="1385"/>
      <c r="AF494" s="2271"/>
      <c r="AG494" s="1385"/>
      <c r="AH494" s="1160"/>
      <c r="AI494" s="1160" t="s">
        <v>334</v>
      </c>
      <c r="AJ494" s="1160"/>
      <c r="AK494" s="2806"/>
      <c r="AL494" s="1530"/>
      <c r="AM494" s="1531"/>
      <c r="AN494" s="1273"/>
      <c r="AO494" s="2212"/>
      <c r="AP494" s="1273"/>
      <c r="AQ494" s="778"/>
      <c r="AR494" s="2272"/>
      <c r="AS494" s="1640"/>
      <c r="AT494" s="1210"/>
      <c r="AU494" s="2269"/>
      <c r="AV494" s="1210"/>
      <c r="AW494" s="1395"/>
      <c r="AX494" s="2840"/>
      <c r="AY494" s="1395"/>
      <c r="AZ494" s="1280"/>
      <c r="BA494" s="2214"/>
      <c r="BB494" s="1280"/>
      <c r="BC494" s="687"/>
      <c r="BD494" s="2332"/>
      <c r="BE494" s="687"/>
      <c r="BF494" s="2652"/>
      <c r="BG494" s="2661"/>
      <c r="BH494" s="1852"/>
      <c r="BI494" s="1430"/>
      <c r="BJ494" s="1430" t="s">
        <v>336</v>
      </c>
      <c r="BK494" s="1430"/>
      <c r="BL494" s="2119"/>
      <c r="BM494" s="182"/>
      <c r="BN494" s="1783"/>
      <c r="BO494" s="1107"/>
      <c r="BP494" s="1580"/>
      <c r="BQ494" s="2130"/>
      <c r="BR494" s="1614"/>
      <c r="BS494" s="1893"/>
      <c r="BT494" s="1893"/>
      <c r="BU494" s="1784"/>
      <c r="BV494" s="2120"/>
      <c r="BW494" s="2120"/>
      <c r="BX494" s="1785"/>
      <c r="BY494" s="1580"/>
      <c r="BZ494" s="2130"/>
      <c r="CA494" s="1614"/>
    </row>
    <row r="495" spans="1:79" ht="20.85" customHeight="1" x14ac:dyDescent="0.4">
      <c r="A495" s="249"/>
      <c r="B495" s="249"/>
      <c r="C495" s="584">
        <v>0.86805555555555503</v>
      </c>
      <c r="D495" s="1948"/>
      <c r="E495" s="1949"/>
      <c r="F495" s="1950"/>
      <c r="G495" s="1948"/>
      <c r="H495" s="1949"/>
      <c r="I495" s="1951"/>
      <c r="J495" s="1948"/>
      <c r="K495" s="1950"/>
      <c r="L495" s="1951"/>
      <c r="M495" s="1948"/>
      <c r="N495" s="1962"/>
      <c r="O495" s="1948"/>
      <c r="P495" s="1948"/>
      <c r="Q495" s="1950"/>
      <c r="R495" s="1951"/>
      <c r="S495" s="1954"/>
      <c r="T495" s="1948"/>
      <c r="U495" s="1948"/>
      <c r="V495" s="1954"/>
      <c r="W495" s="1948"/>
      <c r="X495" s="1954"/>
      <c r="Y495" s="1948"/>
      <c r="Z495" s="1962"/>
      <c r="AA495" s="1948"/>
      <c r="AB495" s="1948"/>
      <c r="AC495" s="1948"/>
      <c r="AD495" s="1948"/>
      <c r="AE495" s="1385"/>
      <c r="AF495" s="2271"/>
      <c r="AG495" s="1385"/>
      <c r="AH495" s="1160"/>
      <c r="AI495" s="2246"/>
      <c r="AJ495" s="1160"/>
      <c r="AK495" s="1200"/>
      <c r="AL495" s="2553" t="s">
        <v>470</v>
      </c>
      <c r="AM495" s="1285"/>
      <c r="AN495" s="1273"/>
      <c r="AO495" s="2212"/>
      <c r="AP495" s="1273"/>
      <c r="AQ495" s="1134"/>
      <c r="AR495" s="2272"/>
      <c r="AS495" s="778"/>
      <c r="AT495" s="1210"/>
      <c r="AU495" s="2269"/>
      <c r="AV495" s="1210"/>
      <c r="AW495" s="1395"/>
      <c r="AX495" s="2840"/>
      <c r="AY495" s="1395"/>
      <c r="AZ495" s="1280"/>
      <c r="BA495" s="2214"/>
      <c r="BB495" s="1280"/>
      <c r="BC495" s="687"/>
      <c r="BD495" s="2332"/>
      <c r="BE495" s="687"/>
      <c r="BF495" s="2652"/>
      <c r="BG495" s="2661"/>
      <c r="BH495" s="1852"/>
      <c r="BI495" s="1789"/>
      <c r="BJ495" s="2645" t="s">
        <v>371</v>
      </c>
      <c r="BK495" s="1789"/>
      <c r="BL495" s="182"/>
      <c r="BM495" s="182"/>
      <c r="BN495" s="1783"/>
      <c r="BO495" s="1107"/>
      <c r="BP495" s="1107"/>
      <c r="BQ495" s="2277"/>
      <c r="BR495" s="1614"/>
      <c r="BS495" s="183"/>
      <c r="BT495" s="2059"/>
      <c r="BU495" s="1784"/>
      <c r="BV495" s="184"/>
      <c r="BW495" s="2278"/>
      <c r="BX495" s="1785"/>
      <c r="BY495" s="1107"/>
      <c r="BZ495" s="2277"/>
      <c r="CA495" s="1614"/>
    </row>
    <row r="496" spans="1:79" ht="26.25" customHeight="1" x14ac:dyDescent="0.4">
      <c r="A496" s="249"/>
      <c r="B496" s="249"/>
      <c r="C496" s="802">
        <v>0.87152777777777701</v>
      </c>
      <c r="D496" s="2024"/>
      <c r="E496" s="2025"/>
      <c r="F496" s="2026"/>
      <c r="G496" s="2024"/>
      <c r="H496" s="2025"/>
      <c r="I496" s="2097"/>
      <c r="J496" s="2024"/>
      <c r="K496" s="2026"/>
      <c r="L496" s="2097"/>
      <c r="M496" s="2024"/>
      <c r="N496" s="2028"/>
      <c r="O496" s="2024"/>
      <c r="P496" s="2024"/>
      <c r="Q496" s="2026"/>
      <c r="R496" s="2097"/>
      <c r="S496" s="2027"/>
      <c r="T496" s="2024"/>
      <c r="U496" s="2024"/>
      <c r="V496" s="2027"/>
      <c r="W496" s="2024"/>
      <c r="X496" s="2027"/>
      <c r="Y496" s="2024"/>
      <c r="Z496" s="2028"/>
      <c r="AA496" s="2024"/>
      <c r="AB496" s="2024"/>
      <c r="AC496" s="2024"/>
      <c r="AD496" s="2024"/>
      <c r="AE496" s="1686"/>
      <c r="AF496" s="2279"/>
      <c r="AG496" s="1686"/>
      <c r="AH496" s="1160"/>
      <c r="AI496" s="2246"/>
      <c r="AJ496" s="1160"/>
      <c r="AK496" s="1920"/>
      <c r="AL496" s="2275"/>
      <c r="AM496" s="1688"/>
      <c r="AN496" s="1500"/>
      <c r="AO496" s="2280"/>
      <c r="AP496" s="2281"/>
      <c r="AQ496" s="1834"/>
      <c r="AR496" s="2282"/>
      <c r="AS496" s="1692"/>
      <c r="AT496" s="1505"/>
      <c r="AU496" s="2283"/>
      <c r="AV496" s="1394"/>
      <c r="AW496" s="1395"/>
      <c r="AX496" s="2857"/>
      <c r="AY496" s="1395"/>
      <c r="AZ496" s="2284"/>
      <c r="BA496" s="2285"/>
      <c r="BB496" s="2286"/>
      <c r="BC496" s="687"/>
      <c r="BD496" s="2287"/>
      <c r="BE496" s="687"/>
      <c r="BF496" s="2667"/>
      <c r="BG496" s="2668"/>
      <c r="BH496" s="1512"/>
      <c r="BI496" s="2669"/>
      <c r="BJ496" s="2670" t="s">
        <v>551</v>
      </c>
      <c r="BK496" s="1699"/>
      <c r="BL496" s="243"/>
      <c r="BM496" s="243"/>
      <c r="BN496" s="1943"/>
      <c r="BO496" s="1702"/>
      <c r="BP496" s="1702"/>
      <c r="BQ496" s="1703"/>
      <c r="BR496" s="1941"/>
      <c r="BS496" s="245"/>
      <c r="BT496" s="245"/>
      <c r="BU496" s="1945"/>
      <c r="BV496" s="1841"/>
      <c r="BW496" s="1841"/>
      <c r="BX496" s="1947"/>
      <c r="BY496" s="1702"/>
      <c r="BZ496" s="1703"/>
      <c r="CA496" s="1941"/>
    </row>
    <row r="497" spans="1:79" ht="34.5" customHeight="1" x14ac:dyDescent="0.4">
      <c r="A497" s="249"/>
      <c r="B497" s="249"/>
      <c r="C497" s="578">
        <v>0.875</v>
      </c>
      <c r="D497" s="1948"/>
      <c r="E497" s="1949"/>
      <c r="F497" s="1950"/>
      <c r="G497" s="1948"/>
      <c r="H497" s="1949"/>
      <c r="I497" s="1951"/>
      <c r="J497" s="1948"/>
      <c r="K497" s="1950"/>
      <c r="L497" s="1951"/>
      <c r="M497" s="1948"/>
      <c r="N497" s="1962"/>
      <c r="O497" s="1948"/>
      <c r="P497" s="1948"/>
      <c r="Q497" s="1950"/>
      <c r="R497" s="1951"/>
      <c r="S497" s="1954"/>
      <c r="T497" s="1948"/>
      <c r="U497" s="1948"/>
      <c r="V497" s="1954"/>
      <c r="W497" s="1948"/>
      <c r="X497" s="1954"/>
      <c r="Y497" s="1948"/>
      <c r="Z497" s="1962"/>
      <c r="AA497" s="1948"/>
      <c r="AB497" s="1948"/>
      <c r="AC497" s="1948"/>
      <c r="AD497" s="1948"/>
      <c r="AE497" s="1967"/>
      <c r="AF497" s="2848" t="s">
        <v>544</v>
      </c>
      <c r="AG497" s="1624"/>
      <c r="AH497" s="1159"/>
      <c r="AI497" s="2852" t="s">
        <v>544</v>
      </c>
      <c r="AJ497" s="1160"/>
      <c r="AK497" s="2806"/>
      <c r="AL497" s="2873" t="s">
        <v>552</v>
      </c>
      <c r="AM497" s="1531"/>
      <c r="AN497" s="1273"/>
      <c r="AO497" s="1533" t="s">
        <v>332</v>
      </c>
      <c r="AP497" s="1273"/>
      <c r="AQ497" s="2291"/>
      <c r="AR497" s="2247"/>
      <c r="AS497" s="778"/>
      <c r="AT497" s="1210"/>
      <c r="AU497" s="2861" t="s">
        <v>341</v>
      </c>
      <c r="AV497" s="1537"/>
      <c r="AW497" s="2292"/>
      <c r="AX497" s="2809" t="s">
        <v>553</v>
      </c>
      <c r="AY497" s="2292"/>
      <c r="AZ497" s="1280"/>
      <c r="BA497" s="1370" t="s">
        <v>554</v>
      </c>
      <c r="BB497" s="1280"/>
      <c r="BC497" s="829"/>
      <c r="BD497" s="2853" t="s">
        <v>555</v>
      </c>
      <c r="BE497" s="829"/>
      <c r="BF497" s="2662"/>
      <c r="BG497" s="1862" t="s">
        <v>533</v>
      </c>
      <c r="BH497" s="1401"/>
      <c r="BI497" s="1556"/>
      <c r="BJ497" s="1430" t="s">
        <v>556</v>
      </c>
      <c r="BK497" s="2153"/>
      <c r="BL497" s="2119"/>
      <c r="BM497" s="182" t="s">
        <v>278</v>
      </c>
      <c r="BN497" s="1783"/>
      <c r="BO497" s="1107"/>
      <c r="BP497" s="1580"/>
      <c r="BQ497" s="1642"/>
      <c r="BR497" s="1614"/>
      <c r="BS497" s="1893"/>
      <c r="BT497" s="2210" t="s">
        <v>278</v>
      </c>
      <c r="BU497" s="1784"/>
      <c r="BV497" s="2120"/>
      <c r="BW497" s="2211"/>
      <c r="BX497" s="1785"/>
      <c r="BY497" s="1580"/>
      <c r="BZ497" s="1642"/>
      <c r="CA497" s="1614"/>
    </row>
    <row r="498" spans="1:79" ht="20.100000000000001" customHeight="1" x14ac:dyDescent="0.4">
      <c r="A498" s="249"/>
      <c r="B498" s="249"/>
      <c r="C498" s="584" t="s">
        <v>307</v>
      </c>
      <c r="D498" s="1948"/>
      <c r="E498" s="1949"/>
      <c r="F498" s="1950"/>
      <c r="G498" s="1948"/>
      <c r="H498" s="1949"/>
      <c r="I498" s="1951"/>
      <c r="J498" s="1948"/>
      <c r="K498" s="1950"/>
      <c r="L498" s="1951"/>
      <c r="M498" s="1948"/>
      <c r="N498" s="1962"/>
      <c r="O498" s="1948"/>
      <c r="P498" s="1948"/>
      <c r="Q498" s="1950"/>
      <c r="R498" s="1951"/>
      <c r="S498" s="1954"/>
      <c r="T498" s="1948"/>
      <c r="U498" s="1948"/>
      <c r="V498" s="1954"/>
      <c r="W498" s="1948"/>
      <c r="X498" s="1954"/>
      <c r="Y498" s="1948"/>
      <c r="Z498" s="1962"/>
      <c r="AA498" s="1948"/>
      <c r="AB498" s="1948"/>
      <c r="AC498" s="1948"/>
      <c r="AD498" s="1948"/>
      <c r="AE498" s="1967"/>
      <c r="AF498" s="2846"/>
      <c r="AG498" s="1624"/>
      <c r="AH498" s="1160"/>
      <c r="AI498" s="2853"/>
      <c r="AJ498" s="1160"/>
      <c r="AK498" s="1200"/>
      <c r="AL498" s="2856"/>
      <c r="AM498" s="1969"/>
      <c r="AN498" s="1273"/>
      <c r="AO498" s="1533" t="s">
        <v>366</v>
      </c>
      <c r="AP498" s="1273"/>
      <c r="AQ498" s="2291"/>
      <c r="AR498" s="2247"/>
      <c r="AS498" s="778"/>
      <c r="AT498" s="1210"/>
      <c r="AU498" s="2862"/>
      <c r="AV498" s="1537"/>
      <c r="AW498" s="684"/>
      <c r="AX498" s="2809" t="s">
        <v>441</v>
      </c>
      <c r="AY498" s="684"/>
      <c r="AZ498" s="1280"/>
      <c r="BA498" s="2314"/>
      <c r="BB498" s="1280"/>
      <c r="BC498" s="687"/>
      <c r="BD498" s="2853"/>
      <c r="BE498" s="687"/>
      <c r="BF498" s="2659"/>
      <c r="BG498" s="1862" t="s">
        <v>541</v>
      </c>
      <c r="BH498" s="2659"/>
      <c r="BI498" s="1556"/>
      <c r="BJ498" s="1543" t="s">
        <v>330</v>
      </c>
      <c r="BK498" s="2153"/>
      <c r="BL498" s="2119"/>
      <c r="BM498" s="182" t="s">
        <v>310</v>
      </c>
      <c r="BN498" s="182"/>
      <c r="BO498" s="1107"/>
      <c r="BP498" s="1580"/>
      <c r="BQ498" s="1642"/>
      <c r="BR498" s="1614"/>
      <c r="BS498" s="2008"/>
      <c r="BT498" s="183" t="s">
        <v>310</v>
      </c>
      <c r="BU498" s="1784"/>
      <c r="BV498" s="2009"/>
      <c r="BW498" s="184"/>
      <c r="BX498" s="1785"/>
      <c r="BY498" s="1580"/>
      <c r="BZ498" s="1642"/>
      <c r="CA498" s="1614"/>
    </row>
    <row r="499" spans="1:79" ht="19.350000000000001" customHeight="1" x14ac:dyDescent="0.4">
      <c r="A499" s="249"/>
      <c r="B499" s="249"/>
      <c r="C499" s="584" t="s">
        <v>307</v>
      </c>
      <c r="D499" s="1948"/>
      <c r="E499" s="1949"/>
      <c r="F499" s="1950"/>
      <c r="G499" s="1948"/>
      <c r="H499" s="1949"/>
      <c r="I499" s="1951"/>
      <c r="J499" s="1948"/>
      <c r="K499" s="1950"/>
      <c r="L499" s="1951"/>
      <c r="M499" s="1948"/>
      <c r="N499" s="1962"/>
      <c r="O499" s="1948"/>
      <c r="P499" s="1948"/>
      <c r="Q499" s="1950"/>
      <c r="R499" s="1951"/>
      <c r="S499" s="1954"/>
      <c r="T499" s="1948"/>
      <c r="U499" s="1948"/>
      <c r="V499" s="1954"/>
      <c r="W499" s="1948"/>
      <c r="X499" s="1954"/>
      <c r="Y499" s="1948"/>
      <c r="Z499" s="1962"/>
      <c r="AA499" s="1948"/>
      <c r="AB499" s="1948"/>
      <c r="AC499" s="1948"/>
      <c r="AD499" s="1948"/>
      <c r="AE499" s="1385"/>
      <c r="AF499" s="2846"/>
      <c r="AG499" s="1385"/>
      <c r="AH499" s="1160"/>
      <c r="AI499" s="2853"/>
      <c r="AJ499" s="1160"/>
      <c r="AK499" s="1200"/>
      <c r="AL499" s="2856"/>
      <c r="AM499" s="1969"/>
      <c r="AN499" s="1273"/>
      <c r="AO499" s="1533" t="s">
        <v>329</v>
      </c>
      <c r="AP499" s="1273"/>
      <c r="AQ499" s="2291"/>
      <c r="AR499" s="2247"/>
      <c r="AS499" s="778"/>
      <c r="AT499" s="1210"/>
      <c r="AU499" s="2862"/>
      <c r="AV499" s="1210"/>
      <c r="AW499" s="684"/>
      <c r="AX499" s="1428"/>
      <c r="AY499" s="684"/>
      <c r="AZ499" s="1280"/>
      <c r="BA499" s="2314"/>
      <c r="BB499" s="1280"/>
      <c r="BC499" s="687"/>
      <c r="BD499" s="2853"/>
      <c r="BE499" s="687"/>
      <c r="BF499" s="2659"/>
      <c r="BG499" s="1862"/>
      <c r="BH499" s="2660"/>
      <c r="BI499" s="1556"/>
      <c r="BJ499" s="1543" t="s">
        <v>334</v>
      </c>
      <c r="BK499" s="2296"/>
      <c r="BL499" s="2119"/>
      <c r="BM499" s="182"/>
      <c r="BN499" s="1783"/>
      <c r="BO499" s="1107"/>
      <c r="BP499" s="1580"/>
      <c r="BQ499" s="1642"/>
      <c r="BR499" s="1614"/>
      <c r="BS499" s="1893"/>
      <c r="BT499" s="2259"/>
      <c r="BU499" s="1784"/>
      <c r="BV499" s="2120"/>
      <c r="BW499" s="2122"/>
      <c r="BX499" s="1785"/>
      <c r="BY499" s="1580"/>
      <c r="BZ499" s="1642"/>
      <c r="CA499" s="1614"/>
    </row>
    <row r="500" spans="1:79" ht="16.350000000000001" customHeight="1" x14ac:dyDescent="0.4">
      <c r="A500" s="249"/>
      <c r="B500" s="249"/>
      <c r="C500" s="584" t="s">
        <v>307</v>
      </c>
      <c r="D500" s="1948"/>
      <c r="E500" s="1949"/>
      <c r="F500" s="1950"/>
      <c r="G500" s="1948"/>
      <c r="H500" s="1949"/>
      <c r="I500" s="1951"/>
      <c r="J500" s="1948"/>
      <c r="K500" s="1950"/>
      <c r="L500" s="1951"/>
      <c r="M500" s="1948"/>
      <c r="N500" s="1962"/>
      <c r="O500" s="1948"/>
      <c r="P500" s="1948"/>
      <c r="Q500" s="1950"/>
      <c r="R500" s="1951"/>
      <c r="S500" s="1954"/>
      <c r="T500" s="1948"/>
      <c r="U500" s="1948"/>
      <c r="V500" s="1954"/>
      <c r="W500" s="1948"/>
      <c r="X500" s="1954"/>
      <c r="Y500" s="1948"/>
      <c r="Z500" s="1962"/>
      <c r="AA500" s="1948"/>
      <c r="AB500" s="1948"/>
      <c r="AC500" s="1948"/>
      <c r="AD500" s="1948"/>
      <c r="AE500" s="1408"/>
      <c r="AF500" s="2846"/>
      <c r="AG500" s="1591"/>
      <c r="AH500" s="1160"/>
      <c r="AI500" s="2853"/>
      <c r="AJ500" s="1160"/>
      <c r="AK500" s="1200"/>
      <c r="AL500" s="2856"/>
      <c r="AM500" s="1969"/>
      <c r="AN500" s="1273"/>
      <c r="AO500" s="1273"/>
      <c r="AP500" s="1273"/>
      <c r="AQ500" s="2291"/>
      <c r="AR500" s="2247"/>
      <c r="AS500" s="778"/>
      <c r="AT500" s="1411"/>
      <c r="AU500" s="2862"/>
      <c r="AV500" s="1537"/>
      <c r="AW500" s="684"/>
      <c r="AX500" s="2018"/>
      <c r="AY500" s="684"/>
      <c r="AZ500" s="1280"/>
      <c r="BA500" s="2314"/>
      <c r="BB500" s="1280"/>
      <c r="BC500" s="687"/>
      <c r="BD500" s="2853"/>
      <c r="BE500" s="687"/>
      <c r="BF500" s="2652"/>
      <c r="BG500" s="2661"/>
      <c r="BH500" s="1852"/>
      <c r="BI500" s="1556"/>
      <c r="BJ500" s="1543" t="s">
        <v>371</v>
      </c>
      <c r="BK500" s="2153"/>
      <c r="BL500" s="2119"/>
      <c r="BM500" s="182"/>
      <c r="BN500" s="1783"/>
      <c r="BO500" s="1107"/>
      <c r="BP500" s="1580"/>
      <c r="BQ500" s="1642"/>
      <c r="BR500" s="1614"/>
      <c r="BS500" s="1893"/>
      <c r="BT500" s="2259"/>
      <c r="BU500" s="1784"/>
      <c r="BV500" s="2120"/>
      <c r="BW500" s="2122"/>
      <c r="BX500" s="1785"/>
      <c r="BY500" s="1580"/>
      <c r="BZ500" s="1642"/>
      <c r="CA500" s="1614"/>
    </row>
    <row r="501" spans="1:79" ht="14.85" customHeight="1" x14ac:dyDescent="0.4">
      <c r="A501" s="249"/>
      <c r="B501" s="249"/>
      <c r="C501" s="584" t="s">
        <v>307</v>
      </c>
      <c r="D501" s="1948"/>
      <c r="E501" s="1949"/>
      <c r="F501" s="1950"/>
      <c r="G501" s="1948"/>
      <c r="H501" s="1949"/>
      <c r="I501" s="1951"/>
      <c r="J501" s="1948"/>
      <c r="K501" s="1950"/>
      <c r="L501" s="1951"/>
      <c r="M501" s="1948"/>
      <c r="N501" s="1962"/>
      <c r="O501" s="1948"/>
      <c r="P501" s="1948"/>
      <c r="Q501" s="1950"/>
      <c r="R501" s="1951"/>
      <c r="S501" s="1954"/>
      <c r="T501" s="1948"/>
      <c r="U501" s="1948"/>
      <c r="V501" s="1954"/>
      <c r="W501" s="1948"/>
      <c r="X501" s="1954"/>
      <c r="Y501" s="1948"/>
      <c r="Z501" s="1962"/>
      <c r="AA501" s="1948"/>
      <c r="AB501" s="1948"/>
      <c r="AC501" s="1948"/>
      <c r="AD501" s="1948"/>
      <c r="AE501" s="1408"/>
      <c r="AF501" s="2846"/>
      <c r="AG501" s="1591"/>
      <c r="AH501" s="1160"/>
      <c r="AI501" s="2853"/>
      <c r="AJ501" s="1160"/>
      <c r="AK501" s="1200"/>
      <c r="AL501" s="2856"/>
      <c r="AM501" s="1969"/>
      <c r="AN501" s="1273"/>
      <c r="AO501" s="1273"/>
      <c r="AP501" s="1273"/>
      <c r="AQ501" s="2291"/>
      <c r="AR501" s="2247"/>
      <c r="AS501" s="778"/>
      <c r="AT501" s="1411"/>
      <c r="AU501" s="2862"/>
      <c r="AV501" s="1537"/>
      <c r="AW501" s="684"/>
      <c r="AX501" s="2671"/>
      <c r="AY501" s="684"/>
      <c r="AZ501" s="1280"/>
      <c r="BA501" s="2314"/>
      <c r="BB501" s="1280"/>
      <c r="BC501" s="687"/>
      <c r="BD501" s="2853"/>
      <c r="BE501" s="687"/>
      <c r="BF501" s="1870"/>
      <c r="BG501" s="1870" t="s">
        <v>557</v>
      </c>
      <c r="BH501" s="1870"/>
      <c r="BI501" s="1870"/>
      <c r="BJ501" s="1870" t="s">
        <v>558</v>
      </c>
      <c r="BK501" s="1870"/>
      <c r="BL501" s="2119"/>
      <c r="BM501" s="182"/>
      <c r="BN501" s="1783"/>
      <c r="BO501" s="1107"/>
      <c r="BP501" s="1580"/>
      <c r="BQ501" s="1642"/>
      <c r="BR501" s="1614"/>
      <c r="BS501" s="1893"/>
      <c r="BT501" s="2259"/>
      <c r="BU501" s="1784"/>
      <c r="BV501" s="2120"/>
      <c r="BW501" s="2122"/>
      <c r="BX501" s="1785"/>
      <c r="BY501" s="1580"/>
      <c r="BZ501" s="1642"/>
      <c r="CA501" s="1614"/>
    </row>
    <row r="502" spans="1:79" ht="14.85" customHeight="1" x14ac:dyDescent="0.4">
      <c r="A502" s="249"/>
      <c r="B502" s="249"/>
      <c r="C502" s="584"/>
      <c r="D502" s="1948"/>
      <c r="E502" s="1949"/>
      <c r="F502" s="1950"/>
      <c r="G502" s="1948"/>
      <c r="H502" s="1949"/>
      <c r="I502" s="1951"/>
      <c r="J502" s="1948"/>
      <c r="K502" s="1950"/>
      <c r="L502" s="1951"/>
      <c r="M502" s="1948"/>
      <c r="N502" s="1962"/>
      <c r="O502" s="1948"/>
      <c r="P502" s="1948"/>
      <c r="Q502" s="1950"/>
      <c r="R502" s="1951"/>
      <c r="S502" s="1954"/>
      <c r="T502" s="1948"/>
      <c r="U502" s="1948"/>
      <c r="V502" s="1954"/>
      <c r="W502" s="1948"/>
      <c r="X502" s="1954"/>
      <c r="Y502" s="1948"/>
      <c r="Z502" s="1962"/>
      <c r="AA502" s="1948"/>
      <c r="AB502" s="1948"/>
      <c r="AC502" s="1948"/>
      <c r="AD502" s="1948"/>
      <c r="AE502" s="1408"/>
      <c r="AF502" s="2846"/>
      <c r="AG502" s="1591"/>
      <c r="AH502" s="1160"/>
      <c r="AI502" s="2853"/>
      <c r="AJ502" s="1160"/>
      <c r="AK502" s="1200"/>
      <c r="AL502" s="2856"/>
      <c r="AM502" s="1969"/>
      <c r="AN502" s="1273"/>
      <c r="AO502" s="1273"/>
      <c r="AP502" s="1273"/>
      <c r="AQ502" s="2291"/>
      <c r="AR502" s="2247"/>
      <c r="AS502" s="778"/>
      <c r="AT502" s="1411"/>
      <c r="AU502" s="2862"/>
      <c r="AV502" s="1537"/>
      <c r="AW502" s="684"/>
      <c r="AX502" s="2306"/>
      <c r="AY502" s="684"/>
      <c r="AZ502" s="1280"/>
      <c r="BA502" s="2314"/>
      <c r="BB502" s="1280"/>
      <c r="BC502" s="687"/>
      <c r="BD502" s="2853"/>
      <c r="BE502" s="687"/>
      <c r="BF502" s="2662"/>
      <c r="BG502" s="2661"/>
      <c r="BH502" s="1401"/>
      <c r="BI502" s="1556"/>
      <c r="BJ502" s="2298"/>
      <c r="BK502" s="1556"/>
      <c r="BL502" s="2119"/>
      <c r="BM502" s="182"/>
      <c r="BN502" s="1783"/>
      <c r="BO502" s="1107"/>
      <c r="BP502" s="1580"/>
      <c r="BQ502" s="1642"/>
      <c r="BR502" s="1614"/>
      <c r="BS502" s="1893"/>
      <c r="BT502" s="2259"/>
      <c r="BU502" s="1784"/>
      <c r="BV502" s="2120"/>
      <c r="BW502" s="2122"/>
      <c r="BX502" s="1785"/>
      <c r="BY502" s="1580"/>
      <c r="BZ502" s="1642"/>
      <c r="CA502" s="1614"/>
    </row>
    <row r="503" spans="1:79" ht="18" customHeight="1" x14ac:dyDescent="0.4">
      <c r="A503" s="249"/>
      <c r="B503" s="249"/>
      <c r="C503" s="584">
        <v>0.87847222222222199</v>
      </c>
      <c r="D503" s="1948"/>
      <c r="E503" s="1949"/>
      <c r="F503" s="1950"/>
      <c r="G503" s="1948"/>
      <c r="H503" s="1949"/>
      <c r="I503" s="1951"/>
      <c r="J503" s="1948"/>
      <c r="K503" s="1950"/>
      <c r="L503" s="1951"/>
      <c r="M503" s="1948"/>
      <c r="N503" s="1962"/>
      <c r="O503" s="1948"/>
      <c r="P503" s="1948"/>
      <c r="Q503" s="1950"/>
      <c r="R503" s="1951"/>
      <c r="S503" s="1954"/>
      <c r="T503" s="1948"/>
      <c r="U503" s="1948"/>
      <c r="V503" s="1954"/>
      <c r="W503" s="1948"/>
      <c r="X503" s="1954"/>
      <c r="Y503" s="1948"/>
      <c r="Z503" s="1962"/>
      <c r="AA503" s="1948"/>
      <c r="AB503" s="1948"/>
      <c r="AC503" s="1948"/>
      <c r="AD503" s="1948"/>
      <c r="AE503" s="1385"/>
      <c r="AF503" s="2846"/>
      <c r="AG503" s="1385"/>
      <c r="AH503" s="1160"/>
      <c r="AI503" s="2853"/>
      <c r="AJ503" s="1160"/>
      <c r="AK503" s="2806"/>
      <c r="AL503" s="2856"/>
      <c r="AM503" s="1285"/>
      <c r="AN503" s="1273"/>
      <c r="AO503" s="2060"/>
      <c r="AP503" s="1273"/>
      <c r="AQ503" s="778"/>
      <c r="AR503" s="2247"/>
      <c r="AS503" s="778"/>
      <c r="AT503" s="1392"/>
      <c r="AU503" s="2862"/>
      <c r="AV503" s="1394"/>
      <c r="AW503" s="684"/>
      <c r="AX503" s="2306"/>
      <c r="AY503" s="684"/>
      <c r="AZ503" s="1280"/>
      <c r="BA503" s="2846" t="s">
        <v>544</v>
      </c>
      <c r="BB503" s="1280"/>
      <c r="BC503" s="687"/>
      <c r="BD503" s="2853"/>
      <c r="BE503" s="687"/>
      <c r="BF503" s="2659"/>
      <c r="BG503" s="1862"/>
      <c r="BH503" s="2659"/>
      <c r="BI503" s="1556"/>
      <c r="BJ503" s="2298"/>
      <c r="BK503" s="1556"/>
      <c r="BL503" s="2119"/>
      <c r="BM503" s="182"/>
      <c r="BN503" s="1783"/>
      <c r="BO503" s="1107"/>
      <c r="BP503" s="1580"/>
      <c r="BQ503" s="1642"/>
      <c r="BR503" s="1614"/>
      <c r="BS503" s="1893"/>
      <c r="BT503" s="2259"/>
      <c r="BU503" s="1784"/>
      <c r="BV503" s="2120"/>
      <c r="BW503" s="2122"/>
      <c r="BX503" s="1785"/>
      <c r="BY503" s="1580"/>
      <c r="BZ503" s="1642"/>
      <c r="CA503" s="1614"/>
    </row>
    <row r="504" spans="1:79" ht="14.85" customHeight="1" x14ac:dyDescent="0.4">
      <c r="A504" s="249"/>
      <c r="B504" s="249"/>
      <c r="C504" s="584">
        <v>0.88194444444444398</v>
      </c>
      <c r="D504" s="1948"/>
      <c r="E504" s="1949"/>
      <c r="F504" s="1950"/>
      <c r="G504" s="1948"/>
      <c r="H504" s="1949"/>
      <c r="I504" s="1951"/>
      <c r="J504" s="1948"/>
      <c r="K504" s="1950"/>
      <c r="L504" s="1951"/>
      <c r="M504" s="1948"/>
      <c r="N504" s="1962"/>
      <c r="O504" s="1948"/>
      <c r="P504" s="1948"/>
      <c r="Q504" s="1950"/>
      <c r="R504" s="1951"/>
      <c r="S504" s="1954"/>
      <c r="T504" s="1948"/>
      <c r="U504" s="1948"/>
      <c r="V504" s="1954"/>
      <c r="W504" s="1948"/>
      <c r="X504" s="1954"/>
      <c r="Y504" s="1948"/>
      <c r="Z504" s="1962"/>
      <c r="AA504" s="1948"/>
      <c r="AB504" s="1948"/>
      <c r="AC504" s="1948"/>
      <c r="AD504" s="1948"/>
      <c r="AE504" s="1591"/>
      <c r="AF504" s="2846"/>
      <c r="AG504" s="1624"/>
      <c r="AH504" s="1594"/>
      <c r="AI504" s="2853"/>
      <c r="AJ504" s="1256"/>
      <c r="AK504" s="2806"/>
      <c r="AL504" s="2856"/>
      <c r="AM504" s="1531"/>
      <c r="AN504" s="1273"/>
      <c r="AO504" s="2060"/>
      <c r="AP504" s="1273"/>
      <c r="AQ504" s="778"/>
      <c r="AR504" s="2299"/>
      <c r="AS504" s="778"/>
      <c r="AT504" s="1452"/>
      <c r="AU504" s="1823"/>
      <c r="AV504" s="1394"/>
      <c r="AW504" s="684"/>
      <c r="AX504" s="2306"/>
      <c r="AY504" s="684"/>
      <c r="AZ504" s="1280"/>
      <c r="BA504" s="2846"/>
      <c r="BB504" s="1280"/>
      <c r="BC504" s="974"/>
      <c r="BD504" s="2853"/>
      <c r="BE504" s="908"/>
      <c r="BF504" s="2659"/>
      <c r="BG504" s="1862"/>
      <c r="BH504" s="2660"/>
      <c r="BI504" s="1773"/>
      <c r="BJ504" s="2298"/>
      <c r="BK504" s="1670"/>
      <c r="BL504" s="2119"/>
      <c r="BM504" s="182"/>
      <c r="BN504" s="1783"/>
      <c r="BO504" s="1107"/>
      <c r="BP504" s="1580"/>
      <c r="BQ504" s="1642"/>
      <c r="BR504" s="1614"/>
      <c r="BS504" s="1893"/>
      <c r="BT504" s="2259"/>
      <c r="BU504" s="1784"/>
      <c r="BV504" s="2120"/>
      <c r="BW504" s="2122"/>
      <c r="BX504" s="1785"/>
      <c r="BY504" s="1580"/>
      <c r="BZ504" s="1642"/>
      <c r="CA504" s="1614"/>
    </row>
    <row r="505" spans="1:79" ht="23.25" customHeight="1" x14ac:dyDescent="0.4">
      <c r="A505" s="249"/>
      <c r="B505" s="249"/>
      <c r="C505" s="584">
        <v>0.88541666666666596</v>
      </c>
      <c r="D505" s="1948"/>
      <c r="E505" s="1949"/>
      <c r="F505" s="1950"/>
      <c r="G505" s="1948"/>
      <c r="H505" s="1949"/>
      <c r="I505" s="1951"/>
      <c r="J505" s="1948"/>
      <c r="K505" s="1950"/>
      <c r="L505" s="1951"/>
      <c r="M505" s="1948"/>
      <c r="N505" s="1962"/>
      <c r="O505" s="1948"/>
      <c r="P505" s="1948"/>
      <c r="Q505" s="1950"/>
      <c r="R505" s="1951"/>
      <c r="S505" s="1954"/>
      <c r="T505" s="1948"/>
      <c r="U505" s="1948"/>
      <c r="V505" s="1954"/>
      <c r="W505" s="1948"/>
      <c r="X505" s="1954"/>
      <c r="Y505" s="1948"/>
      <c r="Z505" s="1962"/>
      <c r="AA505" s="1948"/>
      <c r="AB505" s="1948"/>
      <c r="AC505" s="1948"/>
      <c r="AD505" s="1948"/>
      <c r="AE505" s="1385"/>
      <c r="AF505" s="2846"/>
      <c r="AG505" s="1385"/>
      <c r="AH505" s="1159"/>
      <c r="AI505" s="2853"/>
      <c r="AJ505" s="1160"/>
      <c r="AK505" s="1285"/>
      <c r="AL505" s="2856"/>
      <c r="AM505" s="1285"/>
      <c r="AN505" s="2300"/>
      <c r="AO505" s="2874" t="s">
        <v>341</v>
      </c>
      <c r="AP505" s="1273"/>
      <c r="AQ505" s="2291"/>
      <c r="AR505" s="2875" t="s">
        <v>341</v>
      </c>
      <c r="AS505" s="778"/>
      <c r="AT505" s="1392"/>
      <c r="AU505" s="2672" t="s">
        <v>350</v>
      </c>
      <c r="AV505" s="1394"/>
      <c r="AW505" s="684"/>
      <c r="AX505" s="2645" t="s">
        <v>447</v>
      </c>
      <c r="AY505" s="684"/>
      <c r="AZ505" s="2301"/>
      <c r="BA505" s="2846"/>
      <c r="BB505" s="1280"/>
      <c r="BC505" s="687"/>
      <c r="BD505" s="2853"/>
      <c r="BE505" s="687"/>
      <c r="BF505" s="2652"/>
      <c r="BG505" s="2661"/>
      <c r="BH505" s="1852"/>
      <c r="BI505" s="1556"/>
      <c r="BJ505" s="2869" t="s">
        <v>555</v>
      </c>
      <c r="BK505" s="2296"/>
      <c r="BL505" s="2119"/>
      <c r="BM505" s="182" t="s">
        <v>271</v>
      </c>
      <c r="BN505" s="1783"/>
      <c r="BO505" s="1107"/>
      <c r="BP505" s="1580"/>
      <c r="BQ505" s="1642"/>
      <c r="BR505" s="1614"/>
      <c r="BS505" s="1893"/>
      <c r="BT505" s="183" t="s">
        <v>271</v>
      </c>
      <c r="BU505" s="1784"/>
      <c r="BV505" s="2120"/>
      <c r="BW505" s="184"/>
      <c r="BX505" s="1785"/>
      <c r="BY505" s="1580"/>
      <c r="BZ505" s="1642"/>
      <c r="CA505" s="1614"/>
    </row>
    <row r="506" spans="1:79" ht="17.850000000000001" customHeight="1" x14ac:dyDescent="0.4">
      <c r="A506" s="249"/>
      <c r="B506" s="249"/>
      <c r="C506" s="584" t="s">
        <v>307</v>
      </c>
      <c r="D506" s="1948"/>
      <c r="E506" s="1949"/>
      <c r="F506" s="1950"/>
      <c r="G506" s="1948"/>
      <c r="H506" s="1949"/>
      <c r="I506" s="1951"/>
      <c r="J506" s="1948"/>
      <c r="K506" s="1950"/>
      <c r="L506" s="1951"/>
      <c r="M506" s="1948"/>
      <c r="N506" s="1962"/>
      <c r="O506" s="1948"/>
      <c r="P506" s="1948"/>
      <c r="Q506" s="1950"/>
      <c r="R506" s="1951"/>
      <c r="S506" s="1954"/>
      <c r="T506" s="1948"/>
      <c r="U506" s="1948"/>
      <c r="V506" s="1954"/>
      <c r="W506" s="1948"/>
      <c r="X506" s="1954"/>
      <c r="Y506" s="1948"/>
      <c r="Z506" s="1962"/>
      <c r="AA506" s="1948"/>
      <c r="AB506" s="1948"/>
      <c r="AC506" s="1948"/>
      <c r="AD506" s="1948"/>
      <c r="AE506" s="1385"/>
      <c r="AF506" s="2846"/>
      <c r="AG506" s="1385"/>
      <c r="AH506" s="1160"/>
      <c r="AI506" s="2853"/>
      <c r="AJ506" s="1160"/>
      <c r="AK506" s="1285"/>
      <c r="AL506" s="103" t="s">
        <v>332</v>
      </c>
      <c r="AM506" s="1285"/>
      <c r="AN506" s="1273"/>
      <c r="AO506" s="2874"/>
      <c r="AP506" s="1273"/>
      <c r="AQ506" s="2291"/>
      <c r="AR506" s="2875"/>
      <c r="AS506" s="778"/>
      <c r="AT506" s="1392"/>
      <c r="AU506" s="2302"/>
      <c r="AV506" s="1394"/>
      <c r="AW506" s="1875"/>
      <c r="AX506" s="793" t="s">
        <v>336</v>
      </c>
      <c r="AY506" s="684"/>
      <c r="AZ506" s="1868"/>
      <c r="BA506" s="2846"/>
      <c r="BB506" s="1802"/>
      <c r="BC506" s="687"/>
      <c r="BD506" s="2853"/>
      <c r="BE506" s="687"/>
      <c r="BF506" s="2662"/>
      <c r="BG506" s="1862" t="s">
        <v>533</v>
      </c>
      <c r="BH506" s="1401"/>
      <c r="BI506" s="1556"/>
      <c r="BJ506" s="2869"/>
      <c r="BK506" s="1670"/>
      <c r="BL506" s="2119"/>
      <c r="BM506" s="182" t="s">
        <v>310</v>
      </c>
      <c r="BN506" s="182"/>
      <c r="BO506" s="1107"/>
      <c r="BP506" s="1580"/>
      <c r="BQ506" s="1642"/>
      <c r="BR506" s="1614"/>
      <c r="BS506" s="2008"/>
      <c r="BT506" s="183" t="s">
        <v>310</v>
      </c>
      <c r="BU506" s="1784"/>
      <c r="BV506" s="2009"/>
      <c r="BW506" s="184"/>
      <c r="BX506" s="1785"/>
      <c r="BY506" s="1580"/>
      <c r="BZ506" s="1642"/>
      <c r="CA506" s="1614"/>
    </row>
    <row r="507" spans="1:79" ht="17.850000000000001" customHeight="1" x14ac:dyDescent="0.4">
      <c r="A507" s="249"/>
      <c r="B507" s="249"/>
      <c r="C507" s="584" t="s">
        <v>307</v>
      </c>
      <c r="D507" s="1948"/>
      <c r="E507" s="1949"/>
      <c r="F507" s="1950"/>
      <c r="G507" s="1948"/>
      <c r="H507" s="1949"/>
      <c r="I507" s="1951"/>
      <c r="J507" s="1948"/>
      <c r="K507" s="1950"/>
      <c r="L507" s="1951"/>
      <c r="M507" s="1948"/>
      <c r="N507" s="1962"/>
      <c r="O507" s="1948"/>
      <c r="P507" s="1948"/>
      <c r="Q507" s="1950"/>
      <c r="R507" s="1951"/>
      <c r="S507" s="1954"/>
      <c r="T507" s="1948"/>
      <c r="U507" s="1948"/>
      <c r="V507" s="1954"/>
      <c r="W507" s="1948"/>
      <c r="X507" s="1954"/>
      <c r="Y507" s="1948"/>
      <c r="Z507" s="1962"/>
      <c r="AA507" s="1948"/>
      <c r="AB507" s="1948"/>
      <c r="AC507" s="1948"/>
      <c r="AD507" s="1948"/>
      <c r="AE507" s="1385"/>
      <c r="AF507" s="2846"/>
      <c r="AG507" s="1385"/>
      <c r="AH507" s="1594"/>
      <c r="AI507" s="2853"/>
      <c r="AJ507" s="1256"/>
      <c r="AK507" s="1285"/>
      <c r="AL507" s="103" t="s">
        <v>366</v>
      </c>
      <c r="AM507" s="1285"/>
      <c r="AN507" s="2300"/>
      <c r="AO507" s="2874"/>
      <c r="AP507" s="1273"/>
      <c r="AQ507" s="2291"/>
      <c r="AR507" s="2875"/>
      <c r="AS507" s="778"/>
      <c r="AT507" s="1392"/>
      <c r="AU507" s="2302"/>
      <c r="AV507" s="1394"/>
      <c r="AW507" s="1875"/>
      <c r="AX507" s="1428"/>
      <c r="AY507" s="684"/>
      <c r="AZ507" s="1868"/>
      <c r="BA507" s="2846"/>
      <c r="BB507" s="1802"/>
      <c r="BC507" s="687"/>
      <c r="BD507" s="2853"/>
      <c r="BE507" s="687"/>
      <c r="BF507" s="2659"/>
      <c r="BG507" s="1862" t="s">
        <v>541</v>
      </c>
      <c r="BH507" s="2659"/>
      <c r="BI507" s="1773"/>
      <c r="BJ507" s="2869"/>
      <c r="BK507" s="2296"/>
      <c r="BL507" s="2119"/>
      <c r="BM507" s="182"/>
      <c r="BN507" s="1783"/>
      <c r="BO507" s="1107"/>
      <c r="BP507" s="1580"/>
      <c r="BQ507" s="1642"/>
      <c r="BR507" s="1614"/>
      <c r="BS507" s="1893"/>
      <c r="BT507" s="183"/>
      <c r="BU507" s="1784"/>
      <c r="BV507" s="2120"/>
      <c r="BW507" s="184"/>
      <c r="BX507" s="1785"/>
      <c r="BY507" s="1580"/>
      <c r="BZ507" s="1642"/>
      <c r="CA507" s="1614"/>
    </row>
    <row r="508" spans="1:79" ht="14.85" customHeight="1" x14ac:dyDescent="0.4">
      <c r="A508" s="249"/>
      <c r="B508" s="249"/>
      <c r="C508" s="584" t="s">
        <v>307</v>
      </c>
      <c r="D508" s="1948"/>
      <c r="E508" s="1949"/>
      <c r="F508" s="1950"/>
      <c r="G508" s="1948"/>
      <c r="H508" s="1949"/>
      <c r="I508" s="1951"/>
      <c r="J508" s="1948"/>
      <c r="K508" s="1950"/>
      <c r="L508" s="1951"/>
      <c r="M508" s="1948"/>
      <c r="N508" s="1962"/>
      <c r="O508" s="1948"/>
      <c r="P508" s="1948"/>
      <c r="Q508" s="1950"/>
      <c r="R508" s="1951"/>
      <c r="S508" s="1954"/>
      <c r="T508" s="1948"/>
      <c r="U508" s="1948"/>
      <c r="V508" s="1954"/>
      <c r="W508" s="1948"/>
      <c r="X508" s="1954"/>
      <c r="Y508" s="1948"/>
      <c r="Z508" s="1962"/>
      <c r="AA508" s="1948"/>
      <c r="AB508" s="1948"/>
      <c r="AC508" s="1948"/>
      <c r="AD508" s="1948"/>
      <c r="AE508" s="1591"/>
      <c r="AF508" s="2846"/>
      <c r="AG508" s="1624"/>
      <c r="AH508" s="1594"/>
      <c r="AI508" s="2853"/>
      <c r="AJ508" s="1256"/>
      <c r="AK508" s="1285"/>
      <c r="AL508" s="103" t="s">
        <v>329</v>
      </c>
      <c r="AM508" s="1285"/>
      <c r="AN508" s="2300"/>
      <c r="AO508" s="2874"/>
      <c r="AP508" s="1273"/>
      <c r="AQ508" s="2291"/>
      <c r="AR508" s="2875"/>
      <c r="AS508" s="778"/>
      <c r="AT508" s="1392"/>
      <c r="AU508" s="1763"/>
      <c r="AV508" s="1394"/>
      <c r="AW508" s="1875"/>
      <c r="AX508" s="2306"/>
      <c r="AY508" s="684"/>
      <c r="AZ508" s="1868"/>
      <c r="BA508" s="2846"/>
      <c r="BB508" s="1802"/>
      <c r="BC508" s="974"/>
      <c r="BD508" s="2853"/>
      <c r="BE508" s="908"/>
      <c r="BF508" s="2659"/>
      <c r="BG508" s="1862"/>
      <c r="BH508" s="2660"/>
      <c r="BI508" s="1773"/>
      <c r="BJ508" s="2869"/>
      <c r="BK508" s="2296"/>
      <c r="BL508" s="2119"/>
      <c r="BM508" s="182"/>
      <c r="BN508" s="1783"/>
      <c r="BO508" s="1107"/>
      <c r="BP508" s="1580"/>
      <c r="BQ508" s="1642"/>
      <c r="BR508" s="1614"/>
      <c r="BS508" s="1893"/>
      <c r="BT508" s="183"/>
      <c r="BU508" s="1784"/>
      <c r="BV508" s="2120"/>
      <c r="BW508" s="184"/>
      <c r="BX508" s="1785"/>
      <c r="BY508" s="1580"/>
      <c r="BZ508" s="1642"/>
      <c r="CA508" s="1614"/>
    </row>
    <row r="509" spans="1:79" ht="26.25" customHeight="1" x14ac:dyDescent="0.4">
      <c r="A509" s="249"/>
      <c r="B509" s="249"/>
      <c r="C509" s="584">
        <v>0.88888888888888795</v>
      </c>
      <c r="D509" s="1948"/>
      <c r="E509" s="1949"/>
      <c r="F509" s="1950"/>
      <c r="G509" s="1948"/>
      <c r="H509" s="1949"/>
      <c r="I509" s="1951"/>
      <c r="J509" s="1948"/>
      <c r="K509" s="1950"/>
      <c r="L509" s="1951"/>
      <c r="M509" s="1948"/>
      <c r="N509" s="1962"/>
      <c r="O509" s="1948"/>
      <c r="P509" s="1948"/>
      <c r="Q509" s="1950"/>
      <c r="R509" s="1951"/>
      <c r="S509" s="1954"/>
      <c r="T509" s="1948"/>
      <c r="U509" s="1948"/>
      <c r="V509" s="1954"/>
      <c r="W509" s="1948"/>
      <c r="X509" s="1954"/>
      <c r="Y509" s="1948"/>
      <c r="Z509" s="1962"/>
      <c r="AA509" s="1948"/>
      <c r="AB509" s="1948"/>
      <c r="AC509" s="1948"/>
      <c r="AD509" s="1948"/>
      <c r="AE509" s="1591"/>
      <c r="AF509" s="2846"/>
      <c r="AG509" s="1624"/>
      <c r="AH509" s="1594"/>
      <c r="AI509" s="2853"/>
      <c r="AJ509" s="1256"/>
      <c r="AK509" s="1200"/>
      <c r="AL509" s="2553" t="s">
        <v>470</v>
      </c>
      <c r="AM509" s="1285"/>
      <c r="AN509" s="1273"/>
      <c r="AO509" s="2874"/>
      <c r="AP509" s="1273"/>
      <c r="AQ509" s="778"/>
      <c r="AR509" s="2875"/>
      <c r="AS509" s="778"/>
      <c r="AT509" s="1392"/>
      <c r="AU509" s="1763"/>
      <c r="AV509" s="1394"/>
      <c r="AW509" s="1875"/>
      <c r="AX509" s="1403"/>
      <c r="AY509" s="684"/>
      <c r="AZ509" s="1868"/>
      <c r="BA509" s="2846"/>
      <c r="BB509" s="1802"/>
      <c r="BC509" s="974"/>
      <c r="BD509" s="2853"/>
      <c r="BE509" s="908"/>
      <c r="BF509" s="2662"/>
      <c r="BG509" s="1862"/>
      <c r="BH509" s="1401"/>
      <c r="BI509" s="1773"/>
      <c r="BJ509" s="2869"/>
      <c r="BK509" s="2305"/>
      <c r="BL509" s="2119"/>
      <c r="BM509" s="182"/>
      <c r="BN509" s="1783"/>
      <c r="BO509" s="1107"/>
      <c r="BP509" s="1580"/>
      <c r="BQ509" s="1642"/>
      <c r="BR509" s="1614"/>
      <c r="BS509" s="1893"/>
      <c r="BT509" s="183"/>
      <c r="BU509" s="1784"/>
      <c r="BV509" s="2120"/>
      <c r="BW509" s="184"/>
      <c r="BX509" s="1785"/>
      <c r="BY509" s="1580"/>
      <c r="BZ509" s="1642"/>
      <c r="CA509" s="1614"/>
    </row>
    <row r="510" spans="1:79" ht="18.75" customHeight="1" x14ac:dyDescent="0.4">
      <c r="A510" s="249"/>
      <c r="B510" s="249"/>
      <c r="C510" s="584">
        <v>0.89236111111111105</v>
      </c>
      <c r="D510" s="1948"/>
      <c r="E510" s="1949"/>
      <c r="F510" s="1950"/>
      <c r="G510" s="1948"/>
      <c r="H510" s="1949"/>
      <c r="I510" s="1951"/>
      <c r="J510" s="1948"/>
      <c r="K510" s="1950"/>
      <c r="L510" s="1951"/>
      <c r="M510" s="1948"/>
      <c r="N510" s="1962"/>
      <c r="O510" s="1948"/>
      <c r="P510" s="1948"/>
      <c r="Q510" s="1950"/>
      <c r="R510" s="1951"/>
      <c r="S510" s="1954"/>
      <c r="T510" s="1948"/>
      <c r="U510" s="1948"/>
      <c r="V510" s="1954"/>
      <c r="W510" s="1948"/>
      <c r="X510" s="1954"/>
      <c r="Y510" s="1948"/>
      <c r="Z510" s="1962"/>
      <c r="AA510" s="1948"/>
      <c r="AB510" s="1948"/>
      <c r="AC510" s="1948"/>
      <c r="AD510" s="1948"/>
      <c r="AE510" s="1591"/>
      <c r="AF510" s="2846"/>
      <c r="AG510" s="1624"/>
      <c r="AH510" s="1594"/>
      <c r="AI510" s="2853"/>
      <c r="AJ510" s="1256"/>
      <c r="AK510" s="1285"/>
      <c r="AL510" s="275"/>
      <c r="AM510" s="1285"/>
      <c r="AN510" s="1273"/>
      <c r="AO510" s="2874"/>
      <c r="AP510" s="1438"/>
      <c r="AQ510" s="778"/>
      <c r="AR510" s="2875"/>
      <c r="AS510" s="1640"/>
      <c r="AT510" s="1392"/>
      <c r="AU510" s="1763"/>
      <c r="AV510" s="1394"/>
      <c r="AW510" s="684"/>
      <c r="AX510" s="1403"/>
      <c r="AY510" s="684"/>
      <c r="AZ510" s="1868"/>
      <c r="BA510" s="2846"/>
      <c r="BB510" s="1802"/>
      <c r="BC510" s="974"/>
      <c r="BD510" s="2853"/>
      <c r="BE510" s="908"/>
      <c r="BF510" s="2659"/>
      <c r="BG510" s="1862"/>
      <c r="BH510" s="2659"/>
      <c r="BI510" s="1556"/>
      <c r="BJ510" s="2869"/>
      <c r="BK510" s="2296"/>
      <c r="BL510" s="2119"/>
      <c r="BM510" s="182"/>
      <c r="BN510" s="1783"/>
      <c r="BO510" s="1107"/>
      <c r="BP510" s="1580"/>
      <c r="BQ510" s="1642"/>
      <c r="BR510" s="1614"/>
      <c r="BS510" s="1893"/>
      <c r="BT510" s="183"/>
      <c r="BU510" s="1784"/>
      <c r="BV510" s="2120"/>
      <c r="BW510" s="184"/>
      <c r="BX510" s="1785"/>
      <c r="BY510" s="1580"/>
      <c r="BZ510" s="1642"/>
      <c r="CA510" s="1614"/>
    </row>
    <row r="511" spans="1:79" ht="14.85" customHeight="1" x14ac:dyDescent="0.4">
      <c r="A511" s="249"/>
      <c r="B511" s="249"/>
      <c r="C511" s="584" t="s">
        <v>307</v>
      </c>
      <c r="D511" s="1948"/>
      <c r="E511" s="1949"/>
      <c r="F511" s="1950"/>
      <c r="G511" s="1948"/>
      <c r="H511" s="1949"/>
      <c r="I511" s="1951"/>
      <c r="J511" s="1948"/>
      <c r="K511" s="1950"/>
      <c r="L511" s="1951"/>
      <c r="M511" s="1948"/>
      <c r="N511" s="1962"/>
      <c r="O511" s="1948"/>
      <c r="P511" s="1948"/>
      <c r="Q511" s="1950"/>
      <c r="R511" s="1951"/>
      <c r="S511" s="1954"/>
      <c r="T511" s="1948"/>
      <c r="U511" s="1948"/>
      <c r="V511" s="1954"/>
      <c r="W511" s="1948"/>
      <c r="X511" s="1954"/>
      <c r="Y511" s="1948"/>
      <c r="Z511" s="1962"/>
      <c r="AA511" s="1948"/>
      <c r="AB511" s="1948"/>
      <c r="AC511" s="1948"/>
      <c r="AD511" s="1948"/>
      <c r="AE511" s="1591"/>
      <c r="AF511" s="2846"/>
      <c r="AG511" s="1624"/>
      <c r="AH511" s="1594"/>
      <c r="AI511" s="2853"/>
      <c r="AJ511" s="1256"/>
      <c r="AK511" s="1285"/>
      <c r="AL511" s="275"/>
      <c r="AM511" s="1285"/>
      <c r="AN511" s="1273"/>
      <c r="AO511" s="2874"/>
      <c r="AP511" s="1438"/>
      <c r="AQ511" s="1409"/>
      <c r="AR511" s="2875"/>
      <c r="AS511" s="1640"/>
      <c r="AT511" s="1392"/>
      <c r="AU511" s="1763"/>
      <c r="AV511" s="1394"/>
      <c r="AW511" s="684"/>
      <c r="AX511" s="2306"/>
      <c r="AY511" s="684"/>
      <c r="AZ511" s="1868"/>
      <c r="BA511" s="2846"/>
      <c r="BB511" s="1802"/>
      <c r="BC511" s="974"/>
      <c r="BD511" s="2853"/>
      <c r="BE511" s="908"/>
      <c r="BF511" s="2659"/>
      <c r="BG511" s="1862"/>
      <c r="BH511" s="2660"/>
      <c r="BI511" s="1556"/>
      <c r="BJ511" s="2869"/>
      <c r="BK511" s="2296"/>
      <c r="BL511" s="2119"/>
      <c r="BM511" s="182"/>
      <c r="BN511" s="1783"/>
      <c r="BO511" s="1107"/>
      <c r="BP511" s="1580"/>
      <c r="BQ511" s="1642"/>
      <c r="BR511" s="1614"/>
      <c r="BS511" s="1893"/>
      <c r="BT511" s="183"/>
      <c r="BU511" s="1784"/>
      <c r="BV511" s="2120"/>
      <c r="BW511" s="184"/>
      <c r="BX511" s="1785"/>
      <c r="BY511" s="1580"/>
      <c r="BZ511" s="1642"/>
      <c r="CA511" s="1614"/>
    </row>
    <row r="512" spans="1:79" ht="21.6" customHeight="1" x14ac:dyDescent="0.4">
      <c r="A512" s="249"/>
      <c r="B512" s="249"/>
      <c r="C512" s="584">
        <v>0.89583333333333304</v>
      </c>
      <c r="D512" s="1948"/>
      <c r="E512" s="1949"/>
      <c r="F512" s="1950"/>
      <c r="G512" s="1948"/>
      <c r="H512" s="1949"/>
      <c r="I512" s="1951"/>
      <c r="J512" s="1948"/>
      <c r="K512" s="1950"/>
      <c r="L512" s="1951"/>
      <c r="M512" s="1948"/>
      <c r="N512" s="1962"/>
      <c r="O512" s="1948"/>
      <c r="P512" s="1948"/>
      <c r="Q512" s="1950"/>
      <c r="R512" s="1951"/>
      <c r="S512" s="1954"/>
      <c r="T512" s="1948"/>
      <c r="U512" s="1948"/>
      <c r="V512" s="1954"/>
      <c r="W512" s="1948"/>
      <c r="X512" s="1954"/>
      <c r="Y512" s="1948"/>
      <c r="Z512" s="1962"/>
      <c r="AA512" s="1948"/>
      <c r="AB512" s="1948"/>
      <c r="AC512" s="1948"/>
      <c r="AD512" s="1948"/>
      <c r="AE512" s="1385"/>
      <c r="AF512" s="2846"/>
      <c r="AG512" s="1385"/>
      <c r="AH512" s="1159"/>
      <c r="AI512" s="1160" t="s">
        <v>356</v>
      </c>
      <c r="AJ512" s="1160"/>
      <c r="AK512" s="1285"/>
      <c r="AL512" s="275"/>
      <c r="AM512" s="1285"/>
      <c r="AN512" s="1421"/>
      <c r="AO512" s="2308"/>
      <c r="AP512" s="2309"/>
      <c r="AQ512" s="1134"/>
      <c r="AR512" s="2247"/>
      <c r="AS512" s="778"/>
      <c r="AT512" s="1392"/>
      <c r="AU512" s="2673" t="s">
        <v>350</v>
      </c>
      <c r="AV512" s="1394"/>
      <c r="AW512" s="684"/>
      <c r="AX512" s="793" t="s">
        <v>559</v>
      </c>
      <c r="AY512" s="684"/>
      <c r="AZ512" s="1694"/>
      <c r="BA512" s="2846"/>
      <c r="BB512" s="1694"/>
      <c r="BC512" s="687"/>
      <c r="BD512" s="1555" t="s">
        <v>533</v>
      </c>
      <c r="BE512" s="687"/>
      <c r="BF512" s="2659"/>
      <c r="BG512" s="2846" t="s">
        <v>341</v>
      </c>
      <c r="BH512" s="2659"/>
      <c r="BI512" s="1556"/>
      <c r="BJ512" s="2869"/>
      <c r="BK512" s="2153"/>
      <c r="BL512" s="182"/>
      <c r="BM512" s="182" t="s">
        <v>271</v>
      </c>
      <c r="BN512" s="1783"/>
      <c r="BO512" s="1107"/>
      <c r="BP512" s="1107"/>
      <c r="BQ512" s="1642"/>
      <c r="BR512" s="1614"/>
      <c r="BS512" s="183"/>
      <c r="BT512" s="183" t="s">
        <v>271</v>
      </c>
      <c r="BU512" s="1784"/>
      <c r="BV512" s="184"/>
      <c r="BW512" s="184"/>
      <c r="BX512" s="1785"/>
      <c r="BY512" s="1107"/>
      <c r="BZ512" s="1642"/>
      <c r="CA512" s="1614"/>
    </row>
    <row r="513" spans="1:79" ht="21.6" customHeight="1" x14ac:dyDescent="0.4">
      <c r="A513" s="249"/>
      <c r="B513" s="249"/>
      <c r="C513" s="584" t="s">
        <v>307</v>
      </c>
      <c r="D513" s="1948"/>
      <c r="E513" s="1949"/>
      <c r="F513" s="1950"/>
      <c r="G513" s="1948"/>
      <c r="H513" s="1949"/>
      <c r="I513" s="1951"/>
      <c r="J513" s="1948"/>
      <c r="K513" s="1950"/>
      <c r="L513" s="1951"/>
      <c r="M513" s="1948"/>
      <c r="N513" s="1962"/>
      <c r="O513" s="1948"/>
      <c r="P513" s="1948"/>
      <c r="Q513" s="1950"/>
      <c r="R513" s="1951"/>
      <c r="S513" s="1954"/>
      <c r="T513" s="1948"/>
      <c r="U513" s="1948"/>
      <c r="V513" s="1954"/>
      <c r="W513" s="1948"/>
      <c r="X513" s="1954"/>
      <c r="Y513" s="1948"/>
      <c r="Z513" s="1962"/>
      <c r="AA513" s="1948"/>
      <c r="AB513" s="1948"/>
      <c r="AC513" s="1948"/>
      <c r="AD513" s="1948"/>
      <c r="AE513" s="1157"/>
      <c r="AF513" s="2312"/>
      <c r="AG513" s="1157"/>
      <c r="AH513" s="1160"/>
      <c r="AI513" s="1160" t="s">
        <v>366</v>
      </c>
      <c r="AJ513" s="1160"/>
      <c r="AK513" s="1283"/>
      <c r="AL513" s="275"/>
      <c r="AM513" s="1285"/>
      <c r="AN513" s="2300"/>
      <c r="AO513" s="2308"/>
      <c r="AP513" s="1273"/>
      <c r="AQ513" s="2313"/>
      <c r="AR513" s="2247"/>
      <c r="AS513" s="778"/>
      <c r="AT513" s="1392"/>
      <c r="AU513" s="2302"/>
      <c r="AV513" s="1394"/>
      <c r="AW513" s="684"/>
      <c r="AX513" s="1428"/>
      <c r="AY513" s="684"/>
      <c r="AZ513" s="1868"/>
      <c r="BA513" s="2846"/>
      <c r="BB513" s="1802"/>
      <c r="BC513" s="687"/>
      <c r="BD513" s="1555" t="s">
        <v>384</v>
      </c>
      <c r="BE513" s="687"/>
      <c r="BF513" s="2659"/>
      <c r="BG513" s="2846"/>
      <c r="BH513" s="2659"/>
      <c r="BI513" s="1556"/>
      <c r="BJ513" s="2869"/>
      <c r="BK513" s="2153"/>
      <c r="BL513" s="2119"/>
      <c r="BM513" s="182" t="s">
        <v>310</v>
      </c>
      <c r="BN513" s="182"/>
      <c r="BO513" s="1107"/>
      <c r="BP513" s="1107"/>
      <c r="BQ513" s="1642"/>
      <c r="BR513" s="1614"/>
      <c r="BS513" s="2008"/>
      <c r="BT513" s="183" t="s">
        <v>310</v>
      </c>
      <c r="BU513" s="1784"/>
      <c r="BV513" s="2009"/>
      <c r="BW513" s="184"/>
      <c r="BX513" s="1785"/>
      <c r="BY513" s="1107"/>
      <c r="BZ513" s="1642"/>
      <c r="CA513" s="1614"/>
    </row>
    <row r="514" spans="1:79" ht="21.6" customHeight="1" x14ac:dyDescent="0.4">
      <c r="A514" s="249"/>
      <c r="B514" s="249"/>
      <c r="C514" s="584"/>
      <c r="D514" s="1948"/>
      <c r="E514" s="1949"/>
      <c r="F514" s="1950"/>
      <c r="G514" s="1948"/>
      <c r="H514" s="1949"/>
      <c r="I514" s="1951"/>
      <c r="J514" s="1948"/>
      <c r="K514" s="1950"/>
      <c r="L514" s="1951"/>
      <c r="M514" s="1948"/>
      <c r="N514" s="1962"/>
      <c r="O514" s="1948"/>
      <c r="P514" s="1948"/>
      <c r="Q514" s="1950"/>
      <c r="R514" s="1951"/>
      <c r="S514" s="1954"/>
      <c r="T514" s="1948"/>
      <c r="U514" s="1948"/>
      <c r="V514" s="1954"/>
      <c r="W514" s="1948"/>
      <c r="X514" s="1954"/>
      <c r="Y514" s="1948"/>
      <c r="Z514" s="1962"/>
      <c r="AA514" s="1948"/>
      <c r="AB514" s="1948"/>
      <c r="AC514" s="1948"/>
      <c r="AD514" s="1948"/>
      <c r="AE514" s="1157"/>
      <c r="AF514" s="2312"/>
      <c r="AG514" s="1157"/>
      <c r="AH514" s="1160"/>
      <c r="AI514" s="2675" t="s">
        <v>560</v>
      </c>
      <c r="AJ514" s="1160"/>
      <c r="AK514" s="1283"/>
      <c r="AL514" s="275"/>
      <c r="AM514" s="1285"/>
      <c r="AN514" s="2300"/>
      <c r="AO514" s="1872"/>
      <c r="AP514" s="1273"/>
      <c r="AQ514" s="2313"/>
      <c r="AR514" s="2247"/>
      <c r="AS514" s="778"/>
      <c r="AT514" s="1392"/>
      <c r="AU514" s="2302"/>
      <c r="AV514" s="1394"/>
      <c r="AW514" s="684"/>
      <c r="AX514" s="1403"/>
      <c r="AY514" s="684"/>
      <c r="AZ514" s="1868"/>
      <c r="BA514" s="2846"/>
      <c r="BB514" s="1802"/>
      <c r="BC514" s="687"/>
      <c r="BD514" s="1555"/>
      <c r="BE514" s="687"/>
      <c r="BF514" s="2652"/>
      <c r="BG514" s="2846"/>
      <c r="BH514" s="2652"/>
      <c r="BI514" s="1556"/>
      <c r="BJ514" s="2869"/>
      <c r="BK514" s="2296"/>
      <c r="BL514" s="182"/>
      <c r="BM514" s="182"/>
      <c r="BN514" s="1783"/>
      <c r="BO514" s="1107"/>
      <c r="BP514" s="1107"/>
      <c r="BQ514" s="1642"/>
      <c r="BR514" s="1614"/>
      <c r="BS514" s="183"/>
      <c r="BT514" s="183"/>
      <c r="BU514" s="1784"/>
      <c r="BV514" s="184"/>
      <c r="BW514" s="184"/>
      <c r="BX514" s="1785"/>
      <c r="BY514" s="1107"/>
      <c r="BZ514" s="1642"/>
      <c r="CA514" s="1614"/>
    </row>
    <row r="515" spans="1:79" ht="21.6" customHeight="1" x14ac:dyDescent="0.4">
      <c r="A515" s="249"/>
      <c r="B515" s="249"/>
      <c r="C515" s="584" t="s">
        <v>307</v>
      </c>
      <c r="D515" s="1948"/>
      <c r="E515" s="1949"/>
      <c r="F515" s="1950"/>
      <c r="G515" s="1948"/>
      <c r="H515" s="1949"/>
      <c r="I515" s="1951"/>
      <c r="J515" s="1948"/>
      <c r="K515" s="1950"/>
      <c r="L515" s="1951"/>
      <c r="M515" s="1948"/>
      <c r="N515" s="1962"/>
      <c r="O515" s="1948"/>
      <c r="P515" s="1948"/>
      <c r="Q515" s="1950"/>
      <c r="R515" s="1951"/>
      <c r="S515" s="1954"/>
      <c r="T515" s="1948"/>
      <c r="U515" s="1948"/>
      <c r="V515" s="1954"/>
      <c r="W515" s="1948"/>
      <c r="X515" s="1954"/>
      <c r="Y515" s="1948"/>
      <c r="Z515" s="1962"/>
      <c r="AA515" s="1948"/>
      <c r="AB515" s="1948"/>
      <c r="AC515" s="1948"/>
      <c r="AD515" s="1948"/>
      <c r="AE515" s="1157"/>
      <c r="AF515" s="2312"/>
      <c r="AG515" s="1157"/>
      <c r="AH515" s="1160"/>
      <c r="AI515" s="1160"/>
      <c r="AJ515" s="1160"/>
      <c r="AK515" s="1283"/>
      <c r="AL515" s="275"/>
      <c r="AM515" s="1285"/>
      <c r="AN515" s="2300"/>
      <c r="AO515" s="2060"/>
      <c r="AP515" s="1273"/>
      <c r="AQ515" s="778"/>
      <c r="AR515" s="2247"/>
      <c r="AS515" s="778"/>
      <c r="AT515" s="1394"/>
      <c r="AU515" s="2302"/>
      <c r="AV515" s="1394"/>
      <c r="AW515" s="1772"/>
      <c r="AX515" s="2221"/>
      <c r="AY515" s="2315"/>
      <c r="AZ515" s="1868"/>
      <c r="BA515" s="2846"/>
      <c r="BB515" s="1802"/>
      <c r="BC515" s="687"/>
      <c r="BD515" s="1555"/>
      <c r="BE515" s="687"/>
      <c r="BF515" s="2662"/>
      <c r="BG515" s="2846"/>
      <c r="BH515" s="2662"/>
      <c r="BI515" s="1556"/>
      <c r="BJ515" s="2869"/>
      <c r="BK515" s="1778"/>
      <c r="BL515" s="182"/>
      <c r="BM515" s="182"/>
      <c r="BN515" s="1783"/>
      <c r="BO515" s="1107"/>
      <c r="BP515" s="1107"/>
      <c r="BQ515" s="1642"/>
      <c r="BR515" s="1614"/>
      <c r="BS515" s="183"/>
      <c r="BT515" s="183"/>
      <c r="BU515" s="1784"/>
      <c r="BV515" s="184"/>
      <c r="BW515" s="184"/>
      <c r="BX515" s="1785"/>
      <c r="BY515" s="1107"/>
      <c r="BZ515" s="1642"/>
      <c r="CA515" s="1614"/>
    </row>
    <row r="516" spans="1:79" ht="21" customHeight="1" x14ac:dyDescent="0.4">
      <c r="A516" s="249"/>
      <c r="B516" s="249"/>
      <c r="C516" s="584">
        <v>0.89930555555555503</v>
      </c>
      <c r="D516" s="1948"/>
      <c r="E516" s="1949"/>
      <c r="F516" s="1950"/>
      <c r="G516" s="1948"/>
      <c r="H516" s="1949"/>
      <c r="I516" s="1951"/>
      <c r="J516" s="1948"/>
      <c r="K516" s="1950"/>
      <c r="L516" s="1951"/>
      <c r="M516" s="1948"/>
      <c r="N516" s="1962"/>
      <c r="O516" s="1948"/>
      <c r="P516" s="1948"/>
      <c r="Q516" s="1950"/>
      <c r="R516" s="1951"/>
      <c r="S516" s="1954"/>
      <c r="T516" s="1948"/>
      <c r="U516" s="1948"/>
      <c r="V516" s="1954"/>
      <c r="W516" s="1948"/>
      <c r="X516" s="1954"/>
      <c r="Y516" s="1948"/>
      <c r="Z516" s="1962"/>
      <c r="AA516" s="1948"/>
      <c r="AB516" s="1948"/>
      <c r="AC516" s="1948"/>
      <c r="AD516" s="1948"/>
      <c r="AE516" s="1157"/>
      <c r="AF516" s="2312"/>
      <c r="AG516" s="1157"/>
      <c r="AH516" s="1594"/>
      <c r="AI516" s="1645"/>
      <c r="AJ516" s="1256"/>
      <c r="AK516" s="2317"/>
      <c r="AL516" s="2318"/>
      <c r="AM516" s="1531"/>
      <c r="AN516" s="1625"/>
      <c r="AO516" s="2319"/>
      <c r="AP516" s="1438"/>
      <c r="AQ516" s="2320"/>
      <c r="AR516" s="2247"/>
      <c r="AS516" s="1640"/>
      <c r="AT516" s="1597"/>
      <c r="AU516" s="2321"/>
      <c r="AV516" s="1537"/>
      <c r="AW516" s="2322"/>
      <c r="AX516" s="2221"/>
      <c r="AY516" s="1022"/>
      <c r="AZ516" s="2323"/>
      <c r="BA516" s="2846"/>
      <c r="BB516" s="1609"/>
      <c r="BC516" s="2325"/>
      <c r="BD516" s="2326"/>
      <c r="BE516" s="908"/>
      <c r="BF516" s="2659"/>
      <c r="BG516" s="2846"/>
      <c r="BH516" s="2659"/>
      <c r="BI516" s="1871"/>
      <c r="BJ516" s="2869"/>
      <c r="BK516" s="1778"/>
      <c r="BL516" s="182"/>
      <c r="BM516" s="182"/>
      <c r="BN516" s="1783"/>
      <c r="BO516" s="1107"/>
      <c r="BP516" s="1107"/>
      <c r="BQ516" s="1642"/>
      <c r="BR516" s="1614"/>
      <c r="BS516" s="183"/>
      <c r="BT516" s="183"/>
      <c r="BU516" s="1784"/>
      <c r="BV516" s="184"/>
      <c r="BW516" s="184"/>
      <c r="BX516" s="1785"/>
      <c r="BY516" s="1107"/>
      <c r="BZ516" s="1642"/>
      <c r="CA516" s="1614"/>
    </row>
    <row r="517" spans="1:79" ht="20.85" customHeight="1" x14ac:dyDescent="0.4">
      <c r="A517" s="249"/>
      <c r="B517" s="249"/>
      <c r="C517" s="584">
        <v>0.90277777777777701</v>
      </c>
      <c r="D517" s="1948"/>
      <c r="E517" s="1949"/>
      <c r="F517" s="1950"/>
      <c r="G517" s="1948"/>
      <c r="H517" s="1949"/>
      <c r="I517" s="1951"/>
      <c r="J517" s="1948"/>
      <c r="K517" s="1950"/>
      <c r="L517" s="1951"/>
      <c r="M517" s="1948"/>
      <c r="N517" s="1962"/>
      <c r="O517" s="1948"/>
      <c r="P517" s="1948"/>
      <c r="Q517" s="1950"/>
      <c r="R517" s="1951"/>
      <c r="S517" s="1954"/>
      <c r="T517" s="1948"/>
      <c r="U517" s="1948"/>
      <c r="V517" s="1954"/>
      <c r="W517" s="1948"/>
      <c r="X517" s="1954"/>
      <c r="Y517" s="1948"/>
      <c r="Z517" s="1962"/>
      <c r="AA517" s="1948"/>
      <c r="AB517" s="1948"/>
      <c r="AC517" s="1948"/>
      <c r="AD517" s="1948"/>
      <c r="AE517" s="1157"/>
      <c r="AF517" s="2312"/>
      <c r="AG517" s="1157"/>
      <c r="AH517" s="1594"/>
      <c r="AI517" s="1160"/>
      <c r="AJ517" s="1160"/>
      <c r="AK517" s="1285"/>
      <c r="AL517" s="2328"/>
      <c r="AM517" s="1285"/>
      <c r="AN517" s="1273"/>
      <c r="AO517" s="2212"/>
      <c r="AP517" s="1273"/>
      <c r="AQ517" s="778"/>
      <c r="AR517" s="2247"/>
      <c r="AS517" s="778"/>
      <c r="AT517" s="1208"/>
      <c r="AU517" s="1884"/>
      <c r="AV517" s="1210"/>
      <c r="AW517" s="2329"/>
      <c r="AX517" s="2330"/>
      <c r="AY517" s="684"/>
      <c r="AZ517" s="1868"/>
      <c r="BA517" s="2331"/>
      <c r="BB517" s="1802"/>
      <c r="BC517" s="1958"/>
      <c r="BD517" s="2332"/>
      <c r="BE517" s="908"/>
      <c r="BF517" s="2659"/>
      <c r="BG517" s="2846"/>
      <c r="BH517" s="2659"/>
      <c r="BI517" s="1773"/>
      <c r="BJ517" s="2869"/>
      <c r="BK517" s="2296"/>
      <c r="BL517" s="182"/>
      <c r="BM517" s="182"/>
      <c r="BN517" s="1783"/>
      <c r="BO517" s="1107"/>
      <c r="BP517" s="1107"/>
      <c r="BQ517" s="1642"/>
      <c r="BR517" s="1614"/>
      <c r="BS517" s="183"/>
      <c r="BT517" s="183"/>
      <c r="BU517" s="1784"/>
      <c r="BV517" s="184"/>
      <c r="BW517" s="184"/>
      <c r="BX517" s="1785"/>
      <c r="BY517" s="1107"/>
      <c r="BZ517" s="1642"/>
      <c r="CA517" s="1614"/>
    </row>
    <row r="518" spans="1:79" ht="21" customHeight="1" x14ac:dyDescent="0.4">
      <c r="A518" s="249"/>
      <c r="B518" s="249"/>
      <c r="C518" s="584" t="s">
        <v>307</v>
      </c>
      <c r="D518" s="1948"/>
      <c r="E518" s="1949"/>
      <c r="F518" s="1950"/>
      <c r="G518" s="1948"/>
      <c r="H518" s="1949"/>
      <c r="I518" s="1951"/>
      <c r="J518" s="1948"/>
      <c r="K518" s="1950"/>
      <c r="L518" s="1951"/>
      <c r="M518" s="1948"/>
      <c r="N518" s="1962"/>
      <c r="O518" s="1948"/>
      <c r="P518" s="1948"/>
      <c r="Q518" s="1950"/>
      <c r="R518" s="1951"/>
      <c r="S518" s="1954"/>
      <c r="T518" s="1948"/>
      <c r="U518" s="1948"/>
      <c r="V518" s="1954"/>
      <c r="W518" s="1948"/>
      <c r="X518" s="1954"/>
      <c r="Y518" s="1948"/>
      <c r="Z518" s="1962"/>
      <c r="AA518" s="1948"/>
      <c r="AB518" s="1948"/>
      <c r="AC518" s="1948"/>
      <c r="AD518" s="1948"/>
      <c r="AE518" s="1157"/>
      <c r="AF518" s="2312"/>
      <c r="AG518" s="1157"/>
      <c r="AH518" s="1594"/>
      <c r="AI518" s="1645"/>
      <c r="AJ518" s="1256"/>
      <c r="AK518" s="1200"/>
      <c r="AL518" s="275"/>
      <c r="AM518" s="1285"/>
      <c r="AN518" s="1273"/>
      <c r="AO518" s="2212"/>
      <c r="AP518" s="1273"/>
      <c r="AQ518" s="778"/>
      <c r="AR518" s="2247"/>
      <c r="AS518" s="778"/>
      <c r="AT518" s="1208"/>
      <c r="AU518" s="1884"/>
      <c r="AV518" s="1210"/>
      <c r="AW518" s="2329"/>
      <c r="AX518" s="1431"/>
      <c r="AY518" s="684"/>
      <c r="AZ518" s="1868"/>
      <c r="BA518" s="2333"/>
      <c r="BB518" s="1802"/>
      <c r="BC518" s="1958"/>
      <c r="BD518" s="2332"/>
      <c r="BE518" s="908"/>
      <c r="BF518" s="2662"/>
      <c r="BG518" s="2846"/>
      <c r="BH518" s="2662"/>
      <c r="BI518" s="1773"/>
      <c r="BJ518" s="2869"/>
      <c r="BK518" s="1556"/>
      <c r="BL518" s="182"/>
      <c r="BM518" s="182"/>
      <c r="BN518" s="1783"/>
      <c r="BO518" s="1107"/>
      <c r="BP518" s="1107"/>
      <c r="BQ518" s="1642"/>
      <c r="BR518" s="1614"/>
      <c r="BS518" s="183"/>
      <c r="BT518" s="183"/>
      <c r="BU518" s="1784"/>
      <c r="BV518" s="184"/>
      <c r="BW518" s="184"/>
      <c r="BX518" s="1785"/>
      <c r="BY518" s="1107"/>
      <c r="BZ518" s="1642"/>
      <c r="CA518" s="1614"/>
    </row>
    <row r="519" spans="1:79" ht="30" customHeight="1" x14ac:dyDescent="0.4">
      <c r="A519" s="249"/>
      <c r="B519" s="249"/>
      <c r="C519" s="584">
        <v>0.906249999999999</v>
      </c>
      <c r="D519" s="1948"/>
      <c r="E519" s="1949"/>
      <c r="F519" s="1950"/>
      <c r="G519" s="1948"/>
      <c r="H519" s="1949"/>
      <c r="I519" s="1951"/>
      <c r="J519" s="1948"/>
      <c r="K519" s="1950"/>
      <c r="L519" s="1951"/>
      <c r="M519" s="1948"/>
      <c r="N519" s="1962"/>
      <c r="O519" s="1948"/>
      <c r="P519" s="1948"/>
      <c r="Q519" s="1950"/>
      <c r="R519" s="1951"/>
      <c r="S519" s="1954"/>
      <c r="T519" s="1948"/>
      <c r="U519" s="1948"/>
      <c r="V519" s="1954"/>
      <c r="W519" s="1948"/>
      <c r="X519" s="1954"/>
      <c r="Y519" s="1948"/>
      <c r="Z519" s="1962"/>
      <c r="AA519" s="1948"/>
      <c r="AB519" s="1948"/>
      <c r="AC519" s="1948"/>
      <c r="AD519" s="1948"/>
      <c r="AE519" s="2643"/>
      <c r="AF519" s="2335" t="s">
        <v>561</v>
      </c>
      <c r="AG519" s="2674"/>
      <c r="AH519" s="1159"/>
      <c r="AI519" s="1160" t="s">
        <v>356</v>
      </c>
      <c r="AJ519" s="1160"/>
      <c r="AK519" s="1283"/>
      <c r="AL519" s="1284" t="s">
        <v>334</v>
      </c>
      <c r="AM519" s="1285"/>
      <c r="AN519" s="1273"/>
      <c r="AO519" s="1107" t="s">
        <v>376</v>
      </c>
      <c r="AP519" s="1273"/>
      <c r="AQ519" s="778"/>
      <c r="AR519" s="2247"/>
      <c r="AS519" s="778"/>
      <c r="AT519" s="1208"/>
      <c r="AU519" s="2672" t="s">
        <v>350</v>
      </c>
      <c r="AV519" s="1210"/>
      <c r="AW519" s="2329"/>
      <c r="AX519" s="793" t="s">
        <v>336</v>
      </c>
      <c r="AY519" s="684"/>
      <c r="AZ519" s="1868"/>
      <c r="BA519" s="1214"/>
      <c r="BB519" s="1802"/>
      <c r="BC519" s="687"/>
      <c r="BD519" s="975" t="s">
        <v>533</v>
      </c>
      <c r="BE519" s="687"/>
      <c r="BF519" s="2659"/>
      <c r="BG519" s="1430" t="s">
        <v>562</v>
      </c>
      <c r="BH519" s="2659"/>
      <c r="BI519" s="1556"/>
      <c r="BJ519" s="2869"/>
      <c r="BK519" s="1871"/>
      <c r="BL519" s="2119"/>
      <c r="BM519" s="182"/>
      <c r="BN519" s="182"/>
      <c r="BO519" s="1107"/>
      <c r="BP519" s="1107"/>
      <c r="BQ519" s="1642"/>
      <c r="BR519" s="1107"/>
      <c r="BS519" s="2008"/>
      <c r="BT519" s="183"/>
      <c r="BU519" s="1784"/>
      <c r="BV519" s="2009"/>
      <c r="BW519" s="184"/>
      <c r="BX519" s="1785"/>
      <c r="BY519" s="1107"/>
      <c r="BZ519" s="1642"/>
      <c r="CA519" s="1107"/>
    </row>
    <row r="520" spans="1:79" ht="16.350000000000001" customHeight="1" x14ac:dyDescent="0.4">
      <c r="A520" s="249"/>
      <c r="B520" s="249"/>
      <c r="C520" s="584" t="s">
        <v>307</v>
      </c>
      <c r="D520" s="1948"/>
      <c r="E520" s="1949"/>
      <c r="F520" s="1950"/>
      <c r="G520" s="1948"/>
      <c r="H520" s="1949"/>
      <c r="I520" s="1951"/>
      <c r="J520" s="1948"/>
      <c r="K520" s="1950"/>
      <c r="L520" s="1951"/>
      <c r="M520" s="1948"/>
      <c r="N520" s="1962"/>
      <c r="O520" s="1948"/>
      <c r="P520" s="1948"/>
      <c r="Q520" s="1950"/>
      <c r="R520" s="1951"/>
      <c r="S520" s="1954"/>
      <c r="T520" s="1948"/>
      <c r="U520" s="1948"/>
      <c r="V520" s="1954"/>
      <c r="W520" s="1948"/>
      <c r="X520" s="1954"/>
      <c r="Y520" s="1948"/>
      <c r="Z520" s="1962"/>
      <c r="AA520" s="1948"/>
      <c r="AB520" s="1948"/>
      <c r="AC520" s="1948"/>
      <c r="AD520" s="1948"/>
      <c r="AE520" s="1591"/>
      <c r="AF520" s="1657"/>
      <c r="AG520" s="1385"/>
      <c r="AH520" s="1160"/>
      <c r="AI520" s="1160" t="s">
        <v>366</v>
      </c>
      <c r="AJ520" s="1160"/>
      <c r="AK520" s="1283"/>
      <c r="AL520" s="1283"/>
      <c r="AM520" s="1285"/>
      <c r="AN520" s="1273"/>
      <c r="AO520" s="1273"/>
      <c r="AP520" s="1273"/>
      <c r="AQ520" s="778"/>
      <c r="AR520" s="778"/>
      <c r="AS520" s="778"/>
      <c r="AT520" s="1208"/>
      <c r="AU520" s="1210"/>
      <c r="AV520" s="1210"/>
      <c r="AW520" s="2329"/>
      <c r="AX520" s="1428"/>
      <c r="AY520" s="684"/>
      <c r="AZ520" s="1868"/>
      <c r="BA520" s="1280"/>
      <c r="BB520" s="1802"/>
      <c r="BC520" s="687"/>
      <c r="BD520" s="2339" t="s">
        <v>384</v>
      </c>
      <c r="BE520" s="687"/>
      <c r="BF520" s="2659"/>
      <c r="BG520" s="1862"/>
      <c r="BH520" s="2659"/>
      <c r="BI520" s="1556"/>
      <c r="BJ520" s="1773"/>
      <c r="BK520" s="2153"/>
      <c r="BL520" s="182"/>
      <c r="BM520" s="182"/>
      <c r="BN520" s="182"/>
      <c r="BO520" s="1107"/>
      <c r="BP520" s="1107"/>
      <c r="BQ520" s="1642"/>
      <c r="BR520" s="1107"/>
      <c r="BS520" s="183"/>
      <c r="BT520" s="183"/>
      <c r="BU520" s="183"/>
      <c r="BV520" s="184"/>
      <c r="BW520" s="184"/>
      <c r="BX520" s="184"/>
      <c r="BY520" s="1107"/>
      <c r="BZ520" s="1642"/>
      <c r="CA520" s="1107"/>
    </row>
    <row r="521" spans="1:79" ht="18.600000000000001" customHeight="1" x14ac:dyDescent="0.4">
      <c r="A521" s="249"/>
      <c r="B521" s="249"/>
      <c r="C521" s="584" t="s">
        <v>307</v>
      </c>
      <c r="D521" s="1948"/>
      <c r="E521" s="1949"/>
      <c r="F521" s="1950"/>
      <c r="G521" s="1948"/>
      <c r="H521" s="1949"/>
      <c r="I521" s="1951"/>
      <c r="J521" s="1948"/>
      <c r="K521" s="1950"/>
      <c r="L521" s="1951"/>
      <c r="M521" s="1948"/>
      <c r="N521" s="1962"/>
      <c r="O521" s="1948"/>
      <c r="P521" s="1948"/>
      <c r="Q521" s="1950"/>
      <c r="R521" s="1951"/>
      <c r="S521" s="1954"/>
      <c r="T521" s="1948"/>
      <c r="U521" s="1948"/>
      <c r="V521" s="1954"/>
      <c r="W521" s="1948"/>
      <c r="X521" s="1954"/>
      <c r="Y521" s="1948"/>
      <c r="Z521" s="1962"/>
      <c r="AA521" s="1948"/>
      <c r="AB521" s="1948"/>
      <c r="AC521" s="1948"/>
      <c r="AD521" s="1948"/>
      <c r="AE521" s="1385"/>
      <c r="AF521" s="2340"/>
      <c r="AG521" s="1624"/>
      <c r="AH521" s="1594"/>
      <c r="AI521" s="1160" t="s">
        <v>447</v>
      </c>
      <c r="AJ521" s="1256"/>
      <c r="AK521" s="1283"/>
      <c r="AL521" s="1283"/>
      <c r="AM521" s="1285"/>
      <c r="AN521" s="1273"/>
      <c r="AO521" s="1872"/>
      <c r="AP521" s="1273"/>
      <c r="AQ521" s="779"/>
      <c r="AR521" s="2217"/>
      <c r="AS521" s="1409"/>
      <c r="AT521" s="1208"/>
      <c r="AU521" s="1724"/>
      <c r="AV521" s="1210"/>
      <c r="AW521" s="2329"/>
      <c r="AX521" s="1428"/>
      <c r="AY521" s="684"/>
      <c r="AZ521" s="1868"/>
      <c r="BA521" s="1280"/>
      <c r="BB521" s="1802"/>
      <c r="BC521" s="1958"/>
      <c r="BD521" s="2339"/>
      <c r="BE521" s="908"/>
      <c r="BF521" s="2659"/>
      <c r="BG521" s="2661"/>
      <c r="BH521" s="2659"/>
      <c r="BI521" s="1556"/>
      <c r="BJ521" s="1789"/>
      <c r="BK521" s="2296"/>
      <c r="BL521" s="182"/>
      <c r="BM521" s="182"/>
      <c r="BN521" s="182"/>
      <c r="BO521" s="1107"/>
      <c r="BP521" s="1107"/>
      <c r="BQ521" s="1642"/>
      <c r="BR521" s="1107"/>
      <c r="BS521" s="183"/>
      <c r="BT521" s="183"/>
      <c r="BU521" s="183"/>
      <c r="BV521" s="184"/>
      <c r="BW521" s="184"/>
      <c r="BX521" s="184"/>
      <c r="BY521" s="1107"/>
      <c r="BZ521" s="1642"/>
      <c r="CA521" s="1107"/>
    </row>
    <row r="522" spans="1:79" ht="14.85" customHeight="1" x14ac:dyDescent="0.4">
      <c r="A522" s="249"/>
      <c r="B522" s="249"/>
      <c r="C522" s="584" t="s">
        <v>307</v>
      </c>
      <c r="D522" s="1948"/>
      <c r="E522" s="1949"/>
      <c r="F522" s="1950"/>
      <c r="G522" s="1948"/>
      <c r="H522" s="1949"/>
      <c r="I522" s="1951"/>
      <c r="J522" s="1948"/>
      <c r="K522" s="1950"/>
      <c r="L522" s="1951"/>
      <c r="M522" s="1948"/>
      <c r="N522" s="1962"/>
      <c r="O522" s="1948"/>
      <c r="P522" s="1948"/>
      <c r="Q522" s="1950"/>
      <c r="R522" s="1951"/>
      <c r="S522" s="1954"/>
      <c r="T522" s="1948"/>
      <c r="U522" s="1948"/>
      <c r="V522" s="1954"/>
      <c r="W522" s="1948"/>
      <c r="X522" s="1954"/>
      <c r="Y522" s="1948"/>
      <c r="Z522" s="1962"/>
      <c r="AA522" s="1948"/>
      <c r="AB522" s="1948"/>
      <c r="AC522" s="1948"/>
      <c r="AD522" s="1948"/>
      <c r="AE522" s="1591"/>
      <c r="AF522" s="2340"/>
      <c r="AG522" s="1624"/>
      <c r="AH522" s="1594"/>
      <c r="AI522" s="2257" t="s">
        <v>563</v>
      </c>
      <c r="AJ522" s="1256"/>
      <c r="AK522" s="1200"/>
      <c r="AL522" s="1285"/>
      <c r="AM522" s="1285"/>
      <c r="AN522" s="1273"/>
      <c r="AO522" s="2212"/>
      <c r="AP522" s="1273"/>
      <c r="AQ522" s="779"/>
      <c r="AR522" s="2217"/>
      <c r="AS522" s="1409"/>
      <c r="AT522" s="1208"/>
      <c r="AU522" s="1724"/>
      <c r="AV522" s="1210"/>
      <c r="AW522" s="2329"/>
      <c r="AX522" s="1121"/>
      <c r="AY522" s="684"/>
      <c r="AZ522" s="1868"/>
      <c r="BA522" s="1258"/>
      <c r="BB522" s="1802"/>
      <c r="BC522" s="1958"/>
      <c r="BD522" s="967"/>
      <c r="BE522" s="908"/>
      <c r="BF522" s="2659"/>
      <c r="BG522" s="1862"/>
      <c r="BH522" s="2659"/>
      <c r="BI522" s="1670"/>
      <c r="BJ522" s="1773"/>
      <c r="BK522" s="1871"/>
      <c r="BL522" s="182"/>
      <c r="BM522" s="182"/>
      <c r="BN522" s="182"/>
      <c r="BO522" s="1107"/>
      <c r="BP522" s="1107"/>
      <c r="BQ522" s="1642"/>
      <c r="BR522" s="1107"/>
      <c r="BS522" s="183"/>
      <c r="BT522" s="183"/>
      <c r="BU522" s="183"/>
      <c r="BV522" s="184"/>
      <c r="BW522" s="184"/>
      <c r="BX522" s="184"/>
      <c r="BY522" s="1107"/>
      <c r="BZ522" s="1642"/>
      <c r="CA522" s="1107"/>
    </row>
    <row r="523" spans="1:79" ht="21" customHeight="1" x14ac:dyDescent="0.4">
      <c r="A523" s="249"/>
      <c r="B523" s="249"/>
      <c r="C523" s="584">
        <v>0.90972222222222199</v>
      </c>
      <c r="D523" s="1948"/>
      <c r="E523" s="1949"/>
      <c r="F523" s="1950"/>
      <c r="G523" s="1948"/>
      <c r="H523" s="1949"/>
      <c r="I523" s="1951"/>
      <c r="J523" s="1948"/>
      <c r="K523" s="1950"/>
      <c r="L523" s="1951"/>
      <c r="M523" s="1948"/>
      <c r="N523" s="1962"/>
      <c r="O523" s="1948"/>
      <c r="P523" s="1948"/>
      <c r="Q523" s="1950"/>
      <c r="R523" s="1951"/>
      <c r="S523" s="1954"/>
      <c r="T523" s="1948"/>
      <c r="U523" s="1948"/>
      <c r="V523" s="1954"/>
      <c r="W523" s="1948"/>
      <c r="X523" s="1954"/>
      <c r="Y523" s="1948"/>
      <c r="Z523" s="1962"/>
      <c r="AA523" s="1948"/>
      <c r="AB523" s="1948"/>
      <c r="AC523" s="1948"/>
      <c r="AD523" s="1948"/>
      <c r="AE523" s="2676"/>
      <c r="AF523" s="2676" t="s">
        <v>564</v>
      </c>
      <c r="AG523" s="2676"/>
      <c r="AH523" s="1594"/>
      <c r="AI523" s="1160"/>
      <c r="AJ523" s="1256"/>
      <c r="AK523" s="1200"/>
      <c r="AL523" s="2553" t="s">
        <v>470</v>
      </c>
      <c r="AM523" s="1285"/>
      <c r="AN523" s="1273"/>
      <c r="AO523" s="1273"/>
      <c r="AP523" s="2345"/>
      <c r="AQ523" s="779"/>
      <c r="AR523" s="2346"/>
      <c r="AS523" s="1409"/>
      <c r="AT523" s="1665"/>
      <c r="AU523" s="1724"/>
      <c r="AV523" s="1665"/>
      <c r="AW523" s="2329"/>
      <c r="AX523" s="1403"/>
      <c r="AY523" s="2329"/>
      <c r="AZ523" s="1868"/>
      <c r="BA523" s="2677" t="s">
        <v>565</v>
      </c>
      <c r="BB523" s="1802"/>
      <c r="BC523" s="687"/>
      <c r="BD523" s="1259"/>
      <c r="BE523" s="908"/>
      <c r="BF523" s="2652"/>
      <c r="BG523" s="1862"/>
      <c r="BH523" s="2659"/>
      <c r="BI523" s="2678"/>
      <c r="BJ523" s="2679" t="s">
        <v>566</v>
      </c>
      <c r="BK523" s="2680"/>
      <c r="BL523" s="2236"/>
      <c r="BM523" s="182"/>
      <c r="BN523" s="2236"/>
      <c r="BO523" s="1107"/>
      <c r="BP523" s="1404"/>
      <c r="BQ523" s="1107"/>
      <c r="BR523" s="1779"/>
      <c r="BS523" s="2237"/>
      <c r="BT523" s="183"/>
      <c r="BU523" s="2237"/>
      <c r="BV523" s="2238"/>
      <c r="BW523" s="184"/>
      <c r="BX523" s="2238"/>
      <c r="BY523" s="1404"/>
      <c r="BZ523" s="1107"/>
      <c r="CA523" s="1779"/>
    </row>
    <row r="524" spans="1:79" ht="21.6" customHeight="1" x14ac:dyDescent="0.4">
      <c r="A524" s="249"/>
      <c r="B524" s="249"/>
      <c r="C524" s="584" t="s">
        <v>307</v>
      </c>
      <c r="D524" s="1948"/>
      <c r="E524" s="1949"/>
      <c r="F524" s="1950"/>
      <c r="G524" s="1948"/>
      <c r="H524" s="1949"/>
      <c r="I524" s="1951"/>
      <c r="J524" s="1948"/>
      <c r="K524" s="1950"/>
      <c r="L524" s="1951"/>
      <c r="M524" s="1948"/>
      <c r="N524" s="1962"/>
      <c r="O524" s="1948"/>
      <c r="P524" s="1948"/>
      <c r="Q524" s="1950"/>
      <c r="R524" s="1951"/>
      <c r="S524" s="1954"/>
      <c r="T524" s="1948"/>
      <c r="U524" s="1948"/>
      <c r="V524" s="1954"/>
      <c r="W524" s="1948"/>
      <c r="X524" s="1954"/>
      <c r="Y524" s="1948"/>
      <c r="Z524" s="1962"/>
      <c r="AA524" s="1948"/>
      <c r="AB524" s="1948"/>
      <c r="AC524" s="1948"/>
      <c r="AD524" s="1948"/>
      <c r="AE524" s="1591"/>
      <c r="AF524" s="1967"/>
      <c r="AG524" s="1624"/>
      <c r="AH524" s="1594"/>
      <c r="AI524" s="1160"/>
      <c r="AJ524" s="1256"/>
      <c r="AK524" s="1200"/>
      <c r="AL524" s="1283"/>
      <c r="AM524" s="1285"/>
      <c r="AN524" s="1273"/>
      <c r="AO524" s="1273"/>
      <c r="AP524" s="2345"/>
      <c r="AQ524" s="778"/>
      <c r="AR524" s="778"/>
      <c r="AS524" s="1409"/>
      <c r="AT524" s="1392"/>
      <c r="AU524" s="1724"/>
      <c r="AV524" s="1394"/>
      <c r="AW524" s="2329"/>
      <c r="AX524" s="1403"/>
      <c r="AY524" s="684"/>
      <c r="AZ524" s="1868"/>
      <c r="BA524" s="1280"/>
      <c r="BB524" s="1802"/>
      <c r="BC524" s="687"/>
      <c r="BD524" s="967"/>
      <c r="BE524" s="908"/>
      <c r="BF524" s="2659"/>
      <c r="BG524" s="1862"/>
      <c r="BH524" s="2659"/>
      <c r="BI524" s="1773"/>
      <c r="BJ524" s="2127"/>
      <c r="BK524" s="1871"/>
      <c r="BL524" s="182"/>
      <c r="BM524" s="182"/>
      <c r="BN524" s="182"/>
      <c r="BO524" s="1107"/>
      <c r="BP524" s="1642"/>
      <c r="BQ524" s="1107"/>
      <c r="BR524" s="1642"/>
      <c r="BS524" s="183"/>
      <c r="BT524" s="183"/>
      <c r="BU524" s="183"/>
      <c r="BV524" s="184"/>
      <c r="BW524" s="184"/>
      <c r="BX524" s="184"/>
      <c r="BY524" s="1642"/>
      <c r="BZ524" s="1107"/>
      <c r="CA524" s="1642"/>
    </row>
    <row r="525" spans="1:79" ht="24.6" customHeight="1" x14ac:dyDescent="0.4">
      <c r="A525" s="249"/>
      <c r="B525" s="249"/>
      <c r="C525" s="584" t="s">
        <v>307</v>
      </c>
      <c r="D525" s="1948"/>
      <c r="E525" s="1949"/>
      <c r="F525" s="1950"/>
      <c r="G525" s="1948"/>
      <c r="H525" s="1949"/>
      <c r="I525" s="1951"/>
      <c r="J525" s="1948"/>
      <c r="K525" s="1950"/>
      <c r="L525" s="1951"/>
      <c r="M525" s="1948"/>
      <c r="N525" s="1962"/>
      <c r="O525" s="1948"/>
      <c r="P525" s="1948"/>
      <c r="Q525" s="1950"/>
      <c r="R525" s="1951"/>
      <c r="S525" s="1954"/>
      <c r="T525" s="1948"/>
      <c r="U525" s="1948"/>
      <c r="V525" s="1954"/>
      <c r="W525" s="1948"/>
      <c r="X525" s="1954"/>
      <c r="Y525" s="1948"/>
      <c r="Z525" s="1962"/>
      <c r="AA525" s="1948"/>
      <c r="AB525" s="1948"/>
      <c r="AC525" s="1948"/>
      <c r="AD525" s="1948"/>
      <c r="AE525" s="1591"/>
      <c r="AF525" s="1967"/>
      <c r="AG525" s="1385"/>
      <c r="AH525" s="1160"/>
      <c r="AI525" s="1160"/>
      <c r="AJ525" s="1160"/>
      <c r="AK525" s="1283"/>
      <c r="AL525" s="1283"/>
      <c r="AM525" s="1283"/>
      <c r="AN525" s="1273"/>
      <c r="AO525" s="1273"/>
      <c r="AP525" s="1619"/>
      <c r="AQ525" s="778"/>
      <c r="AR525" s="778"/>
      <c r="AS525" s="778"/>
      <c r="AT525" s="1392"/>
      <c r="AU525" s="1210"/>
      <c r="AV525" s="1394"/>
      <c r="AW525" s="684"/>
      <c r="AX525" s="1169"/>
      <c r="AY525" s="684"/>
      <c r="AZ525" s="1868"/>
      <c r="BA525" s="1214"/>
      <c r="BB525" s="1802"/>
      <c r="BC525" s="687"/>
      <c r="BD525" s="967"/>
      <c r="BE525" s="687"/>
      <c r="BF525" s="2659"/>
      <c r="BG525" s="1862"/>
      <c r="BH525" s="2659"/>
      <c r="BI525" s="1556"/>
      <c r="BJ525" s="1556"/>
      <c r="BK525" s="1556"/>
      <c r="BL525" s="182"/>
      <c r="BM525" s="1732"/>
      <c r="BN525" s="182"/>
      <c r="BO525" s="1107"/>
      <c r="BP525" s="1107"/>
      <c r="BQ525" s="1161"/>
      <c r="BR525" s="1107"/>
      <c r="BS525" s="183"/>
      <c r="BT525" s="1735"/>
      <c r="BU525" s="183"/>
      <c r="BV525" s="184"/>
      <c r="BW525" s="1738"/>
      <c r="BX525" s="184"/>
      <c r="BY525" s="1107"/>
      <c r="BZ525" s="1161"/>
      <c r="CA525" s="1107"/>
    </row>
    <row r="526" spans="1:79" ht="24.6" customHeight="1" x14ac:dyDescent="0.4">
      <c r="A526" s="249"/>
      <c r="B526" s="249"/>
      <c r="C526" s="621">
        <v>0.91319444444444398</v>
      </c>
      <c r="D526" s="1948"/>
      <c r="E526" s="1949"/>
      <c r="F526" s="1950"/>
      <c r="G526" s="1948"/>
      <c r="H526" s="1949"/>
      <c r="I526" s="1951"/>
      <c r="J526" s="1948"/>
      <c r="K526" s="1950"/>
      <c r="L526" s="1951"/>
      <c r="M526" s="1948"/>
      <c r="N526" s="1962"/>
      <c r="O526" s="1948"/>
      <c r="P526" s="1948"/>
      <c r="Q526" s="1950"/>
      <c r="R526" s="1951"/>
      <c r="S526" s="1954"/>
      <c r="T526" s="1948"/>
      <c r="U526" s="1948"/>
      <c r="V526" s="1954"/>
      <c r="W526" s="1948"/>
      <c r="X526" s="1954"/>
      <c r="Y526" s="1948"/>
      <c r="Z526" s="1962"/>
      <c r="AA526" s="1948"/>
      <c r="AB526" s="1948"/>
      <c r="AC526" s="1948"/>
      <c r="AD526" s="1948"/>
      <c r="AE526" s="1591"/>
      <c r="AF526" s="1967"/>
      <c r="AG526" s="1385"/>
      <c r="AH526" s="1160"/>
      <c r="AI526" s="1160"/>
      <c r="AJ526" s="1160"/>
      <c r="AK526" s="1283"/>
      <c r="AL526" s="1283"/>
      <c r="AM526" s="1283"/>
      <c r="AN526" s="1273"/>
      <c r="AO526" s="1273"/>
      <c r="AP526" s="1619"/>
      <c r="AQ526" s="778"/>
      <c r="AR526" s="778"/>
      <c r="AS526" s="778"/>
      <c r="AT526" s="1392"/>
      <c r="AU526" s="1210"/>
      <c r="AV526" s="1394"/>
      <c r="AW526" s="684"/>
      <c r="AX526" s="2809" t="s">
        <v>567</v>
      </c>
      <c r="AY526" s="684"/>
      <c r="AZ526" s="1868"/>
      <c r="BA526" s="2352"/>
      <c r="BB526" s="1802"/>
      <c r="BC526" s="687"/>
      <c r="BD526" s="967"/>
      <c r="BE526" s="687"/>
      <c r="BF526" s="2659"/>
      <c r="BG526" s="1862"/>
      <c r="BH526" s="2659"/>
      <c r="BI526" s="1543"/>
      <c r="BJ526" s="1543"/>
      <c r="BK526" s="1543"/>
      <c r="BL526" s="182"/>
      <c r="BM526" s="1732"/>
      <c r="BN526" s="182"/>
      <c r="BO526" s="1107"/>
      <c r="BP526" s="1107"/>
      <c r="BQ526" s="1161"/>
      <c r="BR526" s="1107"/>
      <c r="BS526" s="183"/>
      <c r="BT526" s="1735"/>
      <c r="BU526" s="183"/>
      <c r="BV526" s="184"/>
      <c r="BW526" s="1738"/>
      <c r="BX526" s="184"/>
      <c r="BY526" s="1107"/>
      <c r="BZ526" s="1161"/>
      <c r="CA526" s="1107"/>
    </row>
    <row r="527" spans="1:79" ht="14.85" customHeight="1" x14ac:dyDescent="0.4">
      <c r="A527" s="249"/>
      <c r="B527" s="249"/>
      <c r="C527" s="2353" t="s">
        <v>542</v>
      </c>
      <c r="D527" s="2354"/>
      <c r="E527" s="2025"/>
      <c r="F527" s="2026"/>
      <c r="G527" s="2024"/>
      <c r="H527" s="2025"/>
      <c r="I527" s="2097"/>
      <c r="J527" s="2024"/>
      <c r="K527" s="2026"/>
      <c r="L527" s="2097"/>
      <c r="M527" s="2024"/>
      <c r="N527" s="2028"/>
      <c r="O527" s="2024"/>
      <c r="P527" s="2024"/>
      <c r="Q527" s="2026"/>
      <c r="R527" s="2097"/>
      <c r="S527" s="2027"/>
      <c r="T527" s="2024"/>
      <c r="U527" s="2024"/>
      <c r="V527" s="2027"/>
      <c r="W527" s="2024"/>
      <c r="X527" s="2027"/>
      <c r="Y527" s="2024"/>
      <c r="Z527" s="2028"/>
      <c r="AA527" s="2024"/>
      <c r="AB527" s="2024"/>
      <c r="AC527" s="2024"/>
      <c r="AD527" s="2024"/>
      <c r="AE527" s="1493"/>
      <c r="AF527" s="2355"/>
      <c r="AG527" s="1686"/>
      <c r="AH527" s="1687"/>
      <c r="AI527" s="1687"/>
      <c r="AJ527" s="1687"/>
      <c r="AK527" s="1688"/>
      <c r="AL527" s="1920"/>
      <c r="AM527" s="1688"/>
      <c r="AN527" s="1500"/>
      <c r="AO527" s="2356"/>
      <c r="AP527" s="1500"/>
      <c r="AQ527" s="1692"/>
      <c r="AR527" s="1835"/>
      <c r="AS527" s="1692"/>
      <c r="AT527" s="1503"/>
      <c r="AU527" s="1693"/>
      <c r="AV527" s="1505"/>
      <c r="AW527" s="814"/>
      <c r="AX527" s="2198"/>
      <c r="AY527" s="814"/>
      <c r="AZ527" s="1929"/>
      <c r="BA527" s="2357"/>
      <c r="BB527" s="1837"/>
      <c r="BC527" s="1932"/>
      <c r="BD527" s="2105"/>
      <c r="BE527" s="1932"/>
      <c r="BF527" s="2358"/>
      <c r="BG527" s="2358"/>
      <c r="BH527" s="2358"/>
      <c r="BI527" s="1699"/>
      <c r="BJ527" s="1699"/>
      <c r="BK527" s="1699"/>
      <c r="BL527" s="243"/>
      <c r="BM527" s="243"/>
      <c r="BN527" s="243"/>
      <c r="BO527" s="1702"/>
      <c r="BP527" s="1702"/>
      <c r="BQ527" s="1702"/>
      <c r="BR527" s="1702"/>
      <c r="BS527" s="245"/>
      <c r="BT527" s="245"/>
      <c r="BU527" s="245"/>
      <c r="BV527" s="1841"/>
      <c r="BW527" s="1841"/>
      <c r="BX527" s="1841"/>
      <c r="BY527" s="1702"/>
      <c r="BZ527" s="1702"/>
      <c r="CA527" s="1702"/>
    </row>
    <row r="528" spans="1:79" ht="14.85" customHeight="1" x14ac:dyDescent="0.4">
      <c r="A528" s="249"/>
      <c r="B528" s="249"/>
      <c r="C528" s="622">
        <v>0.91666666666666663</v>
      </c>
      <c r="D528" s="249"/>
      <c r="E528" s="4"/>
      <c r="F528" s="2359"/>
      <c r="G528" s="249"/>
      <c r="H528" s="4"/>
      <c r="I528" s="3"/>
      <c r="J528" s="249"/>
      <c r="K528" s="2359"/>
      <c r="L528" s="3"/>
      <c r="M528" s="249"/>
      <c r="N528" s="249"/>
      <c r="O528" s="2360"/>
      <c r="P528" s="249"/>
      <c r="Q528" s="2359"/>
      <c r="R528" s="3"/>
      <c r="S528" s="8"/>
      <c r="T528" s="249"/>
      <c r="U528" s="249"/>
      <c r="V528" s="8"/>
      <c r="W528" s="249"/>
      <c r="X528" s="8"/>
      <c r="Y528" s="249"/>
      <c r="Z528" s="249"/>
      <c r="AA528" s="2360"/>
      <c r="AB528" s="249"/>
      <c r="AC528" s="249"/>
      <c r="AD528" s="249"/>
      <c r="AE528" s="2361"/>
      <c r="AF528" s="2362"/>
      <c r="AG528" s="2361"/>
      <c r="AH528" s="2361"/>
      <c r="AI528" s="2362"/>
      <c r="AJ528" s="2361"/>
      <c r="AK528" s="249"/>
      <c r="AL528" s="249"/>
      <c r="AM528" s="4"/>
      <c r="AN528" s="249"/>
      <c r="AO528" s="249"/>
      <c r="AP528" s="4"/>
      <c r="AQ528" s="249"/>
      <c r="AR528" s="249"/>
      <c r="AS528" s="4"/>
      <c r="AT528" s="249"/>
      <c r="AU528" s="249"/>
      <c r="AV528" s="4"/>
      <c r="AW528" s="249"/>
      <c r="AX528" s="249"/>
      <c r="AY528" s="4"/>
      <c r="AZ528" s="10"/>
      <c r="BA528" s="10"/>
      <c r="BB528" s="10"/>
      <c r="BC528" s="10"/>
      <c r="BD528" s="10"/>
      <c r="BE528" s="10"/>
      <c r="BF528" s="249"/>
      <c r="BG528" s="249"/>
      <c r="BH528" s="4"/>
      <c r="BI528" s="249"/>
      <c r="BJ528" s="249"/>
      <c r="BK528" s="4"/>
      <c r="BL528" s="2208"/>
      <c r="BM528" s="182" t="s">
        <v>271</v>
      </c>
      <c r="BN528" s="1783"/>
      <c r="BO528" s="10"/>
      <c r="BP528" s="10"/>
      <c r="BQ528" s="10"/>
      <c r="BR528" s="10"/>
      <c r="BS528" s="1893"/>
      <c r="BT528" s="183" t="s">
        <v>271</v>
      </c>
      <c r="BU528" s="1784"/>
      <c r="BV528" s="2120"/>
      <c r="BW528" s="184"/>
      <c r="BX528" s="1785"/>
      <c r="BY528" s="10"/>
      <c r="BZ528" s="10"/>
      <c r="CA528" s="10"/>
    </row>
    <row r="529" spans="1:79" ht="27" customHeight="1" x14ac:dyDescent="0.4">
      <c r="A529" s="249"/>
      <c r="B529" s="249"/>
      <c r="C529" s="584" t="s">
        <v>307</v>
      </c>
      <c r="D529" s="249"/>
      <c r="E529" s="4"/>
      <c r="F529" s="2359"/>
      <c r="G529" s="249"/>
      <c r="H529" s="4"/>
      <c r="I529" s="3"/>
      <c r="J529" s="249"/>
      <c r="K529" s="2359"/>
      <c r="L529" s="3"/>
      <c r="M529" s="249"/>
      <c r="N529" s="249"/>
      <c r="O529" s="2360"/>
      <c r="P529" s="249"/>
      <c r="Q529" s="2359"/>
      <c r="R529" s="3"/>
      <c r="S529" s="8"/>
      <c r="T529" s="249"/>
      <c r="U529" s="249"/>
      <c r="V529" s="8"/>
      <c r="W529" s="249"/>
      <c r="X529" s="8"/>
      <c r="Y529" s="249"/>
      <c r="Z529" s="249"/>
      <c r="AA529" s="2360"/>
      <c r="AB529" s="249"/>
      <c r="AC529" s="249"/>
      <c r="AD529" s="249"/>
      <c r="AE529" s="2361"/>
      <c r="AF529" s="2362"/>
      <c r="AG529" s="2361"/>
      <c r="AH529" s="2363"/>
      <c r="AI529" s="2364"/>
      <c r="AJ529" s="2361"/>
      <c r="AK529" s="249"/>
      <c r="AL529" s="249"/>
      <c r="AM529" s="4"/>
      <c r="AN529" s="249"/>
      <c r="AO529" s="249"/>
      <c r="AP529" s="4"/>
      <c r="AQ529" s="249"/>
      <c r="AR529" s="249"/>
      <c r="AS529" s="4"/>
      <c r="AT529" s="249"/>
      <c r="AU529" s="249"/>
      <c r="AV529" s="4"/>
      <c r="AW529" s="249"/>
      <c r="AX529" s="249"/>
      <c r="AY529" s="4"/>
      <c r="AZ529" s="10"/>
      <c r="BA529" s="10"/>
      <c r="BB529" s="10"/>
      <c r="BC529" s="10"/>
      <c r="BD529" s="10"/>
      <c r="BE529" s="10"/>
      <c r="BF529" s="249"/>
      <c r="BG529" s="249"/>
      <c r="BH529" s="4"/>
      <c r="BI529" s="249"/>
      <c r="BJ529" s="249"/>
      <c r="BK529" s="4"/>
      <c r="BL529" s="182"/>
      <c r="BM529" s="182" t="s">
        <v>310</v>
      </c>
      <c r="BN529" s="182"/>
      <c r="BO529" s="10"/>
      <c r="BP529" s="10"/>
      <c r="BQ529" s="10"/>
      <c r="BR529" s="10"/>
      <c r="BS529" s="2008"/>
      <c r="BT529" s="183" t="s">
        <v>310</v>
      </c>
      <c r="BU529" s="1784"/>
      <c r="BV529" s="2009"/>
      <c r="BW529" s="184"/>
      <c r="BX529" s="1785"/>
      <c r="BY529" s="10"/>
      <c r="BZ529" s="10"/>
      <c r="CA529" s="10"/>
    </row>
    <row r="530" spans="1:79" ht="14.85" customHeight="1" x14ac:dyDescent="0.4">
      <c r="A530" s="249"/>
      <c r="B530" s="249"/>
      <c r="C530" s="584">
        <v>0.92013888888888884</v>
      </c>
      <c r="D530" s="249"/>
      <c r="E530" s="4"/>
      <c r="F530" s="2359"/>
      <c r="G530" s="249"/>
      <c r="H530" s="4"/>
      <c r="I530" s="3"/>
      <c r="J530" s="249"/>
      <c r="K530" s="2359"/>
      <c r="L530" s="3"/>
      <c r="M530" s="249"/>
      <c r="N530" s="249"/>
      <c r="O530" s="2360"/>
      <c r="P530" s="249"/>
      <c r="Q530" s="2359"/>
      <c r="R530" s="3"/>
      <c r="S530" s="8"/>
      <c r="T530" s="249"/>
      <c r="U530" s="249"/>
      <c r="V530" s="8"/>
      <c r="W530" s="249"/>
      <c r="X530" s="8"/>
      <c r="Y530" s="249"/>
      <c r="Z530" s="249"/>
      <c r="AA530" s="2360"/>
      <c r="AB530" s="249"/>
      <c r="AC530" s="249"/>
      <c r="AD530" s="249"/>
      <c r="AE530" s="2361"/>
      <c r="AF530" s="2362"/>
      <c r="AG530" s="2361"/>
      <c r="AH530" s="2363"/>
      <c r="AI530" s="2364"/>
      <c r="AJ530" s="2361"/>
      <c r="AK530" s="249"/>
      <c r="AL530" s="249"/>
      <c r="AM530" s="4"/>
      <c r="AN530" s="249"/>
      <c r="AO530" s="249"/>
      <c r="AP530" s="4"/>
      <c r="AQ530" s="249"/>
      <c r="AR530" s="249"/>
      <c r="AS530" s="4"/>
      <c r="AT530" s="249"/>
      <c r="AU530" s="249"/>
      <c r="AV530" s="4"/>
      <c r="AW530" s="249"/>
      <c r="AX530" s="249"/>
      <c r="AY530" s="4"/>
      <c r="AZ530" s="10"/>
      <c r="BA530" s="10"/>
      <c r="BB530" s="10"/>
      <c r="BC530" s="10"/>
      <c r="BD530" s="10"/>
      <c r="BE530" s="10"/>
      <c r="BF530" s="249"/>
      <c r="BG530" s="249"/>
      <c r="BH530" s="4"/>
      <c r="BI530" s="249"/>
      <c r="BJ530" s="249"/>
      <c r="BK530" s="4"/>
      <c r="BL530" s="182"/>
      <c r="BM530" s="182"/>
      <c r="BN530" s="1783"/>
      <c r="BO530" s="10"/>
      <c r="BP530" s="10"/>
      <c r="BQ530" s="10"/>
      <c r="BR530" s="10"/>
      <c r="BS530" s="1893"/>
      <c r="BT530" s="183"/>
      <c r="BU530" s="1784"/>
      <c r="BV530" s="2120"/>
      <c r="BW530" s="184"/>
      <c r="BX530" s="1785"/>
      <c r="BY530" s="10"/>
      <c r="BZ530" s="10"/>
      <c r="CA530" s="10"/>
    </row>
    <row r="531" spans="1:79" ht="14.85" customHeight="1" x14ac:dyDescent="0.4">
      <c r="A531" s="249"/>
      <c r="B531" s="249"/>
      <c r="C531" s="584" t="s">
        <v>307</v>
      </c>
      <c r="D531" s="249"/>
      <c r="E531" s="4"/>
      <c r="F531" s="2359"/>
      <c r="G531" s="249"/>
      <c r="H531" s="4"/>
      <c r="I531" s="3"/>
      <c r="J531" s="249"/>
      <c r="K531" s="2359"/>
      <c r="L531" s="3"/>
      <c r="M531" s="249"/>
      <c r="N531" s="249"/>
      <c r="O531" s="2360"/>
      <c r="P531" s="249"/>
      <c r="Q531" s="2359"/>
      <c r="R531" s="3"/>
      <c r="S531" s="8"/>
      <c r="T531" s="249"/>
      <c r="U531" s="249"/>
      <c r="V531" s="8"/>
      <c r="W531" s="249"/>
      <c r="X531" s="8"/>
      <c r="Y531" s="249"/>
      <c r="Z531" s="249"/>
      <c r="AA531" s="2360"/>
      <c r="AB531" s="249"/>
      <c r="AC531" s="249"/>
      <c r="AD531" s="249"/>
      <c r="AE531" s="2361"/>
      <c r="AF531" s="2362"/>
      <c r="AG531" s="2361"/>
      <c r="AH531" s="2363"/>
      <c r="AI531" s="2364"/>
      <c r="AJ531" s="2361"/>
      <c r="AK531" s="249"/>
      <c r="AL531" s="249"/>
      <c r="AM531" s="4"/>
      <c r="AN531" s="249"/>
      <c r="AO531" s="249"/>
      <c r="AP531" s="4"/>
      <c r="AQ531" s="249"/>
      <c r="AR531" s="249"/>
      <c r="AS531" s="4"/>
      <c r="AT531" s="249"/>
      <c r="AU531" s="249"/>
      <c r="AV531" s="4"/>
      <c r="AW531" s="249"/>
      <c r="AX531" s="249"/>
      <c r="AY531" s="4"/>
      <c r="AZ531" s="10"/>
      <c r="BA531" s="10"/>
      <c r="BB531" s="10"/>
      <c r="BC531" s="10"/>
      <c r="BD531" s="10"/>
      <c r="BE531" s="10"/>
      <c r="BF531" s="249"/>
      <c r="BG531" s="249"/>
      <c r="BH531" s="4"/>
      <c r="BI531" s="249"/>
      <c r="BJ531" s="249"/>
      <c r="BK531" s="4"/>
      <c r="BL531" s="182"/>
      <c r="BM531" s="182"/>
      <c r="BN531" s="1783"/>
      <c r="BO531" s="10"/>
      <c r="BP531" s="10"/>
      <c r="BQ531" s="10"/>
      <c r="BR531" s="10"/>
      <c r="BS531" s="1893"/>
      <c r="BT531" s="183"/>
      <c r="BU531" s="1784"/>
      <c r="BV531" s="2120"/>
      <c r="BW531" s="184"/>
      <c r="BX531" s="1785"/>
      <c r="BY531" s="10"/>
      <c r="BZ531" s="10"/>
      <c r="CA531" s="10"/>
    </row>
    <row r="532" spans="1:79" ht="14.85" customHeight="1" x14ac:dyDescent="0.4">
      <c r="A532" s="249"/>
      <c r="B532" s="249"/>
      <c r="C532" s="584">
        <v>0.92361111111111116</v>
      </c>
      <c r="D532" s="249"/>
      <c r="E532" s="4"/>
      <c r="F532" s="2359"/>
      <c r="G532" s="249"/>
      <c r="H532" s="4"/>
      <c r="I532" s="3"/>
      <c r="J532" s="249"/>
      <c r="K532" s="2359"/>
      <c r="L532" s="3"/>
      <c r="M532" s="249"/>
      <c r="N532" s="249"/>
      <c r="O532" s="2360"/>
      <c r="P532" s="249"/>
      <c r="Q532" s="2359"/>
      <c r="R532" s="3"/>
      <c r="S532" s="8"/>
      <c r="T532" s="249"/>
      <c r="U532" s="249"/>
      <c r="V532" s="8"/>
      <c r="W532" s="249"/>
      <c r="X532" s="8"/>
      <c r="Y532" s="249"/>
      <c r="Z532" s="249"/>
      <c r="AA532" s="2360"/>
      <c r="AB532" s="249"/>
      <c r="AC532" s="249"/>
      <c r="AD532" s="249"/>
      <c r="AE532" s="2361"/>
      <c r="AF532" s="2362"/>
      <c r="AG532" s="2361"/>
      <c r="AH532" s="2363"/>
      <c r="AI532" s="2364"/>
      <c r="AJ532" s="2361"/>
      <c r="AK532" s="249"/>
      <c r="AL532" s="249"/>
      <c r="AM532" s="4"/>
      <c r="AN532" s="249"/>
      <c r="AO532" s="249"/>
      <c r="AP532" s="4"/>
      <c r="AQ532" s="249"/>
      <c r="AR532" s="249"/>
      <c r="AS532" s="4"/>
      <c r="AT532" s="249"/>
      <c r="AU532" s="249"/>
      <c r="AV532" s="4"/>
      <c r="AW532" s="249"/>
      <c r="AX532" s="249"/>
      <c r="AY532" s="4"/>
      <c r="AZ532" s="10"/>
      <c r="BA532" s="10"/>
      <c r="BB532" s="10"/>
      <c r="BC532" s="10"/>
      <c r="BD532" s="10"/>
      <c r="BE532" s="10"/>
      <c r="BF532" s="249"/>
      <c r="BG532" s="249"/>
      <c r="BH532" s="4"/>
      <c r="BI532" s="249"/>
      <c r="BJ532" s="249"/>
      <c r="BK532" s="4"/>
      <c r="BL532" s="182"/>
      <c r="BM532" s="182" t="s">
        <v>271</v>
      </c>
      <c r="BN532" s="1783"/>
      <c r="BO532" s="10"/>
      <c r="BP532" s="10"/>
      <c r="BQ532" s="10"/>
      <c r="BR532" s="10"/>
      <c r="BS532" s="1893"/>
      <c r="BT532" s="183" t="s">
        <v>271</v>
      </c>
      <c r="BU532" s="1784"/>
      <c r="BV532" s="2120"/>
      <c r="BW532" s="184"/>
      <c r="BX532" s="1785"/>
      <c r="BY532" s="10"/>
      <c r="BZ532" s="10"/>
      <c r="CA532" s="10"/>
    </row>
    <row r="533" spans="1:79" ht="14.85" customHeight="1" x14ac:dyDescent="0.4">
      <c r="A533" s="249"/>
      <c r="B533" s="249"/>
      <c r="C533" s="584" t="s">
        <v>307</v>
      </c>
      <c r="D533" s="249"/>
      <c r="E533" s="4"/>
      <c r="F533" s="2359"/>
      <c r="G533" s="249"/>
      <c r="H533" s="4"/>
      <c r="I533" s="3"/>
      <c r="J533" s="249"/>
      <c r="K533" s="2359"/>
      <c r="L533" s="3"/>
      <c r="M533" s="249"/>
      <c r="N533" s="249"/>
      <c r="O533" s="2360"/>
      <c r="P533" s="249"/>
      <c r="Q533" s="2359"/>
      <c r="R533" s="3"/>
      <c r="S533" s="8"/>
      <c r="T533" s="249"/>
      <c r="U533" s="249"/>
      <c r="V533" s="8"/>
      <c r="W533" s="249"/>
      <c r="X533" s="8"/>
      <c r="Y533" s="249"/>
      <c r="Z533" s="249"/>
      <c r="AA533" s="2360"/>
      <c r="AB533" s="249"/>
      <c r="AC533" s="249"/>
      <c r="AD533" s="249"/>
      <c r="AE533" s="2361"/>
      <c r="AF533" s="2362"/>
      <c r="AG533" s="2361"/>
      <c r="AH533" s="2363"/>
      <c r="AI533" s="2364"/>
      <c r="AJ533" s="2361"/>
      <c r="AK533" s="249"/>
      <c r="AL533" s="249"/>
      <c r="AM533" s="4"/>
      <c r="AN533" s="249"/>
      <c r="AO533" s="249"/>
      <c r="AP533" s="4"/>
      <c r="AQ533" s="249"/>
      <c r="AR533" s="249"/>
      <c r="AS533" s="4"/>
      <c r="AT533" s="249"/>
      <c r="AU533" s="249"/>
      <c r="AV533" s="4"/>
      <c r="AW533" s="249"/>
      <c r="AX533" s="249"/>
      <c r="AY533" s="4"/>
      <c r="AZ533" s="10"/>
      <c r="BA533" s="10"/>
      <c r="BB533" s="10"/>
      <c r="BC533" s="10"/>
      <c r="BD533" s="10"/>
      <c r="BE533" s="10"/>
      <c r="BF533" s="249"/>
      <c r="BG533" s="249"/>
      <c r="BH533" s="4"/>
      <c r="BI533" s="249"/>
      <c r="BJ533" s="249"/>
      <c r="BK533" s="4"/>
      <c r="BL533" s="182"/>
      <c r="BM533" s="182"/>
      <c r="BN533" s="1783"/>
      <c r="BO533" s="10"/>
      <c r="BP533" s="10"/>
      <c r="BQ533" s="10"/>
      <c r="BR533" s="10"/>
      <c r="BS533" s="1893"/>
      <c r="BT533" s="183"/>
      <c r="BU533" s="1784"/>
      <c r="BV533" s="2120"/>
      <c r="BW533" s="184"/>
      <c r="BX533" s="1785"/>
      <c r="BY533" s="10"/>
      <c r="BZ533" s="10"/>
      <c r="CA533" s="10"/>
    </row>
    <row r="534" spans="1:79" ht="14.85" customHeight="1" x14ac:dyDescent="0.4">
      <c r="A534" s="249"/>
      <c r="B534" s="249"/>
      <c r="C534" s="584">
        <v>0.92708333333333337</v>
      </c>
      <c r="D534" s="249"/>
      <c r="E534" s="4"/>
      <c r="F534" s="2359"/>
      <c r="G534" s="249"/>
      <c r="H534" s="4"/>
      <c r="I534" s="3"/>
      <c r="J534" s="249"/>
      <c r="K534" s="2359"/>
      <c r="L534" s="3"/>
      <c r="M534" s="249"/>
      <c r="N534" s="249"/>
      <c r="O534" s="2360"/>
      <c r="P534" s="249"/>
      <c r="Q534" s="2359"/>
      <c r="R534" s="3"/>
      <c r="S534" s="8"/>
      <c r="T534" s="249"/>
      <c r="U534" s="249"/>
      <c r="V534" s="8"/>
      <c r="W534" s="249"/>
      <c r="X534" s="8"/>
      <c r="Y534" s="249"/>
      <c r="Z534" s="249"/>
      <c r="AA534" s="2360"/>
      <c r="AB534" s="249"/>
      <c r="AC534" s="249"/>
      <c r="AD534" s="249"/>
      <c r="AE534" s="2361"/>
      <c r="AF534" s="2362"/>
      <c r="AG534" s="2361"/>
      <c r="AH534" s="2363"/>
      <c r="AI534" s="2364"/>
      <c r="AJ534" s="2361"/>
      <c r="AK534" s="249"/>
      <c r="AL534" s="249"/>
      <c r="AM534" s="4"/>
      <c r="AN534" s="249"/>
      <c r="AO534" s="249"/>
      <c r="AP534" s="4"/>
      <c r="AQ534" s="249"/>
      <c r="AR534" s="249"/>
      <c r="AS534" s="4"/>
      <c r="AT534" s="249"/>
      <c r="AU534" s="249"/>
      <c r="AV534" s="4"/>
      <c r="AW534" s="249"/>
      <c r="AX534" s="249"/>
      <c r="AY534" s="4"/>
      <c r="AZ534" s="10"/>
      <c r="BA534" s="10"/>
      <c r="BB534" s="10"/>
      <c r="BC534" s="10"/>
      <c r="BD534" s="10"/>
      <c r="BE534" s="10"/>
      <c r="BF534" s="249"/>
      <c r="BG534" s="249"/>
      <c r="BH534" s="4"/>
      <c r="BI534" s="249"/>
      <c r="BJ534" s="249"/>
      <c r="BK534" s="4"/>
      <c r="BL534" s="182"/>
      <c r="BM534" s="182" t="s">
        <v>310</v>
      </c>
      <c r="BN534" s="182"/>
      <c r="BO534" s="10"/>
      <c r="BP534" s="10"/>
      <c r="BQ534" s="10"/>
      <c r="BR534" s="10"/>
      <c r="BS534" s="2008"/>
      <c r="BT534" s="183" t="s">
        <v>310</v>
      </c>
      <c r="BU534" s="1784"/>
      <c r="BV534" s="2009"/>
      <c r="BW534" s="184"/>
      <c r="BX534" s="1785"/>
      <c r="BY534" s="10"/>
      <c r="BZ534" s="10"/>
      <c r="CA534" s="10"/>
    </row>
    <row r="535" spans="1:79" ht="14.85" customHeight="1" x14ac:dyDescent="0.4">
      <c r="A535" s="249"/>
      <c r="B535" s="249"/>
      <c r="C535" s="584" t="s">
        <v>307</v>
      </c>
      <c r="D535" s="249"/>
      <c r="E535" s="4"/>
      <c r="F535" s="2359"/>
      <c r="G535" s="249"/>
      <c r="H535" s="4"/>
      <c r="I535" s="3"/>
      <c r="J535" s="249"/>
      <c r="K535" s="2359"/>
      <c r="L535" s="3"/>
      <c r="M535" s="249"/>
      <c r="N535" s="249"/>
      <c r="O535" s="2360"/>
      <c r="P535" s="249"/>
      <c r="Q535" s="2359"/>
      <c r="R535" s="3"/>
      <c r="S535" s="8"/>
      <c r="T535" s="249"/>
      <c r="U535" s="249"/>
      <c r="V535" s="8"/>
      <c r="W535" s="249"/>
      <c r="X535" s="8"/>
      <c r="Y535" s="249"/>
      <c r="Z535" s="249"/>
      <c r="AA535" s="2360"/>
      <c r="AB535" s="249"/>
      <c r="AC535" s="249"/>
      <c r="AD535" s="249"/>
      <c r="AE535" s="2361"/>
      <c r="AF535" s="2362"/>
      <c r="AG535" s="2361"/>
      <c r="AH535" s="2363"/>
      <c r="AI535" s="2364"/>
      <c r="AJ535" s="2361"/>
      <c r="AK535" s="249"/>
      <c r="AL535" s="249"/>
      <c r="AM535" s="4"/>
      <c r="AN535" s="249"/>
      <c r="AO535" s="249"/>
      <c r="AP535" s="4"/>
      <c r="AQ535" s="249"/>
      <c r="AR535" s="249"/>
      <c r="AS535" s="4"/>
      <c r="AT535" s="249"/>
      <c r="AU535" s="249"/>
      <c r="AV535" s="4"/>
      <c r="AW535" s="249"/>
      <c r="AX535" s="249"/>
      <c r="AY535" s="4"/>
      <c r="AZ535" s="10"/>
      <c r="BA535" s="10"/>
      <c r="BB535" s="10"/>
      <c r="BC535" s="10"/>
      <c r="BD535" s="10"/>
      <c r="BE535" s="10"/>
      <c r="BF535" s="249"/>
      <c r="BG535" s="249"/>
      <c r="BH535" s="4"/>
      <c r="BI535" s="249"/>
      <c r="BJ535" s="249"/>
      <c r="BK535" s="4"/>
      <c r="BL535" s="182"/>
      <c r="BM535" s="182"/>
      <c r="BN535" s="1783"/>
      <c r="BO535" s="10"/>
      <c r="BP535" s="10"/>
      <c r="BQ535" s="10"/>
      <c r="BR535" s="10"/>
      <c r="BS535" s="1893"/>
      <c r="BT535" s="183"/>
      <c r="BU535" s="1784"/>
      <c r="BV535" s="2120"/>
      <c r="BW535" s="184"/>
      <c r="BX535" s="1785"/>
      <c r="BY535" s="10"/>
      <c r="BZ535" s="10"/>
      <c r="CA535" s="10"/>
    </row>
    <row r="536" spans="1:79" ht="14.85" customHeight="1" x14ac:dyDescent="0.4">
      <c r="A536" s="249"/>
      <c r="B536" s="249"/>
      <c r="C536" s="584">
        <v>0.93055555555555558</v>
      </c>
      <c r="D536" s="249"/>
      <c r="E536" s="4"/>
      <c r="F536" s="2359"/>
      <c r="G536" s="249"/>
      <c r="H536" s="4"/>
      <c r="I536" s="3"/>
      <c r="J536" s="249"/>
      <c r="K536" s="2359"/>
      <c r="L536" s="3"/>
      <c r="M536" s="249"/>
      <c r="N536" s="249"/>
      <c r="O536" s="2360"/>
      <c r="P536" s="249"/>
      <c r="Q536" s="2359"/>
      <c r="R536" s="3"/>
      <c r="S536" s="8"/>
      <c r="T536" s="249"/>
      <c r="U536" s="249"/>
      <c r="V536" s="8"/>
      <c r="W536" s="249"/>
      <c r="X536" s="8"/>
      <c r="Y536" s="249"/>
      <c r="Z536" s="249"/>
      <c r="AA536" s="2360"/>
      <c r="AB536" s="249"/>
      <c r="AC536" s="249"/>
      <c r="AD536" s="249"/>
      <c r="AE536" s="2361"/>
      <c r="AF536" s="2362"/>
      <c r="AG536" s="2361"/>
      <c r="AH536" s="2363"/>
      <c r="AI536" s="2364"/>
      <c r="AJ536" s="2361"/>
      <c r="AK536" s="249"/>
      <c r="AL536" s="249"/>
      <c r="AM536" s="4"/>
      <c r="AN536" s="249"/>
      <c r="AO536" s="249"/>
      <c r="AP536" s="4"/>
      <c r="AQ536" s="249"/>
      <c r="AR536" s="249"/>
      <c r="AS536" s="4"/>
      <c r="AT536" s="249"/>
      <c r="AU536" s="249"/>
      <c r="AV536" s="4"/>
      <c r="AW536" s="249"/>
      <c r="AX536" s="249"/>
      <c r="AY536" s="4"/>
      <c r="AZ536" s="10"/>
      <c r="BA536" s="10"/>
      <c r="BB536" s="10"/>
      <c r="BC536" s="10"/>
      <c r="BD536" s="10"/>
      <c r="BE536" s="10"/>
      <c r="BF536" s="249"/>
      <c r="BG536" s="249"/>
      <c r="BH536" s="4"/>
      <c r="BI536" s="249"/>
      <c r="BJ536" s="249"/>
      <c r="BK536" s="4"/>
      <c r="BL536" s="182"/>
      <c r="BM536" s="182"/>
      <c r="BN536" s="1783"/>
      <c r="BO536" s="10"/>
      <c r="BP536" s="10"/>
      <c r="BQ536" s="10"/>
      <c r="BR536" s="10"/>
      <c r="BS536" s="1893"/>
      <c r="BT536" s="183"/>
      <c r="BU536" s="1784"/>
      <c r="BV536" s="2120"/>
      <c r="BW536" s="184"/>
      <c r="BX536" s="1785"/>
      <c r="BY536" s="10"/>
      <c r="BZ536" s="10"/>
      <c r="CA536" s="10"/>
    </row>
    <row r="537" spans="1:79" ht="14.85" customHeight="1" x14ac:dyDescent="0.4">
      <c r="A537" s="249"/>
      <c r="B537" s="249"/>
      <c r="C537" s="584" t="s">
        <v>307</v>
      </c>
      <c r="D537" s="249"/>
      <c r="E537" s="4"/>
      <c r="F537" s="2359"/>
      <c r="G537" s="249"/>
      <c r="H537" s="4"/>
      <c r="I537" s="3"/>
      <c r="J537" s="249"/>
      <c r="K537" s="2359"/>
      <c r="L537" s="3"/>
      <c r="M537" s="249"/>
      <c r="N537" s="249"/>
      <c r="O537" s="2360"/>
      <c r="P537" s="249"/>
      <c r="Q537" s="2359"/>
      <c r="R537" s="3"/>
      <c r="S537" s="8"/>
      <c r="T537" s="249"/>
      <c r="U537" s="249"/>
      <c r="V537" s="8"/>
      <c r="W537" s="249"/>
      <c r="X537" s="8"/>
      <c r="Y537" s="249"/>
      <c r="Z537" s="249"/>
      <c r="AA537" s="2360"/>
      <c r="AB537" s="249"/>
      <c r="AC537" s="249"/>
      <c r="AD537" s="249"/>
      <c r="AE537" s="2361"/>
      <c r="AF537" s="2362"/>
      <c r="AG537" s="2361"/>
      <c r="AH537" s="2363"/>
      <c r="AI537" s="2364"/>
      <c r="AJ537" s="2361"/>
      <c r="AK537" s="249"/>
      <c r="AL537" s="249"/>
      <c r="AM537" s="4"/>
      <c r="AN537" s="249"/>
      <c r="AO537" s="249"/>
      <c r="AP537" s="4"/>
      <c r="AQ537" s="249"/>
      <c r="AR537" s="249"/>
      <c r="AS537" s="4"/>
      <c r="AT537" s="249"/>
      <c r="AU537" s="249"/>
      <c r="AV537" s="4"/>
      <c r="AW537" s="249"/>
      <c r="AX537" s="249"/>
      <c r="AY537" s="4"/>
      <c r="AZ537" s="10"/>
      <c r="BA537" s="10"/>
      <c r="BB537" s="10"/>
      <c r="BC537" s="10"/>
      <c r="BD537" s="10"/>
      <c r="BE537" s="10"/>
      <c r="BF537" s="249"/>
      <c r="BG537" s="249"/>
      <c r="BH537" s="4"/>
      <c r="BI537" s="249"/>
      <c r="BJ537" s="249"/>
      <c r="BK537" s="4"/>
      <c r="BL537" s="182"/>
      <c r="BM537" s="182"/>
      <c r="BN537" s="1783"/>
      <c r="BO537" s="10"/>
      <c r="BP537" s="10"/>
      <c r="BQ537" s="10"/>
      <c r="BR537" s="10"/>
      <c r="BS537" s="1893"/>
      <c r="BT537" s="183"/>
      <c r="BU537" s="1784"/>
      <c r="BV537" s="2120"/>
      <c r="BW537" s="184"/>
      <c r="BX537" s="1785"/>
      <c r="BY537" s="10"/>
      <c r="BZ537" s="10"/>
      <c r="CA537" s="10"/>
    </row>
    <row r="538" spans="1:79" ht="14.85" customHeight="1" x14ac:dyDescent="0.4">
      <c r="A538" s="249"/>
      <c r="B538" s="249"/>
      <c r="C538" s="584">
        <v>0.93402777777777779</v>
      </c>
      <c r="D538" s="249"/>
      <c r="E538" s="4"/>
      <c r="F538" s="2359"/>
      <c r="G538" s="249"/>
      <c r="H538" s="4"/>
      <c r="I538" s="3"/>
      <c r="J538" s="249"/>
      <c r="K538" s="2359"/>
      <c r="L538" s="3"/>
      <c r="M538" s="249"/>
      <c r="N538" s="249"/>
      <c r="O538" s="2360"/>
      <c r="P538" s="249"/>
      <c r="Q538" s="2359"/>
      <c r="R538" s="3"/>
      <c r="S538" s="8"/>
      <c r="T538" s="249"/>
      <c r="U538" s="249"/>
      <c r="V538" s="8"/>
      <c r="W538" s="249"/>
      <c r="X538" s="8"/>
      <c r="Y538" s="249"/>
      <c r="Z538" s="249"/>
      <c r="AA538" s="2360"/>
      <c r="AB538" s="249"/>
      <c r="AC538" s="249"/>
      <c r="AD538" s="249"/>
      <c r="AE538" s="2361"/>
      <c r="AF538" s="2362"/>
      <c r="AG538" s="2361"/>
      <c r="AH538" s="2363"/>
      <c r="AI538" s="2364"/>
      <c r="AJ538" s="2361"/>
      <c r="AK538" s="249"/>
      <c r="AL538" s="249"/>
      <c r="AM538" s="4"/>
      <c r="AN538" s="249"/>
      <c r="AO538" s="249"/>
      <c r="AP538" s="4"/>
      <c r="AQ538" s="249"/>
      <c r="AR538" s="249"/>
      <c r="AS538" s="4"/>
      <c r="AT538" s="249"/>
      <c r="AU538" s="249"/>
      <c r="AV538" s="4"/>
      <c r="AW538" s="249"/>
      <c r="AX538" s="249"/>
      <c r="AY538" s="4"/>
      <c r="AZ538" s="10"/>
      <c r="BA538" s="10"/>
      <c r="BB538" s="10"/>
      <c r="BC538" s="10"/>
      <c r="BD538" s="10"/>
      <c r="BE538" s="10"/>
      <c r="BF538" s="249"/>
      <c r="BG538" s="249"/>
      <c r="BH538" s="4"/>
      <c r="BI538" s="249"/>
      <c r="BJ538" s="249"/>
      <c r="BK538" s="4"/>
      <c r="BL538" s="182"/>
      <c r="BM538" s="182"/>
      <c r="BN538" s="1783"/>
      <c r="BO538" s="10"/>
      <c r="BP538" s="10"/>
      <c r="BQ538" s="10"/>
      <c r="BR538" s="10"/>
      <c r="BS538" s="1893"/>
      <c r="BT538" s="183"/>
      <c r="BU538" s="1784"/>
      <c r="BV538" s="2120"/>
      <c r="BW538" s="184"/>
      <c r="BX538" s="1785"/>
      <c r="BY538" s="10"/>
      <c r="BZ538" s="10"/>
      <c r="CA538" s="10"/>
    </row>
    <row r="539" spans="1:79" ht="14.85" customHeight="1" x14ac:dyDescent="0.4">
      <c r="A539" s="249"/>
      <c r="B539" s="249"/>
      <c r="C539" s="584" t="s">
        <v>307</v>
      </c>
      <c r="D539" s="249"/>
      <c r="E539" s="4"/>
      <c r="F539" s="2359"/>
      <c r="G539" s="249"/>
      <c r="H539" s="4"/>
      <c r="I539" s="3"/>
      <c r="J539" s="249"/>
      <c r="K539" s="2359"/>
      <c r="L539" s="3"/>
      <c r="M539" s="249"/>
      <c r="N539" s="249"/>
      <c r="O539" s="2360"/>
      <c r="P539" s="249"/>
      <c r="Q539" s="2359"/>
      <c r="R539" s="3"/>
      <c r="S539" s="8"/>
      <c r="T539" s="249"/>
      <c r="U539" s="249"/>
      <c r="V539" s="8"/>
      <c r="W539" s="249"/>
      <c r="X539" s="8"/>
      <c r="Y539" s="249"/>
      <c r="Z539" s="249"/>
      <c r="AA539" s="2360"/>
      <c r="AB539" s="249"/>
      <c r="AC539" s="249"/>
      <c r="AD539" s="249"/>
      <c r="AE539" s="2361"/>
      <c r="AF539" s="2362"/>
      <c r="AG539" s="2361"/>
      <c r="AH539" s="2363"/>
      <c r="AI539" s="2364"/>
      <c r="AJ539" s="2361"/>
      <c r="AK539" s="249"/>
      <c r="AL539" s="249"/>
      <c r="AM539" s="4"/>
      <c r="AN539" s="249"/>
      <c r="AO539" s="249"/>
      <c r="AP539" s="4"/>
      <c r="AQ539" s="249"/>
      <c r="AR539" s="249"/>
      <c r="AS539" s="4"/>
      <c r="AT539" s="249"/>
      <c r="AU539" s="249"/>
      <c r="AV539" s="4"/>
      <c r="AW539" s="249"/>
      <c r="AX539" s="249"/>
      <c r="AY539" s="4"/>
      <c r="AZ539" s="10"/>
      <c r="BA539" s="10"/>
      <c r="BB539" s="10"/>
      <c r="BC539" s="10"/>
      <c r="BD539" s="10"/>
      <c r="BE539" s="10"/>
      <c r="BF539" s="249"/>
      <c r="BG539" s="249"/>
      <c r="BH539" s="4"/>
      <c r="BI539" s="249"/>
      <c r="BJ539" s="249"/>
      <c r="BK539" s="4"/>
      <c r="BL539" s="182"/>
      <c r="BM539" s="182"/>
      <c r="BN539" s="1783"/>
      <c r="BO539" s="10"/>
      <c r="BP539" s="10"/>
      <c r="BQ539" s="10"/>
      <c r="BR539" s="10"/>
      <c r="BS539" s="1893"/>
      <c r="BT539" s="183"/>
      <c r="BU539" s="1784"/>
      <c r="BV539" s="2120"/>
      <c r="BW539" s="184"/>
      <c r="BX539" s="1785"/>
      <c r="BY539" s="10"/>
      <c r="BZ539" s="10"/>
      <c r="CA539" s="10"/>
    </row>
    <row r="540" spans="1:79" ht="14.85" customHeight="1" x14ac:dyDescent="0.4">
      <c r="A540" s="249"/>
      <c r="B540" s="249"/>
      <c r="C540" s="584">
        <v>0.9375</v>
      </c>
      <c r="D540" s="249"/>
      <c r="E540" s="4"/>
      <c r="F540" s="2359"/>
      <c r="G540" s="249"/>
      <c r="H540" s="4"/>
      <c r="I540" s="3"/>
      <c r="J540" s="249"/>
      <c r="K540" s="2359"/>
      <c r="L540" s="3"/>
      <c r="M540" s="249"/>
      <c r="N540" s="249"/>
      <c r="O540" s="2360"/>
      <c r="P540" s="249"/>
      <c r="Q540" s="2359"/>
      <c r="R540" s="3"/>
      <c r="S540" s="8"/>
      <c r="T540" s="249"/>
      <c r="U540" s="249"/>
      <c r="V540" s="8"/>
      <c r="W540" s="249"/>
      <c r="X540" s="8"/>
      <c r="Y540" s="249"/>
      <c r="Z540" s="249"/>
      <c r="AA540" s="2360"/>
      <c r="AB540" s="249"/>
      <c r="AC540" s="249"/>
      <c r="AD540" s="249"/>
      <c r="AE540" s="2361"/>
      <c r="AF540" s="2362"/>
      <c r="AG540" s="2361"/>
      <c r="AH540" s="2363"/>
      <c r="AI540" s="2364"/>
      <c r="AJ540" s="2361"/>
      <c r="AK540" s="249"/>
      <c r="AL540" s="249"/>
      <c r="AM540" s="4"/>
      <c r="AN540" s="249"/>
      <c r="AO540" s="249"/>
      <c r="AP540" s="4"/>
      <c r="AQ540" s="249"/>
      <c r="AR540" s="249"/>
      <c r="AS540" s="4"/>
      <c r="AT540" s="249"/>
      <c r="AU540" s="249"/>
      <c r="AV540" s="4"/>
      <c r="AW540" s="249"/>
      <c r="AX540" s="249"/>
      <c r="AY540" s="4"/>
      <c r="AZ540" s="10"/>
      <c r="BA540" s="10"/>
      <c r="BB540" s="10"/>
      <c r="BC540" s="10"/>
      <c r="BD540" s="10"/>
      <c r="BE540" s="10"/>
      <c r="BF540" s="249"/>
      <c r="BG540" s="249"/>
      <c r="BH540" s="4"/>
      <c r="BI540" s="249"/>
      <c r="BJ540" s="249"/>
      <c r="BK540" s="4"/>
      <c r="BL540" s="182"/>
      <c r="BM540" s="182"/>
      <c r="BN540" s="1783"/>
      <c r="BO540" s="10"/>
      <c r="BP540" s="10"/>
      <c r="BQ540" s="10"/>
      <c r="BR540" s="10"/>
      <c r="BS540" s="183"/>
      <c r="BT540" s="183"/>
      <c r="BU540" s="1784"/>
      <c r="BV540" s="184"/>
      <c r="BW540" s="184"/>
      <c r="BX540" s="1785"/>
      <c r="BY540" s="10"/>
      <c r="BZ540" s="10"/>
      <c r="CA540" s="10"/>
    </row>
    <row r="541" spans="1:79" ht="14.85" customHeight="1" x14ac:dyDescent="0.4">
      <c r="A541" s="249"/>
      <c r="B541" s="249"/>
      <c r="C541" s="584" t="s">
        <v>307</v>
      </c>
      <c r="D541" s="249"/>
      <c r="E541" s="4"/>
      <c r="F541" s="2359"/>
      <c r="G541" s="249"/>
      <c r="H541" s="4"/>
      <c r="I541" s="3"/>
      <c r="J541" s="249"/>
      <c r="K541" s="2359"/>
      <c r="L541" s="3"/>
      <c r="M541" s="249"/>
      <c r="N541" s="249"/>
      <c r="O541" s="2360"/>
      <c r="P541" s="249"/>
      <c r="Q541" s="2359"/>
      <c r="R541" s="3"/>
      <c r="S541" s="8"/>
      <c r="T541" s="249"/>
      <c r="U541" s="249"/>
      <c r="V541" s="8"/>
      <c r="W541" s="249"/>
      <c r="X541" s="8"/>
      <c r="Y541" s="249"/>
      <c r="Z541" s="249"/>
      <c r="AA541" s="2360"/>
      <c r="AB541" s="249"/>
      <c r="AC541" s="249"/>
      <c r="AD541" s="249"/>
      <c r="AE541" s="2361"/>
      <c r="AF541" s="2362"/>
      <c r="AG541" s="2361"/>
      <c r="AH541" s="2363"/>
      <c r="AI541" s="2364"/>
      <c r="AJ541" s="2361"/>
      <c r="AK541" s="249"/>
      <c r="AL541" s="249"/>
      <c r="AM541" s="4"/>
      <c r="AN541" s="249"/>
      <c r="AO541" s="249"/>
      <c r="AP541" s="4"/>
      <c r="AQ541" s="249"/>
      <c r="AR541" s="249"/>
      <c r="AS541" s="4"/>
      <c r="AT541" s="249"/>
      <c r="AU541" s="249"/>
      <c r="AV541" s="4"/>
      <c r="AW541" s="249"/>
      <c r="AX541" s="249"/>
      <c r="AY541" s="4"/>
      <c r="AZ541" s="10"/>
      <c r="BA541" s="10"/>
      <c r="BB541" s="10"/>
      <c r="BC541" s="10"/>
      <c r="BD541" s="10"/>
      <c r="BE541" s="10"/>
      <c r="BF541" s="249"/>
      <c r="BG541" s="249"/>
      <c r="BH541" s="4"/>
      <c r="BI541" s="249"/>
      <c r="BJ541" s="249"/>
      <c r="BK541" s="4"/>
      <c r="BL541" s="182"/>
      <c r="BM541" s="182"/>
      <c r="BN541" s="1783"/>
      <c r="BO541" s="10"/>
      <c r="BP541" s="10"/>
      <c r="BQ541" s="10"/>
      <c r="BR541" s="10"/>
      <c r="BS541" s="183"/>
      <c r="BT541" s="183"/>
      <c r="BU541" s="1784"/>
      <c r="BV541" s="184"/>
      <c r="BW541" s="184"/>
      <c r="BX541" s="1785"/>
      <c r="BY541" s="10"/>
      <c r="BZ541" s="10"/>
      <c r="CA541" s="10"/>
    </row>
    <row r="542" spans="1:79" ht="14.85" customHeight="1" x14ac:dyDescent="0.4">
      <c r="A542" s="249"/>
      <c r="B542" s="249"/>
      <c r="C542" s="584">
        <v>0.94097222222222221</v>
      </c>
      <c r="D542" s="249"/>
      <c r="E542" s="4"/>
      <c r="F542" s="2359"/>
      <c r="G542" s="249"/>
      <c r="H542" s="4"/>
      <c r="I542" s="3"/>
      <c r="J542" s="249"/>
      <c r="K542" s="2359"/>
      <c r="L542" s="3"/>
      <c r="M542" s="249"/>
      <c r="N542" s="249"/>
      <c r="O542" s="2360"/>
      <c r="P542" s="249"/>
      <c r="Q542" s="2359"/>
      <c r="R542" s="3"/>
      <c r="S542" s="8"/>
      <c r="T542" s="249"/>
      <c r="U542" s="249"/>
      <c r="V542" s="8"/>
      <c r="W542" s="249"/>
      <c r="X542" s="8"/>
      <c r="Y542" s="249"/>
      <c r="Z542" s="249"/>
      <c r="AA542" s="2360"/>
      <c r="AB542" s="249"/>
      <c r="AC542" s="249"/>
      <c r="AD542" s="249"/>
      <c r="AE542" s="2361"/>
      <c r="AF542" s="2362"/>
      <c r="AG542" s="2361"/>
      <c r="AH542" s="2363"/>
      <c r="AI542" s="2364"/>
      <c r="AJ542" s="2361"/>
      <c r="AK542" s="249"/>
      <c r="AL542" s="249"/>
      <c r="AM542" s="4"/>
      <c r="AN542" s="249"/>
      <c r="AO542" s="249"/>
      <c r="AP542" s="4"/>
      <c r="AQ542" s="249"/>
      <c r="AR542" s="249"/>
      <c r="AS542" s="4"/>
      <c r="AT542" s="249"/>
      <c r="AU542" s="249"/>
      <c r="AV542" s="4"/>
      <c r="AW542" s="249"/>
      <c r="AX542" s="249"/>
      <c r="AY542" s="4"/>
      <c r="AZ542" s="10"/>
      <c r="BA542" s="10"/>
      <c r="BB542" s="10"/>
      <c r="BC542" s="10"/>
      <c r="BD542" s="10"/>
      <c r="BE542" s="10"/>
      <c r="BF542" s="249"/>
      <c r="BG542" s="249"/>
      <c r="BH542" s="4"/>
      <c r="BI542" s="249"/>
      <c r="BJ542" s="249"/>
      <c r="BK542" s="4"/>
      <c r="BL542" s="182"/>
      <c r="BM542" s="182"/>
      <c r="BN542" s="1783"/>
      <c r="BO542" s="10"/>
      <c r="BP542" s="10"/>
      <c r="BQ542" s="10"/>
      <c r="BR542" s="10"/>
      <c r="BS542" s="183"/>
      <c r="BT542" s="183"/>
      <c r="BU542" s="1784"/>
      <c r="BV542" s="184"/>
      <c r="BW542" s="184"/>
      <c r="BX542" s="1785"/>
      <c r="BY542" s="10"/>
      <c r="BZ542" s="10"/>
      <c r="CA542" s="10"/>
    </row>
    <row r="543" spans="1:79" ht="14.85" customHeight="1" x14ac:dyDescent="0.4">
      <c r="A543" s="249"/>
      <c r="B543" s="249"/>
      <c r="C543" s="584" t="s">
        <v>307</v>
      </c>
      <c r="D543" s="249"/>
      <c r="E543" s="4"/>
      <c r="F543" s="2359"/>
      <c r="G543" s="249"/>
      <c r="H543" s="4"/>
      <c r="I543" s="3"/>
      <c r="J543" s="249"/>
      <c r="K543" s="2359"/>
      <c r="L543" s="3"/>
      <c r="M543" s="249"/>
      <c r="N543" s="249"/>
      <c r="O543" s="2360"/>
      <c r="P543" s="249"/>
      <c r="Q543" s="2359"/>
      <c r="R543" s="3"/>
      <c r="S543" s="8"/>
      <c r="T543" s="249"/>
      <c r="U543" s="249"/>
      <c r="V543" s="8"/>
      <c r="W543" s="249"/>
      <c r="X543" s="8"/>
      <c r="Y543" s="249"/>
      <c r="Z543" s="249"/>
      <c r="AA543" s="2360"/>
      <c r="AB543" s="249"/>
      <c r="AC543" s="249"/>
      <c r="AD543" s="249"/>
      <c r="AE543" s="2361"/>
      <c r="AF543" s="2362"/>
      <c r="AG543" s="2361"/>
      <c r="AH543" s="2363"/>
      <c r="AI543" s="2364"/>
      <c r="AJ543" s="2361"/>
      <c r="AK543" s="249"/>
      <c r="AL543" s="249"/>
      <c r="AM543" s="4"/>
      <c r="AN543" s="249"/>
      <c r="AO543" s="249"/>
      <c r="AP543" s="4"/>
      <c r="AQ543" s="249"/>
      <c r="AR543" s="249"/>
      <c r="AS543" s="4"/>
      <c r="AT543" s="249"/>
      <c r="AU543" s="249"/>
      <c r="AV543" s="4"/>
      <c r="AW543" s="249"/>
      <c r="AX543" s="249"/>
      <c r="AY543" s="4"/>
      <c r="AZ543" s="10"/>
      <c r="BA543" s="10"/>
      <c r="BB543" s="10"/>
      <c r="BC543" s="10"/>
      <c r="BD543" s="10"/>
      <c r="BE543" s="10"/>
      <c r="BF543" s="249"/>
      <c r="BG543" s="249"/>
      <c r="BH543" s="4"/>
      <c r="BI543" s="249"/>
      <c r="BJ543" s="249"/>
      <c r="BK543" s="4"/>
      <c r="BL543" s="182"/>
      <c r="BM543" s="182"/>
      <c r="BN543" s="1783"/>
      <c r="BO543" s="10"/>
      <c r="BP543" s="10"/>
      <c r="BQ543" s="10"/>
      <c r="BR543" s="10"/>
      <c r="BS543" s="183"/>
      <c r="BT543" s="183"/>
      <c r="BU543" s="1784"/>
      <c r="BV543" s="184"/>
      <c r="BW543" s="184"/>
      <c r="BX543" s="1785"/>
      <c r="BY543" s="10"/>
      <c r="BZ543" s="10"/>
      <c r="CA543" s="10"/>
    </row>
    <row r="544" spans="1:79" ht="14.85" customHeight="1" x14ac:dyDescent="0.4">
      <c r="A544" s="249"/>
      <c r="B544" s="249"/>
      <c r="C544" s="584">
        <v>0.94444444444444442</v>
      </c>
      <c r="D544" s="249"/>
      <c r="E544" s="4"/>
      <c r="F544" s="2359"/>
      <c r="G544" s="249"/>
      <c r="H544" s="4"/>
      <c r="I544" s="3"/>
      <c r="J544" s="249"/>
      <c r="K544" s="2359"/>
      <c r="L544" s="3"/>
      <c r="M544" s="249"/>
      <c r="N544" s="249"/>
      <c r="O544" s="2360"/>
      <c r="P544" s="249"/>
      <c r="Q544" s="2359"/>
      <c r="R544" s="3"/>
      <c r="S544" s="8"/>
      <c r="T544" s="249"/>
      <c r="U544" s="249"/>
      <c r="V544" s="8"/>
      <c r="W544" s="249"/>
      <c r="X544" s="8"/>
      <c r="Y544" s="249"/>
      <c r="Z544" s="249"/>
      <c r="AA544" s="2360"/>
      <c r="AB544" s="249"/>
      <c r="AC544" s="249"/>
      <c r="AD544" s="249"/>
      <c r="AE544" s="2361"/>
      <c r="AF544" s="2362"/>
      <c r="AG544" s="2361"/>
      <c r="AH544" s="2363"/>
      <c r="AI544" s="2364"/>
      <c r="AJ544" s="2361"/>
      <c r="AK544" s="249"/>
      <c r="AL544" s="249"/>
      <c r="AM544" s="4"/>
      <c r="AN544" s="249"/>
      <c r="AO544" s="249"/>
      <c r="AP544" s="4"/>
      <c r="AQ544" s="249"/>
      <c r="AR544" s="249"/>
      <c r="AS544" s="4"/>
      <c r="AT544" s="249"/>
      <c r="AU544" s="249"/>
      <c r="AV544" s="4"/>
      <c r="AW544" s="249"/>
      <c r="AX544" s="249"/>
      <c r="AY544" s="4"/>
      <c r="AZ544" s="10"/>
      <c r="BA544" s="10"/>
      <c r="BB544" s="10"/>
      <c r="BC544" s="10"/>
      <c r="BD544" s="10"/>
      <c r="BE544" s="10"/>
      <c r="BF544" s="249"/>
      <c r="BG544" s="249"/>
      <c r="BH544" s="4"/>
      <c r="BI544" s="249"/>
      <c r="BJ544" s="249"/>
      <c r="BK544" s="4"/>
      <c r="BL544" s="182"/>
      <c r="BM544" s="182"/>
      <c r="BN544" s="1783"/>
      <c r="BO544" s="10"/>
      <c r="BP544" s="10"/>
      <c r="BQ544" s="10"/>
      <c r="BR544" s="10"/>
      <c r="BS544" s="183"/>
      <c r="BT544" s="183"/>
      <c r="BU544" s="1784"/>
      <c r="BV544" s="184"/>
      <c r="BW544" s="184"/>
      <c r="BX544" s="1785"/>
      <c r="BY544" s="10"/>
      <c r="BZ544" s="10"/>
      <c r="CA544" s="10"/>
    </row>
    <row r="545" spans="1:79" ht="14.85" customHeight="1" x14ac:dyDescent="0.4">
      <c r="A545" s="249"/>
      <c r="B545" s="249"/>
      <c r="C545" s="584" t="s">
        <v>307</v>
      </c>
      <c r="D545" s="249"/>
      <c r="E545" s="4"/>
      <c r="F545" s="2359"/>
      <c r="G545" s="249"/>
      <c r="H545" s="4"/>
      <c r="I545" s="3"/>
      <c r="J545" s="249"/>
      <c r="K545" s="2359"/>
      <c r="L545" s="3"/>
      <c r="M545" s="249"/>
      <c r="N545" s="249"/>
      <c r="O545" s="2360"/>
      <c r="P545" s="249"/>
      <c r="Q545" s="2359"/>
      <c r="R545" s="3"/>
      <c r="S545" s="8"/>
      <c r="T545" s="249"/>
      <c r="U545" s="249"/>
      <c r="V545" s="8"/>
      <c r="W545" s="249"/>
      <c r="X545" s="8"/>
      <c r="Y545" s="249"/>
      <c r="Z545" s="249"/>
      <c r="AA545" s="2360"/>
      <c r="AB545" s="249"/>
      <c r="AC545" s="249"/>
      <c r="AD545" s="249"/>
      <c r="AE545" s="2361"/>
      <c r="AF545" s="2362"/>
      <c r="AG545" s="2361"/>
      <c r="AH545" s="2363"/>
      <c r="AI545" s="2364"/>
      <c r="AJ545" s="2361"/>
      <c r="AK545" s="249"/>
      <c r="AL545" s="249"/>
      <c r="AM545" s="4"/>
      <c r="AN545" s="249"/>
      <c r="AO545" s="249"/>
      <c r="AP545" s="4"/>
      <c r="AQ545" s="249"/>
      <c r="AR545" s="249"/>
      <c r="AS545" s="4"/>
      <c r="AT545" s="249"/>
      <c r="AU545" s="249"/>
      <c r="AV545" s="4"/>
      <c r="AW545" s="249"/>
      <c r="AX545" s="249"/>
      <c r="AY545" s="4"/>
      <c r="AZ545" s="10"/>
      <c r="BA545" s="10"/>
      <c r="BB545" s="10"/>
      <c r="BC545" s="10"/>
      <c r="BD545" s="10"/>
      <c r="BE545" s="10"/>
      <c r="BF545" s="249"/>
      <c r="BG545" s="249"/>
      <c r="BH545" s="4"/>
      <c r="BI545" s="249"/>
      <c r="BJ545" s="249"/>
      <c r="BK545" s="4"/>
      <c r="BL545" s="182"/>
      <c r="BM545" s="182"/>
      <c r="BN545" s="1783"/>
      <c r="BO545" s="10"/>
      <c r="BP545" s="10"/>
      <c r="BQ545" s="10"/>
      <c r="BR545" s="10"/>
      <c r="BS545" s="183"/>
      <c r="BT545" s="183"/>
      <c r="BU545" s="1784"/>
      <c r="BV545" s="184"/>
      <c r="BW545" s="184"/>
      <c r="BX545" s="1785"/>
      <c r="BY545" s="10"/>
      <c r="BZ545" s="10"/>
      <c r="CA545" s="10"/>
    </row>
    <row r="546" spans="1:79" ht="27" customHeight="1" x14ac:dyDescent="0.4">
      <c r="A546" s="249"/>
      <c r="B546" s="249"/>
      <c r="C546" s="584">
        <v>0.94791666666666663</v>
      </c>
      <c r="D546" s="249"/>
      <c r="E546" s="4"/>
      <c r="F546" s="2359"/>
      <c r="G546" s="249"/>
      <c r="H546" s="4"/>
      <c r="I546" s="3"/>
      <c r="J546" s="249"/>
      <c r="K546" s="2359"/>
      <c r="L546" s="3"/>
      <c r="M546" s="249"/>
      <c r="N546" s="249"/>
      <c r="O546" s="2360"/>
      <c r="P546" s="249"/>
      <c r="Q546" s="2359"/>
      <c r="R546" s="3"/>
      <c r="S546" s="8"/>
      <c r="T546" s="249"/>
      <c r="U546" s="249"/>
      <c r="V546" s="8"/>
      <c r="W546" s="249"/>
      <c r="X546" s="8"/>
      <c r="Y546" s="249"/>
      <c r="Z546" s="249"/>
      <c r="AA546" s="2360"/>
      <c r="AB546" s="249"/>
      <c r="AC546" s="249"/>
      <c r="AD546" s="249"/>
      <c r="AE546" s="2361"/>
      <c r="AF546" s="2362"/>
      <c r="AG546" s="2361"/>
      <c r="AH546" s="2363"/>
      <c r="AI546" s="2364"/>
      <c r="AJ546" s="2361"/>
      <c r="AK546" s="249"/>
      <c r="AL546" s="249"/>
      <c r="AM546" s="4"/>
      <c r="AN546" s="249"/>
      <c r="AO546" s="249"/>
      <c r="AP546" s="4"/>
      <c r="AQ546" s="249"/>
      <c r="AR546" s="249"/>
      <c r="AS546" s="4"/>
      <c r="AT546" s="249"/>
      <c r="AU546" s="249"/>
      <c r="AV546" s="4"/>
      <c r="AW546" s="249"/>
      <c r="AX546" s="249"/>
      <c r="AY546" s="4"/>
      <c r="AZ546" s="10"/>
      <c r="BA546" s="10"/>
      <c r="BB546" s="10"/>
      <c r="BC546" s="10"/>
      <c r="BD546" s="10"/>
      <c r="BE546" s="10"/>
      <c r="BF546" s="249"/>
      <c r="BG546" s="249"/>
      <c r="BH546" s="4"/>
      <c r="BI546" s="249"/>
      <c r="BJ546" s="249"/>
      <c r="BK546" s="4"/>
      <c r="BL546" s="182"/>
      <c r="BM546" s="2365" t="s">
        <v>568</v>
      </c>
      <c r="BN546" s="1783"/>
      <c r="BO546" s="10"/>
      <c r="BP546" s="10"/>
      <c r="BQ546" s="10"/>
      <c r="BR546" s="10"/>
      <c r="BS546" s="183"/>
      <c r="BT546" s="592" t="s">
        <v>430</v>
      </c>
      <c r="BU546" s="183"/>
      <c r="BV546" s="184"/>
      <c r="BW546" s="2366"/>
      <c r="BX546" s="184"/>
      <c r="BY546" s="10"/>
      <c r="BZ546" s="10"/>
      <c r="CA546" s="10"/>
    </row>
    <row r="547" spans="1:79" ht="30" customHeight="1" x14ac:dyDescent="0.4">
      <c r="A547" s="249"/>
      <c r="B547" s="249"/>
      <c r="C547" s="584" t="s">
        <v>307</v>
      </c>
      <c r="D547" s="249"/>
      <c r="E547" s="4"/>
      <c r="F547" s="2359"/>
      <c r="G547" s="249"/>
      <c r="H547" s="4"/>
      <c r="I547" s="3"/>
      <c r="J547" s="249"/>
      <c r="K547" s="2359"/>
      <c r="L547" s="3"/>
      <c r="M547" s="249"/>
      <c r="N547" s="249"/>
      <c r="O547" s="2360"/>
      <c r="P547" s="249"/>
      <c r="Q547" s="2359"/>
      <c r="R547" s="3"/>
      <c r="S547" s="8"/>
      <c r="T547" s="249"/>
      <c r="U547" s="249"/>
      <c r="V547" s="8"/>
      <c r="W547" s="249"/>
      <c r="X547" s="8"/>
      <c r="Y547" s="249"/>
      <c r="Z547" s="249"/>
      <c r="AA547" s="2360"/>
      <c r="AB547" s="249"/>
      <c r="AC547" s="249"/>
      <c r="AD547" s="249"/>
      <c r="AE547" s="2361"/>
      <c r="AF547" s="2362"/>
      <c r="AG547" s="2361"/>
      <c r="AH547" s="2363"/>
      <c r="AI547" s="2364"/>
      <c r="AJ547" s="2361"/>
      <c r="AK547" s="249"/>
      <c r="AL547" s="249"/>
      <c r="AM547" s="4"/>
      <c r="AN547" s="249"/>
      <c r="AO547" s="249"/>
      <c r="AP547" s="4"/>
      <c r="AQ547" s="249"/>
      <c r="AR547" s="249"/>
      <c r="AS547" s="4"/>
      <c r="AT547" s="249"/>
      <c r="AU547" s="249"/>
      <c r="AV547" s="4"/>
      <c r="AW547" s="249"/>
      <c r="AX547" s="249"/>
      <c r="AY547" s="4"/>
      <c r="AZ547" s="10"/>
      <c r="BA547" s="10"/>
      <c r="BB547" s="10"/>
      <c r="BC547" s="10"/>
      <c r="BD547" s="10"/>
      <c r="BE547" s="10"/>
      <c r="BF547" s="249"/>
      <c r="BG547" s="249"/>
      <c r="BH547" s="4"/>
      <c r="BI547" s="249"/>
      <c r="BJ547" s="249"/>
      <c r="BK547" s="4"/>
      <c r="BL547" s="2367"/>
      <c r="BM547" s="2367" t="s">
        <v>569</v>
      </c>
      <c r="BN547" s="2367"/>
      <c r="BO547" s="10"/>
      <c r="BP547" s="10"/>
      <c r="BQ547" s="10"/>
      <c r="BR547" s="10"/>
      <c r="BS547" s="2367"/>
      <c r="BT547" s="2367" t="s">
        <v>569</v>
      </c>
      <c r="BU547" s="2367"/>
      <c r="BV547" s="2368"/>
      <c r="BW547" s="2368"/>
      <c r="BX547" s="2368"/>
      <c r="BY547" s="10"/>
      <c r="BZ547" s="10"/>
      <c r="CA547" s="10"/>
    </row>
    <row r="548" spans="1:79" ht="29.85" customHeight="1" x14ac:dyDescent="0.4">
      <c r="A548" s="249"/>
      <c r="B548" s="249"/>
      <c r="C548" s="584">
        <v>0.95138888888888884</v>
      </c>
      <c r="D548" s="249"/>
      <c r="E548" s="4"/>
      <c r="F548" s="2359"/>
      <c r="G548" s="249"/>
      <c r="H548" s="4"/>
      <c r="I548" s="3"/>
      <c r="J548" s="249"/>
      <c r="K548" s="2359"/>
      <c r="L548" s="3"/>
      <c r="M548" s="249"/>
      <c r="N548" s="249"/>
      <c r="O548" s="2360"/>
      <c r="P548" s="249"/>
      <c r="Q548" s="2359"/>
      <c r="R548" s="3"/>
      <c r="S548" s="8"/>
      <c r="T548" s="249"/>
      <c r="U548" s="249"/>
      <c r="V548" s="8"/>
      <c r="W548" s="249"/>
      <c r="X548" s="8"/>
      <c r="Y548" s="249"/>
      <c r="Z548" s="249"/>
      <c r="AA548" s="2360"/>
      <c r="AB548" s="249"/>
      <c r="AC548" s="249"/>
      <c r="AD548" s="249"/>
      <c r="AE548" s="2361"/>
      <c r="AF548" s="2362"/>
      <c r="AG548" s="2361"/>
      <c r="AH548" s="2363"/>
      <c r="AI548" s="2364"/>
      <c r="AJ548" s="2361"/>
      <c r="AK548" s="249"/>
      <c r="AL548" s="249"/>
      <c r="AM548" s="4"/>
      <c r="AN548" s="249"/>
      <c r="AO548" s="249"/>
      <c r="AP548" s="4"/>
      <c r="AQ548" s="249"/>
      <c r="AR548" s="249"/>
      <c r="AS548" s="4"/>
      <c r="AT548" s="249"/>
      <c r="AU548" s="249"/>
      <c r="AV548" s="4"/>
      <c r="AW548" s="249"/>
      <c r="AX548" s="249"/>
      <c r="AY548" s="4"/>
      <c r="AZ548" s="10"/>
      <c r="BA548" s="10"/>
      <c r="BB548" s="10"/>
      <c r="BC548" s="10"/>
      <c r="BD548" s="10"/>
      <c r="BE548" s="10"/>
      <c r="BF548" s="249"/>
      <c r="BG548" s="249"/>
      <c r="BH548" s="4"/>
      <c r="BI548" s="249"/>
      <c r="BJ548" s="249"/>
      <c r="BK548" s="4"/>
      <c r="BL548" s="2369"/>
      <c r="BM548" s="2370"/>
      <c r="BN548" s="2369"/>
      <c r="BO548" s="10"/>
      <c r="BP548" s="10"/>
      <c r="BQ548" s="10"/>
      <c r="BR548" s="10"/>
      <c r="BS548" s="2692"/>
      <c r="BT548" s="2693" t="s">
        <v>570</v>
      </c>
      <c r="BU548" s="2692"/>
      <c r="BV548" s="2238"/>
      <c r="BW548" s="2690" t="s">
        <v>571</v>
      </c>
      <c r="BX548" s="2238"/>
      <c r="BY548" s="10"/>
      <c r="BZ548" s="10"/>
      <c r="CA548" s="10"/>
    </row>
    <row r="549" spans="1:79" ht="29.85" customHeight="1" x14ac:dyDescent="0.4">
      <c r="A549" s="249"/>
      <c r="B549" s="249"/>
      <c r="C549" s="584" t="s">
        <v>307</v>
      </c>
      <c r="D549" s="249"/>
      <c r="E549" s="4"/>
      <c r="F549" s="2359"/>
      <c r="G549" s="249"/>
      <c r="H549" s="4"/>
      <c r="I549" s="3"/>
      <c r="J549" s="249"/>
      <c r="K549" s="2359"/>
      <c r="L549" s="3"/>
      <c r="M549" s="249"/>
      <c r="N549" s="249"/>
      <c r="O549" s="2360"/>
      <c r="P549" s="249"/>
      <c r="Q549" s="2359"/>
      <c r="R549" s="3"/>
      <c r="S549" s="8"/>
      <c r="T549" s="249"/>
      <c r="U549" s="249"/>
      <c r="V549" s="8"/>
      <c r="W549" s="249"/>
      <c r="X549" s="8"/>
      <c r="Y549" s="249"/>
      <c r="Z549" s="249"/>
      <c r="AA549" s="2360"/>
      <c r="AB549" s="249"/>
      <c r="AC549" s="249"/>
      <c r="AD549" s="249"/>
      <c r="AE549" s="2361"/>
      <c r="AF549" s="2362"/>
      <c r="AG549" s="2361"/>
      <c r="AH549" s="2363"/>
      <c r="AI549" s="2364"/>
      <c r="AJ549" s="2361"/>
      <c r="AK549" s="249"/>
      <c r="AL549" s="249"/>
      <c r="AM549" s="4"/>
      <c r="AN549" s="249"/>
      <c r="AO549" s="249"/>
      <c r="AP549" s="4"/>
      <c r="AQ549" s="249"/>
      <c r="AR549" s="249"/>
      <c r="AS549" s="4"/>
      <c r="AT549" s="249"/>
      <c r="AU549" s="249"/>
      <c r="AV549" s="4"/>
      <c r="AW549" s="249"/>
      <c r="AX549" s="249"/>
      <c r="AY549" s="4"/>
      <c r="AZ549" s="10"/>
      <c r="BA549" s="10"/>
      <c r="BB549" s="10"/>
      <c r="BC549" s="10"/>
      <c r="BD549" s="10"/>
      <c r="BE549" s="10"/>
      <c r="BF549" s="249"/>
      <c r="BG549" s="249"/>
      <c r="BH549" s="4"/>
      <c r="BI549" s="249"/>
      <c r="BJ549" s="249"/>
      <c r="BK549" s="4"/>
      <c r="BL549" s="2370"/>
      <c r="BM549" s="2370"/>
      <c r="BN549" s="2370"/>
      <c r="BO549" s="10"/>
      <c r="BP549" s="10"/>
      <c r="BQ549" s="10"/>
      <c r="BR549" s="10"/>
      <c r="BS549" s="183"/>
      <c r="BT549" s="183"/>
      <c r="BU549" s="183"/>
      <c r="BV549" s="184"/>
      <c r="BW549" s="2691" t="s">
        <v>572</v>
      </c>
      <c r="BX549" s="184"/>
      <c r="BY549" s="10"/>
      <c r="BZ549" s="10"/>
      <c r="CA549" s="10"/>
    </row>
    <row r="550" spans="1:79" ht="25.35" customHeight="1" x14ac:dyDescent="0.4">
      <c r="A550" s="249"/>
      <c r="B550" s="249"/>
      <c r="C550" s="621">
        <v>0.95486111111111116</v>
      </c>
      <c r="D550" s="249"/>
      <c r="E550" s="4"/>
      <c r="F550" s="2359"/>
      <c r="G550" s="249"/>
      <c r="H550" s="4"/>
      <c r="I550" s="3"/>
      <c r="J550" s="249"/>
      <c r="K550" s="2359"/>
      <c r="L550" s="3"/>
      <c r="M550" s="249"/>
      <c r="N550" s="249"/>
      <c r="O550" s="2360"/>
      <c r="P550" s="249"/>
      <c r="Q550" s="2359"/>
      <c r="R550" s="3"/>
      <c r="S550" s="8"/>
      <c r="T550" s="249"/>
      <c r="U550" s="249"/>
      <c r="V550" s="8"/>
      <c r="W550" s="249"/>
      <c r="X550" s="8"/>
      <c r="Y550" s="249"/>
      <c r="Z550" s="249"/>
      <c r="AA550" s="2360"/>
      <c r="AB550" s="249"/>
      <c r="AC550" s="249"/>
      <c r="AD550" s="249"/>
      <c r="AE550" s="2361"/>
      <c r="AF550" s="2362"/>
      <c r="AG550" s="2361"/>
      <c r="AH550" s="2363"/>
      <c r="AI550" s="2364"/>
      <c r="AJ550" s="2361"/>
      <c r="AK550" s="249"/>
      <c r="AL550" s="249"/>
      <c r="AM550" s="4"/>
      <c r="AN550" s="249"/>
      <c r="AO550" s="249"/>
      <c r="AP550" s="4"/>
      <c r="AQ550" s="249"/>
      <c r="AR550" s="249"/>
      <c r="AS550" s="4"/>
      <c r="AT550" s="249"/>
      <c r="AU550" s="249"/>
      <c r="AV550" s="4"/>
      <c r="AW550" s="249"/>
      <c r="AX550" s="249"/>
      <c r="AY550" s="4"/>
      <c r="AZ550" s="10"/>
      <c r="BA550" s="10"/>
      <c r="BB550" s="10"/>
      <c r="BC550" s="10"/>
      <c r="BD550" s="10"/>
      <c r="BE550" s="10"/>
      <c r="BF550" s="249"/>
      <c r="BG550" s="249"/>
      <c r="BH550" s="4"/>
      <c r="BI550" s="249"/>
      <c r="BJ550" s="249"/>
      <c r="BK550" s="4"/>
      <c r="BL550" s="2370"/>
      <c r="BM550" s="2371"/>
      <c r="BN550" s="2370"/>
      <c r="BO550" s="10"/>
      <c r="BP550" s="10"/>
      <c r="BQ550" s="10"/>
      <c r="BR550" s="10"/>
      <c r="BS550" s="183"/>
      <c r="BT550" s="183"/>
      <c r="BU550" s="183"/>
      <c r="BV550" s="2368"/>
      <c r="BW550" s="2368"/>
      <c r="BX550" s="2368"/>
      <c r="BY550" s="10"/>
      <c r="BZ550" s="10"/>
      <c r="CA550" s="10"/>
    </row>
    <row r="551" spans="1:79" ht="14.85" customHeight="1" x14ac:dyDescent="0.4">
      <c r="A551" s="249"/>
      <c r="B551" s="249"/>
      <c r="C551" s="2372" t="s">
        <v>542</v>
      </c>
      <c r="D551" s="249"/>
      <c r="E551" s="4"/>
      <c r="F551" s="2359"/>
      <c r="G551" s="249"/>
      <c r="H551" s="4"/>
      <c r="I551" s="3"/>
      <c r="J551" s="249"/>
      <c r="K551" s="2359"/>
      <c r="L551" s="3"/>
      <c r="M551" s="249"/>
      <c r="N551" s="249"/>
      <c r="O551" s="2360"/>
      <c r="P551" s="249"/>
      <c r="Q551" s="2359"/>
      <c r="R551" s="3"/>
      <c r="S551" s="8"/>
      <c r="T551" s="249"/>
      <c r="U551" s="249"/>
      <c r="V551" s="8"/>
      <c r="W551" s="249"/>
      <c r="X551" s="8"/>
      <c r="Y551" s="249"/>
      <c r="Z551" s="249"/>
      <c r="AA551" s="2360"/>
      <c r="AB551" s="249"/>
      <c r="AC551" s="249"/>
      <c r="AD551" s="249"/>
      <c r="AE551" s="2361"/>
      <c r="AF551" s="2362"/>
      <c r="AG551" s="2361"/>
      <c r="AH551" s="2363"/>
      <c r="AI551" s="2364"/>
      <c r="AJ551" s="2361"/>
      <c r="AK551" s="249"/>
      <c r="AL551" s="249"/>
      <c r="AM551" s="4"/>
      <c r="AN551" s="249"/>
      <c r="AO551" s="249"/>
      <c r="AP551" s="4"/>
      <c r="AQ551" s="249"/>
      <c r="AR551" s="249"/>
      <c r="AS551" s="4"/>
      <c r="AT551" s="249"/>
      <c r="AU551" s="249"/>
      <c r="AV551" s="4"/>
      <c r="AW551" s="249"/>
      <c r="AX551" s="249"/>
      <c r="AY551" s="4"/>
      <c r="AZ551" s="10"/>
      <c r="BA551" s="10"/>
      <c r="BB551" s="10"/>
      <c r="BC551" s="10"/>
      <c r="BD551" s="10"/>
      <c r="BE551" s="10"/>
      <c r="BF551" s="249"/>
      <c r="BG551" s="249"/>
      <c r="BH551" s="4"/>
      <c r="BI551" s="249"/>
      <c r="BJ551" s="249"/>
      <c r="BK551" s="4"/>
      <c r="BL551" s="2373"/>
      <c r="BM551" s="2373"/>
      <c r="BN551" s="2373"/>
      <c r="BO551" s="2689"/>
      <c r="BP551" s="2689"/>
      <c r="BQ551" s="2689"/>
      <c r="BR551" s="2689"/>
      <c r="BS551" s="245"/>
      <c r="BT551" s="245"/>
      <c r="BU551" s="245"/>
      <c r="BV551" s="1841"/>
      <c r="BW551" s="1841"/>
      <c r="BX551" s="1841"/>
      <c r="BY551" s="10"/>
      <c r="BZ551" s="10"/>
      <c r="CA551" s="10"/>
    </row>
    <row r="552" spans="1:79" ht="14.85" customHeight="1" x14ac:dyDescent="0.4">
      <c r="A552" s="249"/>
      <c r="B552" s="249"/>
      <c r="C552" s="2374">
        <v>0.95833333333333337</v>
      </c>
      <c r="D552" s="249"/>
      <c r="E552" s="4"/>
      <c r="F552" s="2359"/>
      <c r="G552" s="249"/>
      <c r="H552" s="4"/>
      <c r="I552" s="3"/>
      <c r="J552" s="249"/>
      <c r="K552" s="2359"/>
      <c r="L552" s="3"/>
      <c r="M552" s="249"/>
      <c r="N552" s="249"/>
      <c r="O552" s="2360"/>
      <c r="P552" s="249"/>
      <c r="Q552" s="2359"/>
      <c r="R552" s="3"/>
      <c r="S552" s="8"/>
      <c r="T552" s="249"/>
      <c r="U552" s="249"/>
      <c r="V552" s="8"/>
      <c r="W552" s="249"/>
      <c r="X552" s="8"/>
      <c r="Y552" s="249"/>
      <c r="Z552" s="249"/>
      <c r="AA552" s="2360"/>
      <c r="AB552" s="249"/>
      <c r="AC552" s="249"/>
      <c r="AD552" s="249"/>
      <c r="AE552" s="2361"/>
      <c r="AF552" s="2362"/>
      <c r="AG552" s="2361"/>
      <c r="AH552" s="2363"/>
      <c r="AI552" s="2364"/>
      <c r="AJ552" s="2361"/>
      <c r="AK552" s="249"/>
      <c r="AL552" s="249"/>
      <c r="AM552" s="4"/>
      <c r="AN552" s="249"/>
      <c r="AO552" s="249"/>
      <c r="AP552" s="4"/>
      <c r="AQ552" s="249"/>
      <c r="AR552" s="249"/>
      <c r="AS552" s="4"/>
      <c r="AT552" s="249"/>
      <c r="AU552" s="249"/>
      <c r="AV552" s="4"/>
      <c r="AW552" s="249"/>
      <c r="AX552" s="249"/>
      <c r="AY552" s="4"/>
      <c r="AZ552" s="10"/>
      <c r="BA552" s="10"/>
      <c r="BB552" s="10"/>
      <c r="BC552" s="10"/>
      <c r="BD552" s="10"/>
      <c r="BE552" s="10"/>
      <c r="BF552" s="249"/>
      <c r="BG552" s="249"/>
      <c r="BH552" s="4"/>
      <c r="BI552" s="249"/>
      <c r="BJ552" s="249"/>
      <c r="BK552" s="4"/>
      <c r="BL552" s="12"/>
      <c r="BM552" s="12"/>
      <c r="BN552" s="12"/>
      <c r="BO552" s="10"/>
      <c r="BP552" s="10"/>
      <c r="BQ552" s="10"/>
      <c r="BR552" s="10"/>
      <c r="BS552" s="12"/>
      <c r="BT552" s="12"/>
      <c r="BU552" s="12"/>
      <c r="BV552" s="12"/>
      <c r="BW552" s="12"/>
      <c r="BX552" s="12"/>
      <c r="BY552" s="10"/>
      <c r="BZ552" s="10"/>
      <c r="CA552" s="10"/>
    </row>
  </sheetData>
  <mergeCells count="45">
    <mergeCell ref="BJ505:BJ519"/>
    <mergeCell ref="BG512:BG518"/>
    <mergeCell ref="BT422:BT480"/>
    <mergeCell ref="AX481:AX496"/>
    <mergeCell ref="AF497:AF512"/>
    <mergeCell ref="AI497:AI511"/>
    <mergeCell ref="AL497:AL505"/>
    <mergeCell ref="AU497:AU503"/>
    <mergeCell ref="BD497:BD511"/>
    <mergeCell ref="BA503:BA516"/>
    <mergeCell ref="AO505:AO511"/>
    <mergeCell ref="AR505:AR511"/>
    <mergeCell ref="BJ304:BJ337"/>
    <mergeCell ref="AU319:AU354"/>
    <mergeCell ref="AO338:AO362"/>
    <mergeCell ref="BA338:BA362"/>
    <mergeCell ref="BW363:BW399"/>
    <mergeCell ref="BG376:BG383"/>
    <mergeCell ref="BM376:BM421"/>
    <mergeCell ref="BW408:BW421"/>
    <mergeCell ref="AF277:AF303"/>
    <mergeCell ref="AR277:AR314"/>
    <mergeCell ref="AX277:AX303"/>
    <mergeCell ref="BG277:BG303"/>
    <mergeCell ref="AK278:AK280"/>
    <mergeCell ref="AO286:AO293"/>
    <mergeCell ref="AL298:AL337"/>
    <mergeCell ref="AI304:AI337"/>
    <mergeCell ref="BD304:BD337"/>
    <mergeCell ref="Z266:Z302"/>
    <mergeCell ref="A2:C5"/>
    <mergeCell ref="H26:H27"/>
    <mergeCell ref="BT26:BT27"/>
    <mergeCell ref="E106:E111"/>
    <mergeCell ref="Q146:Q153"/>
    <mergeCell ref="E154:E182"/>
    <mergeCell ref="T173:T180"/>
    <mergeCell ref="W226:W235"/>
    <mergeCell ref="N259:N291"/>
    <mergeCell ref="Q266:Q302"/>
    <mergeCell ref="T266:T302"/>
    <mergeCell ref="W266:W302"/>
    <mergeCell ref="AC266:AC302"/>
    <mergeCell ref="AU274:AU275"/>
    <mergeCell ref="AX274:AX275"/>
  </mergeCells>
  <phoneticPr fontId="4"/>
  <conditionalFormatting sqref="AK515 AM515">
    <cfRule type="dataBar" priority="4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{FF764111-61E8-48CC-A597-C39B120FB037}</x14:id>
        </ext>
      </extLst>
    </cfRule>
  </conditionalFormatting>
  <conditionalFormatting sqref="AL487:AL488">
    <cfRule type="dataBar" priority="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{6C7516A4-C0D9-403E-8722-4E861BBB634F}</x14:id>
        </ext>
      </extLst>
    </cfRule>
  </conditionalFormatting>
  <conditionalFormatting sqref="AL492">
    <cfRule type="dataBar" priority="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{AE383618-35F3-47BA-A7C6-EAEB1C58DFA8}</x14:id>
        </ext>
      </extLst>
    </cfRule>
  </conditionalFormatting>
  <conditionalFormatting sqref="AN481">
    <cfRule type="dataBar" priority="4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{7EF38CEE-C51D-4244-8ED7-624AD11043A3}</x14:id>
        </ext>
      </extLst>
    </cfRule>
  </conditionalFormatting>
  <conditionalFormatting sqref="AT472">
    <cfRule type="dataBar" priority="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{90618F66-322D-4FE8-BF70-95B2EF282205}</x14:id>
        </ext>
      </extLst>
    </cfRule>
  </conditionalFormatting>
  <conditionalFormatting sqref="AT492">
    <cfRule type="dataBar" priority="3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{A3648FA2-6FA2-4DC1-A23A-732CF7FF9B95}</x14:id>
        </ext>
      </extLst>
    </cfRule>
  </conditionalFormatting>
  <conditionalFormatting sqref="AU472">
    <cfRule type="dataBar" priority="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{00AE8D85-9E54-488A-B9F2-01E416F13EE2}</x14:id>
        </ext>
      </extLst>
    </cfRule>
  </conditionalFormatting>
  <conditionalFormatting sqref="AU492">
    <cfRule type="dataBar" priority="3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{9BEA2A10-4D3D-4B96-B90A-2085D1CAAF80}</x14:id>
        </ext>
      </extLst>
    </cfRule>
  </conditionalFormatting>
  <conditionalFormatting sqref="AW492">
    <cfRule type="dataBar" priority="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{6BB3CA86-019B-414C-8B50-B479FE9FDDC7}</x14:id>
        </ext>
      </extLst>
    </cfRule>
  </conditionalFormatting>
  <conditionalFormatting sqref="AW494">
    <cfRule type="dataBar" priority="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{8A698DE0-5E3E-4EDE-8BB6-542D8B8624E8}</x14:id>
        </ext>
      </extLst>
    </cfRule>
  </conditionalFormatting>
  <conditionalFormatting sqref="AW495 AW497 AW493">
    <cfRule type="dataBar" priority="4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{5B107B08-C50A-4BCE-AE6B-CED74197A371}</x14:id>
        </ext>
      </extLst>
    </cfRule>
  </conditionalFormatting>
  <conditionalFormatting sqref="AW496">
    <cfRule type="dataBar" priority="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{5C34EA26-64F7-4738-B1C1-CF25DEC8943F}</x14:id>
        </ext>
      </extLst>
    </cfRule>
  </conditionalFormatting>
  <conditionalFormatting sqref="AW468:AX469">
    <cfRule type="dataBar" priority="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{E9E52AB4-4315-4486-9087-3522CB4CBF72}</x14:id>
        </ext>
      </extLst>
    </cfRule>
  </conditionalFormatting>
  <conditionalFormatting sqref="AX516">
    <cfRule type="dataBar" priority="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{76F52FD9-3726-470D-B796-F002FDC28C57}</x14:id>
        </ext>
      </extLst>
    </cfRule>
  </conditionalFormatting>
  <conditionalFormatting sqref="BI523">
    <cfRule type="dataBar" priority="3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{45B5B9C3-837D-4E58-B32E-C4B5F64A311F}</x14:id>
        </ext>
      </extLst>
    </cfRule>
  </conditionalFormatting>
  <conditionalFormatting sqref="BJ523">
    <cfRule type="dataBar" priority="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{3CE3C705-3BEE-470B-A14A-6E99386FBBB5}</x14:id>
        </ext>
      </extLst>
    </cfRule>
  </conditionalFormatting>
  <conditionalFormatting sqref="BM484">
    <cfRule type="dataBar" priority="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{759B6667-7B83-43CF-B967-F8B3794521FB}</x14:id>
        </ext>
      </extLst>
    </cfRule>
    <cfRule type="dataBar" priority="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{7FECF6B3-2ACD-4ECD-9670-37E62CA50E34}</x14:id>
        </ext>
      </extLst>
    </cfRule>
  </conditionalFormatting>
  <conditionalFormatting sqref="BM486">
    <cfRule type="dataBar" priority="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{A1FB1C91-46F9-4292-8CB1-032D3E94E3D5}</x14:id>
        </ext>
      </extLst>
    </cfRule>
    <cfRule type="dataBar" priority="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{E4E58E34-C88D-4D20-AD55-8EAC2AE0A5E3}</x14:id>
        </ext>
      </extLst>
    </cfRule>
    <cfRule type="dataBar" priority="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{E53532AD-339F-491C-80CB-7D0F903660AF}</x14:id>
        </ext>
      </extLst>
    </cfRule>
  </conditionalFormatting>
  <conditionalFormatting sqref="BM487:BM488">
    <cfRule type="dataBar" priority="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{B6C818B5-A484-4705-948B-E367D2F64FD7}</x14:id>
        </ext>
      </extLst>
    </cfRule>
  </conditionalFormatting>
  <conditionalFormatting sqref="BM491">
    <cfRule type="dataBar" priority="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{73924937-69C2-4083-AB2A-A79A85CC041A}</x14:id>
        </ext>
      </extLst>
    </cfRule>
    <cfRule type="dataBar" priority="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{B9E280CA-0AC5-47D9-80C4-94013D0315B8}</x14:id>
        </ext>
      </extLst>
    </cfRule>
  </conditionalFormatting>
  <conditionalFormatting sqref="BM492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{EFDFA1D6-A856-47D5-BCE2-0FF005D571F6}</x14:id>
        </ext>
      </extLst>
    </cfRule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{7DB3127D-9F6A-46CF-8A0D-ED0D42849693}</x14:id>
        </ext>
      </extLst>
    </cfRule>
  </conditionalFormatting>
  <conditionalFormatting sqref="BM493">
    <cfRule type="dataBar" priority="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{9AE5B1DB-6444-4583-A83D-9C7D15840D43}</x14:id>
        </ext>
      </extLst>
    </cfRule>
    <cfRule type="dataBar" priority="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{38780E0D-818B-4B88-9EFE-A568FA09A7EC}</x14:id>
        </ext>
      </extLst>
    </cfRule>
    <cfRule type="dataBar" priority="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{0681BBC7-5F97-46C1-9510-E96B04E2F9AC}</x14:id>
        </ext>
      </extLst>
    </cfRule>
  </conditionalFormatting>
  <conditionalFormatting sqref="BM494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{F5B423DB-FB92-416A-AF49-463829C3C258}</x14:id>
        </ext>
      </extLst>
    </cfRule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{F137A7A3-4B72-4821-96E5-C7A4BE24EC3F}</x14:id>
        </ext>
      </extLst>
    </cfRule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{9952F2F1-291C-48B4-827A-680900AD934E}</x14:id>
        </ext>
      </extLst>
    </cfRule>
  </conditionalFormatting>
  <conditionalFormatting sqref="BM494:BM496">
    <cfRule type="dataBar" priority="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{3512ED99-9FED-4429-8427-BF7EEC3968FD}</x14:id>
        </ext>
      </extLst>
    </cfRule>
  </conditionalFormatting>
  <conditionalFormatting sqref="BQ484">
    <cfRule type="dataBar" priority="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{CAA35D38-31D5-461B-B555-60AC5FA80881}</x14:id>
        </ext>
      </extLst>
    </cfRule>
    <cfRule type="dataBar" priority="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{DA657015-A715-4058-8951-F12ADB61A97F}</x14:id>
        </ext>
      </extLst>
    </cfRule>
  </conditionalFormatting>
  <conditionalFormatting sqref="BQ486">
    <cfRule type="dataBar" priority="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{8270C776-AAD2-488A-9001-F0E929DA73EE}</x14:id>
        </ext>
      </extLst>
    </cfRule>
    <cfRule type="dataBar" priority="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{52157CE6-C91C-42D4-8AA3-1C05B0960903}</x14:id>
        </ext>
      </extLst>
    </cfRule>
    <cfRule type="dataBar" priority="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{263405FA-5230-4CC8-993E-F3EAB07B4530}</x14:id>
        </ext>
      </extLst>
    </cfRule>
  </conditionalFormatting>
  <conditionalFormatting sqref="BQ487:BQ488">
    <cfRule type="dataBar" priority="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{21D81083-FD0F-4D86-B1FE-EE5F0CBA95F5}</x14:id>
        </ext>
      </extLst>
    </cfRule>
  </conditionalFormatting>
  <conditionalFormatting sqref="BZ484">
    <cfRule type="dataBar" priority="3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{636AFF17-D22A-4544-BC36-34888C0F7176}</x14:id>
        </ext>
      </extLst>
    </cfRule>
    <cfRule type="dataBar" priority="3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{4C836FA0-F893-4085-9B01-9952ADDF414A}</x14:id>
        </ext>
      </extLst>
    </cfRule>
  </conditionalFormatting>
  <conditionalFormatting sqref="BZ486">
    <cfRule type="dataBar" priority="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{45695430-8F68-4FCC-8C3B-C90A29B1CC7F}</x14:id>
        </ext>
      </extLst>
    </cfRule>
    <cfRule type="dataBar" priority="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{E0ECE5CA-8B8F-4E99-8B5C-642BCEE61353}</x14:id>
        </ext>
      </extLst>
    </cfRule>
    <cfRule type="dataBar" priority="2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{699B68E4-CAF5-40B6-A5A6-F15866764940}</x14:id>
        </ext>
      </extLst>
    </cfRule>
  </conditionalFormatting>
  <conditionalFormatting sqref="BZ487:BZ488">
    <cfRule type="dataBar" priority="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{292F1235-F330-4CBF-A594-97E6B0BBB8D2}</x14:id>
        </ext>
      </extLst>
    </cfRule>
  </conditionalFormatting>
  <hyperlinks>
    <hyperlink ref="C6" location="'17.1'!AC236" display="13A" xr:uid="{855F8805-4CFC-4FD5-AF99-51AF0B2C02C6}"/>
    <hyperlink ref="C7" location="'17.1'!AF236" display="13B" xr:uid="{0CD22271-D462-4F77-B086-61F0857F32C5}"/>
    <hyperlink ref="C8" location="'17.1'!AI236" display="13C" xr:uid="{B416ED87-0356-4B4A-BAF0-9761BE9D0C54}"/>
    <hyperlink ref="C9" location="'17.1'!AL236" display="13D" xr:uid="{4267866A-4F22-4415-A122-652CB1CA33D6}"/>
    <hyperlink ref="C10" location="'17.1'!AO236" display="13E" xr:uid="{C3A7B1FD-3E8B-4EEE-925F-273A8F7C9400}"/>
    <hyperlink ref="C11" location="'17.1'!AR236" display="13F" xr:uid="{EDB72235-2D30-4A6E-A0B1-52BD37212ADF}"/>
    <hyperlink ref="C12" location="'17.1'!AU236" display="13G" xr:uid="{9483069C-B76B-4F72-A873-2549C921E9EF}"/>
    <hyperlink ref="C13" location="'17.1'!AX236" display="13H" xr:uid="{DA459E96-0C34-4165-82AA-76531EC18D9B}"/>
    <hyperlink ref="C14" location="'17.1'!BA236" display="13I" xr:uid="{284EB939-6923-484F-80B5-5F35DCEA726B}"/>
    <hyperlink ref="C15" location="'17.1'!BD236" display="13J" xr:uid="{117C4C21-DDDC-41FE-9520-EFEAF11A09E7}"/>
    <hyperlink ref="C16" location="'17.1'!BG236" display="13K" xr:uid="{EB751D29-BDD7-452A-B1C3-98E6637BD1CE}"/>
    <hyperlink ref="C17" location="'17.1'!BJ236" display="13L" xr:uid="{41DA4FE4-2ADC-4343-8746-7581BA28679C}"/>
    <hyperlink ref="C18" location="'17.1'!BM236" display="13M" xr:uid="{5DC489DF-1388-477E-A627-C4E2282D900A}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F764111-61E8-48CC-A597-C39B120FB03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AK515 AM515</xm:sqref>
        </x14:conditionalFormatting>
        <x14:conditionalFormatting xmlns:xm="http://schemas.microsoft.com/office/excel/2006/main">
          <x14:cfRule type="dataBar" id="{6C7516A4-C0D9-403E-8722-4E861BBB634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AL487:AL488</xm:sqref>
        </x14:conditionalFormatting>
        <x14:conditionalFormatting xmlns:xm="http://schemas.microsoft.com/office/excel/2006/main">
          <x14:cfRule type="dataBar" id="{AE383618-35F3-47BA-A7C6-EAEB1C58DFA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AL492</xm:sqref>
        </x14:conditionalFormatting>
        <x14:conditionalFormatting xmlns:xm="http://schemas.microsoft.com/office/excel/2006/main">
          <x14:cfRule type="dataBar" id="{7EF38CEE-C51D-4244-8ED7-624AD11043A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AN481</xm:sqref>
        </x14:conditionalFormatting>
        <x14:conditionalFormatting xmlns:xm="http://schemas.microsoft.com/office/excel/2006/main">
          <x14:cfRule type="dataBar" id="{90618F66-322D-4FE8-BF70-95B2EF28220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AT472</xm:sqref>
        </x14:conditionalFormatting>
        <x14:conditionalFormatting xmlns:xm="http://schemas.microsoft.com/office/excel/2006/main">
          <x14:cfRule type="dataBar" id="{A3648FA2-6FA2-4DC1-A23A-732CF7FF9B9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AT492</xm:sqref>
        </x14:conditionalFormatting>
        <x14:conditionalFormatting xmlns:xm="http://schemas.microsoft.com/office/excel/2006/main">
          <x14:cfRule type="dataBar" id="{00AE8D85-9E54-488A-B9F2-01E416F13E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AU472</xm:sqref>
        </x14:conditionalFormatting>
        <x14:conditionalFormatting xmlns:xm="http://schemas.microsoft.com/office/excel/2006/main">
          <x14:cfRule type="dataBar" id="{9BEA2A10-4D3D-4B96-B90A-2085D1CAAF8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AU492</xm:sqref>
        </x14:conditionalFormatting>
        <x14:conditionalFormatting xmlns:xm="http://schemas.microsoft.com/office/excel/2006/main">
          <x14:cfRule type="dataBar" id="{6BB3CA86-019B-414C-8B50-B479FE9FDDC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AW492</xm:sqref>
        </x14:conditionalFormatting>
        <x14:conditionalFormatting xmlns:xm="http://schemas.microsoft.com/office/excel/2006/main">
          <x14:cfRule type="dataBar" id="{8A698DE0-5E3E-4EDE-8BB6-542D8B8624E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AW494</xm:sqref>
        </x14:conditionalFormatting>
        <x14:conditionalFormatting xmlns:xm="http://schemas.microsoft.com/office/excel/2006/main">
          <x14:cfRule type="dataBar" id="{5B107B08-C50A-4BCE-AE6B-CED74197A37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AW495 AW497 AW493</xm:sqref>
        </x14:conditionalFormatting>
        <x14:conditionalFormatting xmlns:xm="http://schemas.microsoft.com/office/excel/2006/main">
          <x14:cfRule type="dataBar" id="{5C34EA26-64F7-4738-B1C1-CF25DEC8943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AW496</xm:sqref>
        </x14:conditionalFormatting>
        <x14:conditionalFormatting xmlns:xm="http://schemas.microsoft.com/office/excel/2006/main">
          <x14:cfRule type="dataBar" id="{E9E52AB4-4315-4486-9087-3522CB4CBF7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AW468:AX469</xm:sqref>
        </x14:conditionalFormatting>
        <x14:conditionalFormatting xmlns:xm="http://schemas.microsoft.com/office/excel/2006/main">
          <x14:cfRule type="dataBar" id="{76F52FD9-3726-470D-B796-F002FDC28C5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AX516</xm:sqref>
        </x14:conditionalFormatting>
        <x14:conditionalFormatting xmlns:xm="http://schemas.microsoft.com/office/excel/2006/main">
          <x14:cfRule type="dataBar" id="{45B5B9C3-837D-4E58-B32E-C4B5F64A311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BI523</xm:sqref>
        </x14:conditionalFormatting>
        <x14:conditionalFormatting xmlns:xm="http://schemas.microsoft.com/office/excel/2006/main">
          <x14:cfRule type="dataBar" id="{3CE3C705-3BEE-470B-A14A-6E99386FBBB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BJ523</xm:sqref>
        </x14:conditionalFormatting>
        <x14:conditionalFormatting xmlns:xm="http://schemas.microsoft.com/office/excel/2006/main">
          <x14:cfRule type="dataBar" id="{759B6667-7B83-43CF-B967-F8B3794521F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FECF6B3-2ACD-4ECD-9670-37E62CA50E3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BM484</xm:sqref>
        </x14:conditionalFormatting>
        <x14:conditionalFormatting xmlns:xm="http://schemas.microsoft.com/office/excel/2006/main">
          <x14:cfRule type="dataBar" id="{A1FB1C91-46F9-4292-8CB1-032D3E94E3D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4E58E34-C88D-4D20-AD55-8EAC2AE0A5E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53532AD-339F-491C-80CB-7D0F903660A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BM486</xm:sqref>
        </x14:conditionalFormatting>
        <x14:conditionalFormatting xmlns:xm="http://schemas.microsoft.com/office/excel/2006/main">
          <x14:cfRule type="dataBar" id="{B6C818B5-A484-4705-948B-E367D2F64FD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BM487:BM488</xm:sqref>
        </x14:conditionalFormatting>
        <x14:conditionalFormatting xmlns:xm="http://schemas.microsoft.com/office/excel/2006/main">
          <x14:cfRule type="dataBar" id="{73924937-69C2-4083-AB2A-A79A85CC041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B9E280CA-0AC5-47D9-80C4-94013D0315B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BM491</xm:sqref>
        </x14:conditionalFormatting>
        <x14:conditionalFormatting xmlns:xm="http://schemas.microsoft.com/office/excel/2006/main">
          <x14:cfRule type="dataBar" id="{EFDFA1D6-A856-47D5-BCE2-0FF005D571F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DB3127D-9F6A-46CF-8A0D-ED0D4284969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BM492</xm:sqref>
        </x14:conditionalFormatting>
        <x14:conditionalFormatting xmlns:xm="http://schemas.microsoft.com/office/excel/2006/main">
          <x14:cfRule type="dataBar" id="{9AE5B1DB-6444-4583-A83D-9C7D15840D4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38780E0D-818B-4B88-9EFE-A568FA09A7E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681BBC7-5F97-46C1-9510-E96B04E2F9A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BM493</xm:sqref>
        </x14:conditionalFormatting>
        <x14:conditionalFormatting xmlns:xm="http://schemas.microsoft.com/office/excel/2006/main">
          <x14:cfRule type="dataBar" id="{F5B423DB-FB92-416A-AF49-463829C3C25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137A7A3-4B72-4821-96E5-C7A4BE24EC3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952F2F1-291C-48B4-827A-680900AD934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BM494</xm:sqref>
        </x14:conditionalFormatting>
        <x14:conditionalFormatting xmlns:xm="http://schemas.microsoft.com/office/excel/2006/main">
          <x14:cfRule type="dataBar" id="{3512ED99-9FED-4429-8427-BF7EEC3968F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BM494:BM496</xm:sqref>
        </x14:conditionalFormatting>
        <x14:conditionalFormatting xmlns:xm="http://schemas.microsoft.com/office/excel/2006/main">
          <x14:cfRule type="dataBar" id="{CAA35D38-31D5-461B-B555-60AC5FA8088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A657015-A715-4058-8951-F12ADB61A97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BQ484</xm:sqref>
        </x14:conditionalFormatting>
        <x14:conditionalFormatting xmlns:xm="http://schemas.microsoft.com/office/excel/2006/main">
          <x14:cfRule type="dataBar" id="{8270C776-AAD2-488A-9001-F0E929DA73E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2157CE6-C91C-42D4-8AA3-1C05B096090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63405FA-5230-4CC8-993E-F3EAB07B453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BQ486</xm:sqref>
        </x14:conditionalFormatting>
        <x14:conditionalFormatting xmlns:xm="http://schemas.microsoft.com/office/excel/2006/main">
          <x14:cfRule type="dataBar" id="{21D81083-FD0F-4D86-B1FE-EE5F0CBA95F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BQ487:BQ488</xm:sqref>
        </x14:conditionalFormatting>
        <x14:conditionalFormatting xmlns:xm="http://schemas.microsoft.com/office/excel/2006/main">
          <x14:cfRule type="dataBar" id="{636AFF17-D22A-4544-BC36-34888C0F717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C836FA0-F893-4085-9B01-9952ADDF414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BZ484</xm:sqref>
        </x14:conditionalFormatting>
        <x14:conditionalFormatting xmlns:xm="http://schemas.microsoft.com/office/excel/2006/main">
          <x14:cfRule type="dataBar" id="{45695430-8F68-4FCC-8C3B-C90A29B1CC7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ECE5CA-8B8F-4E99-8B5C-642BCEE6135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99B68E4-CAF5-40B6-A5A6-F1586676494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BZ486</xm:sqref>
        </x14:conditionalFormatting>
        <x14:conditionalFormatting xmlns:xm="http://schemas.microsoft.com/office/excel/2006/main">
          <x14:cfRule type="dataBar" id="{292F1235-F330-4CBF-A594-97E6B0BBB8D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BZ487:BZ488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763B82-7869-4224-8893-BEFB2EC6C06C}">
  <sheetPr>
    <tabColor rgb="FFFFFF00"/>
  </sheetPr>
  <dimension ref="A1:CE552"/>
  <sheetViews>
    <sheetView tabSelected="1" topLeftCell="A2" zoomScale="55" zoomScaleNormal="55" workbookViewId="0">
      <pane xSplit="3" ySplit="34" topLeftCell="D36" activePane="bottomRight" state="frozen"/>
      <selection pane="topRight" activeCell="AL347" sqref="AL347"/>
      <selection pane="bottomLeft" activeCell="AL347" sqref="AL347"/>
      <selection pane="bottomRight" activeCell="K16" sqref="K16"/>
    </sheetView>
  </sheetViews>
  <sheetFormatPr defaultColWidth="8.625" defaultRowHeight="18.75" x14ac:dyDescent="0.4"/>
  <cols>
    <col min="1" max="1" width="1.125" customWidth="1"/>
    <col min="2" max="2" width="0.625" customWidth="1"/>
    <col min="3" max="3" width="8.125" customWidth="1"/>
    <col min="4" max="4" width="6.625" customWidth="1"/>
    <col min="5" max="5" width="71.625" customWidth="1"/>
    <col min="6" max="6" width="6.125" customWidth="1"/>
    <col min="7" max="7" width="6.625" customWidth="1"/>
    <col min="8" max="8" width="71.625" customWidth="1"/>
    <col min="9" max="9" width="6.125" customWidth="1"/>
    <col min="10" max="10" width="9" customWidth="1"/>
    <col min="11" max="11" width="71.625" customWidth="1"/>
    <col min="12" max="12" width="6.125" customWidth="1"/>
    <col min="13" max="13" width="9" customWidth="1"/>
    <col min="14" max="14" width="71.625" customWidth="1"/>
    <col min="15" max="15" width="8.625" customWidth="1"/>
    <col min="16" max="16" width="6.625" customWidth="1"/>
    <col min="17" max="17" width="71.625" customWidth="1"/>
    <col min="18" max="18" width="6.125" customWidth="1"/>
    <col min="19" max="19" width="9" customWidth="1"/>
    <col min="20" max="20" width="71.625" customWidth="1"/>
    <col min="21" max="21" width="6.125" customWidth="1"/>
    <col min="22" max="22" width="9.625" customWidth="1"/>
    <col min="23" max="23" width="71.625" customWidth="1"/>
    <col min="24" max="24" width="6.125" customWidth="1"/>
    <col min="25" max="25" width="9" hidden="1" customWidth="1"/>
    <col min="26" max="26" width="71.625" hidden="1" customWidth="1"/>
    <col min="27" max="27" width="6.125" hidden="1" customWidth="1"/>
    <col min="28" max="28" width="6.625" hidden="1" customWidth="1"/>
    <col min="29" max="29" width="64.625" hidden="1" customWidth="1"/>
    <col min="30" max="30" width="6.125" hidden="1" customWidth="1"/>
    <col min="31" max="31" width="6.625" customWidth="1"/>
    <col min="32" max="32" width="64.625" customWidth="1"/>
    <col min="33" max="33" width="6.125" customWidth="1"/>
    <col min="34" max="34" width="6.625" customWidth="1"/>
    <col min="35" max="35" width="64.625" customWidth="1"/>
    <col min="36" max="36" width="6.125" customWidth="1"/>
    <col min="37" max="37" width="6.625" customWidth="1"/>
    <col min="38" max="38" width="64.625" customWidth="1"/>
    <col min="39" max="39" width="6.125" customWidth="1"/>
    <col min="40" max="40" width="6.625" customWidth="1"/>
    <col min="41" max="41" width="64.625" customWidth="1"/>
    <col min="42" max="42" width="6.125" customWidth="1"/>
    <col min="43" max="43" width="6.625" customWidth="1"/>
    <col min="44" max="44" width="64.625" customWidth="1"/>
    <col min="45" max="45" width="6.125" customWidth="1"/>
    <col min="46" max="46" width="6.625" customWidth="1"/>
    <col min="47" max="47" width="64.625" customWidth="1"/>
    <col min="48" max="48" width="6.125" customWidth="1"/>
    <col min="49" max="49" width="6.625" customWidth="1"/>
    <col min="50" max="50" width="64.625" customWidth="1"/>
    <col min="51" max="51" width="6.125" customWidth="1"/>
    <col min="52" max="52" width="6.625" customWidth="1"/>
    <col min="53" max="53" width="64.625" customWidth="1"/>
    <col min="54" max="54" width="6.125" customWidth="1"/>
    <col min="55" max="55" width="6.625" customWidth="1"/>
    <col min="56" max="56" width="64.625" customWidth="1"/>
    <col min="57" max="57" width="6.125" customWidth="1"/>
    <col min="58" max="58" width="6.625" customWidth="1"/>
    <col min="59" max="59" width="64.625" customWidth="1"/>
    <col min="60" max="60" width="6.125" customWidth="1"/>
    <col min="61" max="61" width="6.625" customWidth="1"/>
    <col min="62" max="62" width="64.625" customWidth="1"/>
    <col min="63" max="63" width="6.125" customWidth="1"/>
    <col min="64" max="64" width="6.625" customWidth="1"/>
    <col min="65" max="65" width="64.625" customWidth="1"/>
    <col min="66" max="66" width="6.125" customWidth="1"/>
    <col min="67" max="67" width="6.625" hidden="1" customWidth="1"/>
    <col min="68" max="68" width="64.625" hidden="1" customWidth="1"/>
    <col min="69" max="69" width="6.125" hidden="1" customWidth="1"/>
    <col min="70" max="70" width="0" hidden="1" customWidth="1"/>
    <col min="71" max="71" width="7.625" customWidth="1"/>
    <col min="72" max="72" width="65.625" customWidth="1"/>
    <col min="73" max="73" width="6.625" customWidth="1"/>
    <col min="74" max="74" width="7.625" hidden="1" customWidth="1"/>
    <col min="75" max="75" width="65.625" hidden="1" customWidth="1"/>
    <col min="76" max="76" width="6.625" hidden="1" customWidth="1"/>
    <col min="77" max="77" width="7.625" hidden="1" customWidth="1"/>
    <col min="78" max="78" width="7.625" customWidth="1"/>
    <col min="79" max="79" width="57.625" customWidth="1"/>
    <col min="80" max="80" width="6.625" customWidth="1"/>
    <col min="81" max="81" width="7.625" customWidth="1"/>
    <col min="82" max="82" width="57.625" customWidth="1"/>
    <col min="83" max="83" width="6.625" customWidth="1"/>
  </cols>
  <sheetData>
    <row r="1" spans="1:83" ht="18" hidden="1" customHeight="1" x14ac:dyDescent="0.4">
      <c r="A1" s="1"/>
      <c r="B1" s="1"/>
      <c r="C1" s="1"/>
      <c r="D1" s="2"/>
      <c r="E1" s="2"/>
      <c r="F1" s="2"/>
      <c r="G1" s="2"/>
      <c r="H1" s="2"/>
      <c r="I1" s="3"/>
      <c r="J1" s="2"/>
      <c r="K1" s="2"/>
      <c r="L1" s="3"/>
      <c r="M1" s="4"/>
      <c r="N1" s="4"/>
      <c r="O1" s="6"/>
      <c r="P1" s="2"/>
      <c r="Q1" s="2"/>
      <c r="R1" s="3"/>
      <c r="S1" s="2"/>
      <c r="T1" s="4"/>
      <c r="U1" s="5"/>
      <c r="V1" s="2"/>
      <c r="W1" s="2"/>
      <c r="X1" s="4"/>
      <c r="Y1" s="4"/>
      <c r="Z1" s="4"/>
      <c r="AA1" s="6"/>
      <c r="AB1" s="7"/>
      <c r="AC1" s="7"/>
      <c r="AD1" s="7"/>
      <c r="AE1" s="2"/>
      <c r="AF1" s="8"/>
      <c r="AG1" s="4"/>
      <c r="AH1" s="7"/>
      <c r="AI1" s="9"/>
      <c r="AJ1" s="4"/>
      <c r="AK1" s="1"/>
      <c r="AL1" s="1"/>
      <c r="AM1" s="4"/>
      <c r="AN1" s="1"/>
      <c r="AO1" s="1"/>
      <c r="AP1" s="4"/>
      <c r="AQ1" s="1"/>
      <c r="AR1" s="1"/>
      <c r="AS1" s="4"/>
      <c r="AT1" s="1"/>
      <c r="AU1" s="1"/>
      <c r="AV1" s="4"/>
      <c r="AW1" s="1"/>
      <c r="AX1" s="1"/>
      <c r="AY1" s="4"/>
      <c r="AZ1" s="10"/>
      <c r="BA1" s="10"/>
      <c r="BB1" s="10"/>
      <c r="BC1" s="10"/>
      <c r="BD1" s="10"/>
      <c r="BE1" s="10"/>
      <c r="BF1" s="1"/>
      <c r="BG1" s="1"/>
      <c r="BH1" s="4"/>
      <c r="BI1" s="1"/>
      <c r="BJ1" s="1"/>
      <c r="BK1" s="4"/>
      <c r="BL1" s="10"/>
      <c r="BM1" s="10"/>
      <c r="BN1" s="10"/>
      <c r="BO1" s="11" t="e">
        <f>#REF!/(7.5*60)</f>
        <v>#REF!</v>
      </c>
      <c r="BP1" s="10"/>
      <c r="BQ1" s="10"/>
      <c r="BR1" s="10"/>
      <c r="BS1" s="12"/>
      <c r="BT1" s="12"/>
      <c r="BU1" s="12"/>
      <c r="BV1" s="11" t="e">
        <f>#REF!/(7.5*60)</f>
        <v>#REF!</v>
      </c>
      <c r="BW1" s="10"/>
      <c r="BX1" s="10"/>
      <c r="BY1" s="10"/>
      <c r="BZ1" s="12"/>
      <c r="CA1" s="12"/>
      <c r="CB1" s="12"/>
      <c r="CC1" s="12"/>
      <c r="CD1" s="12"/>
      <c r="CE1" s="12"/>
    </row>
    <row r="2" spans="1:83" ht="28.35" customHeight="1" x14ac:dyDescent="0.4">
      <c r="A2" s="2835" t="s">
        <v>65</v>
      </c>
      <c r="B2" s="2836"/>
      <c r="C2" s="2837"/>
      <c r="D2" s="13"/>
      <c r="E2" s="14" t="s">
        <v>66</v>
      </c>
      <c r="F2" s="14"/>
      <c r="G2" s="15"/>
      <c r="H2" s="16" t="s">
        <v>67</v>
      </c>
      <c r="I2" s="17"/>
      <c r="J2" s="18"/>
      <c r="K2" s="19" t="s">
        <v>68</v>
      </c>
      <c r="L2" s="20"/>
      <c r="M2" s="30"/>
      <c r="N2" s="31" t="s">
        <v>573</v>
      </c>
      <c r="O2" s="30"/>
      <c r="P2" s="21"/>
      <c r="Q2" s="22" t="s">
        <v>70</v>
      </c>
      <c r="R2" s="23"/>
      <c r="S2" s="2703"/>
      <c r="T2" s="2704" t="s">
        <v>71</v>
      </c>
      <c r="U2" s="32"/>
      <c r="V2" s="27"/>
      <c r="W2" s="28" t="s">
        <v>72</v>
      </c>
      <c r="X2" s="29"/>
      <c r="Y2" s="30"/>
      <c r="Z2" s="31" t="s">
        <v>73</v>
      </c>
      <c r="AA2" s="30"/>
      <c r="AB2" s="32"/>
      <c r="AC2" s="33" t="s">
        <v>74</v>
      </c>
      <c r="AD2" s="32"/>
      <c r="AE2" s="34"/>
      <c r="AF2" s="35" t="s">
        <v>75</v>
      </c>
      <c r="AG2" s="26"/>
      <c r="AH2" s="36"/>
      <c r="AI2" s="37" t="s">
        <v>76</v>
      </c>
      <c r="AJ2" s="38"/>
      <c r="AK2" s="39"/>
      <c r="AL2" s="40" t="s">
        <v>77</v>
      </c>
      <c r="AM2" s="41"/>
      <c r="AN2" s="42"/>
      <c r="AO2" s="43" t="s">
        <v>78</v>
      </c>
      <c r="AP2" s="44"/>
      <c r="AQ2" s="45"/>
      <c r="AR2" s="46" t="s">
        <v>79</v>
      </c>
      <c r="AS2" s="47"/>
      <c r="AT2" s="48"/>
      <c r="AU2" s="49" t="s">
        <v>80</v>
      </c>
      <c r="AV2" s="50"/>
      <c r="AW2" s="51"/>
      <c r="AX2" s="52" t="s">
        <v>81</v>
      </c>
      <c r="AY2" s="29"/>
      <c r="AZ2" s="53"/>
      <c r="BA2" s="54" t="s">
        <v>82</v>
      </c>
      <c r="BB2" s="55"/>
      <c r="BC2" s="56"/>
      <c r="BD2" s="57" t="s">
        <v>83</v>
      </c>
      <c r="BE2" s="32"/>
      <c r="BF2" s="58"/>
      <c r="BG2" s="59" t="s">
        <v>84</v>
      </c>
      <c r="BH2" s="58"/>
      <c r="BI2" s="60"/>
      <c r="BJ2" s="61" t="s">
        <v>85</v>
      </c>
      <c r="BK2" s="60"/>
      <c r="BL2" s="62"/>
      <c r="BM2" s="63" t="s">
        <v>574</v>
      </c>
      <c r="BN2" s="64"/>
      <c r="BO2" s="65" t="s">
        <v>87</v>
      </c>
      <c r="BP2" s="66"/>
      <c r="BQ2" s="67" t="s">
        <v>88</v>
      </c>
      <c r="BR2" s="68"/>
      <c r="BS2" s="69"/>
      <c r="BT2" s="70" t="s">
        <v>86</v>
      </c>
      <c r="BU2" s="71"/>
      <c r="BV2" s="65" t="s">
        <v>87</v>
      </c>
      <c r="BW2" s="66"/>
      <c r="BX2" s="67" t="s">
        <v>88</v>
      </c>
      <c r="BY2" s="68"/>
      <c r="BZ2" s="66"/>
      <c r="CA2" s="67" t="s">
        <v>89</v>
      </c>
      <c r="CB2" s="68"/>
      <c r="CC2" s="72"/>
      <c r="CD2" s="73" t="s">
        <v>90</v>
      </c>
      <c r="CE2" s="74"/>
    </row>
    <row r="3" spans="1:83" ht="16.350000000000001" customHeight="1" x14ac:dyDescent="0.4">
      <c r="A3" s="2836"/>
      <c r="B3" s="2836"/>
      <c r="C3" s="2837"/>
      <c r="D3" s="75"/>
      <c r="E3" s="76" t="s">
        <v>91</v>
      </c>
      <c r="F3" s="77"/>
      <c r="G3" s="78"/>
      <c r="H3" s="79" t="s">
        <v>92</v>
      </c>
      <c r="I3" s="80"/>
      <c r="J3" s="81"/>
      <c r="K3" s="82" t="s">
        <v>93</v>
      </c>
      <c r="L3" s="83"/>
      <c r="M3" s="93"/>
      <c r="N3" s="94" t="s">
        <v>91</v>
      </c>
      <c r="O3" s="93"/>
      <c r="P3" s="84"/>
      <c r="Q3" s="85" t="s">
        <v>93</v>
      </c>
      <c r="R3" s="86"/>
      <c r="S3" s="2705" t="s">
        <v>94</v>
      </c>
      <c r="T3" s="2706" t="s">
        <v>93</v>
      </c>
      <c r="U3" s="95"/>
      <c r="V3" s="90" t="s">
        <v>94</v>
      </c>
      <c r="W3" s="91" t="s">
        <v>91</v>
      </c>
      <c r="X3" s="92"/>
      <c r="Y3" s="93" t="s">
        <v>94</v>
      </c>
      <c r="Z3" s="94" t="s">
        <v>91</v>
      </c>
      <c r="AA3" s="93"/>
      <c r="AB3" s="95" t="s">
        <v>94</v>
      </c>
      <c r="AC3" s="96" t="s">
        <v>95</v>
      </c>
      <c r="AD3" s="95"/>
      <c r="AE3" s="97" t="s">
        <v>94</v>
      </c>
      <c r="AF3" s="98" t="s">
        <v>96</v>
      </c>
      <c r="AG3" s="99"/>
      <c r="AH3" s="100" t="s">
        <v>94</v>
      </c>
      <c r="AI3" s="101" t="s">
        <v>97</v>
      </c>
      <c r="AJ3" s="102"/>
      <c r="AK3" s="103" t="s">
        <v>94</v>
      </c>
      <c r="AL3" s="104" t="s">
        <v>98</v>
      </c>
      <c r="AM3" s="105"/>
      <c r="AN3" s="106" t="s">
        <v>94</v>
      </c>
      <c r="AO3" s="107" t="s">
        <v>98</v>
      </c>
      <c r="AP3" s="108"/>
      <c r="AQ3" s="109" t="s">
        <v>94</v>
      </c>
      <c r="AR3" s="110" t="s">
        <v>99</v>
      </c>
      <c r="AS3" s="111"/>
      <c r="AT3" s="112" t="s">
        <v>94</v>
      </c>
      <c r="AU3" s="113" t="s">
        <v>99</v>
      </c>
      <c r="AV3" s="114"/>
      <c r="AW3" s="115" t="s">
        <v>94</v>
      </c>
      <c r="AX3" s="116" t="s">
        <v>100</v>
      </c>
      <c r="AY3" s="92"/>
      <c r="AZ3" s="117" t="s">
        <v>94</v>
      </c>
      <c r="BA3" s="118" t="s">
        <v>100</v>
      </c>
      <c r="BB3" s="119"/>
      <c r="BC3" s="120" t="s">
        <v>94</v>
      </c>
      <c r="BD3" s="121" t="s">
        <v>101</v>
      </c>
      <c r="BE3" s="95"/>
      <c r="BF3" s="122" t="s">
        <v>94</v>
      </c>
      <c r="BG3" s="123" t="s">
        <v>575</v>
      </c>
      <c r="BH3" s="122"/>
      <c r="BI3" s="124"/>
      <c r="BJ3" s="125"/>
      <c r="BK3" s="124"/>
      <c r="BL3" s="126"/>
      <c r="BM3" s="127"/>
      <c r="BN3" s="128"/>
      <c r="BO3" s="129"/>
      <c r="BP3" s="130" t="s">
        <v>102</v>
      </c>
      <c r="BQ3" s="131" t="s">
        <v>95</v>
      </c>
      <c r="BR3" s="132"/>
      <c r="BS3" s="133" t="s">
        <v>102</v>
      </c>
      <c r="BT3" s="134" t="s">
        <v>91</v>
      </c>
      <c r="BU3" s="135"/>
      <c r="BV3" s="129"/>
      <c r="BW3" s="130" t="s">
        <v>102</v>
      </c>
      <c r="BX3" s="131" t="s">
        <v>95</v>
      </c>
      <c r="BY3" s="132"/>
      <c r="BZ3" s="130" t="s">
        <v>102</v>
      </c>
      <c r="CA3" s="136" t="s">
        <v>103</v>
      </c>
      <c r="CB3" s="132"/>
      <c r="CC3" s="137" t="s">
        <v>102</v>
      </c>
      <c r="CD3" s="138" t="s">
        <v>93</v>
      </c>
      <c r="CE3" s="139"/>
    </row>
    <row r="4" spans="1:83" ht="18" customHeight="1" x14ac:dyDescent="0.4">
      <c r="A4" s="2836"/>
      <c r="B4" s="2836"/>
      <c r="C4" s="2837"/>
      <c r="D4" s="140"/>
      <c r="E4" s="76"/>
      <c r="F4" s="76"/>
      <c r="G4" s="141"/>
      <c r="H4" s="79"/>
      <c r="I4" s="80"/>
      <c r="J4" s="142"/>
      <c r="K4" s="82"/>
      <c r="L4" s="83"/>
      <c r="M4" s="148"/>
      <c r="N4" s="94"/>
      <c r="O4" s="148"/>
      <c r="P4" s="143"/>
      <c r="Q4" s="85"/>
      <c r="R4" s="86"/>
      <c r="S4" s="2707"/>
      <c r="T4" s="2706"/>
      <c r="U4" s="149"/>
      <c r="V4" s="146"/>
      <c r="W4" s="91">
        <v>1</v>
      </c>
      <c r="X4" s="147"/>
      <c r="Y4" s="148"/>
      <c r="Z4" s="94">
        <v>2</v>
      </c>
      <c r="AA4" s="148"/>
      <c r="AB4" s="149"/>
      <c r="AC4" s="150"/>
      <c r="AD4" s="149"/>
      <c r="AE4" s="151"/>
      <c r="AF4" s="152" t="s">
        <v>576</v>
      </c>
      <c r="AG4" s="153"/>
      <c r="AH4" s="101"/>
      <c r="AI4" s="154" t="s">
        <v>577</v>
      </c>
      <c r="AJ4" s="155"/>
      <c r="AK4" s="156"/>
      <c r="AL4" s="156">
        <v>2</v>
      </c>
      <c r="AM4" s="157"/>
      <c r="AN4" s="158"/>
      <c r="AO4" s="159">
        <v>3</v>
      </c>
      <c r="AP4" s="160"/>
      <c r="AQ4" s="161"/>
      <c r="AR4" s="162">
        <v>6</v>
      </c>
      <c r="AS4" s="163"/>
      <c r="AT4" s="164"/>
      <c r="AU4" s="165">
        <v>7</v>
      </c>
      <c r="AV4" s="166"/>
      <c r="AW4" s="167"/>
      <c r="AX4" s="168">
        <v>5</v>
      </c>
      <c r="AY4" s="147"/>
      <c r="AZ4" s="169"/>
      <c r="BA4" s="170">
        <v>4</v>
      </c>
      <c r="BB4" s="171"/>
      <c r="BC4" s="172"/>
      <c r="BD4" s="172">
        <v>8</v>
      </c>
      <c r="BE4" s="149"/>
      <c r="BF4" s="173"/>
      <c r="BG4" s="123">
        <v>9</v>
      </c>
      <c r="BH4" s="173"/>
      <c r="BI4" s="174"/>
      <c r="BJ4" s="175" t="s">
        <v>106</v>
      </c>
      <c r="BK4" s="174"/>
      <c r="BL4" s="176"/>
      <c r="BM4" s="177" t="s">
        <v>106</v>
      </c>
      <c r="BN4" s="178"/>
      <c r="BO4" s="179"/>
      <c r="BP4" s="180"/>
      <c r="BQ4" s="136"/>
      <c r="BR4" s="181"/>
      <c r="BS4" s="133"/>
      <c r="BT4" s="182"/>
      <c r="BU4" s="135"/>
      <c r="BV4" s="179"/>
      <c r="BW4" s="180"/>
      <c r="BX4" s="136"/>
      <c r="BY4" s="181"/>
      <c r="BZ4" s="130"/>
      <c r="CA4" s="183"/>
      <c r="CB4" s="132"/>
      <c r="CC4" s="137"/>
      <c r="CD4" s="184"/>
      <c r="CE4" s="139"/>
    </row>
    <row r="5" spans="1:83" ht="23.85" customHeight="1" x14ac:dyDescent="0.3">
      <c r="A5" s="2836"/>
      <c r="B5" s="2836"/>
      <c r="C5" s="2837"/>
      <c r="D5" s="185"/>
      <c r="E5" s="186"/>
      <c r="F5" s="186"/>
      <c r="G5" s="187"/>
      <c r="H5" s="188"/>
      <c r="I5" s="189"/>
      <c r="J5" s="190"/>
      <c r="K5" s="191" t="s">
        <v>107</v>
      </c>
      <c r="L5" s="192"/>
      <c r="M5" s="202"/>
      <c r="N5" s="203" t="s">
        <v>578</v>
      </c>
      <c r="O5" s="202"/>
      <c r="P5" s="193"/>
      <c r="Q5" s="194"/>
      <c r="R5" s="195"/>
      <c r="S5" s="2708"/>
      <c r="T5" s="2709"/>
      <c r="U5" s="204"/>
      <c r="V5" s="199"/>
      <c r="W5" s="200"/>
      <c r="X5" s="201"/>
      <c r="Y5" s="202"/>
      <c r="Z5" s="203" t="s">
        <v>109</v>
      </c>
      <c r="AA5" s="202"/>
      <c r="AB5" s="204"/>
      <c r="AC5" s="204"/>
      <c r="AD5" s="204"/>
      <c r="AE5" s="205"/>
      <c r="AF5" s="206" t="s">
        <v>110</v>
      </c>
      <c r="AG5" s="207"/>
      <c r="AH5" s="208"/>
      <c r="AI5" s="209" t="s">
        <v>111</v>
      </c>
      <c r="AJ5" s="210"/>
      <c r="AK5" s="211"/>
      <c r="AL5" s="212"/>
      <c r="AM5" s="213"/>
      <c r="AN5" s="214"/>
      <c r="AO5" s="214"/>
      <c r="AP5" s="215"/>
      <c r="AQ5" s="216"/>
      <c r="AR5" s="217"/>
      <c r="AS5" s="217"/>
      <c r="AT5" s="218"/>
      <c r="AU5" s="219"/>
      <c r="AV5" s="220"/>
      <c r="AW5" s="221"/>
      <c r="AX5" s="222"/>
      <c r="AY5" s="223"/>
      <c r="AZ5" s="224"/>
      <c r="BA5" s="225"/>
      <c r="BB5" s="226"/>
      <c r="BC5" s="227"/>
      <c r="BD5" s="228" t="s">
        <v>112</v>
      </c>
      <c r="BE5" s="229"/>
      <c r="BF5" s="230"/>
      <c r="BG5" s="2820" t="s">
        <v>112</v>
      </c>
      <c r="BH5" s="231"/>
      <c r="BI5" s="232"/>
      <c r="BJ5" s="233"/>
      <c r="BK5" s="234"/>
      <c r="BL5" s="235"/>
      <c r="BM5" s="236" t="s">
        <v>579</v>
      </c>
      <c r="BN5" s="237"/>
      <c r="BO5" s="238"/>
      <c r="BP5" s="239"/>
      <c r="BQ5" s="240"/>
      <c r="BR5" s="241"/>
      <c r="BS5" s="242"/>
      <c r="BT5" s="243"/>
      <c r="BU5" s="244"/>
      <c r="BV5" s="238"/>
      <c r="BW5" s="239"/>
      <c r="BX5" s="240"/>
      <c r="BY5" s="241"/>
      <c r="BZ5" s="239"/>
      <c r="CA5" s="245"/>
      <c r="CB5" s="241"/>
      <c r="CC5" s="246"/>
      <c r="CD5" s="247" t="s">
        <v>107</v>
      </c>
      <c r="CE5" s="248"/>
    </row>
    <row r="6" spans="1:83" ht="15" customHeight="1" x14ac:dyDescent="0.4">
      <c r="A6" s="249"/>
      <c r="B6" s="249"/>
      <c r="C6" s="250" t="s">
        <v>113</v>
      </c>
      <c r="D6" s="251"/>
      <c r="E6" s="252"/>
      <c r="F6" s="253"/>
      <c r="G6" s="254"/>
      <c r="H6" s="255"/>
      <c r="I6" s="256"/>
      <c r="J6" s="257"/>
      <c r="K6" s="258"/>
      <c r="L6" s="259"/>
      <c r="M6" s="268"/>
      <c r="N6" s="269"/>
      <c r="O6" s="270"/>
      <c r="P6" s="260"/>
      <c r="Q6" s="2710" t="s">
        <v>114</v>
      </c>
      <c r="R6" s="261"/>
      <c r="S6" s="2711"/>
      <c r="T6" s="2712" t="s">
        <v>115</v>
      </c>
      <c r="U6" s="271"/>
      <c r="V6" s="265"/>
      <c r="W6" s="266" t="s">
        <v>116</v>
      </c>
      <c r="X6" s="267"/>
      <c r="Y6" s="268"/>
      <c r="Z6" s="269" t="s">
        <v>115</v>
      </c>
      <c r="AA6" s="270"/>
      <c r="AB6" s="271"/>
      <c r="AC6" s="149"/>
      <c r="AD6" s="271"/>
      <c r="AE6" s="272"/>
      <c r="AF6" s="272"/>
      <c r="AG6" s="89"/>
      <c r="AH6" s="273"/>
      <c r="AI6" s="273"/>
      <c r="AJ6" s="274"/>
      <c r="AK6" s="275"/>
      <c r="AL6" s="276" t="s">
        <v>117</v>
      </c>
      <c r="AM6" s="277"/>
      <c r="AN6" s="278"/>
      <c r="AO6" s="279" t="s">
        <v>117</v>
      </c>
      <c r="AP6" s="280"/>
      <c r="AQ6" s="281"/>
      <c r="AR6" s="282" t="s">
        <v>117</v>
      </c>
      <c r="AS6" s="283"/>
      <c r="AT6" s="284"/>
      <c r="AU6" s="285" t="s">
        <v>117</v>
      </c>
      <c r="AV6" s="286"/>
      <c r="AW6" s="287"/>
      <c r="AX6" s="288" t="s">
        <v>117</v>
      </c>
      <c r="AY6" s="267"/>
      <c r="AZ6" s="289"/>
      <c r="BA6" s="290" t="s">
        <v>117</v>
      </c>
      <c r="BB6" s="291"/>
      <c r="BC6" s="95" t="s">
        <v>118</v>
      </c>
      <c r="BD6" s="149" t="s">
        <v>119</v>
      </c>
      <c r="BE6" s="271"/>
      <c r="BF6" s="292" t="s">
        <v>118</v>
      </c>
      <c r="BG6" s="293" t="s">
        <v>120</v>
      </c>
      <c r="BH6" s="122"/>
      <c r="BI6" s="124"/>
      <c r="BJ6" s="174" t="s">
        <v>121</v>
      </c>
      <c r="BK6" s="124"/>
      <c r="BL6" s="294"/>
      <c r="BM6" s="295"/>
      <c r="BN6" s="296"/>
      <c r="BO6" s="132"/>
      <c r="BP6" s="132"/>
      <c r="BQ6" s="297"/>
      <c r="BR6" s="132"/>
      <c r="BS6" s="135"/>
      <c r="BT6" s="298"/>
      <c r="BU6" s="135"/>
      <c r="BV6" s="132"/>
      <c r="BW6" s="132"/>
      <c r="BX6" s="297"/>
      <c r="BY6" s="132"/>
      <c r="BZ6" s="132"/>
      <c r="CA6" s="299"/>
      <c r="CB6" s="132"/>
      <c r="CC6" s="139"/>
      <c r="CD6" s="300"/>
      <c r="CE6" s="139"/>
    </row>
    <row r="7" spans="1:83" ht="15" customHeight="1" x14ac:dyDescent="0.4">
      <c r="A7" s="249"/>
      <c r="B7" s="249"/>
      <c r="C7" s="301" t="s">
        <v>122</v>
      </c>
      <c r="D7" s="302"/>
      <c r="E7" s="303"/>
      <c r="F7" s="304"/>
      <c r="G7" s="305"/>
      <c r="H7" s="306"/>
      <c r="I7" s="256"/>
      <c r="J7" s="307"/>
      <c r="K7" s="308"/>
      <c r="L7" s="259"/>
      <c r="M7" s="268"/>
      <c r="N7" s="313"/>
      <c r="O7" s="314"/>
      <c r="P7" s="309"/>
      <c r="Q7" s="2713" t="s">
        <v>123</v>
      </c>
      <c r="R7" s="261"/>
      <c r="S7" s="2711"/>
      <c r="T7" s="2714" t="s">
        <v>124</v>
      </c>
      <c r="U7" s="271"/>
      <c r="V7" s="311"/>
      <c r="W7" s="312" t="s">
        <v>125</v>
      </c>
      <c r="X7" s="267"/>
      <c r="Y7" s="268"/>
      <c r="Z7" s="313" t="s">
        <v>124</v>
      </c>
      <c r="AA7" s="314"/>
      <c r="AB7" s="271"/>
      <c r="AC7" s="149"/>
      <c r="AD7" s="271"/>
      <c r="AE7" s="272"/>
      <c r="AF7" s="315"/>
      <c r="AG7" s="89"/>
      <c r="AH7" s="273"/>
      <c r="AI7" s="316"/>
      <c r="AJ7" s="274"/>
      <c r="AK7" s="317"/>
      <c r="AL7" s="157" t="s">
        <v>126</v>
      </c>
      <c r="AM7" s="105"/>
      <c r="AN7" s="318"/>
      <c r="AO7" s="319" t="s">
        <v>127</v>
      </c>
      <c r="AP7" s="320"/>
      <c r="AQ7" s="321"/>
      <c r="AR7" s="322" t="s">
        <v>128</v>
      </c>
      <c r="AS7" s="283"/>
      <c r="AT7" s="323"/>
      <c r="AU7" s="324" t="s">
        <v>129</v>
      </c>
      <c r="AV7" s="114"/>
      <c r="AW7" s="325"/>
      <c r="AX7" s="326" t="s">
        <v>130</v>
      </c>
      <c r="AY7" s="267"/>
      <c r="AZ7" s="327"/>
      <c r="BA7" s="328" t="s">
        <v>131</v>
      </c>
      <c r="BB7" s="119"/>
      <c r="BC7" s="329" t="s">
        <v>132</v>
      </c>
      <c r="BD7" s="330" t="s">
        <v>133</v>
      </c>
      <c r="BE7" s="95"/>
      <c r="BF7" s="331" t="s">
        <v>132</v>
      </c>
      <c r="BG7" s="332" t="s">
        <v>134</v>
      </c>
      <c r="BH7" s="122"/>
      <c r="BI7" s="333"/>
      <c r="BJ7" s="174" t="s">
        <v>135</v>
      </c>
      <c r="BK7" s="124"/>
      <c r="BL7" s="335"/>
      <c r="BM7" s="295"/>
      <c r="BN7" s="128"/>
      <c r="BO7" s="336"/>
      <c r="BP7" s="132"/>
      <c r="BQ7" s="181"/>
      <c r="BR7" s="336"/>
      <c r="BS7" s="135"/>
      <c r="BT7" s="135"/>
      <c r="BU7" s="337"/>
      <c r="BV7" s="336"/>
      <c r="BW7" s="132"/>
      <c r="BX7" s="181"/>
      <c r="BY7" s="336"/>
      <c r="BZ7" s="132"/>
      <c r="CA7" s="132"/>
      <c r="CB7" s="336"/>
      <c r="CC7" s="139"/>
      <c r="CD7" s="139"/>
      <c r="CE7" s="338"/>
    </row>
    <row r="8" spans="1:83" ht="15" customHeight="1" x14ac:dyDescent="0.4">
      <c r="A8" s="249"/>
      <c r="B8" s="249"/>
      <c r="C8" s="301" t="s">
        <v>136</v>
      </c>
      <c r="D8" s="302"/>
      <c r="E8" s="303"/>
      <c r="F8" s="304"/>
      <c r="G8" s="305"/>
      <c r="H8" s="306"/>
      <c r="I8" s="256"/>
      <c r="J8" s="307"/>
      <c r="K8" s="308"/>
      <c r="L8" s="259"/>
      <c r="M8" s="268"/>
      <c r="N8" s="313"/>
      <c r="O8" s="314"/>
      <c r="P8" s="309"/>
      <c r="Q8" s="2713" t="s">
        <v>137</v>
      </c>
      <c r="R8" s="261"/>
      <c r="S8" s="2711"/>
      <c r="T8" s="2714" t="s">
        <v>138</v>
      </c>
      <c r="U8" s="271"/>
      <c r="V8" s="311"/>
      <c r="W8" s="312" t="s">
        <v>139</v>
      </c>
      <c r="X8" s="267"/>
      <c r="Y8" s="268"/>
      <c r="Z8" s="313" t="s">
        <v>138</v>
      </c>
      <c r="AA8" s="314"/>
      <c r="AB8" s="271"/>
      <c r="AC8" s="149"/>
      <c r="AD8" s="271"/>
      <c r="AE8" s="272"/>
      <c r="AF8" s="315"/>
      <c r="AG8" s="89"/>
      <c r="AH8" s="273"/>
      <c r="AI8" s="339"/>
      <c r="AJ8" s="274"/>
      <c r="AK8" s="317"/>
      <c r="AL8" s="340" t="s">
        <v>140</v>
      </c>
      <c r="AM8" s="105"/>
      <c r="AN8" s="318"/>
      <c r="AO8" s="341" t="s">
        <v>141</v>
      </c>
      <c r="AP8" s="320"/>
      <c r="AQ8" s="321"/>
      <c r="AR8" s="342" t="s">
        <v>142</v>
      </c>
      <c r="AS8" s="283"/>
      <c r="AT8" s="323"/>
      <c r="AU8" s="343" t="s">
        <v>143</v>
      </c>
      <c r="AV8" s="114"/>
      <c r="AW8" s="325"/>
      <c r="AX8" s="326" t="s">
        <v>144</v>
      </c>
      <c r="AY8" s="267"/>
      <c r="AZ8" s="327"/>
      <c r="BA8" s="328" t="s">
        <v>145</v>
      </c>
      <c r="BB8" s="291"/>
      <c r="BC8" s="329"/>
      <c r="BD8" s="344" t="s">
        <v>146</v>
      </c>
      <c r="BE8" s="271"/>
      <c r="BF8" s="331"/>
      <c r="BG8" s="345" t="s">
        <v>147</v>
      </c>
      <c r="BH8" s="122"/>
      <c r="BI8" s="346"/>
      <c r="BJ8" s="405" t="s">
        <v>580</v>
      </c>
      <c r="BK8" s="124"/>
      <c r="BL8" s="335"/>
      <c r="BM8" s="347"/>
      <c r="BN8" s="296"/>
      <c r="BO8" s="336"/>
      <c r="BP8" s="132"/>
      <c r="BQ8" s="181"/>
      <c r="BR8" s="336"/>
      <c r="BS8" s="135"/>
      <c r="BT8" s="135"/>
      <c r="BU8" s="337"/>
      <c r="BV8" s="336"/>
      <c r="BW8" s="132"/>
      <c r="BX8" s="181"/>
      <c r="BY8" s="336"/>
      <c r="BZ8" s="132"/>
      <c r="CA8" s="132"/>
      <c r="CB8" s="336"/>
      <c r="CC8" s="139"/>
      <c r="CD8" s="139"/>
      <c r="CE8" s="338"/>
    </row>
    <row r="9" spans="1:83" ht="15" customHeight="1" x14ac:dyDescent="0.4">
      <c r="A9" s="249"/>
      <c r="B9" s="249"/>
      <c r="C9" s="301" t="s">
        <v>149</v>
      </c>
      <c r="D9" s="302"/>
      <c r="E9" s="303"/>
      <c r="F9" s="304"/>
      <c r="G9" s="305"/>
      <c r="H9" s="306"/>
      <c r="I9" s="256"/>
      <c r="J9" s="307"/>
      <c r="K9" s="308"/>
      <c r="L9" s="259"/>
      <c r="M9" s="268"/>
      <c r="N9" s="313"/>
      <c r="O9" s="314"/>
      <c r="P9" s="309"/>
      <c r="Q9" s="2713" t="s">
        <v>150</v>
      </c>
      <c r="R9" s="261"/>
      <c r="S9" s="2711"/>
      <c r="T9" s="2714" t="s">
        <v>151</v>
      </c>
      <c r="U9" s="271"/>
      <c r="V9" s="311"/>
      <c r="W9" s="312" t="s">
        <v>152</v>
      </c>
      <c r="X9" s="267"/>
      <c r="Y9" s="268"/>
      <c r="Z9" s="313" t="s">
        <v>151</v>
      </c>
      <c r="AA9" s="314"/>
      <c r="AB9" s="271"/>
      <c r="AC9" s="149"/>
      <c r="AD9" s="271"/>
      <c r="AE9" s="272"/>
      <c r="AF9" s="315"/>
      <c r="AG9" s="89"/>
      <c r="AH9" s="273"/>
      <c r="AI9" s="348"/>
      <c r="AJ9" s="274"/>
      <c r="AK9" s="317"/>
      <c r="AL9" s="349" t="s">
        <v>153</v>
      </c>
      <c r="AM9" s="105"/>
      <c r="AN9" s="318"/>
      <c r="AO9" s="350" t="s">
        <v>154</v>
      </c>
      <c r="AP9" s="320"/>
      <c r="AQ9" s="321"/>
      <c r="AR9" s="342" t="s">
        <v>155</v>
      </c>
      <c r="AS9" s="283"/>
      <c r="AT9" s="323"/>
      <c r="AU9" s="343" t="s">
        <v>156</v>
      </c>
      <c r="AV9" s="114"/>
      <c r="AW9" s="351"/>
      <c r="AX9" s="326" t="s">
        <v>157</v>
      </c>
      <c r="AY9" s="267"/>
      <c r="AZ9" s="327"/>
      <c r="BA9" s="328" t="s">
        <v>158</v>
      </c>
      <c r="BB9" s="291"/>
      <c r="BC9" s="95"/>
      <c r="BD9" s="344" t="s">
        <v>159</v>
      </c>
      <c r="BE9" s="271"/>
      <c r="BF9" s="292"/>
      <c r="BG9" s="345" t="s">
        <v>160</v>
      </c>
      <c r="BH9" s="122"/>
      <c r="BI9" s="346"/>
      <c r="BJ9" s="354"/>
      <c r="BK9" s="124"/>
      <c r="BL9" s="335"/>
      <c r="BM9" s="295"/>
      <c r="BN9" s="296"/>
      <c r="BO9" s="336"/>
      <c r="BP9" s="132"/>
      <c r="BQ9" s="181"/>
      <c r="BR9" s="336"/>
      <c r="BS9" s="135"/>
      <c r="BT9" s="135"/>
      <c r="BU9" s="337"/>
      <c r="BV9" s="336"/>
      <c r="BW9" s="132"/>
      <c r="BX9" s="181"/>
      <c r="BY9" s="336"/>
      <c r="BZ9" s="132"/>
      <c r="CA9" s="132"/>
      <c r="CB9" s="336"/>
      <c r="CC9" s="139"/>
      <c r="CD9" s="139"/>
      <c r="CE9" s="338"/>
    </row>
    <row r="10" spans="1:83" ht="15" customHeight="1" x14ac:dyDescent="0.4">
      <c r="A10" s="249"/>
      <c r="B10" s="249"/>
      <c r="C10" s="301" t="s">
        <v>161</v>
      </c>
      <c r="D10" s="302"/>
      <c r="E10" s="303"/>
      <c r="F10" s="304"/>
      <c r="G10" s="305"/>
      <c r="H10" s="306"/>
      <c r="I10" s="256"/>
      <c r="J10" s="307"/>
      <c r="K10" s="308"/>
      <c r="L10" s="259"/>
      <c r="M10" s="268"/>
      <c r="N10" s="313"/>
      <c r="O10" s="314"/>
      <c r="P10" s="309"/>
      <c r="Q10" s="2713" t="s">
        <v>162</v>
      </c>
      <c r="R10" s="261"/>
      <c r="S10" s="2711"/>
      <c r="T10" s="2714" t="s">
        <v>163</v>
      </c>
      <c r="U10" s="271"/>
      <c r="V10" s="311"/>
      <c r="W10" s="312" t="s">
        <v>164</v>
      </c>
      <c r="X10" s="267"/>
      <c r="Y10" s="268"/>
      <c r="Z10" s="313" t="s">
        <v>163</v>
      </c>
      <c r="AA10" s="314"/>
      <c r="AB10" s="271"/>
      <c r="AC10" s="149"/>
      <c r="AD10" s="271"/>
      <c r="AE10" s="272"/>
      <c r="AF10" s="315"/>
      <c r="AG10" s="89"/>
      <c r="AH10" s="355"/>
      <c r="AI10" s="356"/>
      <c r="AJ10" s="274"/>
      <c r="AK10" s="317"/>
      <c r="AL10" s="340" t="s">
        <v>165</v>
      </c>
      <c r="AM10" s="105"/>
      <c r="AN10" s="318"/>
      <c r="AO10" s="341" t="s">
        <v>166</v>
      </c>
      <c r="AP10" s="320"/>
      <c r="AQ10" s="357"/>
      <c r="AR10" s="342" t="s">
        <v>167</v>
      </c>
      <c r="AS10" s="283"/>
      <c r="AT10" s="323"/>
      <c r="AU10" s="343" t="s">
        <v>168</v>
      </c>
      <c r="AV10" s="114"/>
      <c r="AW10" s="351"/>
      <c r="AX10" s="326" t="s">
        <v>169</v>
      </c>
      <c r="AY10" s="358"/>
      <c r="AZ10" s="327"/>
      <c r="BA10" s="328" t="s">
        <v>170</v>
      </c>
      <c r="BB10" s="291"/>
      <c r="BC10" s="329"/>
      <c r="BD10" s="344" t="s">
        <v>171</v>
      </c>
      <c r="BE10" s="271"/>
      <c r="BF10" s="331"/>
      <c r="BG10" s="345" t="s">
        <v>172</v>
      </c>
      <c r="BH10" s="122"/>
      <c r="BI10" s="346"/>
      <c r="BJ10" s="334"/>
      <c r="BK10" s="124"/>
      <c r="BL10" s="335"/>
      <c r="BM10" s="295"/>
      <c r="BN10" s="296"/>
      <c r="BO10" s="336"/>
      <c r="BP10" s="359"/>
      <c r="BQ10" s="181"/>
      <c r="BR10" s="336"/>
      <c r="BS10" s="360"/>
      <c r="BT10" s="135"/>
      <c r="BU10" s="337"/>
      <c r="BV10" s="336"/>
      <c r="BW10" s="359"/>
      <c r="BX10" s="181"/>
      <c r="BY10" s="336"/>
      <c r="BZ10" s="359"/>
      <c r="CA10" s="132"/>
      <c r="CB10" s="336"/>
      <c r="CC10" s="361"/>
      <c r="CD10" s="139"/>
      <c r="CE10" s="338"/>
    </row>
    <row r="11" spans="1:83" ht="15" customHeight="1" x14ac:dyDescent="0.4">
      <c r="A11" s="249"/>
      <c r="B11" s="249"/>
      <c r="C11" s="301" t="s">
        <v>173</v>
      </c>
      <c r="D11" s="302"/>
      <c r="E11" s="303"/>
      <c r="F11" s="304"/>
      <c r="G11" s="305"/>
      <c r="H11" s="306"/>
      <c r="I11" s="256"/>
      <c r="J11" s="307"/>
      <c r="K11" s="308"/>
      <c r="L11" s="259"/>
      <c r="M11" s="268"/>
      <c r="N11" s="313"/>
      <c r="O11" s="314"/>
      <c r="P11" s="309"/>
      <c r="Q11" s="2713" t="s">
        <v>174</v>
      </c>
      <c r="R11" s="261"/>
      <c r="S11" s="2711"/>
      <c r="T11" s="2714" t="s">
        <v>175</v>
      </c>
      <c r="U11" s="271"/>
      <c r="V11" s="311"/>
      <c r="W11" s="312" t="s">
        <v>176</v>
      </c>
      <c r="X11" s="267"/>
      <c r="Y11" s="268"/>
      <c r="Z11" s="313" t="s">
        <v>175</v>
      </c>
      <c r="AA11" s="314"/>
      <c r="AB11" s="271"/>
      <c r="AC11" s="149"/>
      <c r="AD11" s="271"/>
      <c r="AE11" s="362"/>
      <c r="AF11" s="363"/>
      <c r="AG11" s="89"/>
      <c r="AH11" s="355"/>
      <c r="AI11" s="356"/>
      <c r="AJ11" s="274"/>
      <c r="AK11" s="364"/>
      <c r="AL11" s="340" t="s">
        <v>177</v>
      </c>
      <c r="AM11" s="105"/>
      <c r="AN11" s="365"/>
      <c r="AO11" s="341" t="s">
        <v>178</v>
      </c>
      <c r="AP11" s="320"/>
      <c r="AQ11" s="366"/>
      <c r="AR11" s="342" t="s">
        <v>179</v>
      </c>
      <c r="AS11" s="367"/>
      <c r="AT11" s="368"/>
      <c r="AU11" s="343" t="s">
        <v>180</v>
      </c>
      <c r="AV11" s="114"/>
      <c r="AW11" s="369"/>
      <c r="AX11" s="326" t="s">
        <v>181</v>
      </c>
      <c r="AY11" s="358"/>
      <c r="AZ11" s="370"/>
      <c r="BA11" s="328" t="s">
        <v>182</v>
      </c>
      <c r="BB11" s="291"/>
      <c r="BC11" s="329"/>
      <c r="BD11" s="344" t="s">
        <v>183</v>
      </c>
      <c r="BE11" s="271"/>
      <c r="BF11" s="331"/>
      <c r="BG11" s="345" t="s">
        <v>184</v>
      </c>
      <c r="BH11" s="122"/>
      <c r="BI11" s="371"/>
      <c r="BJ11" s="334"/>
      <c r="BK11" s="124"/>
      <c r="BL11" s="372"/>
      <c r="BM11" s="295"/>
      <c r="BN11" s="296"/>
      <c r="BO11" s="336"/>
      <c r="BP11" s="359"/>
      <c r="BQ11" s="373"/>
      <c r="BR11" s="336"/>
      <c r="BS11" s="360"/>
      <c r="BT11" s="374"/>
      <c r="BU11" s="337"/>
      <c r="BV11" s="336"/>
      <c r="BW11" s="359"/>
      <c r="BX11" s="373"/>
      <c r="BY11" s="336"/>
      <c r="BZ11" s="359"/>
      <c r="CA11" s="375"/>
      <c r="CB11" s="336"/>
      <c r="CC11" s="361"/>
      <c r="CD11" s="376"/>
      <c r="CE11" s="338"/>
    </row>
    <row r="12" spans="1:83" ht="15" customHeight="1" x14ac:dyDescent="0.4">
      <c r="A12" s="249"/>
      <c r="B12" s="249"/>
      <c r="C12" s="301" t="s">
        <v>185</v>
      </c>
      <c r="D12" s="302"/>
      <c r="E12" s="303"/>
      <c r="F12" s="304"/>
      <c r="G12" s="305"/>
      <c r="H12" s="306"/>
      <c r="I12" s="256"/>
      <c r="J12" s="307"/>
      <c r="K12" s="308"/>
      <c r="L12" s="259"/>
      <c r="M12" s="268"/>
      <c r="N12" s="313"/>
      <c r="O12" s="377"/>
      <c r="P12" s="309"/>
      <c r="Q12" s="2715" t="s">
        <v>186</v>
      </c>
      <c r="R12" s="261"/>
      <c r="S12" s="2711"/>
      <c r="T12" s="2714" t="s">
        <v>187</v>
      </c>
      <c r="U12" s="271"/>
      <c r="V12" s="311"/>
      <c r="W12" s="312" t="s">
        <v>188</v>
      </c>
      <c r="X12" s="267"/>
      <c r="Y12" s="268"/>
      <c r="Z12" s="313" t="s">
        <v>187</v>
      </c>
      <c r="AA12" s="377"/>
      <c r="AB12" s="271"/>
      <c r="AC12" s="149"/>
      <c r="AD12" s="271"/>
      <c r="AE12" s="378"/>
      <c r="AF12" s="363"/>
      <c r="AG12" s="89"/>
      <c r="AH12" s="355"/>
      <c r="AI12" s="316"/>
      <c r="AJ12" s="274"/>
      <c r="AK12" s="364"/>
      <c r="AL12" s="340" t="s">
        <v>189</v>
      </c>
      <c r="AM12" s="105"/>
      <c r="AN12" s="365"/>
      <c r="AO12" s="341" t="s">
        <v>190</v>
      </c>
      <c r="AP12" s="320"/>
      <c r="AQ12" s="366"/>
      <c r="AR12" s="342" t="s">
        <v>191</v>
      </c>
      <c r="AS12" s="367"/>
      <c r="AT12" s="368"/>
      <c r="AU12" s="343" t="s">
        <v>115</v>
      </c>
      <c r="AV12" s="114"/>
      <c r="AW12" s="369"/>
      <c r="AX12" s="326" t="s">
        <v>192</v>
      </c>
      <c r="AY12" s="358"/>
      <c r="AZ12" s="379"/>
      <c r="BA12" s="328" t="s">
        <v>193</v>
      </c>
      <c r="BB12" s="380"/>
      <c r="BC12" s="329"/>
      <c r="BD12" s="344" t="s">
        <v>194</v>
      </c>
      <c r="BE12" s="381"/>
      <c r="BF12" s="331"/>
      <c r="BG12" s="345" t="s">
        <v>195</v>
      </c>
      <c r="BH12" s="122"/>
      <c r="BI12" s="371"/>
      <c r="BJ12" s="2826" t="s">
        <v>581</v>
      </c>
      <c r="BK12" s="124"/>
      <c r="BL12" s="382"/>
      <c r="BM12" s="347"/>
      <c r="BN12" s="383"/>
      <c r="BO12" s="336"/>
      <c r="BP12" s="384"/>
      <c r="BQ12" s="385"/>
      <c r="BR12" s="336"/>
      <c r="BS12" s="386"/>
      <c r="BT12" s="360"/>
      <c r="BU12" s="337"/>
      <c r="BV12" s="336"/>
      <c r="BW12" s="384"/>
      <c r="BX12" s="385"/>
      <c r="BY12" s="336"/>
      <c r="BZ12" s="387"/>
      <c r="CA12" s="359"/>
      <c r="CB12" s="336"/>
      <c r="CC12" s="388"/>
      <c r="CD12" s="361"/>
      <c r="CE12" s="338"/>
    </row>
    <row r="13" spans="1:83" ht="15" customHeight="1" x14ac:dyDescent="0.4">
      <c r="A13" s="249"/>
      <c r="B13" s="249"/>
      <c r="C13" s="301" t="s">
        <v>196</v>
      </c>
      <c r="D13" s="302"/>
      <c r="E13" s="303"/>
      <c r="F13" s="389"/>
      <c r="G13" s="305"/>
      <c r="H13" s="306"/>
      <c r="I13" s="256"/>
      <c r="J13" s="307"/>
      <c r="K13" s="390"/>
      <c r="L13" s="259"/>
      <c r="M13" s="268"/>
      <c r="N13" s="2716"/>
      <c r="O13" s="314"/>
      <c r="P13" s="309"/>
      <c r="Q13" s="2713" t="s">
        <v>197</v>
      </c>
      <c r="R13" s="261"/>
      <c r="S13" s="2711"/>
      <c r="T13" s="2714" t="s">
        <v>198</v>
      </c>
      <c r="U13" s="271"/>
      <c r="V13" s="311"/>
      <c r="W13" s="312" t="s">
        <v>199</v>
      </c>
      <c r="X13" s="267"/>
      <c r="Y13" s="268"/>
      <c r="Z13" s="313" t="s">
        <v>198</v>
      </c>
      <c r="AA13" s="314"/>
      <c r="AB13" s="271"/>
      <c r="AC13" s="149"/>
      <c r="AD13" s="271"/>
      <c r="AE13" s="378"/>
      <c r="AF13" s="363"/>
      <c r="AG13" s="89"/>
      <c r="AH13" s="355"/>
      <c r="AI13" s="348"/>
      <c r="AJ13" s="274"/>
      <c r="AK13" s="364"/>
      <c r="AL13" s="340" t="s">
        <v>200</v>
      </c>
      <c r="AM13" s="105"/>
      <c r="AN13" s="318"/>
      <c r="AO13" s="341" t="s">
        <v>201</v>
      </c>
      <c r="AP13" s="320"/>
      <c r="AQ13" s="366"/>
      <c r="AR13" s="342" t="s">
        <v>202</v>
      </c>
      <c r="AS13" s="367"/>
      <c r="AT13" s="368"/>
      <c r="AU13" s="343" t="s">
        <v>203</v>
      </c>
      <c r="AV13" s="114"/>
      <c r="AW13" s="369"/>
      <c r="AX13" s="391" t="s">
        <v>204</v>
      </c>
      <c r="AY13" s="358"/>
      <c r="AZ13" s="379"/>
      <c r="BA13" s="392" t="s">
        <v>205</v>
      </c>
      <c r="BB13" s="380"/>
      <c r="BC13" s="329"/>
      <c r="BD13" s="352" t="s">
        <v>206</v>
      </c>
      <c r="BE13" s="381"/>
      <c r="BF13" s="331"/>
      <c r="BG13" s="353" t="s">
        <v>206</v>
      </c>
      <c r="BH13" s="122"/>
      <c r="BI13" s="371"/>
      <c r="BJ13" s="174" t="s">
        <v>582</v>
      </c>
      <c r="BK13" s="124"/>
      <c r="BL13" s="382"/>
      <c r="BM13" s="295"/>
      <c r="BN13" s="383"/>
      <c r="BO13" s="336"/>
      <c r="BP13" s="359"/>
      <c r="BQ13" s="385"/>
      <c r="BR13" s="336"/>
      <c r="BS13" s="360"/>
      <c r="BT13" s="360"/>
      <c r="BU13" s="337"/>
      <c r="BV13" s="336"/>
      <c r="BW13" s="359"/>
      <c r="BX13" s="385"/>
      <c r="BY13" s="336"/>
      <c r="BZ13" s="359"/>
      <c r="CA13" s="359"/>
      <c r="CB13" s="336"/>
      <c r="CC13" s="361"/>
      <c r="CD13" s="361"/>
      <c r="CE13" s="338"/>
    </row>
    <row r="14" spans="1:83" ht="15" customHeight="1" x14ac:dyDescent="0.4">
      <c r="A14" s="249"/>
      <c r="B14" s="249"/>
      <c r="C14" s="301" t="s">
        <v>207</v>
      </c>
      <c r="D14" s="302"/>
      <c r="E14" s="303"/>
      <c r="F14" s="389"/>
      <c r="G14" s="305"/>
      <c r="H14" s="306"/>
      <c r="I14" s="256"/>
      <c r="J14" s="307"/>
      <c r="K14" s="390"/>
      <c r="L14" s="259"/>
      <c r="M14" s="268"/>
      <c r="N14" s="2716"/>
      <c r="O14" s="314"/>
      <c r="P14" s="309"/>
      <c r="Q14" s="2713" t="s">
        <v>208</v>
      </c>
      <c r="R14" s="261"/>
      <c r="S14" s="2711"/>
      <c r="T14" s="2714" t="s">
        <v>209</v>
      </c>
      <c r="U14" s="271"/>
      <c r="V14" s="311"/>
      <c r="W14" s="312" t="s">
        <v>189</v>
      </c>
      <c r="X14" s="267"/>
      <c r="Y14" s="268"/>
      <c r="Z14" s="313" t="s">
        <v>209</v>
      </c>
      <c r="AA14" s="314"/>
      <c r="AB14" s="271"/>
      <c r="AC14" s="149"/>
      <c r="AD14" s="271"/>
      <c r="AE14" s="393"/>
      <c r="AF14" s="394"/>
      <c r="AG14" s="89"/>
      <c r="AH14" s="355"/>
      <c r="AI14" s="348"/>
      <c r="AJ14" s="274"/>
      <c r="AK14" s="364"/>
      <c r="AL14" s="340" t="s">
        <v>210</v>
      </c>
      <c r="AM14" s="105"/>
      <c r="AN14" s="318"/>
      <c r="AO14" s="341" t="s">
        <v>211</v>
      </c>
      <c r="AP14" s="320"/>
      <c r="AQ14" s="366"/>
      <c r="AR14" s="395" t="s">
        <v>212</v>
      </c>
      <c r="AS14" s="367"/>
      <c r="AT14" s="396"/>
      <c r="AU14" s="397" t="s">
        <v>188</v>
      </c>
      <c r="AV14" s="114"/>
      <c r="AW14" s="369"/>
      <c r="AX14" s="326" t="s">
        <v>213</v>
      </c>
      <c r="AY14" s="358"/>
      <c r="AZ14" s="379"/>
      <c r="BA14" s="328" t="s">
        <v>214</v>
      </c>
      <c r="BB14" s="380"/>
      <c r="BC14" s="398"/>
      <c r="BD14" s="352"/>
      <c r="BE14" s="381"/>
      <c r="BF14" s="399"/>
      <c r="BG14" s="353"/>
      <c r="BH14" s="122"/>
      <c r="BI14" s="400"/>
      <c r="BJ14" s="174" t="s">
        <v>583</v>
      </c>
      <c r="BK14" s="124"/>
      <c r="BL14" s="382"/>
      <c r="BM14" s="295"/>
      <c r="BN14" s="383"/>
      <c r="BO14" s="336"/>
      <c r="BP14" s="359"/>
      <c r="BQ14" s="385"/>
      <c r="BR14" s="336"/>
      <c r="BS14" s="360"/>
      <c r="BT14" s="360"/>
      <c r="BU14" s="337"/>
      <c r="BV14" s="336"/>
      <c r="BW14" s="359"/>
      <c r="BX14" s="385"/>
      <c r="BY14" s="336"/>
      <c r="BZ14" s="359"/>
      <c r="CA14" s="359"/>
      <c r="CB14" s="336"/>
      <c r="CC14" s="361"/>
      <c r="CD14" s="361"/>
      <c r="CE14" s="338"/>
    </row>
    <row r="15" spans="1:83" ht="15" customHeight="1" x14ac:dyDescent="0.4">
      <c r="A15" s="249"/>
      <c r="B15" s="249"/>
      <c r="C15" s="301" t="s">
        <v>215</v>
      </c>
      <c r="D15" s="302"/>
      <c r="E15" s="303"/>
      <c r="F15" s="389"/>
      <c r="G15" s="305"/>
      <c r="H15" s="306"/>
      <c r="I15" s="256"/>
      <c r="J15" s="307"/>
      <c r="K15" s="390"/>
      <c r="L15" s="259"/>
      <c r="M15" s="268"/>
      <c r="N15" s="2716"/>
      <c r="O15" s="314"/>
      <c r="P15" s="309"/>
      <c r="Q15" s="2713" t="s">
        <v>147</v>
      </c>
      <c r="R15" s="261"/>
      <c r="S15" s="2711"/>
      <c r="T15" s="2714" t="s">
        <v>216</v>
      </c>
      <c r="U15" s="271"/>
      <c r="V15" s="311"/>
      <c r="W15" s="312" t="s">
        <v>182</v>
      </c>
      <c r="X15" s="267"/>
      <c r="Y15" s="268"/>
      <c r="Z15" s="313" t="s">
        <v>216</v>
      </c>
      <c r="AA15" s="314"/>
      <c r="AB15" s="271"/>
      <c r="AC15" s="149"/>
      <c r="AD15" s="271"/>
      <c r="AE15" s="393"/>
      <c r="AF15" s="394"/>
      <c r="AG15" s="89"/>
      <c r="AH15" s="273"/>
      <c r="AI15" s="356"/>
      <c r="AJ15" s="274"/>
      <c r="AK15" s="317"/>
      <c r="AL15" s="340" t="s">
        <v>217</v>
      </c>
      <c r="AM15" s="105"/>
      <c r="AN15" s="318"/>
      <c r="AO15" s="341" t="s">
        <v>218</v>
      </c>
      <c r="AP15" s="320"/>
      <c r="AQ15" s="366"/>
      <c r="AR15" s="342" t="s">
        <v>219</v>
      </c>
      <c r="AS15" s="367"/>
      <c r="AT15" s="396"/>
      <c r="AU15" s="343" t="s">
        <v>220</v>
      </c>
      <c r="AV15" s="114"/>
      <c r="AW15" s="311"/>
      <c r="AX15" s="326" t="s">
        <v>216</v>
      </c>
      <c r="AY15" s="358"/>
      <c r="AZ15" s="379"/>
      <c r="BA15" s="328" t="s">
        <v>221</v>
      </c>
      <c r="BB15" s="380"/>
      <c r="BC15" s="398"/>
      <c r="BD15" s="401"/>
      <c r="BE15" s="381"/>
      <c r="BF15" s="402"/>
      <c r="BG15" s="403"/>
      <c r="BH15" s="122"/>
      <c r="BI15" s="404"/>
      <c r="BJ15" s="174" t="s">
        <v>584</v>
      </c>
      <c r="BK15" s="124"/>
      <c r="BL15" s="382"/>
      <c r="BM15" s="295"/>
      <c r="BN15" s="383"/>
      <c r="BO15" s="336"/>
      <c r="BP15" s="359"/>
      <c r="BQ15" s="406"/>
      <c r="BR15" s="336"/>
      <c r="BS15" s="360"/>
      <c r="BT15" s="407"/>
      <c r="BU15" s="337"/>
      <c r="BV15" s="336"/>
      <c r="BW15" s="359"/>
      <c r="BX15" s="406"/>
      <c r="BY15" s="336"/>
      <c r="BZ15" s="359"/>
      <c r="CA15" s="408"/>
      <c r="CB15" s="336"/>
      <c r="CC15" s="361"/>
      <c r="CD15" s="409"/>
      <c r="CE15" s="338"/>
    </row>
    <row r="16" spans="1:83" ht="15" customHeight="1" x14ac:dyDescent="0.4">
      <c r="A16" s="249"/>
      <c r="B16" s="249"/>
      <c r="C16" s="301" t="s">
        <v>222</v>
      </c>
      <c r="D16" s="302"/>
      <c r="E16" s="303"/>
      <c r="F16" s="389"/>
      <c r="G16" s="305"/>
      <c r="H16" s="306"/>
      <c r="I16" s="256"/>
      <c r="J16" s="307"/>
      <c r="K16" s="390"/>
      <c r="L16" s="259"/>
      <c r="M16" s="268"/>
      <c r="N16" s="2716"/>
      <c r="O16" s="314"/>
      <c r="P16" s="309"/>
      <c r="Q16" s="2713" t="s">
        <v>223</v>
      </c>
      <c r="R16" s="261"/>
      <c r="S16" s="2711"/>
      <c r="T16" s="2714" t="s">
        <v>224</v>
      </c>
      <c r="U16" s="271"/>
      <c r="V16" s="311"/>
      <c r="W16" s="312" t="s">
        <v>225</v>
      </c>
      <c r="X16" s="267"/>
      <c r="Y16" s="268"/>
      <c r="Z16" s="313" t="s">
        <v>224</v>
      </c>
      <c r="AA16" s="314"/>
      <c r="AB16" s="271"/>
      <c r="AC16" s="149"/>
      <c r="AD16" s="271"/>
      <c r="AE16" s="393"/>
      <c r="AF16" s="394"/>
      <c r="AG16" s="89"/>
      <c r="AH16" s="273"/>
      <c r="AI16" s="356"/>
      <c r="AJ16" s="274"/>
      <c r="AK16" s="317"/>
      <c r="AL16" s="349" t="s">
        <v>226</v>
      </c>
      <c r="AM16" s="105"/>
      <c r="AN16" s="318"/>
      <c r="AO16" s="350" t="s">
        <v>227</v>
      </c>
      <c r="AP16" s="320"/>
      <c r="AQ16" s="321"/>
      <c r="AR16" s="342" t="s">
        <v>228</v>
      </c>
      <c r="AS16" s="283"/>
      <c r="AT16" s="284"/>
      <c r="AU16" s="343" t="s">
        <v>199</v>
      </c>
      <c r="AV16" s="410"/>
      <c r="AW16" s="411"/>
      <c r="AX16" s="326" t="s">
        <v>176</v>
      </c>
      <c r="AY16" s="358"/>
      <c r="AZ16" s="379"/>
      <c r="BA16" s="328" t="s">
        <v>229</v>
      </c>
      <c r="BB16" s="380"/>
      <c r="BC16" s="398"/>
      <c r="BD16" s="401"/>
      <c r="BE16" s="381"/>
      <c r="BF16" s="412"/>
      <c r="BG16" s="403"/>
      <c r="BH16" s="122"/>
      <c r="BI16" s="400"/>
      <c r="BJ16" s="174" t="s">
        <v>585</v>
      </c>
      <c r="BK16" s="124"/>
      <c r="BL16" s="382"/>
      <c r="BM16" s="295"/>
      <c r="BN16" s="383"/>
      <c r="BO16" s="336"/>
      <c r="BP16" s="414"/>
      <c r="BQ16" s="385"/>
      <c r="BR16" s="336"/>
      <c r="BS16" s="415"/>
      <c r="BT16" s="360"/>
      <c r="BU16" s="337"/>
      <c r="BV16" s="336"/>
      <c r="BW16" s="414"/>
      <c r="BX16" s="385"/>
      <c r="BY16" s="336"/>
      <c r="BZ16" s="416"/>
      <c r="CA16" s="359"/>
      <c r="CB16" s="336"/>
      <c r="CC16" s="417"/>
      <c r="CD16" s="361"/>
      <c r="CE16" s="338"/>
    </row>
    <row r="17" spans="1:83" ht="15" customHeight="1" x14ac:dyDescent="0.4">
      <c r="A17" s="249"/>
      <c r="B17" s="249"/>
      <c r="C17" s="301" t="s">
        <v>230</v>
      </c>
      <c r="D17" s="302"/>
      <c r="E17" s="303"/>
      <c r="F17" s="389"/>
      <c r="G17" s="305"/>
      <c r="H17" s="306"/>
      <c r="I17" s="256"/>
      <c r="J17" s="307"/>
      <c r="K17" s="390"/>
      <c r="L17" s="259"/>
      <c r="M17" s="268"/>
      <c r="N17" s="2716"/>
      <c r="O17" s="314"/>
      <c r="P17" s="309"/>
      <c r="Q17" s="2713" t="s">
        <v>231</v>
      </c>
      <c r="R17" s="261"/>
      <c r="S17" s="2711"/>
      <c r="T17" s="2714" t="s">
        <v>141</v>
      </c>
      <c r="U17" s="271"/>
      <c r="V17" s="418"/>
      <c r="W17" s="312" t="s">
        <v>232</v>
      </c>
      <c r="X17" s="267"/>
      <c r="Y17" s="268"/>
      <c r="Z17" s="313" t="s">
        <v>141</v>
      </c>
      <c r="AA17" s="314"/>
      <c r="AB17" s="271"/>
      <c r="AC17" s="149"/>
      <c r="AD17" s="271"/>
      <c r="AE17" s="393"/>
      <c r="AF17" s="394"/>
      <c r="AG17" s="89"/>
      <c r="AH17" s="419"/>
      <c r="AI17" s="356"/>
      <c r="AJ17" s="274"/>
      <c r="AK17" s="317"/>
      <c r="AL17" s="340" t="s">
        <v>233</v>
      </c>
      <c r="AM17" s="105"/>
      <c r="AN17" s="318"/>
      <c r="AO17" s="319" t="s">
        <v>586</v>
      </c>
      <c r="AP17" s="320"/>
      <c r="AQ17" s="321"/>
      <c r="AR17" s="322" t="s">
        <v>235</v>
      </c>
      <c r="AS17" s="283"/>
      <c r="AT17" s="284"/>
      <c r="AU17" s="324" t="s">
        <v>236</v>
      </c>
      <c r="AV17" s="286"/>
      <c r="AW17" s="287"/>
      <c r="AX17" s="326" t="s">
        <v>237</v>
      </c>
      <c r="AY17" s="267"/>
      <c r="AZ17" s="327"/>
      <c r="BA17" s="328" t="s">
        <v>238</v>
      </c>
      <c r="BB17" s="291"/>
      <c r="BC17" s="329"/>
      <c r="BD17" s="420"/>
      <c r="BE17" s="271"/>
      <c r="BF17" s="421"/>
      <c r="BG17" s="422"/>
      <c r="BH17" s="122"/>
      <c r="BI17" s="413"/>
      <c r="BJ17" s="174" t="s">
        <v>587</v>
      </c>
      <c r="BK17" s="124"/>
      <c r="BL17" s="335"/>
      <c r="BM17" s="295"/>
      <c r="BN17" s="296"/>
      <c r="BO17" s="336"/>
      <c r="BP17" s="414"/>
      <c r="BQ17" s="423"/>
      <c r="BR17" s="336"/>
      <c r="BS17" s="415"/>
      <c r="BT17" s="424"/>
      <c r="BU17" s="337"/>
      <c r="BV17" s="336"/>
      <c r="BW17" s="414"/>
      <c r="BX17" s="423"/>
      <c r="BY17" s="336"/>
      <c r="BZ17" s="416"/>
      <c r="CA17" s="425"/>
      <c r="CB17" s="336"/>
      <c r="CC17" s="417"/>
      <c r="CD17" s="426"/>
      <c r="CE17" s="338"/>
    </row>
    <row r="18" spans="1:83" ht="15" customHeight="1" x14ac:dyDescent="0.4">
      <c r="A18" s="249"/>
      <c r="B18" s="249"/>
      <c r="C18" s="427" t="s">
        <v>588</v>
      </c>
      <c r="D18" s="302"/>
      <c r="E18" s="303"/>
      <c r="F18" s="389"/>
      <c r="G18" s="305"/>
      <c r="H18" s="306"/>
      <c r="I18" s="256"/>
      <c r="J18" s="307"/>
      <c r="K18" s="390"/>
      <c r="L18" s="259"/>
      <c r="M18" s="268"/>
      <c r="N18" s="2716"/>
      <c r="O18" s="377"/>
      <c r="P18" s="309"/>
      <c r="Q18" s="2713" t="s">
        <v>240</v>
      </c>
      <c r="R18" s="261"/>
      <c r="S18" s="2711"/>
      <c r="T18" s="2714" t="s">
        <v>241</v>
      </c>
      <c r="U18" s="271"/>
      <c r="V18" s="418"/>
      <c r="W18" s="428" t="s">
        <v>235</v>
      </c>
      <c r="X18" s="267"/>
      <c r="Y18" s="268"/>
      <c r="Z18" s="313" t="s">
        <v>241</v>
      </c>
      <c r="AA18" s="377"/>
      <c r="AB18" s="271"/>
      <c r="AC18" s="149"/>
      <c r="AD18" s="271"/>
      <c r="AE18" s="429"/>
      <c r="AF18" s="363"/>
      <c r="AG18" s="89"/>
      <c r="AH18" s="419"/>
      <c r="AI18" s="316"/>
      <c r="AJ18" s="274"/>
      <c r="AK18" s="317"/>
      <c r="AL18" s="340"/>
      <c r="AM18" s="105"/>
      <c r="AN18" s="318"/>
      <c r="AO18" s="279"/>
      <c r="AP18" s="320"/>
      <c r="AQ18" s="321"/>
      <c r="AR18" s="322" t="s">
        <v>242</v>
      </c>
      <c r="AS18" s="283"/>
      <c r="AT18" s="284"/>
      <c r="AU18" s="324" t="s">
        <v>243</v>
      </c>
      <c r="AV18" s="286"/>
      <c r="AW18" s="287"/>
      <c r="AX18" s="430" t="s">
        <v>244</v>
      </c>
      <c r="AY18" s="267"/>
      <c r="AZ18" s="289"/>
      <c r="BA18" s="431" t="s">
        <v>589</v>
      </c>
      <c r="BB18" s="291"/>
      <c r="BC18" s="432"/>
      <c r="BD18" s="433"/>
      <c r="BE18" s="271"/>
      <c r="BF18" s="122"/>
      <c r="BG18" s="434"/>
      <c r="BH18" s="122"/>
      <c r="BI18" s="124"/>
      <c r="BJ18" s="435"/>
      <c r="BK18" s="124"/>
      <c r="BL18" s="294"/>
      <c r="BM18" s="295"/>
      <c r="BN18" s="296"/>
      <c r="BO18" s="336"/>
      <c r="BP18" s="414"/>
      <c r="BQ18" s="423"/>
      <c r="BR18" s="336"/>
      <c r="BS18" s="415"/>
      <c r="BT18" s="424"/>
      <c r="BU18" s="337"/>
      <c r="BV18" s="336"/>
      <c r="BW18" s="414"/>
      <c r="BX18" s="423"/>
      <c r="BY18" s="336"/>
      <c r="BZ18" s="416"/>
      <c r="CA18" s="425"/>
      <c r="CB18" s="336"/>
      <c r="CC18" s="417"/>
      <c r="CD18" s="426"/>
      <c r="CE18" s="338"/>
    </row>
    <row r="19" spans="1:83" ht="15" customHeight="1" x14ac:dyDescent="0.4">
      <c r="A19" s="249"/>
      <c r="B19" s="249"/>
      <c r="C19" s="427" t="s">
        <v>590</v>
      </c>
      <c r="D19" s="302"/>
      <c r="E19" s="303"/>
      <c r="F19" s="389"/>
      <c r="G19" s="305"/>
      <c r="H19" s="306"/>
      <c r="I19" s="256"/>
      <c r="J19" s="307"/>
      <c r="K19" s="390"/>
      <c r="L19" s="259"/>
      <c r="M19" s="268"/>
      <c r="N19" s="2716"/>
      <c r="O19" s="314"/>
      <c r="P19" s="309"/>
      <c r="Q19" s="2715" t="s">
        <v>246</v>
      </c>
      <c r="R19" s="261"/>
      <c r="S19" s="95"/>
      <c r="T19" s="2714" t="s">
        <v>247</v>
      </c>
      <c r="U19" s="271"/>
      <c r="V19" s="418"/>
      <c r="W19" s="312" t="s">
        <v>248</v>
      </c>
      <c r="X19" s="267"/>
      <c r="Y19" s="268"/>
      <c r="Z19" s="313" t="s">
        <v>247</v>
      </c>
      <c r="AA19" s="314"/>
      <c r="AB19" s="271"/>
      <c r="AC19" s="149"/>
      <c r="AD19" s="271"/>
      <c r="AE19" s="393"/>
      <c r="AF19" s="394"/>
      <c r="AG19" s="264"/>
      <c r="AH19" s="436"/>
      <c r="AI19" s="348"/>
      <c r="AJ19" s="274"/>
      <c r="AK19" s="317"/>
      <c r="AL19" s="340"/>
      <c r="AM19" s="105"/>
      <c r="AN19" s="318"/>
      <c r="AO19" s="318"/>
      <c r="AP19" s="320"/>
      <c r="AQ19" s="321"/>
      <c r="AR19" s="342" t="s">
        <v>248</v>
      </c>
      <c r="AS19" s="283"/>
      <c r="AT19" s="284"/>
      <c r="AU19" s="343" t="s">
        <v>249</v>
      </c>
      <c r="AV19" s="286"/>
      <c r="AW19" s="287"/>
      <c r="AX19" s="430"/>
      <c r="AY19" s="267"/>
      <c r="AZ19" s="289"/>
      <c r="BA19" s="431"/>
      <c r="BB19" s="291"/>
      <c r="BC19" s="432"/>
      <c r="BD19" s="432"/>
      <c r="BE19" s="271"/>
      <c r="BF19" s="122"/>
      <c r="BG19" s="122"/>
      <c r="BH19" s="122"/>
      <c r="BI19" s="124"/>
      <c r="BJ19" s="124"/>
      <c r="BK19" s="124"/>
      <c r="BL19" s="294"/>
      <c r="BM19" s="295"/>
      <c r="BN19" s="296"/>
      <c r="BO19" s="336"/>
      <c r="BP19" s="384"/>
      <c r="BQ19" s="438"/>
      <c r="BR19" s="336"/>
      <c r="BS19" s="386"/>
      <c r="BT19" s="439"/>
      <c r="BU19" s="337"/>
      <c r="BV19" s="336"/>
      <c r="BW19" s="384"/>
      <c r="BX19" s="438"/>
      <c r="BY19" s="336"/>
      <c r="BZ19" s="387"/>
      <c r="CA19" s="440"/>
      <c r="CB19" s="336"/>
      <c r="CC19" s="388"/>
      <c r="CD19" s="441"/>
      <c r="CE19" s="338"/>
    </row>
    <row r="20" spans="1:83" ht="15" customHeight="1" x14ac:dyDescent="0.4">
      <c r="A20" s="249"/>
      <c r="B20" s="249"/>
      <c r="C20" s="427" t="s">
        <v>591</v>
      </c>
      <c r="D20" s="302"/>
      <c r="E20" s="303"/>
      <c r="F20" s="303"/>
      <c r="G20" s="305"/>
      <c r="H20" s="306"/>
      <c r="I20" s="256"/>
      <c r="J20" s="307"/>
      <c r="K20" s="390"/>
      <c r="L20" s="259"/>
      <c r="M20" s="443"/>
      <c r="N20" s="2716"/>
      <c r="O20" s="377"/>
      <c r="P20" s="309"/>
      <c r="Q20" s="2713" t="s">
        <v>250</v>
      </c>
      <c r="R20" s="261"/>
      <c r="S20" s="95"/>
      <c r="T20" s="2714" t="s">
        <v>166</v>
      </c>
      <c r="U20" s="271"/>
      <c r="V20" s="442"/>
      <c r="W20" s="312" t="s">
        <v>251</v>
      </c>
      <c r="X20" s="267"/>
      <c r="Y20" s="443"/>
      <c r="Z20" s="313" t="s">
        <v>252</v>
      </c>
      <c r="AA20" s="377"/>
      <c r="AB20" s="271"/>
      <c r="AC20" s="149"/>
      <c r="AD20" s="271"/>
      <c r="AE20" s="393"/>
      <c r="AF20" s="394"/>
      <c r="AG20" s="264"/>
      <c r="AH20" s="436"/>
      <c r="AI20" s="348"/>
      <c r="AJ20" s="274"/>
      <c r="AK20" s="317"/>
      <c r="AL20" s="340"/>
      <c r="AM20" s="105"/>
      <c r="AN20" s="318"/>
      <c r="AO20" s="318"/>
      <c r="AP20" s="320"/>
      <c r="AQ20" s="321"/>
      <c r="AR20" s="342" t="s">
        <v>253</v>
      </c>
      <c r="AS20" s="283"/>
      <c r="AT20" s="284"/>
      <c r="AU20" s="343" t="s">
        <v>254</v>
      </c>
      <c r="AV20" s="286"/>
      <c r="AW20" s="287"/>
      <c r="AX20" s="326"/>
      <c r="AY20" s="267"/>
      <c r="AZ20" s="289"/>
      <c r="BA20" s="437"/>
      <c r="BB20" s="291"/>
      <c r="BC20" s="432"/>
      <c r="BD20" s="432"/>
      <c r="BE20" s="271"/>
      <c r="BF20" s="412"/>
      <c r="BG20" s="444"/>
      <c r="BH20" s="122"/>
      <c r="BI20" s="400"/>
      <c r="BJ20" s="445"/>
      <c r="BK20" s="124"/>
      <c r="BL20" s="294"/>
      <c r="BM20" s="294"/>
      <c r="BN20" s="296"/>
      <c r="BO20" s="336"/>
      <c r="BP20" s="132"/>
      <c r="BQ20" s="132"/>
      <c r="BR20" s="336"/>
      <c r="BS20" s="135"/>
      <c r="BT20" s="135"/>
      <c r="BU20" s="337"/>
      <c r="BV20" s="336"/>
      <c r="BW20" s="132"/>
      <c r="BX20" s="132"/>
      <c r="BY20" s="336"/>
      <c r="BZ20" s="132"/>
      <c r="CA20" s="132"/>
      <c r="CB20" s="336"/>
      <c r="CC20" s="139"/>
      <c r="CD20" s="139"/>
      <c r="CE20" s="338"/>
    </row>
    <row r="21" spans="1:83" ht="15" customHeight="1" x14ac:dyDescent="0.4">
      <c r="A21" s="249"/>
      <c r="B21" s="249"/>
      <c r="C21" s="301"/>
      <c r="D21" s="446"/>
      <c r="E21" s="447"/>
      <c r="F21" s="448"/>
      <c r="G21" s="449"/>
      <c r="H21" s="450"/>
      <c r="I21" s="256"/>
      <c r="J21" s="451"/>
      <c r="K21" s="452"/>
      <c r="L21" s="259"/>
      <c r="M21" s="443"/>
      <c r="N21" s="2717"/>
      <c r="O21" s="455"/>
      <c r="P21" s="453"/>
      <c r="Q21" s="2713" t="s">
        <v>255</v>
      </c>
      <c r="R21" s="261"/>
      <c r="S21" s="489"/>
      <c r="T21" s="2714" t="s">
        <v>256</v>
      </c>
      <c r="U21" s="271"/>
      <c r="V21" s="442"/>
      <c r="W21" s="312" t="s">
        <v>257</v>
      </c>
      <c r="X21" s="267"/>
      <c r="Y21" s="443"/>
      <c r="Z21" s="313" t="s">
        <v>256</v>
      </c>
      <c r="AA21" s="455"/>
      <c r="AB21" s="456"/>
      <c r="AC21" s="457"/>
      <c r="AD21" s="271"/>
      <c r="AE21" s="429"/>
      <c r="AF21" s="458"/>
      <c r="AG21" s="99"/>
      <c r="AH21" s="459"/>
      <c r="AI21" s="460"/>
      <c r="AJ21" s="102"/>
      <c r="AK21" s="317"/>
      <c r="AL21" s="461"/>
      <c r="AM21" s="105"/>
      <c r="AN21" s="318"/>
      <c r="AO21" s="462"/>
      <c r="AP21" s="320"/>
      <c r="AQ21" s="321"/>
      <c r="AR21" s="342" t="s">
        <v>258</v>
      </c>
      <c r="AS21" s="283"/>
      <c r="AT21" s="284"/>
      <c r="AU21" s="343" t="s">
        <v>259</v>
      </c>
      <c r="AV21" s="286"/>
      <c r="AW21" s="287"/>
      <c r="AX21" s="463"/>
      <c r="AY21" s="267"/>
      <c r="AZ21" s="289"/>
      <c r="BA21" s="464"/>
      <c r="BB21" s="291"/>
      <c r="BC21" s="432"/>
      <c r="BD21" s="465"/>
      <c r="BE21" s="271"/>
      <c r="BF21" s="402"/>
      <c r="BG21" s="466"/>
      <c r="BH21" s="122"/>
      <c r="BI21" s="404"/>
      <c r="BJ21" s="467"/>
      <c r="BK21" s="124"/>
      <c r="BL21" s="294"/>
      <c r="BM21" s="468"/>
      <c r="BN21" s="296"/>
      <c r="BO21" s="336"/>
      <c r="BP21" s="132"/>
      <c r="BQ21" s="469"/>
      <c r="BR21" s="336"/>
      <c r="BS21" s="135"/>
      <c r="BT21" s="470"/>
      <c r="BU21" s="337"/>
      <c r="BV21" s="336"/>
      <c r="BW21" s="132"/>
      <c r="BX21" s="469"/>
      <c r="BY21" s="336"/>
      <c r="BZ21" s="132"/>
      <c r="CA21" s="469"/>
      <c r="CB21" s="336"/>
      <c r="CC21" s="139"/>
      <c r="CD21" s="471"/>
      <c r="CE21" s="338"/>
    </row>
    <row r="22" spans="1:83" ht="15" customHeight="1" x14ac:dyDescent="0.4">
      <c r="A22" s="249"/>
      <c r="B22" s="249"/>
      <c r="C22" s="301"/>
      <c r="D22" s="75"/>
      <c r="E22" s="2811" t="s">
        <v>260</v>
      </c>
      <c r="F22" s="389"/>
      <c r="G22" s="78"/>
      <c r="H22" s="2376" t="s">
        <v>261</v>
      </c>
      <c r="I22" s="256"/>
      <c r="J22" s="81"/>
      <c r="K22" s="2812" t="s">
        <v>261</v>
      </c>
      <c r="L22" s="259"/>
      <c r="M22" s="472"/>
      <c r="N22" s="2718"/>
      <c r="O22" s="455"/>
      <c r="P22" s="84"/>
      <c r="Q22" s="2713" t="s">
        <v>262</v>
      </c>
      <c r="R22" s="261"/>
      <c r="S22" s="271"/>
      <c r="T22" s="2719" t="s">
        <v>263</v>
      </c>
      <c r="U22" s="271"/>
      <c r="V22" s="92"/>
      <c r="W22" s="312" t="s">
        <v>264</v>
      </c>
      <c r="X22" s="267"/>
      <c r="Y22" s="472"/>
      <c r="Z22" s="473" t="s">
        <v>263</v>
      </c>
      <c r="AA22" s="455"/>
      <c r="AB22" s="271"/>
      <c r="AC22" s="271"/>
      <c r="AD22" s="271"/>
      <c r="AE22" s="378"/>
      <c r="AF22" s="363"/>
      <c r="AG22" s="99"/>
      <c r="AH22" s="100"/>
      <c r="AI22" s="100"/>
      <c r="AJ22" s="102"/>
      <c r="AK22" s="317"/>
      <c r="AL22" s="474"/>
      <c r="AM22" s="475"/>
      <c r="AN22" s="476"/>
      <c r="AO22" s="477"/>
      <c r="AP22" s="320"/>
      <c r="AQ22" s="321"/>
      <c r="AR22" s="478" t="s">
        <v>198</v>
      </c>
      <c r="AS22" s="111"/>
      <c r="AT22" s="112"/>
      <c r="AU22" s="479" t="s">
        <v>265</v>
      </c>
      <c r="AV22" s="410"/>
      <c r="AW22" s="411"/>
      <c r="AX22" s="480"/>
      <c r="AY22" s="358"/>
      <c r="AZ22" s="481"/>
      <c r="BA22" s="482"/>
      <c r="BB22" s="380"/>
      <c r="BC22" s="381"/>
      <c r="BD22" s="483" t="s">
        <v>266</v>
      </c>
      <c r="BE22" s="271"/>
      <c r="BF22" s="412"/>
      <c r="BG22" s="484" t="s">
        <v>267</v>
      </c>
      <c r="BH22" s="122"/>
      <c r="BI22" s="400"/>
      <c r="BJ22" s="405" t="s">
        <v>268</v>
      </c>
      <c r="BK22" s="124"/>
      <c r="BL22" s="383"/>
      <c r="BM22" s="486" t="s">
        <v>592</v>
      </c>
      <c r="BN22" s="383"/>
      <c r="BO22" s="336"/>
      <c r="BP22" s="132"/>
      <c r="BQ22" s="132"/>
      <c r="BR22" s="336"/>
      <c r="BS22" s="135"/>
      <c r="BT22" s="2815" t="s">
        <v>269</v>
      </c>
      <c r="BU22" s="337"/>
      <c r="BV22" s="336"/>
      <c r="BW22" s="132"/>
      <c r="BX22" s="132"/>
      <c r="BY22" s="336"/>
      <c r="BZ22" s="132"/>
      <c r="CA22" s="179" t="s">
        <v>270</v>
      </c>
      <c r="CB22" s="336"/>
      <c r="CC22" s="139"/>
      <c r="CD22" s="2816" t="s">
        <v>270</v>
      </c>
      <c r="CE22" s="338"/>
    </row>
    <row r="23" spans="1:83" ht="15" customHeight="1" x14ac:dyDescent="0.4">
      <c r="A23" s="249"/>
      <c r="B23" s="249"/>
      <c r="C23" s="301"/>
      <c r="D23" s="75"/>
      <c r="E23" s="2375" t="s">
        <v>271</v>
      </c>
      <c r="F23" s="389"/>
      <c r="G23" s="78"/>
      <c r="H23" s="2376" t="s">
        <v>271</v>
      </c>
      <c r="I23" s="256"/>
      <c r="J23" s="81"/>
      <c r="K23" s="500" t="s">
        <v>272</v>
      </c>
      <c r="L23" s="259"/>
      <c r="M23" s="93"/>
      <c r="N23" s="2720" t="s">
        <v>273</v>
      </c>
      <c r="O23" s="270"/>
      <c r="P23" s="84"/>
      <c r="Q23" s="2713" t="s">
        <v>274</v>
      </c>
      <c r="R23" s="261"/>
      <c r="S23" s="271"/>
      <c r="T23" s="2719" t="s">
        <v>204</v>
      </c>
      <c r="U23" s="271"/>
      <c r="V23" s="92"/>
      <c r="W23" s="312" t="s">
        <v>180</v>
      </c>
      <c r="X23" s="267"/>
      <c r="Y23" s="93"/>
      <c r="Z23" s="473" t="s">
        <v>204</v>
      </c>
      <c r="AA23" s="270"/>
      <c r="AB23" s="271"/>
      <c r="AC23" s="271"/>
      <c r="AD23" s="271"/>
      <c r="AE23" s="378"/>
      <c r="AF23" s="363"/>
      <c r="AG23" s="99"/>
      <c r="AH23" s="100"/>
      <c r="AI23" s="100"/>
      <c r="AJ23" s="102"/>
      <c r="AK23" s="317"/>
      <c r="AL23" s="487"/>
      <c r="AM23" s="105"/>
      <c r="AN23" s="318"/>
      <c r="AO23" s="341"/>
      <c r="AP23" s="320"/>
      <c r="AQ23" s="321"/>
      <c r="AR23" s="342" t="s">
        <v>275</v>
      </c>
      <c r="AS23" s="283"/>
      <c r="AT23" s="284"/>
      <c r="AU23" s="343" t="s">
        <v>276</v>
      </c>
      <c r="AV23" s="114"/>
      <c r="AW23" s="351"/>
      <c r="AX23" s="488"/>
      <c r="AY23" s="267"/>
      <c r="AZ23" s="370"/>
      <c r="BA23" s="431"/>
      <c r="BB23" s="291"/>
      <c r="BC23" s="489"/>
      <c r="BD23" s="483"/>
      <c r="BE23" s="271"/>
      <c r="BF23" s="490"/>
      <c r="BG23" s="332"/>
      <c r="BH23" s="122"/>
      <c r="BI23" s="491"/>
      <c r="BJ23" s="174"/>
      <c r="BK23" s="124"/>
      <c r="BL23" s="372"/>
      <c r="BM23" s="492"/>
      <c r="BN23" s="296"/>
      <c r="BO23" s="129"/>
      <c r="BP23" s="299"/>
      <c r="BQ23" s="297"/>
      <c r="BR23" s="129"/>
      <c r="BS23" s="298"/>
      <c r="BT23" s="493" t="s">
        <v>277</v>
      </c>
      <c r="BU23" s="494"/>
      <c r="BV23" s="129"/>
      <c r="BW23" s="299"/>
      <c r="BX23" s="297"/>
      <c r="BY23" s="129"/>
      <c r="BZ23" s="299"/>
      <c r="CA23" s="495" t="s">
        <v>278</v>
      </c>
      <c r="CB23" s="129"/>
      <c r="CC23" s="300"/>
      <c r="CD23" s="504" t="s">
        <v>279</v>
      </c>
      <c r="CE23" s="496"/>
    </row>
    <row r="24" spans="1:83" ht="15" customHeight="1" x14ac:dyDescent="0.4">
      <c r="A24" s="249"/>
      <c r="B24" s="249"/>
      <c r="C24" s="301"/>
      <c r="D24" s="497"/>
      <c r="E24" s="2375" t="s">
        <v>261</v>
      </c>
      <c r="F24" s="389"/>
      <c r="G24" s="498"/>
      <c r="H24" s="2376" t="s">
        <v>272</v>
      </c>
      <c r="I24" s="256"/>
      <c r="J24" s="499"/>
      <c r="K24" s="500" t="s">
        <v>280</v>
      </c>
      <c r="L24" s="259"/>
      <c r="M24" s="93"/>
      <c r="N24" s="2721"/>
      <c r="O24" s="270"/>
      <c r="P24" s="501"/>
      <c r="Q24" s="2713" t="s">
        <v>281</v>
      </c>
      <c r="R24" s="261"/>
      <c r="S24" s="271"/>
      <c r="T24" s="2714" t="s">
        <v>282</v>
      </c>
      <c r="U24" s="271"/>
      <c r="V24" s="267"/>
      <c r="W24" s="428" t="s">
        <v>283</v>
      </c>
      <c r="X24" s="267"/>
      <c r="Y24" s="93"/>
      <c r="Z24" s="313" t="s">
        <v>282</v>
      </c>
      <c r="AA24" s="270"/>
      <c r="AB24" s="271"/>
      <c r="AC24" s="271"/>
      <c r="AD24" s="271"/>
      <c r="AE24" s="393"/>
      <c r="AF24" s="394"/>
      <c r="AG24" s="99"/>
      <c r="AH24" s="355"/>
      <c r="AI24" s="356"/>
      <c r="AJ24" s="102"/>
      <c r="AK24" s="502"/>
      <c r="AL24" s="487"/>
      <c r="AM24" s="105"/>
      <c r="AN24" s="365"/>
      <c r="AO24" s="319"/>
      <c r="AP24" s="320"/>
      <c r="AQ24" s="282"/>
      <c r="AR24" s="342" t="s">
        <v>284</v>
      </c>
      <c r="AS24" s="283"/>
      <c r="AT24" s="503"/>
      <c r="AU24" s="343" t="s">
        <v>285</v>
      </c>
      <c r="AV24" s="114"/>
      <c r="AW24" s="442"/>
      <c r="AX24" s="430"/>
      <c r="AY24" s="267"/>
      <c r="AZ24" s="370"/>
      <c r="BA24" s="431"/>
      <c r="BB24" s="291"/>
      <c r="BC24" s="489"/>
      <c r="BD24" s="483"/>
      <c r="BE24" s="271"/>
      <c r="BF24" s="490"/>
      <c r="BG24" s="345"/>
      <c r="BH24" s="122"/>
      <c r="BI24" s="491"/>
      <c r="BJ24" s="174"/>
      <c r="BK24" s="124"/>
      <c r="BL24" s="372"/>
      <c r="BM24" s="295"/>
      <c r="BN24" s="296"/>
      <c r="BO24" s="129"/>
      <c r="BP24" s="299"/>
      <c r="BQ24" s="297"/>
      <c r="BR24" s="336"/>
      <c r="BS24" s="298"/>
      <c r="BT24" s="493" t="s">
        <v>270</v>
      </c>
      <c r="BU24" s="337"/>
      <c r="BV24" s="129"/>
      <c r="BW24" s="299"/>
      <c r="BX24" s="297"/>
      <c r="BY24" s="336"/>
      <c r="BZ24" s="299"/>
      <c r="CA24" s="495" t="s">
        <v>286</v>
      </c>
      <c r="CB24" s="336"/>
      <c r="CC24" s="300"/>
      <c r="CD24" s="504" t="s">
        <v>287</v>
      </c>
      <c r="CE24" s="338"/>
    </row>
    <row r="25" spans="1:83" ht="15" customHeight="1" x14ac:dyDescent="0.4">
      <c r="A25" s="249"/>
      <c r="B25" s="249"/>
      <c r="C25" s="301"/>
      <c r="D25" s="497"/>
      <c r="E25" s="2375" t="s">
        <v>272</v>
      </c>
      <c r="F25" s="389"/>
      <c r="G25" s="498"/>
      <c r="H25" s="2376" t="s">
        <v>280</v>
      </c>
      <c r="I25" s="256"/>
      <c r="J25" s="499"/>
      <c r="K25" s="2813" t="s">
        <v>288</v>
      </c>
      <c r="L25" s="259"/>
      <c r="M25" s="270"/>
      <c r="N25" s="2721"/>
      <c r="O25" s="270"/>
      <c r="P25" s="501"/>
      <c r="Q25" s="2713" t="s">
        <v>289</v>
      </c>
      <c r="R25" s="261"/>
      <c r="S25" s="271"/>
      <c r="T25" s="2714" t="s">
        <v>290</v>
      </c>
      <c r="U25" s="271"/>
      <c r="V25" s="267"/>
      <c r="W25" s="312" t="s">
        <v>244</v>
      </c>
      <c r="X25" s="267"/>
      <c r="Y25" s="270"/>
      <c r="Z25" s="313" t="s">
        <v>290</v>
      </c>
      <c r="AA25" s="270"/>
      <c r="AB25" s="271"/>
      <c r="AC25" s="271"/>
      <c r="AD25" s="271"/>
      <c r="AE25" s="393"/>
      <c r="AF25" s="363"/>
      <c r="AG25" s="99"/>
      <c r="AH25" s="100"/>
      <c r="AI25" s="100"/>
      <c r="AJ25" s="102"/>
      <c r="AK25" s="505"/>
      <c r="AL25" s="506"/>
      <c r="AM25" s="507"/>
      <c r="AN25" s="508"/>
      <c r="AO25" s="319"/>
      <c r="AP25" s="108"/>
      <c r="AQ25" s="509"/>
      <c r="AR25" s="342" t="s">
        <v>290</v>
      </c>
      <c r="AS25" s="283"/>
      <c r="AT25" s="284"/>
      <c r="AU25" s="343" t="s">
        <v>291</v>
      </c>
      <c r="AV25" s="286"/>
      <c r="AW25" s="287"/>
      <c r="AX25" s="488"/>
      <c r="AY25" s="267"/>
      <c r="AZ25" s="289"/>
      <c r="BA25" s="431"/>
      <c r="BB25" s="291"/>
      <c r="BC25" s="432"/>
      <c r="BD25" s="510"/>
      <c r="BE25" s="271"/>
      <c r="BF25" s="292"/>
      <c r="BG25" s="353"/>
      <c r="BH25" s="122"/>
      <c r="BI25" s="124"/>
      <c r="BJ25" s="174"/>
      <c r="BK25" s="124"/>
      <c r="BL25" s="294"/>
      <c r="BM25" s="178"/>
      <c r="BN25" s="296"/>
      <c r="BO25" s="336"/>
      <c r="BP25" s="511"/>
      <c r="BQ25" s="512"/>
      <c r="BR25" s="336"/>
      <c r="BS25" s="513"/>
      <c r="BT25" s="493" t="s">
        <v>279</v>
      </c>
      <c r="BU25" s="337"/>
      <c r="BV25" s="336"/>
      <c r="BW25" s="511"/>
      <c r="BX25" s="512"/>
      <c r="BY25" s="336"/>
      <c r="BZ25" s="511"/>
      <c r="CA25" s="495" t="s">
        <v>292</v>
      </c>
      <c r="CB25" s="336"/>
      <c r="CC25" s="514"/>
      <c r="CD25" s="2817" t="s">
        <v>293</v>
      </c>
      <c r="CE25" s="338"/>
    </row>
    <row r="26" spans="1:83" ht="13.5" customHeight="1" x14ac:dyDescent="0.4">
      <c r="A26" s="249"/>
      <c r="B26" s="249"/>
      <c r="C26" s="301"/>
      <c r="D26" s="497"/>
      <c r="E26" s="2814" t="s">
        <v>280</v>
      </c>
      <c r="F26" s="389"/>
      <c r="G26" s="498"/>
      <c r="H26" s="2838" t="s">
        <v>294</v>
      </c>
      <c r="I26" s="256"/>
      <c r="J26" s="499"/>
      <c r="K26" s="390"/>
      <c r="L26" s="259"/>
      <c r="M26" s="270"/>
      <c r="N26" s="2716"/>
      <c r="O26" s="270"/>
      <c r="P26" s="501"/>
      <c r="Q26" s="2722" t="s">
        <v>295</v>
      </c>
      <c r="R26" s="261"/>
      <c r="S26" s="271"/>
      <c r="T26" s="2719" t="s">
        <v>233</v>
      </c>
      <c r="U26" s="271"/>
      <c r="V26" s="267"/>
      <c r="W26" s="312" t="s">
        <v>284</v>
      </c>
      <c r="X26" s="267"/>
      <c r="Y26" s="270"/>
      <c r="Z26" s="473" t="s">
        <v>250</v>
      </c>
      <c r="AA26" s="270"/>
      <c r="AB26" s="271"/>
      <c r="AC26" s="271"/>
      <c r="AD26" s="271"/>
      <c r="AE26" s="454"/>
      <c r="AF26" s="363"/>
      <c r="AG26" s="99"/>
      <c r="AH26" s="100"/>
      <c r="AI26" s="100"/>
      <c r="AJ26" s="102"/>
      <c r="AK26" s="505"/>
      <c r="AL26" s="157"/>
      <c r="AM26" s="475"/>
      <c r="AN26" s="515"/>
      <c r="AO26" s="319"/>
      <c r="AP26" s="508"/>
      <c r="AQ26" s="516"/>
      <c r="AR26" s="322"/>
      <c r="AS26" s="283"/>
      <c r="AT26" s="284"/>
      <c r="AU26" s="517"/>
      <c r="AV26" s="286"/>
      <c r="AW26" s="287"/>
      <c r="AX26" s="326"/>
      <c r="AY26" s="267"/>
      <c r="AZ26" s="289"/>
      <c r="BA26" s="328"/>
      <c r="BB26" s="291"/>
      <c r="BC26" s="432"/>
      <c r="BD26" s="433"/>
      <c r="BE26" s="271"/>
      <c r="BF26" s="292"/>
      <c r="BG26" s="345"/>
      <c r="BH26" s="122"/>
      <c r="BI26" s="124"/>
      <c r="BJ26" s="334"/>
      <c r="BK26" s="124"/>
      <c r="BL26" s="294"/>
      <c r="BM26" s="178"/>
      <c r="BN26" s="296"/>
      <c r="BO26" s="336"/>
      <c r="BP26" s="511"/>
      <c r="BQ26" s="512"/>
      <c r="BR26" s="336"/>
      <c r="BS26" s="513"/>
      <c r="BT26" s="493" t="s">
        <v>287</v>
      </c>
      <c r="BU26" s="337"/>
      <c r="BV26" s="336"/>
      <c r="BW26" s="511"/>
      <c r="BX26" s="512"/>
      <c r="BY26" s="336"/>
      <c r="BZ26" s="511"/>
      <c r="CA26" s="2838" t="s">
        <v>297</v>
      </c>
      <c r="CB26" s="336"/>
      <c r="CC26" s="514"/>
      <c r="CD26" s="2817"/>
      <c r="CE26" s="338"/>
    </row>
    <row r="27" spans="1:83" ht="13.5" customHeight="1" x14ac:dyDescent="0.4">
      <c r="A27" s="249"/>
      <c r="B27" s="249"/>
      <c r="C27" s="301"/>
      <c r="D27" s="446"/>
      <c r="E27" s="303"/>
      <c r="F27" s="389"/>
      <c r="G27" s="449"/>
      <c r="H27" s="2838"/>
      <c r="I27" s="256"/>
      <c r="J27" s="451"/>
      <c r="K27" s="390"/>
      <c r="L27" s="259"/>
      <c r="M27" s="270"/>
      <c r="N27" s="2716"/>
      <c r="O27" s="270"/>
      <c r="P27" s="453"/>
      <c r="Q27" s="2713" t="s">
        <v>298</v>
      </c>
      <c r="R27" s="261"/>
      <c r="S27" s="271"/>
      <c r="T27" s="2719"/>
      <c r="U27" s="271"/>
      <c r="V27" s="267"/>
      <c r="W27" s="312"/>
      <c r="X27" s="267"/>
      <c r="Y27" s="270"/>
      <c r="Z27" s="473" t="s">
        <v>255</v>
      </c>
      <c r="AA27" s="270"/>
      <c r="AB27" s="271"/>
      <c r="AC27" s="271"/>
      <c r="AD27" s="271"/>
      <c r="AE27" s="454"/>
      <c r="AF27" s="363"/>
      <c r="AG27" s="99"/>
      <c r="AH27" s="100"/>
      <c r="AI27" s="100"/>
      <c r="AJ27" s="102"/>
      <c r="AK27" s="505"/>
      <c r="AL27" s="157"/>
      <c r="AM27" s="507"/>
      <c r="AN27" s="508"/>
      <c r="AO27" s="341"/>
      <c r="AP27" s="108"/>
      <c r="AQ27" s="509"/>
      <c r="AR27" s="518"/>
      <c r="AS27" s="283"/>
      <c r="AT27" s="284"/>
      <c r="AU27" s="519"/>
      <c r="AV27" s="286"/>
      <c r="AW27" s="287"/>
      <c r="AX27" s="326"/>
      <c r="AY27" s="520"/>
      <c r="AZ27" s="521"/>
      <c r="BA27" s="522"/>
      <c r="BB27" s="521"/>
      <c r="BC27" s="432"/>
      <c r="BD27" s="523"/>
      <c r="BE27" s="523"/>
      <c r="BF27" s="484"/>
      <c r="BG27" s="345"/>
      <c r="BH27" s="524"/>
      <c r="BI27" s="485"/>
      <c r="BJ27" s="334"/>
      <c r="BK27" s="124"/>
      <c r="BL27" s="486"/>
      <c r="BM27" s="178"/>
      <c r="BN27" s="296"/>
      <c r="BO27" s="336"/>
      <c r="BP27" s="511"/>
      <c r="BQ27" s="512"/>
      <c r="BR27" s="336"/>
      <c r="BS27" s="513"/>
      <c r="BT27" s="513"/>
      <c r="BU27" s="337"/>
      <c r="BV27" s="336"/>
      <c r="BW27" s="511"/>
      <c r="BX27" s="512"/>
      <c r="BY27" s="336"/>
      <c r="BZ27" s="511"/>
      <c r="CA27" s="2838"/>
      <c r="CB27" s="336"/>
      <c r="CC27" s="514"/>
      <c r="CD27" s="514"/>
      <c r="CE27" s="338"/>
    </row>
    <row r="28" spans="1:83" ht="13.5" customHeight="1" x14ac:dyDescent="0.4">
      <c r="A28" s="249"/>
      <c r="B28" s="249"/>
      <c r="C28" s="301"/>
      <c r="D28" s="446"/>
      <c r="E28" s="303"/>
      <c r="F28" s="389"/>
      <c r="G28" s="449"/>
      <c r="H28" s="306"/>
      <c r="I28" s="256"/>
      <c r="J28" s="451"/>
      <c r="K28" s="390"/>
      <c r="L28" s="259"/>
      <c r="M28" s="270"/>
      <c r="N28" s="2716"/>
      <c r="O28" s="270"/>
      <c r="P28" s="453"/>
      <c r="Q28" s="2722" t="s">
        <v>299</v>
      </c>
      <c r="R28" s="261"/>
      <c r="S28" s="271"/>
      <c r="T28" s="2714"/>
      <c r="U28" s="271"/>
      <c r="V28" s="267"/>
      <c r="W28" s="312"/>
      <c r="X28" s="267"/>
      <c r="Y28" s="270"/>
      <c r="Z28" s="313" t="s">
        <v>300</v>
      </c>
      <c r="AA28" s="270"/>
      <c r="AB28" s="271"/>
      <c r="AC28" s="271"/>
      <c r="AD28" s="271"/>
      <c r="AE28" s="454"/>
      <c r="AF28" s="363"/>
      <c r="AG28" s="99"/>
      <c r="AH28" s="100"/>
      <c r="AI28" s="100"/>
      <c r="AJ28" s="102"/>
      <c r="AK28" s="505"/>
      <c r="AL28" s="157"/>
      <c r="AM28" s="507"/>
      <c r="AN28" s="508"/>
      <c r="AO28" s="341"/>
      <c r="AP28" s="108"/>
      <c r="AQ28" s="509"/>
      <c r="AR28" s="395"/>
      <c r="AS28" s="283"/>
      <c r="AT28" s="284"/>
      <c r="AU28" s="324"/>
      <c r="AV28" s="286"/>
      <c r="AW28" s="287"/>
      <c r="AX28" s="480"/>
      <c r="AY28" s="520"/>
      <c r="AZ28" s="521"/>
      <c r="BA28" s="522"/>
      <c r="BB28" s="521"/>
      <c r="BC28" s="432"/>
      <c r="BD28" s="523"/>
      <c r="BE28" s="523"/>
      <c r="BF28" s="484"/>
      <c r="BG28" s="345"/>
      <c r="BH28" s="524"/>
      <c r="BI28" s="485"/>
      <c r="BJ28" s="485"/>
      <c r="BK28" s="124"/>
      <c r="BL28" s="486"/>
      <c r="BM28" s="486"/>
      <c r="BN28" s="296"/>
      <c r="BO28" s="336"/>
      <c r="BP28" s="511"/>
      <c r="BQ28" s="512"/>
      <c r="BR28" s="336"/>
      <c r="BS28" s="513"/>
      <c r="BT28" s="513"/>
      <c r="BU28" s="337"/>
      <c r="BV28" s="336"/>
      <c r="BW28" s="511"/>
      <c r="BX28" s="512"/>
      <c r="BY28" s="336"/>
      <c r="BZ28" s="511"/>
      <c r="CA28" s="511"/>
      <c r="CB28" s="336"/>
      <c r="CC28" s="514"/>
      <c r="CD28" s="514"/>
      <c r="CE28" s="338"/>
    </row>
    <row r="29" spans="1:83" ht="13.5" customHeight="1" x14ac:dyDescent="0.4">
      <c r="A29" s="249"/>
      <c r="B29" s="249"/>
      <c r="C29" s="301"/>
      <c r="D29" s="446"/>
      <c r="E29" s="303"/>
      <c r="F29" s="389"/>
      <c r="G29" s="449"/>
      <c r="H29" s="306"/>
      <c r="I29" s="256"/>
      <c r="J29" s="451"/>
      <c r="K29" s="390"/>
      <c r="L29" s="259"/>
      <c r="M29" s="270"/>
      <c r="N29" s="2716"/>
      <c r="O29" s="270"/>
      <c r="P29" s="453"/>
      <c r="Q29" s="2722" t="s">
        <v>301</v>
      </c>
      <c r="R29" s="261"/>
      <c r="S29" s="271"/>
      <c r="T29" s="2714"/>
      <c r="U29" s="271"/>
      <c r="V29" s="267"/>
      <c r="W29" s="312"/>
      <c r="X29" s="267"/>
      <c r="Y29" s="270"/>
      <c r="Z29" s="313" t="s">
        <v>302</v>
      </c>
      <c r="AA29" s="270"/>
      <c r="AB29" s="271"/>
      <c r="AC29" s="271"/>
      <c r="AD29" s="271"/>
      <c r="AE29" s="454"/>
      <c r="AF29" s="363"/>
      <c r="AG29" s="99"/>
      <c r="AH29" s="100"/>
      <c r="AI29" s="100"/>
      <c r="AJ29" s="102"/>
      <c r="AK29" s="505"/>
      <c r="AL29" s="157"/>
      <c r="AM29" s="507"/>
      <c r="AN29" s="508"/>
      <c r="AO29" s="341"/>
      <c r="AP29" s="108"/>
      <c r="AQ29" s="509"/>
      <c r="AR29" s="322"/>
      <c r="AS29" s="283"/>
      <c r="AT29" s="284"/>
      <c r="AU29" s="324"/>
      <c r="AV29" s="286"/>
      <c r="AW29" s="287"/>
      <c r="AX29" s="480"/>
      <c r="AY29" s="520"/>
      <c r="AZ29" s="521"/>
      <c r="BA29" s="328"/>
      <c r="BB29" s="521"/>
      <c r="BC29" s="432"/>
      <c r="BD29" s="523"/>
      <c r="BE29" s="523"/>
      <c r="BF29" s="484"/>
      <c r="BG29" s="345"/>
      <c r="BH29" s="524"/>
      <c r="BI29" s="485"/>
      <c r="BJ29" s="485"/>
      <c r="BK29" s="124"/>
      <c r="BL29" s="486"/>
      <c r="BM29" s="486"/>
      <c r="BN29" s="296"/>
      <c r="BO29" s="336"/>
      <c r="BP29" s="511"/>
      <c r="BQ29" s="512"/>
      <c r="BR29" s="336"/>
      <c r="BS29" s="513"/>
      <c r="BT29" s="513"/>
      <c r="BU29" s="337"/>
      <c r="BV29" s="336"/>
      <c r="BW29" s="511"/>
      <c r="BX29" s="512"/>
      <c r="BY29" s="336"/>
      <c r="BZ29" s="511"/>
      <c r="CA29" s="511"/>
      <c r="CB29" s="336"/>
      <c r="CC29" s="514"/>
      <c r="CD29" s="514"/>
      <c r="CE29" s="338"/>
    </row>
    <row r="30" spans="1:83" ht="13.5" customHeight="1" x14ac:dyDescent="0.4">
      <c r="A30" s="249"/>
      <c r="B30" s="249"/>
      <c r="C30" s="301"/>
      <c r="D30" s="446"/>
      <c r="E30" s="303"/>
      <c r="F30" s="389"/>
      <c r="G30" s="449"/>
      <c r="H30" s="306"/>
      <c r="I30" s="256"/>
      <c r="J30" s="451"/>
      <c r="K30" s="307"/>
      <c r="L30" s="259"/>
      <c r="M30" s="270"/>
      <c r="N30" s="2716"/>
      <c r="O30" s="270"/>
      <c r="P30" s="453"/>
      <c r="Q30" s="2819" t="s">
        <v>593</v>
      </c>
      <c r="R30" s="261"/>
      <c r="S30" s="271"/>
      <c r="T30" s="2723"/>
      <c r="U30" s="271"/>
      <c r="V30" s="267"/>
      <c r="W30" s="312"/>
      <c r="X30" s="267"/>
      <c r="Y30" s="270"/>
      <c r="Z30" s="525" t="s">
        <v>304</v>
      </c>
      <c r="AA30" s="270"/>
      <c r="AB30" s="271"/>
      <c r="AC30" s="271"/>
      <c r="AD30" s="271"/>
      <c r="AE30" s="454"/>
      <c r="AF30" s="363"/>
      <c r="AG30" s="99"/>
      <c r="AH30" s="100"/>
      <c r="AI30" s="100"/>
      <c r="AJ30" s="102"/>
      <c r="AK30" s="505"/>
      <c r="AL30" s="157"/>
      <c r="AM30" s="507"/>
      <c r="AN30" s="508"/>
      <c r="AO30" s="341"/>
      <c r="AP30" s="108"/>
      <c r="AQ30" s="509"/>
      <c r="AR30" s="322"/>
      <c r="AS30" s="283"/>
      <c r="AT30" s="284"/>
      <c r="AU30" s="324"/>
      <c r="AV30" s="286"/>
      <c r="AW30" s="287"/>
      <c r="AX30" s="480"/>
      <c r="AY30" s="520"/>
      <c r="AZ30" s="521"/>
      <c r="BA30" s="522"/>
      <c r="BB30" s="521"/>
      <c r="BC30" s="432"/>
      <c r="BD30" s="523"/>
      <c r="BE30" s="523"/>
      <c r="BF30" s="484"/>
      <c r="BG30" s="353"/>
      <c r="BH30" s="524"/>
      <c r="BI30" s="485"/>
      <c r="BJ30" s="485"/>
      <c r="BK30" s="124"/>
      <c r="BL30" s="486"/>
      <c r="BM30" s="486"/>
      <c r="BN30" s="296"/>
      <c r="BO30" s="336"/>
      <c r="BP30" s="511"/>
      <c r="BQ30" s="512"/>
      <c r="BR30" s="336"/>
      <c r="BS30" s="513"/>
      <c r="BT30" s="513"/>
      <c r="BU30" s="337"/>
      <c r="BV30" s="336"/>
      <c r="BW30" s="511"/>
      <c r="BX30" s="512"/>
      <c r="BY30" s="336"/>
      <c r="BZ30" s="511"/>
      <c r="CA30" s="511"/>
      <c r="CB30" s="336"/>
      <c r="CC30" s="514"/>
      <c r="CD30" s="514"/>
      <c r="CE30" s="338"/>
    </row>
    <row r="31" spans="1:83" ht="13.5" customHeight="1" x14ac:dyDescent="0.4">
      <c r="A31" s="249"/>
      <c r="B31" s="249"/>
      <c r="C31" s="301"/>
      <c r="D31" s="446"/>
      <c r="E31" s="303"/>
      <c r="F31" s="389"/>
      <c r="G31" s="449"/>
      <c r="H31" s="306"/>
      <c r="I31" s="256"/>
      <c r="J31" s="451"/>
      <c r="K31" s="390"/>
      <c r="L31" s="259"/>
      <c r="M31" s="270"/>
      <c r="N31" s="2716"/>
      <c r="O31" s="270"/>
      <c r="P31" s="453"/>
      <c r="Q31" s="2819"/>
      <c r="R31" s="261"/>
      <c r="S31" s="271"/>
      <c r="T31" s="2724"/>
      <c r="U31" s="271"/>
      <c r="V31" s="267"/>
      <c r="W31" s="527"/>
      <c r="X31" s="267"/>
      <c r="Y31" s="270"/>
      <c r="Z31" s="528"/>
      <c r="AA31" s="270"/>
      <c r="AB31" s="271"/>
      <c r="AC31" s="271"/>
      <c r="AD31" s="271"/>
      <c r="AE31" s="454"/>
      <c r="AF31" s="363"/>
      <c r="AG31" s="99"/>
      <c r="AH31" s="100"/>
      <c r="AI31" s="100"/>
      <c r="AJ31" s="102"/>
      <c r="AK31" s="505"/>
      <c r="AL31" s="157"/>
      <c r="AM31" s="507"/>
      <c r="AN31" s="508"/>
      <c r="AO31" s="319"/>
      <c r="AP31" s="108"/>
      <c r="AQ31" s="509"/>
      <c r="AR31" s="322"/>
      <c r="AS31" s="283"/>
      <c r="AT31" s="284"/>
      <c r="AU31" s="324"/>
      <c r="AV31" s="286"/>
      <c r="AW31" s="287"/>
      <c r="AX31" s="480"/>
      <c r="AY31" s="520"/>
      <c r="AZ31" s="521"/>
      <c r="BA31" s="522"/>
      <c r="BB31" s="521"/>
      <c r="BC31" s="432"/>
      <c r="BD31" s="483"/>
      <c r="BE31" s="523"/>
      <c r="BF31" s="484"/>
      <c r="BG31" s="484"/>
      <c r="BH31" s="524"/>
      <c r="BI31" s="485"/>
      <c r="BJ31" s="485"/>
      <c r="BK31" s="124"/>
      <c r="BL31" s="486"/>
      <c r="BM31" s="486"/>
      <c r="BN31" s="296"/>
      <c r="BO31" s="336"/>
      <c r="BP31" s="511"/>
      <c r="BQ31" s="512"/>
      <c r="BR31" s="336"/>
      <c r="BS31" s="513"/>
      <c r="BT31" s="513"/>
      <c r="BU31" s="337"/>
      <c r="BV31" s="336"/>
      <c r="BW31" s="511"/>
      <c r="BX31" s="512"/>
      <c r="BY31" s="336"/>
      <c r="BZ31" s="511"/>
      <c r="CA31" s="511"/>
      <c r="CB31" s="336"/>
      <c r="CC31" s="514"/>
      <c r="CD31" s="514"/>
      <c r="CE31" s="338"/>
    </row>
    <row r="32" spans="1:83" ht="13.5" customHeight="1" x14ac:dyDescent="0.4">
      <c r="A32" s="249"/>
      <c r="B32" s="249"/>
      <c r="C32" s="301"/>
      <c r="D32" s="446"/>
      <c r="E32" s="303"/>
      <c r="F32" s="389"/>
      <c r="G32" s="449"/>
      <c r="H32" s="306"/>
      <c r="I32" s="256"/>
      <c r="J32" s="451"/>
      <c r="K32" s="390"/>
      <c r="L32" s="259"/>
      <c r="M32" s="270"/>
      <c r="N32" s="528"/>
      <c r="O32" s="270"/>
      <c r="P32" s="453"/>
      <c r="Q32" s="2818"/>
      <c r="R32" s="261"/>
      <c r="S32" s="271"/>
      <c r="T32" s="2725"/>
      <c r="U32" s="271"/>
      <c r="V32" s="267"/>
      <c r="W32" s="530"/>
      <c r="X32" s="267"/>
      <c r="Y32" s="270"/>
      <c r="Z32" s="528"/>
      <c r="AA32" s="270"/>
      <c r="AB32" s="271"/>
      <c r="AC32" s="271"/>
      <c r="AD32" s="271"/>
      <c r="AE32" s="454"/>
      <c r="AF32" s="363"/>
      <c r="AG32" s="99"/>
      <c r="AH32" s="100"/>
      <c r="AI32" s="100"/>
      <c r="AJ32" s="102"/>
      <c r="AK32" s="505"/>
      <c r="AL32" s="157"/>
      <c r="AM32" s="507"/>
      <c r="AN32" s="508"/>
      <c r="AO32" s="319"/>
      <c r="AP32" s="108"/>
      <c r="AQ32" s="509"/>
      <c r="AR32" s="322"/>
      <c r="AS32" s="283"/>
      <c r="AT32" s="284"/>
      <c r="AU32" s="324"/>
      <c r="AV32" s="286"/>
      <c r="AW32" s="287"/>
      <c r="AX32" s="480"/>
      <c r="AY32" s="520"/>
      <c r="AZ32" s="521"/>
      <c r="BA32" s="482"/>
      <c r="BB32" s="521"/>
      <c r="BC32" s="432"/>
      <c r="BD32" s="483"/>
      <c r="BE32" s="523"/>
      <c r="BF32" s="484"/>
      <c r="BG32" s="484"/>
      <c r="BH32" s="524"/>
      <c r="BI32" s="485"/>
      <c r="BJ32" s="485"/>
      <c r="BK32" s="124"/>
      <c r="BL32" s="486"/>
      <c r="BM32" s="486"/>
      <c r="BN32" s="296"/>
      <c r="BO32" s="336"/>
      <c r="BP32" s="511"/>
      <c r="BQ32" s="512"/>
      <c r="BR32" s="336"/>
      <c r="BS32" s="531"/>
      <c r="BT32" s="531"/>
      <c r="BU32" s="244"/>
      <c r="BV32" s="241"/>
      <c r="BW32" s="532"/>
      <c r="BX32" s="533"/>
      <c r="BY32" s="241"/>
      <c r="BZ32" s="532"/>
      <c r="CA32" s="532"/>
      <c r="CB32" s="241"/>
      <c r="CC32" s="534"/>
      <c r="CD32" s="534"/>
      <c r="CE32" s="248"/>
    </row>
    <row r="33" spans="1:83" ht="18" hidden="1" customHeight="1" x14ac:dyDescent="0.4">
      <c r="A33" s="249"/>
      <c r="B33" s="249"/>
      <c r="C33" s="301"/>
      <c r="D33" s="446"/>
      <c r="E33" s="535"/>
      <c r="F33" s="536"/>
      <c r="G33" s="449"/>
      <c r="H33" s="537"/>
      <c r="I33" s="256"/>
      <c r="J33" s="451"/>
      <c r="K33" s="538"/>
      <c r="L33" s="259"/>
      <c r="M33" s="270"/>
      <c r="N33" s="528"/>
      <c r="O33" s="270"/>
      <c r="P33" s="453"/>
      <c r="Q33" s="539"/>
      <c r="R33" s="261"/>
      <c r="S33" s="264"/>
      <c r="T33" s="529"/>
      <c r="U33" s="264"/>
      <c r="V33" s="267"/>
      <c r="W33" s="540"/>
      <c r="X33" s="267"/>
      <c r="Y33" s="270"/>
      <c r="Z33" s="528"/>
      <c r="AA33" s="270"/>
      <c r="AB33" s="271"/>
      <c r="AC33" s="271"/>
      <c r="AD33" s="271"/>
      <c r="AE33" s="454"/>
      <c r="AF33" s="363"/>
      <c r="AG33" s="99"/>
      <c r="AH33" s="100"/>
      <c r="AI33" s="100"/>
      <c r="AJ33" s="102"/>
      <c r="AK33" s="505"/>
      <c r="AL33" s="157"/>
      <c r="AM33" s="507"/>
      <c r="AN33" s="508"/>
      <c r="AO33" s="319"/>
      <c r="AP33" s="108"/>
      <c r="AQ33" s="509"/>
      <c r="AR33" s="322"/>
      <c r="AS33" s="283"/>
      <c r="AT33" s="284"/>
      <c r="AU33" s="324"/>
      <c r="AV33" s="286"/>
      <c r="AW33" s="287"/>
      <c r="AX33" s="430"/>
      <c r="AY33" s="520"/>
      <c r="AZ33" s="521"/>
      <c r="BA33" s="482"/>
      <c r="BB33" s="521"/>
      <c r="BC33" s="432"/>
      <c r="BD33" s="523"/>
      <c r="BE33" s="523"/>
      <c r="BF33" s="484"/>
      <c r="BG33" s="484"/>
      <c r="BH33" s="524"/>
      <c r="BI33" s="485"/>
      <c r="BJ33" s="485"/>
      <c r="BK33" s="124"/>
      <c r="BL33" s="486"/>
      <c r="BM33" s="486"/>
      <c r="BN33" s="296"/>
      <c r="BO33" s="336"/>
      <c r="BP33" s="511"/>
      <c r="BQ33" s="512"/>
      <c r="BR33" s="336"/>
      <c r="BS33" s="511"/>
      <c r="BT33" s="511"/>
      <c r="BU33" s="336"/>
      <c r="BV33" s="336"/>
      <c r="BW33" s="511"/>
      <c r="BX33" s="512"/>
      <c r="BY33" s="336"/>
      <c r="BZ33" s="511"/>
      <c r="CA33" s="511"/>
      <c r="CB33" s="336"/>
      <c r="CC33" s="514"/>
      <c r="CD33" s="514"/>
      <c r="CE33" s="338"/>
    </row>
    <row r="34" spans="1:83" ht="18" hidden="1" customHeight="1" x14ac:dyDescent="0.4">
      <c r="A34" s="249"/>
      <c r="B34" s="249"/>
      <c r="C34" s="301"/>
      <c r="D34" s="446"/>
      <c r="E34" s="535"/>
      <c r="F34" s="536"/>
      <c r="G34" s="449"/>
      <c r="H34" s="537"/>
      <c r="I34" s="256"/>
      <c r="J34" s="451"/>
      <c r="K34" s="538"/>
      <c r="L34" s="259"/>
      <c r="M34" s="270"/>
      <c r="N34" s="528"/>
      <c r="O34" s="270"/>
      <c r="P34" s="453"/>
      <c r="Q34" s="539"/>
      <c r="R34" s="261"/>
      <c r="S34" s="264"/>
      <c r="T34" s="529"/>
      <c r="U34" s="264"/>
      <c r="V34" s="267"/>
      <c r="W34" s="540"/>
      <c r="X34" s="267"/>
      <c r="Y34" s="270"/>
      <c r="Z34" s="528"/>
      <c r="AA34" s="270"/>
      <c r="AB34" s="271"/>
      <c r="AC34" s="271"/>
      <c r="AD34" s="271"/>
      <c r="AE34" s="454"/>
      <c r="AF34" s="363"/>
      <c r="AG34" s="99"/>
      <c r="AH34" s="100"/>
      <c r="AI34" s="100"/>
      <c r="AJ34" s="102"/>
      <c r="AK34" s="505"/>
      <c r="AL34" s="157"/>
      <c r="AM34" s="507"/>
      <c r="AN34" s="508"/>
      <c r="AO34" s="319"/>
      <c r="AP34" s="108"/>
      <c r="AQ34" s="509"/>
      <c r="AR34" s="322"/>
      <c r="AS34" s="283"/>
      <c r="AT34" s="284"/>
      <c r="AU34" s="519"/>
      <c r="AV34" s="286"/>
      <c r="AW34" s="287"/>
      <c r="AX34" s="480"/>
      <c r="AY34" s="520"/>
      <c r="AZ34" s="521"/>
      <c r="BA34" s="521"/>
      <c r="BB34" s="521"/>
      <c r="BC34" s="432"/>
      <c r="BD34" s="523"/>
      <c r="BE34" s="523"/>
      <c r="BF34" s="484"/>
      <c r="BG34" s="484"/>
      <c r="BH34" s="524"/>
      <c r="BI34" s="485"/>
      <c r="BJ34" s="485"/>
      <c r="BK34" s="124"/>
      <c r="BL34" s="486"/>
      <c r="BM34" s="486"/>
      <c r="BN34" s="296"/>
      <c r="BO34" s="336"/>
      <c r="BP34" s="511"/>
      <c r="BQ34" s="512"/>
      <c r="BR34" s="336"/>
      <c r="BS34" s="511"/>
      <c r="BT34" s="511"/>
      <c r="BU34" s="336"/>
      <c r="BV34" s="336"/>
      <c r="BW34" s="511"/>
      <c r="BX34" s="512"/>
      <c r="BY34" s="336"/>
      <c r="BZ34" s="511"/>
      <c r="CA34" s="511"/>
      <c r="CB34" s="336"/>
      <c r="CC34" s="514"/>
      <c r="CD34" s="514"/>
      <c r="CE34" s="338"/>
    </row>
    <row r="35" spans="1:83" ht="18" hidden="1" customHeight="1" x14ac:dyDescent="0.4">
      <c r="A35" s="541"/>
      <c r="B35" s="541"/>
      <c r="C35" s="542"/>
      <c r="D35" s="185"/>
      <c r="E35" s="535"/>
      <c r="F35" s="536"/>
      <c r="G35" s="187"/>
      <c r="H35" s="537"/>
      <c r="I35" s="189"/>
      <c r="J35" s="190"/>
      <c r="K35" s="538"/>
      <c r="L35" s="192"/>
      <c r="M35" s="270"/>
      <c r="N35" s="528"/>
      <c r="O35" s="270"/>
      <c r="P35" s="193"/>
      <c r="Q35" s="539"/>
      <c r="R35" s="195"/>
      <c r="S35" s="264"/>
      <c r="T35" s="529"/>
      <c r="U35" s="264"/>
      <c r="V35" s="201"/>
      <c r="W35" s="540"/>
      <c r="X35" s="267"/>
      <c r="Y35" s="270"/>
      <c r="Z35" s="528"/>
      <c r="AA35" s="270"/>
      <c r="AB35" s="271"/>
      <c r="AC35" s="271"/>
      <c r="AD35" s="271"/>
      <c r="AE35" s="543"/>
      <c r="AF35" s="544"/>
      <c r="AG35" s="207"/>
      <c r="AH35" s="208"/>
      <c r="AI35" s="208"/>
      <c r="AJ35" s="210"/>
      <c r="AK35" s="545"/>
      <c r="AL35" s="546"/>
      <c r="AM35" s="547"/>
      <c r="AN35" s="548"/>
      <c r="AO35" s="549"/>
      <c r="AP35" s="550"/>
      <c r="AQ35" s="551"/>
      <c r="AR35" s="551"/>
      <c r="AS35" s="552"/>
      <c r="AT35" s="553"/>
      <c r="AU35" s="554"/>
      <c r="AV35" s="220"/>
      <c r="AW35" s="221"/>
      <c r="AX35" s="555"/>
      <c r="AY35" s="201"/>
      <c r="AZ35" s="556"/>
      <c r="BA35" s="556"/>
      <c r="BB35" s="557"/>
      <c r="BC35" s="558"/>
      <c r="BD35" s="558"/>
      <c r="BE35" s="204"/>
      <c r="BF35" s="559"/>
      <c r="BG35" s="559"/>
      <c r="BH35" s="560"/>
      <c r="BI35" s="561"/>
      <c r="BJ35" s="561"/>
      <c r="BK35" s="561"/>
      <c r="BL35" s="562"/>
      <c r="BM35" s="562"/>
      <c r="BN35" s="563"/>
      <c r="BO35" s="241"/>
      <c r="BP35" s="532"/>
      <c r="BQ35" s="533"/>
      <c r="BR35" s="241"/>
      <c r="BS35" s="532"/>
      <c r="BT35" s="532"/>
      <c r="BU35" s="241"/>
      <c r="BV35" s="241"/>
      <c r="BW35" s="532"/>
      <c r="BX35" s="533"/>
      <c r="BY35" s="241"/>
      <c r="BZ35" s="532"/>
      <c r="CA35" s="532"/>
      <c r="CB35" s="241"/>
      <c r="CC35" s="534"/>
      <c r="CD35" s="534"/>
      <c r="CE35" s="248"/>
    </row>
    <row r="36" spans="1:83" ht="14.1" customHeight="1" x14ac:dyDescent="0.4">
      <c r="A36" s="249"/>
      <c r="B36" s="249"/>
      <c r="C36" s="564"/>
      <c r="D36" s="446"/>
      <c r="E36" s="535"/>
      <c r="F36" s="536"/>
      <c r="G36" s="449"/>
      <c r="H36" s="537"/>
      <c r="I36" s="256"/>
      <c r="J36" s="451"/>
      <c r="K36" s="390"/>
      <c r="L36" s="259"/>
      <c r="M36" s="443"/>
      <c r="N36" s="2726"/>
      <c r="O36" s="2727"/>
      <c r="P36" s="565"/>
      <c r="Q36" s="566"/>
      <c r="R36" s="565"/>
      <c r="S36" s="566"/>
      <c r="T36" s="567"/>
      <c r="U36" s="568"/>
      <c r="V36" s="566"/>
      <c r="W36" s="567"/>
      <c r="X36" s="568"/>
      <c r="Y36" s="566"/>
      <c r="Z36" s="567"/>
      <c r="AA36" s="568"/>
      <c r="AB36" s="566"/>
      <c r="AC36" s="567"/>
      <c r="AD36" s="567"/>
      <c r="AE36" s="565"/>
      <c r="AF36" s="566"/>
      <c r="AG36" s="567"/>
      <c r="AH36" s="568"/>
      <c r="AI36" s="566"/>
      <c r="AJ36" s="567"/>
      <c r="AK36" s="568"/>
      <c r="AL36" s="566"/>
      <c r="AM36" s="567"/>
      <c r="AN36" s="568"/>
      <c r="AO36" s="566"/>
      <c r="AP36" s="567"/>
      <c r="AQ36" s="568"/>
      <c r="AR36" s="566"/>
      <c r="AS36" s="567"/>
      <c r="AT36" s="568"/>
      <c r="AU36" s="566"/>
      <c r="AV36" s="567"/>
      <c r="AW36" s="568"/>
      <c r="AX36" s="566"/>
      <c r="AY36" s="567"/>
      <c r="AZ36" s="568"/>
      <c r="BA36" s="566"/>
      <c r="BB36" s="567"/>
      <c r="BC36" s="568"/>
      <c r="BD36" s="566"/>
      <c r="BE36" s="567"/>
      <c r="BF36" s="567"/>
      <c r="BG36" s="569"/>
      <c r="BH36" s="567"/>
      <c r="BI36" s="567"/>
      <c r="BJ36" s="569"/>
      <c r="BK36" s="567"/>
      <c r="BL36" s="568"/>
      <c r="BM36" s="566"/>
      <c r="BN36" s="567"/>
      <c r="BO36" s="567"/>
      <c r="BP36" s="568"/>
      <c r="BQ36" s="566"/>
      <c r="BR36" s="567"/>
      <c r="BS36" s="568"/>
      <c r="BT36" s="567"/>
      <c r="BU36" s="567"/>
      <c r="BV36" s="567"/>
      <c r="BW36" s="568"/>
      <c r="BX36" s="566"/>
      <c r="BY36" s="567"/>
      <c r="BZ36" s="568"/>
      <c r="CA36" s="567"/>
      <c r="CB36" s="567"/>
      <c r="CC36" s="568"/>
      <c r="CD36" s="567"/>
      <c r="CE36" s="2807"/>
    </row>
    <row r="37" spans="1:83" ht="13.5" customHeight="1" x14ac:dyDescent="0.4">
      <c r="A37" s="249"/>
      <c r="B37" s="249"/>
      <c r="C37" s="564"/>
      <c r="D37" s="570"/>
      <c r="E37" s="535"/>
      <c r="F37" s="535"/>
      <c r="G37" s="571"/>
      <c r="H37" s="537"/>
      <c r="I37" s="572"/>
      <c r="J37" s="451"/>
      <c r="K37" s="390"/>
      <c r="L37" s="259"/>
      <c r="M37" s="2728"/>
      <c r="N37" s="2726"/>
      <c r="O37" s="2729"/>
      <c r="P37" s="568"/>
      <c r="Q37" s="566"/>
      <c r="R37" s="565"/>
      <c r="S37" s="566"/>
      <c r="T37" s="567"/>
      <c r="U37" s="568"/>
      <c r="V37" s="566"/>
      <c r="W37" s="567"/>
      <c r="X37" s="568"/>
      <c r="Y37" s="566"/>
      <c r="Z37" s="567"/>
      <c r="AA37" s="568"/>
      <c r="AB37" s="566"/>
      <c r="AC37" s="567"/>
      <c r="AD37" s="567"/>
      <c r="AE37" s="565"/>
      <c r="AF37" s="566"/>
      <c r="AG37" s="567"/>
      <c r="AH37" s="568"/>
      <c r="AI37" s="566"/>
      <c r="AJ37" s="567"/>
      <c r="AK37" s="568"/>
      <c r="AL37" s="566"/>
      <c r="AM37" s="567"/>
      <c r="AN37" s="568"/>
      <c r="AO37" s="566"/>
      <c r="AP37" s="567"/>
      <c r="AQ37" s="568"/>
      <c r="AR37" s="566"/>
      <c r="AS37" s="567"/>
      <c r="AT37" s="568"/>
      <c r="AU37" s="566"/>
      <c r="AV37" s="567"/>
      <c r="AW37" s="568"/>
      <c r="AX37" s="566"/>
      <c r="AY37" s="567"/>
      <c r="AZ37" s="568"/>
      <c r="BA37" s="566"/>
      <c r="BB37" s="567"/>
      <c r="BC37" s="568"/>
      <c r="BD37" s="566"/>
      <c r="BE37" s="567"/>
      <c r="BF37" s="567"/>
      <c r="BG37" s="569"/>
      <c r="BH37" s="567"/>
      <c r="BI37" s="567"/>
      <c r="BJ37" s="569"/>
      <c r="BK37" s="567"/>
      <c r="BL37" s="568"/>
      <c r="BM37" s="566"/>
      <c r="BN37" s="567"/>
      <c r="BO37" s="567"/>
      <c r="BP37" s="568"/>
      <c r="BQ37" s="566"/>
      <c r="BR37" s="567"/>
      <c r="BS37" s="568"/>
      <c r="BT37" s="567"/>
      <c r="BU37" s="567"/>
      <c r="BV37" s="567"/>
      <c r="BW37" s="568"/>
      <c r="BX37" s="566"/>
      <c r="BY37" s="567"/>
      <c r="BZ37" s="568"/>
      <c r="CA37" s="567"/>
      <c r="CB37" s="567"/>
      <c r="CC37" s="568"/>
      <c r="CD37" s="567"/>
      <c r="CE37" s="2807"/>
    </row>
    <row r="38" spans="1:83" ht="21" customHeight="1" x14ac:dyDescent="0.4">
      <c r="A38" s="249"/>
      <c r="B38" s="249"/>
      <c r="C38" s="573"/>
      <c r="D38" s="574"/>
      <c r="E38" s="575" t="s">
        <v>305</v>
      </c>
      <c r="F38" s="576"/>
      <c r="G38" s="576"/>
      <c r="H38" s="575" t="s">
        <v>305</v>
      </c>
      <c r="I38" s="577"/>
      <c r="J38" s="576"/>
      <c r="K38" s="575" t="s">
        <v>305</v>
      </c>
      <c r="L38" s="577"/>
      <c r="M38" s="576"/>
      <c r="N38" s="575" t="s">
        <v>305</v>
      </c>
      <c r="O38" s="577"/>
      <c r="P38" s="565"/>
      <c r="Q38" s="566"/>
      <c r="R38" s="565"/>
      <c r="S38" s="566"/>
      <c r="T38" s="567"/>
      <c r="U38" s="568"/>
      <c r="V38" s="566"/>
      <c r="W38" s="567"/>
      <c r="X38" s="568"/>
      <c r="Y38" s="566"/>
      <c r="Z38" s="567"/>
      <c r="AA38" s="568"/>
      <c r="AB38" s="566"/>
      <c r="AC38" s="567"/>
      <c r="AD38" s="567"/>
      <c r="AE38" s="565"/>
      <c r="AF38" s="566"/>
      <c r="AG38" s="567"/>
      <c r="AH38" s="568"/>
      <c r="AI38" s="566"/>
      <c r="AJ38" s="567"/>
      <c r="AK38" s="568"/>
      <c r="AL38" s="566"/>
      <c r="AM38" s="567"/>
      <c r="AN38" s="568"/>
      <c r="AO38" s="566"/>
      <c r="AP38" s="567"/>
      <c r="AQ38" s="568"/>
      <c r="AR38" s="566"/>
      <c r="AS38" s="567"/>
      <c r="AT38" s="568"/>
      <c r="AU38" s="566"/>
      <c r="AV38" s="567"/>
      <c r="AW38" s="568"/>
      <c r="AX38" s="566"/>
      <c r="AY38" s="567"/>
      <c r="AZ38" s="568"/>
      <c r="BA38" s="566"/>
      <c r="BB38" s="567"/>
      <c r="BC38" s="568"/>
      <c r="BD38" s="566"/>
      <c r="BE38" s="567"/>
      <c r="BF38" s="567"/>
      <c r="BG38" s="569"/>
      <c r="BH38" s="567"/>
      <c r="BI38" s="567"/>
      <c r="BJ38" s="569"/>
      <c r="BK38" s="567"/>
      <c r="BL38" s="568"/>
      <c r="BM38" s="566"/>
      <c r="BN38" s="567"/>
      <c r="BO38" s="567"/>
      <c r="BP38" s="568"/>
      <c r="BQ38" s="566"/>
      <c r="BR38" s="567"/>
      <c r="BS38" s="568"/>
      <c r="BT38" s="567"/>
      <c r="BU38" s="567"/>
      <c r="BV38" s="567"/>
      <c r="BW38" s="568"/>
      <c r="BX38" s="566"/>
      <c r="BY38" s="567"/>
      <c r="BZ38" s="568"/>
      <c r="CA38" s="567"/>
      <c r="CB38" s="567"/>
      <c r="CC38" s="568"/>
      <c r="CD38" s="567"/>
      <c r="CE38" s="2807"/>
    </row>
    <row r="39" spans="1:83" ht="21" customHeight="1" x14ac:dyDescent="0.4">
      <c r="A39" s="249"/>
      <c r="B39" s="249"/>
      <c r="C39" s="578">
        <v>0.25</v>
      </c>
      <c r="D39" s="2730"/>
      <c r="E39" s="614"/>
      <c r="F39" s="673"/>
      <c r="G39" s="581"/>
      <c r="H39" s="612"/>
      <c r="I39" s="581"/>
      <c r="J39" s="579"/>
      <c r="K39" s="583" t="s">
        <v>306</v>
      </c>
      <c r="L39" s="580"/>
      <c r="M39" s="2731"/>
      <c r="N39" s="1126"/>
      <c r="O39" s="2731"/>
      <c r="P39" s="568"/>
      <c r="Q39" s="566"/>
      <c r="R39" s="568"/>
      <c r="S39" s="566"/>
      <c r="T39" s="567"/>
      <c r="U39" s="568"/>
      <c r="V39" s="566"/>
      <c r="W39" s="567"/>
      <c r="X39" s="568"/>
      <c r="Y39" s="566"/>
      <c r="Z39" s="567"/>
      <c r="AA39" s="568"/>
      <c r="AB39" s="566"/>
      <c r="AC39" s="567"/>
      <c r="AD39" s="567"/>
      <c r="AE39" s="568"/>
      <c r="AF39" s="566"/>
      <c r="AG39" s="567"/>
      <c r="AH39" s="568"/>
      <c r="AI39" s="566"/>
      <c r="AJ39" s="567"/>
      <c r="AK39" s="568"/>
      <c r="AL39" s="566"/>
      <c r="AM39" s="567"/>
      <c r="AN39" s="568"/>
      <c r="AO39" s="566"/>
      <c r="AP39" s="567"/>
      <c r="AQ39" s="568"/>
      <c r="AR39" s="566"/>
      <c r="AS39" s="567"/>
      <c r="AT39" s="568"/>
      <c r="AU39" s="566"/>
      <c r="AV39" s="567"/>
      <c r="AW39" s="568"/>
      <c r="AX39" s="566"/>
      <c r="AY39" s="567"/>
      <c r="AZ39" s="568"/>
      <c r="BA39" s="566"/>
      <c r="BB39" s="567"/>
      <c r="BC39" s="568"/>
      <c r="BD39" s="566"/>
      <c r="BE39" s="567"/>
      <c r="BF39" s="567"/>
      <c r="BG39" s="569"/>
      <c r="BH39" s="567"/>
      <c r="BI39" s="567"/>
      <c r="BJ39" s="569"/>
      <c r="BK39" s="567"/>
      <c r="BL39" s="568"/>
      <c r="BM39" s="566"/>
      <c r="BN39" s="567"/>
      <c r="BO39" s="567"/>
      <c r="BP39" s="568"/>
      <c r="BQ39" s="566"/>
      <c r="BR39" s="567"/>
      <c r="BS39" s="568"/>
      <c r="BT39" s="567"/>
      <c r="BU39" s="567"/>
      <c r="BV39" s="567"/>
      <c r="BW39" s="568"/>
      <c r="BX39" s="566"/>
      <c r="BY39" s="567"/>
      <c r="BZ39" s="568"/>
      <c r="CA39" s="567"/>
      <c r="CB39" s="567"/>
      <c r="CC39" s="568"/>
      <c r="CD39" s="567"/>
      <c r="CE39" s="2807"/>
    </row>
    <row r="40" spans="1:83" ht="21" customHeight="1" x14ac:dyDescent="0.4">
      <c r="A40" s="249"/>
      <c r="B40" s="249"/>
      <c r="C40" s="584" t="s">
        <v>307</v>
      </c>
      <c r="D40" s="585"/>
      <c r="E40" s="614"/>
      <c r="F40" s="585"/>
      <c r="G40" s="581"/>
      <c r="H40" s="612"/>
      <c r="I40" s="581"/>
      <c r="J40" s="582"/>
      <c r="K40" s="586"/>
      <c r="L40" s="582"/>
      <c r="M40" s="2731"/>
      <c r="N40" s="1126"/>
      <c r="O40" s="2731"/>
      <c r="P40" s="568"/>
      <c r="Q40" s="566"/>
      <c r="R40" s="568"/>
      <c r="S40" s="566"/>
      <c r="T40" s="567"/>
      <c r="U40" s="568"/>
      <c r="V40" s="566"/>
      <c r="W40" s="567"/>
      <c r="X40" s="568"/>
      <c r="Y40" s="566"/>
      <c r="Z40" s="567"/>
      <c r="AA40" s="568"/>
      <c r="AB40" s="566"/>
      <c r="AC40" s="567"/>
      <c r="AD40" s="567"/>
      <c r="AE40" s="568"/>
      <c r="AF40" s="566"/>
      <c r="AG40" s="567"/>
      <c r="AH40" s="568"/>
      <c r="AI40" s="566"/>
      <c r="AJ40" s="567"/>
      <c r="AK40" s="568"/>
      <c r="AL40" s="566"/>
      <c r="AM40" s="567"/>
      <c r="AN40" s="568"/>
      <c r="AO40" s="566"/>
      <c r="AP40" s="567"/>
      <c r="AQ40" s="568"/>
      <c r="AR40" s="566"/>
      <c r="AS40" s="567"/>
      <c r="AT40" s="568"/>
      <c r="AU40" s="566"/>
      <c r="AV40" s="567"/>
      <c r="AW40" s="568"/>
      <c r="AX40" s="566"/>
      <c r="AY40" s="567"/>
      <c r="AZ40" s="568"/>
      <c r="BA40" s="566"/>
      <c r="BB40" s="567"/>
      <c r="BC40" s="568"/>
      <c r="BD40" s="566"/>
      <c r="BE40" s="567"/>
      <c r="BF40" s="567"/>
      <c r="BG40" s="569"/>
      <c r="BH40" s="567"/>
      <c r="BI40" s="567"/>
      <c r="BJ40" s="569"/>
      <c r="BK40" s="567"/>
      <c r="BL40" s="568"/>
      <c r="BM40" s="566"/>
      <c r="BN40" s="567"/>
      <c r="BO40" s="567"/>
      <c r="BP40" s="568"/>
      <c r="BQ40" s="566"/>
      <c r="BR40" s="567"/>
      <c r="BS40" s="568"/>
      <c r="BT40" s="567"/>
      <c r="BU40" s="567"/>
      <c r="BV40" s="567"/>
      <c r="BW40" s="568"/>
      <c r="BX40" s="566"/>
      <c r="BY40" s="567"/>
      <c r="BZ40" s="568"/>
      <c r="CA40" s="567"/>
      <c r="CB40" s="567"/>
      <c r="CC40" s="568"/>
      <c r="CD40" s="567"/>
      <c r="CE40" s="2807"/>
    </row>
    <row r="41" spans="1:83" ht="21" customHeight="1" x14ac:dyDescent="0.4">
      <c r="A41" s="249"/>
      <c r="B41" s="249"/>
      <c r="C41" s="584">
        <v>0.25347222222222221</v>
      </c>
      <c r="D41" s="587"/>
      <c r="E41" s="614"/>
      <c r="F41" s="587"/>
      <c r="G41" s="588"/>
      <c r="H41" s="612"/>
      <c r="I41" s="588"/>
      <c r="J41" s="582"/>
      <c r="K41" s="586"/>
      <c r="L41" s="582"/>
      <c r="M41" s="685"/>
      <c r="N41" s="1126"/>
      <c r="O41" s="685"/>
      <c r="P41" s="568"/>
      <c r="Q41" s="566"/>
      <c r="R41" s="568"/>
      <c r="S41" s="566"/>
      <c r="T41" s="567"/>
      <c r="U41" s="568"/>
      <c r="V41" s="566"/>
      <c r="W41" s="567"/>
      <c r="X41" s="568"/>
      <c r="Y41" s="566"/>
      <c r="Z41" s="567"/>
      <c r="AA41" s="568"/>
      <c r="AB41" s="566"/>
      <c r="AC41" s="567"/>
      <c r="AD41" s="567"/>
      <c r="AE41" s="568"/>
      <c r="AF41" s="566"/>
      <c r="AG41" s="567"/>
      <c r="AH41" s="568"/>
      <c r="AI41" s="566"/>
      <c r="AJ41" s="567"/>
      <c r="AK41" s="568"/>
      <c r="AL41" s="566"/>
      <c r="AM41" s="567"/>
      <c r="AN41" s="568"/>
      <c r="AO41" s="566"/>
      <c r="AP41" s="567"/>
      <c r="AQ41" s="568"/>
      <c r="AR41" s="566"/>
      <c r="AS41" s="567"/>
      <c r="AT41" s="568"/>
      <c r="AU41" s="566"/>
      <c r="AV41" s="567"/>
      <c r="AW41" s="568"/>
      <c r="AX41" s="566"/>
      <c r="AY41" s="567"/>
      <c r="AZ41" s="568"/>
      <c r="BA41" s="566"/>
      <c r="BB41" s="567"/>
      <c r="BC41" s="568"/>
      <c r="BD41" s="566"/>
      <c r="BE41" s="567"/>
      <c r="BF41" s="567"/>
      <c r="BG41" s="569"/>
      <c r="BH41" s="567"/>
      <c r="BI41" s="567"/>
      <c r="BJ41" s="569"/>
      <c r="BK41" s="567"/>
      <c r="BL41" s="568"/>
      <c r="BM41" s="566"/>
      <c r="BN41" s="567"/>
      <c r="BO41" s="567"/>
      <c r="BP41" s="568"/>
      <c r="BQ41" s="566"/>
      <c r="BR41" s="567"/>
      <c r="BS41" s="568"/>
      <c r="BT41" s="567"/>
      <c r="BU41" s="567"/>
      <c r="BV41" s="567"/>
      <c r="BW41" s="568"/>
      <c r="BX41" s="566"/>
      <c r="BY41" s="567"/>
      <c r="BZ41" s="568"/>
      <c r="CA41" s="567"/>
      <c r="CB41" s="567"/>
      <c r="CC41" s="568"/>
      <c r="CD41" s="567"/>
      <c r="CE41" s="2807"/>
    </row>
    <row r="42" spans="1:83" ht="21" customHeight="1" x14ac:dyDescent="0.4">
      <c r="A42" s="249"/>
      <c r="B42" s="249"/>
      <c r="C42" s="584" t="s">
        <v>307</v>
      </c>
      <c r="D42" s="589"/>
      <c r="E42" s="614"/>
      <c r="F42" s="589"/>
      <c r="G42" s="590"/>
      <c r="H42" s="612"/>
      <c r="I42" s="590"/>
      <c r="J42" s="582"/>
      <c r="K42" s="586"/>
      <c r="L42" s="582"/>
      <c r="M42" s="2732"/>
      <c r="N42" s="1126"/>
      <c r="O42" s="2732"/>
      <c r="P42" s="568"/>
      <c r="Q42" s="566"/>
      <c r="R42" s="568"/>
      <c r="S42" s="566"/>
      <c r="T42" s="567"/>
      <c r="U42" s="568"/>
      <c r="V42" s="566"/>
      <c r="W42" s="567"/>
      <c r="X42" s="568"/>
      <c r="Y42" s="566"/>
      <c r="Z42" s="567"/>
      <c r="AA42" s="568"/>
      <c r="AB42" s="566"/>
      <c r="AC42" s="567"/>
      <c r="AD42" s="567"/>
      <c r="AE42" s="568"/>
      <c r="AF42" s="566"/>
      <c r="AG42" s="567"/>
      <c r="AH42" s="568"/>
      <c r="AI42" s="566"/>
      <c r="AJ42" s="567"/>
      <c r="AK42" s="568"/>
      <c r="AL42" s="566"/>
      <c r="AM42" s="567"/>
      <c r="AN42" s="568"/>
      <c r="AO42" s="566"/>
      <c r="AP42" s="567"/>
      <c r="AQ42" s="568"/>
      <c r="AR42" s="566"/>
      <c r="AS42" s="567"/>
      <c r="AT42" s="568"/>
      <c r="AU42" s="566"/>
      <c r="AV42" s="567"/>
      <c r="AW42" s="568"/>
      <c r="AX42" s="566"/>
      <c r="AY42" s="567"/>
      <c r="AZ42" s="568"/>
      <c r="BA42" s="566"/>
      <c r="BB42" s="567"/>
      <c r="BC42" s="568"/>
      <c r="BD42" s="566"/>
      <c r="BE42" s="567"/>
      <c r="BF42" s="567"/>
      <c r="BG42" s="569"/>
      <c r="BH42" s="567"/>
      <c r="BI42" s="567"/>
      <c r="BJ42" s="569"/>
      <c r="BK42" s="567"/>
      <c r="BL42" s="568"/>
      <c r="BM42" s="566"/>
      <c r="BN42" s="567"/>
      <c r="BO42" s="567"/>
      <c r="BP42" s="568"/>
      <c r="BQ42" s="566"/>
      <c r="BR42" s="567"/>
      <c r="BS42" s="568"/>
      <c r="BT42" s="567"/>
      <c r="BU42" s="567"/>
      <c r="BV42" s="567"/>
      <c r="BW42" s="568"/>
      <c r="BX42" s="566"/>
      <c r="BY42" s="567"/>
      <c r="BZ42" s="568"/>
      <c r="CA42" s="567"/>
      <c r="CB42" s="567"/>
      <c r="CC42" s="568"/>
      <c r="CD42" s="567"/>
      <c r="CE42" s="2807"/>
    </row>
    <row r="43" spans="1:83" ht="21" customHeight="1" x14ac:dyDescent="0.4">
      <c r="A43" s="249"/>
      <c r="B43" s="249"/>
      <c r="C43" s="584">
        <v>0.25694444444444442</v>
      </c>
      <c r="D43" s="589"/>
      <c r="E43" s="614"/>
      <c r="F43" s="589"/>
      <c r="G43" s="590"/>
      <c r="H43" s="612"/>
      <c r="I43" s="590"/>
      <c r="J43" s="582"/>
      <c r="K43" s="586"/>
      <c r="L43" s="582"/>
      <c r="M43" s="2732"/>
      <c r="N43" s="1126"/>
      <c r="O43" s="2732"/>
      <c r="P43" s="568"/>
      <c r="Q43" s="566"/>
      <c r="R43" s="568"/>
      <c r="S43" s="566"/>
      <c r="T43" s="567"/>
      <c r="U43" s="568"/>
      <c r="V43" s="566"/>
      <c r="W43" s="567"/>
      <c r="X43" s="568"/>
      <c r="Y43" s="566"/>
      <c r="Z43" s="567"/>
      <c r="AA43" s="568"/>
      <c r="AB43" s="566"/>
      <c r="AC43" s="567"/>
      <c r="AD43" s="567"/>
      <c r="AE43" s="568"/>
      <c r="AF43" s="566"/>
      <c r="AG43" s="567"/>
      <c r="AH43" s="568"/>
      <c r="AI43" s="566"/>
      <c r="AJ43" s="567"/>
      <c r="AK43" s="568"/>
      <c r="AL43" s="566"/>
      <c r="AM43" s="567"/>
      <c r="AN43" s="568"/>
      <c r="AO43" s="566"/>
      <c r="AP43" s="567"/>
      <c r="AQ43" s="568"/>
      <c r="AR43" s="566"/>
      <c r="AS43" s="567"/>
      <c r="AT43" s="568"/>
      <c r="AU43" s="566"/>
      <c r="AV43" s="567"/>
      <c r="AW43" s="568"/>
      <c r="AX43" s="566"/>
      <c r="AY43" s="567"/>
      <c r="AZ43" s="568"/>
      <c r="BA43" s="566"/>
      <c r="BB43" s="567"/>
      <c r="BC43" s="568"/>
      <c r="BD43" s="566"/>
      <c r="BE43" s="567"/>
      <c r="BF43" s="567"/>
      <c r="BG43" s="569"/>
      <c r="BH43" s="567"/>
      <c r="BI43" s="567"/>
      <c r="BJ43" s="569"/>
      <c r="BK43" s="567"/>
      <c r="BL43" s="568"/>
      <c r="BM43" s="566"/>
      <c r="BN43" s="567"/>
      <c r="BO43" s="567"/>
      <c r="BP43" s="568"/>
      <c r="BQ43" s="566"/>
      <c r="BR43" s="567"/>
      <c r="BS43" s="568"/>
      <c r="BT43" s="567"/>
      <c r="BU43" s="567"/>
      <c r="BV43" s="567"/>
      <c r="BW43" s="568"/>
      <c r="BX43" s="566"/>
      <c r="BY43" s="567"/>
      <c r="BZ43" s="568"/>
      <c r="CA43" s="567"/>
      <c r="CB43" s="567"/>
      <c r="CC43" s="568"/>
      <c r="CD43" s="567"/>
      <c r="CE43" s="2807"/>
    </row>
    <row r="44" spans="1:83" ht="21" customHeight="1" x14ac:dyDescent="0.4">
      <c r="A44" s="249"/>
      <c r="B44" s="249"/>
      <c r="C44" s="584" t="s">
        <v>307</v>
      </c>
      <c r="D44" s="585"/>
      <c r="E44" s="614"/>
      <c r="F44" s="585"/>
      <c r="G44" s="581"/>
      <c r="H44" s="612"/>
      <c r="I44" s="581"/>
      <c r="J44" s="582"/>
      <c r="K44" s="586"/>
      <c r="L44" s="582"/>
      <c r="M44" s="2731"/>
      <c r="N44" s="1126"/>
      <c r="O44" s="2731"/>
      <c r="P44" s="568"/>
      <c r="Q44" s="566"/>
      <c r="R44" s="568"/>
      <c r="S44" s="566"/>
      <c r="T44" s="567"/>
      <c r="U44" s="568"/>
      <c r="V44" s="566"/>
      <c r="W44" s="567"/>
      <c r="X44" s="568"/>
      <c r="Y44" s="566"/>
      <c r="Z44" s="567"/>
      <c r="AA44" s="568"/>
      <c r="AB44" s="566"/>
      <c r="AC44" s="567"/>
      <c r="AD44" s="567"/>
      <c r="AE44" s="568"/>
      <c r="AF44" s="566"/>
      <c r="AG44" s="567"/>
      <c r="AH44" s="568"/>
      <c r="AI44" s="566"/>
      <c r="AJ44" s="567"/>
      <c r="AK44" s="568"/>
      <c r="AL44" s="566"/>
      <c r="AM44" s="567"/>
      <c r="AN44" s="568"/>
      <c r="AO44" s="566"/>
      <c r="AP44" s="567"/>
      <c r="AQ44" s="568"/>
      <c r="AR44" s="566"/>
      <c r="AS44" s="567"/>
      <c r="AT44" s="568"/>
      <c r="AU44" s="566"/>
      <c r="AV44" s="567"/>
      <c r="AW44" s="568"/>
      <c r="AX44" s="566"/>
      <c r="AY44" s="567"/>
      <c r="AZ44" s="568"/>
      <c r="BA44" s="566"/>
      <c r="BB44" s="567"/>
      <c r="BC44" s="568"/>
      <c r="BD44" s="566"/>
      <c r="BE44" s="567"/>
      <c r="BF44" s="567"/>
      <c r="BG44" s="569"/>
      <c r="BH44" s="567"/>
      <c r="BI44" s="567"/>
      <c r="BJ44" s="569"/>
      <c r="BK44" s="567"/>
      <c r="BL44" s="568"/>
      <c r="BM44" s="566"/>
      <c r="BN44" s="567"/>
      <c r="BO44" s="567"/>
      <c r="BP44" s="568"/>
      <c r="BQ44" s="566"/>
      <c r="BR44" s="567"/>
      <c r="BS44" s="568"/>
      <c r="BT44" s="567"/>
      <c r="BU44" s="567"/>
      <c r="BV44" s="567"/>
      <c r="BW44" s="568"/>
      <c r="BX44" s="566"/>
      <c r="BY44" s="567"/>
      <c r="BZ44" s="568"/>
      <c r="CA44" s="567"/>
      <c r="CB44" s="567"/>
      <c r="CC44" s="568"/>
      <c r="CD44" s="567"/>
      <c r="CE44" s="2807"/>
    </row>
    <row r="45" spans="1:83" ht="21" customHeight="1" x14ac:dyDescent="0.4">
      <c r="A45" s="249"/>
      <c r="B45" s="249"/>
      <c r="C45" s="584">
        <v>0.26041666666666669</v>
      </c>
      <c r="D45" s="591"/>
      <c r="E45" s="592" t="s">
        <v>308</v>
      </c>
      <c r="F45" s="593"/>
      <c r="G45" s="581"/>
      <c r="H45" s="594"/>
      <c r="I45" s="581"/>
      <c r="J45" s="582"/>
      <c r="K45" s="586"/>
      <c r="L45" s="582"/>
      <c r="M45" s="2731"/>
      <c r="N45" s="686"/>
      <c r="O45" s="2731"/>
      <c r="P45" s="568"/>
      <c r="Q45" s="566"/>
      <c r="R45" s="568"/>
      <c r="S45" s="566"/>
      <c r="T45" s="567"/>
      <c r="U45" s="568"/>
      <c r="V45" s="566"/>
      <c r="W45" s="567"/>
      <c r="X45" s="568"/>
      <c r="Y45" s="566"/>
      <c r="Z45" s="567"/>
      <c r="AA45" s="568"/>
      <c r="AB45" s="566"/>
      <c r="AC45" s="567"/>
      <c r="AD45" s="567"/>
      <c r="AE45" s="568"/>
      <c r="AF45" s="566"/>
      <c r="AG45" s="567"/>
      <c r="AH45" s="568"/>
      <c r="AI45" s="566"/>
      <c r="AJ45" s="567"/>
      <c r="AK45" s="568"/>
      <c r="AL45" s="566"/>
      <c r="AM45" s="567"/>
      <c r="AN45" s="568"/>
      <c r="AO45" s="566"/>
      <c r="AP45" s="567"/>
      <c r="AQ45" s="568"/>
      <c r="AR45" s="566"/>
      <c r="AS45" s="567"/>
      <c r="AT45" s="568"/>
      <c r="AU45" s="566"/>
      <c r="AV45" s="567"/>
      <c r="AW45" s="568"/>
      <c r="AX45" s="566"/>
      <c r="AY45" s="567"/>
      <c r="AZ45" s="568"/>
      <c r="BA45" s="566"/>
      <c r="BB45" s="567"/>
      <c r="BC45" s="568"/>
      <c r="BD45" s="566"/>
      <c r="BE45" s="567"/>
      <c r="BF45" s="567"/>
      <c r="BG45" s="569"/>
      <c r="BH45" s="567"/>
      <c r="BI45" s="567"/>
      <c r="BJ45" s="569"/>
      <c r="BK45" s="567"/>
      <c r="BL45" s="568"/>
      <c r="BM45" s="566"/>
      <c r="BN45" s="567"/>
      <c r="BO45" s="567"/>
      <c r="BP45" s="568"/>
      <c r="BQ45" s="566"/>
      <c r="BR45" s="567"/>
      <c r="BS45" s="568"/>
      <c r="BT45" s="567"/>
      <c r="BU45" s="567"/>
      <c r="BV45" s="567"/>
      <c r="BW45" s="568"/>
      <c r="BX45" s="566"/>
      <c r="BY45" s="567"/>
      <c r="BZ45" s="568"/>
      <c r="CA45" s="567"/>
      <c r="CB45" s="567"/>
      <c r="CC45" s="568"/>
      <c r="CD45" s="567"/>
      <c r="CE45" s="2807"/>
    </row>
    <row r="46" spans="1:83" ht="21" customHeight="1" x14ac:dyDescent="0.4">
      <c r="A46" s="249"/>
      <c r="B46" s="249"/>
      <c r="C46" s="584" t="s">
        <v>307</v>
      </c>
      <c r="D46" s="595"/>
      <c r="E46" s="596"/>
      <c r="F46" s="597"/>
      <c r="G46" s="598"/>
      <c r="H46" s="599"/>
      <c r="I46" s="600"/>
      <c r="J46" s="582"/>
      <c r="K46" s="586"/>
      <c r="L46" s="582"/>
      <c r="M46" s="2733"/>
      <c r="N46" s="2734"/>
      <c r="O46" s="2735"/>
      <c r="P46" s="568"/>
      <c r="Q46" s="566"/>
      <c r="R46" s="568"/>
      <c r="S46" s="566"/>
      <c r="T46" s="567"/>
      <c r="U46" s="568"/>
      <c r="V46" s="566"/>
      <c r="W46" s="567"/>
      <c r="X46" s="568"/>
      <c r="Y46" s="566"/>
      <c r="Z46" s="567"/>
      <c r="AA46" s="568"/>
      <c r="AB46" s="566"/>
      <c r="AC46" s="567"/>
      <c r="AD46" s="567"/>
      <c r="AE46" s="568"/>
      <c r="AF46" s="566"/>
      <c r="AG46" s="567"/>
      <c r="AH46" s="568"/>
      <c r="AI46" s="566"/>
      <c r="AJ46" s="567"/>
      <c r="AK46" s="568"/>
      <c r="AL46" s="566"/>
      <c r="AM46" s="567"/>
      <c r="AN46" s="568"/>
      <c r="AO46" s="566"/>
      <c r="AP46" s="567"/>
      <c r="AQ46" s="568"/>
      <c r="AR46" s="566"/>
      <c r="AS46" s="567"/>
      <c r="AT46" s="568"/>
      <c r="AU46" s="566"/>
      <c r="AV46" s="567"/>
      <c r="AW46" s="568"/>
      <c r="AX46" s="566"/>
      <c r="AY46" s="567"/>
      <c r="AZ46" s="568"/>
      <c r="BA46" s="566"/>
      <c r="BB46" s="567"/>
      <c r="BC46" s="568"/>
      <c r="BD46" s="566"/>
      <c r="BE46" s="567"/>
      <c r="BF46" s="567"/>
      <c r="BG46" s="569"/>
      <c r="BH46" s="567"/>
      <c r="BI46" s="567"/>
      <c r="BJ46" s="569"/>
      <c r="BK46" s="567"/>
      <c r="BL46" s="568"/>
      <c r="BM46" s="566"/>
      <c r="BN46" s="567"/>
      <c r="BO46" s="567"/>
      <c r="BP46" s="568"/>
      <c r="BQ46" s="566"/>
      <c r="BR46" s="567"/>
      <c r="BS46" s="568"/>
      <c r="BT46" s="567"/>
      <c r="BU46" s="567"/>
      <c r="BV46" s="567"/>
      <c r="BW46" s="568"/>
      <c r="BX46" s="566"/>
      <c r="BY46" s="567"/>
      <c r="BZ46" s="568"/>
      <c r="CA46" s="567"/>
      <c r="CB46" s="567"/>
      <c r="CC46" s="568"/>
      <c r="CD46" s="567"/>
      <c r="CE46" s="2807"/>
    </row>
    <row r="47" spans="1:83" ht="21" customHeight="1" x14ac:dyDescent="0.4">
      <c r="A47" s="249"/>
      <c r="B47" s="249"/>
      <c r="C47" s="584">
        <v>0.2638888888888889</v>
      </c>
      <c r="D47" s="601"/>
      <c r="E47" s="602"/>
      <c r="F47" s="603"/>
      <c r="G47" s="604"/>
      <c r="H47" s="602"/>
      <c r="I47" s="603"/>
      <c r="J47" s="604"/>
      <c r="K47" s="602"/>
      <c r="L47" s="603"/>
      <c r="M47" s="604"/>
      <c r="N47" s="602"/>
      <c r="O47" s="603"/>
      <c r="P47" s="568"/>
      <c r="Q47" s="566"/>
      <c r="R47" s="568"/>
      <c r="S47" s="566"/>
      <c r="T47" s="567"/>
      <c r="U47" s="568"/>
      <c r="V47" s="566"/>
      <c r="W47" s="567"/>
      <c r="X47" s="568"/>
      <c r="Y47" s="566"/>
      <c r="Z47" s="567"/>
      <c r="AA47" s="568"/>
      <c r="AB47" s="566"/>
      <c r="AC47" s="567"/>
      <c r="AD47" s="567"/>
      <c r="AE47" s="568"/>
      <c r="AF47" s="566"/>
      <c r="AG47" s="567"/>
      <c r="AH47" s="568"/>
      <c r="AI47" s="566"/>
      <c r="AJ47" s="567"/>
      <c r="AK47" s="568"/>
      <c r="AL47" s="566"/>
      <c r="AM47" s="567"/>
      <c r="AN47" s="568"/>
      <c r="AO47" s="566"/>
      <c r="AP47" s="567"/>
      <c r="AQ47" s="568"/>
      <c r="AR47" s="566"/>
      <c r="AS47" s="567"/>
      <c r="AT47" s="568"/>
      <c r="AU47" s="566"/>
      <c r="AV47" s="567"/>
      <c r="AW47" s="568"/>
      <c r="AX47" s="566"/>
      <c r="AY47" s="567"/>
      <c r="AZ47" s="568"/>
      <c r="BA47" s="566"/>
      <c r="BB47" s="567"/>
      <c r="BC47" s="568"/>
      <c r="BD47" s="566"/>
      <c r="BE47" s="567"/>
      <c r="BF47" s="567"/>
      <c r="BG47" s="569"/>
      <c r="BH47" s="567"/>
      <c r="BI47" s="567"/>
      <c r="BJ47" s="569"/>
      <c r="BK47" s="567"/>
      <c r="BL47" s="568"/>
      <c r="BM47" s="566"/>
      <c r="BN47" s="567"/>
      <c r="BO47" s="567"/>
      <c r="BP47" s="568"/>
      <c r="BQ47" s="566"/>
      <c r="BR47" s="567"/>
      <c r="BS47" s="568"/>
      <c r="BT47" s="567"/>
      <c r="BU47" s="567"/>
      <c r="BV47" s="567"/>
      <c r="BW47" s="568"/>
      <c r="BX47" s="566"/>
      <c r="BY47" s="567"/>
      <c r="BZ47" s="568"/>
      <c r="CA47" s="567"/>
      <c r="CB47" s="567"/>
      <c r="CC47" s="568"/>
      <c r="CD47" s="567"/>
      <c r="CE47" s="2807"/>
    </row>
    <row r="48" spans="1:83" ht="21" customHeight="1" x14ac:dyDescent="0.4">
      <c r="A48" s="249"/>
      <c r="B48" s="249"/>
      <c r="C48" s="584" t="s">
        <v>307</v>
      </c>
      <c r="D48" s="605"/>
      <c r="E48" s="606" t="s">
        <v>309</v>
      </c>
      <c r="F48" s="607"/>
      <c r="G48" s="605"/>
      <c r="H48" s="606" t="s">
        <v>309</v>
      </c>
      <c r="I48" s="607"/>
      <c r="J48" s="605"/>
      <c r="K48" s="606" t="s">
        <v>309</v>
      </c>
      <c r="L48" s="607"/>
      <c r="M48" s="605"/>
      <c r="N48" s="606" t="s">
        <v>309</v>
      </c>
      <c r="O48" s="607"/>
      <c r="P48" s="568"/>
      <c r="Q48" s="566"/>
      <c r="R48" s="568"/>
      <c r="S48" s="566"/>
      <c r="T48" s="567"/>
      <c r="U48" s="568"/>
      <c r="V48" s="566"/>
      <c r="W48" s="567"/>
      <c r="X48" s="568"/>
      <c r="Y48" s="566"/>
      <c r="Z48" s="567"/>
      <c r="AA48" s="568"/>
      <c r="AB48" s="566"/>
      <c r="AC48" s="567"/>
      <c r="AD48" s="567"/>
      <c r="AE48" s="568"/>
      <c r="AF48" s="566"/>
      <c r="AG48" s="567"/>
      <c r="AH48" s="568"/>
      <c r="AI48" s="566"/>
      <c r="AJ48" s="567"/>
      <c r="AK48" s="568"/>
      <c r="AL48" s="566"/>
      <c r="AM48" s="567"/>
      <c r="AN48" s="568"/>
      <c r="AO48" s="566"/>
      <c r="AP48" s="567"/>
      <c r="AQ48" s="568"/>
      <c r="AR48" s="566"/>
      <c r="AS48" s="567"/>
      <c r="AT48" s="568"/>
      <c r="AU48" s="566"/>
      <c r="AV48" s="567"/>
      <c r="AW48" s="568"/>
      <c r="AX48" s="566"/>
      <c r="AY48" s="567"/>
      <c r="AZ48" s="568"/>
      <c r="BA48" s="566"/>
      <c r="BB48" s="567"/>
      <c r="BC48" s="568"/>
      <c r="BD48" s="566"/>
      <c r="BE48" s="567"/>
      <c r="BF48" s="567"/>
      <c r="BG48" s="569"/>
      <c r="BH48" s="567"/>
      <c r="BI48" s="567"/>
      <c r="BJ48" s="569"/>
      <c r="BK48" s="567"/>
      <c r="BL48" s="568"/>
      <c r="BM48" s="566"/>
      <c r="BN48" s="567"/>
      <c r="BO48" s="567"/>
      <c r="BP48" s="568"/>
      <c r="BQ48" s="566"/>
      <c r="BR48" s="567"/>
      <c r="BS48" s="568"/>
      <c r="BT48" s="567"/>
      <c r="BU48" s="567"/>
      <c r="BV48" s="567"/>
      <c r="BW48" s="568"/>
      <c r="BX48" s="566"/>
      <c r="BY48" s="567"/>
      <c r="BZ48" s="568"/>
      <c r="CA48" s="567"/>
      <c r="CB48" s="567"/>
      <c r="CC48" s="568"/>
      <c r="CD48" s="567"/>
      <c r="CE48" s="2807"/>
    </row>
    <row r="49" spans="1:83" ht="21" customHeight="1" x14ac:dyDescent="0.4">
      <c r="A49" s="249"/>
      <c r="B49" s="249"/>
      <c r="C49" s="584">
        <v>0.2673611111111111</v>
      </c>
      <c r="D49" s="605"/>
      <c r="E49" s="607"/>
      <c r="F49" s="607"/>
      <c r="G49" s="605"/>
      <c r="H49" s="607"/>
      <c r="I49" s="607"/>
      <c r="J49" s="605"/>
      <c r="K49" s="607"/>
      <c r="L49" s="607"/>
      <c r="M49" s="605"/>
      <c r="N49" s="607"/>
      <c r="O49" s="607"/>
      <c r="P49" s="568"/>
      <c r="Q49" s="566"/>
      <c r="R49" s="568"/>
      <c r="S49" s="566"/>
      <c r="T49" s="567"/>
      <c r="U49" s="568"/>
      <c r="V49" s="566"/>
      <c r="W49" s="567"/>
      <c r="X49" s="568"/>
      <c r="Y49" s="566"/>
      <c r="Z49" s="567"/>
      <c r="AA49" s="568"/>
      <c r="AB49" s="566"/>
      <c r="AC49" s="567"/>
      <c r="AD49" s="567"/>
      <c r="AE49" s="568"/>
      <c r="AF49" s="566"/>
      <c r="AG49" s="567"/>
      <c r="AH49" s="568"/>
      <c r="AI49" s="566"/>
      <c r="AJ49" s="567"/>
      <c r="AK49" s="568"/>
      <c r="AL49" s="566"/>
      <c r="AM49" s="567"/>
      <c r="AN49" s="568"/>
      <c r="AO49" s="566"/>
      <c r="AP49" s="567"/>
      <c r="AQ49" s="568"/>
      <c r="AR49" s="566"/>
      <c r="AS49" s="567"/>
      <c r="AT49" s="568"/>
      <c r="AU49" s="566"/>
      <c r="AV49" s="567"/>
      <c r="AW49" s="568"/>
      <c r="AX49" s="566"/>
      <c r="AY49" s="567"/>
      <c r="AZ49" s="568"/>
      <c r="BA49" s="566"/>
      <c r="BB49" s="567"/>
      <c r="BC49" s="568"/>
      <c r="BD49" s="566"/>
      <c r="BE49" s="567"/>
      <c r="BF49" s="567"/>
      <c r="BG49" s="569"/>
      <c r="BH49" s="567"/>
      <c r="BI49" s="567"/>
      <c r="BJ49" s="569"/>
      <c r="BK49" s="567"/>
      <c r="BL49" s="568"/>
      <c r="BM49" s="566"/>
      <c r="BN49" s="567"/>
      <c r="BO49" s="567"/>
      <c r="BP49" s="568"/>
      <c r="BQ49" s="566"/>
      <c r="BR49" s="567"/>
      <c r="BS49" s="568"/>
      <c r="BT49" s="567"/>
      <c r="BU49" s="567"/>
      <c r="BV49" s="567"/>
      <c r="BW49" s="568"/>
      <c r="BX49" s="566"/>
      <c r="BY49" s="567"/>
      <c r="BZ49" s="568"/>
      <c r="CA49" s="567"/>
      <c r="CB49" s="567"/>
      <c r="CC49" s="568"/>
      <c r="CD49" s="567"/>
      <c r="CE49" s="2807"/>
    </row>
    <row r="50" spans="1:83" ht="21" customHeight="1" x14ac:dyDescent="0.4">
      <c r="A50" s="249"/>
      <c r="B50" s="249"/>
      <c r="C50" s="584" t="s">
        <v>307</v>
      </c>
      <c r="D50" s="608"/>
      <c r="E50" s="609"/>
      <c r="F50" s="610"/>
      <c r="G50" s="611"/>
      <c r="H50" s="612"/>
      <c r="I50" s="613"/>
      <c r="J50" s="582"/>
      <c r="K50" s="586"/>
      <c r="L50" s="582"/>
      <c r="M50" s="2736"/>
      <c r="N50" s="1126"/>
      <c r="O50" s="2737"/>
      <c r="P50" s="568"/>
      <c r="Q50" s="566"/>
      <c r="R50" s="568"/>
      <c r="S50" s="566"/>
      <c r="T50" s="567"/>
      <c r="U50" s="568"/>
      <c r="V50" s="566"/>
      <c r="W50" s="567"/>
      <c r="X50" s="568"/>
      <c r="Y50" s="566"/>
      <c r="Z50" s="567"/>
      <c r="AA50" s="568"/>
      <c r="AB50" s="566"/>
      <c r="AC50" s="567"/>
      <c r="AD50" s="567"/>
      <c r="AE50" s="568"/>
      <c r="AF50" s="566"/>
      <c r="AG50" s="567"/>
      <c r="AH50" s="568"/>
      <c r="AI50" s="566"/>
      <c r="AJ50" s="567"/>
      <c r="AK50" s="568"/>
      <c r="AL50" s="566"/>
      <c r="AM50" s="567"/>
      <c r="AN50" s="568"/>
      <c r="AO50" s="566"/>
      <c r="AP50" s="567"/>
      <c r="AQ50" s="568"/>
      <c r="AR50" s="566"/>
      <c r="AS50" s="567"/>
      <c r="AT50" s="568"/>
      <c r="AU50" s="566"/>
      <c r="AV50" s="567"/>
      <c r="AW50" s="568"/>
      <c r="AX50" s="566"/>
      <c r="AY50" s="567"/>
      <c r="AZ50" s="568"/>
      <c r="BA50" s="566"/>
      <c r="BB50" s="567"/>
      <c r="BC50" s="568"/>
      <c r="BD50" s="566"/>
      <c r="BE50" s="567"/>
      <c r="BF50" s="567"/>
      <c r="BG50" s="569"/>
      <c r="BH50" s="567"/>
      <c r="BI50" s="567"/>
      <c r="BJ50" s="569"/>
      <c r="BK50" s="567"/>
      <c r="BL50" s="568"/>
      <c r="BM50" s="566"/>
      <c r="BN50" s="567"/>
      <c r="BO50" s="567"/>
      <c r="BP50" s="568"/>
      <c r="BQ50" s="566"/>
      <c r="BR50" s="567"/>
      <c r="BS50" s="568"/>
      <c r="BT50" s="567"/>
      <c r="BU50" s="567"/>
      <c r="BV50" s="567"/>
      <c r="BW50" s="568"/>
      <c r="BX50" s="566"/>
      <c r="BY50" s="567"/>
      <c r="BZ50" s="568"/>
      <c r="CA50" s="567"/>
      <c r="CB50" s="567"/>
      <c r="CC50" s="568"/>
      <c r="CD50" s="567"/>
      <c r="CE50" s="2807"/>
    </row>
    <row r="51" spans="1:83" ht="21" customHeight="1" x14ac:dyDescent="0.4">
      <c r="A51" s="249"/>
      <c r="B51" s="249"/>
      <c r="C51" s="584">
        <v>0.27083333333333331</v>
      </c>
      <c r="D51" s="608"/>
      <c r="E51" s="614"/>
      <c r="F51" s="610"/>
      <c r="G51" s="611"/>
      <c r="H51" s="612"/>
      <c r="I51" s="613"/>
      <c r="J51" s="582"/>
      <c r="K51" s="586"/>
      <c r="L51" s="582"/>
      <c r="M51" s="2736"/>
      <c r="N51" s="1126"/>
      <c r="O51" s="2737"/>
      <c r="P51" s="568"/>
      <c r="Q51" s="566"/>
      <c r="R51" s="568"/>
      <c r="S51" s="566"/>
      <c r="T51" s="567"/>
      <c r="U51" s="568"/>
      <c r="V51" s="566"/>
      <c r="W51" s="567"/>
      <c r="X51" s="568"/>
      <c r="Y51" s="566"/>
      <c r="Z51" s="567"/>
      <c r="AA51" s="568"/>
      <c r="AB51" s="566"/>
      <c r="AC51" s="567"/>
      <c r="AD51" s="567"/>
      <c r="AE51" s="568"/>
      <c r="AF51" s="566"/>
      <c r="AG51" s="567"/>
      <c r="AH51" s="568"/>
      <c r="AI51" s="566"/>
      <c r="AJ51" s="567"/>
      <c r="AK51" s="568"/>
      <c r="AL51" s="566"/>
      <c r="AM51" s="567"/>
      <c r="AN51" s="568"/>
      <c r="AO51" s="566"/>
      <c r="AP51" s="567"/>
      <c r="AQ51" s="568"/>
      <c r="AR51" s="566"/>
      <c r="AS51" s="567"/>
      <c r="AT51" s="568"/>
      <c r="AU51" s="566"/>
      <c r="AV51" s="567"/>
      <c r="AW51" s="568"/>
      <c r="AX51" s="566"/>
      <c r="AY51" s="567"/>
      <c r="AZ51" s="568"/>
      <c r="BA51" s="566"/>
      <c r="BB51" s="567"/>
      <c r="BC51" s="568"/>
      <c r="BD51" s="566"/>
      <c r="BE51" s="567"/>
      <c r="BF51" s="567"/>
      <c r="BG51" s="569"/>
      <c r="BH51" s="567"/>
      <c r="BI51" s="567"/>
      <c r="BJ51" s="569"/>
      <c r="BK51" s="567"/>
      <c r="BL51" s="568"/>
      <c r="BM51" s="566"/>
      <c r="BN51" s="567"/>
      <c r="BO51" s="567"/>
      <c r="BP51" s="568"/>
      <c r="BQ51" s="566"/>
      <c r="BR51" s="567"/>
      <c r="BS51" s="568"/>
      <c r="BT51" s="567"/>
      <c r="BU51" s="567"/>
      <c r="BV51" s="567"/>
      <c r="BW51" s="568"/>
      <c r="BX51" s="566"/>
      <c r="BY51" s="567"/>
      <c r="BZ51" s="568"/>
      <c r="CA51" s="567"/>
      <c r="CB51" s="567"/>
      <c r="CC51" s="568"/>
      <c r="CD51" s="567"/>
      <c r="CE51" s="2807"/>
    </row>
    <row r="52" spans="1:83" ht="21" customHeight="1" x14ac:dyDescent="0.4">
      <c r="A52" s="249"/>
      <c r="B52" s="249"/>
      <c r="C52" s="584" t="s">
        <v>307</v>
      </c>
      <c r="D52" s="609"/>
      <c r="E52" s="609"/>
      <c r="F52" s="614"/>
      <c r="G52" s="615"/>
      <c r="H52" s="612"/>
      <c r="I52" s="616"/>
      <c r="J52" s="582"/>
      <c r="K52" s="586"/>
      <c r="L52" s="582"/>
      <c r="M52" s="2738"/>
      <c r="N52" s="1126"/>
      <c r="O52" s="2739"/>
      <c r="P52" s="568"/>
      <c r="Q52" s="566"/>
      <c r="R52" s="568"/>
      <c r="S52" s="566"/>
      <c r="T52" s="567"/>
      <c r="U52" s="568"/>
      <c r="V52" s="566"/>
      <c r="W52" s="567"/>
      <c r="X52" s="568"/>
      <c r="Y52" s="566"/>
      <c r="Z52" s="567"/>
      <c r="AA52" s="568"/>
      <c r="AB52" s="566"/>
      <c r="AC52" s="567"/>
      <c r="AD52" s="567"/>
      <c r="AE52" s="568"/>
      <c r="AF52" s="566"/>
      <c r="AG52" s="567"/>
      <c r="AH52" s="568"/>
      <c r="AI52" s="566"/>
      <c r="AJ52" s="567"/>
      <c r="AK52" s="568"/>
      <c r="AL52" s="566"/>
      <c r="AM52" s="567"/>
      <c r="AN52" s="568"/>
      <c r="AO52" s="566"/>
      <c r="AP52" s="567"/>
      <c r="AQ52" s="568"/>
      <c r="AR52" s="566"/>
      <c r="AS52" s="567"/>
      <c r="AT52" s="568"/>
      <c r="AU52" s="566"/>
      <c r="AV52" s="567"/>
      <c r="AW52" s="568"/>
      <c r="AX52" s="566"/>
      <c r="AY52" s="567"/>
      <c r="AZ52" s="568"/>
      <c r="BA52" s="566"/>
      <c r="BB52" s="567"/>
      <c r="BC52" s="568"/>
      <c r="BD52" s="566"/>
      <c r="BE52" s="567"/>
      <c r="BF52" s="567"/>
      <c r="BG52" s="569"/>
      <c r="BH52" s="567"/>
      <c r="BI52" s="567"/>
      <c r="BJ52" s="569"/>
      <c r="BK52" s="567"/>
      <c r="BL52" s="568"/>
      <c r="BM52" s="566"/>
      <c r="BN52" s="567"/>
      <c r="BO52" s="567"/>
      <c r="BP52" s="568"/>
      <c r="BQ52" s="566"/>
      <c r="BR52" s="567"/>
      <c r="BS52" s="568"/>
      <c r="BT52" s="567"/>
      <c r="BU52" s="567"/>
      <c r="BV52" s="567"/>
      <c r="BW52" s="568"/>
      <c r="BX52" s="566"/>
      <c r="BY52" s="567"/>
      <c r="BZ52" s="568"/>
      <c r="CA52" s="567"/>
      <c r="CB52" s="567"/>
      <c r="CC52" s="568"/>
      <c r="CD52" s="567"/>
      <c r="CE52" s="2807"/>
    </row>
    <row r="53" spans="1:83" ht="21" customHeight="1" x14ac:dyDescent="0.4">
      <c r="A53" s="249"/>
      <c r="B53" s="249"/>
      <c r="C53" s="584">
        <v>0.27430555555555558</v>
      </c>
      <c r="D53" s="617"/>
      <c r="E53" s="609"/>
      <c r="F53" s="609"/>
      <c r="G53" s="618"/>
      <c r="H53" s="612"/>
      <c r="I53" s="619"/>
      <c r="J53" s="582"/>
      <c r="K53" s="586"/>
      <c r="L53" s="582"/>
      <c r="M53" s="2740"/>
      <c r="N53" s="1126"/>
      <c r="O53" s="2741"/>
      <c r="P53" s="568"/>
      <c r="Q53" s="566"/>
      <c r="R53" s="568"/>
      <c r="S53" s="566"/>
      <c r="T53" s="567"/>
      <c r="U53" s="568"/>
      <c r="V53" s="566"/>
      <c r="W53" s="567"/>
      <c r="X53" s="568"/>
      <c r="Y53" s="566"/>
      <c r="Z53" s="567"/>
      <c r="AA53" s="568"/>
      <c r="AB53" s="566"/>
      <c r="AC53" s="567"/>
      <c r="AD53" s="567"/>
      <c r="AE53" s="568"/>
      <c r="AF53" s="566"/>
      <c r="AG53" s="567"/>
      <c r="AH53" s="568"/>
      <c r="AI53" s="566"/>
      <c r="AJ53" s="567"/>
      <c r="AK53" s="568"/>
      <c r="AL53" s="566"/>
      <c r="AM53" s="567"/>
      <c r="AN53" s="568"/>
      <c r="AO53" s="566"/>
      <c r="AP53" s="567"/>
      <c r="AQ53" s="568"/>
      <c r="AR53" s="566"/>
      <c r="AS53" s="567"/>
      <c r="AT53" s="568"/>
      <c r="AU53" s="566"/>
      <c r="AV53" s="567"/>
      <c r="AW53" s="568"/>
      <c r="AX53" s="566"/>
      <c r="AY53" s="567"/>
      <c r="AZ53" s="568"/>
      <c r="BA53" s="566"/>
      <c r="BB53" s="567"/>
      <c r="BC53" s="568"/>
      <c r="BD53" s="566"/>
      <c r="BE53" s="567"/>
      <c r="BF53" s="567"/>
      <c r="BG53" s="569"/>
      <c r="BH53" s="567"/>
      <c r="BI53" s="567"/>
      <c r="BJ53" s="569"/>
      <c r="BK53" s="567"/>
      <c r="BL53" s="568"/>
      <c r="BM53" s="566"/>
      <c r="BN53" s="567"/>
      <c r="BO53" s="567"/>
      <c r="BP53" s="568"/>
      <c r="BQ53" s="566"/>
      <c r="BR53" s="567"/>
      <c r="BS53" s="568"/>
      <c r="BT53" s="567"/>
      <c r="BU53" s="567"/>
      <c r="BV53" s="567"/>
      <c r="BW53" s="568"/>
      <c r="BX53" s="566"/>
      <c r="BY53" s="567"/>
      <c r="BZ53" s="568"/>
      <c r="CA53" s="567"/>
      <c r="CB53" s="567"/>
      <c r="CC53" s="568"/>
      <c r="CD53" s="567"/>
      <c r="CE53" s="2807"/>
    </row>
    <row r="54" spans="1:83" ht="21" customHeight="1" x14ac:dyDescent="0.4">
      <c r="A54" s="249"/>
      <c r="B54" s="249"/>
      <c r="C54" s="584" t="s">
        <v>307</v>
      </c>
      <c r="D54" s="617"/>
      <c r="E54" s="609"/>
      <c r="F54" s="609"/>
      <c r="G54" s="618"/>
      <c r="H54" s="612"/>
      <c r="I54" s="619"/>
      <c r="J54" s="582"/>
      <c r="K54" s="586"/>
      <c r="L54" s="582"/>
      <c r="M54" s="2740"/>
      <c r="N54" s="1126"/>
      <c r="O54" s="2741"/>
      <c r="P54" s="568"/>
      <c r="Q54" s="566"/>
      <c r="R54" s="568"/>
      <c r="S54" s="566"/>
      <c r="T54" s="567"/>
      <c r="U54" s="568"/>
      <c r="V54" s="566"/>
      <c r="W54" s="567"/>
      <c r="X54" s="568"/>
      <c r="Y54" s="566"/>
      <c r="Z54" s="567"/>
      <c r="AA54" s="568"/>
      <c r="AB54" s="566"/>
      <c r="AC54" s="567"/>
      <c r="AD54" s="567"/>
      <c r="AE54" s="568"/>
      <c r="AF54" s="566"/>
      <c r="AG54" s="567"/>
      <c r="AH54" s="568"/>
      <c r="AI54" s="566"/>
      <c r="AJ54" s="567"/>
      <c r="AK54" s="568"/>
      <c r="AL54" s="566"/>
      <c r="AM54" s="567"/>
      <c r="AN54" s="568"/>
      <c r="AO54" s="566"/>
      <c r="AP54" s="567"/>
      <c r="AQ54" s="568"/>
      <c r="AR54" s="566"/>
      <c r="AS54" s="567"/>
      <c r="AT54" s="568"/>
      <c r="AU54" s="566"/>
      <c r="AV54" s="567"/>
      <c r="AW54" s="568"/>
      <c r="AX54" s="566"/>
      <c r="AY54" s="567"/>
      <c r="AZ54" s="568"/>
      <c r="BA54" s="566"/>
      <c r="BB54" s="567"/>
      <c r="BC54" s="568"/>
      <c r="BD54" s="566"/>
      <c r="BE54" s="567"/>
      <c r="BF54" s="567"/>
      <c r="BG54" s="569"/>
      <c r="BH54" s="567"/>
      <c r="BI54" s="567"/>
      <c r="BJ54" s="569"/>
      <c r="BK54" s="567"/>
      <c r="BL54" s="568"/>
      <c r="BM54" s="566"/>
      <c r="BN54" s="567"/>
      <c r="BO54" s="567"/>
      <c r="BP54" s="568"/>
      <c r="BQ54" s="566"/>
      <c r="BR54" s="567"/>
      <c r="BS54" s="568"/>
      <c r="BT54" s="567"/>
      <c r="BU54" s="567"/>
      <c r="BV54" s="567"/>
      <c r="BW54" s="568"/>
      <c r="BX54" s="566"/>
      <c r="BY54" s="567"/>
      <c r="BZ54" s="568"/>
      <c r="CA54" s="567"/>
      <c r="CB54" s="567"/>
      <c r="CC54" s="568"/>
      <c r="CD54" s="567"/>
      <c r="CE54" s="2807"/>
    </row>
    <row r="55" spans="1:83" ht="21" customHeight="1" x14ac:dyDescent="0.4">
      <c r="A55" s="249"/>
      <c r="B55" s="249"/>
      <c r="C55" s="584">
        <v>0.27777777777777779</v>
      </c>
      <c r="D55" s="608"/>
      <c r="E55" s="609"/>
      <c r="F55" s="610"/>
      <c r="G55" s="611"/>
      <c r="H55" s="612"/>
      <c r="I55" s="613"/>
      <c r="J55" s="582"/>
      <c r="K55" s="586"/>
      <c r="L55" s="582"/>
      <c r="M55" s="2736"/>
      <c r="N55" s="1126"/>
      <c r="O55" s="2737"/>
      <c r="P55" s="568"/>
      <c r="Q55" s="566"/>
      <c r="R55" s="568"/>
      <c r="S55" s="566"/>
      <c r="T55" s="567"/>
      <c r="U55" s="568"/>
      <c r="V55" s="566"/>
      <c r="W55" s="567"/>
      <c r="X55" s="568"/>
      <c r="Y55" s="566"/>
      <c r="Z55" s="567"/>
      <c r="AA55" s="568"/>
      <c r="AB55" s="566"/>
      <c r="AC55" s="567"/>
      <c r="AD55" s="567"/>
      <c r="AE55" s="568"/>
      <c r="AF55" s="566"/>
      <c r="AG55" s="567"/>
      <c r="AH55" s="568"/>
      <c r="AI55" s="566"/>
      <c r="AJ55" s="567"/>
      <c r="AK55" s="568"/>
      <c r="AL55" s="566"/>
      <c r="AM55" s="567"/>
      <c r="AN55" s="568"/>
      <c r="AO55" s="566"/>
      <c r="AP55" s="567"/>
      <c r="AQ55" s="568"/>
      <c r="AR55" s="566"/>
      <c r="AS55" s="567"/>
      <c r="AT55" s="568"/>
      <c r="AU55" s="566"/>
      <c r="AV55" s="567"/>
      <c r="AW55" s="568"/>
      <c r="AX55" s="566"/>
      <c r="AY55" s="567"/>
      <c r="AZ55" s="568"/>
      <c r="BA55" s="566"/>
      <c r="BB55" s="567"/>
      <c r="BC55" s="568"/>
      <c r="BD55" s="566"/>
      <c r="BE55" s="567"/>
      <c r="BF55" s="567"/>
      <c r="BG55" s="569"/>
      <c r="BH55" s="567"/>
      <c r="BI55" s="567"/>
      <c r="BJ55" s="569"/>
      <c r="BK55" s="567"/>
      <c r="BL55" s="568"/>
      <c r="BM55" s="566"/>
      <c r="BN55" s="567"/>
      <c r="BO55" s="567"/>
      <c r="BP55" s="568"/>
      <c r="BQ55" s="566"/>
      <c r="BR55" s="567"/>
      <c r="BS55" s="568"/>
      <c r="BT55" s="567"/>
      <c r="BU55" s="567"/>
      <c r="BV55" s="567"/>
      <c r="BW55" s="568"/>
      <c r="BX55" s="566"/>
      <c r="BY55" s="567"/>
      <c r="BZ55" s="568"/>
      <c r="CA55" s="567"/>
      <c r="CB55" s="567"/>
      <c r="CC55" s="568"/>
      <c r="CD55" s="567"/>
      <c r="CE55" s="2807"/>
    </row>
    <row r="56" spans="1:83" ht="21" customHeight="1" x14ac:dyDescent="0.4">
      <c r="A56" s="249"/>
      <c r="B56" s="249"/>
      <c r="C56" s="584" t="s">
        <v>307</v>
      </c>
      <c r="D56" s="608"/>
      <c r="E56" s="609"/>
      <c r="F56" s="610"/>
      <c r="G56" s="611"/>
      <c r="H56" s="612"/>
      <c r="I56" s="613"/>
      <c r="J56" s="582"/>
      <c r="K56" s="586"/>
      <c r="L56" s="582"/>
      <c r="M56" s="2736"/>
      <c r="N56" s="1126"/>
      <c r="O56" s="2737"/>
      <c r="P56" s="568"/>
      <c r="Q56" s="566"/>
      <c r="R56" s="568"/>
      <c r="S56" s="566"/>
      <c r="T56" s="567"/>
      <c r="U56" s="568"/>
      <c r="V56" s="566"/>
      <c r="W56" s="567"/>
      <c r="X56" s="568"/>
      <c r="Y56" s="566"/>
      <c r="Z56" s="567"/>
      <c r="AA56" s="568"/>
      <c r="AB56" s="566"/>
      <c r="AC56" s="567"/>
      <c r="AD56" s="567"/>
      <c r="AE56" s="568"/>
      <c r="AF56" s="566"/>
      <c r="AG56" s="567"/>
      <c r="AH56" s="568"/>
      <c r="AI56" s="566"/>
      <c r="AJ56" s="567"/>
      <c r="AK56" s="568"/>
      <c r="AL56" s="566"/>
      <c r="AM56" s="567"/>
      <c r="AN56" s="568"/>
      <c r="AO56" s="566"/>
      <c r="AP56" s="567"/>
      <c r="AQ56" s="568"/>
      <c r="AR56" s="566"/>
      <c r="AS56" s="567"/>
      <c r="AT56" s="568"/>
      <c r="AU56" s="566"/>
      <c r="AV56" s="567"/>
      <c r="AW56" s="568"/>
      <c r="AX56" s="566"/>
      <c r="AY56" s="567"/>
      <c r="AZ56" s="568"/>
      <c r="BA56" s="566"/>
      <c r="BB56" s="567"/>
      <c r="BC56" s="568"/>
      <c r="BD56" s="566"/>
      <c r="BE56" s="567"/>
      <c r="BF56" s="567"/>
      <c r="BG56" s="569"/>
      <c r="BH56" s="567"/>
      <c r="BI56" s="567"/>
      <c r="BJ56" s="569"/>
      <c r="BK56" s="567"/>
      <c r="BL56" s="568"/>
      <c r="BM56" s="566"/>
      <c r="BN56" s="567"/>
      <c r="BO56" s="567"/>
      <c r="BP56" s="568"/>
      <c r="BQ56" s="566"/>
      <c r="BR56" s="567"/>
      <c r="BS56" s="568"/>
      <c r="BT56" s="567"/>
      <c r="BU56" s="567"/>
      <c r="BV56" s="567"/>
      <c r="BW56" s="568"/>
      <c r="BX56" s="566"/>
      <c r="BY56" s="567"/>
      <c r="BZ56" s="568"/>
      <c r="CA56" s="567"/>
      <c r="CB56" s="567"/>
      <c r="CC56" s="568"/>
      <c r="CD56" s="567"/>
      <c r="CE56" s="2807"/>
    </row>
    <row r="57" spans="1:83" ht="21" customHeight="1" x14ac:dyDescent="0.4">
      <c r="A57" s="249"/>
      <c r="B57" s="249"/>
      <c r="C57" s="584">
        <v>0.28125</v>
      </c>
      <c r="D57" s="608"/>
      <c r="E57" s="614"/>
      <c r="F57" s="610"/>
      <c r="G57" s="611"/>
      <c r="H57" s="612"/>
      <c r="I57" s="613"/>
      <c r="J57" s="582"/>
      <c r="K57" s="586"/>
      <c r="L57" s="582"/>
      <c r="M57" s="2736"/>
      <c r="N57" s="1126"/>
      <c r="O57" s="2737"/>
      <c r="P57" s="568"/>
      <c r="Q57" s="566"/>
      <c r="R57" s="568"/>
      <c r="S57" s="566"/>
      <c r="T57" s="567"/>
      <c r="U57" s="568"/>
      <c r="V57" s="566"/>
      <c r="W57" s="567"/>
      <c r="X57" s="568"/>
      <c r="Y57" s="566"/>
      <c r="Z57" s="567"/>
      <c r="AA57" s="568"/>
      <c r="AB57" s="566"/>
      <c r="AC57" s="567"/>
      <c r="AD57" s="567"/>
      <c r="AE57" s="568"/>
      <c r="AF57" s="566"/>
      <c r="AG57" s="567"/>
      <c r="AH57" s="568"/>
      <c r="AI57" s="566"/>
      <c r="AJ57" s="567"/>
      <c r="AK57" s="568"/>
      <c r="AL57" s="566"/>
      <c r="AM57" s="567"/>
      <c r="AN57" s="568"/>
      <c r="AO57" s="566"/>
      <c r="AP57" s="567"/>
      <c r="AQ57" s="568"/>
      <c r="AR57" s="566"/>
      <c r="AS57" s="567"/>
      <c r="AT57" s="568"/>
      <c r="AU57" s="566"/>
      <c r="AV57" s="567"/>
      <c r="AW57" s="568"/>
      <c r="AX57" s="566"/>
      <c r="AY57" s="567"/>
      <c r="AZ57" s="568"/>
      <c r="BA57" s="566"/>
      <c r="BB57" s="567"/>
      <c r="BC57" s="568"/>
      <c r="BD57" s="566"/>
      <c r="BE57" s="567"/>
      <c r="BF57" s="567"/>
      <c r="BG57" s="569"/>
      <c r="BH57" s="567"/>
      <c r="BI57" s="567"/>
      <c r="BJ57" s="569"/>
      <c r="BK57" s="567"/>
      <c r="BL57" s="568"/>
      <c r="BM57" s="566"/>
      <c r="BN57" s="567"/>
      <c r="BO57" s="567"/>
      <c r="BP57" s="568"/>
      <c r="BQ57" s="566"/>
      <c r="BR57" s="567"/>
      <c r="BS57" s="568"/>
      <c r="BT57" s="567"/>
      <c r="BU57" s="567"/>
      <c r="BV57" s="567"/>
      <c r="BW57" s="568"/>
      <c r="BX57" s="566"/>
      <c r="BY57" s="567"/>
      <c r="BZ57" s="568"/>
      <c r="CA57" s="567"/>
      <c r="CB57" s="567"/>
      <c r="CC57" s="568"/>
      <c r="CD57" s="567"/>
      <c r="CE57" s="2807"/>
    </row>
    <row r="58" spans="1:83" ht="21" customHeight="1" x14ac:dyDescent="0.4">
      <c r="A58" s="249"/>
      <c r="B58" s="249"/>
      <c r="C58" s="584" t="s">
        <v>307</v>
      </c>
      <c r="D58" s="617"/>
      <c r="E58" s="609"/>
      <c r="F58" s="609"/>
      <c r="G58" s="618"/>
      <c r="H58" s="612"/>
      <c r="I58" s="619"/>
      <c r="J58" s="582"/>
      <c r="K58" s="586"/>
      <c r="L58" s="582"/>
      <c r="M58" s="2740"/>
      <c r="N58" s="1126"/>
      <c r="O58" s="2741"/>
      <c r="P58" s="568"/>
      <c r="Q58" s="566"/>
      <c r="R58" s="568"/>
      <c r="S58" s="566"/>
      <c r="T58" s="567"/>
      <c r="U58" s="568"/>
      <c r="V58" s="566"/>
      <c r="W58" s="567"/>
      <c r="X58" s="568"/>
      <c r="Y58" s="566"/>
      <c r="Z58" s="567"/>
      <c r="AA58" s="568"/>
      <c r="AB58" s="566"/>
      <c r="AC58" s="567"/>
      <c r="AD58" s="567"/>
      <c r="AE58" s="568"/>
      <c r="AF58" s="566"/>
      <c r="AG58" s="567"/>
      <c r="AH58" s="568"/>
      <c r="AI58" s="566"/>
      <c r="AJ58" s="567"/>
      <c r="AK58" s="568"/>
      <c r="AL58" s="566"/>
      <c r="AM58" s="567"/>
      <c r="AN58" s="568"/>
      <c r="AO58" s="566"/>
      <c r="AP58" s="567"/>
      <c r="AQ58" s="568"/>
      <c r="AR58" s="566"/>
      <c r="AS58" s="567"/>
      <c r="AT58" s="568"/>
      <c r="AU58" s="566"/>
      <c r="AV58" s="567"/>
      <c r="AW58" s="568"/>
      <c r="AX58" s="566"/>
      <c r="AY58" s="567"/>
      <c r="AZ58" s="568"/>
      <c r="BA58" s="566"/>
      <c r="BB58" s="567"/>
      <c r="BC58" s="568"/>
      <c r="BD58" s="566"/>
      <c r="BE58" s="567"/>
      <c r="BF58" s="567"/>
      <c r="BG58" s="569"/>
      <c r="BH58" s="567"/>
      <c r="BI58" s="567"/>
      <c r="BJ58" s="569"/>
      <c r="BK58" s="567"/>
      <c r="BL58" s="568"/>
      <c r="BM58" s="566"/>
      <c r="BN58" s="567"/>
      <c r="BO58" s="567"/>
      <c r="BP58" s="568"/>
      <c r="BQ58" s="566"/>
      <c r="BR58" s="567"/>
      <c r="BS58" s="568"/>
      <c r="BT58" s="567"/>
      <c r="BU58" s="567"/>
      <c r="BV58" s="567"/>
      <c r="BW58" s="568"/>
      <c r="BX58" s="566"/>
      <c r="BY58" s="567"/>
      <c r="BZ58" s="568"/>
      <c r="CA58" s="567"/>
      <c r="CB58" s="567"/>
      <c r="CC58" s="568"/>
      <c r="CD58" s="567"/>
      <c r="CE58" s="2807"/>
    </row>
    <row r="59" spans="1:83" ht="21" customHeight="1" x14ac:dyDescent="0.4">
      <c r="A59" s="249"/>
      <c r="B59" s="249"/>
      <c r="C59" s="584">
        <v>0.28472222222222221</v>
      </c>
      <c r="D59" s="617"/>
      <c r="E59" s="609"/>
      <c r="F59" s="609"/>
      <c r="G59" s="618"/>
      <c r="H59" s="612"/>
      <c r="I59" s="619"/>
      <c r="J59" s="582"/>
      <c r="K59" s="586"/>
      <c r="L59" s="582"/>
      <c r="M59" s="2740"/>
      <c r="N59" s="1126"/>
      <c r="O59" s="2741"/>
      <c r="P59" s="568"/>
      <c r="Q59" s="566"/>
      <c r="R59" s="568"/>
      <c r="S59" s="566"/>
      <c r="T59" s="567"/>
      <c r="U59" s="568"/>
      <c r="V59" s="566"/>
      <c r="W59" s="567"/>
      <c r="X59" s="568"/>
      <c r="Y59" s="566"/>
      <c r="Z59" s="567"/>
      <c r="AA59" s="568"/>
      <c r="AB59" s="566"/>
      <c r="AC59" s="567"/>
      <c r="AD59" s="567"/>
      <c r="AE59" s="568"/>
      <c r="AF59" s="566"/>
      <c r="AG59" s="567"/>
      <c r="AH59" s="568"/>
      <c r="AI59" s="566"/>
      <c r="AJ59" s="567"/>
      <c r="AK59" s="568"/>
      <c r="AL59" s="566"/>
      <c r="AM59" s="567"/>
      <c r="AN59" s="568"/>
      <c r="AO59" s="566"/>
      <c r="AP59" s="567"/>
      <c r="AQ59" s="568"/>
      <c r="AR59" s="566"/>
      <c r="AS59" s="567"/>
      <c r="AT59" s="568"/>
      <c r="AU59" s="566"/>
      <c r="AV59" s="567"/>
      <c r="AW59" s="568"/>
      <c r="AX59" s="566"/>
      <c r="AY59" s="567"/>
      <c r="AZ59" s="568"/>
      <c r="BA59" s="566"/>
      <c r="BB59" s="567"/>
      <c r="BC59" s="568"/>
      <c r="BD59" s="566"/>
      <c r="BE59" s="567"/>
      <c r="BF59" s="567"/>
      <c r="BG59" s="569"/>
      <c r="BH59" s="567"/>
      <c r="BI59" s="567"/>
      <c r="BJ59" s="569"/>
      <c r="BK59" s="567"/>
      <c r="BL59" s="568"/>
      <c r="BM59" s="566"/>
      <c r="BN59" s="567"/>
      <c r="BO59" s="567"/>
      <c r="BP59" s="568"/>
      <c r="BQ59" s="566"/>
      <c r="BR59" s="567"/>
      <c r="BS59" s="568"/>
      <c r="BT59" s="567"/>
      <c r="BU59" s="567"/>
      <c r="BV59" s="567"/>
      <c r="BW59" s="568"/>
      <c r="BX59" s="566"/>
      <c r="BY59" s="567"/>
      <c r="BZ59" s="568"/>
      <c r="CA59" s="567"/>
      <c r="CB59" s="567"/>
      <c r="CC59" s="568"/>
      <c r="CD59" s="567"/>
      <c r="CE59" s="2807"/>
    </row>
    <row r="60" spans="1:83" ht="21" customHeight="1" x14ac:dyDescent="0.4">
      <c r="A60" s="249"/>
      <c r="B60" s="249"/>
      <c r="C60" s="584" t="s">
        <v>307</v>
      </c>
      <c r="D60" s="608"/>
      <c r="E60" s="609"/>
      <c r="F60" s="610"/>
      <c r="G60" s="611"/>
      <c r="H60" s="612"/>
      <c r="I60" s="613"/>
      <c r="J60" s="582"/>
      <c r="K60" s="586"/>
      <c r="L60" s="582"/>
      <c r="M60" s="2736"/>
      <c r="N60" s="1126"/>
      <c r="O60" s="2737"/>
      <c r="P60" s="568"/>
      <c r="Q60" s="566"/>
      <c r="R60" s="568"/>
      <c r="S60" s="566"/>
      <c r="T60" s="567"/>
      <c r="U60" s="568"/>
      <c r="V60" s="566"/>
      <c r="W60" s="567"/>
      <c r="X60" s="568"/>
      <c r="Y60" s="566"/>
      <c r="Z60" s="567"/>
      <c r="AA60" s="568"/>
      <c r="AB60" s="566"/>
      <c r="AC60" s="567"/>
      <c r="AD60" s="567"/>
      <c r="AE60" s="568"/>
      <c r="AF60" s="566"/>
      <c r="AG60" s="567"/>
      <c r="AH60" s="568"/>
      <c r="AI60" s="566"/>
      <c r="AJ60" s="567"/>
      <c r="AK60" s="568"/>
      <c r="AL60" s="566"/>
      <c r="AM60" s="567"/>
      <c r="AN60" s="568"/>
      <c r="AO60" s="566"/>
      <c r="AP60" s="567"/>
      <c r="AQ60" s="568"/>
      <c r="AR60" s="566"/>
      <c r="AS60" s="567"/>
      <c r="AT60" s="568"/>
      <c r="AU60" s="566"/>
      <c r="AV60" s="567"/>
      <c r="AW60" s="568"/>
      <c r="AX60" s="566"/>
      <c r="AY60" s="567"/>
      <c r="AZ60" s="568"/>
      <c r="BA60" s="566"/>
      <c r="BB60" s="567"/>
      <c r="BC60" s="568"/>
      <c r="BD60" s="566"/>
      <c r="BE60" s="567"/>
      <c r="BF60" s="567"/>
      <c r="BG60" s="569"/>
      <c r="BH60" s="567"/>
      <c r="BI60" s="567"/>
      <c r="BJ60" s="569"/>
      <c r="BK60" s="567"/>
      <c r="BL60" s="568"/>
      <c r="BM60" s="566"/>
      <c r="BN60" s="567"/>
      <c r="BO60" s="567"/>
      <c r="BP60" s="568"/>
      <c r="BQ60" s="566"/>
      <c r="BR60" s="567"/>
      <c r="BS60" s="568"/>
      <c r="BT60" s="567"/>
      <c r="BU60" s="567"/>
      <c r="BV60" s="567"/>
      <c r="BW60" s="568"/>
      <c r="BX60" s="566"/>
      <c r="BY60" s="567"/>
      <c r="BZ60" s="568"/>
      <c r="CA60" s="567"/>
      <c r="CB60" s="567"/>
      <c r="CC60" s="568"/>
      <c r="CD60" s="567"/>
      <c r="CE60" s="2807"/>
    </row>
    <row r="61" spans="1:83" ht="21" customHeight="1" x14ac:dyDescent="0.4">
      <c r="A61" s="249"/>
      <c r="B61" s="249"/>
      <c r="C61" s="584">
        <v>0.28819444444444442</v>
      </c>
      <c r="D61" s="617"/>
      <c r="E61" s="609"/>
      <c r="F61" s="609"/>
      <c r="G61" s="618"/>
      <c r="H61" s="612"/>
      <c r="I61" s="620"/>
      <c r="J61" s="582"/>
      <c r="K61" s="586"/>
      <c r="L61" s="582"/>
      <c r="M61" s="2740"/>
      <c r="N61" s="1126"/>
      <c r="O61" s="2742"/>
      <c r="P61" s="568"/>
      <c r="Q61" s="566"/>
      <c r="R61" s="568"/>
      <c r="S61" s="566"/>
      <c r="T61" s="567"/>
      <c r="U61" s="568"/>
      <c r="V61" s="566"/>
      <c r="W61" s="567"/>
      <c r="X61" s="568"/>
      <c r="Y61" s="566"/>
      <c r="Z61" s="567"/>
      <c r="AA61" s="568"/>
      <c r="AB61" s="566"/>
      <c r="AC61" s="567"/>
      <c r="AD61" s="567"/>
      <c r="AE61" s="568"/>
      <c r="AF61" s="566"/>
      <c r="AG61" s="567"/>
      <c r="AH61" s="568"/>
      <c r="AI61" s="566"/>
      <c r="AJ61" s="567"/>
      <c r="AK61" s="568"/>
      <c r="AL61" s="566"/>
      <c r="AM61" s="567"/>
      <c r="AN61" s="568"/>
      <c r="AO61" s="566"/>
      <c r="AP61" s="567"/>
      <c r="AQ61" s="568"/>
      <c r="AR61" s="566"/>
      <c r="AS61" s="567"/>
      <c r="AT61" s="568"/>
      <c r="AU61" s="566"/>
      <c r="AV61" s="567"/>
      <c r="AW61" s="568"/>
      <c r="AX61" s="566"/>
      <c r="AY61" s="567"/>
      <c r="AZ61" s="568"/>
      <c r="BA61" s="566"/>
      <c r="BB61" s="567"/>
      <c r="BC61" s="568"/>
      <c r="BD61" s="566"/>
      <c r="BE61" s="567"/>
      <c r="BF61" s="567"/>
      <c r="BG61" s="569"/>
      <c r="BH61" s="567"/>
      <c r="BI61" s="567"/>
      <c r="BJ61" s="569"/>
      <c r="BK61" s="567"/>
      <c r="BL61" s="568"/>
      <c r="BM61" s="566"/>
      <c r="BN61" s="567"/>
      <c r="BO61" s="567"/>
      <c r="BP61" s="568"/>
      <c r="BQ61" s="566"/>
      <c r="BR61" s="567"/>
      <c r="BS61" s="568"/>
      <c r="BT61" s="567"/>
      <c r="BU61" s="567"/>
      <c r="BV61" s="567"/>
      <c r="BW61" s="568"/>
      <c r="BX61" s="566"/>
      <c r="BY61" s="567"/>
      <c r="BZ61" s="568"/>
      <c r="CA61" s="567"/>
      <c r="CB61" s="567"/>
      <c r="CC61" s="568"/>
      <c r="CD61" s="567"/>
      <c r="CE61" s="2807"/>
    </row>
    <row r="62" spans="1:83" ht="21" customHeight="1" x14ac:dyDescent="0.4">
      <c r="A62" s="249"/>
      <c r="B62" s="249"/>
      <c r="C62" s="621" t="s">
        <v>307</v>
      </c>
      <c r="D62" s="617"/>
      <c r="E62" s="609"/>
      <c r="F62" s="609"/>
      <c r="G62" s="618"/>
      <c r="H62" s="612"/>
      <c r="I62" s="616"/>
      <c r="J62" s="582"/>
      <c r="K62" s="586"/>
      <c r="L62" s="582"/>
      <c r="M62" s="2740"/>
      <c r="N62" s="1126"/>
      <c r="O62" s="2739"/>
      <c r="P62" s="568"/>
      <c r="Q62" s="566"/>
      <c r="R62" s="568"/>
      <c r="S62" s="566"/>
      <c r="T62" s="567"/>
      <c r="U62" s="568"/>
      <c r="V62" s="566"/>
      <c r="W62" s="567"/>
      <c r="X62" s="568"/>
      <c r="Y62" s="566"/>
      <c r="Z62" s="567"/>
      <c r="AA62" s="568"/>
      <c r="AB62" s="566"/>
      <c r="AC62" s="567"/>
      <c r="AD62" s="567"/>
      <c r="AE62" s="568"/>
      <c r="AF62" s="566"/>
      <c r="AG62" s="567"/>
      <c r="AH62" s="568"/>
      <c r="AI62" s="566"/>
      <c r="AJ62" s="567"/>
      <c r="AK62" s="568"/>
      <c r="AL62" s="566"/>
      <c r="AM62" s="567"/>
      <c r="AN62" s="568"/>
      <c r="AO62" s="566"/>
      <c r="AP62" s="567"/>
      <c r="AQ62" s="568"/>
      <c r="AR62" s="566"/>
      <c r="AS62" s="567"/>
      <c r="AT62" s="568"/>
      <c r="AU62" s="566"/>
      <c r="AV62" s="567"/>
      <c r="AW62" s="568"/>
      <c r="AX62" s="566"/>
      <c r="AY62" s="567"/>
      <c r="AZ62" s="568"/>
      <c r="BA62" s="566"/>
      <c r="BB62" s="567"/>
      <c r="BC62" s="568"/>
      <c r="BD62" s="566"/>
      <c r="BE62" s="567"/>
      <c r="BF62" s="567"/>
      <c r="BG62" s="569"/>
      <c r="BH62" s="567"/>
      <c r="BI62" s="567"/>
      <c r="BJ62" s="569"/>
      <c r="BK62" s="567"/>
      <c r="BL62" s="568"/>
      <c r="BM62" s="566"/>
      <c r="BN62" s="567"/>
      <c r="BO62" s="567"/>
      <c r="BP62" s="568"/>
      <c r="BQ62" s="566"/>
      <c r="BR62" s="567"/>
      <c r="BS62" s="568"/>
      <c r="BT62" s="567"/>
      <c r="BU62" s="567"/>
      <c r="BV62" s="567"/>
      <c r="BW62" s="568"/>
      <c r="BX62" s="566"/>
      <c r="BY62" s="567"/>
      <c r="BZ62" s="568"/>
      <c r="CA62" s="567"/>
      <c r="CB62" s="567"/>
      <c r="CC62" s="568"/>
      <c r="CD62" s="567"/>
      <c r="CE62" s="2807"/>
    </row>
    <row r="63" spans="1:83" ht="21" customHeight="1" x14ac:dyDescent="0.4">
      <c r="A63" s="249"/>
      <c r="B63" s="249"/>
      <c r="C63" s="622">
        <v>0.29166666666666669</v>
      </c>
      <c r="D63" s="623"/>
      <c r="E63" s="624" t="s">
        <v>271</v>
      </c>
      <c r="F63" s="625"/>
      <c r="G63" s="626"/>
      <c r="H63" s="627" t="s">
        <v>271</v>
      </c>
      <c r="I63" s="628"/>
      <c r="J63" s="629"/>
      <c r="K63" s="630"/>
      <c r="L63" s="629"/>
      <c r="M63" s="2743"/>
      <c r="N63" s="2744" t="s">
        <v>271</v>
      </c>
      <c r="O63" s="2745"/>
      <c r="P63" s="568"/>
      <c r="Q63" s="566"/>
      <c r="R63" s="568"/>
      <c r="S63" s="566"/>
      <c r="T63" s="567"/>
      <c r="U63" s="568"/>
      <c r="V63" s="566"/>
      <c r="W63" s="567"/>
      <c r="X63" s="568"/>
      <c r="Y63" s="566"/>
      <c r="Z63" s="567"/>
      <c r="AA63" s="568"/>
      <c r="AB63" s="566"/>
      <c r="AC63" s="567"/>
      <c r="AD63" s="567"/>
      <c r="AE63" s="568"/>
      <c r="AF63" s="566"/>
      <c r="AG63" s="567"/>
      <c r="AH63" s="568"/>
      <c r="AI63" s="566"/>
      <c r="AJ63" s="567"/>
      <c r="AK63" s="568"/>
      <c r="AL63" s="566"/>
      <c r="AM63" s="567"/>
      <c r="AN63" s="568"/>
      <c r="AO63" s="566"/>
      <c r="AP63" s="567"/>
      <c r="AQ63" s="568"/>
      <c r="AR63" s="566"/>
      <c r="AS63" s="567"/>
      <c r="AT63" s="568"/>
      <c r="AU63" s="566"/>
      <c r="AV63" s="567"/>
      <c r="AW63" s="568"/>
      <c r="AX63" s="566"/>
      <c r="AY63" s="567"/>
      <c r="AZ63" s="568"/>
      <c r="BA63" s="566"/>
      <c r="BB63" s="567"/>
      <c r="BC63" s="568"/>
      <c r="BD63" s="566"/>
      <c r="BE63" s="567"/>
      <c r="BF63" s="567"/>
      <c r="BG63" s="569"/>
      <c r="BH63" s="567"/>
      <c r="BI63" s="567"/>
      <c r="BJ63" s="569"/>
      <c r="BK63" s="567"/>
      <c r="BL63" s="568"/>
      <c r="BM63" s="566"/>
      <c r="BN63" s="567"/>
      <c r="BO63" s="567"/>
      <c r="BP63" s="568"/>
      <c r="BQ63" s="566"/>
      <c r="BR63" s="567"/>
      <c r="BS63" s="568"/>
      <c r="BT63" s="567"/>
      <c r="BU63" s="567"/>
      <c r="BV63" s="567"/>
      <c r="BW63" s="568"/>
      <c r="BX63" s="566"/>
      <c r="BY63" s="567"/>
      <c r="BZ63" s="568"/>
      <c r="CA63" s="567"/>
      <c r="CB63" s="567"/>
      <c r="CC63" s="568"/>
      <c r="CD63" s="567"/>
      <c r="CE63" s="2807"/>
    </row>
    <row r="64" spans="1:83" ht="21" customHeight="1" x14ac:dyDescent="0.4">
      <c r="A64" s="249"/>
      <c r="B64" s="249"/>
      <c r="C64" s="584" t="s">
        <v>307</v>
      </c>
      <c r="D64" s="631"/>
      <c r="E64" s="614" t="s">
        <v>310</v>
      </c>
      <c r="F64" s="632"/>
      <c r="G64" s="633"/>
      <c r="H64" s="612" t="s">
        <v>310</v>
      </c>
      <c r="I64" s="634"/>
      <c r="J64" s="582"/>
      <c r="K64" s="635"/>
      <c r="L64" s="582"/>
      <c r="M64" s="2746"/>
      <c r="N64" s="1126" t="s">
        <v>310</v>
      </c>
      <c r="O64" s="2747"/>
      <c r="P64" s="568"/>
      <c r="Q64" s="566"/>
      <c r="R64" s="568"/>
      <c r="S64" s="566"/>
      <c r="T64" s="567"/>
      <c r="U64" s="568"/>
      <c r="V64" s="566"/>
      <c r="W64" s="567"/>
      <c r="X64" s="568"/>
      <c r="Y64" s="566"/>
      <c r="Z64" s="567"/>
      <c r="AA64" s="568"/>
      <c r="AB64" s="566"/>
      <c r="AC64" s="567"/>
      <c r="AD64" s="567"/>
      <c r="AE64" s="568"/>
      <c r="AF64" s="566"/>
      <c r="AG64" s="567"/>
      <c r="AH64" s="568"/>
      <c r="AI64" s="566"/>
      <c r="AJ64" s="567"/>
      <c r="AK64" s="568"/>
      <c r="AL64" s="566"/>
      <c r="AM64" s="567"/>
      <c r="AN64" s="568"/>
      <c r="AO64" s="566"/>
      <c r="AP64" s="567"/>
      <c r="AQ64" s="568"/>
      <c r="AR64" s="566"/>
      <c r="AS64" s="567"/>
      <c r="AT64" s="568"/>
      <c r="AU64" s="566"/>
      <c r="AV64" s="567"/>
      <c r="AW64" s="568"/>
      <c r="AX64" s="566"/>
      <c r="AY64" s="567"/>
      <c r="AZ64" s="568"/>
      <c r="BA64" s="566"/>
      <c r="BB64" s="567"/>
      <c r="BC64" s="568"/>
      <c r="BD64" s="566"/>
      <c r="BE64" s="567"/>
      <c r="BF64" s="567"/>
      <c r="BG64" s="569"/>
      <c r="BH64" s="567"/>
      <c r="BI64" s="567"/>
      <c r="BJ64" s="569"/>
      <c r="BK64" s="567"/>
      <c r="BL64" s="568"/>
      <c r="BM64" s="566"/>
      <c r="BN64" s="567"/>
      <c r="BO64" s="567"/>
      <c r="BP64" s="568"/>
      <c r="BQ64" s="566"/>
      <c r="BR64" s="567"/>
      <c r="BS64" s="568"/>
      <c r="BT64" s="567"/>
      <c r="BU64" s="567"/>
      <c r="BV64" s="567"/>
      <c r="BW64" s="568"/>
      <c r="BX64" s="566"/>
      <c r="BY64" s="567"/>
      <c r="BZ64" s="568"/>
      <c r="CA64" s="567"/>
      <c r="CB64" s="567"/>
      <c r="CC64" s="568"/>
      <c r="CD64" s="567"/>
      <c r="CE64" s="2807"/>
    </row>
    <row r="65" spans="1:83" ht="21" customHeight="1" x14ac:dyDescent="0.4">
      <c r="A65" s="249"/>
      <c r="B65" s="249"/>
      <c r="C65" s="584">
        <v>0.2951388888888889</v>
      </c>
      <c r="D65" s="631"/>
      <c r="E65" s="535"/>
      <c r="F65" s="632"/>
      <c r="G65" s="633"/>
      <c r="H65" s="537"/>
      <c r="I65" s="634"/>
      <c r="J65" s="582"/>
      <c r="K65" s="586"/>
      <c r="L65" s="582"/>
      <c r="M65" s="2746"/>
      <c r="N65" s="2726"/>
      <c r="O65" s="2747"/>
      <c r="P65" s="568"/>
      <c r="Q65" s="566"/>
      <c r="R65" s="568"/>
      <c r="S65" s="566"/>
      <c r="T65" s="567"/>
      <c r="U65" s="568"/>
      <c r="V65" s="566"/>
      <c r="W65" s="567"/>
      <c r="X65" s="568"/>
      <c r="Y65" s="566"/>
      <c r="Z65" s="567"/>
      <c r="AA65" s="568"/>
      <c r="AB65" s="566"/>
      <c r="AC65" s="567"/>
      <c r="AD65" s="567"/>
      <c r="AE65" s="568"/>
      <c r="AF65" s="566"/>
      <c r="AG65" s="567"/>
      <c r="AH65" s="568"/>
      <c r="AI65" s="566"/>
      <c r="AJ65" s="567"/>
      <c r="AK65" s="568"/>
      <c r="AL65" s="566"/>
      <c r="AM65" s="567"/>
      <c r="AN65" s="568"/>
      <c r="AO65" s="566"/>
      <c r="AP65" s="567"/>
      <c r="AQ65" s="568"/>
      <c r="AR65" s="566"/>
      <c r="AS65" s="567"/>
      <c r="AT65" s="568"/>
      <c r="AU65" s="566"/>
      <c r="AV65" s="567"/>
      <c r="AW65" s="568"/>
      <c r="AX65" s="566"/>
      <c r="AY65" s="567"/>
      <c r="AZ65" s="568"/>
      <c r="BA65" s="566"/>
      <c r="BB65" s="567"/>
      <c r="BC65" s="568"/>
      <c r="BD65" s="566"/>
      <c r="BE65" s="567"/>
      <c r="BF65" s="567"/>
      <c r="BG65" s="569"/>
      <c r="BH65" s="567"/>
      <c r="BI65" s="567"/>
      <c r="BJ65" s="569"/>
      <c r="BK65" s="567"/>
      <c r="BL65" s="568"/>
      <c r="BM65" s="566"/>
      <c r="BN65" s="567"/>
      <c r="BO65" s="567"/>
      <c r="BP65" s="568"/>
      <c r="BQ65" s="566"/>
      <c r="BR65" s="567"/>
      <c r="BS65" s="568"/>
      <c r="BT65" s="567"/>
      <c r="BU65" s="567"/>
      <c r="BV65" s="567"/>
      <c r="BW65" s="568"/>
      <c r="BX65" s="566"/>
      <c r="BY65" s="567"/>
      <c r="BZ65" s="568"/>
      <c r="CA65" s="567"/>
      <c r="CB65" s="567"/>
      <c r="CC65" s="568"/>
      <c r="CD65" s="567"/>
      <c r="CE65" s="2807"/>
    </row>
    <row r="66" spans="1:83" ht="21" customHeight="1" x14ac:dyDescent="0.4">
      <c r="A66" s="249"/>
      <c r="B66" s="249"/>
      <c r="C66" s="584" t="s">
        <v>307</v>
      </c>
      <c r="D66" s="631"/>
      <c r="E66" s="535"/>
      <c r="F66" s="632"/>
      <c r="G66" s="633"/>
      <c r="H66" s="537"/>
      <c r="I66" s="634"/>
      <c r="J66" s="582"/>
      <c r="K66" s="586"/>
      <c r="L66" s="582"/>
      <c r="M66" s="2746"/>
      <c r="N66" s="2726"/>
      <c r="O66" s="2747"/>
      <c r="P66" s="568"/>
      <c r="Q66" s="566"/>
      <c r="R66" s="568"/>
      <c r="S66" s="566"/>
      <c r="T66" s="567"/>
      <c r="U66" s="568"/>
      <c r="V66" s="566"/>
      <c r="W66" s="567"/>
      <c r="X66" s="568"/>
      <c r="Y66" s="566"/>
      <c r="Z66" s="567"/>
      <c r="AA66" s="568"/>
      <c r="AB66" s="566"/>
      <c r="AC66" s="567"/>
      <c r="AD66" s="567"/>
      <c r="AE66" s="568"/>
      <c r="AF66" s="566"/>
      <c r="AG66" s="567"/>
      <c r="AH66" s="568"/>
      <c r="AI66" s="566"/>
      <c r="AJ66" s="567"/>
      <c r="AK66" s="568"/>
      <c r="AL66" s="566"/>
      <c r="AM66" s="567"/>
      <c r="AN66" s="568"/>
      <c r="AO66" s="566"/>
      <c r="AP66" s="567"/>
      <c r="AQ66" s="568"/>
      <c r="AR66" s="566"/>
      <c r="AS66" s="567"/>
      <c r="AT66" s="568"/>
      <c r="AU66" s="566"/>
      <c r="AV66" s="567"/>
      <c r="AW66" s="568"/>
      <c r="AX66" s="566"/>
      <c r="AY66" s="567"/>
      <c r="AZ66" s="568"/>
      <c r="BA66" s="566"/>
      <c r="BB66" s="567"/>
      <c r="BC66" s="568"/>
      <c r="BD66" s="566"/>
      <c r="BE66" s="567"/>
      <c r="BF66" s="567"/>
      <c r="BG66" s="569"/>
      <c r="BH66" s="567"/>
      <c r="BI66" s="567"/>
      <c r="BJ66" s="569"/>
      <c r="BK66" s="567"/>
      <c r="BL66" s="568"/>
      <c r="BM66" s="566"/>
      <c r="BN66" s="567"/>
      <c r="BO66" s="567"/>
      <c r="BP66" s="568"/>
      <c r="BQ66" s="566"/>
      <c r="BR66" s="567"/>
      <c r="BS66" s="568"/>
      <c r="BT66" s="567"/>
      <c r="BU66" s="567"/>
      <c r="BV66" s="567"/>
      <c r="BW66" s="568"/>
      <c r="BX66" s="566"/>
      <c r="BY66" s="567"/>
      <c r="BZ66" s="568"/>
      <c r="CA66" s="567"/>
      <c r="CB66" s="567"/>
      <c r="CC66" s="568"/>
      <c r="CD66" s="567"/>
      <c r="CE66" s="2807"/>
    </row>
    <row r="67" spans="1:83" ht="21" customHeight="1" x14ac:dyDescent="0.4">
      <c r="A67" s="249"/>
      <c r="B67" s="249"/>
      <c r="C67" s="584">
        <v>0.2986111111111111</v>
      </c>
      <c r="D67" s="631"/>
      <c r="E67" s="535"/>
      <c r="F67" s="632"/>
      <c r="G67" s="633"/>
      <c r="H67" s="537"/>
      <c r="I67" s="634"/>
      <c r="J67" s="582"/>
      <c r="K67" s="586"/>
      <c r="L67" s="582"/>
      <c r="M67" s="2746"/>
      <c r="N67" s="2726"/>
      <c r="O67" s="2747"/>
      <c r="P67" s="568"/>
      <c r="Q67" s="566"/>
      <c r="R67" s="568"/>
      <c r="S67" s="566"/>
      <c r="T67" s="567"/>
      <c r="U67" s="568"/>
      <c r="V67" s="566"/>
      <c r="W67" s="567"/>
      <c r="X67" s="568"/>
      <c r="Y67" s="566"/>
      <c r="Z67" s="567"/>
      <c r="AA67" s="568"/>
      <c r="AB67" s="566"/>
      <c r="AC67" s="567"/>
      <c r="AD67" s="567"/>
      <c r="AE67" s="568"/>
      <c r="AF67" s="566"/>
      <c r="AG67" s="567"/>
      <c r="AH67" s="568"/>
      <c r="AI67" s="566"/>
      <c r="AJ67" s="567"/>
      <c r="AK67" s="568"/>
      <c r="AL67" s="566"/>
      <c r="AM67" s="567"/>
      <c r="AN67" s="568"/>
      <c r="AO67" s="566"/>
      <c r="AP67" s="567"/>
      <c r="AQ67" s="568"/>
      <c r="AR67" s="566"/>
      <c r="AS67" s="567"/>
      <c r="AT67" s="568"/>
      <c r="AU67" s="566"/>
      <c r="AV67" s="567"/>
      <c r="AW67" s="568"/>
      <c r="AX67" s="566"/>
      <c r="AY67" s="567"/>
      <c r="AZ67" s="568"/>
      <c r="BA67" s="566"/>
      <c r="BB67" s="567"/>
      <c r="BC67" s="568"/>
      <c r="BD67" s="566"/>
      <c r="BE67" s="567"/>
      <c r="BF67" s="567"/>
      <c r="BG67" s="569"/>
      <c r="BH67" s="567"/>
      <c r="BI67" s="567"/>
      <c r="BJ67" s="569"/>
      <c r="BK67" s="567"/>
      <c r="BL67" s="568"/>
      <c r="BM67" s="566"/>
      <c r="BN67" s="567"/>
      <c r="BO67" s="567"/>
      <c r="BP67" s="568"/>
      <c r="BQ67" s="566"/>
      <c r="BR67" s="567"/>
      <c r="BS67" s="568"/>
      <c r="BT67" s="567"/>
      <c r="BU67" s="567"/>
      <c r="BV67" s="567"/>
      <c r="BW67" s="568"/>
      <c r="BX67" s="566"/>
      <c r="BY67" s="567"/>
      <c r="BZ67" s="568"/>
      <c r="CA67" s="567"/>
      <c r="CB67" s="567"/>
      <c r="CC67" s="568"/>
      <c r="CD67" s="567"/>
      <c r="CE67" s="2807"/>
    </row>
    <row r="68" spans="1:83" ht="21" customHeight="1" x14ac:dyDescent="0.4">
      <c r="A68" s="249"/>
      <c r="B68" s="249"/>
      <c r="C68" s="584" t="s">
        <v>307</v>
      </c>
      <c r="D68" s="631"/>
      <c r="E68" s="535"/>
      <c r="F68" s="632"/>
      <c r="G68" s="633"/>
      <c r="H68" s="537"/>
      <c r="I68" s="634"/>
      <c r="J68" s="582"/>
      <c r="K68" s="586"/>
      <c r="L68" s="582"/>
      <c r="M68" s="2746"/>
      <c r="N68" s="2726"/>
      <c r="O68" s="2747"/>
      <c r="P68" s="568"/>
      <c r="Q68" s="566"/>
      <c r="R68" s="568"/>
      <c r="S68" s="566"/>
      <c r="T68" s="567"/>
      <c r="U68" s="568"/>
      <c r="V68" s="566"/>
      <c r="W68" s="567"/>
      <c r="X68" s="568"/>
      <c r="Y68" s="566"/>
      <c r="Z68" s="567"/>
      <c r="AA68" s="568"/>
      <c r="AB68" s="566"/>
      <c r="AC68" s="567"/>
      <c r="AD68" s="567"/>
      <c r="AE68" s="568"/>
      <c r="AF68" s="566"/>
      <c r="AG68" s="567"/>
      <c r="AH68" s="568"/>
      <c r="AI68" s="566"/>
      <c r="AJ68" s="567"/>
      <c r="AK68" s="568"/>
      <c r="AL68" s="566"/>
      <c r="AM68" s="567"/>
      <c r="AN68" s="568"/>
      <c r="AO68" s="566"/>
      <c r="AP68" s="567"/>
      <c r="AQ68" s="568"/>
      <c r="AR68" s="566"/>
      <c r="AS68" s="567"/>
      <c r="AT68" s="568"/>
      <c r="AU68" s="566"/>
      <c r="AV68" s="567"/>
      <c r="AW68" s="568"/>
      <c r="AX68" s="566"/>
      <c r="AY68" s="567"/>
      <c r="AZ68" s="568"/>
      <c r="BA68" s="566"/>
      <c r="BB68" s="567"/>
      <c r="BC68" s="568"/>
      <c r="BD68" s="566"/>
      <c r="BE68" s="567"/>
      <c r="BF68" s="567"/>
      <c r="BG68" s="569"/>
      <c r="BH68" s="567"/>
      <c r="BI68" s="567"/>
      <c r="BJ68" s="569"/>
      <c r="BK68" s="567"/>
      <c r="BL68" s="568"/>
      <c r="BM68" s="566"/>
      <c r="BN68" s="567"/>
      <c r="BO68" s="567"/>
      <c r="BP68" s="568"/>
      <c r="BQ68" s="566"/>
      <c r="BR68" s="567"/>
      <c r="BS68" s="568"/>
      <c r="BT68" s="567"/>
      <c r="BU68" s="567"/>
      <c r="BV68" s="567"/>
      <c r="BW68" s="568"/>
      <c r="BX68" s="566"/>
      <c r="BY68" s="567"/>
      <c r="BZ68" s="568"/>
      <c r="CA68" s="567"/>
      <c r="CB68" s="567"/>
      <c r="CC68" s="568"/>
      <c r="CD68" s="567"/>
      <c r="CE68" s="2807"/>
    </row>
    <row r="69" spans="1:83" ht="21" customHeight="1" x14ac:dyDescent="0.4">
      <c r="A69" s="249"/>
      <c r="B69" s="249"/>
      <c r="C69" s="584">
        <v>0.30208333333333331</v>
      </c>
      <c r="D69" s="631"/>
      <c r="E69" s="614"/>
      <c r="F69" s="632"/>
      <c r="G69" s="633"/>
      <c r="H69" s="612"/>
      <c r="I69" s="634"/>
      <c r="J69" s="582"/>
      <c r="K69" s="586"/>
      <c r="L69" s="582"/>
      <c r="M69" s="2746"/>
      <c r="N69" s="1126"/>
      <c r="O69" s="2747"/>
      <c r="P69" s="568"/>
      <c r="Q69" s="566"/>
      <c r="R69" s="568"/>
      <c r="S69" s="566"/>
      <c r="T69" s="567"/>
      <c r="U69" s="568"/>
      <c r="V69" s="566"/>
      <c r="W69" s="567"/>
      <c r="X69" s="568"/>
      <c r="Y69" s="566"/>
      <c r="Z69" s="567"/>
      <c r="AA69" s="568"/>
      <c r="AB69" s="566"/>
      <c r="AC69" s="567"/>
      <c r="AD69" s="567"/>
      <c r="AE69" s="568"/>
      <c r="AF69" s="566"/>
      <c r="AG69" s="567"/>
      <c r="AH69" s="568"/>
      <c r="AI69" s="566"/>
      <c r="AJ69" s="567"/>
      <c r="AK69" s="568"/>
      <c r="AL69" s="566"/>
      <c r="AM69" s="567"/>
      <c r="AN69" s="568"/>
      <c r="AO69" s="566"/>
      <c r="AP69" s="567"/>
      <c r="AQ69" s="568"/>
      <c r="AR69" s="566"/>
      <c r="AS69" s="567"/>
      <c r="AT69" s="568"/>
      <c r="AU69" s="566"/>
      <c r="AV69" s="567"/>
      <c r="AW69" s="568"/>
      <c r="AX69" s="566"/>
      <c r="AY69" s="567"/>
      <c r="AZ69" s="568"/>
      <c r="BA69" s="566"/>
      <c r="BB69" s="567"/>
      <c r="BC69" s="568"/>
      <c r="BD69" s="566"/>
      <c r="BE69" s="567"/>
      <c r="BF69" s="567"/>
      <c r="BG69" s="569"/>
      <c r="BH69" s="567"/>
      <c r="BI69" s="567"/>
      <c r="BJ69" s="569"/>
      <c r="BK69" s="567"/>
      <c r="BL69" s="568"/>
      <c r="BM69" s="566"/>
      <c r="BN69" s="567"/>
      <c r="BO69" s="567"/>
      <c r="BP69" s="568"/>
      <c r="BQ69" s="566"/>
      <c r="BR69" s="567"/>
      <c r="BS69" s="568"/>
      <c r="BT69" s="567"/>
      <c r="BU69" s="567"/>
      <c r="BV69" s="567"/>
      <c r="BW69" s="568"/>
      <c r="BX69" s="566"/>
      <c r="BY69" s="567"/>
      <c r="BZ69" s="568"/>
      <c r="CA69" s="567"/>
      <c r="CB69" s="567"/>
      <c r="CC69" s="568"/>
      <c r="CD69" s="567"/>
      <c r="CE69" s="2807"/>
    </row>
    <row r="70" spans="1:83" ht="21" customHeight="1" x14ac:dyDescent="0.4">
      <c r="A70" s="249"/>
      <c r="B70" s="249"/>
      <c r="C70" s="584" t="s">
        <v>307</v>
      </c>
      <c r="D70" s="631"/>
      <c r="E70" s="535"/>
      <c r="F70" s="632"/>
      <c r="G70" s="633"/>
      <c r="H70" s="537"/>
      <c r="I70" s="634"/>
      <c r="J70" s="582"/>
      <c r="K70" s="586"/>
      <c r="L70" s="582"/>
      <c r="M70" s="2746"/>
      <c r="N70" s="2726"/>
      <c r="O70" s="2747"/>
      <c r="P70" s="568"/>
      <c r="Q70" s="566"/>
      <c r="R70" s="568"/>
      <c r="S70" s="566"/>
      <c r="T70" s="567"/>
      <c r="U70" s="568"/>
      <c r="V70" s="566"/>
      <c r="W70" s="567"/>
      <c r="X70" s="568"/>
      <c r="Y70" s="566"/>
      <c r="Z70" s="567"/>
      <c r="AA70" s="568"/>
      <c r="AB70" s="566"/>
      <c r="AC70" s="567"/>
      <c r="AD70" s="567"/>
      <c r="AE70" s="568"/>
      <c r="AF70" s="566"/>
      <c r="AG70" s="567"/>
      <c r="AH70" s="568"/>
      <c r="AI70" s="566"/>
      <c r="AJ70" s="567"/>
      <c r="AK70" s="568"/>
      <c r="AL70" s="566"/>
      <c r="AM70" s="567"/>
      <c r="AN70" s="568"/>
      <c r="AO70" s="566"/>
      <c r="AP70" s="567"/>
      <c r="AQ70" s="568"/>
      <c r="AR70" s="566"/>
      <c r="AS70" s="567"/>
      <c r="AT70" s="568"/>
      <c r="AU70" s="566"/>
      <c r="AV70" s="567"/>
      <c r="AW70" s="568"/>
      <c r="AX70" s="566"/>
      <c r="AY70" s="567"/>
      <c r="AZ70" s="568"/>
      <c r="BA70" s="566"/>
      <c r="BB70" s="567"/>
      <c r="BC70" s="568"/>
      <c r="BD70" s="566"/>
      <c r="BE70" s="567"/>
      <c r="BF70" s="567"/>
      <c r="BG70" s="569"/>
      <c r="BH70" s="567"/>
      <c r="BI70" s="567"/>
      <c r="BJ70" s="569"/>
      <c r="BK70" s="567"/>
      <c r="BL70" s="568"/>
      <c r="BM70" s="566"/>
      <c r="BN70" s="567"/>
      <c r="BO70" s="567"/>
      <c r="BP70" s="568"/>
      <c r="BQ70" s="566"/>
      <c r="BR70" s="567"/>
      <c r="BS70" s="568"/>
      <c r="BT70" s="567"/>
      <c r="BU70" s="567"/>
      <c r="BV70" s="567"/>
      <c r="BW70" s="568"/>
      <c r="BX70" s="566"/>
      <c r="BY70" s="567"/>
      <c r="BZ70" s="568"/>
      <c r="CA70" s="567"/>
      <c r="CB70" s="567"/>
      <c r="CC70" s="568"/>
      <c r="CD70" s="567"/>
      <c r="CE70" s="2807"/>
    </row>
    <row r="71" spans="1:83" ht="21" customHeight="1" x14ac:dyDescent="0.4">
      <c r="A71" s="249"/>
      <c r="B71" s="249"/>
      <c r="C71" s="584">
        <v>0.30555555555555558</v>
      </c>
      <c r="D71" s="631"/>
      <c r="E71" s="535"/>
      <c r="F71" s="632"/>
      <c r="G71" s="633"/>
      <c r="H71" s="537"/>
      <c r="I71" s="634"/>
      <c r="J71" s="582"/>
      <c r="K71" s="586"/>
      <c r="L71" s="582"/>
      <c r="M71" s="2746"/>
      <c r="N71" s="2726"/>
      <c r="O71" s="2747"/>
      <c r="P71" s="568"/>
      <c r="Q71" s="566"/>
      <c r="R71" s="568"/>
      <c r="S71" s="566"/>
      <c r="T71" s="567"/>
      <c r="U71" s="568"/>
      <c r="V71" s="566"/>
      <c r="W71" s="567"/>
      <c r="X71" s="568"/>
      <c r="Y71" s="566"/>
      <c r="Z71" s="567"/>
      <c r="AA71" s="568"/>
      <c r="AB71" s="566"/>
      <c r="AC71" s="567"/>
      <c r="AD71" s="567"/>
      <c r="AE71" s="568"/>
      <c r="AF71" s="566"/>
      <c r="AG71" s="567"/>
      <c r="AH71" s="568"/>
      <c r="AI71" s="566"/>
      <c r="AJ71" s="567"/>
      <c r="AK71" s="568"/>
      <c r="AL71" s="566"/>
      <c r="AM71" s="567"/>
      <c r="AN71" s="568"/>
      <c r="AO71" s="566"/>
      <c r="AP71" s="567"/>
      <c r="AQ71" s="568"/>
      <c r="AR71" s="566"/>
      <c r="AS71" s="567"/>
      <c r="AT71" s="568"/>
      <c r="AU71" s="566"/>
      <c r="AV71" s="567"/>
      <c r="AW71" s="568"/>
      <c r="AX71" s="566"/>
      <c r="AY71" s="567"/>
      <c r="AZ71" s="568"/>
      <c r="BA71" s="566"/>
      <c r="BB71" s="567"/>
      <c r="BC71" s="568"/>
      <c r="BD71" s="566"/>
      <c r="BE71" s="567"/>
      <c r="BF71" s="567"/>
      <c r="BG71" s="569"/>
      <c r="BH71" s="567"/>
      <c r="BI71" s="567"/>
      <c r="BJ71" s="569"/>
      <c r="BK71" s="567"/>
      <c r="BL71" s="568"/>
      <c r="BM71" s="566"/>
      <c r="BN71" s="567"/>
      <c r="BO71" s="567"/>
      <c r="BP71" s="568"/>
      <c r="BQ71" s="566"/>
      <c r="BR71" s="567"/>
      <c r="BS71" s="568"/>
      <c r="BT71" s="567"/>
      <c r="BU71" s="567"/>
      <c r="BV71" s="567"/>
      <c r="BW71" s="568"/>
      <c r="BX71" s="566"/>
      <c r="BY71" s="567"/>
      <c r="BZ71" s="568"/>
      <c r="CA71" s="567"/>
      <c r="CB71" s="567"/>
      <c r="CC71" s="568"/>
      <c r="CD71" s="567"/>
      <c r="CE71" s="2807"/>
    </row>
    <row r="72" spans="1:83" ht="21" customHeight="1" x14ac:dyDescent="0.4">
      <c r="A72" s="249"/>
      <c r="B72" s="249"/>
      <c r="C72" s="584" t="s">
        <v>307</v>
      </c>
      <c r="D72" s="631"/>
      <c r="E72" s="535"/>
      <c r="F72" s="632"/>
      <c r="G72" s="633"/>
      <c r="H72" s="537"/>
      <c r="I72" s="634"/>
      <c r="J72" s="582"/>
      <c r="K72" s="586"/>
      <c r="L72" s="582"/>
      <c r="M72" s="2746"/>
      <c r="N72" s="2726"/>
      <c r="O72" s="2747"/>
      <c r="P72" s="568"/>
      <c r="Q72" s="566"/>
      <c r="R72" s="568"/>
      <c r="S72" s="566"/>
      <c r="T72" s="567"/>
      <c r="U72" s="568"/>
      <c r="V72" s="566"/>
      <c r="W72" s="567"/>
      <c r="X72" s="568"/>
      <c r="Y72" s="566"/>
      <c r="Z72" s="567"/>
      <c r="AA72" s="568"/>
      <c r="AB72" s="566"/>
      <c r="AC72" s="567"/>
      <c r="AD72" s="567"/>
      <c r="AE72" s="568"/>
      <c r="AF72" s="566"/>
      <c r="AG72" s="567"/>
      <c r="AH72" s="568"/>
      <c r="AI72" s="566"/>
      <c r="AJ72" s="567"/>
      <c r="AK72" s="568"/>
      <c r="AL72" s="566"/>
      <c r="AM72" s="567"/>
      <c r="AN72" s="568"/>
      <c r="AO72" s="566"/>
      <c r="AP72" s="567"/>
      <c r="AQ72" s="568"/>
      <c r="AR72" s="566"/>
      <c r="AS72" s="567"/>
      <c r="AT72" s="568"/>
      <c r="AU72" s="566"/>
      <c r="AV72" s="567"/>
      <c r="AW72" s="568"/>
      <c r="AX72" s="566"/>
      <c r="AY72" s="567"/>
      <c r="AZ72" s="568"/>
      <c r="BA72" s="566"/>
      <c r="BB72" s="567"/>
      <c r="BC72" s="568"/>
      <c r="BD72" s="566"/>
      <c r="BE72" s="567"/>
      <c r="BF72" s="567"/>
      <c r="BG72" s="569"/>
      <c r="BH72" s="567"/>
      <c r="BI72" s="567"/>
      <c r="BJ72" s="569"/>
      <c r="BK72" s="567"/>
      <c r="BL72" s="568"/>
      <c r="BM72" s="566"/>
      <c r="BN72" s="567"/>
      <c r="BO72" s="567"/>
      <c r="BP72" s="568"/>
      <c r="BQ72" s="566"/>
      <c r="BR72" s="567"/>
      <c r="BS72" s="568"/>
      <c r="BT72" s="567"/>
      <c r="BU72" s="567"/>
      <c r="BV72" s="567"/>
      <c r="BW72" s="568"/>
      <c r="BX72" s="566"/>
      <c r="BY72" s="567"/>
      <c r="BZ72" s="568"/>
      <c r="CA72" s="567"/>
      <c r="CB72" s="567"/>
      <c r="CC72" s="568"/>
      <c r="CD72" s="567"/>
      <c r="CE72" s="2807"/>
    </row>
    <row r="73" spans="1:83" ht="21" customHeight="1" x14ac:dyDescent="0.4">
      <c r="A73" s="249"/>
      <c r="B73" s="249"/>
      <c r="C73" s="584">
        <v>0.30902777777777779</v>
      </c>
      <c r="D73" s="631"/>
      <c r="E73" s="535"/>
      <c r="F73" s="632"/>
      <c r="G73" s="633"/>
      <c r="H73" s="537"/>
      <c r="I73" s="634"/>
      <c r="J73" s="582"/>
      <c r="K73" s="586"/>
      <c r="L73" s="582"/>
      <c r="M73" s="2746"/>
      <c r="N73" s="2726"/>
      <c r="O73" s="2747"/>
      <c r="P73" s="568"/>
      <c r="Q73" s="566"/>
      <c r="R73" s="568"/>
      <c r="S73" s="566"/>
      <c r="T73" s="567"/>
      <c r="U73" s="568"/>
      <c r="V73" s="566"/>
      <c r="W73" s="567"/>
      <c r="X73" s="568"/>
      <c r="Y73" s="566"/>
      <c r="Z73" s="567"/>
      <c r="AA73" s="568"/>
      <c r="AB73" s="566"/>
      <c r="AC73" s="567"/>
      <c r="AD73" s="567"/>
      <c r="AE73" s="568"/>
      <c r="AF73" s="566"/>
      <c r="AG73" s="567"/>
      <c r="AH73" s="568"/>
      <c r="AI73" s="566"/>
      <c r="AJ73" s="567"/>
      <c r="AK73" s="568"/>
      <c r="AL73" s="566"/>
      <c r="AM73" s="567"/>
      <c r="AN73" s="568"/>
      <c r="AO73" s="566"/>
      <c r="AP73" s="567"/>
      <c r="AQ73" s="568"/>
      <c r="AR73" s="566"/>
      <c r="AS73" s="567"/>
      <c r="AT73" s="568"/>
      <c r="AU73" s="566"/>
      <c r="AV73" s="567"/>
      <c r="AW73" s="568"/>
      <c r="AX73" s="566"/>
      <c r="AY73" s="567"/>
      <c r="AZ73" s="568"/>
      <c r="BA73" s="566"/>
      <c r="BB73" s="567"/>
      <c r="BC73" s="568"/>
      <c r="BD73" s="566"/>
      <c r="BE73" s="567"/>
      <c r="BF73" s="567"/>
      <c r="BG73" s="569"/>
      <c r="BH73" s="567"/>
      <c r="BI73" s="567"/>
      <c r="BJ73" s="569"/>
      <c r="BK73" s="567"/>
      <c r="BL73" s="568"/>
      <c r="BM73" s="566"/>
      <c r="BN73" s="567"/>
      <c r="BO73" s="567"/>
      <c r="BP73" s="568"/>
      <c r="BQ73" s="566"/>
      <c r="BR73" s="567"/>
      <c r="BS73" s="568"/>
      <c r="BT73" s="567"/>
      <c r="BU73" s="567"/>
      <c r="BV73" s="567"/>
      <c r="BW73" s="568"/>
      <c r="BX73" s="566"/>
      <c r="BY73" s="567"/>
      <c r="BZ73" s="568"/>
      <c r="CA73" s="567"/>
      <c r="CB73" s="567"/>
      <c r="CC73" s="568"/>
      <c r="CD73" s="567"/>
      <c r="CE73" s="2807"/>
    </row>
    <row r="74" spans="1:83" ht="21" customHeight="1" x14ac:dyDescent="0.4">
      <c r="A74" s="249"/>
      <c r="B74" s="249"/>
      <c r="C74" s="584" t="s">
        <v>307</v>
      </c>
      <c r="D74" s="631"/>
      <c r="E74" s="535"/>
      <c r="F74" s="632"/>
      <c r="G74" s="633"/>
      <c r="H74" s="537"/>
      <c r="I74" s="634"/>
      <c r="J74" s="582"/>
      <c r="K74" s="586"/>
      <c r="L74" s="582"/>
      <c r="M74" s="2746"/>
      <c r="N74" s="2726"/>
      <c r="O74" s="2747"/>
      <c r="P74" s="568"/>
      <c r="Q74" s="566"/>
      <c r="R74" s="568"/>
      <c r="S74" s="566"/>
      <c r="T74" s="567"/>
      <c r="U74" s="568"/>
      <c r="V74" s="566"/>
      <c r="W74" s="567"/>
      <c r="X74" s="568"/>
      <c r="Y74" s="566"/>
      <c r="Z74" s="567"/>
      <c r="AA74" s="568"/>
      <c r="AB74" s="566"/>
      <c r="AC74" s="567"/>
      <c r="AD74" s="567"/>
      <c r="AE74" s="568"/>
      <c r="AF74" s="566"/>
      <c r="AG74" s="567"/>
      <c r="AH74" s="568"/>
      <c r="AI74" s="566"/>
      <c r="AJ74" s="567"/>
      <c r="AK74" s="568"/>
      <c r="AL74" s="566"/>
      <c r="AM74" s="567"/>
      <c r="AN74" s="568"/>
      <c r="AO74" s="566"/>
      <c r="AP74" s="567"/>
      <c r="AQ74" s="568"/>
      <c r="AR74" s="566"/>
      <c r="AS74" s="567"/>
      <c r="AT74" s="568"/>
      <c r="AU74" s="566"/>
      <c r="AV74" s="567"/>
      <c r="AW74" s="568"/>
      <c r="AX74" s="566"/>
      <c r="AY74" s="567"/>
      <c r="AZ74" s="568"/>
      <c r="BA74" s="566"/>
      <c r="BB74" s="567"/>
      <c r="BC74" s="568"/>
      <c r="BD74" s="566"/>
      <c r="BE74" s="567"/>
      <c r="BF74" s="567"/>
      <c r="BG74" s="569"/>
      <c r="BH74" s="567"/>
      <c r="BI74" s="567"/>
      <c r="BJ74" s="569"/>
      <c r="BK74" s="567"/>
      <c r="BL74" s="568"/>
      <c r="BM74" s="566"/>
      <c r="BN74" s="567"/>
      <c r="BO74" s="567"/>
      <c r="BP74" s="568"/>
      <c r="BQ74" s="566"/>
      <c r="BR74" s="567"/>
      <c r="BS74" s="568"/>
      <c r="BT74" s="567"/>
      <c r="BU74" s="567"/>
      <c r="BV74" s="567"/>
      <c r="BW74" s="568"/>
      <c r="BX74" s="566"/>
      <c r="BY74" s="567"/>
      <c r="BZ74" s="568"/>
      <c r="CA74" s="567"/>
      <c r="CB74" s="567"/>
      <c r="CC74" s="568"/>
      <c r="CD74" s="567"/>
      <c r="CE74" s="2807"/>
    </row>
    <row r="75" spans="1:83" ht="21" customHeight="1" x14ac:dyDescent="0.4">
      <c r="A75" s="249"/>
      <c r="B75" s="249"/>
      <c r="C75" s="584">
        <v>0.3125</v>
      </c>
      <c r="D75" s="631"/>
      <c r="E75" s="535" t="s">
        <v>271</v>
      </c>
      <c r="F75" s="632"/>
      <c r="G75" s="633"/>
      <c r="H75" s="537" t="s">
        <v>271</v>
      </c>
      <c r="I75" s="634"/>
      <c r="J75" s="582"/>
      <c r="K75" s="586"/>
      <c r="L75" s="582"/>
      <c r="M75" s="2746"/>
      <c r="N75" s="2726" t="s">
        <v>271</v>
      </c>
      <c r="O75" s="2747"/>
      <c r="P75" s="568"/>
      <c r="Q75" s="566"/>
      <c r="R75" s="568"/>
      <c r="S75" s="566"/>
      <c r="T75" s="567"/>
      <c r="U75" s="568"/>
      <c r="V75" s="566"/>
      <c r="W75" s="567"/>
      <c r="X75" s="568"/>
      <c r="Y75" s="566"/>
      <c r="Z75" s="567"/>
      <c r="AA75" s="568"/>
      <c r="AB75" s="566"/>
      <c r="AC75" s="567"/>
      <c r="AD75" s="567"/>
      <c r="AE75" s="568"/>
      <c r="AF75" s="566"/>
      <c r="AG75" s="567"/>
      <c r="AH75" s="568"/>
      <c r="AI75" s="566"/>
      <c r="AJ75" s="567"/>
      <c r="AK75" s="568"/>
      <c r="AL75" s="566"/>
      <c r="AM75" s="567"/>
      <c r="AN75" s="568"/>
      <c r="AO75" s="566"/>
      <c r="AP75" s="567"/>
      <c r="AQ75" s="568"/>
      <c r="AR75" s="566"/>
      <c r="AS75" s="567"/>
      <c r="AT75" s="568"/>
      <c r="AU75" s="566"/>
      <c r="AV75" s="567"/>
      <c r="AW75" s="568"/>
      <c r="AX75" s="566"/>
      <c r="AY75" s="567"/>
      <c r="AZ75" s="568"/>
      <c r="BA75" s="566"/>
      <c r="BB75" s="567"/>
      <c r="BC75" s="568"/>
      <c r="BD75" s="566"/>
      <c r="BE75" s="567"/>
      <c r="BF75" s="567"/>
      <c r="BG75" s="569"/>
      <c r="BH75" s="567"/>
      <c r="BI75" s="567"/>
      <c r="BJ75" s="569"/>
      <c r="BK75" s="567"/>
      <c r="BL75" s="568"/>
      <c r="BM75" s="566"/>
      <c r="BN75" s="567"/>
      <c r="BO75" s="567"/>
      <c r="BP75" s="568"/>
      <c r="BQ75" s="566"/>
      <c r="BR75" s="567"/>
      <c r="BS75" s="568"/>
      <c r="BT75" s="567"/>
      <c r="BU75" s="567"/>
      <c r="BV75" s="567"/>
      <c r="BW75" s="568"/>
      <c r="BX75" s="566"/>
      <c r="BY75" s="567"/>
      <c r="BZ75" s="568"/>
      <c r="CA75" s="567"/>
      <c r="CB75" s="567"/>
      <c r="CC75" s="568"/>
      <c r="CD75" s="567"/>
      <c r="CE75" s="2807"/>
    </row>
    <row r="76" spans="1:83" ht="21" customHeight="1" x14ac:dyDescent="0.4">
      <c r="A76" s="249"/>
      <c r="B76" s="249"/>
      <c r="C76" s="584" t="s">
        <v>307</v>
      </c>
      <c r="D76" s="631"/>
      <c r="E76" s="614" t="s">
        <v>310</v>
      </c>
      <c r="F76" s="632"/>
      <c r="G76" s="633"/>
      <c r="H76" s="612" t="s">
        <v>310</v>
      </c>
      <c r="I76" s="634"/>
      <c r="J76" s="582"/>
      <c r="K76" s="586"/>
      <c r="L76" s="582"/>
      <c r="M76" s="2746"/>
      <c r="N76" s="1126" t="s">
        <v>310</v>
      </c>
      <c r="O76" s="2747"/>
      <c r="P76" s="568"/>
      <c r="Q76" s="566"/>
      <c r="R76" s="568"/>
      <c r="S76" s="566"/>
      <c r="T76" s="567"/>
      <c r="U76" s="568"/>
      <c r="V76" s="566"/>
      <c r="W76" s="567"/>
      <c r="X76" s="568"/>
      <c r="Y76" s="566"/>
      <c r="Z76" s="567"/>
      <c r="AA76" s="568"/>
      <c r="AB76" s="566"/>
      <c r="AC76" s="567"/>
      <c r="AD76" s="567"/>
      <c r="AE76" s="568"/>
      <c r="AF76" s="566"/>
      <c r="AG76" s="567"/>
      <c r="AH76" s="568"/>
      <c r="AI76" s="566"/>
      <c r="AJ76" s="567"/>
      <c r="AK76" s="568"/>
      <c r="AL76" s="566"/>
      <c r="AM76" s="567"/>
      <c r="AN76" s="568"/>
      <c r="AO76" s="566"/>
      <c r="AP76" s="567"/>
      <c r="AQ76" s="568"/>
      <c r="AR76" s="566"/>
      <c r="AS76" s="567"/>
      <c r="AT76" s="568"/>
      <c r="AU76" s="566"/>
      <c r="AV76" s="567"/>
      <c r="AW76" s="568"/>
      <c r="AX76" s="566"/>
      <c r="AY76" s="567"/>
      <c r="AZ76" s="568"/>
      <c r="BA76" s="566"/>
      <c r="BB76" s="567"/>
      <c r="BC76" s="568"/>
      <c r="BD76" s="566"/>
      <c r="BE76" s="567"/>
      <c r="BF76" s="567"/>
      <c r="BG76" s="569"/>
      <c r="BH76" s="567"/>
      <c r="BI76" s="567"/>
      <c r="BJ76" s="569"/>
      <c r="BK76" s="567"/>
      <c r="BL76" s="568"/>
      <c r="BM76" s="566"/>
      <c r="BN76" s="567"/>
      <c r="BO76" s="567"/>
      <c r="BP76" s="568"/>
      <c r="BQ76" s="566"/>
      <c r="BR76" s="567"/>
      <c r="BS76" s="568"/>
      <c r="BT76" s="567"/>
      <c r="BU76" s="567"/>
      <c r="BV76" s="567"/>
      <c r="BW76" s="568"/>
      <c r="BX76" s="566"/>
      <c r="BY76" s="567"/>
      <c r="BZ76" s="568"/>
      <c r="CA76" s="567"/>
      <c r="CB76" s="567"/>
      <c r="CC76" s="568"/>
      <c r="CD76" s="567"/>
      <c r="CE76" s="2807"/>
    </row>
    <row r="77" spans="1:83" ht="21" customHeight="1" x14ac:dyDescent="0.4">
      <c r="A77" s="249"/>
      <c r="B77" s="249"/>
      <c r="C77" s="584">
        <v>0.31597222222222221</v>
      </c>
      <c r="D77" s="631"/>
      <c r="E77" s="535"/>
      <c r="F77" s="632"/>
      <c r="G77" s="633"/>
      <c r="H77" s="537"/>
      <c r="I77" s="634"/>
      <c r="J77" s="582"/>
      <c r="K77" s="586"/>
      <c r="L77" s="582"/>
      <c r="M77" s="2746"/>
      <c r="N77" s="2726"/>
      <c r="O77" s="2747"/>
      <c r="P77" s="568"/>
      <c r="Q77" s="566"/>
      <c r="R77" s="568"/>
      <c r="S77" s="566"/>
      <c r="T77" s="567"/>
      <c r="U77" s="568"/>
      <c r="V77" s="566"/>
      <c r="W77" s="567"/>
      <c r="X77" s="568"/>
      <c r="Y77" s="566"/>
      <c r="Z77" s="567"/>
      <c r="AA77" s="568"/>
      <c r="AB77" s="566"/>
      <c r="AC77" s="567"/>
      <c r="AD77" s="567"/>
      <c r="AE77" s="568"/>
      <c r="AF77" s="566"/>
      <c r="AG77" s="567"/>
      <c r="AH77" s="568"/>
      <c r="AI77" s="566"/>
      <c r="AJ77" s="567"/>
      <c r="AK77" s="568"/>
      <c r="AL77" s="566"/>
      <c r="AM77" s="567"/>
      <c r="AN77" s="568"/>
      <c r="AO77" s="566"/>
      <c r="AP77" s="567"/>
      <c r="AQ77" s="568"/>
      <c r="AR77" s="566"/>
      <c r="AS77" s="567"/>
      <c r="AT77" s="568"/>
      <c r="AU77" s="566"/>
      <c r="AV77" s="567"/>
      <c r="AW77" s="568"/>
      <c r="AX77" s="566"/>
      <c r="AY77" s="567"/>
      <c r="AZ77" s="568"/>
      <c r="BA77" s="566"/>
      <c r="BB77" s="567"/>
      <c r="BC77" s="568"/>
      <c r="BD77" s="566"/>
      <c r="BE77" s="567"/>
      <c r="BF77" s="567"/>
      <c r="BG77" s="569"/>
      <c r="BH77" s="567"/>
      <c r="BI77" s="567"/>
      <c r="BJ77" s="569"/>
      <c r="BK77" s="567"/>
      <c r="BL77" s="568"/>
      <c r="BM77" s="566"/>
      <c r="BN77" s="567"/>
      <c r="BO77" s="567"/>
      <c r="BP77" s="568"/>
      <c r="BQ77" s="566"/>
      <c r="BR77" s="567"/>
      <c r="BS77" s="568"/>
      <c r="BT77" s="567"/>
      <c r="BU77" s="567"/>
      <c r="BV77" s="567"/>
      <c r="BW77" s="568"/>
      <c r="BX77" s="566"/>
      <c r="BY77" s="567"/>
      <c r="BZ77" s="568"/>
      <c r="CA77" s="567"/>
      <c r="CB77" s="567"/>
      <c r="CC77" s="568"/>
      <c r="CD77" s="567"/>
      <c r="CE77" s="2807"/>
    </row>
    <row r="78" spans="1:83" ht="21" customHeight="1" x14ac:dyDescent="0.4">
      <c r="A78" s="249"/>
      <c r="B78" s="249"/>
      <c r="C78" s="584" t="s">
        <v>307</v>
      </c>
      <c r="D78" s="631"/>
      <c r="E78" s="535"/>
      <c r="F78" s="632"/>
      <c r="G78" s="633"/>
      <c r="H78" s="537"/>
      <c r="I78" s="634"/>
      <c r="J78" s="582"/>
      <c r="K78" s="586"/>
      <c r="L78" s="582"/>
      <c r="M78" s="2746"/>
      <c r="N78" s="2726"/>
      <c r="O78" s="2747"/>
      <c r="P78" s="568"/>
      <c r="Q78" s="566"/>
      <c r="R78" s="568"/>
      <c r="S78" s="566"/>
      <c r="T78" s="567"/>
      <c r="U78" s="568"/>
      <c r="V78" s="566"/>
      <c r="W78" s="567"/>
      <c r="X78" s="568"/>
      <c r="Y78" s="566"/>
      <c r="Z78" s="567"/>
      <c r="AA78" s="568"/>
      <c r="AB78" s="566"/>
      <c r="AC78" s="567"/>
      <c r="AD78" s="567"/>
      <c r="AE78" s="568"/>
      <c r="AF78" s="566"/>
      <c r="AG78" s="567"/>
      <c r="AH78" s="568"/>
      <c r="AI78" s="566"/>
      <c r="AJ78" s="567"/>
      <c r="AK78" s="568"/>
      <c r="AL78" s="566"/>
      <c r="AM78" s="567"/>
      <c r="AN78" s="568"/>
      <c r="AO78" s="566"/>
      <c r="AP78" s="567"/>
      <c r="AQ78" s="568"/>
      <c r="AR78" s="566"/>
      <c r="AS78" s="567"/>
      <c r="AT78" s="568"/>
      <c r="AU78" s="566"/>
      <c r="AV78" s="567"/>
      <c r="AW78" s="568"/>
      <c r="AX78" s="566"/>
      <c r="AY78" s="567"/>
      <c r="AZ78" s="568"/>
      <c r="BA78" s="566"/>
      <c r="BB78" s="567"/>
      <c r="BC78" s="568"/>
      <c r="BD78" s="566"/>
      <c r="BE78" s="567"/>
      <c r="BF78" s="567"/>
      <c r="BG78" s="569"/>
      <c r="BH78" s="567"/>
      <c r="BI78" s="567"/>
      <c r="BJ78" s="569"/>
      <c r="BK78" s="567"/>
      <c r="BL78" s="568"/>
      <c r="BM78" s="566"/>
      <c r="BN78" s="567"/>
      <c r="BO78" s="567"/>
      <c r="BP78" s="568"/>
      <c r="BQ78" s="566"/>
      <c r="BR78" s="567"/>
      <c r="BS78" s="568"/>
      <c r="BT78" s="567"/>
      <c r="BU78" s="567"/>
      <c r="BV78" s="567"/>
      <c r="BW78" s="568"/>
      <c r="BX78" s="566"/>
      <c r="BY78" s="567"/>
      <c r="BZ78" s="568"/>
      <c r="CA78" s="567"/>
      <c r="CB78" s="567"/>
      <c r="CC78" s="568"/>
      <c r="CD78" s="567"/>
      <c r="CE78" s="2807"/>
    </row>
    <row r="79" spans="1:83" ht="21" customHeight="1" x14ac:dyDescent="0.4">
      <c r="A79" s="249"/>
      <c r="B79" s="249"/>
      <c r="C79" s="584">
        <v>0.31944444444444442</v>
      </c>
      <c r="D79" s="631"/>
      <c r="E79" s="535"/>
      <c r="F79" s="632"/>
      <c r="G79" s="633"/>
      <c r="H79" s="537"/>
      <c r="I79" s="634"/>
      <c r="J79" s="582"/>
      <c r="K79" s="586"/>
      <c r="L79" s="582"/>
      <c r="M79" s="2746"/>
      <c r="N79" s="2726"/>
      <c r="O79" s="2747"/>
      <c r="P79" s="568"/>
      <c r="Q79" s="566"/>
      <c r="R79" s="568"/>
      <c r="S79" s="566"/>
      <c r="T79" s="567"/>
      <c r="U79" s="568"/>
      <c r="V79" s="566"/>
      <c r="W79" s="567"/>
      <c r="X79" s="568"/>
      <c r="Y79" s="566"/>
      <c r="Z79" s="567"/>
      <c r="AA79" s="568"/>
      <c r="AB79" s="566"/>
      <c r="AC79" s="567"/>
      <c r="AD79" s="567"/>
      <c r="AE79" s="568"/>
      <c r="AF79" s="566"/>
      <c r="AG79" s="567"/>
      <c r="AH79" s="568"/>
      <c r="AI79" s="566"/>
      <c r="AJ79" s="567"/>
      <c r="AK79" s="568"/>
      <c r="AL79" s="566"/>
      <c r="AM79" s="567"/>
      <c r="AN79" s="568"/>
      <c r="AO79" s="566"/>
      <c r="AP79" s="567"/>
      <c r="AQ79" s="568"/>
      <c r="AR79" s="566"/>
      <c r="AS79" s="567"/>
      <c r="AT79" s="568"/>
      <c r="AU79" s="566"/>
      <c r="AV79" s="567"/>
      <c r="AW79" s="568"/>
      <c r="AX79" s="566"/>
      <c r="AY79" s="567"/>
      <c r="AZ79" s="568"/>
      <c r="BA79" s="566"/>
      <c r="BB79" s="567"/>
      <c r="BC79" s="568"/>
      <c r="BD79" s="566"/>
      <c r="BE79" s="567"/>
      <c r="BF79" s="567"/>
      <c r="BG79" s="569"/>
      <c r="BH79" s="567"/>
      <c r="BI79" s="567"/>
      <c r="BJ79" s="569"/>
      <c r="BK79" s="567"/>
      <c r="BL79" s="568"/>
      <c r="BM79" s="566"/>
      <c r="BN79" s="567"/>
      <c r="BO79" s="567"/>
      <c r="BP79" s="568"/>
      <c r="BQ79" s="566"/>
      <c r="BR79" s="567"/>
      <c r="BS79" s="568"/>
      <c r="BT79" s="567"/>
      <c r="BU79" s="567"/>
      <c r="BV79" s="567"/>
      <c r="BW79" s="568"/>
      <c r="BX79" s="566"/>
      <c r="BY79" s="567"/>
      <c r="BZ79" s="568"/>
      <c r="CA79" s="567"/>
      <c r="CB79" s="567"/>
      <c r="CC79" s="568"/>
      <c r="CD79" s="567"/>
      <c r="CE79" s="2807"/>
    </row>
    <row r="80" spans="1:83" ht="21" customHeight="1" x14ac:dyDescent="0.4">
      <c r="A80" s="249"/>
      <c r="B80" s="249"/>
      <c r="C80" s="584" t="s">
        <v>307</v>
      </c>
      <c r="D80" s="631"/>
      <c r="E80" s="535"/>
      <c r="F80" s="632"/>
      <c r="G80" s="633"/>
      <c r="H80" s="537"/>
      <c r="I80" s="634"/>
      <c r="J80" s="582"/>
      <c r="K80" s="586"/>
      <c r="L80" s="582"/>
      <c r="M80" s="2746"/>
      <c r="N80" s="2726"/>
      <c r="O80" s="2747"/>
      <c r="P80" s="568"/>
      <c r="Q80" s="566"/>
      <c r="R80" s="568"/>
      <c r="S80" s="566"/>
      <c r="T80" s="567"/>
      <c r="U80" s="568"/>
      <c r="V80" s="566"/>
      <c r="W80" s="567"/>
      <c r="X80" s="568"/>
      <c r="Y80" s="566"/>
      <c r="Z80" s="567"/>
      <c r="AA80" s="568"/>
      <c r="AB80" s="566"/>
      <c r="AC80" s="567"/>
      <c r="AD80" s="567"/>
      <c r="AE80" s="568"/>
      <c r="AF80" s="566"/>
      <c r="AG80" s="567"/>
      <c r="AH80" s="568"/>
      <c r="AI80" s="566"/>
      <c r="AJ80" s="567"/>
      <c r="AK80" s="568"/>
      <c r="AL80" s="566"/>
      <c r="AM80" s="567"/>
      <c r="AN80" s="568"/>
      <c r="AO80" s="566"/>
      <c r="AP80" s="567"/>
      <c r="AQ80" s="568"/>
      <c r="AR80" s="566"/>
      <c r="AS80" s="567"/>
      <c r="AT80" s="568"/>
      <c r="AU80" s="566"/>
      <c r="AV80" s="567"/>
      <c r="AW80" s="568"/>
      <c r="AX80" s="566"/>
      <c r="AY80" s="567"/>
      <c r="AZ80" s="568"/>
      <c r="BA80" s="566"/>
      <c r="BB80" s="567"/>
      <c r="BC80" s="568"/>
      <c r="BD80" s="566"/>
      <c r="BE80" s="567"/>
      <c r="BF80" s="567"/>
      <c r="BG80" s="569"/>
      <c r="BH80" s="567"/>
      <c r="BI80" s="567"/>
      <c r="BJ80" s="569"/>
      <c r="BK80" s="567"/>
      <c r="BL80" s="568"/>
      <c r="BM80" s="566"/>
      <c r="BN80" s="567"/>
      <c r="BO80" s="567"/>
      <c r="BP80" s="568"/>
      <c r="BQ80" s="566"/>
      <c r="BR80" s="567"/>
      <c r="BS80" s="568"/>
      <c r="BT80" s="567"/>
      <c r="BU80" s="567"/>
      <c r="BV80" s="567"/>
      <c r="BW80" s="568"/>
      <c r="BX80" s="566"/>
      <c r="BY80" s="567"/>
      <c r="BZ80" s="568"/>
      <c r="CA80" s="567"/>
      <c r="CB80" s="567"/>
      <c r="CC80" s="568"/>
      <c r="CD80" s="567"/>
      <c r="CE80" s="2807"/>
    </row>
    <row r="81" spans="1:83" ht="21" customHeight="1" x14ac:dyDescent="0.4">
      <c r="A81" s="249"/>
      <c r="B81" s="249"/>
      <c r="C81" s="584">
        <v>0.32291666666666669</v>
      </c>
      <c r="D81" s="608"/>
      <c r="E81" s="614"/>
      <c r="F81" s="610"/>
      <c r="G81" s="611"/>
      <c r="H81" s="612"/>
      <c r="I81" s="613"/>
      <c r="J81" s="582"/>
      <c r="K81" s="586"/>
      <c r="L81" s="582"/>
      <c r="M81" s="2736"/>
      <c r="N81" s="1126"/>
      <c r="O81" s="2737"/>
      <c r="P81" s="568"/>
      <c r="Q81" s="566"/>
      <c r="R81" s="568"/>
      <c r="S81" s="566"/>
      <c r="T81" s="567"/>
      <c r="U81" s="568"/>
      <c r="V81" s="566"/>
      <c r="W81" s="567"/>
      <c r="X81" s="568"/>
      <c r="Y81" s="566"/>
      <c r="Z81" s="567"/>
      <c r="AA81" s="568"/>
      <c r="AB81" s="566"/>
      <c r="AC81" s="567"/>
      <c r="AD81" s="567"/>
      <c r="AE81" s="568"/>
      <c r="AF81" s="566"/>
      <c r="AG81" s="567"/>
      <c r="AH81" s="568"/>
      <c r="AI81" s="566"/>
      <c r="AJ81" s="567"/>
      <c r="AK81" s="568"/>
      <c r="AL81" s="566"/>
      <c r="AM81" s="567"/>
      <c r="AN81" s="568"/>
      <c r="AO81" s="566"/>
      <c r="AP81" s="567"/>
      <c r="AQ81" s="568"/>
      <c r="AR81" s="566"/>
      <c r="AS81" s="567"/>
      <c r="AT81" s="568"/>
      <c r="AU81" s="566"/>
      <c r="AV81" s="567"/>
      <c r="AW81" s="568"/>
      <c r="AX81" s="566"/>
      <c r="AY81" s="567"/>
      <c r="AZ81" s="568"/>
      <c r="BA81" s="566"/>
      <c r="BB81" s="567"/>
      <c r="BC81" s="568"/>
      <c r="BD81" s="566"/>
      <c r="BE81" s="567"/>
      <c r="BF81" s="567"/>
      <c r="BG81" s="569"/>
      <c r="BH81" s="567"/>
      <c r="BI81" s="567"/>
      <c r="BJ81" s="569"/>
      <c r="BK81" s="567"/>
      <c r="BL81" s="568"/>
      <c r="BM81" s="566"/>
      <c r="BN81" s="567"/>
      <c r="BO81" s="567"/>
      <c r="BP81" s="568"/>
      <c r="BQ81" s="566"/>
      <c r="BR81" s="567"/>
      <c r="BS81" s="568"/>
      <c r="BT81" s="567"/>
      <c r="BU81" s="567"/>
      <c r="BV81" s="567"/>
      <c r="BW81" s="568"/>
      <c r="BX81" s="566"/>
      <c r="BY81" s="567"/>
      <c r="BZ81" s="568"/>
      <c r="CA81" s="567"/>
      <c r="CB81" s="567"/>
      <c r="CC81" s="568"/>
      <c r="CD81" s="567"/>
      <c r="CE81" s="2807"/>
    </row>
    <row r="82" spans="1:83" ht="21" customHeight="1" x14ac:dyDescent="0.4">
      <c r="A82" s="249"/>
      <c r="B82" s="249"/>
      <c r="C82" s="584" t="s">
        <v>307</v>
      </c>
      <c r="D82" s="631"/>
      <c r="E82" s="535"/>
      <c r="F82" s="632"/>
      <c r="G82" s="633"/>
      <c r="H82" s="537"/>
      <c r="I82" s="634"/>
      <c r="J82" s="582"/>
      <c r="K82" s="586"/>
      <c r="L82" s="582"/>
      <c r="M82" s="2746"/>
      <c r="N82" s="2726"/>
      <c r="O82" s="2747"/>
      <c r="P82" s="568"/>
      <c r="Q82" s="566"/>
      <c r="R82" s="568"/>
      <c r="S82" s="566"/>
      <c r="T82" s="567"/>
      <c r="U82" s="568"/>
      <c r="V82" s="566"/>
      <c r="W82" s="567"/>
      <c r="X82" s="568"/>
      <c r="Y82" s="566"/>
      <c r="Z82" s="567"/>
      <c r="AA82" s="568"/>
      <c r="AB82" s="566"/>
      <c r="AC82" s="567"/>
      <c r="AD82" s="567"/>
      <c r="AE82" s="568"/>
      <c r="AF82" s="566"/>
      <c r="AG82" s="567"/>
      <c r="AH82" s="568"/>
      <c r="AI82" s="566"/>
      <c r="AJ82" s="567"/>
      <c r="AK82" s="568"/>
      <c r="AL82" s="566"/>
      <c r="AM82" s="567"/>
      <c r="AN82" s="568"/>
      <c r="AO82" s="566"/>
      <c r="AP82" s="567"/>
      <c r="AQ82" s="568"/>
      <c r="AR82" s="566"/>
      <c r="AS82" s="567"/>
      <c r="AT82" s="568"/>
      <c r="AU82" s="566"/>
      <c r="AV82" s="567"/>
      <c r="AW82" s="568"/>
      <c r="AX82" s="566"/>
      <c r="AY82" s="567"/>
      <c r="AZ82" s="568"/>
      <c r="BA82" s="566"/>
      <c r="BB82" s="567"/>
      <c r="BC82" s="568"/>
      <c r="BD82" s="566"/>
      <c r="BE82" s="567"/>
      <c r="BF82" s="567"/>
      <c r="BG82" s="569"/>
      <c r="BH82" s="567"/>
      <c r="BI82" s="567"/>
      <c r="BJ82" s="569"/>
      <c r="BK82" s="567"/>
      <c r="BL82" s="568"/>
      <c r="BM82" s="566"/>
      <c r="BN82" s="567"/>
      <c r="BO82" s="567"/>
      <c r="BP82" s="568"/>
      <c r="BQ82" s="566"/>
      <c r="BR82" s="567"/>
      <c r="BS82" s="568"/>
      <c r="BT82" s="567"/>
      <c r="BU82" s="567"/>
      <c r="BV82" s="567"/>
      <c r="BW82" s="568"/>
      <c r="BX82" s="566"/>
      <c r="BY82" s="567"/>
      <c r="BZ82" s="568"/>
      <c r="CA82" s="567"/>
      <c r="CB82" s="567"/>
      <c r="CC82" s="568"/>
      <c r="CD82" s="567"/>
      <c r="CE82" s="2807"/>
    </row>
    <row r="83" spans="1:83" ht="21" customHeight="1" x14ac:dyDescent="0.4">
      <c r="A83" s="249"/>
      <c r="B83" s="249"/>
      <c r="C83" s="584">
        <v>0.3263888888888889</v>
      </c>
      <c r="D83" s="631"/>
      <c r="E83" s="535"/>
      <c r="F83" s="632"/>
      <c r="G83" s="633"/>
      <c r="H83" s="537"/>
      <c r="I83" s="634"/>
      <c r="J83" s="582"/>
      <c r="K83" s="586"/>
      <c r="L83" s="582"/>
      <c r="M83" s="2746"/>
      <c r="N83" s="2726"/>
      <c r="O83" s="2747"/>
      <c r="P83" s="568"/>
      <c r="Q83" s="566"/>
      <c r="R83" s="568"/>
      <c r="S83" s="566"/>
      <c r="T83" s="567"/>
      <c r="U83" s="568"/>
      <c r="V83" s="566"/>
      <c r="W83" s="567"/>
      <c r="X83" s="568"/>
      <c r="Y83" s="566"/>
      <c r="Z83" s="567"/>
      <c r="AA83" s="568"/>
      <c r="AB83" s="566"/>
      <c r="AC83" s="567"/>
      <c r="AD83" s="567"/>
      <c r="AE83" s="568"/>
      <c r="AF83" s="566"/>
      <c r="AG83" s="567"/>
      <c r="AH83" s="568"/>
      <c r="AI83" s="566"/>
      <c r="AJ83" s="567"/>
      <c r="AK83" s="568"/>
      <c r="AL83" s="566"/>
      <c r="AM83" s="567"/>
      <c r="AN83" s="568"/>
      <c r="AO83" s="566"/>
      <c r="AP83" s="567"/>
      <c r="AQ83" s="568"/>
      <c r="AR83" s="566"/>
      <c r="AS83" s="567"/>
      <c r="AT83" s="568"/>
      <c r="AU83" s="566"/>
      <c r="AV83" s="567"/>
      <c r="AW83" s="568"/>
      <c r="AX83" s="566"/>
      <c r="AY83" s="567"/>
      <c r="AZ83" s="568"/>
      <c r="BA83" s="566"/>
      <c r="BB83" s="567"/>
      <c r="BC83" s="568"/>
      <c r="BD83" s="566"/>
      <c r="BE83" s="567"/>
      <c r="BF83" s="567"/>
      <c r="BG83" s="569"/>
      <c r="BH83" s="567"/>
      <c r="BI83" s="567"/>
      <c r="BJ83" s="569"/>
      <c r="BK83" s="567"/>
      <c r="BL83" s="568"/>
      <c r="BM83" s="566"/>
      <c r="BN83" s="567"/>
      <c r="BO83" s="567"/>
      <c r="BP83" s="568"/>
      <c r="BQ83" s="566"/>
      <c r="BR83" s="567"/>
      <c r="BS83" s="568"/>
      <c r="BT83" s="567"/>
      <c r="BU83" s="567"/>
      <c r="BV83" s="567"/>
      <c r="BW83" s="568"/>
      <c r="BX83" s="566"/>
      <c r="BY83" s="567"/>
      <c r="BZ83" s="568"/>
      <c r="CA83" s="567"/>
      <c r="CB83" s="567"/>
      <c r="CC83" s="568"/>
      <c r="CD83" s="567"/>
      <c r="CE83" s="2807"/>
    </row>
    <row r="84" spans="1:83" ht="21" customHeight="1" x14ac:dyDescent="0.4">
      <c r="A84" s="249"/>
      <c r="B84" s="249"/>
      <c r="C84" s="584" t="s">
        <v>307</v>
      </c>
      <c r="D84" s="631"/>
      <c r="E84" s="535"/>
      <c r="F84" s="632"/>
      <c r="G84" s="633"/>
      <c r="H84" s="537"/>
      <c r="I84" s="634"/>
      <c r="J84" s="582"/>
      <c r="K84" s="586"/>
      <c r="L84" s="582"/>
      <c r="M84" s="2746"/>
      <c r="N84" s="2726"/>
      <c r="O84" s="2747"/>
      <c r="P84" s="568"/>
      <c r="Q84" s="566"/>
      <c r="R84" s="568"/>
      <c r="S84" s="566"/>
      <c r="T84" s="567"/>
      <c r="U84" s="568"/>
      <c r="V84" s="566"/>
      <c r="W84" s="567"/>
      <c r="X84" s="568"/>
      <c r="Y84" s="566"/>
      <c r="Z84" s="567"/>
      <c r="AA84" s="568"/>
      <c r="AB84" s="566"/>
      <c r="AC84" s="567"/>
      <c r="AD84" s="567"/>
      <c r="AE84" s="568"/>
      <c r="AF84" s="566"/>
      <c r="AG84" s="567"/>
      <c r="AH84" s="568"/>
      <c r="AI84" s="566"/>
      <c r="AJ84" s="567"/>
      <c r="AK84" s="568"/>
      <c r="AL84" s="566"/>
      <c r="AM84" s="567"/>
      <c r="AN84" s="568"/>
      <c r="AO84" s="566"/>
      <c r="AP84" s="567"/>
      <c r="AQ84" s="568"/>
      <c r="AR84" s="566"/>
      <c r="AS84" s="567"/>
      <c r="AT84" s="568"/>
      <c r="AU84" s="566"/>
      <c r="AV84" s="567"/>
      <c r="AW84" s="568"/>
      <c r="AX84" s="566"/>
      <c r="AY84" s="567"/>
      <c r="AZ84" s="568"/>
      <c r="BA84" s="566"/>
      <c r="BB84" s="567"/>
      <c r="BC84" s="568"/>
      <c r="BD84" s="566"/>
      <c r="BE84" s="567"/>
      <c r="BF84" s="567"/>
      <c r="BG84" s="569"/>
      <c r="BH84" s="567"/>
      <c r="BI84" s="567"/>
      <c r="BJ84" s="569"/>
      <c r="BK84" s="567"/>
      <c r="BL84" s="568"/>
      <c r="BM84" s="566"/>
      <c r="BN84" s="567"/>
      <c r="BO84" s="567"/>
      <c r="BP84" s="568"/>
      <c r="BQ84" s="566"/>
      <c r="BR84" s="567"/>
      <c r="BS84" s="568"/>
      <c r="BT84" s="567"/>
      <c r="BU84" s="567"/>
      <c r="BV84" s="567"/>
      <c r="BW84" s="568"/>
      <c r="BX84" s="566"/>
      <c r="BY84" s="567"/>
      <c r="BZ84" s="568"/>
      <c r="CA84" s="567"/>
      <c r="CB84" s="567"/>
      <c r="CC84" s="568"/>
      <c r="CD84" s="567"/>
      <c r="CE84" s="2807"/>
    </row>
    <row r="85" spans="1:83" ht="21" customHeight="1" x14ac:dyDescent="0.4">
      <c r="A85" s="249"/>
      <c r="B85" s="249"/>
      <c r="C85" s="584">
        <v>0.3298611111111111</v>
      </c>
      <c r="D85" s="631"/>
      <c r="E85" s="535"/>
      <c r="F85" s="632"/>
      <c r="G85" s="633"/>
      <c r="H85" s="537"/>
      <c r="I85" s="634"/>
      <c r="J85" s="582"/>
      <c r="K85" s="586"/>
      <c r="L85" s="582"/>
      <c r="M85" s="2746"/>
      <c r="N85" s="2726"/>
      <c r="O85" s="2747"/>
      <c r="P85" s="568"/>
      <c r="Q85" s="566"/>
      <c r="R85" s="568"/>
      <c r="S85" s="566"/>
      <c r="T85" s="567"/>
      <c r="U85" s="568"/>
      <c r="V85" s="566"/>
      <c r="W85" s="567"/>
      <c r="X85" s="568"/>
      <c r="Y85" s="566"/>
      <c r="Z85" s="567"/>
      <c r="AA85" s="568"/>
      <c r="AB85" s="566"/>
      <c r="AC85" s="567"/>
      <c r="AD85" s="567"/>
      <c r="AE85" s="568"/>
      <c r="AF85" s="566"/>
      <c r="AG85" s="567"/>
      <c r="AH85" s="568"/>
      <c r="AI85" s="566"/>
      <c r="AJ85" s="567"/>
      <c r="AK85" s="568"/>
      <c r="AL85" s="566"/>
      <c r="AM85" s="567"/>
      <c r="AN85" s="568"/>
      <c r="AO85" s="566"/>
      <c r="AP85" s="567"/>
      <c r="AQ85" s="568"/>
      <c r="AR85" s="566"/>
      <c r="AS85" s="567"/>
      <c r="AT85" s="568"/>
      <c r="AU85" s="566"/>
      <c r="AV85" s="567"/>
      <c r="AW85" s="568"/>
      <c r="AX85" s="566"/>
      <c r="AY85" s="567"/>
      <c r="AZ85" s="568"/>
      <c r="BA85" s="566"/>
      <c r="BB85" s="567"/>
      <c r="BC85" s="568"/>
      <c r="BD85" s="566"/>
      <c r="BE85" s="567"/>
      <c r="BF85" s="567"/>
      <c r="BG85" s="569"/>
      <c r="BH85" s="567"/>
      <c r="BI85" s="567"/>
      <c r="BJ85" s="569"/>
      <c r="BK85" s="567"/>
      <c r="BL85" s="568"/>
      <c r="BM85" s="566"/>
      <c r="BN85" s="567"/>
      <c r="BO85" s="567"/>
      <c r="BP85" s="568"/>
      <c r="BQ85" s="566"/>
      <c r="BR85" s="567"/>
      <c r="BS85" s="568"/>
      <c r="BT85" s="567"/>
      <c r="BU85" s="567"/>
      <c r="BV85" s="567"/>
      <c r="BW85" s="568"/>
      <c r="BX85" s="566"/>
      <c r="BY85" s="567"/>
      <c r="BZ85" s="568"/>
      <c r="CA85" s="567"/>
      <c r="CB85" s="567"/>
      <c r="CC85" s="568"/>
      <c r="CD85" s="567"/>
      <c r="CE85" s="2807"/>
    </row>
    <row r="86" spans="1:83" ht="21" customHeight="1" x14ac:dyDescent="0.4">
      <c r="A86" s="249"/>
      <c r="B86" s="249"/>
      <c r="C86" s="621" t="s">
        <v>307</v>
      </c>
      <c r="D86" s="636"/>
      <c r="E86" s="637"/>
      <c r="F86" s="638"/>
      <c r="G86" s="639"/>
      <c r="H86" s="640"/>
      <c r="I86" s="641"/>
      <c r="J86" s="582"/>
      <c r="K86" s="586"/>
      <c r="L86" s="582"/>
      <c r="M86" s="2748"/>
      <c r="N86" s="2749"/>
      <c r="O86" s="2750"/>
      <c r="P86" s="642"/>
      <c r="Q86" s="643" t="s">
        <v>311</v>
      </c>
      <c r="R86" s="644"/>
      <c r="S86" s="645"/>
      <c r="T86" s="643" t="s">
        <v>312</v>
      </c>
      <c r="U86" s="646"/>
      <c r="V86" s="645"/>
      <c r="W86" s="643" t="s">
        <v>312</v>
      </c>
      <c r="X86" s="646"/>
      <c r="Y86" s="647"/>
      <c r="Z86" s="643" t="s">
        <v>312</v>
      </c>
      <c r="AA86" s="648"/>
      <c r="AB86" s="649"/>
      <c r="AC86" s="650" t="s">
        <v>312</v>
      </c>
      <c r="AD86" s="649"/>
      <c r="AE86" s="568"/>
      <c r="AF86" s="566"/>
      <c r="AG86" s="567"/>
      <c r="AH86" s="568"/>
      <c r="AI86" s="566"/>
      <c r="AJ86" s="567"/>
      <c r="AK86" s="568"/>
      <c r="AL86" s="566"/>
      <c r="AM86" s="567"/>
      <c r="AN86" s="568"/>
      <c r="AO86" s="566"/>
      <c r="AP86" s="567"/>
      <c r="AQ86" s="568"/>
      <c r="AR86" s="566"/>
      <c r="AS86" s="567"/>
      <c r="AT86" s="568"/>
      <c r="AU86" s="566"/>
      <c r="AV86" s="567"/>
      <c r="AW86" s="568"/>
      <c r="AX86" s="566"/>
      <c r="AY86" s="567"/>
      <c r="AZ86" s="568"/>
      <c r="BA86" s="566"/>
      <c r="BB86" s="567"/>
      <c r="BC86" s="568"/>
      <c r="BD86" s="566"/>
      <c r="BE86" s="567"/>
      <c r="BF86" s="567"/>
      <c r="BG86" s="569"/>
      <c r="BH86" s="567"/>
      <c r="BI86" s="567"/>
      <c r="BJ86" s="569"/>
      <c r="BK86" s="567"/>
      <c r="BL86" s="568"/>
      <c r="BM86" s="566"/>
      <c r="BN86" s="567"/>
      <c r="BO86" s="567"/>
      <c r="BP86" s="568"/>
      <c r="BQ86" s="566"/>
      <c r="BR86" s="567"/>
      <c r="BS86" s="568"/>
      <c r="BT86" s="567"/>
      <c r="BU86" s="567"/>
      <c r="BV86" s="567"/>
      <c r="BW86" s="568"/>
      <c r="BX86" s="566"/>
      <c r="BY86" s="567"/>
      <c r="BZ86" s="568"/>
      <c r="CA86" s="567"/>
      <c r="CB86" s="567"/>
      <c r="CC86" s="568"/>
      <c r="CD86" s="567"/>
      <c r="CE86" s="2807"/>
    </row>
    <row r="87" spans="1:83" ht="21" customHeight="1" x14ac:dyDescent="0.4">
      <c r="A87" s="249"/>
      <c r="B87" s="249"/>
      <c r="C87" s="622">
        <v>0.33333333333333331</v>
      </c>
      <c r="D87" s="631"/>
      <c r="E87" s="535" t="s">
        <v>271</v>
      </c>
      <c r="F87" s="632"/>
      <c r="G87" s="633"/>
      <c r="H87" s="537" t="s">
        <v>271</v>
      </c>
      <c r="I87" s="634"/>
      <c r="J87" s="651"/>
      <c r="K87" s="652"/>
      <c r="L87" s="653"/>
      <c r="M87" s="656"/>
      <c r="N87" s="656" t="s">
        <v>313</v>
      </c>
      <c r="O87" s="656"/>
      <c r="P87" s="579"/>
      <c r="Q87" s="654" t="s">
        <v>314</v>
      </c>
      <c r="R87" s="655"/>
      <c r="S87" s="656"/>
      <c r="T87" s="656" t="s">
        <v>313</v>
      </c>
      <c r="U87" s="656"/>
      <c r="V87" s="656"/>
      <c r="W87" s="656" t="s">
        <v>313</v>
      </c>
      <c r="X87" s="656"/>
      <c r="Y87" s="656"/>
      <c r="Z87" s="656" t="s">
        <v>313</v>
      </c>
      <c r="AA87" s="656"/>
      <c r="AB87" s="656"/>
      <c r="AC87" s="656" t="s">
        <v>313</v>
      </c>
      <c r="AD87" s="657"/>
      <c r="AE87" s="565"/>
      <c r="AF87" s="566"/>
      <c r="AG87" s="567"/>
      <c r="AH87" s="568"/>
      <c r="AI87" s="566"/>
      <c r="AJ87" s="567"/>
      <c r="AK87" s="568"/>
      <c r="AL87" s="566"/>
      <c r="AM87" s="567"/>
      <c r="AN87" s="568"/>
      <c r="AO87" s="566"/>
      <c r="AP87" s="567"/>
      <c r="AQ87" s="568"/>
      <c r="AR87" s="566"/>
      <c r="AS87" s="567"/>
      <c r="AT87" s="568"/>
      <c r="AU87" s="566"/>
      <c r="AV87" s="567"/>
      <c r="AW87" s="568"/>
      <c r="AX87" s="566"/>
      <c r="AY87" s="567"/>
      <c r="AZ87" s="568"/>
      <c r="BA87" s="566"/>
      <c r="BB87" s="567"/>
      <c r="BC87" s="568"/>
      <c r="BD87" s="566"/>
      <c r="BE87" s="567"/>
      <c r="BF87" s="567"/>
      <c r="BG87" s="569"/>
      <c r="BH87" s="567"/>
      <c r="BI87" s="567"/>
      <c r="BJ87" s="569"/>
      <c r="BK87" s="567"/>
      <c r="BL87" s="568"/>
      <c r="BM87" s="566"/>
      <c r="BN87" s="567"/>
      <c r="BO87" s="567"/>
      <c r="BP87" s="568"/>
      <c r="BQ87" s="566"/>
      <c r="BR87" s="567"/>
      <c r="BS87" s="568"/>
      <c r="BT87" s="567"/>
      <c r="BU87" s="567"/>
      <c r="BV87" s="567"/>
      <c r="BW87" s="568"/>
      <c r="BX87" s="566"/>
      <c r="BY87" s="567"/>
      <c r="BZ87" s="568"/>
      <c r="CA87" s="567"/>
      <c r="CB87" s="567"/>
      <c r="CC87" s="568"/>
      <c r="CD87" s="567"/>
      <c r="CE87" s="2807"/>
    </row>
    <row r="88" spans="1:83" ht="21" customHeight="1" x14ac:dyDescent="0.4">
      <c r="A88" s="249"/>
      <c r="B88" s="249"/>
      <c r="C88" s="584" t="s">
        <v>307</v>
      </c>
      <c r="D88" s="631"/>
      <c r="E88" s="614" t="s">
        <v>310</v>
      </c>
      <c r="F88" s="632"/>
      <c r="G88" s="633"/>
      <c r="H88" s="612" t="s">
        <v>310</v>
      </c>
      <c r="I88" s="634"/>
      <c r="J88" s="658"/>
      <c r="K88" s="659"/>
      <c r="L88" s="658"/>
      <c r="M88" s="685"/>
      <c r="N88" s="2876" t="s">
        <v>328</v>
      </c>
      <c r="O88" s="685"/>
      <c r="P88" s="660"/>
      <c r="Q88" s="661" t="s">
        <v>316</v>
      </c>
      <c r="R88" s="660"/>
      <c r="S88" s="662"/>
      <c r="T88" s="663" t="s">
        <v>317</v>
      </c>
      <c r="U88" s="662"/>
      <c r="V88" s="664"/>
      <c r="W88" s="664" t="s">
        <v>318</v>
      </c>
      <c r="X88" s="665"/>
      <c r="Y88" s="685"/>
      <c r="Z88" s="686"/>
      <c r="AA88" s="685"/>
      <c r="AB88" s="669"/>
      <c r="AC88" s="670" t="s">
        <v>319</v>
      </c>
      <c r="AD88" s="671"/>
      <c r="AE88" s="565"/>
      <c r="AF88" s="566"/>
      <c r="AG88" s="567"/>
      <c r="AH88" s="568"/>
      <c r="AI88" s="566"/>
      <c r="AJ88" s="567"/>
      <c r="AK88" s="568"/>
      <c r="AL88" s="566"/>
      <c r="AM88" s="567"/>
      <c r="AN88" s="568"/>
      <c r="AO88" s="566"/>
      <c r="AP88" s="567"/>
      <c r="AQ88" s="568"/>
      <c r="AR88" s="566"/>
      <c r="AS88" s="567"/>
      <c r="AT88" s="568"/>
      <c r="AU88" s="566"/>
      <c r="AV88" s="567"/>
      <c r="AW88" s="568"/>
      <c r="AX88" s="566"/>
      <c r="AY88" s="567"/>
      <c r="AZ88" s="568"/>
      <c r="BA88" s="566"/>
      <c r="BB88" s="567"/>
      <c r="BC88" s="568"/>
      <c r="BD88" s="566"/>
      <c r="BE88" s="567"/>
      <c r="BF88" s="567"/>
      <c r="BG88" s="569"/>
      <c r="BH88" s="567"/>
      <c r="BI88" s="567"/>
      <c r="BJ88" s="569"/>
      <c r="BK88" s="567"/>
      <c r="BL88" s="568"/>
      <c r="BM88" s="566"/>
      <c r="BN88" s="567"/>
      <c r="BO88" s="567"/>
      <c r="BP88" s="568"/>
      <c r="BQ88" s="566"/>
      <c r="BR88" s="567"/>
      <c r="BS88" s="568"/>
      <c r="BT88" s="567"/>
      <c r="BU88" s="567"/>
      <c r="BV88" s="567"/>
      <c r="BW88" s="568"/>
      <c r="BX88" s="566"/>
      <c r="BY88" s="567"/>
      <c r="BZ88" s="568"/>
      <c r="CA88" s="567"/>
      <c r="CB88" s="567"/>
      <c r="CC88" s="568"/>
      <c r="CD88" s="567"/>
      <c r="CE88" s="2807"/>
    </row>
    <row r="89" spans="1:83" ht="21" customHeight="1" x14ac:dyDescent="0.4">
      <c r="A89" s="249"/>
      <c r="B89" s="249"/>
      <c r="C89" s="584" t="s">
        <v>307</v>
      </c>
      <c r="D89" s="672"/>
      <c r="E89" s="587"/>
      <c r="F89" s="673"/>
      <c r="G89" s="674"/>
      <c r="H89" s="588"/>
      <c r="I89" s="675"/>
      <c r="J89" s="676"/>
      <c r="K89" s="677"/>
      <c r="L89" s="676"/>
      <c r="M89" s="685"/>
      <c r="N89" s="2876"/>
      <c r="O89" s="685"/>
      <c r="P89" s="678"/>
      <c r="Q89" s="679" t="s">
        <v>320</v>
      </c>
      <c r="R89" s="680"/>
      <c r="S89" s="681"/>
      <c r="T89" s="682" t="s">
        <v>321</v>
      </c>
      <c r="U89" s="681"/>
      <c r="V89" s="683"/>
      <c r="W89" s="683"/>
      <c r="X89" s="684"/>
      <c r="Y89" s="685"/>
      <c r="Z89" s="686"/>
      <c r="AA89" s="685"/>
      <c r="AB89" s="687"/>
      <c r="AC89" s="687"/>
      <c r="AD89" s="687"/>
      <c r="AE89" s="565"/>
      <c r="AF89" s="566"/>
      <c r="AG89" s="567"/>
      <c r="AH89" s="568"/>
      <c r="AI89" s="566"/>
      <c r="AJ89" s="567"/>
      <c r="AK89" s="568"/>
      <c r="AL89" s="566"/>
      <c r="AM89" s="567"/>
      <c r="AN89" s="568"/>
      <c r="AO89" s="566"/>
      <c r="AP89" s="567"/>
      <c r="AQ89" s="568"/>
      <c r="AR89" s="566"/>
      <c r="AS89" s="567"/>
      <c r="AT89" s="568"/>
      <c r="AU89" s="566"/>
      <c r="AV89" s="567"/>
      <c r="AW89" s="568"/>
      <c r="AX89" s="566"/>
      <c r="AY89" s="567"/>
      <c r="AZ89" s="568"/>
      <c r="BA89" s="566"/>
      <c r="BB89" s="567"/>
      <c r="BC89" s="568"/>
      <c r="BD89" s="566"/>
      <c r="BE89" s="567"/>
      <c r="BF89" s="567"/>
      <c r="BG89" s="569"/>
      <c r="BH89" s="567"/>
      <c r="BI89" s="567"/>
      <c r="BJ89" s="569"/>
      <c r="BK89" s="567"/>
      <c r="BL89" s="568"/>
      <c r="BM89" s="566"/>
      <c r="BN89" s="567"/>
      <c r="BO89" s="567"/>
      <c r="BP89" s="568"/>
      <c r="BQ89" s="566"/>
      <c r="BR89" s="567"/>
      <c r="BS89" s="568"/>
      <c r="BT89" s="567"/>
      <c r="BU89" s="567"/>
      <c r="BV89" s="567"/>
      <c r="BW89" s="568"/>
      <c r="BX89" s="566"/>
      <c r="BY89" s="567"/>
      <c r="BZ89" s="568"/>
      <c r="CA89" s="567"/>
      <c r="CB89" s="567"/>
      <c r="CC89" s="568"/>
      <c r="CD89" s="567"/>
      <c r="CE89" s="2807"/>
    </row>
    <row r="90" spans="1:83" ht="21" customHeight="1" x14ac:dyDescent="0.4">
      <c r="A90" s="249"/>
      <c r="B90" s="249"/>
      <c r="C90" s="584"/>
      <c r="D90" s="672"/>
      <c r="E90" s="688"/>
      <c r="F90" s="689"/>
      <c r="G90" s="674"/>
      <c r="H90" s="594"/>
      <c r="I90" s="675"/>
      <c r="J90" s="690"/>
      <c r="K90" s="691"/>
      <c r="L90" s="692"/>
      <c r="M90" s="685"/>
      <c r="N90" s="745" t="s">
        <v>330</v>
      </c>
      <c r="O90" s="685"/>
      <c r="P90" s="2751"/>
      <c r="Q90" s="2752" t="s">
        <v>322</v>
      </c>
      <c r="R90" s="2753"/>
      <c r="S90" s="666"/>
      <c r="T90" s="667" t="s">
        <v>315</v>
      </c>
      <c r="U90" s="668"/>
      <c r="V90" s="683"/>
      <c r="W90" s="683"/>
      <c r="X90" s="684"/>
      <c r="Y90" s="685"/>
      <c r="Z90" s="686"/>
      <c r="AA90" s="685"/>
      <c r="AB90" s="687"/>
      <c r="AC90" s="687"/>
      <c r="AD90" s="687"/>
      <c r="AE90" s="565"/>
      <c r="AF90" s="566"/>
      <c r="AG90" s="567"/>
      <c r="AH90" s="568"/>
      <c r="AI90" s="566"/>
      <c r="AJ90" s="567"/>
      <c r="AK90" s="568"/>
      <c r="AL90" s="566"/>
      <c r="AM90" s="567"/>
      <c r="AN90" s="568"/>
      <c r="AO90" s="566"/>
      <c r="AP90" s="567"/>
      <c r="AQ90" s="568"/>
      <c r="AR90" s="566"/>
      <c r="AS90" s="567"/>
      <c r="AT90" s="568"/>
      <c r="AU90" s="566"/>
      <c r="AV90" s="567"/>
      <c r="AW90" s="568"/>
      <c r="AX90" s="566"/>
      <c r="AY90" s="567"/>
      <c r="AZ90" s="568"/>
      <c r="BA90" s="566"/>
      <c r="BB90" s="567"/>
      <c r="BC90" s="568"/>
      <c r="BD90" s="566"/>
      <c r="BE90" s="567"/>
      <c r="BF90" s="567"/>
      <c r="BG90" s="569"/>
      <c r="BH90" s="567"/>
      <c r="BI90" s="567"/>
      <c r="BJ90" s="569"/>
      <c r="BK90" s="567"/>
      <c r="BL90" s="568"/>
      <c r="BM90" s="566"/>
      <c r="BN90" s="567"/>
      <c r="BO90" s="567"/>
      <c r="BP90" s="568"/>
      <c r="BQ90" s="566"/>
      <c r="BR90" s="567"/>
      <c r="BS90" s="568"/>
      <c r="BT90" s="567"/>
      <c r="BU90" s="567"/>
      <c r="BV90" s="567"/>
      <c r="BW90" s="568"/>
      <c r="BX90" s="566"/>
      <c r="BY90" s="567"/>
      <c r="BZ90" s="568"/>
      <c r="CA90" s="567"/>
      <c r="CB90" s="567"/>
      <c r="CC90" s="568"/>
      <c r="CD90" s="567"/>
      <c r="CE90" s="2807"/>
    </row>
    <row r="91" spans="1:83" ht="20.100000000000001" customHeight="1" x14ac:dyDescent="0.4">
      <c r="A91" s="249"/>
      <c r="B91" s="249"/>
      <c r="C91" s="584" t="s">
        <v>307</v>
      </c>
      <c r="D91" s="698"/>
      <c r="E91" s="699"/>
      <c r="F91" s="700"/>
      <c r="G91" s="701"/>
      <c r="H91" s="702"/>
      <c r="I91" s="703"/>
      <c r="J91" s="704"/>
      <c r="K91" s="691"/>
      <c r="L91" s="705"/>
      <c r="M91" s="685"/>
      <c r="N91" s="745" t="s">
        <v>333</v>
      </c>
      <c r="O91" s="685"/>
      <c r="P91" s="706"/>
      <c r="Q91" s="707"/>
      <c r="R91" s="708"/>
      <c r="S91" s="664"/>
      <c r="T91" s="664"/>
      <c r="U91" s="687"/>
      <c r="V91" s="683"/>
      <c r="W91" s="683"/>
      <c r="X91" s="709"/>
      <c r="Y91" s="685"/>
      <c r="Z91" s="686"/>
      <c r="AA91" s="685"/>
      <c r="AB91" s="687"/>
      <c r="AC91" s="687"/>
      <c r="AD91" s="687"/>
      <c r="AE91" s="568"/>
      <c r="AF91" s="566"/>
      <c r="AG91" s="567"/>
      <c r="AH91" s="568"/>
      <c r="AI91" s="566"/>
      <c r="AJ91" s="567"/>
      <c r="AK91" s="568"/>
      <c r="AL91" s="566"/>
      <c r="AM91" s="567"/>
      <c r="AN91" s="568"/>
      <c r="AO91" s="566"/>
      <c r="AP91" s="567"/>
      <c r="AQ91" s="568"/>
      <c r="AR91" s="566"/>
      <c r="AS91" s="567"/>
      <c r="AT91" s="568"/>
      <c r="AU91" s="566"/>
      <c r="AV91" s="567"/>
      <c r="AW91" s="568"/>
      <c r="AX91" s="566"/>
      <c r="AY91" s="567"/>
      <c r="AZ91" s="568"/>
      <c r="BA91" s="566"/>
      <c r="BB91" s="567"/>
      <c r="BC91" s="568"/>
      <c r="BD91" s="566"/>
      <c r="BE91" s="567"/>
      <c r="BF91" s="567"/>
      <c r="BG91" s="569"/>
      <c r="BH91" s="567"/>
      <c r="BI91" s="567"/>
      <c r="BJ91" s="569"/>
      <c r="BK91" s="567"/>
      <c r="BL91" s="568"/>
      <c r="BM91" s="566"/>
      <c r="BN91" s="567"/>
      <c r="BO91" s="567"/>
      <c r="BP91" s="568"/>
      <c r="BQ91" s="566"/>
      <c r="BR91" s="567"/>
      <c r="BS91" s="568"/>
      <c r="BT91" s="567"/>
      <c r="BU91" s="567"/>
      <c r="BV91" s="567"/>
      <c r="BW91" s="568"/>
      <c r="BX91" s="566"/>
      <c r="BY91" s="567"/>
      <c r="BZ91" s="568"/>
      <c r="CA91" s="567"/>
      <c r="CB91" s="567"/>
      <c r="CC91" s="568"/>
      <c r="CD91" s="567"/>
      <c r="CE91" s="2807"/>
    </row>
    <row r="92" spans="1:83" ht="21.6" customHeight="1" x14ac:dyDescent="0.4">
      <c r="A92" s="249"/>
      <c r="B92" s="249"/>
      <c r="C92" s="621" t="s">
        <v>307</v>
      </c>
      <c r="D92" s="710"/>
      <c r="E92" s="688"/>
      <c r="F92" s="689"/>
      <c r="G92" s="674"/>
      <c r="H92" s="594"/>
      <c r="I92" s="675"/>
      <c r="J92" s="711"/>
      <c r="K92" s="712"/>
      <c r="L92" s="713"/>
      <c r="M92" s="685"/>
      <c r="N92" s="745"/>
      <c r="O92" s="685"/>
      <c r="P92" s="714"/>
      <c r="Q92" s="715" t="s">
        <v>323</v>
      </c>
      <c r="R92" s="716"/>
      <c r="S92" s="717"/>
      <c r="T92" s="718" t="s">
        <v>323</v>
      </c>
      <c r="U92" s="719"/>
      <c r="V92" s="717"/>
      <c r="W92" s="718" t="s">
        <v>323</v>
      </c>
      <c r="X92" s="717"/>
      <c r="Y92" s="719"/>
      <c r="Z92" s="718" t="s">
        <v>323</v>
      </c>
      <c r="AA92" s="720"/>
      <c r="AB92" s="719"/>
      <c r="AC92" s="719" t="s">
        <v>324</v>
      </c>
      <c r="AD92" s="719"/>
      <c r="AE92" s="568"/>
      <c r="AF92" s="566"/>
      <c r="AG92" s="567"/>
      <c r="AH92" s="568"/>
      <c r="AI92" s="566"/>
      <c r="AJ92" s="567"/>
      <c r="AK92" s="568"/>
      <c r="AL92" s="566"/>
      <c r="AM92" s="567"/>
      <c r="AN92" s="568"/>
      <c r="AO92" s="566"/>
      <c r="AP92" s="567"/>
      <c r="AQ92" s="568"/>
      <c r="AR92" s="566"/>
      <c r="AS92" s="567"/>
      <c r="AT92" s="568"/>
      <c r="AU92" s="566"/>
      <c r="AV92" s="567"/>
      <c r="AW92" s="568"/>
      <c r="AX92" s="566"/>
      <c r="AY92" s="567"/>
      <c r="AZ92" s="568"/>
      <c r="BA92" s="566"/>
      <c r="BB92" s="567"/>
      <c r="BC92" s="568"/>
      <c r="BD92" s="566"/>
      <c r="BE92" s="567"/>
      <c r="BF92" s="567"/>
      <c r="BG92" s="569"/>
      <c r="BH92" s="567"/>
      <c r="BI92" s="567"/>
      <c r="BJ92" s="569"/>
      <c r="BK92" s="567"/>
      <c r="BL92" s="568"/>
      <c r="BM92" s="566"/>
      <c r="BN92" s="567"/>
      <c r="BO92" s="567"/>
      <c r="BP92" s="568"/>
      <c r="BQ92" s="566"/>
      <c r="BR92" s="567"/>
      <c r="BS92" s="568"/>
      <c r="BT92" s="567"/>
      <c r="BU92" s="567"/>
      <c r="BV92" s="567"/>
      <c r="BW92" s="568"/>
      <c r="BX92" s="566"/>
      <c r="BY92" s="567"/>
      <c r="BZ92" s="568"/>
      <c r="CA92" s="567"/>
      <c r="CB92" s="567"/>
      <c r="CC92" s="568"/>
      <c r="CD92" s="567"/>
      <c r="CE92" s="2807"/>
    </row>
    <row r="93" spans="1:83" ht="18.75" customHeight="1" x14ac:dyDescent="0.4">
      <c r="A93" s="249"/>
      <c r="B93" s="249"/>
      <c r="C93" s="584" t="s">
        <v>307</v>
      </c>
      <c r="D93" s="721"/>
      <c r="E93" s="609"/>
      <c r="F93" s="722"/>
      <c r="G93" s="723"/>
      <c r="H93" s="612"/>
      <c r="I93" s="724"/>
      <c r="J93" s="725"/>
      <c r="K93" s="726"/>
      <c r="L93" s="727"/>
      <c r="M93" s="685"/>
      <c r="N93" s="745"/>
      <c r="O93" s="685"/>
      <c r="P93" s="728"/>
      <c r="Q93" s="729" t="s">
        <v>325</v>
      </c>
      <c r="R93" s="730"/>
      <c r="S93" s="731"/>
      <c r="T93" s="732" t="s">
        <v>326</v>
      </c>
      <c r="U93" s="601"/>
      <c r="V93" s="731"/>
      <c r="W93" s="732" t="s">
        <v>325</v>
      </c>
      <c r="X93" s="731"/>
      <c r="Y93" s="601"/>
      <c r="Z93" s="732" t="s">
        <v>325</v>
      </c>
      <c r="AA93" s="733"/>
      <c r="AB93" s="601"/>
      <c r="AC93" s="601" t="s">
        <v>327</v>
      </c>
      <c r="AD93" s="601"/>
      <c r="AE93" s="568"/>
      <c r="AF93" s="566"/>
      <c r="AG93" s="567"/>
      <c r="AH93" s="568"/>
      <c r="AI93" s="566"/>
      <c r="AJ93" s="567"/>
      <c r="AK93" s="568"/>
      <c r="AL93" s="566"/>
      <c r="AM93" s="567"/>
      <c r="AN93" s="568"/>
      <c r="AO93" s="566"/>
      <c r="AP93" s="567"/>
      <c r="AQ93" s="568"/>
      <c r="AR93" s="566"/>
      <c r="AS93" s="567"/>
      <c r="AT93" s="568"/>
      <c r="AU93" s="566"/>
      <c r="AV93" s="567"/>
      <c r="AW93" s="568"/>
      <c r="AX93" s="566"/>
      <c r="AY93" s="567"/>
      <c r="AZ93" s="568"/>
      <c r="BA93" s="566"/>
      <c r="BB93" s="567"/>
      <c r="BC93" s="568"/>
      <c r="BD93" s="566"/>
      <c r="BE93" s="567"/>
      <c r="BF93" s="567"/>
      <c r="BG93" s="569"/>
      <c r="BH93" s="567"/>
      <c r="BI93" s="567"/>
      <c r="BJ93" s="569"/>
      <c r="BK93" s="567"/>
      <c r="BL93" s="568"/>
      <c r="BM93" s="566"/>
      <c r="BN93" s="567"/>
      <c r="BO93" s="567"/>
      <c r="BP93" s="568"/>
      <c r="BQ93" s="566"/>
      <c r="BR93" s="567"/>
      <c r="BS93" s="568"/>
      <c r="BT93" s="567"/>
      <c r="BU93" s="567"/>
      <c r="BV93" s="567"/>
      <c r="BW93" s="568"/>
      <c r="BX93" s="566"/>
      <c r="BY93" s="567"/>
      <c r="BZ93" s="568"/>
      <c r="CA93" s="567"/>
      <c r="CB93" s="567"/>
      <c r="CC93" s="568"/>
      <c r="CD93" s="567"/>
      <c r="CE93" s="2807"/>
    </row>
    <row r="94" spans="1:83" ht="18" customHeight="1" x14ac:dyDescent="0.4">
      <c r="A94" s="249"/>
      <c r="B94" s="249"/>
      <c r="C94" s="584" t="s">
        <v>307</v>
      </c>
      <c r="D94" s="734"/>
      <c r="E94" s="609"/>
      <c r="F94" s="735"/>
      <c r="G94" s="736"/>
      <c r="H94" s="612"/>
      <c r="I94" s="737"/>
      <c r="J94" s="704"/>
      <c r="K94" s="691"/>
      <c r="L94" s="705"/>
      <c r="M94" s="685"/>
      <c r="N94" s="739"/>
      <c r="O94" s="685"/>
      <c r="P94" s="706"/>
      <c r="Q94" s="707" t="s">
        <v>329</v>
      </c>
      <c r="R94" s="708"/>
      <c r="S94" s="664"/>
      <c r="T94" s="664"/>
      <c r="U94" s="687"/>
      <c r="V94" s="709"/>
      <c r="W94" s="709" t="s">
        <v>332</v>
      </c>
      <c r="X94" s="738"/>
      <c r="Y94" s="685"/>
      <c r="Z94" s="739" t="s">
        <v>328</v>
      </c>
      <c r="AA94" s="685"/>
      <c r="AB94" s="740"/>
      <c r="AC94" s="741"/>
      <c r="AD94" s="740"/>
      <c r="AE94" s="568"/>
      <c r="AF94" s="566"/>
      <c r="AG94" s="567"/>
      <c r="AH94" s="568"/>
      <c r="AI94" s="566"/>
      <c r="AJ94" s="567"/>
      <c r="AK94" s="568"/>
      <c r="AL94" s="566"/>
      <c r="AM94" s="567"/>
      <c r="AN94" s="568"/>
      <c r="AO94" s="566"/>
      <c r="AP94" s="567"/>
      <c r="AQ94" s="568"/>
      <c r="AR94" s="566"/>
      <c r="AS94" s="567"/>
      <c r="AT94" s="568"/>
      <c r="AU94" s="566"/>
      <c r="AV94" s="567"/>
      <c r="AW94" s="568"/>
      <c r="AX94" s="566"/>
      <c r="AY94" s="567"/>
      <c r="AZ94" s="568"/>
      <c r="BA94" s="566"/>
      <c r="BB94" s="567"/>
      <c r="BC94" s="568"/>
      <c r="BD94" s="566"/>
      <c r="BE94" s="567"/>
      <c r="BF94" s="567"/>
      <c r="BG94" s="569"/>
      <c r="BH94" s="567"/>
      <c r="BI94" s="567"/>
      <c r="BJ94" s="569"/>
      <c r="BK94" s="567"/>
      <c r="BL94" s="568"/>
      <c r="BM94" s="566"/>
      <c r="BN94" s="567"/>
      <c r="BO94" s="567"/>
      <c r="BP94" s="568"/>
      <c r="BQ94" s="566"/>
      <c r="BR94" s="567"/>
      <c r="BS94" s="568"/>
      <c r="BT94" s="567"/>
      <c r="BU94" s="567"/>
      <c r="BV94" s="567"/>
      <c r="BW94" s="568"/>
      <c r="BX94" s="566"/>
      <c r="BY94" s="567"/>
      <c r="BZ94" s="568"/>
      <c r="CA94" s="567"/>
      <c r="CB94" s="567"/>
      <c r="CC94" s="568"/>
      <c r="CD94" s="567"/>
      <c r="CE94" s="2807"/>
    </row>
    <row r="95" spans="1:83" ht="26.25" customHeight="1" x14ac:dyDescent="0.4">
      <c r="A95" s="249"/>
      <c r="B95" s="249"/>
      <c r="C95" s="584" t="s">
        <v>307</v>
      </c>
      <c r="D95" s="589"/>
      <c r="E95" s="688"/>
      <c r="F95" s="688"/>
      <c r="G95" s="590"/>
      <c r="H95" s="594"/>
      <c r="I95" s="742"/>
      <c r="J95" s="743"/>
      <c r="K95" s="691"/>
      <c r="L95" s="705"/>
      <c r="M95" s="685"/>
      <c r="N95" s="745"/>
      <c r="O95" s="685"/>
      <c r="P95" s="744"/>
      <c r="Q95" s="707"/>
      <c r="R95" s="708"/>
      <c r="S95" s="664"/>
      <c r="T95" s="664" t="s">
        <v>331</v>
      </c>
      <c r="U95" s="687"/>
      <c r="V95" s="709"/>
      <c r="W95" s="709" t="s">
        <v>335</v>
      </c>
      <c r="X95" s="684"/>
      <c r="Y95" s="685"/>
      <c r="Z95" s="745" t="s">
        <v>330</v>
      </c>
      <c r="AA95" s="685"/>
      <c r="AB95" s="687"/>
      <c r="AC95" s="687"/>
      <c r="AD95" s="687"/>
      <c r="AE95" s="568"/>
      <c r="AF95" s="566"/>
      <c r="AG95" s="567"/>
      <c r="AH95" s="568"/>
      <c r="AI95" s="566"/>
      <c r="AJ95" s="567"/>
      <c r="AK95" s="568"/>
      <c r="AL95" s="566"/>
      <c r="AM95" s="567"/>
      <c r="AN95" s="568"/>
      <c r="AO95" s="566"/>
      <c r="AP95" s="567"/>
      <c r="AQ95" s="568"/>
      <c r="AR95" s="566"/>
      <c r="AS95" s="567"/>
      <c r="AT95" s="568"/>
      <c r="AU95" s="566"/>
      <c r="AV95" s="567"/>
      <c r="AW95" s="568"/>
      <c r="AX95" s="566"/>
      <c r="AY95" s="567"/>
      <c r="AZ95" s="568"/>
      <c r="BA95" s="566"/>
      <c r="BB95" s="567"/>
      <c r="BC95" s="568"/>
      <c r="BD95" s="566"/>
      <c r="BE95" s="567"/>
      <c r="BF95" s="567"/>
      <c r="BG95" s="569"/>
      <c r="BH95" s="567"/>
      <c r="BI95" s="567"/>
      <c r="BJ95" s="569"/>
      <c r="BK95" s="567"/>
      <c r="BL95" s="568"/>
      <c r="BM95" s="566"/>
      <c r="BN95" s="567"/>
      <c r="BO95" s="567"/>
      <c r="BP95" s="568"/>
      <c r="BQ95" s="566"/>
      <c r="BR95" s="567"/>
      <c r="BS95" s="568"/>
      <c r="BT95" s="567"/>
      <c r="BU95" s="567"/>
      <c r="BV95" s="567"/>
      <c r="BW95" s="568"/>
      <c r="BX95" s="566"/>
      <c r="BY95" s="567"/>
      <c r="BZ95" s="568"/>
      <c r="CA95" s="567"/>
      <c r="CB95" s="567"/>
      <c r="CC95" s="568"/>
      <c r="CD95" s="567"/>
      <c r="CE95" s="2807"/>
    </row>
    <row r="96" spans="1:83" ht="22.5" customHeight="1" x14ac:dyDescent="0.4">
      <c r="A96" s="249"/>
      <c r="B96" s="249"/>
      <c r="C96" s="584" t="s">
        <v>307</v>
      </c>
      <c r="D96" s="746"/>
      <c r="E96" s="747"/>
      <c r="F96" s="747"/>
      <c r="G96" s="748"/>
      <c r="H96" s="749"/>
      <c r="I96" s="742"/>
      <c r="J96" s="704"/>
      <c r="K96" s="691"/>
      <c r="L96" s="705"/>
      <c r="M96" s="685"/>
      <c r="N96" s="745"/>
      <c r="O96" s="685"/>
      <c r="P96" s="706"/>
      <c r="Q96" s="707"/>
      <c r="R96" s="708"/>
      <c r="S96" s="664"/>
      <c r="T96" s="664" t="s">
        <v>334</v>
      </c>
      <c r="U96" s="687"/>
      <c r="V96" s="683"/>
      <c r="W96" s="709"/>
      <c r="X96" s="684"/>
      <c r="Y96" s="685"/>
      <c r="Z96" s="745" t="s">
        <v>333</v>
      </c>
      <c r="AA96" s="685"/>
      <c r="AB96" s="687"/>
      <c r="AC96" s="687"/>
      <c r="AD96" s="687"/>
      <c r="AE96" s="568"/>
      <c r="AF96" s="566"/>
      <c r="AG96" s="567"/>
      <c r="AH96" s="568"/>
      <c r="AI96" s="566"/>
      <c r="AJ96" s="567"/>
      <c r="AK96" s="568"/>
      <c r="AL96" s="566"/>
      <c r="AM96" s="567"/>
      <c r="AN96" s="568"/>
      <c r="AO96" s="566"/>
      <c r="AP96" s="567"/>
      <c r="AQ96" s="568"/>
      <c r="AR96" s="566"/>
      <c r="AS96" s="567"/>
      <c r="AT96" s="568"/>
      <c r="AU96" s="566"/>
      <c r="AV96" s="567"/>
      <c r="AW96" s="568"/>
      <c r="AX96" s="566"/>
      <c r="AY96" s="567"/>
      <c r="AZ96" s="568"/>
      <c r="BA96" s="566"/>
      <c r="BB96" s="567"/>
      <c r="BC96" s="568"/>
      <c r="BD96" s="566"/>
      <c r="BE96" s="567"/>
      <c r="BF96" s="567"/>
      <c r="BG96" s="569"/>
      <c r="BH96" s="567"/>
      <c r="BI96" s="567"/>
      <c r="BJ96" s="569"/>
      <c r="BK96" s="567"/>
      <c r="BL96" s="568"/>
      <c r="BM96" s="566"/>
      <c r="BN96" s="567"/>
      <c r="BO96" s="567"/>
      <c r="BP96" s="568"/>
      <c r="BQ96" s="566"/>
      <c r="BR96" s="567"/>
      <c r="BS96" s="568"/>
      <c r="BT96" s="567"/>
      <c r="BU96" s="567"/>
      <c r="BV96" s="567"/>
      <c r="BW96" s="568"/>
      <c r="BX96" s="566"/>
      <c r="BY96" s="567"/>
      <c r="BZ96" s="568"/>
      <c r="CA96" s="567"/>
      <c r="CB96" s="567"/>
      <c r="CC96" s="568"/>
      <c r="CD96" s="567"/>
      <c r="CE96" s="2807"/>
    </row>
    <row r="97" spans="1:83" ht="18.75" customHeight="1" x14ac:dyDescent="0.4">
      <c r="A97" s="249"/>
      <c r="B97" s="249"/>
      <c r="C97" s="584" t="s">
        <v>307</v>
      </c>
      <c r="D97" s="750"/>
      <c r="E97" s="535"/>
      <c r="F97" s="535"/>
      <c r="G97" s="751"/>
      <c r="H97" s="537"/>
      <c r="I97" s="634"/>
      <c r="J97" s="704"/>
      <c r="K97" s="691"/>
      <c r="L97" s="705"/>
      <c r="M97" s="685"/>
      <c r="N97" s="745"/>
      <c r="O97" s="685"/>
      <c r="P97" s="706"/>
      <c r="Q97" s="707"/>
      <c r="R97" s="708"/>
      <c r="S97" s="664"/>
      <c r="T97" s="664"/>
      <c r="U97" s="687"/>
      <c r="V97" s="683"/>
      <c r="W97" s="683"/>
      <c r="X97" s="684"/>
      <c r="Y97" s="685"/>
      <c r="Z97" s="745"/>
      <c r="AA97" s="685"/>
      <c r="AB97" s="687"/>
      <c r="AC97" s="687"/>
      <c r="AD97" s="687"/>
      <c r="AE97" s="568"/>
      <c r="AF97" s="566"/>
      <c r="AG97" s="567"/>
      <c r="AH97" s="568"/>
      <c r="AI97" s="566"/>
      <c r="AJ97" s="567"/>
      <c r="AK97" s="568"/>
      <c r="AL97" s="566"/>
      <c r="AM97" s="567"/>
      <c r="AN97" s="568"/>
      <c r="AO97" s="566"/>
      <c r="AP97" s="567"/>
      <c r="AQ97" s="568"/>
      <c r="AR97" s="566"/>
      <c r="AS97" s="567"/>
      <c r="AT97" s="568"/>
      <c r="AU97" s="566"/>
      <c r="AV97" s="567"/>
      <c r="AW97" s="568"/>
      <c r="AX97" s="566"/>
      <c r="AY97" s="567"/>
      <c r="AZ97" s="568"/>
      <c r="BA97" s="566"/>
      <c r="BB97" s="567"/>
      <c r="BC97" s="568"/>
      <c r="BD97" s="566"/>
      <c r="BE97" s="567"/>
      <c r="BF97" s="567"/>
      <c r="BG97" s="569"/>
      <c r="BH97" s="567"/>
      <c r="BI97" s="567"/>
      <c r="BJ97" s="569"/>
      <c r="BK97" s="567"/>
      <c r="BL97" s="568"/>
      <c r="BM97" s="566"/>
      <c r="BN97" s="567"/>
      <c r="BO97" s="567"/>
      <c r="BP97" s="568"/>
      <c r="BQ97" s="566"/>
      <c r="BR97" s="567"/>
      <c r="BS97" s="568"/>
      <c r="BT97" s="567"/>
      <c r="BU97" s="567"/>
      <c r="BV97" s="567"/>
      <c r="BW97" s="568"/>
      <c r="BX97" s="566"/>
      <c r="BY97" s="567"/>
      <c r="BZ97" s="568"/>
      <c r="CA97" s="567"/>
      <c r="CB97" s="567"/>
      <c r="CC97" s="568"/>
      <c r="CD97" s="567"/>
      <c r="CE97" s="2807"/>
    </row>
    <row r="98" spans="1:83" ht="14.85" customHeight="1" x14ac:dyDescent="0.4">
      <c r="A98" s="249"/>
      <c r="B98" s="249"/>
      <c r="C98" s="584">
        <v>0.33680555555555503</v>
      </c>
      <c r="D98" s="589"/>
      <c r="E98" s="688"/>
      <c r="F98" s="688"/>
      <c r="G98" s="590"/>
      <c r="H98" s="594"/>
      <c r="I98" s="742"/>
      <c r="J98" s="752"/>
      <c r="K98" s="753"/>
      <c r="L98" s="754"/>
      <c r="M98" s="685"/>
      <c r="N98" s="745"/>
      <c r="O98" s="685"/>
      <c r="P98" s="755"/>
      <c r="Q98" s="756"/>
      <c r="R98" s="757"/>
      <c r="S98" s="664"/>
      <c r="T98" s="664"/>
      <c r="U98" s="687"/>
      <c r="V98" s="709"/>
      <c r="W98" s="709"/>
      <c r="X98" s="738"/>
      <c r="Y98" s="685"/>
      <c r="Z98" s="745"/>
      <c r="AA98" s="685"/>
      <c r="AB98" s="687"/>
      <c r="AC98" s="687"/>
      <c r="AD98" s="687"/>
      <c r="AE98" s="568"/>
      <c r="AF98" s="566"/>
      <c r="AG98" s="567"/>
      <c r="AH98" s="568"/>
      <c r="AI98" s="566"/>
      <c r="AJ98" s="567"/>
      <c r="AK98" s="568"/>
      <c r="AL98" s="566"/>
      <c r="AM98" s="567"/>
      <c r="AN98" s="568"/>
      <c r="AO98" s="566"/>
      <c r="AP98" s="567"/>
      <c r="AQ98" s="568"/>
      <c r="AR98" s="566"/>
      <c r="AS98" s="567"/>
      <c r="AT98" s="568"/>
      <c r="AU98" s="566"/>
      <c r="AV98" s="567"/>
      <c r="AW98" s="568"/>
      <c r="AX98" s="566"/>
      <c r="AY98" s="567"/>
      <c r="AZ98" s="568"/>
      <c r="BA98" s="566"/>
      <c r="BB98" s="567"/>
      <c r="BC98" s="568"/>
      <c r="BD98" s="566"/>
      <c r="BE98" s="567"/>
      <c r="BF98" s="567"/>
      <c r="BG98" s="758"/>
      <c r="BH98" s="759"/>
      <c r="BI98" s="567"/>
      <c r="BJ98" s="758"/>
      <c r="BK98" s="759"/>
      <c r="BL98" s="568"/>
      <c r="BM98" s="566"/>
      <c r="BN98" s="567"/>
      <c r="BO98" s="567"/>
      <c r="BP98" s="568"/>
      <c r="BQ98" s="566"/>
      <c r="BR98" s="567"/>
      <c r="BS98" s="568"/>
      <c r="BT98" s="567"/>
      <c r="BU98" s="567"/>
      <c r="BV98" s="567"/>
      <c r="BW98" s="568"/>
      <c r="BX98" s="566"/>
      <c r="BY98" s="567"/>
      <c r="BZ98" s="568"/>
      <c r="CA98" s="567"/>
      <c r="CB98" s="567"/>
      <c r="CC98" s="568"/>
      <c r="CD98" s="567"/>
      <c r="CE98" s="2807"/>
    </row>
    <row r="99" spans="1:83" ht="14.85" customHeight="1" x14ac:dyDescent="0.4">
      <c r="A99" s="249"/>
      <c r="B99" s="249"/>
      <c r="C99" s="584">
        <v>0.34027777777777801</v>
      </c>
      <c r="D99" s="760"/>
      <c r="E99" s="688"/>
      <c r="F99" s="761"/>
      <c r="G99" s="762"/>
      <c r="H99" s="594"/>
      <c r="I99" s="763"/>
      <c r="J99" s="752"/>
      <c r="K99" s="753"/>
      <c r="L99" s="754"/>
      <c r="M99" s="685"/>
      <c r="N99" s="745"/>
      <c r="O99" s="685"/>
      <c r="P99" s="755"/>
      <c r="Q99" s="756"/>
      <c r="R99" s="757"/>
      <c r="S99" s="664"/>
      <c r="T99" s="2754"/>
      <c r="U99" s="687"/>
      <c r="V99" s="709"/>
      <c r="W99" s="709"/>
      <c r="X99" s="738"/>
      <c r="Y99" s="685"/>
      <c r="Z99" s="745"/>
      <c r="AA99" s="685"/>
      <c r="AB99" s="687"/>
      <c r="AC99" s="687"/>
      <c r="AD99" s="687"/>
      <c r="AE99" s="568"/>
      <c r="AF99" s="566"/>
      <c r="AG99" s="567"/>
      <c r="AH99" s="568"/>
      <c r="AI99" s="566"/>
      <c r="AJ99" s="567"/>
      <c r="AK99" s="568"/>
      <c r="AL99" s="566"/>
      <c r="AM99" s="567"/>
      <c r="AN99" s="568"/>
      <c r="AO99" s="566"/>
      <c r="AP99" s="567"/>
      <c r="AQ99" s="568"/>
      <c r="AR99" s="566"/>
      <c r="AS99" s="567"/>
      <c r="AT99" s="568"/>
      <c r="AU99" s="566"/>
      <c r="AV99" s="567"/>
      <c r="AW99" s="568"/>
      <c r="AX99" s="566"/>
      <c r="AY99" s="567"/>
      <c r="AZ99" s="568"/>
      <c r="BA99" s="566"/>
      <c r="BB99" s="567"/>
      <c r="BC99" s="568"/>
      <c r="BD99" s="566"/>
      <c r="BE99" s="567"/>
      <c r="BF99" s="567"/>
      <c r="BG99" s="767"/>
      <c r="BH99" s="768"/>
      <c r="BI99" s="567"/>
      <c r="BJ99" s="767"/>
      <c r="BK99" s="768"/>
      <c r="BL99" s="568"/>
      <c r="BM99" s="566"/>
      <c r="BN99" s="567"/>
      <c r="BO99" s="567"/>
      <c r="BP99" s="568"/>
      <c r="BQ99" s="566"/>
      <c r="BR99" s="567"/>
      <c r="BS99" s="568"/>
      <c r="BT99" s="567"/>
      <c r="BU99" s="567"/>
      <c r="BV99" s="567"/>
      <c r="BW99" s="568"/>
      <c r="BX99" s="566"/>
      <c r="BY99" s="567"/>
      <c r="BZ99" s="568"/>
      <c r="CA99" s="567"/>
      <c r="CB99" s="567"/>
      <c r="CC99" s="568"/>
      <c r="CD99" s="567"/>
      <c r="CE99" s="2807"/>
    </row>
    <row r="100" spans="1:83" ht="20.100000000000001" customHeight="1" x14ac:dyDescent="0.4">
      <c r="A100" s="249"/>
      <c r="B100" s="249"/>
      <c r="C100" s="584">
        <v>0.34375</v>
      </c>
      <c r="D100" s="595"/>
      <c r="E100" s="597"/>
      <c r="F100" s="597"/>
      <c r="G100" s="598"/>
      <c r="H100" s="599"/>
      <c r="I100" s="600"/>
      <c r="J100" s="743"/>
      <c r="K100" s="691"/>
      <c r="L100" s="754"/>
      <c r="M100" s="685"/>
      <c r="N100" s="745" t="s">
        <v>334</v>
      </c>
      <c r="O100" s="685"/>
      <c r="P100" s="744"/>
      <c r="Q100" s="769" t="s">
        <v>329</v>
      </c>
      <c r="R100" s="757"/>
      <c r="S100" s="664"/>
      <c r="T100" s="664" t="s">
        <v>337</v>
      </c>
      <c r="U100" s="687"/>
      <c r="V100" s="709"/>
      <c r="W100" s="709" t="s">
        <v>332</v>
      </c>
      <c r="X100" s="738"/>
      <c r="Y100" s="685"/>
      <c r="Z100" s="745"/>
      <c r="AA100" s="685"/>
      <c r="AB100" s="687"/>
      <c r="AC100" s="687"/>
      <c r="AD100" s="687"/>
      <c r="AE100" s="568"/>
      <c r="AF100" s="566"/>
      <c r="AG100" s="567"/>
      <c r="AH100" s="568"/>
      <c r="AI100" s="566"/>
      <c r="AJ100" s="567"/>
      <c r="AK100" s="568"/>
      <c r="AL100" s="566"/>
      <c r="AM100" s="567"/>
      <c r="AN100" s="568"/>
      <c r="AO100" s="566"/>
      <c r="AP100" s="567"/>
      <c r="AQ100" s="568"/>
      <c r="AR100" s="566"/>
      <c r="AS100" s="567"/>
      <c r="AT100" s="568"/>
      <c r="AU100" s="566"/>
      <c r="AV100" s="567"/>
      <c r="AW100" s="568"/>
      <c r="AX100" s="566"/>
      <c r="AY100" s="567"/>
      <c r="AZ100" s="568"/>
      <c r="BA100" s="566"/>
      <c r="BB100" s="567"/>
      <c r="BC100" s="568"/>
      <c r="BD100" s="566"/>
      <c r="BE100" s="567"/>
      <c r="BF100" s="568"/>
      <c r="BG100" s="566"/>
      <c r="BH100" s="567"/>
      <c r="BI100" s="568"/>
      <c r="BJ100" s="566"/>
      <c r="BK100" s="567"/>
      <c r="BL100" s="568"/>
      <c r="BM100" s="566"/>
      <c r="BN100" s="567"/>
      <c r="BO100" s="567"/>
      <c r="BP100" s="568"/>
      <c r="BQ100" s="566"/>
      <c r="BR100" s="567"/>
      <c r="BS100" s="568"/>
      <c r="BT100" s="567"/>
      <c r="BU100" s="567"/>
      <c r="BV100" s="567"/>
      <c r="BW100" s="568"/>
      <c r="BX100" s="566"/>
      <c r="BY100" s="567"/>
      <c r="BZ100" s="568"/>
      <c r="CA100" s="567"/>
      <c r="CB100" s="567"/>
      <c r="CC100" s="568"/>
      <c r="CD100" s="567"/>
      <c r="CE100" s="2807"/>
    </row>
    <row r="101" spans="1:83" ht="16.350000000000001" customHeight="1" x14ac:dyDescent="0.4">
      <c r="A101" s="249"/>
      <c r="B101" s="249"/>
      <c r="C101" s="584" t="s">
        <v>307</v>
      </c>
      <c r="D101" s="631"/>
      <c r="E101" s="614"/>
      <c r="F101" s="632"/>
      <c r="G101" s="633"/>
      <c r="H101" s="612"/>
      <c r="I101" s="634"/>
      <c r="J101" s="743"/>
      <c r="K101" s="691"/>
      <c r="L101" s="705"/>
      <c r="M101" s="685"/>
      <c r="N101" s="745"/>
      <c r="O101" s="685"/>
      <c r="P101" s="744"/>
      <c r="Q101" s="769"/>
      <c r="R101" s="708"/>
      <c r="S101" s="664"/>
      <c r="T101" s="770" t="s">
        <v>339</v>
      </c>
      <c r="U101" s="687"/>
      <c r="V101" s="709"/>
      <c r="W101" s="709" t="s">
        <v>335</v>
      </c>
      <c r="X101" s="738"/>
      <c r="Y101" s="685"/>
      <c r="Z101" s="745" t="s">
        <v>334</v>
      </c>
      <c r="AA101" s="685"/>
      <c r="AB101" s="687"/>
      <c r="AC101" s="687"/>
      <c r="AD101" s="687"/>
      <c r="AE101" s="568"/>
      <c r="AF101" s="566"/>
      <c r="AG101" s="567"/>
      <c r="AH101" s="568"/>
      <c r="AI101" s="566"/>
      <c r="AJ101" s="567"/>
      <c r="AK101" s="568"/>
      <c r="AL101" s="566"/>
      <c r="AM101" s="567"/>
      <c r="AN101" s="568"/>
      <c r="AO101" s="566"/>
      <c r="AP101" s="567"/>
      <c r="AQ101" s="568"/>
      <c r="AR101" s="566"/>
      <c r="AS101" s="567"/>
      <c r="AT101" s="568"/>
      <c r="AU101" s="566"/>
      <c r="AV101" s="567"/>
      <c r="AW101" s="568"/>
      <c r="AX101" s="566"/>
      <c r="AY101" s="567"/>
      <c r="AZ101" s="568"/>
      <c r="BA101" s="566"/>
      <c r="BB101" s="567"/>
      <c r="BC101" s="568"/>
      <c r="BD101" s="566"/>
      <c r="BE101" s="567"/>
      <c r="BF101" s="568"/>
      <c r="BG101" s="566"/>
      <c r="BH101" s="567"/>
      <c r="BI101" s="568"/>
      <c r="BJ101" s="566"/>
      <c r="BK101" s="567"/>
      <c r="BL101" s="568"/>
      <c r="BM101" s="566"/>
      <c r="BN101" s="567"/>
      <c r="BO101" s="567"/>
      <c r="BP101" s="568"/>
      <c r="BQ101" s="566"/>
      <c r="BR101" s="567"/>
      <c r="BS101" s="568"/>
      <c r="BT101" s="567"/>
      <c r="BU101" s="567"/>
      <c r="BV101" s="567"/>
      <c r="BW101" s="568"/>
      <c r="BX101" s="566"/>
      <c r="BY101" s="567"/>
      <c r="BZ101" s="568"/>
      <c r="CA101" s="567"/>
      <c r="CB101" s="567"/>
      <c r="CC101" s="568"/>
      <c r="CD101" s="567"/>
      <c r="CE101" s="2807"/>
    </row>
    <row r="102" spans="1:83" ht="16.350000000000001" customHeight="1" x14ac:dyDescent="0.4">
      <c r="A102" s="249"/>
      <c r="B102" s="249"/>
      <c r="C102" s="584" t="s">
        <v>307</v>
      </c>
      <c r="D102" s="589"/>
      <c r="E102" s="688"/>
      <c r="F102" s="688"/>
      <c r="G102" s="590"/>
      <c r="H102" s="594"/>
      <c r="I102" s="742"/>
      <c r="J102" s="704"/>
      <c r="K102" s="691"/>
      <c r="L102" s="705"/>
      <c r="M102" s="685"/>
      <c r="N102" s="745"/>
      <c r="O102" s="685"/>
      <c r="P102" s="706"/>
      <c r="Q102" s="707"/>
      <c r="R102" s="708"/>
      <c r="S102" s="664"/>
      <c r="T102" s="664"/>
      <c r="U102" s="687"/>
      <c r="V102" s="683"/>
      <c r="W102" s="683"/>
      <c r="X102" s="738"/>
      <c r="Y102" s="685"/>
      <c r="Z102" s="745"/>
      <c r="AA102" s="685"/>
      <c r="AB102" s="687"/>
      <c r="AC102" s="687"/>
      <c r="AD102" s="687"/>
      <c r="AE102" s="568"/>
      <c r="AF102" s="566"/>
      <c r="AG102" s="567"/>
      <c r="AH102" s="568"/>
      <c r="AI102" s="566"/>
      <c r="AJ102" s="567"/>
      <c r="AK102" s="568"/>
      <c r="AL102" s="566"/>
      <c r="AM102" s="567"/>
      <c r="AN102" s="568"/>
      <c r="AO102" s="566"/>
      <c r="AP102" s="567"/>
      <c r="AQ102" s="568"/>
      <c r="AR102" s="566"/>
      <c r="AS102" s="567"/>
      <c r="AT102" s="568"/>
      <c r="AU102" s="566"/>
      <c r="AV102" s="567"/>
      <c r="AW102" s="568"/>
      <c r="AX102" s="566"/>
      <c r="AY102" s="567"/>
      <c r="AZ102" s="568"/>
      <c r="BA102" s="566"/>
      <c r="BB102" s="567"/>
      <c r="BC102" s="568"/>
      <c r="BD102" s="566"/>
      <c r="BE102" s="567"/>
      <c r="BF102" s="568"/>
      <c r="BG102" s="566"/>
      <c r="BH102" s="567"/>
      <c r="BI102" s="568"/>
      <c r="BJ102" s="566"/>
      <c r="BK102" s="567"/>
      <c r="BL102" s="568"/>
      <c r="BM102" s="566"/>
      <c r="BN102" s="567"/>
      <c r="BO102" s="567"/>
      <c r="BP102" s="568"/>
      <c r="BQ102" s="566"/>
      <c r="BR102" s="567"/>
      <c r="BS102" s="568"/>
      <c r="BT102" s="567"/>
      <c r="BU102" s="567"/>
      <c r="BV102" s="567"/>
      <c r="BW102" s="568"/>
      <c r="BX102" s="566"/>
      <c r="BY102" s="567"/>
      <c r="BZ102" s="568"/>
      <c r="CA102" s="567"/>
      <c r="CB102" s="567"/>
      <c r="CC102" s="568"/>
      <c r="CD102" s="567"/>
      <c r="CE102" s="2807"/>
    </row>
    <row r="103" spans="1:83" ht="16.350000000000001" customHeight="1" x14ac:dyDescent="0.4">
      <c r="A103" s="249"/>
      <c r="B103" s="249"/>
      <c r="C103" s="584" t="s">
        <v>307</v>
      </c>
      <c r="D103" s="746"/>
      <c r="E103" s="747"/>
      <c r="F103" s="771"/>
      <c r="G103" s="748"/>
      <c r="H103" s="749"/>
      <c r="I103" s="742"/>
      <c r="J103" s="752"/>
      <c r="K103" s="753"/>
      <c r="L103" s="754"/>
      <c r="M103" s="685"/>
      <c r="N103" s="745"/>
      <c r="O103" s="685"/>
      <c r="P103" s="755"/>
      <c r="Q103" s="756"/>
      <c r="R103" s="757"/>
      <c r="S103" s="664"/>
      <c r="T103" s="664"/>
      <c r="U103" s="687"/>
      <c r="V103" s="709"/>
      <c r="W103" s="709"/>
      <c r="X103" s="738"/>
      <c r="Y103" s="685"/>
      <c r="Z103" s="745"/>
      <c r="AA103" s="685"/>
      <c r="AB103" s="687"/>
      <c r="AC103" s="687"/>
      <c r="AD103" s="687"/>
      <c r="AE103" s="568"/>
      <c r="AF103" s="566"/>
      <c r="AG103" s="567"/>
      <c r="AH103" s="568"/>
      <c r="AI103" s="566"/>
      <c r="AJ103" s="567"/>
      <c r="AK103" s="568"/>
      <c r="AL103" s="566"/>
      <c r="AM103" s="567"/>
      <c r="AN103" s="568"/>
      <c r="AO103" s="566"/>
      <c r="AP103" s="567"/>
      <c r="AQ103" s="568"/>
      <c r="AR103" s="566"/>
      <c r="AS103" s="567"/>
      <c r="AT103" s="568"/>
      <c r="AU103" s="566"/>
      <c r="AV103" s="567"/>
      <c r="AW103" s="568"/>
      <c r="AX103" s="566"/>
      <c r="AY103" s="567"/>
      <c r="AZ103" s="568"/>
      <c r="BA103" s="566"/>
      <c r="BB103" s="567"/>
      <c r="BC103" s="568"/>
      <c r="BD103" s="566"/>
      <c r="BE103" s="567"/>
      <c r="BF103" s="568"/>
      <c r="BG103" s="566"/>
      <c r="BH103" s="567"/>
      <c r="BI103" s="568"/>
      <c r="BJ103" s="566"/>
      <c r="BK103" s="567"/>
      <c r="BL103" s="568"/>
      <c r="BM103" s="566"/>
      <c r="BN103" s="567"/>
      <c r="BO103" s="567"/>
      <c r="BP103" s="568"/>
      <c r="BQ103" s="566"/>
      <c r="BR103" s="567"/>
      <c r="BS103" s="568"/>
      <c r="BT103" s="567"/>
      <c r="BU103" s="567"/>
      <c r="BV103" s="567"/>
      <c r="BW103" s="568"/>
      <c r="BX103" s="566"/>
      <c r="BY103" s="567"/>
      <c r="BZ103" s="568"/>
      <c r="CA103" s="567"/>
      <c r="CB103" s="567"/>
      <c r="CC103" s="568"/>
      <c r="CD103" s="567"/>
      <c r="CE103" s="2807"/>
    </row>
    <row r="104" spans="1:83" ht="14.85" customHeight="1" x14ac:dyDescent="0.4">
      <c r="A104" s="249"/>
      <c r="B104" s="249"/>
      <c r="C104" s="584">
        <v>0.34722222222222199</v>
      </c>
      <c r="D104" s="585"/>
      <c r="E104" s="772"/>
      <c r="F104" s="773"/>
      <c r="G104" s="581"/>
      <c r="H104" s="774"/>
      <c r="I104" s="775"/>
      <c r="J104" s="752"/>
      <c r="K104" s="753"/>
      <c r="L104" s="754"/>
      <c r="M104" s="685"/>
      <c r="N104" s="745"/>
      <c r="O104" s="685"/>
      <c r="P104" s="755"/>
      <c r="Q104" s="756"/>
      <c r="R104" s="757"/>
      <c r="S104" s="664"/>
      <c r="T104" s="664"/>
      <c r="U104" s="687"/>
      <c r="V104" s="709"/>
      <c r="W104" s="709"/>
      <c r="X104" s="738"/>
      <c r="Y104" s="685"/>
      <c r="Z104" s="745"/>
      <c r="AA104" s="685"/>
      <c r="AB104" s="687"/>
      <c r="AC104" s="687"/>
      <c r="AD104" s="687"/>
      <c r="AE104" s="568"/>
      <c r="AF104" s="566"/>
      <c r="AG104" s="567"/>
      <c r="AH104" s="568"/>
      <c r="AI104" s="566"/>
      <c r="AJ104" s="567"/>
      <c r="AK104" s="568"/>
      <c r="AL104" s="566"/>
      <c r="AM104" s="567"/>
      <c r="AN104" s="568"/>
      <c r="AO104" s="566"/>
      <c r="AP104" s="567"/>
      <c r="AQ104" s="568"/>
      <c r="AR104" s="566"/>
      <c r="AS104" s="567"/>
      <c r="AT104" s="568"/>
      <c r="AU104" s="566"/>
      <c r="AV104" s="567"/>
      <c r="AW104" s="568"/>
      <c r="AX104" s="566"/>
      <c r="AY104" s="567"/>
      <c r="AZ104" s="568"/>
      <c r="BA104" s="566"/>
      <c r="BB104" s="567"/>
      <c r="BC104" s="568"/>
      <c r="BD104" s="566"/>
      <c r="BE104" s="567"/>
      <c r="BF104" s="776"/>
      <c r="BG104" s="777"/>
      <c r="BH104" s="759"/>
      <c r="BI104" s="776"/>
      <c r="BJ104" s="777"/>
      <c r="BK104" s="759"/>
      <c r="BL104" s="568"/>
      <c r="BM104" s="566"/>
      <c r="BN104" s="567"/>
      <c r="BO104" s="567"/>
      <c r="BP104" s="568"/>
      <c r="BQ104" s="566"/>
      <c r="BR104" s="567"/>
      <c r="BS104" s="568"/>
      <c r="BT104" s="567"/>
      <c r="BU104" s="567"/>
      <c r="BV104" s="567"/>
      <c r="BW104" s="568"/>
      <c r="BX104" s="566"/>
      <c r="BY104" s="567"/>
      <c r="BZ104" s="568"/>
      <c r="CA104" s="567"/>
      <c r="CB104" s="567"/>
      <c r="CC104" s="568"/>
      <c r="CD104" s="567"/>
      <c r="CE104" s="2807"/>
    </row>
    <row r="105" spans="1:83" ht="14.85" customHeight="1" x14ac:dyDescent="0.4">
      <c r="A105" s="249"/>
      <c r="B105" s="249"/>
      <c r="C105" s="584">
        <v>0.35069444444444398</v>
      </c>
      <c r="D105" s="585"/>
      <c r="E105" s="772"/>
      <c r="F105" s="773"/>
      <c r="G105" s="581"/>
      <c r="H105" s="774"/>
      <c r="I105" s="775"/>
      <c r="J105" s="635"/>
      <c r="K105" s="691"/>
      <c r="L105" s="705"/>
      <c r="M105" s="685"/>
      <c r="N105" s="745"/>
      <c r="O105" s="685"/>
      <c r="P105" s="778"/>
      <c r="Q105" s="779" t="s">
        <v>340</v>
      </c>
      <c r="R105" s="780"/>
      <c r="S105" s="664"/>
      <c r="T105" s="664"/>
      <c r="U105" s="687"/>
      <c r="V105" s="709"/>
      <c r="W105" s="709"/>
      <c r="X105" s="738"/>
      <c r="Y105" s="685"/>
      <c r="Z105" s="745"/>
      <c r="AA105" s="685"/>
      <c r="AB105" s="687"/>
      <c r="AC105" s="687"/>
      <c r="AD105" s="687"/>
      <c r="AE105" s="568"/>
      <c r="AF105" s="566"/>
      <c r="AG105" s="567"/>
      <c r="AH105" s="568"/>
      <c r="AI105" s="566"/>
      <c r="AJ105" s="567"/>
      <c r="AK105" s="568"/>
      <c r="AL105" s="566"/>
      <c r="AM105" s="567"/>
      <c r="AN105" s="568"/>
      <c r="AO105" s="566"/>
      <c r="AP105" s="567"/>
      <c r="AQ105" s="568"/>
      <c r="AR105" s="566"/>
      <c r="AS105" s="567"/>
      <c r="AT105" s="568"/>
      <c r="AU105" s="566"/>
      <c r="AV105" s="567"/>
      <c r="AW105" s="568"/>
      <c r="AX105" s="566"/>
      <c r="AY105" s="567"/>
      <c r="AZ105" s="568"/>
      <c r="BA105" s="566"/>
      <c r="BB105" s="567"/>
      <c r="BC105" s="568"/>
      <c r="BD105" s="566"/>
      <c r="BE105" s="567"/>
      <c r="BF105" s="776"/>
      <c r="BG105" s="777"/>
      <c r="BH105" s="759"/>
      <c r="BI105" s="776"/>
      <c r="BJ105" s="777"/>
      <c r="BK105" s="759"/>
      <c r="BL105" s="568"/>
      <c r="BM105" s="566"/>
      <c r="BN105" s="567"/>
      <c r="BO105" s="567"/>
      <c r="BP105" s="568"/>
      <c r="BQ105" s="566"/>
      <c r="BR105" s="567"/>
      <c r="BS105" s="568"/>
      <c r="BT105" s="567"/>
      <c r="BU105" s="567"/>
      <c r="BV105" s="567"/>
      <c r="BW105" s="568"/>
      <c r="BX105" s="566"/>
      <c r="BY105" s="567"/>
      <c r="BZ105" s="568"/>
      <c r="CA105" s="567"/>
      <c r="CB105" s="567"/>
      <c r="CC105" s="568"/>
      <c r="CD105" s="567"/>
      <c r="CE105" s="2807"/>
    </row>
    <row r="106" spans="1:83" ht="18.75" customHeight="1" x14ac:dyDescent="0.4">
      <c r="A106" s="249"/>
      <c r="B106" s="249"/>
      <c r="C106" s="584">
        <v>0.35416666666666602</v>
      </c>
      <c r="D106" s="587"/>
      <c r="E106" s="2839" t="s">
        <v>341</v>
      </c>
      <c r="F106" s="688"/>
      <c r="G106" s="588"/>
      <c r="H106" s="599" t="s">
        <v>278</v>
      </c>
      <c r="I106" s="742"/>
      <c r="J106" s="743"/>
      <c r="K106" s="691"/>
      <c r="L106" s="781"/>
      <c r="M106" s="685"/>
      <c r="N106" s="745" t="s">
        <v>330</v>
      </c>
      <c r="O106" s="685"/>
      <c r="P106" s="744"/>
      <c r="Q106" s="769" t="s">
        <v>342</v>
      </c>
      <c r="R106" s="782"/>
      <c r="S106" s="664"/>
      <c r="T106" s="664" t="s">
        <v>337</v>
      </c>
      <c r="U106" s="687"/>
      <c r="V106" s="683"/>
      <c r="W106" s="709" t="s">
        <v>332</v>
      </c>
      <c r="X106" s="783"/>
      <c r="Y106" s="685"/>
      <c r="Z106" s="745" t="s">
        <v>330</v>
      </c>
      <c r="AA106" s="685"/>
      <c r="AB106" s="687"/>
      <c r="AC106" s="784"/>
      <c r="AD106" s="687"/>
      <c r="AE106" s="568"/>
      <c r="AF106" s="566"/>
      <c r="AG106" s="567"/>
      <c r="AH106" s="568"/>
      <c r="AI106" s="566"/>
      <c r="AJ106" s="567"/>
      <c r="AK106" s="568"/>
      <c r="AL106" s="566"/>
      <c r="AM106" s="567"/>
      <c r="AN106" s="568"/>
      <c r="AO106" s="566"/>
      <c r="AP106" s="567"/>
      <c r="AQ106" s="568"/>
      <c r="AR106" s="566"/>
      <c r="AS106" s="567"/>
      <c r="AT106" s="568"/>
      <c r="AU106" s="566"/>
      <c r="AV106" s="567"/>
      <c r="AW106" s="568"/>
      <c r="AX106" s="566"/>
      <c r="AY106" s="567"/>
      <c r="AZ106" s="568"/>
      <c r="BA106" s="566"/>
      <c r="BB106" s="567"/>
      <c r="BC106" s="568"/>
      <c r="BD106" s="566"/>
      <c r="BE106" s="567"/>
      <c r="BF106" s="567"/>
      <c r="BG106" s="785"/>
      <c r="BH106" s="786"/>
      <c r="BI106" s="567"/>
      <c r="BJ106" s="785"/>
      <c r="BK106" s="786"/>
      <c r="BL106" s="568"/>
      <c r="BM106" s="566"/>
      <c r="BN106" s="567"/>
      <c r="BO106" s="567"/>
      <c r="BP106" s="568"/>
      <c r="BQ106" s="566"/>
      <c r="BR106" s="567"/>
      <c r="BS106" s="568"/>
      <c r="BT106" s="567"/>
      <c r="BU106" s="567"/>
      <c r="BV106" s="567"/>
      <c r="BW106" s="568"/>
      <c r="BX106" s="566"/>
      <c r="BY106" s="567"/>
      <c r="BZ106" s="568"/>
      <c r="CA106" s="567"/>
      <c r="CB106" s="567"/>
      <c r="CC106" s="568"/>
      <c r="CD106" s="567"/>
      <c r="CE106" s="2807"/>
    </row>
    <row r="107" spans="1:83" ht="18.75" customHeight="1" x14ac:dyDescent="0.4">
      <c r="A107" s="249"/>
      <c r="B107" s="249"/>
      <c r="C107" s="584" t="s">
        <v>307</v>
      </c>
      <c r="D107" s="589"/>
      <c r="E107" s="2839"/>
      <c r="F107" s="688"/>
      <c r="G107" s="590"/>
      <c r="H107" s="612" t="s">
        <v>310</v>
      </c>
      <c r="I107" s="787"/>
      <c r="J107" s="743"/>
      <c r="K107" s="691"/>
      <c r="L107" s="781"/>
      <c r="M107" s="685"/>
      <c r="N107" s="745" t="s">
        <v>333</v>
      </c>
      <c r="O107" s="685"/>
      <c r="P107" s="744"/>
      <c r="Q107" s="769" t="s">
        <v>334</v>
      </c>
      <c r="R107" s="782"/>
      <c r="S107" s="664"/>
      <c r="T107" s="664" t="s">
        <v>334</v>
      </c>
      <c r="U107" s="687"/>
      <c r="V107" s="683"/>
      <c r="W107" s="709" t="s">
        <v>335</v>
      </c>
      <c r="X107" s="783"/>
      <c r="Y107" s="685"/>
      <c r="Z107" s="745" t="s">
        <v>333</v>
      </c>
      <c r="AA107" s="685"/>
      <c r="AB107" s="687"/>
      <c r="AC107" s="687"/>
      <c r="AD107" s="687"/>
      <c r="AE107" s="568"/>
      <c r="AF107" s="566"/>
      <c r="AG107" s="567"/>
      <c r="AH107" s="568"/>
      <c r="AI107" s="566"/>
      <c r="AJ107" s="567"/>
      <c r="AK107" s="568"/>
      <c r="AL107" s="566"/>
      <c r="AM107" s="567"/>
      <c r="AN107" s="568"/>
      <c r="AO107" s="566"/>
      <c r="AP107" s="567"/>
      <c r="AQ107" s="568"/>
      <c r="AR107" s="566"/>
      <c r="AS107" s="567"/>
      <c r="AT107" s="568"/>
      <c r="AU107" s="566"/>
      <c r="AV107" s="567"/>
      <c r="AW107" s="568"/>
      <c r="AX107" s="566"/>
      <c r="AY107" s="567"/>
      <c r="AZ107" s="568"/>
      <c r="BA107" s="566"/>
      <c r="BB107" s="567"/>
      <c r="BC107" s="568"/>
      <c r="BD107" s="566"/>
      <c r="BE107" s="567"/>
      <c r="BF107" s="567"/>
      <c r="BG107" s="785"/>
      <c r="BH107" s="786"/>
      <c r="BI107" s="567"/>
      <c r="BJ107" s="785"/>
      <c r="BK107" s="786"/>
      <c r="BL107" s="568"/>
      <c r="BM107" s="566"/>
      <c r="BN107" s="567"/>
      <c r="BO107" s="567"/>
      <c r="BP107" s="568"/>
      <c r="BQ107" s="566"/>
      <c r="BR107" s="567"/>
      <c r="BS107" s="568"/>
      <c r="BT107" s="567"/>
      <c r="BU107" s="567"/>
      <c r="BV107" s="567"/>
      <c r="BW107" s="568"/>
      <c r="BX107" s="566"/>
      <c r="BY107" s="567"/>
      <c r="BZ107" s="568"/>
      <c r="CA107" s="567"/>
      <c r="CB107" s="567"/>
      <c r="CC107" s="568"/>
      <c r="CD107" s="567"/>
      <c r="CE107" s="2807"/>
    </row>
    <row r="108" spans="1:83" ht="18.75" customHeight="1" x14ac:dyDescent="0.4">
      <c r="A108" s="249"/>
      <c r="B108" s="249"/>
      <c r="C108" s="584"/>
      <c r="D108" s="589"/>
      <c r="E108" s="2839"/>
      <c r="F108" s="688"/>
      <c r="G108" s="590"/>
      <c r="H108" s="594"/>
      <c r="I108" s="787"/>
      <c r="J108" s="752"/>
      <c r="K108" s="691"/>
      <c r="L108" s="754"/>
      <c r="M108" s="685"/>
      <c r="N108" s="745"/>
      <c r="O108" s="685"/>
      <c r="P108" s="755"/>
      <c r="Q108" s="707"/>
      <c r="R108" s="757"/>
      <c r="S108" s="664"/>
      <c r="T108" s="664"/>
      <c r="U108" s="687"/>
      <c r="V108" s="709"/>
      <c r="W108" s="788"/>
      <c r="X108" s="783"/>
      <c r="Y108" s="685"/>
      <c r="Z108" s="745"/>
      <c r="AA108" s="685"/>
      <c r="AB108" s="687"/>
      <c r="AC108" s="687"/>
      <c r="AD108" s="687"/>
      <c r="AE108" s="568"/>
      <c r="AF108" s="566"/>
      <c r="AG108" s="567"/>
      <c r="AH108" s="568"/>
      <c r="AI108" s="566"/>
      <c r="AJ108" s="567"/>
      <c r="AK108" s="568"/>
      <c r="AL108" s="566"/>
      <c r="AM108" s="567"/>
      <c r="AN108" s="568"/>
      <c r="AO108" s="566"/>
      <c r="AP108" s="567"/>
      <c r="AQ108" s="568"/>
      <c r="AR108" s="566"/>
      <c r="AS108" s="567"/>
      <c r="AT108" s="568"/>
      <c r="AU108" s="566"/>
      <c r="AV108" s="567"/>
      <c r="AW108" s="568"/>
      <c r="AX108" s="566"/>
      <c r="AY108" s="567"/>
      <c r="AZ108" s="568"/>
      <c r="BA108" s="566"/>
      <c r="BB108" s="567"/>
      <c r="BC108" s="568"/>
      <c r="BD108" s="566"/>
      <c r="BE108" s="567"/>
      <c r="BF108" s="567"/>
      <c r="BG108" s="785"/>
      <c r="BH108" s="786"/>
      <c r="BI108" s="567"/>
      <c r="BJ108" s="785"/>
      <c r="BK108" s="786"/>
      <c r="BL108" s="568"/>
      <c r="BM108" s="566"/>
      <c r="BN108" s="567"/>
      <c r="BO108" s="567"/>
      <c r="BP108" s="568"/>
      <c r="BQ108" s="566"/>
      <c r="BR108" s="567"/>
      <c r="BS108" s="568"/>
      <c r="BT108" s="567"/>
      <c r="BU108" s="567"/>
      <c r="BV108" s="567"/>
      <c r="BW108" s="568"/>
      <c r="BX108" s="566"/>
      <c r="BY108" s="567"/>
      <c r="BZ108" s="568"/>
      <c r="CA108" s="567"/>
      <c r="CB108" s="567"/>
      <c r="CC108" s="568"/>
      <c r="CD108" s="567"/>
      <c r="CE108" s="2807"/>
    </row>
    <row r="109" spans="1:83" ht="14.85" customHeight="1" x14ac:dyDescent="0.4">
      <c r="A109" s="249"/>
      <c r="B109" s="249"/>
      <c r="C109" s="584">
        <v>0.35763888888888901</v>
      </c>
      <c r="D109" s="585"/>
      <c r="E109" s="2839"/>
      <c r="F109" s="773"/>
      <c r="G109" s="581"/>
      <c r="H109" s="774"/>
      <c r="I109" s="775"/>
      <c r="J109" s="743"/>
      <c r="K109" s="691"/>
      <c r="L109" s="789"/>
      <c r="M109" s="685"/>
      <c r="N109" s="745"/>
      <c r="O109" s="685"/>
      <c r="P109" s="744"/>
      <c r="Q109" s="769"/>
      <c r="R109" s="790"/>
      <c r="S109" s="664"/>
      <c r="T109" s="664"/>
      <c r="U109" s="687"/>
      <c r="V109" s="709"/>
      <c r="W109" s="709"/>
      <c r="X109" s="738"/>
      <c r="Y109" s="685"/>
      <c r="Z109" s="745"/>
      <c r="AA109" s="685"/>
      <c r="AB109" s="687"/>
      <c r="AC109" s="687"/>
      <c r="AD109" s="687"/>
      <c r="AE109" s="568"/>
      <c r="AF109" s="566"/>
      <c r="AG109" s="567"/>
      <c r="AH109" s="568"/>
      <c r="AI109" s="566"/>
      <c r="AJ109" s="567"/>
      <c r="AK109" s="568"/>
      <c r="AL109" s="566"/>
      <c r="AM109" s="567"/>
      <c r="AN109" s="568"/>
      <c r="AO109" s="566"/>
      <c r="AP109" s="567"/>
      <c r="AQ109" s="568"/>
      <c r="AR109" s="566"/>
      <c r="AS109" s="567"/>
      <c r="AT109" s="568"/>
      <c r="AU109" s="566"/>
      <c r="AV109" s="567"/>
      <c r="AW109" s="568"/>
      <c r="AX109" s="566"/>
      <c r="AY109" s="567"/>
      <c r="AZ109" s="568"/>
      <c r="BA109" s="566"/>
      <c r="BB109" s="567"/>
      <c r="BC109" s="568"/>
      <c r="BD109" s="566"/>
      <c r="BE109" s="567"/>
      <c r="BF109" s="567"/>
      <c r="BG109" s="785"/>
      <c r="BH109" s="786"/>
      <c r="BI109" s="567"/>
      <c r="BJ109" s="785"/>
      <c r="BK109" s="786"/>
      <c r="BL109" s="568"/>
      <c r="BM109" s="566"/>
      <c r="BN109" s="567"/>
      <c r="BO109" s="567"/>
      <c r="BP109" s="568"/>
      <c r="BQ109" s="566"/>
      <c r="BR109" s="567"/>
      <c r="BS109" s="568"/>
      <c r="BT109" s="567"/>
      <c r="BU109" s="567"/>
      <c r="BV109" s="567"/>
      <c r="BW109" s="568"/>
      <c r="BX109" s="566"/>
      <c r="BY109" s="567"/>
      <c r="BZ109" s="568"/>
      <c r="CA109" s="567"/>
      <c r="CB109" s="567"/>
      <c r="CC109" s="568"/>
      <c r="CD109" s="567"/>
      <c r="CE109" s="2807"/>
    </row>
    <row r="110" spans="1:83" ht="14.85" customHeight="1" x14ac:dyDescent="0.4">
      <c r="A110" s="249"/>
      <c r="B110" s="249"/>
      <c r="C110" s="584">
        <v>0.36111111111111099</v>
      </c>
      <c r="D110" s="589"/>
      <c r="E110" s="2839"/>
      <c r="F110" s="688"/>
      <c r="G110" s="590"/>
      <c r="H110" s="594"/>
      <c r="I110" s="675"/>
      <c r="J110" s="743"/>
      <c r="K110" s="691"/>
      <c r="L110" s="705"/>
      <c r="M110" s="791"/>
      <c r="N110" s="745"/>
      <c r="O110" s="685"/>
      <c r="P110" s="744"/>
      <c r="Q110" s="769"/>
      <c r="R110" s="708"/>
      <c r="S110" s="664"/>
      <c r="T110" s="664"/>
      <c r="U110" s="687"/>
      <c r="V110" s="709"/>
      <c r="W110" s="709"/>
      <c r="X110" s="783"/>
      <c r="Y110" s="791"/>
      <c r="Z110" s="745"/>
      <c r="AA110" s="685"/>
      <c r="AB110" s="687"/>
      <c r="AC110" s="687"/>
      <c r="AD110" s="687"/>
      <c r="AE110" s="568"/>
      <c r="AF110" s="566"/>
      <c r="AG110" s="567"/>
      <c r="AH110" s="568"/>
      <c r="AI110" s="566"/>
      <c r="AJ110" s="567"/>
      <c r="AK110" s="568"/>
      <c r="AL110" s="566"/>
      <c r="AM110" s="567"/>
      <c r="AN110" s="568"/>
      <c r="AO110" s="566"/>
      <c r="AP110" s="567"/>
      <c r="AQ110" s="568"/>
      <c r="AR110" s="566"/>
      <c r="AS110" s="567"/>
      <c r="AT110" s="568"/>
      <c r="AU110" s="566"/>
      <c r="AV110" s="567"/>
      <c r="AW110" s="568"/>
      <c r="AX110" s="566"/>
      <c r="AY110" s="567"/>
      <c r="AZ110" s="568"/>
      <c r="BA110" s="566"/>
      <c r="BB110" s="567"/>
      <c r="BC110" s="568"/>
      <c r="BD110" s="566"/>
      <c r="BE110" s="567"/>
      <c r="BF110" s="567"/>
      <c r="BG110" s="767"/>
      <c r="BH110" s="768"/>
      <c r="BI110" s="567"/>
      <c r="BJ110" s="767"/>
      <c r="BK110" s="768"/>
      <c r="BL110" s="568"/>
      <c r="BM110" s="566"/>
      <c r="BN110" s="567"/>
      <c r="BO110" s="567"/>
      <c r="BP110" s="568"/>
      <c r="BQ110" s="566"/>
      <c r="BR110" s="567"/>
      <c r="BS110" s="568"/>
      <c r="BT110" s="567"/>
      <c r="BU110" s="567"/>
      <c r="BV110" s="567"/>
      <c r="BW110" s="568"/>
      <c r="BX110" s="566"/>
      <c r="BY110" s="567"/>
      <c r="BZ110" s="568"/>
      <c r="CA110" s="567"/>
      <c r="CB110" s="567"/>
      <c r="CC110" s="568"/>
      <c r="CD110" s="567"/>
      <c r="CE110" s="2807"/>
    </row>
    <row r="111" spans="1:83" ht="18.75" customHeight="1" x14ac:dyDescent="0.4">
      <c r="A111" s="249"/>
      <c r="B111" s="249"/>
      <c r="C111" s="584">
        <v>0.36458333333333298</v>
      </c>
      <c r="D111" s="589"/>
      <c r="E111" s="2839"/>
      <c r="F111" s="688"/>
      <c r="G111" s="590"/>
      <c r="H111" s="612"/>
      <c r="I111" s="742"/>
      <c r="J111" s="635"/>
      <c r="K111" s="691"/>
      <c r="L111" s="789"/>
      <c r="M111" s="791"/>
      <c r="N111" s="793" t="s">
        <v>336</v>
      </c>
      <c r="O111" s="685"/>
      <c r="P111" s="778"/>
      <c r="Q111" s="779" t="s">
        <v>343</v>
      </c>
      <c r="R111" s="792"/>
      <c r="S111" s="664"/>
      <c r="T111" s="664" t="s">
        <v>331</v>
      </c>
      <c r="U111" s="687"/>
      <c r="V111" s="709"/>
      <c r="W111" s="709"/>
      <c r="X111" s="783"/>
      <c r="Y111" s="791"/>
      <c r="Z111" s="793" t="s">
        <v>336</v>
      </c>
      <c r="AA111" s="685"/>
      <c r="AB111" s="794"/>
      <c r="AC111" s="687"/>
      <c r="AD111" s="794"/>
      <c r="AE111" s="568"/>
      <c r="AF111" s="566"/>
      <c r="AG111" s="567"/>
      <c r="AH111" s="568"/>
      <c r="AI111" s="566"/>
      <c r="AJ111" s="567"/>
      <c r="AK111" s="568"/>
      <c r="AL111" s="566"/>
      <c r="AM111" s="567"/>
      <c r="AN111" s="568"/>
      <c r="AO111" s="566"/>
      <c r="AP111" s="567"/>
      <c r="AQ111" s="568"/>
      <c r="AR111" s="566"/>
      <c r="AS111" s="567"/>
      <c r="AT111" s="568"/>
      <c r="AU111" s="566"/>
      <c r="AV111" s="567"/>
      <c r="AW111" s="568"/>
      <c r="AX111" s="566"/>
      <c r="AY111" s="567"/>
      <c r="AZ111" s="568"/>
      <c r="BA111" s="566"/>
      <c r="BB111" s="567"/>
      <c r="BC111" s="568"/>
      <c r="BD111" s="566"/>
      <c r="BE111" s="567"/>
      <c r="BF111" s="568"/>
      <c r="BG111" s="566"/>
      <c r="BH111" s="567"/>
      <c r="BI111" s="568"/>
      <c r="BJ111" s="566"/>
      <c r="BK111" s="567"/>
      <c r="BL111" s="568"/>
      <c r="BM111" s="566"/>
      <c r="BN111" s="567"/>
      <c r="BO111" s="567"/>
      <c r="BP111" s="568"/>
      <c r="BQ111" s="566"/>
      <c r="BR111" s="567"/>
      <c r="BS111" s="568"/>
      <c r="BT111" s="567"/>
      <c r="BU111" s="567"/>
      <c r="BV111" s="567"/>
      <c r="BW111" s="568"/>
      <c r="BX111" s="566"/>
      <c r="BY111" s="567"/>
      <c r="BZ111" s="568"/>
      <c r="CA111" s="567"/>
      <c r="CB111" s="567"/>
      <c r="CC111" s="568"/>
      <c r="CD111" s="567"/>
      <c r="CE111" s="2807"/>
    </row>
    <row r="112" spans="1:83" ht="18.75" customHeight="1" x14ac:dyDescent="0.4">
      <c r="A112" s="249"/>
      <c r="B112" s="249"/>
      <c r="C112" s="584" t="s">
        <v>307</v>
      </c>
      <c r="D112" s="587"/>
      <c r="E112" s="747"/>
      <c r="F112" s="688"/>
      <c r="G112" s="588"/>
      <c r="H112" s="594"/>
      <c r="I112" s="675"/>
      <c r="J112" s="635"/>
      <c r="K112" s="691"/>
      <c r="L112" s="789"/>
      <c r="M112" s="685"/>
      <c r="N112" s="796" t="s">
        <v>344</v>
      </c>
      <c r="O112" s="791"/>
      <c r="P112" s="795"/>
      <c r="Q112" s="769" t="s">
        <v>334</v>
      </c>
      <c r="R112" s="790"/>
      <c r="S112" s="664"/>
      <c r="T112" s="664" t="s">
        <v>334</v>
      </c>
      <c r="U112" s="687"/>
      <c r="V112" s="683"/>
      <c r="W112" s="709" t="s">
        <v>332</v>
      </c>
      <c r="X112" s="783"/>
      <c r="Y112" s="685"/>
      <c r="Z112" s="796" t="s">
        <v>344</v>
      </c>
      <c r="AA112" s="791"/>
      <c r="AB112" s="794"/>
      <c r="AC112" s="794"/>
      <c r="AD112" s="794"/>
      <c r="AE112" s="568"/>
      <c r="AF112" s="566"/>
      <c r="AG112" s="567"/>
      <c r="AH112" s="568"/>
      <c r="AI112" s="566"/>
      <c r="AJ112" s="567"/>
      <c r="AK112" s="568"/>
      <c r="AL112" s="566"/>
      <c r="AM112" s="567"/>
      <c r="AN112" s="568"/>
      <c r="AO112" s="566"/>
      <c r="AP112" s="567"/>
      <c r="AQ112" s="568"/>
      <c r="AR112" s="566"/>
      <c r="AS112" s="567"/>
      <c r="AT112" s="568"/>
      <c r="AU112" s="566"/>
      <c r="AV112" s="567"/>
      <c r="AW112" s="568"/>
      <c r="AX112" s="566"/>
      <c r="AY112" s="567"/>
      <c r="AZ112" s="568"/>
      <c r="BA112" s="566"/>
      <c r="BB112" s="567"/>
      <c r="BC112" s="568"/>
      <c r="BD112" s="566"/>
      <c r="BE112" s="567"/>
      <c r="BF112" s="568"/>
      <c r="BG112" s="566"/>
      <c r="BH112" s="567"/>
      <c r="BI112" s="568"/>
      <c r="BJ112" s="566"/>
      <c r="BK112" s="567"/>
      <c r="BL112" s="568"/>
      <c r="BM112" s="566"/>
      <c r="BN112" s="567"/>
      <c r="BO112" s="567"/>
      <c r="BP112" s="568"/>
      <c r="BQ112" s="566"/>
      <c r="BR112" s="567"/>
      <c r="BS112" s="568"/>
      <c r="BT112" s="567"/>
      <c r="BU112" s="567"/>
      <c r="BV112" s="567"/>
      <c r="BW112" s="568"/>
      <c r="BX112" s="566"/>
      <c r="BY112" s="567"/>
      <c r="BZ112" s="568"/>
      <c r="CA112" s="567"/>
      <c r="CB112" s="567"/>
      <c r="CC112" s="568"/>
      <c r="CD112" s="567"/>
      <c r="CE112" s="2807"/>
    </row>
    <row r="113" spans="1:83" ht="18.75" customHeight="1" x14ac:dyDescent="0.4">
      <c r="A113" s="249"/>
      <c r="B113" s="249"/>
      <c r="C113" s="584"/>
      <c r="D113" s="587"/>
      <c r="E113" s="772"/>
      <c r="F113" s="688"/>
      <c r="G113" s="588"/>
      <c r="H113" s="594"/>
      <c r="I113" s="675"/>
      <c r="J113" s="635"/>
      <c r="K113" s="691"/>
      <c r="L113" s="705"/>
      <c r="M113" s="685"/>
      <c r="N113" s="745" t="s">
        <v>333</v>
      </c>
      <c r="O113" s="685"/>
      <c r="P113" s="795"/>
      <c r="Q113" s="769"/>
      <c r="R113" s="708"/>
      <c r="S113" s="664"/>
      <c r="T113" s="664"/>
      <c r="U113" s="687"/>
      <c r="V113" s="709"/>
      <c r="W113" s="709" t="s">
        <v>335</v>
      </c>
      <c r="X113" s="783"/>
      <c r="Y113" s="685"/>
      <c r="Z113" s="745" t="s">
        <v>333</v>
      </c>
      <c r="AA113" s="685"/>
      <c r="AB113" s="687"/>
      <c r="AC113" s="687"/>
      <c r="AD113" s="687"/>
      <c r="AE113" s="565"/>
      <c r="AF113" s="566"/>
      <c r="AG113" s="567"/>
      <c r="AH113" s="568"/>
      <c r="AI113" s="566"/>
      <c r="AJ113" s="567"/>
      <c r="AK113" s="568"/>
      <c r="AL113" s="566"/>
      <c r="AM113" s="567"/>
      <c r="AN113" s="568"/>
      <c r="AO113" s="566"/>
      <c r="AP113" s="567"/>
      <c r="AQ113" s="568"/>
      <c r="AR113" s="566"/>
      <c r="AS113" s="567"/>
      <c r="AT113" s="568"/>
      <c r="AU113" s="566"/>
      <c r="AV113" s="567"/>
      <c r="AW113" s="568"/>
      <c r="AX113" s="566"/>
      <c r="AY113" s="567"/>
      <c r="AZ113" s="568"/>
      <c r="BA113" s="566"/>
      <c r="BB113" s="567"/>
      <c r="BC113" s="568"/>
      <c r="BD113" s="566"/>
      <c r="BE113" s="567"/>
      <c r="BF113" s="568"/>
      <c r="BG113" s="566"/>
      <c r="BH113" s="567"/>
      <c r="BI113" s="568"/>
      <c r="BJ113" s="566"/>
      <c r="BK113" s="567"/>
      <c r="BL113" s="568"/>
      <c r="BM113" s="566"/>
      <c r="BN113" s="567"/>
      <c r="BO113" s="567"/>
      <c r="BP113" s="568"/>
      <c r="BQ113" s="566"/>
      <c r="BR113" s="567"/>
      <c r="BS113" s="568"/>
      <c r="BT113" s="567"/>
      <c r="BU113" s="567"/>
      <c r="BV113" s="567"/>
      <c r="BW113" s="568"/>
      <c r="BX113" s="566"/>
      <c r="BY113" s="567"/>
      <c r="BZ113" s="568"/>
      <c r="CA113" s="567"/>
      <c r="CB113" s="567"/>
      <c r="CC113" s="568"/>
      <c r="CD113" s="567"/>
      <c r="CE113" s="2807"/>
    </row>
    <row r="114" spans="1:83" ht="14.85" customHeight="1" x14ac:dyDescent="0.4">
      <c r="A114" s="249"/>
      <c r="B114" s="249"/>
      <c r="C114" s="584">
        <v>0.36805555555555503</v>
      </c>
      <c r="D114" s="587"/>
      <c r="E114" s="772"/>
      <c r="F114" s="688"/>
      <c r="G114" s="588"/>
      <c r="H114" s="594"/>
      <c r="I114" s="675"/>
      <c r="J114" s="797"/>
      <c r="K114" s="798"/>
      <c r="L114" s="754"/>
      <c r="M114" s="685"/>
      <c r="N114" s="745"/>
      <c r="O114" s="685"/>
      <c r="P114" s="799"/>
      <c r="Q114" s="800"/>
      <c r="R114" s="757"/>
      <c r="S114" s="664"/>
      <c r="T114" s="664"/>
      <c r="U114" s="687"/>
      <c r="V114" s="709"/>
      <c r="W114" s="709"/>
      <c r="X114" s="684"/>
      <c r="Y114" s="685"/>
      <c r="Z114" s="745"/>
      <c r="AA114" s="685"/>
      <c r="AB114" s="687"/>
      <c r="AC114" s="687"/>
      <c r="AD114" s="687"/>
      <c r="AE114" s="565"/>
      <c r="AF114" s="566"/>
      <c r="AG114" s="567"/>
      <c r="AH114" s="568"/>
      <c r="AI114" s="566"/>
      <c r="AJ114" s="567"/>
      <c r="AK114" s="568"/>
      <c r="AL114" s="566"/>
      <c r="AM114" s="567"/>
      <c r="AN114" s="568"/>
      <c r="AO114" s="566"/>
      <c r="AP114" s="567"/>
      <c r="AQ114" s="568"/>
      <c r="AR114" s="566"/>
      <c r="AS114" s="567"/>
      <c r="AT114" s="568"/>
      <c r="AU114" s="566"/>
      <c r="AV114" s="567"/>
      <c r="AW114" s="568"/>
      <c r="AX114" s="566"/>
      <c r="AY114" s="567"/>
      <c r="AZ114" s="568"/>
      <c r="BA114" s="566"/>
      <c r="BB114" s="567"/>
      <c r="BC114" s="568"/>
      <c r="BD114" s="566"/>
      <c r="BE114" s="567"/>
      <c r="BF114" s="568"/>
      <c r="BG114" s="566"/>
      <c r="BH114" s="567"/>
      <c r="BI114" s="568"/>
      <c r="BJ114" s="566"/>
      <c r="BK114" s="567"/>
      <c r="BL114" s="568"/>
      <c r="BM114" s="566"/>
      <c r="BN114" s="567"/>
      <c r="BO114" s="567"/>
      <c r="BP114" s="568"/>
      <c r="BQ114" s="566"/>
      <c r="BR114" s="567"/>
      <c r="BS114" s="568"/>
      <c r="BT114" s="567"/>
      <c r="BU114" s="567"/>
      <c r="BV114" s="567"/>
      <c r="BW114" s="568"/>
      <c r="BX114" s="566"/>
      <c r="BY114" s="567"/>
      <c r="BZ114" s="568"/>
      <c r="CA114" s="567"/>
      <c r="CB114" s="567"/>
      <c r="CC114" s="568"/>
      <c r="CD114" s="801"/>
      <c r="CE114" s="2807"/>
    </row>
    <row r="115" spans="1:83" ht="14.85" customHeight="1" x14ac:dyDescent="0.4">
      <c r="A115" s="249"/>
      <c r="B115" s="249"/>
      <c r="C115" s="802">
        <v>0.37152777777777701</v>
      </c>
      <c r="D115" s="803"/>
      <c r="E115" s="747"/>
      <c r="F115" s="804"/>
      <c r="G115" s="805"/>
      <c r="H115" s="806"/>
      <c r="I115" s="807"/>
      <c r="J115" s="808"/>
      <c r="K115" s="809"/>
      <c r="L115" s="810"/>
      <c r="M115" s="685"/>
      <c r="N115" s="745"/>
      <c r="O115" s="685"/>
      <c r="P115" s="811"/>
      <c r="Q115" s="812"/>
      <c r="R115" s="813"/>
      <c r="S115" s="664"/>
      <c r="T115" s="664"/>
      <c r="U115" s="687"/>
      <c r="V115" s="709"/>
      <c r="W115" s="814"/>
      <c r="X115" s="684"/>
      <c r="Y115" s="685"/>
      <c r="Z115" s="745"/>
      <c r="AA115" s="685"/>
      <c r="AB115" s="687"/>
      <c r="AC115" s="687"/>
      <c r="AD115" s="687"/>
      <c r="AE115" s="815"/>
      <c r="AF115" s="816"/>
      <c r="AG115" s="801"/>
      <c r="AH115" s="815"/>
      <c r="AI115" s="816"/>
      <c r="AJ115" s="801"/>
      <c r="AK115" s="815"/>
      <c r="AL115" s="816"/>
      <c r="AM115" s="801"/>
      <c r="AN115" s="815"/>
      <c r="AO115" s="816"/>
      <c r="AP115" s="801"/>
      <c r="AQ115" s="815"/>
      <c r="AR115" s="816"/>
      <c r="AS115" s="801"/>
      <c r="AT115" s="815"/>
      <c r="AU115" s="816"/>
      <c r="AV115" s="801"/>
      <c r="AW115" s="815"/>
      <c r="AX115" s="816"/>
      <c r="AY115" s="801"/>
      <c r="AZ115" s="815"/>
      <c r="BA115" s="816"/>
      <c r="BB115" s="801"/>
      <c r="BC115" s="815"/>
      <c r="BD115" s="816"/>
      <c r="BE115" s="801"/>
      <c r="BF115" s="801"/>
      <c r="BG115" s="817"/>
      <c r="BH115" s="768"/>
      <c r="BI115" s="801"/>
      <c r="BJ115" s="817"/>
      <c r="BK115" s="768"/>
      <c r="BL115" s="815"/>
      <c r="BM115" s="816"/>
      <c r="BN115" s="801"/>
      <c r="BO115" s="801"/>
      <c r="BP115" s="815"/>
      <c r="BQ115" s="816"/>
      <c r="BR115" s="801"/>
      <c r="BS115" s="815"/>
      <c r="BT115" s="801"/>
      <c r="BU115" s="801"/>
      <c r="BV115" s="801"/>
      <c r="BW115" s="815"/>
      <c r="BX115" s="816"/>
      <c r="BY115" s="801"/>
      <c r="BZ115" s="815"/>
      <c r="CA115" s="801"/>
      <c r="CB115" s="801"/>
      <c r="CC115" s="815"/>
      <c r="CD115" s="567"/>
      <c r="CE115" s="2572"/>
    </row>
    <row r="116" spans="1:83" ht="18.75" customHeight="1" x14ac:dyDescent="0.4">
      <c r="A116" s="249"/>
      <c r="B116" s="249"/>
      <c r="C116" s="578">
        <v>0.375</v>
      </c>
      <c r="D116" s="589"/>
      <c r="E116" s="818" t="s">
        <v>271</v>
      </c>
      <c r="F116" s="688"/>
      <c r="G116" s="590"/>
      <c r="H116" s="819" t="s">
        <v>271</v>
      </c>
      <c r="I116" s="742"/>
      <c r="J116" s="635"/>
      <c r="K116" s="820"/>
      <c r="L116" s="781"/>
      <c r="M116" s="827"/>
      <c r="N116" s="828" t="s">
        <v>330</v>
      </c>
      <c r="O116" s="827"/>
      <c r="P116" s="778"/>
      <c r="Q116" s="821" t="s">
        <v>345</v>
      </c>
      <c r="R116" s="822"/>
      <c r="S116" s="1728"/>
      <c r="T116" s="1728" t="s">
        <v>331</v>
      </c>
      <c r="U116" s="829"/>
      <c r="V116" s="825"/>
      <c r="W116" s="709" t="s">
        <v>332</v>
      </c>
      <c r="X116" s="826"/>
      <c r="Y116" s="827"/>
      <c r="Z116" s="828" t="s">
        <v>330</v>
      </c>
      <c r="AA116" s="827"/>
      <c r="AB116" s="829"/>
      <c r="AC116" s="829"/>
      <c r="AD116" s="829"/>
      <c r="AE116" s="568"/>
      <c r="AF116" s="566"/>
      <c r="AG116" s="567"/>
      <c r="AH116" s="568"/>
      <c r="AI116" s="566"/>
      <c r="AJ116" s="567"/>
      <c r="AK116" s="568"/>
      <c r="AL116" s="566"/>
      <c r="AM116" s="567"/>
      <c r="AN116" s="568"/>
      <c r="AO116" s="566"/>
      <c r="AP116" s="567"/>
      <c r="AQ116" s="568"/>
      <c r="AR116" s="566"/>
      <c r="AS116" s="567"/>
      <c r="AT116" s="568"/>
      <c r="AU116" s="566"/>
      <c r="AV116" s="567"/>
      <c r="AW116" s="568"/>
      <c r="AX116" s="566"/>
      <c r="AY116" s="567"/>
      <c r="AZ116" s="568"/>
      <c r="BA116" s="566"/>
      <c r="BB116" s="567"/>
      <c r="BC116" s="568"/>
      <c r="BD116" s="566"/>
      <c r="BE116" s="567"/>
      <c r="BF116" s="567"/>
      <c r="BG116" s="830"/>
      <c r="BH116" s="567"/>
      <c r="BI116" s="567"/>
      <c r="BJ116" s="830"/>
      <c r="BK116" s="567"/>
      <c r="BL116" s="568"/>
      <c r="BM116" s="566"/>
      <c r="BN116" s="567"/>
      <c r="BO116" s="567"/>
      <c r="BP116" s="568"/>
      <c r="BQ116" s="566"/>
      <c r="BR116" s="567"/>
      <c r="BS116" s="568"/>
      <c r="BT116" s="567"/>
      <c r="BU116" s="567"/>
      <c r="BV116" s="567"/>
      <c r="BW116" s="568"/>
      <c r="BX116" s="566"/>
      <c r="BY116" s="567"/>
      <c r="BZ116" s="568"/>
      <c r="CA116" s="567"/>
      <c r="CB116" s="567"/>
      <c r="CC116" s="568"/>
      <c r="CD116" s="567"/>
      <c r="CE116" s="2807"/>
    </row>
    <row r="117" spans="1:83" ht="18.75" customHeight="1" x14ac:dyDescent="0.4">
      <c r="A117" s="249"/>
      <c r="B117" s="249"/>
      <c r="C117" s="584" t="s">
        <v>307</v>
      </c>
      <c r="D117" s="631"/>
      <c r="E117" s="614" t="s">
        <v>310</v>
      </c>
      <c r="F117" s="632"/>
      <c r="G117" s="633"/>
      <c r="H117" s="612" t="s">
        <v>310</v>
      </c>
      <c r="I117" s="634"/>
      <c r="J117" s="635"/>
      <c r="K117" s="831"/>
      <c r="L117" s="754"/>
      <c r="M117" s="685"/>
      <c r="N117" s="745" t="s">
        <v>333</v>
      </c>
      <c r="O117" s="685"/>
      <c r="P117" s="778"/>
      <c r="Q117" s="832" t="s">
        <v>346</v>
      </c>
      <c r="R117" s="833"/>
      <c r="S117" s="664"/>
      <c r="T117" s="664" t="s">
        <v>334</v>
      </c>
      <c r="U117" s="687"/>
      <c r="V117" s="683"/>
      <c r="W117" s="709" t="s">
        <v>335</v>
      </c>
      <c r="X117" s="684"/>
      <c r="Y117" s="685"/>
      <c r="Z117" s="745" t="s">
        <v>333</v>
      </c>
      <c r="AA117" s="685"/>
      <c r="AB117" s="687"/>
      <c r="AC117" s="784"/>
      <c r="AD117" s="687"/>
      <c r="AE117" s="568"/>
      <c r="AF117" s="566"/>
      <c r="AG117" s="567"/>
      <c r="AH117" s="568"/>
      <c r="AI117" s="566"/>
      <c r="AJ117" s="567"/>
      <c r="AK117" s="568"/>
      <c r="AL117" s="566"/>
      <c r="AM117" s="567"/>
      <c r="AN117" s="568"/>
      <c r="AO117" s="566"/>
      <c r="AP117" s="567"/>
      <c r="AQ117" s="568"/>
      <c r="AR117" s="566"/>
      <c r="AS117" s="567"/>
      <c r="AT117" s="568"/>
      <c r="AU117" s="566"/>
      <c r="AV117" s="567"/>
      <c r="AW117" s="568"/>
      <c r="AX117" s="566"/>
      <c r="AY117" s="567"/>
      <c r="AZ117" s="568"/>
      <c r="BA117" s="566"/>
      <c r="BB117" s="567"/>
      <c r="BC117" s="568"/>
      <c r="BD117" s="566"/>
      <c r="BE117" s="567"/>
      <c r="BF117" s="567"/>
      <c r="BG117" s="830"/>
      <c r="BH117" s="567"/>
      <c r="BI117" s="567"/>
      <c r="BJ117" s="830"/>
      <c r="BK117" s="567"/>
      <c r="BL117" s="568"/>
      <c r="BM117" s="566"/>
      <c r="BN117" s="567"/>
      <c r="BO117" s="567"/>
      <c r="BP117" s="568"/>
      <c r="BQ117" s="566"/>
      <c r="BR117" s="567"/>
      <c r="BS117" s="568"/>
      <c r="BT117" s="567"/>
      <c r="BU117" s="567"/>
      <c r="BV117" s="567"/>
      <c r="BW117" s="568"/>
      <c r="BX117" s="566"/>
      <c r="BY117" s="567"/>
      <c r="BZ117" s="568"/>
      <c r="CA117" s="567"/>
      <c r="CB117" s="567"/>
      <c r="CC117" s="568"/>
      <c r="CD117" s="567"/>
      <c r="CE117" s="2807"/>
    </row>
    <row r="118" spans="1:83" ht="18.75" customHeight="1" x14ac:dyDescent="0.4">
      <c r="A118" s="249"/>
      <c r="B118" s="249"/>
      <c r="C118" s="584" t="s">
        <v>307</v>
      </c>
      <c r="D118" s="587"/>
      <c r="E118" s="688"/>
      <c r="F118" s="834"/>
      <c r="G118" s="588"/>
      <c r="H118" s="594"/>
      <c r="I118" s="775"/>
      <c r="J118" s="797"/>
      <c r="K118" s="691"/>
      <c r="L118" s="754"/>
      <c r="M118" s="685"/>
      <c r="N118" s="745"/>
      <c r="O118" s="685"/>
      <c r="P118" s="799"/>
      <c r="Q118" s="769" t="s">
        <v>334</v>
      </c>
      <c r="R118" s="757"/>
      <c r="S118" s="664"/>
      <c r="T118" s="664"/>
      <c r="U118" s="687"/>
      <c r="V118" s="683"/>
      <c r="W118" s="683"/>
      <c r="X118" s="684"/>
      <c r="Y118" s="685"/>
      <c r="Z118" s="745"/>
      <c r="AA118" s="685"/>
      <c r="AB118" s="687"/>
      <c r="AC118" s="687"/>
      <c r="AD118" s="687"/>
      <c r="AE118" s="568"/>
      <c r="AF118" s="566"/>
      <c r="AG118" s="567"/>
      <c r="AH118" s="568"/>
      <c r="AI118" s="566"/>
      <c r="AJ118" s="567"/>
      <c r="AK118" s="568"/>
      <c r="AL118" s="566"/>
      <c r="AM118" s="567"/>
      <c r="AN118" s="568"/>
      <c r="AO118" s="566"/>
      <c r="AP118" s="567"/>
      <c r="AQ118" s="568"/>
      <c r="AR118" s="566"/>
      <c r="AS118" s="567"/>
      <c r="AT118" s="568"/>
      <c r="AU118" s="566"/>
      <c r="AV118" s="567"/>
      <c r="AW118" s="568"/>
      <c r="AX118" s="566"/>
      <c r="AY118" s="567"/>
      <c r="AZ118" s="568"/>
      <c r="BA118" s="566"/>
      <c r="BB118" s="567"/>
      <c r="BC118" s="568"/>
      <c r="BD118" s="566"/>
      <c r="BE118" s="567"/>
      <c r="BF118" s="567"/>
      <c r="BG118" s="830"/>
      <c r="BH118" s="567"/>
      <c r="BI118" s="567"/>
      <c r="BJ118" s="830"/>
      <c r="BK118" s="567"/>
      <c r="BL118" s="568"/>
      <c r="BM118" s="566"/>
      <c r="BN118" s="567"/>
      <c r="BO118" s="567"/>
      <c r="BP118" s="568"/>
      <c r="BQ118" s="566"/>
      <c r="BR118" s="567"/>
      <c r="BS118" s="568"/>
      <c r="BT118" s="567"/>
      <c r="BU118" s="567"/>
      <c r="BV118" s="567"/>
      <c r="BW118" s="568"/>
      <c r="BX118" s="566"/>
      <c r="BY118" s="567"/>
      <c r="BZ118" s="568"/>
      <c r="CA118" s="567"/>
      <c r="CB118" s="567"/>
      <c r="CC118" s="568"/>
      <c r="CD118" s="567"/>
      <c r="CE118" s="2807"/>
    </row>
    <row r="119" spans="1:83" ht="18.75" customHeight="1" x14ac:dyDescent="0.4">
      <c r="A119" s="249"/>
      <c r="B119" s="249"/>
      <c r="C119" s="584"/>
      <c r="D119" s="673"/>
      <c r="E119" s="688"/>
      <c r="F119" s="688"/>
      <c r="G119" s="835"/>
      <c r="H119" s="594"/>
      <c r="I119" s="775"/>
      <c r="J119" s="797"/>
      <c r="K119" s="691"/>
      <c r="L119" s="754"/>
      <c r="M119" s="685"/>
      <c r="N119" s="745"/>
      <c r="O119" s="685"/>
      <c r="P119" s="799"/>
      <c r="Q119" s="769"/>
      <c r="R119" s="757"/>
      <c r="S119" s="664"/>
      <c r="T119" s="664"/>
      <c r="U119" s="687"/>
      <c r="V119" s="683"/>
      <c r="W119" s="683"/>
      <c r="X119" s="684"/>
      <c r="Y119" s="685"/>
      <c r="Z119" s="745"/>
      <c r="AA119" s="685"/>
      <c r="AB119" s="687"/>
      <c r="AC119" s="687"/>
      <c r="AD119" s="687"/>
      <c r="AE119" s="568"/>
      <c r="AF119" s="566"/>
      <c r="AG119" s="567"/>
      <c r="AH119" s="568"/>
      <c r="AI119" s="566"/>
      <c r="AJ119" s="567"/>
      <c r="AK119" s="568"/>
      <c r="AL119" s="566"/>
      <c r="AM119" s="567"/>
      <c r="AN119" s="568"/>
      <c r="AO119" s="566"/>
      <c r="AP119" s="567"/>
      <c r="AQ119" s="568"/>
      <c r="AR119" s="566"/>
      <c r="AS119" s="567"/>
      <c r="AT119" s="568"/>
      <c r="AU119" s="566"/>
      <c r="AV119" s="567"/>
      <c r="AW119" s="568"/>
      <c r="AX119" s="566"/>
      <c r="AY119" s="567"/>
      <c r="AZ119" s="568"/>
      <c r="BA119" s="566"/>
      <c r="BB119" s="567"/>
      <c r="BC119" s="568"/>
      <c r="BD119" s="566"/>
      <c r="BE119" s="567"/>
      <c r="BF119" s="567"/>
      <c r="BG119" s="830"/>
      <c r="BH119" s="567"/>
      <c r="BI119" s="567"/>
      <c r="BJ119" s="830"/>
      <c r="BK119" s="567"/>
      <c r="BL119" s="568"/>
      <c r="BM119" s="566"/>
      <c r="BN119" s="567"/>
      <c r="BO119" s="567"/>
      <c r="BP119" s="568"/>
      <c r="BQ119" s="566"/>
      <c r="BR119" s="567"/>
      <c r="BS119" s="568"/>
      <c r="BT119" s="567"/>
      <c r="BU119" s="567"/>
      <c r="BV119" s="567"/>
      <c r="BW119" s="568"/>
      <c r="BX119" s="566"/>
      <c r="BY119" s="567"/>
      <c r="BZ119" s="568"/>
      <c r="CA119" s="567"/>
      <c r="CB119" s="567"/>
      <c r="CC119" s="568"/>
      <c r="CD119" s="567"/>
      <c r="CE119" s="2807"/>
    </row>
    <row r="120" spans="1:83" ht="18.75" customHeight="1" x14ac:dyDescent="0.4">
      <c r="A120" s="249"/>
      <c r="B120" s="249"/>
      <c r="C120" s="584">
        <v>0.37847222222222199</v>
      </c>
      <c r="D120" s="836"/>
      <c r="E120" s="837" t="s">
        <v>347</v>
      </c>
      <c r="F120" s="838"/>
      <c r="G120" s="837"/>
      <c r="H120" s="837" t="s">
        <v>347</v>
      </c>
      <c r="I120" s="839"/>
      <c r="J120" s="837"/>
      <c r="K120" s="837" t="s">
        <v>347</v>
      </c>
      <c r="L120" s="839"/>
      <c r="M120" s="836"/>
      <c r="N120" s="840" t="s">
        <v>347</v>
      </c>
      <c r="O120" s="842"/>
      <c r="P120" s="836"/>
      <c r="Q120" s="840" t="s">
        <v>347</v>
      </c>
      <c r="R120" s="841"/>
      <c r="S120" s="679"/>
      <c r="T120" s="840" t="s">
        <v>347</v>
      </c>
      <c r="U120" s="839"/>
      <c r="V120" s="679"/>
      <c r="W120" s="840" t="s">
        <v>347</v>
      </c>
      <c r="X120" s="839"/>
      <c r="Y120" s="836"/>
      <c r="Z120" s="840" t="s">
        <v>347</v>
      </c>
      <c r="AA120" s="842"/>
      <c r="AB120" s="687"/>
      <c r="AC120" s="740"/>
      <c r="AD120" s="740"/>
      <c r="AE120" s="568"/>
      <c r="AF120" s="566"/>
      <c r="AG120" s="567"/>
      <c r="AH120" s="568"/>
      <c r="AI120" s="566"/>
      <c r="AJ120" s="567"/>
      <c r="AK120" s="568"/>
      <c r="AL120" s="566"/>
      <c r="AM120" s="567"/>
      <c r="AN120" s="568"/>
      <c r="AO120" s="566"/>
      <c r="AP120" s="567"/>
      <c r="AQ120" s="568"/>
      <c r="AR120" s="566"/>
      <c r="AS120" s="567"/>
      <c r="AT120" s="568"/>
      <c r="AU120" s="566"/>
      <c r="AV120" s="567"/>
      <c r="AW120" s="568"/>
      <c r="AX120" s="566"/>
      <c r="AY120" s="567"/>
      <c r="AZ120" s="568"/>
      <c r="BA120" s="566"/>
      <c r="BB120" s="567"/>
      <c r="BC120" s="568"/>
      <c r="BD120" s="566"/>
      <c r="BE120" s="567"/>
      <c r="BF120" s="567"/>
      <c r="BG120" s="843"/>
      <c r="BH120" s="759"/>
      <c r="BI120" s="567"/>
      <c r="BJ120" s="843"/>
      <c r="BK120" s="759"/>
      <c r="BL120" s="568"/>
      <c r="BM120" s="566"/>
      <c r="BN120" s="567"/>
      <c r="BO120" s="567"/>
      <c r="BP120" s="568"/>
      <c r="BQ120" s="566"/>
      <c r="BR120" s="567"/>
      <c r="BS120" s="568"/>
      <c r="BT120" s="567"/>
      <c r="BU120" s="567"/>
      <c r="BV120" s="567"/>
      <c r="BW120" s="568"/>
      <c r="BX120" s="566"/>
      <c r="BY120" s="567"/>
      <c r="BZ120" s="568"/>
      <c r="CA120" s="567"/>
      <c r="CB120" s="567"/>
      <c r="CC120" s="568"/>
      <c r="CD120" s="567"/>
      <c r="CE120" s="2807"/>
    </row>
    <row r="121" spans="1:83" ht="14.85" customHeight="1" x14ac:dyDescent="0.4">
      <c r="A121" s="249"/>
      <c r="B121" s="249"/>
      <c r="C121" s="584">
        <v>0.38194444444444398</v>
      </c>
      <c r="D121" s="844"/>
      <c r="E121" s="688"/>
      <c r="F121" s="845"/>
      <c r="G121" s="846"/>
      <c r="H121" s="594"/>
      <c r="I121" s="847"/>
      <c r="J121" s="582"/>
      <c r="K121" s="848"/>
      <c r="L121" s="849"/>
      <c r="M121" s="685"/>
      <c r="N121" s="745"/>
      <c r="O121" s="685"/>
      <c r="P121" s="850"/>
      <c r="Q121" s="851"/>
      <c r="R121" s="852"/>
      <c r="S121" s="664"/>
      <c r="T121" s="664"/>
      <c r="U121" s="687"/>
      <c r="V121" s="709"/>
      <c r="W121" s="709"/>
      <c r="X121" s="783"/>
      <c r="Y121" s="685"/>
      <c r="Z121" s="745"/>
      <c r="AA121" s="685"/>
      <c r="AB121" s="687"/>
      <c r="AC121" s="687"/>
      <c r="AD121" s="687"/>
      <c r="AE121" s="568"/>
      <c r="AF121" s="566"/>
      <c r="AG121" s="567"/>
      <c r="AH121" s="568"/>
      <c r="AI121" s="566"/>
      <c r="AJ121" s="567"/>
      <c r="AK121" s="568"/>
      <c r="AL121" s="566"/>
      <c r="AM121" s="567"/>
      <c r="AN121" s="568"/>
      <c r="AO121" s="566"/>
      <c r="AP121" s="567"/>
      <c r="AQ121" s="568"/>
      <c r="AR121" s="566"/>
      <c r="AS121" s="567"/>
      <c r="AT121" s="568"/>
      <c r="AU121" s="566"/>
      <c r="AV121" s="567"/>
      <c r="AW121" s="568"/>
      <c r="AX121" s="566"/>
      <c r="AY121" s="567"/>
      <c r="AZ121" s="568"/>
      <c r="BA121" s="566"/>
      <c r="BB121" s="567"/>
      <c r="BC121" s="568"/>
      <c r="BD121" s="566"/>
      <c r="BE121" s="567"/>
      <c r="BF121" s="567"/>
      <c r="BG121" s="853"/>
      <c r="BH121" s="768"/>
      <c r="BI121" s="567"/>
      <c r="BJ121" s="853"/>
      <c r="BK121" s="768"/>
      <c r="BL121" s="568"/>
      <c r="BM121" s="566"/>
      <c r="BN121" s="567"/>
      <c r="BO121" s="567"/>
      <c r="BP121" s="568"/>
      <c r="BQ121" s="566"/>
      <c r="BR121" s="567"/>
      <c r="BS121" s="568"/>
      <c r="BT121" s="567"/>
      <c r="BU121" s="567"/>
      <c r="BV121" s="567"/>
      <c r="BW121" s="568"/>
      <c r="BX121" s="566"/>
      <c r="BY121" s="567"/>
      <c r="BZ121" s="568"/>
      <c r="CA121" s="567"/>
      <c r="CB121" s="567"/>
      <c r="CC121" s="568"/>
      <c r="CD121" s="567"/>
      <c r="CE121" s="2807"/>
    </row>
    <row r="122" spans="1:83" ht="18.75" customHeight="1" x14ac:dyDescent="0.4">
      <c r="A122" s="249"/>
      <c r="B122" s="249"/>
      <c r="C122" s="584">
        <v>0.38541666666666602</v>
      </c>
      <c r="D122" s="589"/>
      <c r="E122" s="614"/>
      <c r="F122" s="688"/>
      <c r="G122" s="590"/>
      <c r="H122" s="901"/>
      <c r="I122" s="742"/>
      <c r="J122" s="743"/>
      <c r="K122" s="2569"/>
      <c r="L122" s="705"/>
      <c r="M122" s="685"/>
      <c r="N122" s="745" t="s">
        <v>333</v>
      </c>
      <c r="O122" s="685"/>
      <c r="P122" s="744"/>
      <c r="Q122" s="769" t="s">
        <v>334</v>
      </c>
      <c r="R122" s="708"/>
      <c r="S122" s="664"/>
      <c r="T122" s="664" t="s">
        <v>348</v>
      </c>
      <c r="U122" s="687"/>
      <c r="V122" s="709"/>
      <c r="W122" s="709" t="s">
        <v>332</v>
      </c>
      <c r="X122" s="783"/>
      <c r="Y122" s="685"/>
      <c r="Z122" s="745" t="s">
        <v>333</v>
      </c>
      <c r="AA122" s="685"/>
      <c r="AB122" s="687"/>
      <c r="AC122" s="687"/>
      <c r="AD122" s="687"/>
      <c r="AE122" s="568"/>
      <c r="AF122" s="566"/>
      <c r="AG122" s="567"/>
      <c r="AH122" s="568"/>
      <c r="AI122" s="566"/>
      <c r="AJ122" s="567"/>
      <c r="AK122" s="568"/>
      <c r="AL122" s="566"/>
      <c r="AM122" s="567"/>
      <c r="AN122" s="568"/>
      <c r="AO122" s="566"/>
      <c r="AP122" s="567"/>
      <c r="AQ122" s="568"/>
      <c r="AR122" s="566"/>
      <c r="AS122" s="567"/>
      <c r="AT122" s="568"/>
      <c r="AU122" s="566"/>
      <c r="AV122" s="567"/>
      <c r="AW122" s="568"/>
      <c r="AX122" s="566"/>
      <c r="AY122" s="567"/>
      <c r="AZ122" s="568"/>
      <c r="BA122" s="566"/>
      <c r="BB122" s="567"/>
      <c r="BC122" s="568"/>
      <c r="BD122" s="566"/>
      <c r="BE122" s="567"/>
      <c r="BF122" s="568"/>
      <c r="BG122" s="854"/>
      <c r="BH122" s="567"/>
      <c r="BI122" s="568"/>
      <c r="BJ122" s="854"/>
      <c r="BK122" s="567"/>
      <c r="BL122" s="568"/>
      <c r="BM122" s="566"/>
      <c r="BN122" s="567"/>
      <c r="BO122" s="567"/>
      <c r="BP122" s="568"/>
      <c r="BQ122" s="566"/>
      <c r="BR122" s="567"/>
      <c r="BS122" s="568"/>
      <c r="BT122" s="567"/>
      <c r="BU122" s="567"/>
      <c r="BV122" s="567"/>
      <c r="BW122" s="568"/>
      <c r="BX122" s="566"/>
      <c r="BY122" s="567"/>
      <c r="BZ122" s="568"/>
      <c r="CA122" s="567"/>
      <c r="CB122" s="567"/>
      <c r="CC122" s="568"/>
      <c r="CD122" s="567"/>
      <c r="CE122" s="2807"/>
    </row>
    <row r="123" spans="1:83" ht="20.100000000000001" customHeight="1" x14ac:dyDescent="0.4">
      <c r="A123" s="249"/>
      <c r="B123" s="249"/>
      <c r="C123" s="584" t="s">
        <v>307</v>
      </c>
      <c r="D123" s="746"/>
      <c r="E123" s="747"/>
      <c r="F123" s="747"/>
      <c r="G123" s="748"/>
      <c r="H123" s="594"/>
      <c r="I123" s="775"/>
      <c r="J123" s="635"/>
      <c r="K123" s="2569"/>
      <c r="L123" s="705"/>
      <c r="M123" s="685"/>
      <c r="N123" s="793" t="s">
        <v>336</v>
      </c>
      <c r="O123" s="685"/>
      <c r="P123" s="795"/>
      <c r="Q123" s="769"/>
      <c r="R123" s="708"/>
      <c r="S123" s="664"/>
      <c r="T123" s="664" t="s">
        <v>334</v>
      </c>
      <c r="U123" s="687"/>
      <c r="V123" s="683"/>
      <c r="W123" s="709" t="s">
        <v>335</v>
      </c>
      <c r="X123" s="783"/>
      <c r="Y123" s="685"/>
      <c r="Z123" s="793" t="s">
        <v>336</v>
      </c>
      <c r="AA123" s="685"/>
      <c r="AB123" s="794"/>
      <c r="AC123" s="687"/>
      <c r="AD123" s="794"/>
      <c r="AE123" s="568"/>
      <c r="AF123" s="566"/>
      <c r="AG123" s="567"/>
      <c r="AH123" s="568"/>
      <c r="AI123" s="566"/>
      <c r="AJ123" s="567"/>
      <c r="AK123" s="568"/>
      <c r="AL123" s="566"/>
      <c r="AM123" s="567"/>
      <c r="AN123" s="568"/>
      <c r="AO123" s="566"/>
      <c r="AP123" s="567"/>
      <c r="AQ123" s="568"/>
      <c r="AR123" s="566"/>
      <c r="AS123" s="567"/>
      <c r="AT123" s="568"/>
      <c r="AU123" s="566"/>
      <c r="AV123" s="567"/>
      <c r="AW123" s="568"/>
      <c r="AX123" s="566"/>
      <c r="AY123" s="567"/>
      <c r="AZ123" s="568"/>
      <c r="BA123" s="566"/>
      <c r="BB123" s="567"/>
      <c r="BC123" s="568"/>
      <c r="BD123" s="566"/>
      <c r="BE123" s="567"/>
      <c r="BF123" s="568"/>
      <c r="BG123" s="854"/>
      <c r="BH123" s="567"/>
      <c r="BI123" s="568"/>
      <c r="BJ123" s="854"/>
      <c r="BK123" s="567"/>
      <c r="BL123" s="568"/>
      <c r="BM123" s="566"/>
      <c r="BN123" s="567"/>
      <c r="BO123" s="567"/>
      <c r="BP123" s="568"/>
      <c r="BQ123" s="566"/>
      <c r="BR123" s="567"/>
      <c r="BS123" s="568"/>
      <c r="BT123" s="567"/>
      <c r="BU123" s="567"/>
      <c r="BV123" s="567"/>
      <c r="BW123" s="568"/>
      <c r="BX123" s="566"/>
      <c r="BY123" s="567"/>
      <c r="BZ123" s="568"/>
      <c r="CA123" s="567"/>
      <c r="CB123" s="567"/>
      <c r="CC123" s="568"/>
      <c r="CD123" s="567"/>
      <c r="CE123" s="2807"/>
    </row>
    <row r="124" spans="1:83" ht="20.100000000000001" customHeight="1" x14ac:dyDescent="0.4">
      <c r="A124" s="249"/>
      <c r="B124" s="249"/>
      <c r="C124" s="584"/>
      <c r="D124" s="673"/>
      <c r="E124" s="688"/>
      <c r="F124" s="689"/>
      <c r="G124" s="835"/>
      <c r="H124" s="594"/>
      <c r="I124" s="775"/>
      <c r="J124" s="797"/>
      <c r="K124" s="2569"/>
      <c r="L124" s="754"/>
      <c r="M124" s="685"/>
      <c r="N124" s="745"/>
      <c r="O124" s="685"/>
      <c r="P124" s="799"/>
      <c r="Q124" s="707"/>
      <c r="R124" s="757"/>
      <c r="S124" s="664"/>
      <c r="T124" s="664"/>
      <c r="U124" s="687"/>
      <c r="V124" s="683"/>
      <c r="W124" s="709"/>
      <c r="X124" s="684"/>
      <c r="Y124" s="685"/>
      <c r="Z124" s="745"/>
      <c r="AA124" s="685"/>
      <c r="AB124" s="794"/>
      <c r="AC124" s="794"/>
      <c r="AD124" s="794"/>
      <c r="AE124" s="568"/>
      <c r="AF124" s="566"/>
      <c r="AG124" s="567"/>
      <c r="AH124" s="568"/>
      <c r="AI124" s="566"/>
      <c r="AJ124" s="567"/>
      <c r="AK124" s="568"/>
      <c r="AL124" s="566"/>
      <c r="AM124" s="567"/>
      <c r="AN124" s="568"/>
      <c r="AO124" s="566"/>
      <c r="AP124" s="567"/>
      <c r="AQ124" s="568"/>
      <c r="AR124" s="566"/>
      <c r="AS124" s="567"/>
      <c r="AT124" s="568"/>
      <c r="AU124" s="566"/>
      <c r="AV124" s="567"/>
      <c r="AW124" s="568"/>
      <c r="AX124" s="566"/>
      <c r="AY124" s="567"/>
      <c r="AZ124" s="568"/>
      <c r="BA124" s="566"/>
      <c r="BB124" s="567"/>
      <c r="BC124" s="568"/>
      <c r="BD124" s="566"/>
      <c r="BE124" s="567"/>
      <c r="BF124" s="568"/>
      <c r="BG124" s="854"/>
      <c r="BH124" s="567"/>
      <c r="BI124" s="568"/>
      <c r="BJ124" s="854"/>
      <c r="BK124" s="567"/>
      <c r="BL124" s="568"/>
      <c r="BM124" s="566"/>
      <c r="BN124" s="567"/>
      <c r="BO124" s="567"/>
      <c r="BP124" s="568"/>
      <c r="BQ124" s="566"/>
      <c r="BR124" s="567"/>
      <c r="BS124" s="568"/>
      <c r="BT124" s="567"/>
      <c r="BU124" s="567"/>
      <c r="BV124" s="567"/>
      <c r="BW124" s="568"/>
      <c r="BX124" s="566"/>
      <c r="BY124" s="567"/>
      <c r="BZ124" s="568"/>
      <c r="CA124" s="567"/>
      <c r="CB124" s="567"/>
      <c r="CC124" s="568"/>
      <c r="CD124" s="567"/>
      <c r="CE124" s="2807"/>
    </row>
    <row r="125" spans="1:83" ht="14.85" customHeight="1" x14ac:dyDescent="0.4">
      <c r="A125" s="249"/>
      <c r="B125" s="249"/>
      <c r="C125" s="584">
        <v>0.38888888888888901</v>
      </c>
      <c r="D125" s="673"/>
      <c r="E125" s="688"/>
      <c r="F125" s="689"/>
      <c r="G125" s="835"/>
      <c r="H125" s="911"/>
      <c r="I125" s="775"/>
      <c r="J125" s="797"/>
      <c r="K125" s="2570"/>
      <c r="L125" s="754"/>
      <c r="M125" s="685"/>
      <c r="N125" s="745"/>
      <c r="O125" s="685"/>
      <c r="P125" s="799"/>
      <c r="Q125" s="800"/>
      <c r="R125" s="757"/>
      <c r="S125" s="664"/>
      <c r="T125" s="664"/>
      <c r="U125" s="687"/>
      <c r="V125" s="709"/>
      <c r="W125" s="709"/>
      <c r="X125" s="684"/>
      <c r="Y125" s="685"/>
      <c r="Z125" s="745"/>
      <c r="AA125" s="685"/>
      <c r="AB125" s="687"/>
      <c r="AC125" s="687"/>
      <c r="AD125" s="687"/>
      <c r="AE125" s="568"/>
      <c r="AF125" s="566"/>
      <c r="AG125" s="567"/>
      <c r="AH125" s="568"/>
      <c r="AI125" s="566"/>
      <c r="AJ125" s="567"/>
      <c r="AK125" s="568"/>
      <c r="AL125" s="566"/>
      <c r="AM125" s="567"/>
      <c r="AN125" s="568"/>
      <c r="AO125" s="566"/>
      <c r="AP125" s="567"/>
      <c r="AQ125" s="568"/>
      <c r="AR125" s="566"/>
      <c r="AS125" s="567"/>
      <c r="AT125" s="568"/>
      <c r="AU125" s="566"/>
      <c r="AV125" s="567"/>
      <c r="AW125" s="568"/>
      <c r="AX125" s="566"/>
      <c r="AY125" s="567"/>
      <c r="AZ125" s="568"/>
      <c r="BA125" s="566"/>
      <c r="BB125" s="567"/>
      <c r="BC125" s="568"/>
      <c r="BD125" s="566"/>
      <c r="BE125" s="567"/>
      <c r="BF125" s="776"/>
      <c r="BG125" s="855"/>
      <c r="BH125" s="759"/>
      <c r="BI125" s="776"/>
      <c r="BJ125" s="855"/>
      <c r="BK125" s="759"/>
      <c r="BL125" s="568"/>
      <c r="BM125" s="566"/>
      <c r="BN125" s="567"/>
      <c r="BO125" s="567"/>
      <c r="BP125" s="568"/>
      <c r="BQ125" s="566"/>
      <c r="BR125" s="567"/>
      <c r="BS125" s="568"/>
      <c r="BT125" s="567"/>
      <c r="BU125" s="567"/>
      <c r="BV125" s="567"/>
      <c r="BW125" s="568"/>
      <c r="BX125" s="566"/>
      <c r="BY125" s="567"/>
      <c r="BZ125" s="568"/>
      <c r="CA125" s="567"/>
      <c r="CB125" s="567"/>
      <c r="CC125" s="568"/>
      <c r="CD125" s="567"/>
      <c r="CE125" s="2807"/>
    </row>
    <row r="126" spans="1:83" ht="14.85" customHeight="1" x14ac:dyDescent="0.4">
      <c r="A126" s="249"/>
      <c r="B126" s="249"/>
      <c r="C126" s="584">
        <v>0.39236111111111099</v>
      </c>
      <c r="D126" s="587"/>
      <c r="E126" s="587"/>
      <c r="F126" s="688"/>
      <c r="G126" s="588"/>
      <c r="H126" s="911"/>
      <c r="I126" s="675"/>
      <c r="J126" s="635"/>
      <c r="K126" s="2569"/>
      <c r="L126" s="789"/>
      <c r="M126" s="685"/>
      <c r="N126" s="745"/>
      <c r="O126" s="685"/>
      <c r="P126" s="795"/>
      <c r="Q126" s="769"/>
      <c r="R126" s="790"/>
      <c r="S126" s="664"/>
      <c r="T126" s="664"/>
      <c r="U126" s="687"/>
      <c r="V126" s="709"/>
      <c r="W126" s="709"/>
      <c r="X126" s="684"/>
      <c r="Y126" s="685"/>
      <c r="Z126" s="745"/>
      <c r="AA126" s="685"/>
      <c r="AB126" s="687"/>
      <c r="AC126" s="687"/>
      <c r="AD126" s="687"/>
      <c r="AE126" s="568"/>
      <c r="AF126" s="566"/>
      <c r="AG126" s="567"/>
      <c r="AH126" s="568"/>
      <c r="AI126" s="566"/>
      <c r="AJ126" s="567"/>
      <c r="AK126" s="568"/>
      <c r="AL126" s="566"/>
      <c r="AM126" s="567"/>
      <c r="AN126" s="568"/>
      <c r="AO126" s="566"/>
      <c r="AP126" s="567"/>
      <c r="AQ126" s="568"/>
      <c r="AR126" s="566"/>
      <c r="AS126" s="567"/>
      <c r="AT126" s="568"/>
      <c r="AU126" s="566"/>
      <c r="AV126" s="567"/>
      <c r="AW126" s="568"/>
      <c r="AX126" s="566"/>
      <c r="AY126" s="567"/>
      <c r="AZ126" s="568"/>
      <c r="BA126" s="566"/>
      <c r="BB126" s="567"/>
      <c r="BC126" s="568"/>
      <c r="BD126" s="566"/>
      <c r="BE126" s="567"/>
      <c r="BF126" s="776"/>
      <c r="BG126" s="855"/>
      <c r="BH126" s="759"/>
      <c r="BI126" s="776"/>
      <c r="BJ126" s="855"/>
      <c r="BK126" s="759"/>
      <c r="BL126" s="568"/>
      <c r="BM126" s="566"/>
      <c r="BN126" s="567"/>
      <c r="BO126" s="567"/>
      <c r="BP126" s="568"/>
      <c r="BQ126" s="566"/>
      <c r="BR126" s="567"/>
      <c r="BS126" s="568"/>
      <c r="BT126" s="567"/>
      <c r="BU126" s="567"/>
      <c r="BV126" s="567"/>
      <c r="BW126" s="568"/>
      <c r="BX126" s="566"/>
      <c r="BY126" s="567"/>
      <c r="BZ126" s="568"/>
      <c r="CA126" s="567"/>
      <c r="CB126" s="567"/>
      <c r="CC126" s="568"/>
      <c r="CD126" s="567"/>
      <c r="CE126" s="2807"/>
    </row>
    <row r="127" spans="1:83" ht="18.75" customHeight="1" x14ac:dyDescent="0.4">
      <c r="A127" s="249"/>
      <c r="B127" s="249"/>
      <c r="C127" s="584">
        <v>0.39583333333333298</v>
      </c>
      <c r="D127" s="589"/>
      <c r="E127" s="688" t="s">
        <v>271</v>
      </c>
      <c r="F127" s="688"/>
      <c r="G127" s="590"/>
      <c r="H127" s="599"/>
      <c r="I127" s="742"/>
      <c r="J127" s="743"/>
      <c r="K127" s="2569"/>
      <c r="L127" s="705"/>
      <c r="M127" s="685"/>
      <c r="N127" s="2681"/>
      <c r="O127" s="791"/>
      <c r="P127" s="744"/>
      <c r="Q127" s="769" t="s">
        <v>334</v>
      </c>
      <c r="R127" s="708"/>
      <c r="S127" s="664"/>
      <c r="T127" s="664" t="s">
        <v>348</v>
      </c>
      <c r="U127" s="687"/>
      <c r="V127" s="709"/>
      <c r="W127" s="709" t="s">
        <v>332</v>
      </c>
      <c r="X127" s="684"/>
      <c r="Y127" s="685"/>
      <c r="Z127" s="745" t="s">
        <v>330</v>
      </c>
      <c r="AA127" s="791"/>
      <c r="AB127" s="687"/>
      <c r="AC127" s="687"/>
      <c r="AD127" s="687"/>
      <c r="AE127" s="568"/>
      <c r="AF127" s="566"/>
      <c r="AG127" s="567"/>
      <c r="AH127" s="568"/>
      <c r="AI127" s="566"/>
      <c r="AJ127" s="567"/>
      <c r="AK127" s="568"/>
      <c r="AL127" s="566"/>
      <c r="AM127" s="567"/>
      <c r="AN127" s="568"/>
      <c r="AO127" s="566"/>
      <c r="AP127" s="567"/>
      <c r="AQ127" s="568"/>
      <c r="AR127" s="566"/>
      <c r="AS127" s="567"/>
      <c r="AT127" s="568"/>
      <c r="AU127" s="566"/>
      <c r="AV127" s="567"/>
      <c r="AW127" s="568"/>
      <c r="AX127" s="566"/>
      <c r="AY127" s="567"/>
      <c r="AZ127" s="568"/>
      <c r="BA127" s="566"/>
      <c r="BB127" s="567"/>
      <c r="BC127" s="568"/>
      <c r="BD127" s="566"/>
      <c r="BE127" s="567"/>
      <c r="BF127" s="567"/>
      <c r="BG127" s="856"/>
      <c r="BH127" s="786"/>
      <c r="BI127" s="567"/>
      <c r="BJ127" s="856"/>
      <c r="BK127" s="786"/>
      <c r="BL127" s="568"/>
      <c r="BM127" s="566"/>
      <c r="BN127" s="567"/>
      <c r="BO127" s="567"/>
      <c r="BP127" s="568"/>
      <c r="BQ127" s="566"/>
      <c r="BR127" s="567"/>
      <c r="BS127" s="568"/>
      <c r="BT127" s="567"/>
      <c r="BU127" s="567"/>
      <c r="BV127" s="567"/>
      <c r="BW127" s="568"/>
      <c r="BX127" s="566"/>
      <c r="BY127" s="567"/>
      <c r="BZ127" s="568"/>
      <c r="CA127" s="567"/>
      <c r="CB127" s="567"/>
      <c r="CC127" s="568"/>
      <c r="CD127" s="567"/>
      <c r="CE127" s="2807"/>
    </row>
    <row r="128" spans="1:83" ht="18.75" customHeight="1" x14ac:dyDescent="0.4">
      <c r="A128" s="249"/>
      <c r="B128" s="249"/>
      <c r="C128" s="584" t="s">
        <v>307</v>
      </c>
      <c r="D128" s="746"/>
      <c r="E128" s="614" t="s">
        <v>310</v>
      </c>
      <c r="F128" s="747"/>
      <c r="G128" s="748"/>
      <c r="H128" s="612"/>
      <c r="I128" s="857"/>
      <c r="J128" s="704"/>
      <c r="K128" s="858"/>
      <c r="L128" s="859"/>
      <c r="M128" s="685"/>
      <c r="N128" s="1048"/>
      <c r="O128" s="791"/>
      <c r="P128" s="706"/>
      <c r="Q128" s="860" t="s">
        <v>349</v>
      </c>
      <c r="R128" s="861"/>
      <c r="S128" s="664"/>
      <c r="T128" s="664" t="s">
        <v>334</v>
      </c>
      <c r="U128" s="687"/>
      <c r="V128" s="683"/>
      <c r="W128" s="709" t="s">
        <v>335</v>
      </c>
      <c r="X128" s="684"/>
      <c r="Y128" s="685"/>
      <c r="Z128" s="745" t="s">
        <v>333</v>
      </c>
      <c r="AA128" s="791"/>
      <c r="AB128" s="687"/>
      <c r="AC128" s="784"/>
      <c r="AD128" s="687"/>
      <c r="AE128" s="568"/>
      <c r="AF128" s="566"/>
      <c r="AG128" s="567"/>
      <c r="AH128" s="568"/>
      <c r="AI128" s="566"/>
      <c r="AJ128" s="567"/>
      <c r="AK128" s="568"/>
      <c r="AL128" s="566"/>
      <c r="AM128" s="567"/>
      <c r="AN128" s="568"/>
      <c r="AO128" s="566"/>
      <c r="AP128" s="567"/>
      <c r="AQ128" s="568"/>
      <c r="AR128" s="566"/>
      <c r="AS128" s="567"/>
      <c r="AT128" s="568"/>
      <c r="AU128" s="566"/>
      <c r="AV128" s="567"/>
      <c r="AW128" s="568"/>
      <c r="AX128" s="566"/>
      <c r="AY128" s="567"/>
      <c r="AZ128" s="568"/>
      <c r="BA128" s="566"/>
      <c r="BB128" s="567"/>
      <c r="BC128" s="568"/>
      <c r="BD128" s="566"/>
      <c r="BE128" s="567"/>
      <c r="BF128" s="567"/>
      <c r="BG128" s="856"/>
      <c r="BH128" s="786"/>
      <c r="BI128" s="567"/>
      <c r="BJ128" s="856"/>
      <c r="BK128" s="786"/>
      <c r="BL128" s="568"/>
      <c r="BM128" s="566"/>
      <c r="BN128" s="567"/>
      <c r="BO128" s="567"/>
      <c r="BP128" s="568"/>
      <c r="BQ128" s="566"/>
      <c r="BR128" s="567"/>
      <c r="BS128" s="568"/>
      <c r="BT128" s="567"/>
      <c r="BU128" s="567"/>
      <c r="BV128" s="567"/>
      <c r="BW128" s="568"/>
      <c r="BX128" s="566"/>
      <c r="BY128" s="567"/>
      <c r="BZ128" s="568"/>
      <c r="CA128" s="567"/>
      <c r="CB128" s="567"/>
      <c r="CC128" s="568"/>
      <c r="CD128" s="567"/>
      <c r="CE128" s="2807"/>
    </row>
    <row r="129" spans="1:83" ht="18.75" customHeight="1" x14ac:dyDescent="0.4">
      <c r="A129" s="249"/>
      <c r="B129" s="249"/>
      <c r="C129" s="584" t="s">
        <v>307</v>
      </c>
      <c r="D129" s="587"/>
      <c r="E129" s="862"/>
      <c r="F129" s="863"/>
      <c r="G129" s="588"/>
      <c r="H129" s="901"/>
      <c r="I129" s="742"/>
      <c r="J129" s="635"/>
      <c r="K129" s="691"/>
      <c r="L129" s="705"/>
      <c r="M129" s="685"/>
      <c r="N129" s="1048"/>
      <c r="O129" s="685"/>
      <c r="P129" s="795"/>
      <c r="Q129" s="707"/>
      <c r="R129" s="708"/>
      <c r="S129" s="664"/>
      <c r="T129" s="1990" t="s">
        <v>351</v>
      </c>
      <c r="U129" s="687"/>
      <c r="V129" s="683"/>
      <c r="W129" s="683"/>
      <c r="X129" s="684"/>
      <c r="Y129" s="685"/>
      <c r="Z129" s="865"/>
      <c r="AA129" s="685"/>
      <c r="AB129" s="687"/>
      <c r="AC129" s="687"/>
      <c r="AD129" s="687"/>
      <c r="AE129" s="568"/>
      <c r="AF129" s="566"/>
      <c r="AG129" s="567"/>
      <c r="AH129" s="568"/>
      <c r="AI129" s="566"/>
      <c r="AJ129" s="567"/>
      <c r="AK129" s="568"/>
      <c r="AL129" s="566"/>
      <c r="AM129" s="567"/>
      <c r="AN129" s="568"/>
      <c r="AO129" s="566"/>
      <c r="AP129" s="567"/>
      <c r="AQ129" s="568"/>
      <c r="AR129" s="566"/>
      <c r="AS129" s="567"/>
      <c r="AT129" s="568"/>
      <c r="AU129" s="566"/>
      <c r="AV129" s="567"/>
      <c r="AW129" s="568"/>
      <c r="AX129" s="566"/>
      <c r="AY129" s="567"/>
      <c r="AZ129" s="568"/>
      <c r="BA129" s="566"/>
      <c r="BB129" s="567"/>
      <c r="BC129" s="568"/>
      <c r="BD129" s="566"/>
      <c r="BE129" s="567"/>
      <c r="BF129" s="567"/>
      <c r="BG129" s="856"/>
      <c r="BH129" s="786"/>
      <c r="BI129" s="567"/>
      <c r="BJ129" s="856"/>
      <c r="BK129" s="786"/>
      <c r="BL129" s="568"/>
      <c r="BM129" s="566"/>
      <c r="BN129" s="567"/>
      <c r="BO129" s="567"/>
      <c r="BP129" s="568"/>
      <c r="BQ129" s="566"/>
      <c r="BR129" s="567"/>
      <c r="BS129" s="568"/>
      <c r="BT129" s="567"/>
      <c r="BU129" s="567"/>
      <c r="BV129" s="567"/>
      <c r="BW129" s="568"/>
      <c r="BX129" s="566"/>
      <c r="BY129" s="567"/>
      <c r="BZ129" s="568"/>
      <c r="CA129" s="567"/>
      <c r="CB129" s="567"/>
      <c r="CC129" s="568"/>
      <c r="CD129" s="567"/>
      <c r="CE129" s="2807"/>
    </row>
    <row r="130" spans="1:83" ht="18.75" customHeight="1" x14ac:dyDescent="0.4">
      <c r="A130" s="249"/>
      <c r="B130" s="249"/>
      <c r="C130" s="866"/>
      <c r="D130" s="587"/>
      <c r="E130" s="862"/>
      <c r="F130" s="863"/>
      <c r="G130" s="588"/>
      <c r="H130" s="594"/>
      <c r="I130" s="742"/>
      <c r="J130" s="635"/>
      <c r="K130" s="867"/>
      <c r="L130" s="705"/>
      <c r="M130" s="685"/>
      <c r="N130" s="1048" t="s">
        <v>352</v>
      </c>
      <c r="O130" s="685"/>
      <c r="P130" s="795"/>
      <c r="Q130" s="868"/>
      <c r="R130" s="708"/>
      <c r="S130" s="664"/>
      <c r="T130" s="664" t="s">
        <v>410</v>
      </c>
      <c r="U130" s="687"/>
      <c r="V130" s="683"/>
      <c r="W130" s="683"/>
      <c r="X130" s="684"/>
      <c r="Y130" s="685"/>
      <c r="Z130" s="745"/>
      <c r="AA130" s="685"/>
      <c r="AB130" s="687"/>
      <c r="AC130" s="869"/>
      <c r="AD130" s="687"/>
      <c r="AE130" s="568"/>
      <c r="AF130" s="566"/>
      <c r="AG130" s="567"/>
      <c r="AH130" s="568"/>
      <c r="AI130" s="566"/>
      <c r="AJ130" s="567"/>
      <c r="AK130" s="568"/>
      <c r="AL130" s="566"/>
      <c r="AM130" s="567"/>
      <c r="AN130" s="568"/>
      <c r="AO130" s="566"/>
      <c r="AP130" s="567"/>
      <c r="AQ130" s="568"/>
      <c r="AR130" s="566"/>
      <c r="AS130" s="567"/>
      <c r="AT130" s="568"/>
      <c r="AU130" s="566"/>
      <c r="AV130" s="567"/>
      <c r="AW130" s="568"/>
      <c r="AX130" s="566"/>
      <c r="AY130" s="567"/>
      <c r="AZ130" s="568"/>
      <c r="BA130" s="566"/>
      <c r="BB130" s="567"/>
      <c r="BC130" s="568"/>
      <c r="BD130" s="566"/>
      <c r="BE130" s="567"/>
      <c r="BF130" s="567"/>
      <c r="BG130" s="856"/>
      <c r="BH130" s="786"/>
      <c r="BI130" s="567"/>
      <c r="BJ130" s="856"/>
      <c r="BK130" s="786"/>
      <c r="BL130" s="568"/>
      <c r="BM130" s="566"/>
      <c r="BN130" s="567"/>
      <c r="BO130" s="567"/>
      <c r="BP130" s="568"/>
      <c r="BQ130" s="566"/>
      <c r="BR130" s="567"/>
      <c r="BS130" s="568"/>
      <c r="BT130" s="567"/>
      <c r="BU130" s="567"/>
      <c r="BV130" s="567"/>
      <c r="BW130" s="568"/>
      <c r="BX130" s="566"/>
      <c r="BY130" s="567"/>
      <c r="BZ130" s="568"/>
      <c r="CA130" s="567"/>
      <c r="CB130" s="567"/>
      <c r="CC130" s="568"/>
      <c r="CD130" s="567"/>
      <c r="CE130" s="2807"/>
    </row>
    <row r="131" spans="1:83" ht="18.75" customHeight="1" x14ac:dyDescent="0.4">
      <c r="A131" s="249"/>
      <c r="B131" s="249"/>
      <c r="C131" s="866"/>
      <c r="D131" s="587"/>
      <c r="E131" s="862"/>
      <c r="F131" s="863"/>
      <c r="G131" s="588"/>
      <c r="H131" s="594"/>
      <c r="I131" s="742"/>
      <c r="J131" s="635"/>
      <c r="K131" s="867"/>
      <c r="L131" s="705"/>
      <c r="M131" s="685"/>
      <c r="N131" s="1048"/>
      <c r="O131" s="685"/>
      <c r="P131" s="795"/>
      <c r="Q131" s="868"/>
      <c r="R131" s="708"/>
      <c r="S131" s="664"/>
      <c r="T131" s="664"/>
      <c r="U131" s="687"/>
      <c r="V131" s="683"/>
      <c r="W131" s="683"/>
      <c r="X131" s="684"/>
      <c r="Y131" s="685"/>
      <c r="Z131" s="745"/>
      <c r="AA131" s="685"/>
      <c r="AB131" s="687"/>
      <c r="AC131" s="869"/>
      <c r="AD131" s="687"/>
      <c r="AE131" s="568"/>
      <c r="AF131" s="566"/>
      <c r="AG131" s="567"/>
      <c r="AH131" s="568"/>
      <c r="AI131" s="566"/>
      <c r="AJ131" s="567"/>
      <c r="AK131" s="568"/>
      <c r="AL131" s="566"/>
      <c r="AM131" s="567"/>
      <c r="AN131" s="568"/>
      <c r="AO131" s="566"/>
      <c r="AP131" s="567"/>
      <c r="AQ131" s="568"/>
      <c r="AR131" s="566"/>
      <c r="AS131" s="567"/>
      <c r="AT131" s="568"/>
      <c r="AU131" s="566"/>
      <c r="AV131" s="567"/>
      <c r="AW131" s="568"/>
      <c r="AX131" s="566"/>
      <c r="AY131" s="567"/>
      <c r="AZ131" s="568"/>
      <c r="BA131" s="566"/>
      <c r="BB131" s="567"/>
      <c r="BC131" s="568"/>
      <c r="BD131" s="566"/>
      <c r="BE131" s="567"/>
      <c r="BF131" s="567"/>
      <c r="BG131" s="856"/>
      <c r="BH131" s="786"/>
      <c r="BI131" s="567"/>
      <c r="BJ131" s="856"/>
      <c r="BK131" s="786"/>
      <c r="BL131" s="568"/>
      <c r="BM131" s="566"/>
      <c r="BN131" s="567"/>
      <c r="BO131" s="567"/>
      <c r="BP131" s="568"/>
      <c r="BQ131" s="566"/>
      <c r="BR131" s="567"/>
      <c r="BS131" s="568"/>
      <c r="BT131" s="567"/>
      <c r="BU131" s="567"/>
      <c r="BV131" s="567"/>
      <c r="BW131" s="568"/>
      <c r="BX131" s="566"/>
      <c r="BY131" s="567"/>
      <c r="BZ131" s="568"/>
      <c r="CA131" s="567"/>
      <c r="CB131" s="567"/>
      <c r="CC131" s="568"/>
      <c r="CD131" s="567"/>
      <c r="CE131" s="2807"/>
    </row>
    <row r="132" spans="1:83" ht="15" customHeight="1" x14ac:dyDescent="0.4">
      <c r="A132" s="249"/>
      <c r="B132" s="249"/>
      <c r="C132" s="866">
        <v>0.39930555555555602</v>
      </c>
      <c r="D132" s="673"/>
      <c r="E132" s="862"/>
      <c r="F132" s="863"/>
      <c r="G132" s="835"/>
      <c r="H132" s="911"/>
      <c r="I132" s="742"/>
      <c r="J132" s="797"/>
      <c r="K132" s="867"/>
      <c r="L132" s="705"/>
      <c r="M132" s="685"/>
      <c r="N132" s="1048"/>
      <c r="O132" s="685"/>
      <c r="P132" s="799"/>
      <c r="Q132" s="868"/>
      <c r="R132" s="708"/>
      <c r="S132" s="664"/>
      <c r="T132" s="664"/>
      <c r="U132" s="687"/>
      <c r="V132" s="709"/>
      <c r="W132" s="709"/>
      <c r="X132" s="684"/>
      <c r="Y132" s="685"/>
      <c r="Z132" s="745"/>
      <c r="AA132" s="685"/>
      <c r="AB132" s="687"/>
      <c r="AC132" s="687"/>
      <c r="AD132" s="687"/>
      <c r="AE132" s="568"/>
      <c r="AF132" s="566"/>
      <c r="AG132" s="567"/>
      <c r="AH132" s="568"/>
      <c r="AI132" s="566"/>
      <c r="AJ132" s="567"/>
      <c r="AK132" s="568"/>
      <c r="AL132" s="566"/>
      <c r="AM132" s="567"/>
      <c r="AN132" s="568"/>
      <c r="AO132" s="566"/>
      <c r="AP132" s="567"/>
      <c r="AQ132" s="568"/>
      <c r="AR132" s="566"/>
      <c r="AS132" s="567"/>
      <c r="AT132" s="568"/>
      <c r="AU132" s="566"/>
      <c r="AV132" s="567"/>
      <c r="AW132" s="568"/>
      <c r="AX132" s="566"/>
      <c r="AY132" s="567"/>
      <c r="AZ132" s="568"/>
      <c r="BA132" s="566"/>
      <c r="BB132" s="567"/>
      <c r="BC132" s="568"/>
      <c r="BD132" s="566"/>
      <c r="BE132" s="567"/>
      <c r="BF132" s="567"/>
      <c r="BG132" s="856"/>
      <c r="BH132" s="786"/>
      <c r="BI132" s="567"/>
      <c r="BJ132" s="856"/>
      <c r="BK132" s="786"/>
      <c r="BL132" s="568"/>
      <c r="BM132" s="566"/>
      <c r="BN132" s="567"/>
      <c r="BO132" s="567"/>
      <c r="BP132" s="568"/>
      <c r="BQ132" s="566"/>
      <c r="BR132" s="567"/>
      <c r="BS132" s="568"/>
      <c r="BT132" s="567"/>
      <c r="BU132" s="567"/>
      <c r="BV132" s="567"/>
      <c r="BW132" s="568"/>
      <c r="BX132" s="566"/>
      <c r="BY132" s="567"/>
      <c r="BZ132" s="568"/>
      <c r="CA132" s="567"/>
      <c r="CB132" s="567"/>
      <c r="CC132" s="568"/>
      <c r="CD132" s="567"/>
      <c r="CE132" s="2807"/>
    </row>
    <row r="133" spans="1:83" ht="15" customHeight="1" x14ac:dyDescent="0.4">
      <c r="A133" s="249"/>
      <c r="B133" s="249"/>
      <c r="C133" s="866">
        <v>0.40277777777777801</v>
      </c>
      <c r="D133" s="673"/>
      <c r="E133" s="862"/>
      <c r="F133" s="863"/>
      <c r="G133" s="835"/>
      <c r="H133" s="594"/>
      <c r="I133" s="742"/>
      <c r="J133" s="797"/>
      <c r="K133" s="867"/>
      <c r="L133" s="705"/>
      <c r="M133" s="685"/>
      <c r="N133" s="1048"/>
      <c r="O133" s="685"/>
      <c r="P133" s="799"/>
      <c r="Q133" s="868"/>
      <c r="R133" s="708"/>
      <c r="S133" s="664"/>
      <c r="T133" s="664"/>
      <c r="U133" s="687"/>
      <c r="V133" s="709"/>
      <c r="W133" s="709"/>
      <c r="X133" s="684"/>
      <c r="Y133" s="685"/>
      <c r="Z133" s="745"/>
      <c r="AA133" s="685"/>
      <c r="AB133" s="687"/>
      <c r="AC133" s="687"/>
      <c r="AD133" s="687"/>
      <c r="AE133" s="568"/>
      <c r="AF133" s="566"/>
      <c r="AG133" s="567"/>
      <c r="AH133" s="568"/>
      <c r="AI133" s="566"/>
      <c r="AJ133" s="567"/>
      <c r="AK133" s="568"/>
      <c r="AL133" s="566"/>
      <c r="AM133" s="567"/>
      <c r="AN133" s="568"/>
      <c r="AO133" s="566"/>
      <c r="AP133" s="567"/>
      <c r="AQ133" s="568"/>
      <c r="AR133" s="566"/>
      <c r="AS133" s="567"/>
      <c r="AT133" s="568"/>
      <c r="AU133" s="566"/>
      <c r="AV133" s="567"/>
      <c r="AW133" s="568"/>
      <c r="AX133" s="566"/>
      <c r="AY133" s="567"/>
      <c r="AZ133" s="568"/>
      <c r="BA133" s="566"/>
      <c r="BB133" s="567"/>
      <c r="BC133" s="568"/>
      <c r="BD133" s="566"/>
      <c r="BE133" s="567"/>
      <c r="BF133" s="567"/>
      <c r="BG133" s="853"/>
      <c r="BH133" s="768"/>
      <c r="BI133" s="567"/>
      <c r="BJ133" s="853"/>
      <c r="BK133" s="768"/>
      <c r="BL133" s="568"/>
      <c r="BM133" s="566"/>
      <c r="BN133" s="567"/>
      <c r="BO133" s="567"/>
      <c r="BP133" s="568"/>
      <c r="BQ133" s="566"/>
      <c r="BR133" s="567"/>
      <c r="BS133" s="568"/>
      <c r="BT133" s="567"/>
      <c r="BU133" s="567"/>
      <c r="BV133" s="567"/>
      <c r="BW133" s="568"/>
      <c r="BX133" s="566"/>
      <c r="BY133" s="567"/>
      <c r="BZ133" s="568"/>
      <c r="CA133" s="567"/>
      <c r="CB133" s="567"/>
      <c r="CC133" s="568"/>
      <c r="CD133" s="567"/>
      <c r="CE133" s="2807"/>
    </row>
    <row r="134" spans="1:83" ht="18.75" customHeight="1" x14ac:dyDescent="0.4">
      <c r="A134" s="249"/>
      <c r="B134" s="249"/>
      <c r="C134" s="584">
        <v>0.40625</v>
      </c>
      <c r="D134" s="589"/>
      <c r="E134" s="614"/>
      <c r="F134" s="688"/>
      <c r="G134" s="590"/>
      <c r="H134" s="2681"/>
      <c r="I134" s="742"/>
      <c r="J134" s="743"/>
      <c r="K134" s="2569" t="s">
        <v>354</v>
      </c>
      <c r="L134" s="705"/>
      <c r="M134" s="685"/>
      <c r="N134" s="1052" t="s">
        <v>369</v>
      </c>
      <c r="O134" s="791"/>
      <c r="P134" s="744"/>
      <c r="Q134" s="769" t="s">
        <v>334</v>
      </c>
      <c r="R134" s="708"/>
      <c r="S134" s="664"/>
      <c r="T134" s="664" t="s">
        <v>348</v>
      </c>
      <c r="U134" s="687"/>
      <c r="V134" s="709"/>
      <c r="W134" s="709" t="s">
        <v>332</v>
      </c>
      <c r="X134" s="870"/>
      <c r="Y134" s="685"/>
      <c r="Z134" s="793" t="s">
        <v>336</v>
      </c>
      <c r="AA134" s="791"/>
      <c r="AB134" s="687"/>
      <c r="AC134" s="687"/>
      <c r="AD134" s="687"/>
      <c r="AE134" s="568"/>
      <c r="AF134" s="566"/>
      <c r="AG134" s="567"/>
      <c r="AH134" s="568"/>
      <c r="AI134" s="566"/>
      <c r="AJ134" s="567"/>
      <c r="AK134" s="568"/>
      <c r="AL134" s="566"/>
      <c r="AM134" s="567"/>
      <c r="AN134" s="568"/>
      <c r="AO134" s="566"/>
      <c r="AP134" s="567"/>
      <c r="AQ134" s="568"/>
      <c r="AR134" s="566"/>
      <c r="AS134" s="567"/>
      <c r="AT134" s="568"/>
      <c r="AU134" s="566"/>
      <c r="AV134" s="567"/>
      <c r="AW134" s="568"/>
      <c r="AX134" s="566"/>
      <c r="AY134" s="567"/>
      <c r="AZ134" s="568"/>
      <c r="BA134" s="566"/>
      <c r="BB134" s="567"/>
      <c r="BC134" s="568"/>
      <c r="BD134" s="566"/>
      <c r="BE134" s="567"/>
      <c r="BF134" s="568"/>
      <c r="BG134" s="854"/>
      <c r="BH134" s="567"/>
      <c r="BI134" s="568"/>
      <c r="BJ134" s="854"/>
      <c r="BK134" s="567"/>
      <c r="BL134" s="568"/>
      <c r="BM134" s="566"/>
      <c r="BN134" s="567"/>
      <c r="BO134" s="567"/>
      <c r="BP134" s="568"/>
      <c r="BQ134" s="566"/>
      <c r="BR134" s="567"/>
      <c r="BS134" s="568"/>
      <c r="BT134" s="567"/>
      <c r="BU134" s="567"/>
      <c r="BV134" s="567"/>
      <c r="BW134" s="568"/>
      <c r="BX134" s="566"/>
      <c r="BY134" s="567"/>
      <c r="BZ134" s="568"/>
      <c r="CA134" s="567"/>
      <c r="CB134" s="567"/>
      <c r="CC134" s="568"/>
      <c r="CD134" s="567"/>
      <c r="CE134" s="2807"/>
    </row>
    <row r="135" spans="1:83" ht="19.350000000000001" customHeight="1" x14ac:dyDescent="0.4">
      <c r="A135" s="249"/>
      <c r="B135" s="249"/>
      <c r="C135" s="584" t="s">
        <v>307</v>
      </c>
      <c r="D135" s="746"/>
      <c r="E135" s="747"/>
      <c r="F135" s="771"/>
      <c r="G135" s="748"/>
      <c r="H135" s="1048"/>
      <c r="I135" s="742"/>
      <c r="J135" s="635"/>
      <c r="K135" s="691"/>
      <c r="L135" s="705"/>
      <c r="M135" s="685"/>
      <c r="N135" s="793" t="s">
        <v>336</v>
      </c>
      <c r="O135" s="791"/>
      <c r="P135" s="795"/>
      <c r="Q135" s="769"/>
      <c r="R135" s="708"/>
      <c r="S135" s="664"/>
      <c r="T135" s="664" t="s">
        <v>334</v>
      </c>
      <c r="U135" s="687"/>
      <c r="V135" s="683"/>
      <c r="W135" s="709" t="s">
        <v>335</v>
      </c>
      <c r="X135" s="870"/>
      <c r="Y135" s="685"/>
      <c r="Z135" s="745" t="s">
        <v>333</v>
      </c>
      <c r="AA135" s="791"/>
      <c r="AB135" s="687"/>
      <c r="AC135" s="869"/>
      <c r="AD135" s="687"/>
      <c r="AE135" s="568"/>
      <c r="AF135" s="566"/>
      <c r="AG135" s="567"/>
      <c r="AH135" s="568"/>
      <c r="AI135" s="566"/>
      <c r="AJ135" s="567"/>
      <c r="AK135" s="568"/>
      <c r="AL135" s="566"/>
      <c r="AM135" s="567"/>
      <c r="AN135" s="568"/>
      <c r="AO135" s="566"/>
      <c r="AP135" s="567"/>
      <c r="AQ135" s="568"/>
      <c r="AR135" s="566"/>
      <c r="AS135" s="567"/>
      <c r="AT135" s="568"/>
      <c r="AU135" s="566"/>
      <c r="AV135" s="567"/>
      <c r="AW135" s="568"/>
      <c r="AX135" s="566"/>
      <c r="AY135" s="567"/>
      <c r="AZ135" s="568"/>
      <c r="BA135" s="566"/>
      <c r="BB135" s="567"/>
      <c r="BC135" s="568"/>
      <c r="BD135" s="566"/>
      <c r="BE135" s="567"/>
      <c r="BF135" s="568"/>
      <c r="BG135" s="854"/>
      <c r="BH135" s="567"/>
      <c r="BI135" s="568"/>
      <c r="BJ135" s="854"/>
      <c r="BK135" s="567"/>
      <c r="BL135" s="568"/>
      <c r="BM135" s="566"/>
      <c r="BN135" s="567"/>
      <c r="BO135" s="567"/>
      <c r="BP135" s="568"/>
      <c r="BQ135" s="566"/>
      <c r="BR135" s="567"/>
      <c r="BS135" s="568"/>
      <c r="BT135" s="567"/>
      <c r="BU135" s="567"/>
      <c r="BV135" s="567"/>
      <c r="BW135" s="568"/>
      <c r="BX135" s="566"/>
      <c r="BY135" s="567"/>
      <c r="BZ135" s="568"/>
      <c r="CA135" s="567"/>
      <c r="CB135" s="567"/>
      <c r="CC135" s="568"/>
      <c r="CD135" s="567"/>
      <c r="CE135" s="2807"/>
    </row>
    <row r="136" spans="1:83" ht="14.25" customHeight="1" x14ac:dyDescent="0.4">
      <c r="A136" s="249"/>
      <c r="B136" s="249"/>
      <c r="C136" s="584" t="s">
        <v>307</v>
      </c>
      <c r="D136" s="587"/>
      <c r="E136" s="688"/>
      <c r="F136" s="688"/>
      <c r="G136" s="588"/>
      <c r="H136" s="1048" t="s">
        <v>352</v>
      </c>
      <c r="I136" s="742"/>
      <c r="J136" s="635"/>
      <c r="K136" s="867"/>
      <c r="L136" s="705"/>
      <c r="M136" s="685"/>
      <c r="N136" s="745" t="s">
        <v>333</v>
      </c>
      <c r="O136" s="685"/>
      <c r="P136" s="795"/>
      <c r="Q136" s="707"/>
      <c r="R136" s="708"/>
      <c r="S136" s="664"/>
      <c r="T136" s="1990" t="s">
        <v>351</v>
      </c>
      <c r="U136" s="687"/>
      <c r="V136" s="709"/>
      <c r="W136" s="683"/>
      <c r="X136" s="870"/>
      <c r="Y136" s="685"/>
      <c r="Z136" s="745"/>
      <c r="AA136" s="685"/>
      <c r="AB136" s="687"/>
      <c r="AC136" s="869"/>
      <c r="AD136" s="687"/>
      <c r="AE136" s="568"/>
      <c r="AF136" s="566"/>
      <c r="AG136" s="567"/>
      <c r="AH136" s="568"/>
      <c r="AI136" s="566"/>
      <c r="AJ136" s="567"/>
      <c r="AK136" s="568"/>
      <c r="AL136" s="566"/>
      <c r="AM136" s="567"/>
      <c r="AN136" s="568"/>
      <c r="AO136" s="566"/>
      <c r="AP136" s="567"/>
      <c r="AQ136" s="568"/>
      <c r="AR136" s="566"/>
      <c r="AS136" s="567"/>
      <c r="AT136" s="568"/>
      <c r="AU136" s="566"/>
      <c r="AV136" s="567"/>
      <c r="AW136" s="568"/>
      <c r="AX136" s="566"/>
      <c r="AY136" s="567"/>
      <c r="AZ136" s="568"/>
      <c r="BA136" s="566"/>
      <c r="BB136" s="567"/>
      <c r="BC136" s="568"/>
      <c r="BD136" s="566"/>
      <c r="BE136" s="567"/>
      <c r="BF136" s="568"/>
      <c r="BG136" s="854"/>
      <c r="BH136" s="567"/>
      <c r="BI136" s="568"/>
      <c r="BJ136" s="854"/>
      <c r="BK136" s="567"/>
      <c r="BL136" s="568"/>
      <c r="BM136" s="566"/>
      <c r="BN136" s="567"/>
      <c r="BO136" s="567"/>
      <c r="BP136" s="568"/>
      <c r="BQ136" s="566"/>
      <c r="BR136" s="567"/>
      <c r="BS136" s="568"/>
      <c r="BT136" s="567"/>
      <c r="BU136" s="567"/>
      <c r="BV136" s="567"/>
      <c r="BW136" s="568"/>
      <c r="BX136" s="566"/>
      <c r="BY136" s="567"/>
      <c r="BZ136" s="568"/>
      <c r="CA136" s="567"/>
      <c r="CB136" s="567"/>
      <c r="CC136" s="568"/>
      <c r="CD136" s="567"/>
      <c r="CE136" s="2807"/>
    </row>
    <row r="137" spans="1:83" ht="21" customHeight="1" x14ac:dyDescent="0.4">
      <c r="A137" s="249"/>
      <c r="B137" s="249"/>
      <c r="C137" s="584" t="s">
        <v>307</v>
      </c>
      <c r="D137" s="587"/>
      <c r="E137" s="688"/>
      <c r="F137" s="688"/>
      <c r="G137" s="588"/>
      <c r="H137" s="1048"/>
      <c r="I137" s="742"/>
      <c r="J137" s="635"/>
      <c r="K137" s="867"/>
      <c r="L137" s="705"/>
      <c r="M137" s="685"/>
      <c r="N137" s="745"/>
      <c r="O137" s="685"/>
      <c r="P137" s="795"/>
      <c r="Q137" s="769"/>
      <c r="R137" s="708"/>
      <c r="S137" s="664"/>
      <c r="T137" s="664"/>
      <c r="U137" s="687"/>
      <c r="V137" s="683"/>
      <c r="W137" s="683"/>
      <c r="X137" s="684"/>
      <c r="Y137" s="685"/>
      <c r="Z137" s="745"/>
      <c r="AA137" s="685"/>
      <c r="AB137" s="794"/>
      <c r="AC137" s="794"/>
      <c r="AD137" s="794"/>
      <c r="AE137" s="568"/>
      <c r="AF137" s="566"/>
      <c r="AG137" s="567"/>
      <c r="AH137" s="568"/>
      <c r="AI137" s="566"/>
      <c r="AJ137" s="567"/>
      <c r="AK137" s="568"/>
      <c r="AL137" s="566"/>
      <c r="AM137" s="567"/>
      <c r="AN137" s="568"/>
      <c r="AO137" s="566"/>
      <c r="AP137" s="567"/>
      <c r="AQ137" s="568"/>
      <c r="AR137" s="566"/>
      <c r="AS137" s="567"/>
      <c r="AT137" s="568"/>
      <c r="AU137" s="566"/>
      <c r="AV137" s="567"/>
      <c r="AW137" s="568"/>
      <c r="AX137" s="566"/>
      <c r="AY137" s="567"/>
      <c r="AZ137" s="568"/>
      <c r="BA137" s="566"/>
      <c r="BB137" s="567"/>
      <c r="BC137" s="568"/>
      <c r="BD137" s="566"/>
      <c r="BE137" s="567"/>
      <c r="BF137" s="568"/>
      <c r="BG137" s="854"/>
      <c r="BH137" s="567"/>
      <c r="BI137" s="568"/>
      <c r="BJ137" s="854"/>
      <c r="BK137" s="567"/>
      <c r="BL137" s="568"/>
      <c r="BM137" s="566"/>
      <c r="BN137" s="567"/>
      <c r="BO137" s="567"/>
      <c r="BP137" s="568"/>
      <c r="BQ137" s="566"/>
      <c r="BR137" s="567"/>
      <c r="BS137" s="568"/>
      <c r="BT137" s="567"/>
      <c r="BU137" s="567"/>
      <c r="BV137" s="567"/>
      <c r="BW137" s="568"/>
      <c r="BX137" s="566"/>
      <c r="BY137" s="567"/>
      <c r="BZ137" s="568"/>
      <c r="CA137" s="567"/>
      <c r="CB137" s="567"/>
      <c r="CC137" s="568"/>
      <c r="CD137" s="567"/>
      <c r="CE137" s="2807"/>
    </row>
    <row r="138" spans="1:83" ht="21" customHeight="1" x14ac:dyDescent="0.4">
      <c r="A138" s="249"/>
      <c r="B138" s="249"/>
      <c r="C138" s="584">
        <v>0.40972222222222199</v>
      </c>
      <c r="D138" s="844"/>
      <c r="E138" s="688"/>
      <c r="F138" s="845"/>
      <c r="G138" s="846"/>
      <c r="H138" s="1048"/>
      <c r="I138" s="847"/>
      <c r="J138" s="582"/>
      <c r="K138" s="858"/>
      <c r="L138" s="849"/>
      <c r="M138" s="685"/>
      <c r="N138" s="745"/>
      <c r="O138" s="685"/>
      <c r="P138" s="850"/>
      <c r="Q138" s="851"/>
      <c r="R138" s="852"/>
      <c r="S138" s="664"/>
      <c r="T138" s="664"/>
      <c r="U138" s="687"/>
      <c r="V138" s="871"/>
      <c r="W138" s="709"/>
      <c r="X138" s="783"/>
      <c r="Y138" s="685"/>
      <c r="Z138" s="745"/>
      <c r="AA138" s="685"/>
      <c r="AB138" s="687"/>
      <c r="AC138" s="687"/>
      <c r="AD138" s="687"/>
      <c r="AE138" s="568"/>
      <c r="AF138" s="566"/>
      <c r="AG138" s="567"/>
      <c r="AH138" s="568"/>
      <c r="AI138" s="566"/>
      <c r="AJ138" s="567"/>
      <c r="AK138" s="568"/>
      <c r="AL138" s="566"/>
      <c r="AM138" s="567"/>
      <c r="AN138" s="568"/>
      <c r="AO138" s="566"/>
      <c r="AP138" s="567"/>
      <c r="AQ138" s="568"/>
      <c r="AR138" s="566"/>
      <c r="AS138" s="567"/>
      <c r="AT138" s="568"/>
      <c r="AU138" s="566"/>
      <c r="AV138" s="567"/>
      <c r="AW138" s="568"/>
      <c r="AX138" s="566"/>
      <c r="AY138" s="567"/>
      <c r="AZ138" s="568"/>
      <c r="BA138" s="566"/>
      <c r="BB138" s="567"/>
      <c r="BC138" s="568"/>
      <c r="BD138" s="566"/>
      <c r="BE138" s="567"/>
      <c r="BF138" s="568"/>
      <c r="BG138" s="854"/>
      <c r="BH138" s="567"/>
      <c r="BI138" s="568"/>
      <c r="BJ138" s="854"/>
      <c r="BK138" s="567"/>
      <c r="BL138" s="568"/>
      <c r="BM138" s="566"/>
      <c r="BN138" s="567"/>
      <c r="BO138" s="567"/>
      <c r="BP138" s="568"/>
      <c r="BQ138" s="566"/>
      <c r="BR138" s="567"/>
      <c r="BS138" s="568"/>
      <c r="BT138" s="567"/>
      <c r="BU138" s="567"/>
      <c r="BV138" s="567"/>
      <c r="BW138" s="568"/>
      <c r="BX138" s="566"/>
      <c r="BY138" s="567"/>
      <c r="BZ138" s="568"/>
      <c r="CA138" s="567"/>
      <c r="CB138" s="567"/>
      <c r="CC138" s="568"/>
      <c r="CD138" s="567"/>
      <c r="CE138" s="2807"/>
    </row>
    <row r="139" spans="1:83" ht="14.25" customHeight="1" x14ac:dyDescent="0.4">
      <c r="A139" s="249"/>
      <c r="B139" s="249"/>
      <c r="C139" s="621">
        <v>0.41319444444444398</v>
      </c>
      <c r="D139" s="803"/>
      <c r="E139" s="872"/>
      <c r="F139" s="804"/>
      <c r="G139" s="805"/>
      <c r="H139" s="1048"/>
      <c r="I139" s="873"/>
      <c r="J139" s="874"/>
      <c r="K139" s="1013"/>
      <c r="L139" s="875"/>
      <c r="M139" s="881"/>
      <c r="N139" s="882"/>
      <c r="O139" s="881"/>
      <c r="P139" s="876"/>
      <c r="Q139" s="877"/>
      <c r="R139" s="878"/>
      <c r="S139" s="2755"/>
      <c r="T139" s="2755"/>
      <c r="U139" s="687"/>
      <c r="V139" s="814"/>
      <c r="W139" s="880"/>
      <c r="X139" s="684"/>
      <c r="Y139" s="881"/>
      <c r="Z139" s="882"/>
      <c r="AA139" s="881"/>
      <c r="AB139" s="687"/>
      <c r="AC139" s="687"/>
      <c r="AD139" s="687"/>
      <c r="AE139" s="568"/>
      <c r="AF139" s="566"/>
      <c r="AG139" s="567"/>
      <c r="AH139" s="568"/>
      <c r="AI139" s="566"/>
      <c r="AJ139" s="567"/>
      <c r="AK139" s="568"/>
      <c r="AL139" s="566"/>
      <c r="AM139" s="567"/>
      <c r="AN139" s="568"/>
      <c r="AO139" s="566"/>
      <c r="AP139" s="567"/>
      <c r="AQ139" s="568"/>
      <c r="AR139" s="566"/>
      <c r="AS139" s="567"/>
      <c r="AT139" s="568"/>
      <c r="AU139" s="566"/>
      <c r="AV139" s="567"/>
      <c r="AW139" s="568"/>
      <c r="AX139" s="566"/>
      <c r="AY139" s="567"/>
      <c r="AZ139" s="568"/>
      <c r="BA139" s="566"/>
      <c r="BB139" s="567"/>
      <c r="BC139" s="568"/>
      <c r="BD139" s="566"/>
      <c r="BE139" s="567"/>
      <c r="BF139" s="568"/>
      <c r="BG139" s="854"/>
      <c r="BH139" s="567"/>
      <c r="BI139" s="568"/>
      <c r="BJ139" s="854"/>
      <c r="BK139" s="567"/>
      <c r="BL139" s="568"/>
      <c r="BM139" s="566"/>
      <c r="BN139" s="567"/>
      <c r="BO139" s="567"/>
      <c r="BP139" s="568"/>
      <c r="BQ139" s="566"/>
      <c r="BR139" s="567"/>
      <c r="BS139" s="568"/>
      <c r="BT139" s="567"/>
      <c r="BU139" s="567"/>
      <c r="BV139" s="567"/>
      <c r="BW139" s="568"/>
      <c r="BX139" s="566"/>
      <c r="BY139" s="567"/>
      <c r="BZ139" s="568"/>
      <c r="CA139" s="567"/>
      <c r="CB139" s="567"/>
      <c r="CC139" s="568"/>
      <c r="CD139" s="883"/>
      <c r="CE139" s="2807"/>
    </row>
    <row r="140" spans="1:83" ht="18.75" customHeight="1" x14ac:dyDescent="0.4">
      <c r="A140" s="249"/>
      <c r="B140" s="249"/>
      <c r="C140" s="578">
        <v>0.41666666666666702</v>
      </c>
      <c r="D140" s="589"/>
      <c r="E140" s="818" t="s">
        <v>271</v>
      </c>
      <c r="F140" s="688"/>
      <c r="G140" s="590"/>
      <c r="H140" s="819" t="s">
        <v>278</v>
      </c>
      <c r="I140" s="742"/>
      <c r="J140" s="743"/>
      <c r="K140" s="2682"/>
      <c r="L140" s="705"/>
      <c r="M140" s="685"/>
      <c r="N140" s="828" t="s">
        <v>330</v>
      </c>
      <c r="O140" s="791"/>
      <c r="P140" s="744"/>
      <c r="Q140" s="884" t="s">
        <v>334</v>
      </c>
      <c r="R140" s="708"/>
      <c r="S140" s="664"/>
      <c r="T140" s="1728" t="s">
        <v>356</v>
      </c>
      <c r="U140" s="2756"/>
      <c r="V140" s="886"/>
      <c r="W140" s="709" t="s">
        <v>332</v>
      </c>
      <c r="X140" s="887"/>
      <c r="Y140" s="685"/>
      <c r="Z140" s="828" t="s">
        <v>330</v>
      </c>
      <c r="AA140" s="791"/>
      <c r="AB140" s="829"/>
      <c r="AC140" s="829"/>
      <c r="AD140" s="829"/>
      <c r="AE140" s="888"/>
      <c r="AF140" s="889"/>
      <c r="AG140" s="883"/>
      <c r="AH140" s="888"/>
      <c r="AI140" s="889"/>
      <c r="AJ140" s="883"/>
      <c r="AK140" s="888"/>
      <c r="AL140" s="889"/>
      <c r="AM140" s="883"/>
      <c r="AN140" s="888"/>
      <c r="AO140" s="889"/>
      <c r="AP140" s="883"/>
      <c r="AQ140" s="888"/>
      <c r="AR140" s="889"/>
      <c r="AS140" s="883"/>
      <c r="AT140" s="888"/>
      <c r="AU140" s="889"/>
      <c r="AV140" s="883"/>
      <c r="AW140" s="888"/>
      <c r="AX140" s="889"/>
      <c r="AY140" s="883"/>
      <c r="AZ140" s="888"/>
      <c r="BA140" s="889"/>
      <c r="BB140" s="883"/>
      <c r="BC140" s="888"/>
      <c r="BD140" s="889"/>
      <c r="BE140" s="883"/>
      <c r="BF140" s="890"/>
      <c r="BG140" s="891"/>
      <c r="BH140" s="892"/>
      <c r="BI140" s="890"/>
      <c r="BJ140" s="891"/>
      <c r="BK140" s="892"/>
      <c r="BL140" s="888"/>
      <c r="BM140" s="889"/>
      <c r="BN140" s="883"/>
      <c r="BO140" s="893"/>
      <c r="BP140" s="888"/>
      <c r="BQ140" s="889"/>
      <c r="BR140" s="883"/>
      <c r="BS140" s="888"/>
      <c r="BT140" s="883"/>
      <c r="BU140" s="883"/>
      <c r="BV140" s="893"/>
      <c r="BW140" s="888"/>
      <c r="BX140" s="889"/>
      <c r="BY140" s="883"/>
      <c r="BZ140" s="888"/>
      <c r="CA140" s="883"/>
      <c r="CB140" s="883"/>
      <c r="CC140" s="888"/>
      <c r="CD140" s="768"/>
      <c r="CE140" s="894"/>
    </row>
    <row r="141" spans="1:83" ht="18.600000000000001" customHeight="1" x14ac:dyDescent="0.4">
      <c r="A141" s="249"/>
      <c r="B141" s="249"/>
      <c r="C141" s="584" t="s">
        <v>307</v>
      </c>
      <c r="D141" s="631"/>
      <c r="E141" s="614" t="s">
        <v>310</v>
      </c>
      <c r="F141" s="632"/>
      <c r="G141" s="633"/>
      <c r="H141" s="612" t="s">
        <v>310</v>
      </c>
      <c r="I141" s="634"/>
      <c r="J141" s="635"/>
      <c r="K141" s="2682"/>
      <c r="L141" s="781"/>
      <c r="M141" s="685"/>
      <c r="N141" s="745" t="s">
        <v>333</v>
      </c>
      <c r="O141" s="791"/>
      <c r="P141" s="778"/>
      <c r="Q141" s="779" t="s">
        <v>357</v>
      </c>
      <c r="R141" s="822"/>
      <c r="S141" s="664"/>
      <c r="T141" s="664" t="s">
        <v>334</v>
      </c>
      <c r="U141" s="687"/>
      <c r="V141" s="683"/>
      <c r="W141" s="709" t="s">
        <v>335</v>
      </c>
      <c r="X141" s="783"/>
      <c r="Y141" s="685"/>
      <c r="Z141" s="745" t="s">
        <v>333</v>
      </c>
      <c r="AA141" s="791"/>
      <c r="AB141" s="687"/>
      <c r="AC141" s="784"/>
      <c r="AD141" s="687"/>
      <c r="AE141" s="895"/>
      <c r="AF141" s="896"/>
      <c r="AG141" s="768"/>
      <c r="AH141" s="895"/>
      <c r="AI141" s="896"/>
      <c r="AJ141" s="768"/>
      <c r="AK141" s="895"/>
      <c r="AL141" s="896"/>
      <c r="AM141" s="768"/>
      <c r="AN141" s="895"/>
      <c r="AO141" s="896"/>
      <c r="AP141" s="768"/>
      <c r="AQ141" s="895"/>
      <c r="AR141" s="896"/>
      <c r="AS141" s="768"/>
      <c r="AT141" s="895"/>
      <c r="AU141" s="896"/>
      <c r="AV141" s="768"/>
      <c r="AW141" s="895"/>
      <c r="AX141" s="896"/>
      <c r="AY141" s="768"/>
      <c r="AZ141" s="895"/>
      <c r="BA141" s="896"/>
      <c r="BB141" s="768"/>
      <c r="BC141" s="895"/>
      <c r="BD141" s="896"/>
      <c r="BE141" s="768"/>
      <c r="BF141" s="568"/>
      <c r="BG141" s="566"/>
      <c r="BH141" s="567"/>
      <c r="BI141" s="568"/>
      <c r="BJ141" s="566"/>
      <c r="BK141" s="567"/>
      <c r="BL141" s="895"/>
      <c r="BM141" s="896"/>
      <c r="BN141" s="768"/>
      <c r="BO141" s="897"/>
      <c r="BP141" s="895"/>
      <c r="BQ141" s="896"/>
      <c r="BR141" s="768"/>
      <c r="BS141" s="895"/>
      <c r="BT141" s="768"/>
      <c r="BU141" s="768"/>
      <c r="BV141" s="897"/>
      <c r="BW141" s="895"/>
      <c r="BX141" s="896"/>
      <c r="BY141" s="768"/>
      <c r="BZ141" s="895"/>
      <c r="CA141" s="768"/>
      <c r="CB141" s="768"/>
      <c r="CC141" s="895"/>
      <c r="CD141" s="768"/>
      <c r="CE141" s="2552"/>
    </row>
    <row r="142" spans="1:83" ht="28.35" customHeight="1" x14ac:dyDescent="0.4">
      <c r="A142" s="249"/>
      <c r="B142" s="249"/>
      <c r="C142" s="584" t="s">
        <v>307</v>
      </c>
      <c r="D142" s="746"/>
      <c r="E142" s="747"/>
      <c r="F142" s="747"/>
      <c r="G142" s="748"/>
      <c r="H142" s="2568" t="s">
        <v>358</v>
      </c>
      <c r="I142" s="847"/>
      <c r="J142" s="704"/>
      <c r="K142" s="2682"/>
      <c r="L142" s="849"/>
      <c r="M142" s="685"/>
      <c r="N142" s="745"/>
      <c r="O142" s="685"/>
      <c r="P142" s="706"/>
      <c r="Q142" s="860"/>
      <c r="R142" s="852"/>
      <c r="S142" s="664"/>
      <c r="T142" s="1990" t="s">
        <v>351</v>
      </c>
      <c r="U142" s="687"/>
      <c r="V142" s="886"/>
      <c r="W142" s="709"/>
      <c r="X142" s="783"/>
      <c r="Y142" s="685"/>
      <c r="Z142" s="745"/>
      <c r="AA142" s="685"/>
      <c r="AB142" s="687"/>
      <c r="AC142" s="687"/>
      <c r="AD142" s="687"/>
      <c r="AE142" s="895"/>
      <c r="AF142" s="896"/>
      <c r="AG142" s="768"/>
      <c r="AH142" s="895"/>
      <c r="AI142" s="896"/>
      <c r="AJ142" s="768"/>
      <c r="AK142" s="895"/>
      <c r="AL142" s="896"/>
      <c r="AM142" s="768"/>
      <c r="AN142" s="895"/>
      <c r="AO142" s="896"/>
      <c r="AP142" s="768"/>
      <c r="AQ142" s="895"/>
      <c r="AR142" s="896"/>
      <c r="AS142" s="768"/>
      <c r="AT142" s="895"/>
      <c r="AU142" s="896"/>
      <c r="AV142" s="768"/>
      <c r="AW142" s="895"/>
      <c r="AX142" s="896"/>
      <c r="AY142" s="768"/>
      <c r="AZ142" s="895"/>
      <c r="BA142" s="896"/>
      <c r="BB142" s="768"/>
      <c r="BC142" s="895"/>
      <c r="BD142" s="896"/>
      <c r="BE142" s="768"/>
      <c r="BF142" s="568"/>
      <c r="BG142" s="566"/>
      <c r="BH142" s="567"/>
      <c r="BI142" s="568"/>
      <c r="BJ142" s="566"/>
      <c r="BK142" s="567"/>
      <c r="BL142" s="895"/>
      <c r="BM142" s="896"/>
      <c r="BN142" s="768"/>
      <c r="BO142" s="897"/>
      <c r="BP142" s="895"/>
      <c r="BQ142" s="896"/>
      <c r="BR142" s="768"/>
      <c r="BS142" s="895"/>
      <c r="BT142" s="768"/>
      <c r="BU142" s="768"/>
      <c r="BV142" s="897"/>
      <c r="BW142" s="895"/>
      <c r="BX142" s="896"/>
      <c r="BY142" s="768"/>
      <c r="BZ142" s="895"/>
      <c r="CA142" s="768"/>
      <c r="CB142" s="768"/>
      <c r="CC142" s="895"/>
      <c r="CD142" s="768"/>
      <c r="CE142" s="2552"/>
    </row>
    <row r="143" spans="1:83" ht="18.75" customHeight="1" x14ac:dyDescent="0.4">
      <c r="A143" s="249"/>
      <c r="B143" s="249"/>
      <c r="C143" s="584" t="s">
        <v>307</v>
      </c>
      <c r="D143" s="587"/>
      <c r="E143" s="688"/>
      <c r="F143" s="688"/>
      <c r="G143" s="588"/>
      <c r="H143" s="594"/>
      <c r="I143" s="742"/>
      <c r="J143" s="635"/>
      <c r="K143" s="2803" t="s">
        <v>359</v>
      </c>
      <c r="L143" s="705"/>
      <c r="M143" s="685"/>
      <c r="N143" s="865"/>
      <c r="O143" s="791"/>
      <c r="P143" s="795"/>
      <c r="Q143" s="769"/>
      <c r="R143" s="708"/>
      <c r="S143" s="664"/>
      <c r="T143" s="664"/>
      <c r="U143" s="687"/>
      <c r="V143" s="898"/>
      <c r="W143" s="683"/>
      <c r="X143" s="783"/>
      <c r="Y143" s="685"/>
      <c r="Z143" s="865"/>
      <c r="AA143" s="791"/>
      <c r="AB143" s="687"/>
      <c r="AC143" s="869"/>
      <c r="AD143" s="687"/>
      <c r="AE143" s="895"/>
      <c r="AF143" s="896"/>
      <c r="AG143" s="768"/>
      <c r="AH143" s="895"/>
      <c r="AI143" s="896"/>
      <c r="AJ143" s="768"/>
      <c r="AK143" s="895"/>
      <c r="AL143" s="896"/>
      <c r="AM143" s="768"/>
      <c r="AN143" s="895"/>
      <c r="AO143" s="896"/>
      <c r="AP143" s="768"/>
      <c r="AQ143" s="895"/>
      <c r="AR143" s="896"/>
      <c r="AS143" s="768"/>
      <c r="AT143" s="895"/>
      <c r="AU143" s="896"/>
      <c r="AV143" s="768"/>
      <c r="AW143" s="895"/>
      <c r="AX143" s="896"/>
      <c r="AY143" s="768"/>
      <c r="AZ143" s="895"/>
      <c r="BA143" s="896"/>
      <c r="BB143" s="768"/>
      <c r="BC143" s="895"/>
      <c r="BD143" s="896"/>
      <c r="BE143" s="768"/>
      <c r="BF143" s="568"/>
      <c r="BG143" s="566"/>
      <c r="BH143" s="567"/>
      <c r="BI143" s="568"/>
      <c r="BJ143" s="566"/>
      <c r="BK143" s="567"/>
      <c r="BL143" s="895"/>
      <c r="BM143" s="896"/>
      <c r="BN143" s="768"/>
      <c r="BO143" s="897"/>
      <c r="BP143" s="895"/>
      <c r="BQ143" s="896"/>
      <c r="BR143" s="768"/>
      <c r="BS143" s="895"/>
      <c r="BT143" s="768"/>
      <c r="BU143" s="768"/>
      <c r="BV143" s="897"/>
      <c r="BW143" s="895"/>
      <c r="BX143" s="896"/>
      <c r="BY143" s="768"/>
      <c r="BZ143" s="895"/>
      <c r="CA143" s="768"/>
      <c r="CB143" s="768"/>
      <c r="CC143" s="895"/>
      <c r="CD143" s="768"/>
      <c r="CE143" s="2552"/>
    </row>
    <row r="144" spans="1:83" ht="18.75" customHeight="1" x14ac:dyDescent="0.4">
      <c r="A144" s="249"/>
      <c r="B144" s="249"/>
      <c r="C144" s="584" t="s">
        <v>307</v>
      </c>
      <c r="D144" s="899"/>
      <c r="E144" s="862"/>
      <c r="F144" s="863"/>
      <c r="G144" s="900"/>
      <c r="H144" s="901"/>
      <c r="I144" s="857"/>
      <c r="J144" s="635"/>
      <c r="K144" s="2682"/>
      <c r="L144" s="849"/>
      <c r="M144" s="905"/>
      <c r="N144" s="906"/>
      <c r="O144" s="907"/>
      <c r="P144" s="778"/>
      <c r="Q144" s="779" t="s">
        <v>360</v>
      </c>
      <c r="R144" s="902"/>
      <c r="S144" s="664"/>
      <c r="T144" s="664"/>
      <c r="U144" s="908"/>
      <c r="V144" s="904"/>
      <c r="W144" s="683"/>
      <c r="X144" s="783"/>
      <c r="Y144" s="905"/>
      <c r="Z144" s="906"/>
      <c r="AA144" s="907"/>
      <c r="AB144" s="908"/>
      <c r="AC144" s="908"/>
      <c r="AD144" s="908"/>
      <c r="AE144" s="895"/>
      <c r="AF144" s="896"/>
      <c r="AG144" s="768"/>
      <c r="AH144" s="895"/>
      <c r="AI144" s="896"/>
      <c r="AJ144" s="768"/>
      <c r="AK144" s="895"/>
      <c r="AL144" s="896"/>
      <c r="AM144" s="768"/>
      <c r="AN144" s="895"/>
      <c r="AO144" s="896"/>
      <c r="AP144" s="768"/>
      <c r="AQ144" s="895"/>
      <c r="AR144" s="896"/>
      <c r="AS144" s="768"/>
      <c r="AT144" s="895"/>
      <c r="AU144" s="896"/>
      <c r="AV144" s="768"/>
      <c r="AW144" s="895"/>
      <c r="AX144" s="896"/>
      <c r="AY144" s="768"/>
      <c r="AZ144" s="895"/>
      <c r="BA144" s="896"/>
      <c r="BB144" s="768"/>
      <c r="BC144" s="895"/>
      <c r="BD144" s="896"/>
      <c r="BE144" s="768"/>
      <c r="BF144" s="568"/>
      <c r="BG144" s="566"/>
      <c r="BH144" s="567"/>
      <c r="BI144" s="568"/>
      <c r="BJ144" s="566"/>
      <c r="BK144" s="567"/>
      <c r="BL144" s="895"/>
      <c r="BM144" s="896"/>
      <c r="BN144" s="768"/>
      <c r="BO144" s="897"/>
      <c r="BP144" s="895"/>
      <c r="BQ144" s="896"/>
      <c r="BR144" s="768"/>
      <c r="BS144" s="895"/>
      <c r="BT144" s="768"/>
      <c r="BU144" s="768"/>
      <c r="BV144" s="897"/>
      <c r="BW144" s="895"/>
      <c r="BX144" s="896"/>
      <c r="BY144" s="768"/>
      <c r="BZ144" s="895"/>
      <c r="CA144" s="768"/>
      <c r="CB144" s="768"/>
      <c r="CC144" s="895"/>
      <c r="CD144" s="567"/>
      <c r="CE144" s="2552"/>
    </row>
    <row r="145" spans="1:83" ht="18.75" customHeight="1" x14ac:dyDescent="0.4">
      <c r="A145" s="249"/>
      <c r="B145" s="249"/>
      <c r="C145" s="584">
        <v>0.42013888888888901</v>
      </c>
      <c r="D145" s="587"/>
      <c r="E145" s="688"/>
      <c r="F145" s="688"/>
      <c r="G145" s="588"/>
      <c r="H145" s="594"/>
      <c r="I145" s="847"/>
      <c r="J145" s="635"/>
      <c r="K145" s="2682"/>
      <c r="L145" s="849"/>
      <c r="M145" s="686"/>
      <c r="N145" s="745"/>
      <c r="O145" s="685"/>
      <c r="P145" s="795"/>
      <c r="Q145" s="769"/>
      <c r="R145" s="852"/>
      <c r="S145" s="664"/>
      <c r="T145" s="664"/>
      <c r="U145" s="908"/>
      <c r="V145" s="709"/>
      <c r="W145" s="709"/>
      <c r="X145" s="783"/>
      <c r="Y145" s="686"/>
      <c r="Z145" s="745"/>
      <c r="AA145" s="685"/>
      <c r="AB145" s="908"/>
      <c r="AC145" s="908"/>
      <c r="AD145" s="908"/>
      <c r="AE145" s="568"/>
      <c r="AF145" s="566"/>
      <c r="AG145" s="567"/>
      <c r="AH145" s="568"/>
      <c r="AI145" s="566"/>
      <c r="AJ145" s="567"/>
      <c r="AK145" s="568"/>
      <c r="AL145" s="566"/>
      <c r="AM145" s="567"/>
      <c r="AN145" s="568"/>
      <c r="AO145" s="566"/>
      <c r="AP145" s="567"/>
      <c r="AQ145" s="568"/>
      <c r="AR145" s="566"/>
      <c r="AS145" s="567"/>
      <c r="AT145" s="568"/>
      <c r="AU145" s="566"/>
      <c r="AV145" s="567"/>
      <c r="AW145" s="568"/>
      <c r="AX145" s="566"/>
      <c r="AY145" s="567"/>
      <c r="AZ145" s="568"/>
      <c r="BA145" s="566"/>
      <c r="BB145" s="567"/>
      <c r="BC145" s="568"/>
      <c r="BD145" s="566"/>
      <c r="BE145" s="567"/>
      <c r="BF145" s="567"/>
      <c r="BG145" s="767"/>
      <c r="BH145" s="768"/>
      <c r="BI145" s="567"/>
      <c r="BJ145" s="767"/>
      <c r="BK145" s="768"/>
      <c r="BL145" s="568"/>
      <c r="BM145" s="566"/>
      <c r="BN145" s="567"/>
      <c r="BO145" s="567"/>
      <c r="BP145" s="568"/>
      <c r="BQ145" s="566"/>
      <c r="BR145" s="567"/>
      <c r="BS145" s="568"/>
      <c r="BT145" s="567"/>
      <c r="BU145" s="567"/>
      <c r="BV145" s="567"/>
      <c r="BW145" s="568"/>
      <c r="BX145" s="566"/>
      <c r="BY145" s="567"/>
      <c r="BZ145" s="568"/>
      <c r="CA145" s="567"/>
      <c r="CB145" s="567"/>
      <c r="CC145" s="568"/>
      <c r="CD145" s="759"/>
      <c r="CE145" s="2807"/>
    </row>
    <row r="146" spans="1:83" ht="14.85" customHeight="1" x14ac:dyDescent="0.4">
      <c r="A146" s="249"/>
      <c r="B146" s="249"/>
      <c r="C146" s="584">
        <v>0.42361111111111099</v>
      </c>
      <c r="D146" s="587"/>
      <c r="E146" s="688"/>
      <c r="F146" s="688"/>
      <c r="G146" s="588"/>
      <c r="H146" s="594"/>
      <c r="I146" s="847"/>
      <c r="J146" s="743"/>
      <c r="K146" s="2682"/>
      <c r="L146" s="705"/>
      <c r="M146" s="791"/>
      <c r="N146" s="745"/>
      <c r="O146" s="791"/>
      <c r="P146" s="744"/>
      <c r="Q146" s="2840" t="s">
        <v>341</v>
      </c>
      <c r="R146" s="708"/>
      <c r="S146" s="664"/>
      <c r="T146" s="664"/>
      <c r="U146" s="687"/>
      <c r="V146" s="709"/>
      <c r="W146" s="709"/>
      <c r="X146" s="684"/>
      <c r="Y146" s="791"/>
      <c r="Z146" s="745"/>
      <c r="AA146" s="791"/>
      <c r="AB146" s="687"/>
      <c r="AC146" s="687"/>
      <c r="AD146" s="687"/>
      <c r="AE146" s="568"/>
      <c r="AF146" s="777"/>
      <c r="AG146" s="759"/>
      <c r="AH146" s="568"/>
      <c r="AI146" s="777"/>
      <c r="AJ146" s="759"/>
      <c r="AK146" s="568"/>
      <c r="AL146" s="777"/>
      <c r="AM146" s="759"/>
      <c r="AN146" s="568"/>
      <c r="AO146" s="777"/>
      <c r="AP146" s="759"/>
      <c r="AQ146" s="568"/>
      <c r="AR146" s="777"/>
      <c r="AS146" s="759"/>
      <c r="AT146" s="568"/>
      <c r="AU146" s="777"/>
      <c r="AV146" s="759"/>
      <c r="AW146" s="568"/>
      <c r="AX146" s="777"/>
      <c r="AY146" s="759"/>
      <c r="AZ146" s="568"/>
      <c r="BA146" s="777"/>
      <c r="BB146" s="759"/>
      <c r="BC146" s="568"/>
      <c r="BD146" s="777"/>
      <c r="BE146" s="759"/>
      <c r="BF146" s="567"/>
      <c r="BG146" s="767"/>
      <c r="BH146" s="768"/>
      <c r="BI146" s="567"/>
      <c r="BJ146" s="767"/>
      <c r="BK146" s="768"/>
      <c r="BL146" s="568"/>
      <c r="BM146" s="777"/>
      <c r="BN146" s="759"/>
      <c r="BO146" s="567"/>
      <c r="BP146" s="568"/>
      <c r="BQ146" s="777"/>
      <c r="BR146" s="759"/>
      <c r="BS146" s="568"/>
      <c r="BT146" s="759"/>
      <c r="BU146" s="759"/>
      <c r="BV146" s="567"/>
      <c r="BW146" s="568"/>
      <c r="BX146" s="777"/>
      <c r="BY146" s="759"/>
      <c r="BZ146" s="568"/>
      <c r="CA146" s="759"/>
      <c r="CB146" s="759"/>
      <c r="CC146" s="568"/>
      <c r="CD146" s="759"/>
      <c r="CE146" s="909"/>
    </row>
    <row r="147" spans="1:83" ht="18.75" customHeight="1" x14ac:dyDescent="0.4">
      <c r="A147" s="249"/>
      <c r="B147" s="249"/>
      <c r="C147" s="584">
        <v>0.42708333333333331</v>
      </c>
      <c r="D147" s="589"/>
      <c r="E147" s="614"/>
      <c r="F147" s="910"/>
      <c r="G147" s="590"/>
      <c r="H147" s="911"/>
      <c r="I147" s="742"/>
      <c r="J147" s="704"/>
      <c r="K147" s="2682"/>
      <c r="L147" s="705"/>
      <c r="M147" s="685"/>
      <c r="N147" s="793" t="s">
        <v>336</v>
      </c>
      <c r="O147" s="791"/>
      <c r="P147" s="706"/>
      <c r="Q147" s="2840"/>
      <c r="R147" s="708"/>
      <c r="S147" s="664"/>
      <c r="T147" s="664" t="s">
        <v>348</v>
      </c>
      <c r="U147" s="687"/>
      <c r="V147" s="683"/>
      <c r="W147" s="709" t="s">
        <v>332</v>
      </c>
      <c r="X147" s="783"/>
      <c r="Y147" s="685"/>
      <c r="Z147" s="793" t="s">
        <v>336</v>
      </c>
      <c r="AA147" s="791"/>
      <c r="AB147" s="908"/>
      <c r="AC147" s="908"/>
      <c r="AD147" s="908"/>
      <c r="AE147" s="568"/>
      <c r="AF147" s="777"/>
      <c r="AG147" s="759"/>
      <c r="AH147" s="568"/>
      <c r="AI147" s="777"/>
      <c r="AJ147" s="759"/>
      <c r="AK147" s="568"/>
      <c r="AL147" s="777"/>
      <c r="AM147" s="759"/>
      <c r="AN147" s="568"/>
      <c r="AO147" s="777"/>
      <c r="AP147" s="759"/>
      <c r="AQ147" s="568"/>
      <c r="AR147" s="777"/>
      <c r="AS147" s="759"/>
      <c r="AT147" s="568"/>
      <c r="AU147" s="777"/>
      <c r="AV147" s="759"/>
      <c r="AW147" s="568"/>
      <c r="AX147" s="777"/>
      <c r="AY147" s="759"/>
      <c r="AZ147" s="568"/>
      <c r="BA147" s="777"/>
      <c r="BB147" s="759"/>
      <c r="BC147" s="568"/>
      <c r="BD147" s="777"/>
      <c r="BE147" s="759"/>
      <c r="BF147" s="567"/>
      <c r="BG147" s="767"/>
      <c r="BH147" s="768"/>
      <c r="BI147" s="567"/>
      <c r="BJ147" s="767"/>
      <c r="BK147" s="768"/>
      <c r="BL147" s="568"/>
      <c r="BM147" s="777"/>
      <c r="BN147" s="759"/>
      <c r="BO147" s="567"/>
      <c r="BP147" s="568"/>
      <c r="BQ147" s="777"/>
      <c r="BR147" s="759"/>
      <c r="BS147" s="568"/>
      <c r="BT147" s="759"/>
      <c r="BU147" s="759"/>
      <c r="BV147" s="567"/>
      <c r="BW147" s="568"/>
      <c r="BX147" s="777"/>
      <c r="BY147" s="759"/>
      <c r="BZ147" s="568"/>
      <c r="CA147" s="759"/>
      <c r="CB147" s="759"/>
      <c r="CC147" s="568"/>
      <c r="CD147" s="759"/>
      <c r="CE147" s="909"/>
    </row>
    <row r="148" spans="1:83" ht="18.75" customHeight="1" x14ac:dyDescent="0.4">
      <c r="A148" s="249"/>
      <c r="B148" s="249"/>
      <c r="C148" s="584" t="s">
        <v>307</v>
      </c>
      <c r="D148" s="746"/>
      <c r="E148" s="910"/>
      <c r="F148" s="910"/>
      <c r="G148" s="748"/>
      <c r="H148" s="911"/>
      <c r="I148" s="742"/>
      <c r="J148" s="635"/>
      <c r="K148" s="743"/>
      <c r="L148" s="705"/>
      <c r="M148" s="685"/>
      <c r="N148" s="745" t="s">
        <v>333</v>
      </c>
      <c r="O148" s="685"/>
      <c r="P148" s="795"/>
      <c r="Q148" s="2840"/>
      <c r="R148" s="708"/>
      <c r="S148" s="664"/>
      <c r="T148" s="664" t="s">
        <v>334</v>
      </c>
      <c r="U148" s="687"/>
      <c r="V148" s="886"/>
      <c r="W148" s="709" t="s">
        <v>335</v>
      </c>
      <c r="X148" s="684"/>
      <c r="Y148" s="685"/>
      <c r="Z148" s="745" t="s">
        <v>333</v>
      </c>
      <c r="AA148" s="685"/>
      <c r="AB148" s="908"/>
      <c r="AC148" s="912"/>
      <c r="AD148" s="908"/>
      <c r="AE148" s="568"/>
      <c r="AF148" s="777"/>
      <c r="AG148" s="759"/>
      <c r="AH148" s="568"/>
      <c r="AI148" s="777"/>
      <c r="AJ148" s="759"/>
      <c r="AK148" s="568"/>
      <c r="AL148" s="777"/>
      <c r="AM148" s="759"/>
      <c r="AN148" s="568"/>
      <c r="AO148" s="777"/>
      <c r="AP148" s="759"/>
      <c r="AQ148" s="568"/>
      <c r="AR148" s="777"/>
      <c r="AS148" s="759"/>
      <c r="AT148" s="568"/>
      <c r="AU148" s="777"/>
      <c r="AV148" s="759"/>
      <c r="AW148" s="568"/>
      <c r="AX148" s="777"/>
      <c r="AY148" s="759"/>
      <c r="AZ148" s="568"/>
      <c r="BA148" s="777"/>
      <c r="BB148" s="759"/>
      <c r="BC148" s="568"/>
      <c r="BD148" s="777"/>
      <c r="BE148" s="759"/>
      <c r="BF148" s="567"/>
      <c r="BG148" s="767"/>
      <c r="BH148" s="768"/>
      <c r="BI148" s="567"/>
      <c r="BJ148" s="767"/>
      <c r="BK148" s="768"/>
      <c r="BL148" s="568"/>
      <c r="BM148" s="777"/>
      <c r="BN148" s="759"/>
      <c r="BO148" s="567"/>
      <c r="BP148" s="568"/>
      <c r="BQ148" s="777"/>
      <c r="BR148" s="759"/>
      <c r="BS148" s="568"/>
      <c r="BT148" s="759"/>
      <c r="BU148" s="759"/>
      <c r="BV148" s="567"/>
      <c r="BW148" s="568"/>
      <c r="BX148" s="777"/>
      <c r="BY148" s="759"/>
      <c r="BZ148" s="568"/>
      <c r="CA148" s="759"/>
      <c r="CB148" s="759"/>
      <c r="CC148" s="568"/>
      <c r="CD148" s="759"/>
      <c r="CE148" s="909"/>
    </row>
    <row r="149" spans="1:83" ht="18.75" customHeight="1" x14ac:dyDescent="0.4">
      <c r="A149" s="249"/>
      <c r="B149" s="249"/>
      <c r="C149" s="584" t="s">
        <v>307</v>
      </c>
      <c r="D149" s="587"/>
      <c r="E149" s="910"/>
      <c r="F149" s="910"/>
      <c r="G149" s="588"/>
      <c r="H149" s="911"/>
      <c r="I149" s="742"/>
      <c r="J149" s="582"/>
      <c r="K149" s="743"/>
      <c r="L149" s="913"/>
      <c r="M149" s="685"/>
      <c r="N149" s="745"/>
      <c r="O149" s="915"/>
      <c r="P149" s="850"/>
      <c r="Q149" s="2840"/>
      <c r="R149" s="914"/>
      <c r="S149" s="664"/>
      <c r="T149" s="1990" t="s">
        <v>351</v>
      </c>
      <c r="U149" s="687"/>
      <c r="V149" s="683"/>
      <c r="W149" s="709"/>
      <c r="X149" s="684"/>
      <c r="Y149" s="685"/>
      <c r="Z149" s="745"/>
      <c r="AA149" s="915"/>
      <c r="AB149" s="916"/>
      <c r="AC149" s="869"/>
      <c r="AD149" s="916"/>
      <c r="AE149" s="568"/>
      <c r="AF149" s="777"/>
      <c r="AG149" s="759"/>
      <c r="AH149" s="568"/>
      <c r="AI149" s="777"/>
      <c r="AJ149" s="759"/>
      <c r="AK149" s="568"/>
      <c r="AL149" s="777"/>
      <c r="AM149" s="759"/>
      <c r="AN149" s="568"/>
      <c r="AO149" s="777"/>
      <c r="AP149" s="759"/>
      <c r="AQ149" s="568"/>
      <c r="AR149" s="777"/>
      <c r="AS149" s="759"/>
      <c r="AT149" s="568"/>
      <c r="AU149" s="777"/>
      <c r="AV149" s="759"/>
      <c r="AW149" s="568"/>
      <c r="AX149" s="777"/>
      <c r="AY149" s="759"/>
      <c r="AZ149" s="568"/>
      <c r="BA149" s="777"/>
      <c r="BB149" s="759"/>
      <c r="BC149" s="568"/>
      <c r="BD149" s="777"/>
      <c r="BE149" s="759"/>
      <c r="BF149" s="567"/>
      <c r="BG149" s="767"/>
      <c r="BH149" s="768"/>
      <c r="BI149" s="567"/>
      <c r="BJ149" s="767"/>
      <c r="BK149" s="768"/>
      <c r="BL149" s="568"/>
      <c r="BM149" s="777"/>
      <c r="BN149" s="759"/>
      <c r="BO149" s="567"/>
      <c r="BP149" s="568"/>
      <c r="BQ149" s="777"/>
      <c r="BR149" s="759"/>
      <c r="BS149" s="568"/>
      <c r="BT149" s="759"/>
      <c r="BU149" s="759"/>
      <c r="BV149" s="567"/>
      <c r="BW149" s="568"/>
      <c r="BX149" s="777"/>
      <c r="BY149" s="759"/>
      <c r="BZ149" s="568"/>
      <c r="CA149" s="759"/>
      <c r="CB149" s="759"/>
      <c r="CC149" s="568"/>
      <c r="CD149" s="917"/>
      <c r="CE149" s="909"/>
    </row>
    <row r="150" spans="1:83" ht="19.350000000000001" customHeight="1" x14ac:dyDescent="0.4">
      <c r="A150" s="249"/>
      <c r="B150" s="249"/>
      <c r="C150" s="584" t="s">
        <v>307</v>
      </c>
      <c r="D150" s="844"/>
      <c r="E150" s="910"/>
      <c r="F150" s="910"/>
      <c r="G150" s="846"/>
      <c r="H150" s="911"/>
      <c r="I150" s="918"/>
      <c r="J150" s="582"/>
      <c r="K150" s="743"/>
      <c r="L150" s="913"/>
      <c r="M150" s="685"/>
      <c r="N150" s="745"/>
      <c r="O150" s="915"/>
      <c r="P150" s="850"/>
      <c r="Q150" s="2840"/>
      <c r="R150" s="914"/>
      <c r="S150" s="664"/>
      <c r="T150" s="664"/>
      <c r="U150" s="687"/>
      <c r="V150" s="886"/>
      <c r="W150" s="709"/>
      <c r="X150" s="684"/>
      <c r="Y150" s="685"/>
      <c r="Z150" s="745"/>
      <c r="AA150" s="915"/>
      <c r="AB150" s="916"/>
      <c r="AC150" s="916"/>
      <c r="AD150" s="916"/>
      <c r="AE150" s="568"/>
      <c r="AF150" s="919"/>
      <c r="AG150" s="917"/>
      <c r="AH150" s="568"/>
      <c r="AI150" s="919"/>
      <c r="AJ150" s="917"/>
      <c r="AK150" s="568"/>
      <c r="AL150" s="919"/>
      <c r="AM150" s="917"/>
      <c r="AN150" s="568"/>
      <c r="AO150" s="919"/>
      <c r="AP150" s="917"/>
      <c r="AQ150" s="568"/>
      <c r="AR150" s="919"/>
      <c r="AS150" s="917"/>
      <c r="AT150" s="568"/>
      <c r="AU150" s="919"/>
      <c r="AV150" s="917"/>
      <c r="AW150" s="568"/>
      <c r="AX150" s="919"/>
      <c r="AY150" s="917"/>
      <c r="AZ150" s="568"/>
      <c r="BA150" s="919"/>
      <c r="BB150" s="917"/>
      <c r="BC150" s="568"/>
      <c r="BD150" s="919"/>
      <c r="BE150" s="917"/>
      <c r="BF150" s="567"/>
      <c r="BG150" s="767"/>
      <c r="BH150" s="768"/>
      <c r="BI150" s="567"/>
      <c r="BJ150" s="767"/>
      <c r="BK150" s="768"/>
      <c r="BL150" s="568"/>
      <c r="BM150" s="919"/>
      <c r="BN150" s="917"/>
      <c r="BO150" s="567"/>
      <c r="BP150" s="568"/>
      <c r="BQ150" s="919"/>
      <c r="BR150" s="917"/>
      <c r="BS150" s="568"/>
      <c r="BT150" s="917"/>
      <c r="BU150" s="917"/>
      <c r="BV150" s="567"/>
      <c r="BW150" s="568"/>
      <c r="BX150" s="919"/>
      <c r="BY150" s="917"/>
      <c r="BZ150" s="568"/>
      <c r="CA150" s="917"/>
      <c r="CB150" s="917"/>
      <c r="CC150" s="568"/>
      <c r="CD150" s="917"/>
      <c r="CE150" s="2551"/>
    </row>
    <row r="151" spans="1:83" ht="19.350000000000001" customHeight="1" x14ac:dyDescent="0.4">
      <c r="A151" s="249"/>
      <c r="B151" s="249"/>
      <c r="C151" s="584"/>
      <c r="D151" s="844"/>
      <c r="E151" s="910"/>
      <c r="F151" s="910"/>
      <c r="G151" s="846"/>
      <c r="H151" s="911"/>
      <c r="I151" s="918"/>
      <c r="J151" s="582"/>
      <c r="K151" s="743"/>
      <c r="L151" s="913"/>
      <c r="M151" s="685"/>
      <c r="N151" s="745"/>
      <c r="O151" s="915"/>
      <c r="P151" s="850"/>
      <c r="Q151" s="2840"/>
      <c r="R151" s="914"/>
      <c r="S151" s="664"/>
      <c r="T151" s="664"/>
      <c r="U151" s="687"/>
      <c r="V151" s="886"/>
      <c r="W151" s="709"/>
      <c r="X151" s="684"/>
      <c r="Y151" s="685"/>
      <c r="Z151" s="745"/>
      <c r="AA151" s="915"/>
      <c r="AB151" s="908"/>
      <c r="AC151" s="908"/>
      <c r="AD151" s="908"/>
      <c r="AE151" s="568"/>
      <c r="AF151" s="919"/>
      <c r="AG151" s="917"/>
      <c r="AH151" s="568"/>
      <c r="AI151" s="919"/>
      <c r="AJ151" s="917"/>
      <c r="AK151" s="568"/>
      <c r="AL151" s="919"/>
      <c r="AM151" s="917"/>
      <c r="AN151" s="568"/>
      <c r="AO151" s="919"/>
      <c r="AP151" s="917"/>
      <c r="AQ151" s="568"/>
      <c r="AR151" s="919"/>
      <c r="AS151" s="917"/>
      <c r="AT151" s="568"/>
      <c r="AU151" s="919"/>
      <c r="AV151" s="917"/>
      <c r="AW151" s="568"/>
      <c r="AX151" s="919"/>
      <c r="AY151" s="917"/>
      <c r="AZ151" s="568"/>
      <c r="BA151" s="919"/>
      <c r="BB151" s="917"/>
      <c r="BC151" s="568"/>
      <c r="BD151" s="919"/>
      <c r="BE151" s="917"/>
      <c r="BF151" s="567"/>
      <c r="BG151" s="767"/>
      <c r="BH151" s="768"/>
      <c r="BI151" s="567"/>
      <c r="BJ151" s="767"/>
      <c r="BK151" s="768"/>
      <c r="BL151" s="568"/>
      <c r="BM151" s="919"/>
      <c r="BN151" s="917"/>
      <c r="BO151" s="567"/>
      <c r="BP151" s="568"/>
      <c r="BQ151" s="919"/>
      <c r="BR151" s="917"/>
      <c r="BS151" s="568"/>
      <c r="BT151" s="917"/>
      <c r="BU151" s="917"/>
      <c r="BV151" s="567"/>
      <c r="BW151" s="568"/>
      <c r="BX151" s="919"/>
      <c r="BY151" s="917"/>
      <c r="BZ151" s="568"/>
      <c r="CA151" s="917"/>
      <c r="CB151" s="917"/>
      <c r="CC151" s="568"/>
      <c r="CD151" s="917"/>
      <c r="CE151" s="2551"/>
    </row>
    <row r="152" spans="1:83" ht="19.350000000000001" customHeight="1" x14ac:dyDescent="0.4">
      <c r="A152" s="249"/>
      <c r="B152" s="249"/>
      <c r="C152" s="584">
        <v>0.43055555555555503</v>
      </c>
      <c r="D152" s="844"/>
      <c r="E152" s="910"/>
      <c r="F152" s="910"/>
      <c r="G152" s="846"/>
      <c r="H152" s="911"/>
      <c r="I152" s="918"/>
      <c r="J152" s="582"/>
      <c r="K152" s="743"/>
      <c r="L152" s="913"/>
      <c r="M152" s="905"/>
      <c r="N152" s="745"/>
      <c r="O152" s="915"/>
      <c r="P152" s="850"/>
      <c r="Q152" s="2840"/>
      <c r="R152" s="914"/>
      <c r="S152" s="664"/>
      <c r="T152" s="664"/>
      <c r="U152" s="687"/>
      <c r="V152" s="886"/>
      <c r="W152" s="709"/>
      <c r="X152" s="684"/>
      <c r="Y152" s="905"/>
      <c r="Z152" s="745"/>
      <c r="AA152" s="915"/>
      <c r="AB152" s="908"/>
      <c r="AC152" s="908"/>
      <c r="AD152" s="908"/>
      <c r="AE152" s="568"/>
      <c r="AF152" s="919"/>
      <c r="AG152" s="917"/>
      <c r="AH152" s="568"/>
      <c r="AI152" s="919"/>
      <c r="AJ152" s="917"/>
      <c r="AK152" s="568"/>
      <c r="AL152" s="919"/>
      <c r="AM152" s="917"/>
      <c r="AN152" s="568"/>
      <c r="AO152" s="919"/>
      <c r="AP152" s="917"/>
      <c r="AQ152" s="568"/>
      <c r="AR152" s="919"/>
      <c r="AS152" s="917"/>
      <c r="AT152" s="568"/>
      <c r="AU152" s="919"/>
      <c r="AV152" s="917"/>
      <c r="AW152" s="568"/>
      <c r="AX152" s="919"/>
      <c r="AY152" s="917"/>
      <c r="AZ152" s="568"/>
      <c r="BA152" s="919"/>
      <c r="BB152" s="917"/>
      <c r="BC152" s="568"/>
      <c r="BD152" s="919"/>
      <c r="BE152" s="917"/>
      <c r="BF152" s="567"/>
      <c r="BG152" s="767"/>
      <c r="BH152" s="768"/>
      <c r="BI152" s="567"/>
      <c r="BJ152" s="767"/>
      <c r="BK152" s="768"/>
      <c r="BL152" s="568"/>
      <c r="BM152" s="919"/>
      <c r="BN152" s="917"/>
      <c r="BO152" s="567"/>
      <c r="BP152" s="568"/>
      <c r="BQ152" s="919"/>
      <c r="BR152" s="917"/>
      <c r="BS152" s="568"/>
      <c r="BT152" s="917"/>
      <c r="BU152" s="917"/>
      <c r="BV152" s="567"/>
      <c r="BW152" s="568"/>
      <c r="BX152" s="919"/>
      <c r="BY152" s="917"/>
      <c r="BZ152" s="568"/>
      <c r="CA152" s="917"/>
      <c r="CB152" s="917"/>
      <c r="CC152" s="568"/>
      <c r="CD152" s="567"/>
      <c r="CE152" s="2551"/>
    </row>
    <row r="153" spans="1:83" ht="14.85" customHeight="1" x14ac:dyDescent="0.4">
      <c r="A153" s="249"/>
      <c r="B153" s="249"/>
      <c r="C153" s="584">
        <v>0.43402777777777801</v>
      </c>
      <c r="D153" s="844"/>
      <c r="E153" s="910"/>
      <c r="F153" s="910"/>
      <c r="G153" s="846"/>
      <c r="H153" s="911"/>
      <c r="I153" s="918"/>
      <c r="J153" s="743"/>
      <c r="K153" s="743"/>
      <c r="L153" s="705"/>
      <c r="M153" s="685"/>
      <c r="N153" s="745"/>
      <c r="O153" s="791"/>
      <c r="P153" s="744"/>
      <c r="Q153" s="2840"/>
      <c r="R153" s="708"/>
      <c r="S153" s="664"/>
      <c r="T153" s="664"/>
      <c r="U153" s="687"/>
      <c r="V153" s="886"/>
      <c r="W153" s="709"/>
      <c r="X153" s="684"/>
      <c r="Y153" s="685"/>
      <c r="Z153" s="745"/>
      <c r="AA153" s="791"/>
      <c r="AB153" s="687"/>
      <c r="AC153" s="687"/>
      <c r="AD153" s="687"/>
      <c r="AE153" s="568"/>
      <c r="AF153" s="566"/>
      <c r="AG153" s="567"/>
      <c r="AH153" s="568"/>
      <c r="AI153" s="566"/>
      <c r="AJ153" s="567"/>
      <c r="AK153" s="568"/>
      <c r="AL153" s="566"/>
      <c r="AM153" s="567"/>
      <c r="AN153" s="568"/>
      <c r="AO153" s="566"/>
      <c r="AP153" s="567"/>
      <c r="AQ153" s="568"/>
      <c r="AR153" s="566"/>
      <c r="AS153" s="567"/>
      <c r="AT153" s="568"/>
      <c r="AU153" s="566"/>
      <c r="AV153" s="567"/>
      <c r="AW153" s="568"/>
      <c r="AX153" s="566"/>
      <c r="AY153" s="567"/>
      <c r="AZ153" s="568"/>
      <c r="BA153" s="566"/>
      <c r="BB153" s="567"/>
      <c r="BC153" s="568"/>
      <c r="BD153" s="566"/>
      <c r="BE153" s="567"/>
      <c r="BF153" s="567"/>
      <c r="BG153" s="767"/>
      <c r="BH153" s="768"/>
      <c r="BI153" s="567"/>
      <c r="BJ153" s="767"/>
      <c r="BK153" s="768"/>
      <c r="BL153" s="568"/>
      <c r="BM153" s="566"/>
      <c r="BN153" s="567"/>
      <c r="BO153" s="567"/>
      <c r="BP153" s="568"/>
      <c r="BQ153" s="566"/>
      <c r="BR153" s="567"/>
      <c r="BS153" s="568"/>
      <c r="BT153" s="567"/>
      <c r="BU153" s="567"/>
      <c r="BV153" s="567"/>
      <c r="BW153" s="568"/>
      <c r="BX153" s="566"/>
      <c r="BY153" s="567"/>
      <c r="BZ153" s="568"/>
      <c r="CA153" s="567"/>
      <c r="CB153" s="567"/>
      <c r="CC153" s="568"/>
      <c r="CD153" s="567"/>
      <c r="CE153" s="2807"/>
    </row>
    <row r="154" spans="1:83" ht="18.75" customHeight="1" x14ac:dyDescent="0.4">
      <c r="A154" s="249"/>
      <c r="B154" s="249"/>
      <c r="C154" s="584">
        <v>0.4375</v>
      </c>
      <c r="D154" s="589"/>
      <c r="E154" s="2839" t="s">
        <v>361</v>
      </c>
      <c r="F154" s="910"/>
      <c r="G154" s="590"/>
      <c r="H154" s="599" t="s">
        <v>278</v>
      </c>
      <c r="I154" s="742"/>
      <c r="J154" s="704"/>
      <c r="K154" s="920"/>
      <c r="L154" s="849"/>
      <c r="M154" s="685"/>
      <c r="N154" s="745" t="s">
        <v>330</v>
      </c>
      <c r="O154" s="791"/>
      <c r="P154" s="706"/>
      <c r="Q154" s="921"/>
      <c r="R154" s="852"/>
      <c r="S154" s="664"/>
      <c r="T154" s="664" t="s">
        <v>331</v>
      </c>
      <c r="U154" s="687"/>
      <c r="V154" s="683"/>
      <c r="W154" s="709" t="s">
        <v>332</v>
      </c>
      <c r="X154" s="684"/>
      <c r="Y154" s="685"/>
      <c r="Z154" s="745" t="s">
        <v>330</v>
      </c>
      <c r="AA154" s="791"/>
      <c r="AB154" s="922"/>
      <c r="AC154" s="923"/>
      <c r="AD154" s="922"/>
      <c r="AE154" s="568"/>
      <c r="AF154" s="566"/>
      <c r="AG154" s="567"/>
      <c r="AH154" s="568"/>
      <c r="AI154" s="566"/>
      <c r="AJ154" s="567"/>
      <c r="AK154" s="568"/>
      <c r="AL154" s="566"/>
      <c r="AM154" s="567"/>
      <c r="AN154" s="568"/>
      <c r="AO154" s="566"/>
      <c r="AP154" s="567"/>
      <c r="AQ154" s="568"/>
      <c r="AR154" s="566"/>
      <c r="AS154" s="567"/>
      <c r="AT154" s="568"/>
      <c r="AU154" s="566"/>
      <c r="AV154" s="567"/>
      <c r="AW154" s="568"/>
      <c r="AX154" s="566"/>
      <c r="AY154" s="567"/>
      <c r="AZ154" s="568"/>
      <c r="BA154" s="566"/>
      <c r="BB154" s="567"/>
      <c r="BC154" s="568"/>
      <c r="BD154" s="566"/>
      <c r="BE154" s="567"/>
      <c r="BF154" s="567"/>
      <c r="BG154" s="767"/>
      <c r="BH154" s="768"/>
      <c r="BI154" s="567"/>
      <c r="BJ154" s="767"/>
      <c r="BK154" s="768"/>
      <c r="BL154" s="568"/>
      <c r="BM154" s="566"/>
      <c r="BN154" s="567"/>
      <c r="BO154" s="567"/>
      <c r="BP154" s="568"/>
      <c r="BQ154" s="566"/>
      <c r="BR154" s="567"/>
      <c r="BS154" s="568"/>
      <c r="BT154" s="567"/>
      <c r="BU154" s="567"/>
      <c r="BV154" s="567"/>
      <c r="BW154" s="568"/>
      <c r="BX154" s="566"/>
      <c r="BY154" s="567"/>
      <c r="BZ154" s="568"/>
      <c r="CA154" s="567"/>
      <c r="CB154" s="567"/>
      <c r="CC154" s="568"/>
      <c r="CD154" s="567"/>
      <c r="CE154" s="2807"/>
    </row>
    <row r="155" spans="1:83" ht="18.75" customHeight="1" x14ac:dyDescent="0.4">
      <c r="A155" s="249"/>
      <c r="B155" s="249"/>
      <c r="C155" s="584" t="s">
        <v>307</v>
      </c>
      <c r="D155" s="746"/>
      <c r="E155" s="2839"/>
      <c r="F155" s="771"/>
      <c r="G155" s="748"/>
      <c r="H155" s="612" t="s">
        <v>310</v>
      </c>
      <c r="I155" s="847"/>
      <c r="J155" s="635"/>
      <c r="K155" s="691"/>
      <c r="L155" s="849"/>
      <c r="M155" s="685"/>
      <c r="N155" s="745" t="s">
        <v>333</v>
      </c>
      <c r="O155" s="685"/>
      <c r="P155" s="795"/>
      <c r="Q155" s="769" t="s">
        <v>334</v>
      </c>
      <c r="R155" s="852"/>
      <c r="S155" s="664"/>
      <c r="T155" s="664" t="s">
        <v>334</v>
      </c>
      <c r="U155" s="687"/>
      <c r="V155" s="709"/>
      <c r="W155" s="709" t="s">
        <v>335</v>
      </c>
      <c r="X155" s="684"/>
      <c r="Y155" s="685"/>
      <c r="Z155" s="745" t="s">
        <v>333</v>
      </c>
      <c r="AA155" s="685"/>
      <c r="AB155" s="922"/>
      <c r="AC155" s="922"/>
      <c r="AD155" s="922"/>
      <c r="AE155" s="568"/>
      <c r="AF155" s="566"/>
      <c r="AG155" s="567"/>
      <c r="AH155" s="568"/>
      <c r="AI155" s="566"/>
      <c r="AJ155" s="567"/>
      <c r="AK155" s="568"/>
      <c r="AL155" s="566"/>
      <c r="AM155" s="567"/>
      <c r="AN155" s="568"/>
      <c r="AO155" s="566"/>
      <c r="AP155" s="567"/>
      <c r="AQ155" s="568"/>
      <c r="AR155" s="566"/>
      <c r="AS155" s="567"/>
      <c r="AT155" s="568"/>
      <c r="AU155" s="566"/>
      <c r="AV155" s="567"/>
      <c r="AW155" s="568"/>
      <c r="AX155" s="566"/>
      <c r="AY155" s="567"/>
      <c r="AZ155" s="568"/>
      <c r="BA155" s="566"/>
      <c r="BB155" s="567"/>
      <c r="BC155" s="568"/>
      <c r="BD155" s="566"/>
      <c r="BE155" s="567"/>
      <c r="BF155" s="567"/>
      <c r="BG155" s="767"/>
      <c r="BH155" s="768"/>
      <c r="BI155" s="567"/>
      <c r="BJ155" s="767"/>
      <c r="BK155" s="768"/>
      <c r="BL155" s="568"/>
      <c r="BM155" s="566"/>
      <c r="BN155" s="567"/>
      <c r="BO155" s="567"/>
      <c r="BP155" s="568"/>
      <c r="BQ155" s="566"/>
      <c r="BR155" s="567"/>
      <c r="BS155" s="568"/>
      <c r="BT155" s="567"/>
      <c r="BU155" s="567"/>
      <c r="BV155" s="567"/>
      <c r="BW155" s="568"/>
      <c r="BX155" s="566"/>
      <c r="BY155" s="567"/>
      <c r="BZ155" s="568"/>
      <c r="CA155" s="567"/>
      <c r="CB155" s="567"/>
      <c r="CC155" s="568"/>
      <c r="CD155" s="567"/>
      <c r="CE155" s="2807"/>
    </row>
    <row r="156" spans="1:83" ht="18.75" customHeight="1" x14ac:dyDescent="0.4">
      <c r="A156" s="249"/>
      <c r="B156" s="249"/>
      <c r="C156" s="584" t="s">
        <v>307</v>
      </c>
      <c r="D156" s="587"/>
      <c r="E156" s="2839"/>
      <c r="F156" s="688"/>
      <c r="G156" s="588"/>
      <c r="H156" s="594"/>
      <c r="I156" s="847"/>
      <c r="J156" s="635"/>
      <c r="K156" s="691"/>
      <c r="L156" s="849"/>
      <c r="M156" s="685"/>
      <c r="N156" s="745"/>
      <c r="O156" s="685"/>
      <c r="P156" s="795"/>
      <c r="Q156" s="769"/>
      <c r="R156" s="852"/>
      <c r="S156" s="664"/>
      <c r="T156" s="1990" t="s">
        <v>351</v>
      </c>
      <c r="U156" s="687"/>
      <c r="V156" s="709"/>
      <c r="W156" s="924"/>
      <c r="X156" s="684"/>
      <c r="Y156" s="685"/>
      <c r="Z156" s="745"/>
      <c r="AA156" s="685"/>
      <c r="AB156" s="922"/>
      <c r="AC156" s="922"/>
      <c r="AD156" s="922"/>
      <c r="AE156" s="568"/>
      <c r="AF156" s="566"/>
      <c r="AG156" s="567"/>
      <c r="AH156" s="568"/>
      <c r="AI156" s="566"/>
      <c r="AJ156" s="567"/>
      <c r="AK156" s="568"/>
      <c r="AL156" s="566"/>
      <c r="AM156" s="567"/>
      <c r="AN156" s="568"/>
      <c r="AO156" s="566"/>
      <c r="AP156" s="567"/>
      <c r="AQ156" s="568"/>
      <c r="AR156" s="566"/>
      <c r="AS156" s="567"/>
      <c r="AT156" s="568"/>
      <c r="AU156" s="566"/>
      <c r="AV156" s="567"/>
      <c r="AW156" s="568"/>
      <c r="AX156" s="566"/>
      <c r="AY156" s="567"/>
      <c r="AZ156" s="568"/>
      <c r="BA156" s="566"/>
      <c r="BB156" s="567"/>
      <c r="BC156" s="568"/>
      <c r="BD156" s="566"/>
      <c r="BE156" s="567"/>
      <c r="BF156" s="567"/>
      <c r="BG156" s="767"/>
      <c r="BH156" s="768"/>
      <c r="BI156" s="567"/>
      <c r="BJ156" s="767"/>
      <c r="BK156" s="768"/>
      <c r="BL156" s="568"/>
      <c r="BM156" s="566"/>
      <c r="BN156" s="567"/>
      <c r="BO156" s="567"/>
      <c r="BP156" s="568"/>
      <c r="BQ156" s="566"/>
      <c r="BR156" s="567"/>
      <c r="BS156" s="568"/>
      <c r="BT156" s="567"/>
      <c r="BU156" s="567"/>
      <c r="BV156" s="567"/>
      <c r="BW156" s="568"/>
      <c r="BX156" s="566"/>
      <c r="BY156" s="567"/>
      <c r="BZ156" s="568"/>
      <c r="CA156" s="567"/>
      <c r="CB156" s="567"/>
      <c r="CC156" s="568"/>
      <c r="CD156" s="567"/>
      <c r="CE156" s="2807"/>
    </row>
    <row r="157" spans="1:83" ht="18.75" customHeight="1" x14ac:dyDescent="0.4">
      <c r="A157" s="249"/>
      <c r="B157" s="249"/>
      <c r="C157" s="584"/>
      <c r="D157" s="587"/>
      <c r="E157" s="2839"/>
      <c r="F157" s="688"/>
      <c r="G157" s="588"/>
      <c r="H157" s="594"/>
      <c r="I157" s="847"/>
      <c r="J157" s="635"/>
      <c r="K157" s="691"/>
      <c r="L157" s="849"/>
      <c r="M157" s="685"/>
      <c r="N157" s="745"/>
      <c r="O157" s="685"/>
      <c r="P157" s="795"/>
      <c r="Q157" s="769"/>
      <c r="R157" s="852"/>
      <c r="S157" s="664"/>
      <c r="T157" s="664"/>
      <c r="U157" s="687"/>
      <c r="V157" s="709"/>
      <c r="W157" s="925"/>
      <c r="X157" s="684"/>
      <c r="Y157" s="685"/>
      <c r="Z157" s="745"/>
      <c r="AA157" s="685"/>
      <c r="AB157" s="922"/>
      <c r="AC157" s="922"/>
      <c r="AD157" s="922"/>
      <c r="AE157" s="568"/>
      <c r="AF157" s="566"/>
      <c r="AG157" s="567"/>
      <c r="AH157" s="568"/>
      <c r="AI157" s="566"/>
      <c r="AJ157" s="567"/>
      <c r="AK157" s="568"/>
      <c r="AL157" s="566"/>
      <c r="AM157" s="567"/>
      <c r="AN157" s="568"/>
      <c r="AO157" s="566"/>
      <c r="AP157" s="567"/>
      <c r="AQ157" s="568"/>
      <c r="AR157" s="566"/>
      <c r="AS157" s="567"/>
      <c r="AT157" s="568"/>
      <c r="AU157" s="566"/>
      <c r="AV157" s="567"/>
      <c r="AW157" s="568"/>
      <c r="AX157" s="566"/>
      <c r="AY157" s="567"/>
      <c r="AZ157" s="568"/>
      <c r="BA157" s="566"/>
      <c r="BB157" s="567"/>
      <c r="BC157" s="568"/>
      <c r="BD157" s="566"/>
      <c r="BE157" s="567"/>
      <c r="BF157" s="567"/>
      <c r="BG157" s="767"/>
      <c r="BH157" s="768"/>
      <c r="BI157" s="567"/>
      <c r="BJ157" s="767"/>
      <c r="BK157" s="768"/>
      <c r="BL157" s="568"/>
      <c r="BM157" s="566"/>
      <c r="BN157" s="567"/>
      <c r="BO157" s="567"/>
      <c r="BP157" s="568"/>
      <c r="BQ157" s="566"/>
      <c r="BR157" s="567"/>
      <c r="BS157" s="568"/>
      <c r="BT157" s="567"/>
      <c r="BU157" s="567"/>
      <c r="BV157" s="567"/>
      <c r="BW157" s="568"/>
      <c r="BX157" s="566"/>
      <c r="BY157" s="567"/>
      <c r="BZ157" s="568"/>
      <c r="CA157" s="567"/>
      <c r="CB157" s="567"/>
      <c r="CC157" s="568"/>
      <c r="CD157" s="567"/>
      <c r="CE157" s="2807"/>
    </row>
    <row r="158" spans="1:83" ht="18.75" customHeight="1" x14ac:dyDescent="0.4">
      <c r="A158" s="249"/>
      <c r="B158" s="249"/>
      <c r="C158" s="584"/>
      <c r="D158" s="587"/>
      <c r="E158" s="2839"/>
      <c r="F158" s="688"/>
      <c r="G158" s="588"/>
      <c r="H158" s="594"/>
      <c r="I158" s="847"/>
      <c r="J158" s="635"/>
      <c r="K158" s="691"/>
      <c r="L158" s="849"/>
      <c r="M158" s="685"/>
      <c r="N158" s="745"/>
      <c r="O158" s="685"/>
      <c r="P158" s="795"/>
      <c r="Q158" s="769"/>
      <c r="R158" s="852"/>
      <c r="S158" s="664"/>
      <c r="T158" s="664"/>
      <c r="U158" s="687"/>
      <c r="V158" s="709"/>
      <c r="W158" s="926"/>
      <c r="X158" s="684"/>
      <c r="Y158" s="685"/>
      <c r="Z158" s="745"/>
      <c r="AA158" s="685"/>
      <c r="AB158" s="687"/>
      <c r="AC158" s="687"/>
      <c r="AD158" s="687"/>
      <c r="AE158" s="568"/>
      <c r="AF158" s="566"/>
      <c r="AG158" s="567"/>
      <c r="AH158" s="568"/>
      <c r="AI158" s="566"/>
      <c r="AJ158" s="567"/>
      <c r="AK158" s="568"/>
      <c r="AL158" s="566"/>
      <c r="AM158" s="567"/>
      <c r="AN158" s="568"/>
      <c r="AO158" s="566"/>
      <c r="AP158" s="567"/>
      <c r="AQ158" s="568"/>
      <c r="AR158" s="566"/>
      <c r="AS158" s="567"/>
      <c r="AT158" s="568"/>
      <c r="AU158" s="566"/>
      <c r="AV158" s="567"/>
      <c r="AW158" s="568"/>
      <c r="AX158" s="566"/>
      <c r="AY158" s="567"/>
      <c r="AZ158" s="568"/>
      <c r="BA158" s="566"/>
      <c r="BB158" s="567"/>
      <c r="BC158" s="568"/>
      <c r="BD158" s="566"/>
      <c r="BE158" s="567"/>
      <c r="BF158" s="567"/>
      <c r="BG158" s="767"/>
      <c r="BH158" s="768"/>
      <c r="BI158" s="567"/>
      <c r="BJ158" s="767"/>
      <c r="BK158" s="768"/>
      <c r="BL158" s="568"/>
      <c r="BM158" s="566"/>
      <c r="BN158" s="567"/>
      <c r="BO158" s="567"/>
      <c r="BP158" s="568"/>
      <c r="BQ158" s="566"/>
      <c r="BR158" s="567"/>
      <c r="BS158" s="568"/>
      <c r="BT158" s="567"/>
      <c r="BU158" s="567"/>
      <c r="BV158" s="567"/>
      <c r="BW158" s="568"/>
      <c r="BX158" s="566"/>
      <c r="BY158" s="567"/>
      <c r="BZ158" s="568"/>
      <c r="CA158" s="567"/>
      <c r="CB158" s="567"/>
      <c r="CC158" s="568"/>
      <c r="CD158" s="567"/>
      <c r="CE158" s="2807"/>
    </row>
    <row r="159" spans="1:83" ht="18.75" customHeight="1" x14ac:dyDescent="0.4">
      <c r="A159" s="249"/>
      <c r="B159" s="249"/>
      <c r="C159" s="584" t="s">
        <v>307</v>
      </c>
      <c r="D159" s="587"/>
      <c r="E159" s="2839"/>
      <c r="F159" s="688"/>
      <c r="G159" s="588"/>
      <c r="H159" s="594"/>
      <c r="I159" s="847"/>
      <c r="J159" s="635"/>
      <c r="K159" s="691"/>
      <c r="L159" s="849"/>
      <c r="M159" s="905"/>
      <c r="N159" s="928"/>
      <c r="O159" s="915"/>
      <c r="P159" s="795"/>
      <c r="Q159" s="769"/>
      <c r="R159" s="852"/>
      <c r="S159" s="687"/>
      <c r="T159" s="664"/>
      <c r="U159" s="908"/>
      <c r="V159" s="904"/>
      <c r="W159" s="927"/>
      <c r="X159" s="783"/>
      <c r="Y159" s="905"/>
      <c r="Z159" s="928"/>
      <c r="AA159" s="915"/>
      <c r="AB159" s="908"/>
      <c r="AC159" s="908"/>
      <c r="AD159" s="908"/>
      <c r="AE159" s="568"/>
      <c r="AF159" s="566"/>
      <c r="AG159" s="567"/>
      <c r="AH159" s="568"/>
      <c r="AI159" s="566"/>
      <c r="AJ159" s="567"/>
      <c r="AK159" s="568"/>
      <c r="AL159" s="566"/>
      <c r="AM159" s="567"/>
      <c r="AN159" s="568"/>
      <c r="AO159" s="566"/>
      <c r="AP159" s="567"/>
      <c r="AQ159" s="568"/>
      <c r="AR159" s="566"/>
      <c r="AS159" s="567"/>
      <c r="AT159" s="568"/>
      <c r="AU159" s="566"/>
      <c r="AV159" s="567"/>
      <c r="AW159" s="568"/>
      <c r="AX159" s="566"/>
      <c r="AY159" s="567"/>
      <c r="AZ159" s="568"/>
      <c r="BA159" s="566"/>
      <c r="BB159" s="567"/>
      <c r="BC159" s="568"/>
      <c r="BD159" s="566"/>
      <c r="BE159" s="567"/>
      <c r="BF159" s="567"/>
      <c r="BG159" s="767"/>
      <c r="BH159" s="768"/>
      <c r="BI159" s="567"/>
      <c r="BJ159" s="767"/>
      <c r="BK159" s="768"/>
      <c r="BL159" s="568"/>
      <c r="BM159" s="566"/>
      <c r="BN159" s="567"/>
      <c r="BO159" s="567"/>
      <c r="BP159" s="568"/>
      <c r="BQ159" s="566"/>
      <c r="BR159" s="567"/>
      <c r="BS159" s="568"/>
      <c r="BT159" s="567"/>
      <c r="BU159" s="567"/>
      <c r="BV159" s="567"/>
      <c r="BW159" s="568"/>
      <c r="BX159" s="566"/>
      <c r="BY159" s="567"/>
      <c r="BZ159" s="568"/>
      <c r="CA159" s="567"/>
      <c r="CB159" s="567"/>
      <c r="CC159" s="568"/>
      <c r="CD159" s="897"/>
      <c r="CE159" s="2807"/>
    </row>
    <row r="160" spans="1:83" ht="14.85" customHeight="1" x14ac:dyDescent="0.4">
      <c r="A160" s="249"/>
      <c r="B160" s="249"/>
      <c r="C160" s="584">
        <v>0.44097222222222199</v>
      </c>
      <c r="D160" s="587"/>
      <c r="E160" s="2839"/>
      <c r="F160" s="688"/>
      <c r="G160" s="588"/>
      <c r="H160" s="594"/>
      <c r="I160" s="847"/>
      <c r="J160" s="635"/>
      <c r="K160" s="691"/>
      <c r="L160" s="849"/>
      <c r="M160" s="685"/>
      <c r="N160" s="745"/>
      <c r="O160" s="685"/>
      <c r="P160" s="795"/>
      <c r="Q160" s="769"/>
      <c r="R160" s="852"/>
      <c r="S160" s="687"/>
      <c r="T160" s="664"/>
      <c r="U160" s="931"/>
      <c r="V160" s="904"/>
      <c r="W160" s="871"/>
      <c r="X160" s="930"/>
      <c r="Y160" s="685"/>
      <c r="Z160" s="745"/>
      <c r="AA160" s="685"/>
      <c r="AB160" s="931"/>
      <c r="AC160" s="931"/>
      <c r="AD160" s="931"/>
      <c r="AE160" s="568"/>
      <c r="AF160" s="932"/>
      <c r="AG160" s="897"/>
      <c r="AH160" s="568"/>
      <c r="AI160" s="932"/>
      <c r="AJ160" s="897"/>
      <c r="AK160" s="568"/>
      <c r="AL160" s="932"/>
      <c r="AM160" s="897"/>
      <c r="AN160" s="568"/>
      <c r="AO160" s="932"/>
      <c r="AP160" s="897"/>
      <c r="AQ160" s="568"/>
      <c r="AR160" s="932"/>
      <c r="AS160" s="897"/>
      <c r="AT160" s="568"/>
      <c r="AU160" s="932"/>
      <c r="AV160" s="897"/>
      <c r="AW160" s="568"/>
      <c r="AX160" s="932"/>
      <c r="AY160" s="897"/>
      <c r="AZ160" s="568"/>
      <c r="BA160" s="932"/>
      <c r="BB160" s="897"/>
      <c r="BC160" s="568"/>
      <c r="BD160" s="932"/>
      <c r="BE160" s="897"/>
      <c r="BF160" s="933"/>
      <c r="BG160" s="785"/>
      <c r="BH160" s="786"/>
      <c r="BI160" s="933"/>
      <c r="BJ160" s="785"/>
      <c r="BK160" s="786"/>
      <c r="BL160" s="568"/>
      <c r="BM160" s="932"/>
      <c r="BN160" s="897"/>
      <c r="BO160" s="567"/>
      <c r="BP160" s="568"/>
      <c r="BQ160" s="932"/>
      <c r="BR160" s="897"/>
      <c r="BS160" s="568"/>
      <c r="BT160" s="897"/>
      <c r="BU160" s="897"/>
      <c r="BV160" s="567"/>
      <c r="BW160" s="568"/>
      <c r="BX160" s="932"/>
      <c r="BY160" s="897"/>
      <c r="BZ160" s="568"/>
      <c r="CA160" s="897"/>
      <c r="CB160" s="897"/>
      <c r="CC160" s="568"/>
      <c r="CD160" s="567"/>
      <c r="CE160" s="934"/>
    </row>
    <row r="161" spans="1:83" ht="14.85" customHeight="1" x14ac:dyDescent="0.4">
      <c r="A161" s="249"/>
      <c r="B161" s="249"/>
      <c r="C161" s="584">
        <v>0.44444444444444398</v>
      </c>
      <c r="D161" s="587"/>
      <c r="E161" s="2839"/>
      <c r="F161" s="688"/>
      <c r="G161" s="588"/>
      <c r="H161" s="594"/>
      <c r="I161" s="847"/>
      <c r="J161" s="743"/>
      <c r="K161" s="691"/>
      <c r="L161" s="705"/>
      <c r="M161" s="791"/>
      <c r="N161" s="745"/>
      <c r="O161" s="685"/>
      <c r="P161" s="744"/>
      <c r="Q161" s="769"/>
      <c r="R161" s="708"/>
      <c r="S161" s="687"/>
      <c r="T161" s="664"/>
      <c r="U161" s="687"/>
      <c r="V161" s="904"/>
      <c r="W161" s="709"/>
      <c r="X161" s="783"/>
      <c r="Y161" s="791"/>
      <c r="Z161" s="745"/>
      <c r="AA161" s="685"/>
      <c r="AB161" s="687"/>
      <c r="AC161" s="687"/>
      <c r="AD161" s="687"/>
      <c r="AE161" s="568"/>
      <c r="AF161" s="566"/>
      <c r="AG161" s="567"/>
      <c r="AH161" s="568"/>
      <c r="AI161" s="566"/>
      <c r="AJ161" s="567"/>
      <c r="AK161" s="568"/>
      <c r="AL161" s="566"/>
      <c r="AM161" s="567"/>
      <c r="AN161" s="568"/>
      <c r="AO161" s="566"/>
      <c r="AP161" s="567"/>
      <c r="AQ161" s="568"/>
      <c r="AR161" s="566"/>
      <c r="AS161" s="567"/>
      <c r="AT161" s="568"/>
      <c r="AU161" s="566"/>
      <c r="AV161" s="567"/>
      <c r="AW161" s="568"/>
      <c r="AX161" s="566"/>
      <c r="AY161" s="567"/>
      <c r="AZ161" s="568"/>
      <c r="BA161" s="566"/>
      <c r="BB161" s="567"/>
      <c r="BC161" s="568"/>
      <c r="BD161" s="566"/>
      <c r="BE161" s="567"/>
      <c r="BF161" s="567"/>
      <c r="BG161" s="569"/>
      <c r="BH161" s="567"/>
      <c r="BI161" s="567"/>
      <c r="BJ161" s="569"/>
      <c r="BK161" s="567"/>
      <c r="BL161" s="568"/>
      <c r="BM161" s="566"/>
      <c r="BN161" s="567"/>
      <c r="BO161" s="567"/>
      <c r="BP161" s="568"/>
      <c r="BQ161" s="566"/>
      <c r="BR161" s="567"/>
      <c r="BS161" s="568"/>
      <c r="BT161" s="567"/>
      <c r="BU161" s="567"/>
      <c r="BV161" s="567"/>
      <c r="BW161" s="568"/>
      <c r="BX161" s="566"/>
      <c r="BY161" s="567"/>
      <c r="BZ161" s="568"/>
      <c r="CA161" s="567"/>
      <c r="CB161" s="567"/>
      <c r="CC161" s="568"/>
      <c r="CD161" s="567"/>
      <c r="CE161" s="2807"/>
    </row>
    <row r="162" spans="1:83" ht="18.75" customHeight="1" x14ac:dyDescent="0.4">
      <c r="A162" s="249"/>
      <c r="B162" s="249"/>
      <c r="C162" s="584">
        <v>0.44791666666666602</v>
      </c>
      <c r="D162" s="589"/>
      <c r="E162" s="2839"/>
      <c r="F162" s="688"/>
      <c r="G162" s="590"/>
      <c r="H162" s="612"/>
      <c r="I162" s="742"/>
      <c r="J162" s="935"/>
      <c r="K162" s="858"/>
      <c r="L162" s="936"/>
      <c r="M162" s="791"/>
      <c r="N162" s="793" t="s">
        <v>336</v>
      </c>
      <c r="O162" s="685"/>
      <c r="P162" s="937"/>
      <c r="Q162" s="860" t="s">
        <v>334</v>
      </c>
      <c r="R162" s="938"/>
      <c r="S162" s="664"/>
      <c r="T162" s="664" t="s">
        <v>331</v>
      </c>
      <c r="U162" s="687"/>
      <c r="V162" s="709"/>
      <c r="W162" s="709" t="s">
        <v>332</v>
      </c>
      <c r="X162" s="684"/>
      <c r="Y162" s="791"/>
      <c r="Z162" s="793" t="s">
        <v>336</v>
      </c>
      <c r="AA162" s="685"/>
      <c r="AB162" s="916"/>
      <c r="AC162" s="908"/>
      <c r="AD162" s="908"/>
      <c r="AE162" s="568"/>
      <c r="AF162" s="566"/>
      <c r="AG162" s="567"/>
      <c r="AH162" s="568"/>
      <c r="AI162" s="566"/>
      <c r="AJ162" s="567"/>
      <c r="AK162" s="568"/>
      <c r="AL162" s="566"/>
      <c r="AM162" s="567"/>
      <c r="AN162" s="568"/>
      <c r="AO162" s="566"/>
      <c r="AP162" s="567"/>
      <c r="AQ162" s="568"/>
      <c r="AR162" s="566"/>
      <c r="AS162" s="567"/>
      <c r="AT162" s="568"/>
      <c r="AU162" s="566"/>
      <c r="AV162" s="567"/>
      <c r="AW162" s="568"/>
      <c r="AX162" s="566"/>
      <c r="AY162" s="567"/>
      <c r="AZ162" s="568"/>
      <c r="BA162" s="566"/>
      <c r="BB162" s="567"/>
      <c r="BC162" s="568"/>
      <c r="BD162" s="566"/>
      <c r="BE162" s="567"/>
      <c r="BF162" s="567"/>
      <c r="BG162" s="569"/>
      <c r="BH162" s="567"/>
      <c r="BI162" s="567"/>
      <c r="BJ162" s="569"/>
      <c r="BK162" s="567"/>
      <c r="BL162" s="568"/>
      <c r="BM162" s="566"/>
      <c r="BN162" s="567"/>
      <c r="BO162" s="567"/>
      <c r="BP162" s="568"/>
      <c r="BQ162" s="566"/>
      <c r="BR162" s="567"/>
      <c r="BS162" s="568"/>
      <c r="BT162" s="567"/>
      <c r="BU162" s="567"/>
      <c r="BV162" s="567"/>
      <c r="BW162" s="568"/>
      <c r="BX162" s="566"/>
      <c r="BY162" s="567"/>
      <c r="BZ162" s="568"/>
      <c r="CA162" s="567"/>
      <c r="CB162" s="567"/>
      <c r="CC162" s="568"/>
      <c r="CD162" s="567"/>
      <c r="CE162" s="2807"/>
    </row>
    <row r="163" spans="1:83" ht="18.75" customHeight="1" x14ac:dyDescent="0.4">
      <c r="A163" s="249"/>
      <c r="B163" s="249"/>
      <c r="C163" s="584" t="s">
        <v>307</v>
      </c>
      <c r="D163" s="939"/>
      <c r="E163" s="2839"/>
      <c r="F163" s="688"/>
      <c r="G163" s="940"/>
      <c r="H163" s="594"/>
      <c r="I163" s="737"/>
      <c r="J163" s="635"/>
      <c r="K163" s="691"/>
      <c r="L163" s="849"/>
      <c r="M163" s="791"/>
      <c r="N163" s="745" t="s">
        <v>333</v>
      </c>
      <c r="O163" s="685"/>
      <c r="P163" s="795"/>
      <c r="Q163" s="769"/>
      <c r="R163" s="852"/>
      <c r="S163" s="687"/>
      <c r="T163" s="664" t="s">
        <v>334</v>
      </c>
      <c r="U163" s="908"/>
      <c r="V163" s="709"/>
      <c r="W163" s="709" t="s">
        <v>335</v>
      </c>
      <c r="X163" s="930"/>
      <c r="Y163" s="791"/>
      <c r="Z163" s="745" t="s">
        <v>333</v>
      </c>
      <c r="AA163" s="685"/>
      <c r="AB163" s="908"/>
      <c r="AC163" s="908"/>
      <c r="AD163" s="908"/>
      <c r="AE163" s="568"/>
      <c r="AF163" s="566"/>
      <c r="AG163" s="567"/>
      <c r="AH163" s="568"/>
      <c r="AI163" s="566"/>
      <c r="AJ163" s="567"/>
      <c r="AK163" s="568"/>
      <c r="AL163" s="566"/>
      <c r="AM163" s="567"/>
      <c r="AN163" s="568"/>
      <c r="AO163" s="566"/>
      <c r="AP163" s="567"/>
      <c r="AQ163" s="568"/>
      <c r="AR163" s="566"/>
      <c r="AS163" s="567"/>
      <c r="AT163" s="568"/>
      <c r="AU163" s="566"/>
      <c r="AV163" s="567"/>
      <c r="AW163" s="568"/>
      <c r="AX163" s="566"/>
      <c r="AY163" s="567"/>
      <c r="AZ163" s="568"/>
      <c r="BA163" s="566"/>
      <c r="BB163" s="567"/>
      <c r="BC163" s="568"/>
      <c r="BD163" s="566"/>
      <c r="BE163" s="567"/>
      <c r="BF163" s="567"/>
      <c r="BG163" s="569"/>
      <c r="BH163" s="567"/>
      <c r="BI163" s="567"/>
      <c r="BJ163" s="569"/>
      <c r="BK163" s="567"/>
      <c r="BL163" s="568"/>
      <c r="BM163" s="566"/>
      <c r="BN163" s="567"/>
      <c r="BO163" s="567"/>
      <c r="BP163" s="568"/>
      <c r="BQ163" s="566"/>
      <c r="BR163" s="567"/>
      <c r="BS163" s="568"/>
      <c r="BT163" s="567"/>
      <c r="BU163" s="567"/>
      <c r="BV163" s="567"/>
      <c r="BW163" s="568"/>
      <c r="BX163" s="566"/>
      <c r="BY163" s="567"/>
      <c r="BZ163" s="568"/>
      <c r="CA163" s="567"/>
      <c r="CB163" s="567"/>
      <c r="CC163" s="568"/>
      <c r="CD163" s="567"/>
      <c r="CE163" s="2807"/>
    </row>
    <row r="164" spans="1:83" ht="18.75" customHeight="1" x14ac:dyDescent="0.4">
      <c r="A164" s="249"/>
      <c r="B164" s="249"/>
      <c r="C164" s="584" t="s">
        <v>307</v>
      </c>
      <c r="D164" s="746"/>
      <c r="E164" s="2839"/>
      <c r="F164" s="747"/>
      <c r="G164" s="748"/>
      <c r="H164" s="749"/>
      <c r="I164" s="847"/>
      <c r="J164" s="635"/>
      <c r="K164" s="691"/>
      <c r="L164" s="849"/>
      <c r="M164" s="791"/>
      <c r="N164" s="745"/>
      <c r="O164" s="685"/>
      <c r="P164" s="795"/>
      <c r="Q164" s="707"/>
      <c r="R164" s="852"/>
      <c r="S164" s="687"/>
      <c r="T164" s="1990" t="s">
        <v>351</v>
      </c>
      <c r="U164" s="908"/>
      <c r="V164" s="683"/>
      <c r="W164" s="709"/>
      <c r="X164" s="930"/>
      <c r="Y164" s="791"/>
      <c r="Z164" s="745"/>
      <c r="AA164" s="685"/>
      <c r="AB164" s="908"/>
      <c r="AC164" s="908"/>
      <c r="AD164" s="908"/>
      <c r="AE164" s="568"/>
      <c r="AF164" s="566"/>
      <c r="AG164" s="567"/>
      <c r="AH164" s="568"/>
      <c r="AI164" s="566"/>
      <c r="AJ164" s="567"/>
      <c r="AK164" s="568"/>
      <c r="AL164" s="566"/>
      <c r="AM164" s="567"/>
      <c r="AN164" s="568"/>
      <c r="AO164" s="566"/>
      <c r="AP164" s="567"/>
      <c r="AQ164" s="568"/>
      <c r="AR164" s="566"/>
      <c r="AS164" s="567"/>
      <c r="AT164" s="568"/>
      <c r="AU164" s="566"/>
      <c r="AV164" s="567"/>
      <c r="AW164" s="568"/>
      <c r="AX164" s="566"/>
      <c r="AY164" s="567"/>
      <c r="AZ164" s="568"/>
      <c r="BA164" s="566"/>
      <c r="BB164" s="567"/>
      <c r="BC164" s="568"/>
      <c r="BD164" s="566"/>
      <c r="BE164" s="567"/>
      <c r="BF164" s="567"/>
      <c r="BG164" s="569"/>
      <c r="BH164" s="567"/>
      <c r="BI164" s="567"/>
      <c r="BJ164" s="569"/>
      <c r="BK164" s="567"/>
      <c r="BL164" s="568"/>
      <c r="BM164" s="566"/>
      <c r="BN164" s="567"/>
      <c r="BO164" s="567"/>
      <c r="BP164" s="568"/>
      <c r="BQ164" s="566"/>
      <c r="BR164" s="567"/>
      <c r="BS164" s="568"/>
      <c r="BT164" s="567"/>
      <c r="BU164" s="567"/>
      <c r="BV164" s="567"/>
      <c r="BW164" s="568"/>
      <c r="BX164" s="566"/>
      <c r="BY164" s="567"/>
      <c r="BZ164" s="568"/>
      <c r="CA164" s="567"/>
      <c r="CB164" s="567"/>
      <c r="CC164" s="568"/>
      <c r="CD164" s="567"/>
      <c r="CE164" s="2807"/>
    </row>
    <row r="165" spans="1:83" ht="18.75" customHeight="1" x14ac:dyDescent="0.4">
      <c r="A165" s="249"/>
      <c r="B165" s="249"/>
      <c r="C165" s="584"/>
      <c r="D165" s="587"/>
      <c r="E165" s="2839"/>
      <c r="F165" s="688"/>
      <c r="G165" s="588"/>
      <c r="H165" s="594"/>
      <c r="I165" s="847"/>
      <c r="J165" s="582"/>
      <c r="K165" s="848"/>
      <c r="L165" s="849"/>
      <c r="M165" s="685"/>
      <c r="N165" s="745"/>
      <c r="O165" s="686"/>
      <c r="P165" s="850"/>
      <c r="Q165" s="851"/>
      <c r="R165" s="852"/>
      <c r="S165" s="687"/>
      <c r="T165" s="664"/>
      <c r="U165" s="908"/>
      <c r="V165" s="683"/>
      <c r="W165" s="683"/>
      <c r="X165" s="930"/>
      <c r="Y165" s="685"/>
      <c r="Z165" s="745"/>
      <c r="AA165" s="686"/>
      <c r="AB165" s="908"/>
      <c r="AC165" s="908"/>
      <c r="AD165" s="908"/>
      <c r="AE165" s="568"/>
      <c r="AF165" s="566"/>
      <c r="AG165" s="567"/>
      <c r="AH165" s="568"/>
      <c r="AI165" s="566"/>
      <c r="AJ165" s="567"/>
      <c r="AK165" s="568"/>
      <c r="AL165" s="566"/>
      <c r="AM165" s="567"/>
      <c r="AN165" s="568"/>
      <c r="AO165" s="566"/>
      <c r="AP165" s="567"/>
      <c r="AQ165" s="568"/>
      <c r="AR165" s="566"/>
      <c r="AS165" s="567"/>
      <c r="AT165" s="568"/>
      <c r="AU165" s="566"/>
      <c r="AV165" s="567"/>
      <c r="AW165" s="568"/>
      <c r="AX165" s="566"/>
      <c r="AY165" s="567"/>
      <c r="AZ165" s="568"/>
      <c r="BA165" s="566"/>
      <c r="BB165" s="567"/>
      <c r="BC165" s="568"/>
      <c r="BD165" s="566"/>
      <c r="BE165" s="567"/>
      <c r="BF165" s="567"/>
      <c r="BG165" s="569"/>
      <c r="BH165" s="567"/>
      <c r="BI165" s="567"/>
      <c r="BJ165" s="569"/>
      <c r="BK165" s="567"/>
      <c r="BL165" s="568"/>
      <c r="BM165" s="566"/>
      <c r="BN165" s="567"/>
      <c r="BO165" s="567"/>
      <c r="BP165" s="568"/>
      <c r="BQ165" s="566"/>
      <c r="BR165" s="567"/>
      <c r="BS165" s="568"/>
      <c r="BT165" s="567"/>
      <c r="BU165" s="567"/>
      <c r="BV165" s="567"/>
      <c r="BW165" s="568"/>
      <c r="BX165" s="566"/>
      <c r="BY165" s="567"/>
      <c r="BZ165" s="568"/>
      <c r="CA165" s="567"/>
      <c r="CB165" s="567"/>
      <c r="CC165" s="568"/>
      <c r="CD165" s="567"/>
      <c r="CE165" s="2807"/>
    </row>
    <row r="166" spans="1:83" ht="14.85" customHeight="1" x14ac:dyDescent="0.4">
      <c r="A166" s="249"/>
      <c r="B166" s="249"/>
      <c r="C166" s="584">
        <v>0.45138888888888901</v>
      </c>
      <c r="D166" s="844"/>
      <c r="E166" s="2839"/>
      <c r="F166" s="845"/>
      <c r="G166" s="846"/>
      <c r="H166" s="594"/>
      <c r="I166" s="847"/>
      <c r="J166" s="582"/>
      <c r="K166" s="848"/>
      <c r="L166" s="849"/>
      <c r="M166" s="685"/>
      <c r="N166" s="745"/>
      <c r="O166" s="686"/>
      <c r="P166" s="850"/>
      <c r="Q166" s="851"/>
      <c r="R166" s="852"/>
      <c r="S166" s="687"/>
      <c r="T166" s="664"/>
      <c r="U166" s="908"/>
      <c r="V166" s="683"/>
      <c r="W166" s="683"/>
      <c r="X166" s="930"/>
      <c r="Y166" s="685"/>
      <c r="Z166" s="745"/>
      <c r="AA166" s="686"/>
      <c r="AB166" s="908"/>
      <c r="AC166" s="908"/>
      <c r="AD166" s="908"/>
      <c r="AE166" s="565"/>
      <c r="AF166" s="566"/>
      <c r="AG166" s="567"/>
      <c r="AH166" s="568"/>
      <c r="AI166" s="566"/>
      <c r="AJ166" s="567"/>
      <c r="AK166" s="568"/>
      <c r="AL166" s="566"/>
      <c r="AM166" s="567"/>
      <c r="AN166" s="568"/>
      <c r="AO166" s="566"/>
      <c r="AP166" s="567"/>
      <c r="AQ166" s="568"/>
      <c r="AR166" s="566"/>
      <c r="AS166" s="567"/>
      <c r="AT166" s="568"/>
      <c r="AU166" s="566"/>
      <c r="AV166" s="567"/>
      <c r="AW166" s="568"/>
      <c r="AX166" s="566"/>
      <c r="AY166" s="567"/>
      <c r="AZ166" s="568"/>
      <c r="BA166" s="566"/>
      <c r="BB166" s="567"/>
      <c r="BC166" s="568"/>
      <c r="BD166" s="566"/>
      <c r="BE166" s="567"/>
      <c r="BF166" s="567"/>
      <c r="BG166" s="767"/>
      <c r="BH166" s="768"/>
      <c r="BI166" s="567"/>
      <c r="BJ166" s="767"/>
      <c r="BK166" s="768"/>
      <c r="BL166" s="568"/>
      <c r="BM166" s="566"/>
      <c r="BN166" s="567"/>
      <c r="BO166" s="567"/>
      <c r="BP166" s="568"/>
      <c r="BQ166" s="566"/>
      <c r="BR166" s="567"/>
      <c r="BS166" s="568"/>
      <c r="BT166" s="567"/>
      <c r="BU166" s="567"/>
      <c r="BV166" s="567"/>
      <c r="BW166" s="568"/>
      <c r="BX166" s="566"/>
      <c r="BY166" s="567"/>
      <c r="BZ166" s="568"/>
      <c r="CA166" s="567"/>
      <c r="CB166" s="567"/>
      <c r="CC166" s="568"/>
      <c r="CD166" s="941"/>
      <c r="CE166" s="2807"/>
    </row>
    <row r="167" spans="1:83" ht="14.85" customHeight="1" x14ac:dyDescent="0.4">
      <c r="A167" s="249"/>
      <c r="B167" s="249"/>
      <c r="C167" s="621">
        <v>0.45486111111111099</v>
      </c>
      <c r="D167" s="803"/>
      <c r="E167" s="2839"/>
      <c r="F167" s="804"/>
      <c r="G167" s="805"/>
      <c r="H167" s="806"/>
      <c r="I167" s="942"/>
      <c r="J167" s="582"/>
      <c r="K167" s="848"/>
      <c r="L167" s="849"/>
      <c r="M167" s="685"/>
      <c r="N167" s="745"/>
      <c r="O167" s="686"/>
      <c r="P167" s="850"/>
      <c r="Q167" s="851"/>
      <c r="R167" s="852"/>
      <c r="S167" s="687"/>
      <c r="T167" s="664"/>
      <c r="U167" s="908"/>
      <c r="V167" s="683"/>
      <c r="W167" s="943"/>
      <c r="X167" s="930"/>
      <c r="Y167" s="685"/>
      <c r="Z167" s="745"/>
      <c r="AA167" s="686"/>
      <c r="AB167" s="908"/>
      <c r="AC167" s="908"/>
      <c r="AD167" s="908"/>
      <c r="AE167" s="944"/>
      <c r="AF167" s="945"/>
      <c r="AG167" s="941"/>
      <c r="AH167" s="944"/>
      <c r="AI167" s="945"/>
      <c r="AJ167" s="941"/>
      <c r="AK167" s="944"/>
      <c r="AL167" s="945"/>
      <c r="AM167" s="941"/>
      <c r="AN167" s="944"/>
      <c r="AO167" s="945"/>
      <c r="AP167" s="941"/>
      <c r="AQ167" s="944"/>
      <c r="AR167" s="945"/>
      <c r="AS167" s="941"/>
      <c r="AT167" s="944"/>
      <c r="AU167" s="945"/>
      <c r="AV167" s="941"/>
      <c r="AW167" s="944"/>
      <c r="AX167" s="945"/>
      <c r="AY167" s="941"/>
      <c r="AZ167" s="944"/>
      <c r="BA167" s="945"/>
      <c r="BB167" s="941"/>
      <c r="BC167" s="944"/>
      <c r="BD167" s="945"/>
      <c r="BE167" s="941"/>
      <c r="BF167" s="815"/>
      <c r="BG167" s="946"/>
      <c r="BH167" s="947"/>
      <c r="BI167" s="815"/>
      <c r="BJ167" s="946"/>
      <c r="BK167" s="947"/>
      <c r="BL167" s="944"/>
      <c r="BM167" s="945"/>
      <c r="BN167" s="941"/>
      <c r="BO167" s="948"/>
      <c r="BP167" s="944"/>
      <c r="BQ167" s="945"/>
      <c r="BR167" s="941"/>
      <c r="BS167" s="944"/>
      <c r="BT167" s="941"/>
      <c r="BU167" s="941"/>
      <c r="BV167" s="948"/>
      <c r="BW167" s="944"/>
      <c r="BX167" s="945"/>
      <c r="BY167" s="941"/>
      <c r="BZ167" s="944"/>
      <c r="CA167" s="941"/>
      <c r="CB167" s="941"/>
      <c r="CC167" s="944"/>
      <c r="CD167" s="768"/>
      <c r="CE167" s="949"/>
    </row>
    <row r="168" spans="1:83" ht="18.75" customHeight="1" x14ac:dyDescent="0.4">
      <c r="A168" s="249"/>
      <c r="B168" s="249"/>
      <c r="C168" s="950">
        <v>0.45833333333333298</v>
      </c>
      <c r="D168" s="951"/>
      <c r="E168" s="2839"/>
      <c r="F168" s="952"/>
      <c r="G168" s="953"/>
      <c r="H168" s="599" t="s">
        <v>278</v>
      </c>
      <c r="I168" s="954"/>
      <c r="J168" s="955"/>
      <c r="K168" s="956"/>
      <c r="L168" s="957"/>
      <c r="M168" s="961"/>
      <c r="N168" s="828" t="s">
        <v>330</v>
      </c>
      <c r="O168" s="961"/>
      <c r="P168" s="958"/>
      <c r="Q168" s="959" t="s">
        <v>362</v>
      </c>
      <c r="R168" s="960"/>
      <c r="S168" s="1728"/>
      <c r="T168" s="1728" t="s">
        <v>348</v>
      </c>
      <c r="U168" s="829"/>
      <c r="V168" s="825"/>
      <c r="W168" s="709" t="s">
        <v>332</v>
      </c>
      <c r="X168" s="826"/>
      <c r="Y168" s="961"/>
      <c r="Z168" s="828" t="s">
        <v>330</v>
      </c>
      <c r="AA168" s="961"/>
      <c r="AB168" s="962"/>
      <c r="AC168" s="962"/>
      <c r="AD168" s="963"/>
      <c r="AE168" s="895"/>
      <c r="AF168" s="896"/>
      <c r="AG168" s="768"/>
      <c r="AH168" s="895"/>
      <c r="AI168" s="896"/>
      <c r="AJ168" s="768"/>
      <c r="AK168" s="895"/>
      <c r="AL168" s="896"/>
      <c r="AM168" s="768"/>
      <c r="AN168" s="895"/>
      <c r="AO168" s="896"/>
      <c r="AP168" s="768"/>
      <c r="AQ168" s="895"/>
      <c r="AR168" s="896"/>
      <c r="AS168" s="768"/>
      <c r="AT168" s="895"/>
      <c r="AU168" s="896"/>
      <c r="AV168" s="768"/>
      <c r="AW168" s="895"/>
      <c r="AX168" s="896"/>
      <c r="AY168" s="768"/>
      <c r="AZ168" s="895"/>
      <c r="BA168" s="896"/>
      <c r="BB168" s="768"/>
      <c r="BC168" s="895"/>
      <c r="BD168" s="896"/>
      <c r="BE168" s="768"/>
      <c r="BF168" s="568"/>
      <c r="BG168" s="785"/>
      <c r="BH168" s="786"/>
      <c r="BI168" s="568"/>
      <c r="BJ168" s="785"/>
      <c r="BK168" s="786"/>
      <c r="BL168" s="895"/>
      <c r="BM168" s="896"/>
      <c r="BN168" s="768"/>
      <c r="BO168" s="897"/>
      <c r="BP168" s="895"/>
      <c r="BQ168" s="896"/>
      <c r="BR168" s="768"/>
      <c r="BS168" s="895"/>
      <c r="BT168" s="768"/>
      <c r="BU168" s="768"/>
      <c r="BV168" s="897"/>
      <c r="BW168" s="895"/>
      <c r="BX168" s="896"/>
      <c r="BY168" s="768"/>
      <c r="BZ168" s="895"/>
      <c r="CA168" s="768"/>
      <c r="CB168" s="768"/>
      <c r="CC168" s="895"/>
      <c r="CD168" s="768"/>
      <c r="CE168" s="2552"/>
    </row>
    <row r="169" spans="1:83" ht="18.75" customHeight="1" x14ac:dyDescent="0.4">
      <c r="A169" s="249"/>
      <c r="B169" s="249"/>
      <c r="C169" s="584" t="s">
        <v>307</v>
      </c>
      <c r="D169" s="587"/>
      <c r="E169" s="2839"/>
      <c r="F169" s="845"/>
      <c r="G169" s="588"/>
      <c r="H169" s="612" t="s">
        <v>310</v>
      </c>
      <c r="I169" s="742"/>
      <c r="J169" s="635"/>
      <c r="K169" s="848"/>
      <c r="L169" s="705"/>
      <c r="M169" s="686"/>
      <c r="N169" s="745" t="s">
        <v>333</v>
      </c>
      <c r="O169" s="791"/>
      <c r="P169" s="795"/>
      <c r="Q169" s="851" t="s">
        <v>334</v>
      </c>
      <c r="R169" s="708"/>
      <c r="S169" s="664"/>
      <c r="T169" s="664" t="s">
        <v>334</v>
      </c>
      <c r="U169" s="687"/>
      <c r="V169" s="683"/>
      <c r="W169" s="709" t="s">
        <v>335</v>
      </c>
      <c r="X169" s="684"/>
      <c r="Y169" s="686"/>
      <c r="Z169" s="745" t="s">
        <v>333</v>
      </c>
      <c r="AA169" s="791"/>
      <c r="AB169" s="964"/>
      <c r="AC169" s="908"/>
      <c r="AD169" s="965"/>
      <c r="AE169" s="895"/>
      <c r="AF169" s="896"/>
      <c r="AG169" s="768"/>
      <c r="AH169" s="895"/>
      <c r="AI169" s="896"/>
      <c r="AJ169" s="768"/>
      <c r="AK169" s="895"/>
      <c r="AL169" s="896"/>
      <c r="AM169" s="768"/>
      <c r="AN169" s="895"/>
      <c r="AO169" s="896"/>
      <c r="AP169" s="768"/>
      <c r="AQ169" s="895"/>
      <c r="AR169" s="896"/>
      <c r="AS169" s="768"/>
      <c r="AT169" s="895"/>
      <c r="AU169" s="896"/>
      <c r="AV169" s="768"/>
      <c r="AW169" s="895"/>
      <c r="AX169" s="896"/>
      <c r="AY169" s="768"/>
      <c r="AZ169" s="895"/>
      <c r="BA169" s="896"/>
      <c r="BB169" s="768"/>
      <c r="BC169" s="895"/>
      <c r="BD169" s="896"/>
      <c r="BE169" s="768"/>
      <c r="BF169" s="568"/>
      <c r="BG169" s="785"/>
      <c r="BH169" s="786"/>
      <c r="BI169" s="568"/>
      <c r="BJ169" s="785"/>
      <c r="BK169" s="786"/>
      <c r="BL169" s="895"/>
      <c r="BM169" s="896"/>
      <c r="BN169" s="768"/>
      <c r="BO169" s="897"/>
      <c r="BP169" s="895"/>
      <c r="BQ169" s="896"/>
      <c r="BR169" s="768"/>
      <c r="BS169" s="895"/>
      <c r="BT169" s="768"/>
      <c r="BU169" s="768"/>
      <c r="BV169" s="897"/>
      <c r="BW169" s="895"/>
      <c r="BX169" s="896"/>
      <c r="BY169" s="768"/>
      <c r="BZ169" s="895"/>
      <c r="CA169" s="768"/>
      <c r="CB169" s="768"/>
      <c r="CC169" s="895"/>
      <c r="CD169" s="768"/>
      <c r="CE169" s="2552"/>
    </row>
    <row r="170" spans="1:83" ht="18.75" customHeight="1" x14ac:dyDescent="0.4">
      <c r="A170" s="249"/>
      <c r="B170" s="249"/>
      <c r="C170" s="584" t="s">
        <v>307</v>
      </c>
      <c r="D170" s="587"/>
      <c r="E170" s="2839"/>
      <c r="F170" s="845"/>
      <c r="G170" s="588"/>
      <c r="H170" s="594"/>
      <c r="I170" s="742"/>
      <c r="J170" s="635"/>
      <c r="K170" s="691"/>
      <c r="L170" s="705"/>
      <c r="M170" s="685"/>
      <c r="N170" s="745"/>
      <c r="O170" s="685"/>
      <c r="P170" s="795"/>
      <c r="Q170" s="707"/>
      <c r="R170" s="708"/>
      <c r="S170" s="687"/>
      <c r="T170" s="1990"/>
      <c r="U170" s="687"/>
      <c r="V170" s="709"/>
      <c r="W170" s="788" t="s">
        <v>351</v>
      </c>
      <c r="X170" s="684"/>
      <c r="Y170" s="685"/>
      <c r="Z170" s="745"/>
      <c r="AA170" s="685"/>
      <c r="AB170" s="964"/>
      <c r="AC170" s="967"/>
      <c r="AD170" s="965"/>
      <c r="AE170" s="895"/>
      <c r="AF170" s="896"/>
      <c r="AG170" s="768"/>
      <c r="AH170" s="895"/>
      <c r="AI170" s="896"/>
      <c r="AJ170" s="768"/>
      <c r="AK170" s="895"/>
      <c r="AL170" s="896"/>
      <c r="AM170" s="768"/>
      <c r="AN170" s="895"/>
      <c r="AO170" s="896"/>
      <c r="AP170" s="768"/>
      <c r="AQ170" s="895"/>
      <c r="AR170" s="896"/>
      <c r="AS170" s="768"/>
      <c r="AT170" s="895"/>
      <c r="AU170" s="896"/>
      <c r="AV170" s="768"/>
      <c r="AW170" s="895"/>
      <c r="AX170" s="896"/>
      <c r="AY170" s="768"/>
      <c r="AZ170" s="895"/>
      <c r="BA170" s="896"/>
      <c r="BB170" s="768"/>
      <c r="BC170" s="895"/>
      <c r="BD170" s="896"/>
      <c r="BE170" s="768"/>
      <c r="BF170" s="568"/>
      <c r="BG170" s="785"/>
      <c r="BH170" s="786"/>
      <c r="BI170" s="568"/>
      <c r="BJ170" s="785"/>
      <c r="BK170" s="786"/>
      <c r="BL170" s="895"/>
      <c r="BM170" s="896"/>
      <c r="BN170" s="768"/>
      <c r="BO170" s="897"/>
      <c r="BP170" s="895"/>
      <c r="BQ170" s="896"/>
      <c r="BR170" s="768"/>
      <c r="BS170" s="895"/>
      <c r="BT170" s="768"/>
      <c r="BU170" s="768"/>
      <c r="BV170" s="897"/>
      <c r="BW170" s="895"/>
      <c r="BX170" s="896"/>
      <c r="BY170" s="768"/>
      <c r="BZ170" s="895"/>
      <c r="CA170" s="768"/>
      <c r="CB170" s="768"/>
      <c r="CC170" s="895"/>
      <c r="CD170" s="768"/>
      <c r="CE170" s="2552"/>
    </row>
    <row r="171" spans="1:83" ht="18.75" customHeight="1" x14ac:dyDescent="0.4">
      <c r="A171" s="249"/>
      <c r="B171" s="249"/>
      <c r="C171" s="584" t="s">
        <v>307</v>
      </c>
      <c r="D171" s="587"/>
      <c r="E171" s="2839"/>
      <c r="F171" s="845"/>
      <c r="G171" s="588"/>
      <c r="H171" s="594"/>
      <c r="I171" s="742"/>
      <c r="J171" s="635"/>
      <c r="K171" s="848"/>
      <c r="L171" s="705"/>
      <c r="M171" s="685"/>
      <c r="N171" s="745"/>
      <c r="O171" s="685"/>
      <c r="P171" s="795"/>
      <c r="Q171" s="851"/>
      <c r="R171" s="708"/>
      <c r="S171" s="687"/>
      <c r="T171" s="2757"/>
      <c r="U171" s="687"/>
      <c r="V171" s="709"/>
      <c r="W171" s="788"/>
      <c r="X171" s="684"/>
      <c r="Y171" s="685"/>
      <c r="Z171" s="745"/>
      <c r="AA171" s="685"/>
      <c r="AB171" s="964"/>
      <c r="AC171" s="908"/>
      <c r="AD171" s="965"/>
      <c r="AE171" s="895"/>
      <c r="AF171" s="896"/>
      <c r="AG171" s="768"/>
      <c r="AH171" s="895"/>
      <c r="AI171" s="896"/>
      <c r="AJ171" s="768"/>
      <c r="AK171" s="895"/>
      <c r="AL171" s="896"/>
      <c r="AM171" s="768"/>
      <c r="AN171" s="895"/>
      <c r="AO171" s="896"/>
      <c r="AP171" s="768"/>
      <c r="AQ171" s="895"/>
      <c r="AR171" s="896"/>
      <c r="AS171" s="768"/>
      <c r="AT171" s="895"/>
      <c r="AU171" s="896"/>
      <c r="AV171" s="768"/>
      <c r="AW171" s="895"/>
      <c r="AX171" s="896"/>
      <c r="AY171" s="768"/>
      <c r="AZ171" s="895"/>
      <c r="BA171" s="896"/>
      <c r="BB171" s="768"/>
      <c r="BC171" s="895"/>
      <c r="BD171" s="896"/>
      <c r="BE171" s="768"/>
      <c r="BF171" s="568"/>
      <c r="BG171" s="785"/>
      <c r="BH171" s="786"/>
      <c r="BI171" s="568"/>
      <c r="BJ171" s="785"/>
      <c r="BK171" s="786"/>
      <c r="BL171" s="895"/>
      <c r="BM171" s="896"/>
      <c r="BN171" s="768"/>
      <c r="BO171" s="897"/>
      <c r="BP171" s="895"/>
      <c r="BQ171" s="896"/>
      <c r="BR171" s="768"/>
      <c r="BS171" s="895"/>
      <c r="BT171" s="768"/>
      <c r="BU171" s="768"/>
      <c r="BV171" s="897"/>
      <c r="BW171" s="895"/>
      <c r="BX171" s="896"/>
      <c r="BY171" s="768"/>
      <c r="BZ171" s="895"/>
      <c r="CA171" s="768"/>
      <c r="CB171" s="768"/>
      <c r="CC171" s="895"/>
      <c r="CD171" s="768"/>
      <c r="CE171" s="2552"/>
    </row>
    <row r="172" spans="1:83" ht="18.75" customHeight="1" x14ac:dyDescent="0.4">
      <c r="A172" s="249"/>
      <c r="B172" s="249"/>
      <c r="C172" s="584"/>
      <c r="D172" s="587"/>
      <c r="E172" s="2839"/>
      <c r="F172" s="845"/>
      <c r="G172" s="588"/>
      <c r="H172" s="594"/>
      <c r="I172" s="742"/>
      <c r="J172" s="582"/>
      <c r="K172" s="848"/>
      <c r="L172" s="849"/>
      <c r="M172" s="905"/>
      <c r="N172" s="928"/>
      <c r="O172" s="915"/>
      <c r="P172" s="850"/>
      <c r="Q172" s="851"/>
      <c r="R172" s="852"/>
      <c r="S172" s="687"/>
      <c r="T172" s="664"/>
      <c r="U172" s="931"/>
      <c r="V172" s="709"/>
      <c r="W172" s="709"/>
      <c r="X172" s="684"/>
      <c r="Y172" s="905"/>
      <c r="Z172" s="928"/>
      <c r="AA172" s="915"/>
      <c r="AB172" s="964"/>
      <c r="AC172" s="908"/>
      <c r="AD172" s="965"/>
      <c r="AE172" s="895"/>
      <c r="AF172" s="896"/>
      <c r="AG172" s="768"/>
      <c r="AH172" s="895"/>
      <c r="AI172" s="896"/>
      <c r="AJ172" s="768"/>
      <c r="AK172" s="895"/>
      <c r="AL172" s="896"/>
      <c r="AM172" s="768"/>
      <c r="AN172" s="895"/>
      <c r="AO172" s="896"/>
      <c r="AP172" s="768"/>
      <c r="AQ172" s="895"/>
      <c r="AR172" s="896"/>
      <c r="AS172" s="768"/>
      <c r="AT172" s="895"/>
      <c r="AU172" s="896"/>
      <c r="AV172" s="768"/>
      <c r="AW172" s="895"/>
      <c r="AX172" s="896"/>
      <c r="AY172" s="768"/>
      <c r="AZ172" s="895"/>
      <c r="BA172" s="896"/>
      <c r="BB172" s="768"/>
      <c r="BC172" s="895"/>
      <c r="BD172" s="896"/>
      <c r="BE172" s="768"/>
      <c r="BF172" s="568"/>
      <c r="BG172" s="785"/>
      <c r="BH172" s="786"/>
      <c r="BI172" s="568"/>
      <c r="BJ172" s="785"/>
      <c r="BK172" s="786"/>
      <c r="BL172" s="895"/>
      <c r="BM172" s="896"/>
      <c r="BN172" s="768"/>
      <c r="BO172" s="897"/>
      <c r="BP172" s="895"/>
      <c r="BQ172" s="896"/>
      <c r="BR172" s="768"/>
      <c r="BS172" s="895"/>
      <c r="BT172" s="768"/>
      <c r="BU172" s="768"/>
      <c r="BV172" s="897"/>
      <c r="BW172" s="895"/>
      <c r="BX172" s="896"/>
      <c r="BY172" s="768"/>
      <c r="BZ172" s="895"/>
      <c r="CA172" s="768"/>
      <c r="CB172" s="768"/>
      <c r="CC172" s="895"/>
      <c r="CD172" s="768"/>
      <c r="CE172" s="2552"/>
    </row>
    <row r="173" spans="1:83" ht="14.25" customHeight="1" x14ac:dyDescent="0.4">
      <c r="A173" s="249"/>
      <c r="B173" s="249"/>
      <c r="C173" s="969">
        <v>0.46180555555555503</v>
      </c>
      <c r="D173" s="844"/>
      <c r="E173" s="2839"/>
      <c r="F173" s="845"/>
      <c r="G173" s="846"/>
      <c r="H173" s="594"/>
      <c r="I173" s="847"/>
      <c r="J173" s="582"/>
      <c r="K173" s="848"/>
      <c r="L173" s="849"/>
      <c r="M173" s="905"/>
      <c r="N173" s="928"/>
      <c r="O173" s="915"/>
      <c r="P173" s="850"/>
      <c r="Q173" s="851"/>
      <c r="R173" s="852"/>
      <c r="S173" s="687"/>
      <c r="T173" s="2841" t="s">
        <v>363</v>
      </c>
      <c r="U173" s="908"/>
      <c r="V173" s="709"/>
      <c r="W173" s="709"/>
      <c r="X173" s="684"/>
      <c r="Y173" s="905"/>
      <c r="Z173" s="928"/>
      <c r="AA173" s="915"/>
      <c r="AB173" s="964"/>
      <c r="AC173" s="970"/>
      <c r="AD173" s="965"/>
      <c r="AE173" s="895"/>
      <c r="AF173" s="896"/>
      <c r="AG173" s="768"/>
      <c r="AH173" s="895"/>
      <c r="AI173" s="896"/>
      <c r="AJ173" s="768"/>
      <c r="AK173" s="895"/>
      <c r="AL173" s="896"/>
      <c r="AM173" s="768"/>
      <c r="AN173" s="895"/>
      <c r="AO173" s="896"/>
      <c r="AP173" s="768"/>
      <c r="AQ173" s="895"/>
      <c r="AR173" s="896"/>
      <c r="AS173" s="768"/>
      <c r="AT173" s="895"/>
      <c r="AU173" s="896"/>
      <c r="AV173" s="768"/>
      <c r="AW173" s="895"/>
      <c r="AX173" s="896"/>
      <c r="AY173" s="768"/>
      <c r="AZ173" s="895"/>
      <c r="BA173" s="896"/>
      <c r="BB173" s="768"/>
      <c r="BC173" s="895"/>
      <c r="BD173" s="896"/>
      <c r="BE173" s="768"/>
      <c r="BF173" s="567"/>
      <c r="BG173" s="767"/>
      <c r="BH173" s="768"/>
      <c r="BI173" s="567"/>
      <c r="BJ173" s="767"/>
      <c r="BK173" s="768"/>
      <c r="BL173" s="895"/>
      <c r="BM173" s="896"/>
      <c r="BN173" s="768"/>
      <c r="BO173" s="897"/>
      <c r="BP173" s="895"/>
      <c r="BQ173" s="896"/>
      <c r="BR173" s="768"/>
      <c r="BS173" s="895"/>
      <c r="BT173" s="768"/>
      <c r="BU173" s="768"/>
      <c r="BV173" s="897"/>
      <c r="BW173" s="895"/>
      <c r="BX173" s="896"/>
      <c r="BY173" s="768"/>
      <c r="BZ173" s="895"/>
      <c r="CA173" s="768"/>
      <c r="CB173" s="768"/>
      <c r="CC173" s="895"/>
      <c r="CD173" s="567"/>
      <c r="CE173" s="2552"/>
    </row>
    <row r="174" spans="1:83" ht="18.75" customHeight="1" x14ac:dyDescent="0.4">
      <c r="A174" s="249"/>
      <c r="B174" s="249"/>
      <c r="C174" s="969">
        <v>0.46527777777777701</v>
      </c>
      <c r="D174" s="844"/>
      <c r="E174" s="2839"/>
      <c r="F174" s="845"/>
      <c r="G174" s="846"/>
      <c r="H174" s="594"/>
      <c r="I174" s="847"/>
      <c r="J174" s="704"/>
      <c r="K174" s="971"/>
      <c r="L174" s="705"/>
      <c r="M174" s="973"/>
      <c r="N174" s="865"/>
      <c r="O174" s="791"/>
      <c r="P174" s="706"/>
      <c r="Q174" s="972"/>
      <c r="R174" s="708"/>
      <c r="S174" s="687"/>
      <c r="T174" s="2841"/>
      <c r="U174" s="687"/>
      <c r="V174" s="709"/>
      <c r="W174" s="709"/>
      <c r="X174" s="684"/>
      <c r="Y174" s="973"/>
      <c r="Z174" s="865"/>
      <c r="AA174" s="791"/>
      <c r="AB174" s="664"/>
      <c r="AC174" s="967"/>
      <c r="AD174" s="974"/>
      <c r="AE174" s="568"/>
      <c r="AF174" s="566"/>
      <c r="AG174" s="567"/>
      <c r="AH174" s="568"/>
      <c r="AI174" s="566"/>
      <c r="AJ174" s="567"/>
      <c r="AK174" s="568"/>
      <c r="AL174" s="566"/>
      <c r="AM174" s="567"/>
      <c r="AN174" s="568"/>
      <c r="AO174" s="566"/>
      <c r="AP174" s="567"/>
      <c r="AQ174" s="568"/>
      <c r="AR174" s="566"/>
      <c r="AS174" s="567"/>
      <c r="AT174" s="568"/>
      <c r="AU174" s="566"/>
      <c r="AV174" s="567"/>
      <c r="AW174" s="568"/>
      <c r="AX174" s="566"/>
      <c r="AY174" s="567"/>
      <c r="AZ174" s="568"/>
      <c r="BA174" s="566"/>
      <c r="BB174" s="567"/>
      <c r="BC174" s="568"/>
      <c r="BD174" s="566"/>
      <c r="BE174" s="567"/>
      <c r="BF174" s="567"/>
      <c r="BG174" s="767"/>
      <c r="BH174" s="768"/>
      <c r="BI174" s="567"/>
      <c r="BJ174" s="767"/>
      <c r="BK174" s="768"/>
      <c r="BL174" s="568"/>
      <c r="BM174" s="566"/>
      <c r="BN174" s="567"/>
      <c r="BO174" s="567"/>
      <c r="BP174" s="568"/>
      <c r="BQ174" s="566"/>
      <c r="BR174" s="567"/>
      <c r="BS174" s="568"/>
      <c r="BT174" s="567"/>
      <c r="BU174" s="567"/>
      <c r="BV174" s="567"/>
      <c r="BW174" s="568"/>
      <c r="BX174" s="566"/>
      <c r="BY174" s="567"/>
      <c r="BZ174" s="568"/>
      <c r="CA174" s="567"/>
      <c r="CB174" s="567"/>
      <c r="CC174" s="568"/>
      <c r="CD174" s="567"/>
      <c r="CE174" s="2807"/>
    </row>
    <row r="175" spans="1:83" ht="18.75" customHeight="1" x14ac:dyDescent="0.4">
      <c r="A175" s="249"/>
      <c r="B175" s="249"/>
      <c r="C175" s="584">
        <v>0.46875</v>
      </c>
      <c r="D175" s="746"/>
      <c r="E175" s="2839"/>
      <c r="F175" s="747"/>
      <c r="G175" s="748"/>
      <c r="H175" s="612"/>
      <c r="I175" s="742"/>
      <c r="J175" s="704"/>
      <c r="K175" s="848"/>
      <c r="L175" s="705"/>
      <c r="M175" s="973"/>
      <c r="N175" s="793" t="s">
        <v>336</v>
      </c>
      <c r="O175" s="791"/>
      <c r="P175" s="706"/>
      <c r="Q175" s="851" t="s">
        <v>334</v>
      </c>
      <c r="R175" s="708"/>
      <c r="S175" s="687"/>
      <c r="T175" s="2841"/>
      <c r="U175" s="687"/>
      <c r="V175" s="709"/>
      <c r="W175" s="709" t="s">
        <v>332</v>
      </c>
      <c r="X175" s="684"/>
      <c r="Y175" s="973"/>
      <c r="Z175" s="793" t="s">
        <v>336</v>
      </c>
      <c r="AA175" s="791"/>
      <c r="AB175" s="664"/>
      <c r="AC175" s="975"/>
      <c r="AD175" s="976"/>
      <c r="AE175" s="568"/>
      <c r="AF175" s="567"/>
      <c r="AG175" s="567"/>
      <c r="AH175" s="568"/>
      <c r="AI175" s="567"/>
      <c r="AJ175" s="567"/>
      <c r="AK175" s="568"/>
      <c r="AL175" s="567"/>
      <c r="AM175" s="567"/>
      <c r="AN175" s="568"/>
      <c r="AO175" s="567"/>
      <c r="AP175" s="567"/>
      <c r="AQ175" s="568"/>
      <c r="AR175" s="566"/>
      <c r="AS175" s="567"/>
      <c r="AT175" s="568"/>
      <c r="AU175" s="566"/>
      <c r="AV175" s="567"/>
      <c r="AW175" s="568"/>
      <c r="AX175" s="566"/>
      <c r="AY175" s="567"/>
      <c r="AZ175" s="568"/>
      <c r="BA175" s="566"/>
      <c r="BB175" s="567"/>
      <c r="BC175" s="568"/>
      <c r="BD175" s="566"/>
      <c r="BE175" s="567"/>
      <c r="BF175" s="567"/>
      <c r="BG175" s="767"/>
      <c r="BH175" s="768"/>
      <c r="BI175" s="567"/>
      <c r="BJ175" s="767"/>
      <c r="BK175" s="768"/>
      <c r="BL175" s="568"/>
      <c r="BM175" s="566"/>
      <c r="BN175" s="567"/>
      <c r="BO175" s="567"/>
      <c r="BP175" s="568"/>
      <c r="BQ175" s="566"/>
      <c r="BR175" s="567"/>
      <c r="BS175" s="568"/>
      <c r="BT175" s="567"/>
      <c r="BU175" s="567"/>
      <c r="BV175" s="567"/>
      <c r="BW175" s="568"/>
      <c r="BX175" s="566"/>
      <c r="BY175" s="567"/>
      <c r="BZ175" s="568"/>
      <c r="CA175" s="567"/>
      <c r="CB175" s="567"/>
      <c r="CC175" s="568"/>
      <c r="CD175" s="567"/>
      <c r="CE175" s="2807"/>
    </row>
    <row r="176" spans="1:83" ht="18.75" customHeight="1" x14ac:dyDescent="0.4">
      <c r="A176" s="249"/>
      <c r="B176" s="249"/>
      <c r="C176" s="584" t="s">
        <v>307</v>
      </c>
      <c r="D176" s="746"/>
      <c r="E176" s="2839"/>
      <c r="F176" s="747"/>
      <c r="G176" s="748"/>
      <c r="H176" s="749"/>
      <c r="I176" s="742"/>
      <c r="J176" s="635"/>
      <c r="K176" s="848"/>
      <c r="L176" s="705"/>
      <c r="M176" s="685"/>
      <c r="N176" s="745" t="s">
        <v>333</v>
      </c>
      <c r="O176" s="685"/>
      <c r="P176" s="977"/>
      <c r="Q176" s="851" t="s">
        <v>337</v>
      </c>
      <c r="R176" s="708"/>
      <c r="S176" s="687"/>
      <c r="T176" s="2841"/>
      <c r="U176" s="687"/>
      <c r="V176" s="683"/>
      <c r="W176" s="709" t="s">
        <v>335</v>
      </c>
      <c r="X176" s="684"/>
      <c r="Y176" s="685"/>
      <c r="Z176" s="745" t="s">
        <v>333</v>
      </c>
      <c r="AA176" s="685"/>
      <c r="AB176" s="664"/>
      <c r="AC176" s="975"/>
      <c r="AD176" s="976"/>
      <c r="AE176" s="978"/>
      <c r="AF176" s="978"/>
      <c r="AG176" s="978"/>
      <c r="AH176" s="978"/>
      <c r="AI176" s="978"/>
      <c r="AJ176" s="978"/>
      <c r="AK176" s="978"/>
      <c r="AL176" s="978"/>
      <c r="AM176" s="978"/>
      <c r="AN176" s="978"/>
      <c r="AO176" s="978"/>
      <c r="AP176" s="978"/>
      <c r="AQ176" s="978"/>
      <c r="AR176" s="566"/>
      <c r="AS176" s="567"/>
      <c r="AT176" s="568"/>
      <c r="AU176" s="566"/>
      <c r="AV176" s="567"/>
      <c r="AW176" s="568"/>
      <c r="AX176" s="566"/>
      <c r="AY176" s="567"/>
      <c r="AZ176" s="568"/>
      <c r="BA176" s="566"/>
      <c r="BB176" s="567"/>
      <c r="BC176" s="568"/>
      <c r="BD176" s="566"/>
      <c r="BE176" s="567"/>
      <c r="BF176" s="567"/>
      <c r="BG176" s="767"/>
      <c r="BH176" s="768"/>
      <c r="BI176" s="567"/>
      <c r="BJ176" s="767"/>
      <c r="BK176" s="768"/>
      <c r="BL176" s="568"/>
      <c r="BM176" s="566"/>
      <c r="BN176" s="567"/>
      <c r="BO176" s="567"/>
      <c r="BP176" s="568"/>
      <c r="BQ176" s="566"/>
      <c r="BR176" s="567"/>
      <c r="BS176" s="568"/>
      <c r="BT176" s="567"/>
      <c r="BU176" s="567"/>
      <c r="BV176" s="567"/>
      <c r="BW176" s="568"/>
      <c r="BX176" s="566"/>
      <c r="BY176" s="567"/>
      <c r="BZ176" s="568"/>
      <c r="CA176" s="567"/>
      <c r="CB176" s="567"/>
      <c r="CC176" s="568"/>
      <c r="CD176" s="567"/>
      <c r="CE176" s="2807"/>
    </row>
    <row r="177" spans="1:83" ht="18.75" customHeight="1" x14ac:dyDescent="0.4">
      <c r="A177" s="249"/>
      <c r="B177" s="249"/>
      <c r="C177" s="584" t="s">
        <v>307</v>
      </c>
      <c r="D177" s="587"/>
      <c r="E177" s="2839"/>
      <c r="F177" s="845"/>
      <c r="G177" s="588"/>
      <c r="H177" s="594"/>
      <c r="I177" s="742"/>
      <c r="J177" s="635"/>
      <c r="K177" s="691"/>
      <c r="L177" s="705"/>
      <c r="M177" s="685"/>
      <c r="N177" s="745" t="s">
        <v>334</v>
      </c>
      <c r="O177" s="685"/>
      <c r="P177" s="977"/>
      <c r="Q177" s="707"/>
      <c r="R177" s="708"/>
      <c r="S177" s="664"/>
      <c r="T177" s="2841"/>
      <c r="U177" s="687"/>
      <c r="V177" s="709"/>
      <c r="W177" s="927" t="s">
        <v>351</v>
      </c>
      <c r="X177" s="684"/>
      <c r="Y177" s="685"/>
      <c r="Z177" s="745" t="s">
        <v>334</v>
      </c>
      <c r="AA177" s="685"/>
      <c r="AB177" s="979"/>
      <c r="AC177" s="967"/>
      <c r="AD177" s="980"/>
      <c r="AE177" s="978"/>
      <c r="AF177" s="978"/>
      <c r="AG177" s="978"/>
      <c r="AH177" s="978"/>
      <c r="AI177" s="978"/>
      <c r="AJ177" s="978"/>
      <c r="AK177" s="978"/>
      <c r="AL177" s="978"/>
      <c r="AM177" s="978"/>
      <c r="AN177" s="978"/>
      <c r="AO177" s="978"/>
      <c r="AP177" s="978"/>
      <c r="AQ177" s="978"/>
      <c r="AR177" s="566"/>
      <c r="AS177" s="567"/>
      <c r="AT177" s="568"/>
      <c r="AU177" s="566"/>
      <c r="AV177" s="567"/>
      <c r="AW177" s="568"/>
      <c r="AX177" s="566"/>
      <c r="AY177" s="567"/>
      <c r="AZ177" s="568"/>
      <c r="BA177" s="566"/>
      <c r="BB177" s="567"/>
      <c r="BC177" s="568"/>
      <c r="BD177" s="566"/>
      <c r="BE177" s="567"/>
      <c r="BF177" s="567"/>
      <c r="BG177" s="767"/>
      <c r="BH177" s="768"/>
      <c r="BI177" s="567"/>
      <c r="BJ177" s="767"/>
      <c r="BK177" s="768"/>
      <c r="BL177" s="568"/>
      <c r="BM177" s="566"/>
      <c r="BN177" s="567"/>
      <c r="BO177" s="567"/>
      <c r="BP177" s="568"/>
      <c r="BQ177" s="566"/>
      <c r="BR177" s="567"/>
      <c r="BS177" s="568"/>
      <c r="BT177" s="567"/>
      <c r="BU177" s="567"/>
      <c r="BV177" s="567"/>
      <c r="BW177" s="568"/>
      <c r="BX177" s="566"/>
      <c r="BY177" s="567"/>
      <c r="BZ177" s="568"/>
      <c r="CA177" s="567"/>
      <c r="CB177" s="567"/>
      <c r="CC177" s="568"/>
      <c r="CD177" s="567"/>
      <c r="CE177" s="2807"/>
    </row>
    <row r="178" spans="1:83" ht="18.600000000000001" customHeight="1" x14ac:dyDescent="0.4">
      <c r="A178" s="249"/>
      <c r="B178" s="249"/>
      <c r="C178" s="584" t="s">
        <v>307</v>
      </c>
      <c r="D178" s="746"/>
      <c r="E178" s="2839"/>
      <c r="F178" s="845"/>
      <c r="G178" s="748"/>
      <c r="H178" s="594"/>
      <c r="I178" s="742"/>
      <c r="J178" s="635"/>
      <c r="K178" s="691"/>
      <c r="L178" s="705"/>
      <c r="M178" s="981"/>
      <c r="N178" s="745"/>
      <c r="O178" s="93"/>
      <c r="P178" s="977"/>
      <c r="Q178" s="707"/>
      <c r="R178" s="708"/>
      <c r="S178" s="664"/>
      <c r="T178" s="2841"/>
      <c r="U178" s="687"/>
      <c r="V178" s="709"/>
      <c r="W178" s="709"/>
      <c r="X178" s="684"/>
      <c r="Y178" s="981"/>
      <c r="Z178" s="745"/>
      <c r="AA178" s="93"/>
      <c r="AB178" s="916"/>
      <c r="AC178" s="970"/>
      <c r="AD178" s="916"/>
      <c r="AE178" s="568"/>
      <c r="AF178" s="566"/>
      <c r="AG178" s="567"/>
      <c r="AH178" s="568"/>
      <c r="AI178" s="566"/>
      <c r="AJ178" s="567"/>
      <c r="AK178" s="568"/>
      <c r="AL178" s="566"/>
      <c r="AM178" s="567"/>
      <c r="AN178" s="568"/>
      <c r="AO178" s="566"/>
      <c r="AP178" s="567"/>
      <c r="AQ178" s="568"/>
      <c r="AR178" s="566"/>
      <c r="AS178" s="567"/>
      <c r="AT178" s="568"/>
      <c r="AU178" s="566"/>
      <c r="AV178" s="567"/>
      <c r="AW178" s="568"/>
      <c r="AX178" s="566"/>
      <c r="AY178" s="567"/>
      <c r="AZ178" s="568"/>
      <c r="BA178" s="566"/>
      <c r="BB178" s="567"/>
      <c r="BC178" s="568"/>
      <c r="BD178" s="566"/>
      <c r="BE178" s="567"/>
      <c r="BF178" s="567"/>
      <c r="BG178" s="767"/>
      <c r="BH178" s="768"/>
      <c r="BI178" s="567"/>
      <c r="BJ178" s="767"/>
      <c r="BK178" s="768"/>
      <c r="BL178" s="568"/>
      <c r="BM178" s="566"/>
      <c r="BN178" s="567"/>
      <c r="BO178" s="567"/>
      <c r="BP178" s="568"/>
      <c r="BQ178" s="566"/>
      <c r="BR178" s="567"/>
      <c r="BS178" s="568"/>
      <c r="BT178" s="567"/>
      <c r="BU178" s="567"/>
      <c r="BV178" s="567"/>
      <c r="BW178" s="568"/>
      <c r="BX178" s="566"/>
      <c r="BY178" s="567"/>
      <c r="BZ178" s="568"/>
      <c r="CA178" s="567"/>
      <c r="CB178" s="567"/>
      <c r="CC178" s="568"/>
      <c r="CD178" s="567"/>
      <c r="CE178" s="2807"/>
    </row>
    <row r="179" spans="1:83" ht="18.75" customHeight="1" x14ac:dyDescent="0.4">
      <c r="A179" s="249"/>
      <c r="B179" s="249"/>
      <c r="C179" s="584" t="s">
        <v>307</v>
      </c>
      <c r="D179" s="587"/>
      <c r="E179" s="2839"/>
      <c r="F179" s="688"/>
      <c r="G179" s="588"/>
      <c r="H179" s="594"/>
      <c r="I179" s="742"/>
      <c r="J179" s="635"/>
      <c r="K179" s="691"/>
      <c r="L179" s="705"/>
      <c r="M179" s="981"/>
      <c r="N179" s="982"/>
      <c r="O179" s="93"/>
      <c r="P179" s="977"/>
      <c r="Q179" s="707"/>
      <c r="R179" s="708"/>
      <c r="S179" s="664"/>
      <c r="T179" s="2841"/>
      <c r="U179" s="687"/>
      <c r="V179" s="709"/>
      <c r="W179" s="927"/>
      <c r="X179" s="684"/>
      <c r="Y179" s="981"/>
      <c r="Z179" s="982"/>
      <c r="AA179" s="93"/>
      <c r="AB179" s="916"/>
      <c r="AC179" s="970"/>
      <c r="AD179" s="916"/>
      <c r="AE179" s="568"/>
      <c r="AF179" s="566"/>
      <c r="AG179" s="567"/>
      <c r="AH179" s="568"/>
      <c r="AI179" s="566"/>
      <c r="AJ179" s="567"/>
      <c r="AK179" s="568"/>
      <c r="AL179" s="566"/>
      <c r="AM179" s="567"/>
      <c r="AN179" s="568"/>
      <c r="AO179" s="566"/>
      <c r="AP179" s="567"/>
      <c r="AQ179" s="568"/>
      <c r="AR179" s="566"/>
      <c r="AS179" s="567"/>
      <c r="AT179" s="568"/>
      <c r="AU179" s="566"/>
      <c r="AV179" s="567"/>
      <c r="AW179" s="568"/>
      <c r="AX179" s="566"/>
      <c r="AY179" s="567"/>
      <c r="AZ179" s="568"/>
      <c r="BA179" s="566"/>
      <c r="BB179" s="567"/>
      <c r="BC179" s="568"/>
      <c r="BD179" s="566"/>
      <c r="BE179" s="567"/>
      <c r="BF179" s="567"/>
      <c r="BG179" s="767"/>
      <c r="BH179" s="768"/>
      <c r="BI179" s="567"/>
      <c r="BJ179" s="767"/>
      <c r="BK179" s="768"/>
      <c r="BL179" s="568"/>
      <c r="BM179" s="566"/>
      <c r="BN179" s="567"/>
      <c r="BO179" s="567"/>
      <c r="BP179" s="568"/>
      <c r="BQ179" s="566"/>
      <c r="BR179" s="567"/>
      <c r="BS179" s="568"/>
      <c r="BT179" s="567"/>
      <c r="BU179" s="567"/>
      <c r="BV179" s="567"/>
      <c r="BW179" s="568"/>
      <c r="BX179" s="566"/>
      <c r="BY179" s="567"/>
      <c r="BZ179" s="568"/>
      <c r="CA179" s="567"/>
      <c r="CB179" s="567"/>
      <c r="CC179" s="568"/>
      <c r="CD179" s="567"/>
      <c r="CE179" s="2807"/>
    </row>
    <row r="180" spans="1:83" ht="18.75" customHeight="1" x14ac:dyDescent="0.4">
      <c r="A180" s="249"/>
      <c r="B180" s="249"/>
      <c r="C180" s="584"/>
      <c r="D180" s="587"/>
      <c r="E180" s="2839"/>
      <c r="F180" s="688"/>
      <c r="G180" s="588"/>
      <c r="H180" s="594"/>
      <c r="I180" s="742"/>
      <c r="J180" s="635"/>
      <c r="K180" s="691"/>
      <c r="L180" s="849"/>
      <c r="M180" s="981"/>
      <c r="N180" s="982"/>
      <c r="O180" s="93"/>
      <c r="P180" s="795"/>
      <c r="Q180" s="769"/>
      <c r="R180" s="852"/>
      <c r="S180" s="664"/>
      <c r="T180" s="2841"/>
      <c r="U180" s="908"/>
      <c r="V180" s="709"/>
      <c r="W180" s="709"/>
      <c r="X180" s="684"/>
      <c r="Y180" s="981"/>
      <c r="Z180" s="982"/>
      <c r="AA180" s="93"/>
      <c r="AB180" s="908"/>
      <c r="AC180" s="970"/>
      <c r="AD180" s="908"/>
      <c r="AE180" s="568"/>
      <c r="AF180" s="566"/>
      <c r="AG180" s="567"/>
      <c r="AH180" s="568"/>
      <c r="AI180" s="566"/>
      <c r="AJ180" s="567"/>
      <c r="AK180" s="568"/>
      <c r="AL180" s="566"/>
      <c r="AM180" s="567"/>
      <c r="AN180" s="568"/>
      <c r="AO180" s="566"/>
      <c r="AP180" s="567"/>
      <c r="AQ180" s="568"/>
      <c r="AR180" s="566"/>
      <c r="AS180" s="567"/>
      <c r="AT180" s="568"/>
      <c r="AU180" s="566"/>
      <c r="AV180" s="567"/>
      <c r="AW180" s="568"/>
      <c r="AX180" s="566"/>
      <c r="AY180" s="567"/>
      <c r="AZ180" s="568"/>
      <c r="BA180" s="566"/>
      <c r="BB180" s="567"/>
      <c r="BC180" s="568"/>
      <c r="BD180" s="566"/>
      <c r="BE180" s="567"/>
      <c r="BF180" s="567"/>
      <c r="BG180" s="767"/>
      <c r="BH180" s="768"/>
      <c r="BI180" s="567"/>
      <c r="BJ180" s="767"/>
      <c r="BK180" s="768"/>
      <c r="BL180" s="568"/>
      <c r="BM180" s="566"/>
      <c r="BN180" s="567"/>
      <c r="BO180" s="567"/>
      <c r="BP180" s="568"/>
      <c r="BQ180" s="566"/>
      <c r="BR180" s="567"/>
      <c r="BS180" s="568"/>
      <c r="BT180" s="567"/>
      <c r="BU180" s="567"/>
      <c r="BV180" s="567"/>
      <c r="BW180" s="568"/>
      <c r="BX180" s="566"/>
      <c r="BY180" s="567"/>
      <c r="BZ180" s="568"/>
      <c r="CA180" s="567"/>
      <c r="CB180" s="567"/>
      <c r="CC180" s="568"/>
      <c r="CD180" s="567"/>
      <c r="CE180" s="2807"/>
    </row>
    <row r="181" spans="1:83" ht="14.25" customHeight="1" x14ac:dyDescent="0.4">
      <c r="A181" s="249"/>
      <c r="B181" s="249"/>
      <c r="C181" s="584">
        <v>0.47222222222222199</v>
      </c>
      <c r="D181" s="587"/>
      <c r="E181" s="2839"/>
      <c r="F181" s="688"/>
      <c r="G181" s="588"/>
      <c r="H181" s="594"/>
      <c r="I181" s="847"/>
      <c r="J181" s="635"/>
      <c r="K181" s="691"/>
      <c r="L181" s="705"/>
      <c r="M181" s="981"/>
      <c r="N181" s="982"/>
      <c r="O181" s="93"/>
      <c r="P181" s="795"/>
      <c r="Q181" s="769"/>
      <c r="R181" s="708"/>
      <c r="S181" s="664"/>
      <c r="T181" s="664"/>
      <c r="U181" s="1198"/>
      <c r="V181" s="709"/>
      <c r="W181" s="709"/>
      <c r="X181" s="684"/>
      <c r="Y181" s="981"/>
      <c r="Z181" s="982"/>
      <c r="AA181" s="93"/>
      <c r="AB181" s="95"/>
      <c r="AC181" s="970"/>
      <c r="AD181" s="95"/>
      <c r="AE181" s="568"/>
      <c r="AF181" s="566"/>
      <c r="AG181" s="567"/>
      <c r="AH181" s="568"/>
      <c r="AI181" s="566"/>
      <c r="AJ181" s="567"/>
      <c r="AK181" s="568"/>
      <c r="AL181" s="566"/>
      <c r="AM181" s="567"/>
      <c r="AN181" s="568"/>
      <c r="AO181" s="566"/>
      <c r="AP181" s="567"/>
      <c r="AQ181" s="568"/>
      <c r="AR181" s="566"/>
      <c r="AS181" s="567"/>
      <c r="AT181" s="568"/>
      <c r="AU181" s="566"/>
      <c r="AV181" s="567"/>
      <c r="AW181" s="568"/>
      <c r="AX181" s="566"/>
      <c r="AY181" s="567"/>
      <c r="AZ181" s="568"/>
      <c r="BA181" s="566"/>
      <c r="BB181" s="567"/>
      <c r="BC181" s="568"/>
      <c r="BD181" s="566"/>
      <c r="BE181" s="567"/>
      <c r="BF181" s="567"/>
      <c r="BG181" s="767"/>
      <c r="BH181" s="768"/>
      <c r="BI181" s="567"/>
      <c r="BJ181" s="767"/>
      <c r="BK181" s="768"/>
      <c r="BL181" s="568"/>
      <c r="BM181" s="566"/>
      <c r="BN181" s="567"/>
      <c r="BO181" s="567"/>
      <c r="BP181" s="568"/>
      <c r="BQ181" s="566"/>
      <c r="BR181" s="567"/>
      <c r="BS181" s="568"/>
      <c r="BT181" s="567"/>
      <c r="BU181" s="567"/>
      <c r="BV181" s="567"/>
      <c r="BW181" s="568"/>
      <c r="BX181" s="566"/>
      <c r="BY181" s="567"/>
      <c r="BZ181" s="568"/>
      <c r="CA181" s="567"/>
      <c r="CB181" s="567"/>
      <c r="CC181" s="568"/>
      <c r="CD181" s="768"/>
      <c r="CE181" s="2807"/>
    </row>
    <row r="182" spans="1:83" ht="16.350000000000001" customHeight="1" x14ac:dyDescent="0.4">
      <c r="A182" s="249"/>
      <c r="B182" s="249"/>
      <c r="C182" s="584">
        <v>0.47569444444444398</v>
      </c>
      <c r="D182" s="587"/>
      <c r="E182" s="2839"/>
      <c r="F182" s="688"/>
      <c r="G182" s="588"/>
      <c r="H182" s="594"/>
      <c r="I182" s="742"/>
      <c r="J182" s="635"/>
      <c r="K182" s="691"/>
      <c r="L182" s="705"/>
      <c r="M182" s="973"/>
      <c r="N182" s="865"/>
      <c r="O182" s="791"/>
      <c r="P182" s="795"/>
      <c r="Q182" s="769"/>
      <c r="R182" s="708"/>
      <c r="S182" s="664"/>
      <c r="T182" s="664"/>
      <c r="U182" s="1198"/>
      <c r="V182" s="709"/>
      <c r="W182" s="709"/>
      <c r="X182" s="684"/>
      <c r="Y182" s="973"/>
      <c r="Z182" s="865"/>
      <c r="AA182" s="791"/>
      <c r="AB182" s="984"/>
      <c r="AC182" s="984"/>
      <c r="AD182" s="985"/>
      <c r="AE182" s="895"/>
      <c r="AF182" s="896"/>
      <c r="AG182" s="768"/>
      <c r="AH182" s="895"/>
      <c r="AI182" s="896"/>
      <c r="AJ182" s="768"/>
      <c r="AK182" s="895"/>
      <c r="AL182" s="896"/>
      <c r="AM182" s="768"/>
      <c r="AN182" s="895"/>
      <c r="AO182" s="896"/>
      <c r="AP182" s="768"/>
      <c r="AQ182" s="895"/>
      <c r="AR182" s="896"/>
      <c r="AS182" s="768"/>
      <c r="AT182" s="895"/>
      <c r="AU182" s="896"/>
      <c r="AV182" s="768"/>
      <c r="AW182" s="895"/>
      <c r="AX182" s="896"/>
      <c r="AY182" s="768"/>
      <c r="AZ182" s="895"/>
      <c r="BA182" s="896"/>
      <c r="BB182" s="768"/>
      <c r="BC182" s="895"/>
      <c r="BD182" s="896"/>
      <c r="BE182" s="768"/>
      <c r="BF182" s="897"/>
      <c r="BG182" s="785"/>
      <c r="BH182" s="786"/>
      <c r="BI182" s="897"/>
      <c r="BJ182" s="785"/>
      <c r="BK182" s="786"/>
      <c r="BL182" s="895"/>
      <c r="BM182" s="896"/>
      <c r="BN182" s="768"/>
      <c r="BO182" s="897"/>
      <c r="BP182" s="895"/>
      <c r="BQ182" s="896"/>
      <c r="BR182" s="768"/>
      <c r="BS182" s="895"/>
      <c r="BT182" s="768"/>
      <c r="BU182" s="768"/>
      <c r="BV182" s="897"/>
      <c r="BW182" s="895"/>
      <c r="BX182" s="896"/>
      <c r="BY182" s="768"/>
      <c r="BZ182" s="895"/>
      <c r="CA182" s="768"/>
      <c r="CB182" s="768"/>
      <c r="CC182" s="895"/>
      <c r="CD182" s="768"/>
      <c r="CE182" s="2552"/>
    </row>
    <row r="183" spans="1:83" ht="18.600000000000001" customHeight="1" x14ac:dyDescent="0.4">
      <c r="A183" s="249"/>
      <c r="B183" s="249"/>
      <c r="C183" s="584">
        <v>0.47916666666666602</v>
      </c>
      <c r="D183" s="587"/>
      <c r="E183" s="1048"/>
      <c r="F183" s="688"/>
      <c r="G183" s="588"/>
      <c r="H183" s="594"/>
      <c r="I183" s="742"/>
      <c r="J183" s="635"/>
      <c r="K183" s="971"/>
      <c r="L183" s="705"/>
      <c r="M183" s="973"/>
      <c r="N183" s="745" t="s">
        <v>330</v>
      </c>
      <c r="O183" s="791"/>
      <c r="P183" s="795"/>
      <c r="Q183" s="769" t="s">
        <v>334</v>
      </c>
      <c r="R183" s="708"/>
      <c r="S183" s="664"/>
      <c r="T183" s="664" t="s">
        <v>331</v>
      </c>
      <c r="U183" s="687"/>
      <c r="V183" s="683"/>
      <c r="W183" s="709" t="s">
        <v>332</v>
      </c>
      <c r="X183" s="684"/>
      <c r="Y183" s="973"/>
      <c r="Z183" s="745" t="s">
        <v>330</v>
      </c>
      <c r="AA183" s="791"/>
      <c r="AB183" s="95"/>
      <c r="AC183" s="95"/>
      <c r="AD183" s="95"/>
      <c r="AE183" s="895"/>
      <c r="AF183" s="896"/>
      <c r="AG183" s="768"/>
      <c r="AH183" s="895"/>
      <c r="AI183" s="896"/>
      <c r="AJ183" s="768"/>
      <c r="AK183" s="895"/>
      <c r="AL183" s="896"/>
      <c r="AM183" s="768"/>
      <c r="AN183" s="895"/>
      <c r="AO183" s="896"/>
      <c r="AP183" s="768"/>
      <c r="AQ183" s="895"/>
      <c r="AR183" s="896"/>
      <c r="AS183" s="768"/>
      <c r="AT183" s="895"/>
      <c r="AU183" s="896"/>
      <c r="AV183" s="768"/>
      <c r="AW183" s="895"/>
      <c r="AX183" s="896"/>
      <c r="AY183" s="768"/>
      <c r="AZ183" s="895"/>
      <c r="BA183" s="896"/>
      <c r="BB183" s="768"/>
      <c r="BC183" s="895"/>
      <c r="BD183" s="896"/>
      <c r="BE183" s="768"/>
      <c r="BF183" s="897"/>
      <c r="BG183" s="785"/>
      <c r="BH183" s="786"/>
      <c r="BI183" s="897"/>
      <c r="BJ183" s="785"/>
      <c r="BK183" s="786"/>
      <c r="BL183" s="895"/>
      <c r="BM183" s="896"/>
      <c r="BN183" s="768"/>
      <c r="BO183" s="897"/>
      <c r="BP183" s="895"/>
      <c r="BQ183" s="896"/>
      <c r="BR183" s="768"/>
      <c r="BS183" s="895"/>
      <c r="BT183" s="768"/>
      <c r="BU183" s="768"/>
      <c r="BV183" s="897"/>
      <c r="BW183" s="895"/>
      <c r="BX183" s="896"/>
      <c r="BY183" s="768"/>
      <c r="BZ183" s="895"/>
      <c r="CA183" s="768"/>
      <c r="CB183" s="768"/>
      <c r="CC183" s="895"/>
      <c r="CD183" s="768"/>
      <c r="CE183" s="2552"/>
    </row>
    <row r="184" spans="1:83" ht="18.75" customHeight="1" x14ac:dyDescent="0.4">
      <c r="A184" s="249"/>
      <c r="B184" s="249"/>
      <c r="C184" s="584" t="s">
        <v>307</v>
      </c>
      <c r="D184" s="587"/>
      <c r="E184" s="1048"/>
      <c r="F184" s="688"/>
      <c r="G184" s="588"/>
      <c r="H184" s="594"/>
      <c r="I184" s="742"/>
      <c r="J184" s="635"/>
      <c r="K184" s="848"/>
      <c r="L184" s="705"/>
      <c r="M184" s="685"/>
      <c r="N184" s="745" t="s">
        <v>333</v>
      </c>
      <c r="O184" s="685"/>
      <c r="P184" s="795"/>
      <c r="Q184" s="769"/>
      <c r="R184" s="708"/>
      <c r="S184" s="664"/>
      <c r="T184" s="664" t="s">
        <v>334</v>
      </c>
      <c r="U184" s="687"/>
      <c r="V184" s="709"/>
      <c r="W184" s="709" t="s">
        <v>335</v>
      </c>
      <c r="X184" s="684"/>
      <c r="Y184" s="685"/>
      <c r="Z184" s="745" t="s">
        <v>333</v>
      </c>
      <c r="AA184" s="685"/>
      <c r="AB184" s="687"/>
      <c r="AC184" s="687"/>
      <c r="AD184" s="687"/>
      <c r="AE184" s="895"/>
      <c r="AF184" s="896"/>
      <c r="AG184" s="768"/>
      <c r="AH184" s="895"/>
      <c r="AI184" s="896"/>
      <c r="AJ184" s="768"/>
      <c r="AK184" s="895"/>
      <c r="AL184" s="896"/>
      <c r="AM184" s="768"/>
      <c r="AN184" s="895"/>
      <c r="AO184" s="896"/>
      <c r="AP184" s="768"/>
      <c r="AQ184" s="895"/>
      <c r="AR184" s="896"/>
      <c r="AS184" s="768"/>
      <c r="AT184" s="895"/>
      <c r="AU184" s="896"/>
      <c r="AV184" s="768"/>
      <c r="AW184" s="895"/>
      <c r="AX184" s="896"/>
      <c r="AY184" s="768"/>
      <c r="AZ184" s="895"/>
      <c r="BA184" s="896"/>
      <c r="BB184" s="768"/>
      <c r="BC184" s="895"/>
      <c r="BD184" s="896"/>
      <c r="BE184" s="768"/>
      <c r="BF184" s="897"/>
      <c r="BG184" s="785"/>
      <c r="BH184" s="786"/>
      <c r="BI184" s="897"/>
      <c r="BJ184" s="785"/>
      <c r="BK184" s="786"/>
      <c r="BL184" s="895"/>
      <c r="BM184" s="896"/>
      <c r="BN184" s="768"/>
      <c r="BO184" s="897"/>
      <c r="BP184" s="895"/>
      <c r="BQ184" s="896"/>
      <c r="BR184" s="768"/>
      <c r="BS184" s="895"/>
      <c r="BT184" s="768"/>
      <c r="BU184" s="768"/>
      <c r="BV184" s="897"/>
      <c r="BW184" s="895"/>
      <c r="BX184" s="896"/>
      <c r="BY184" s="768"/>
      <c r="BZ184" s="895"/>
      <c r="CA184" s="768"/>
      <c r="CB184" s="768"/>
      <c r="CC184" s="895"/>
      <c r="CD184" s="768"/>
      <c r="CE184" s="2552"/>
    </row>
    <row r="185" spans="1:83" ht="18.75" customHeight="1" x14ac:dyDescent="0.4">
      <c r="A185" s="249"/>
      <c r="B185" s="249"/>
      <c r="C185" s="584" t="s">
        <v>307</v>
      </c>
      <c r="D185" s="587"/>
      <c r="E185" s="1048"/>
      <c r="F185" s="688"/>
      <c r="G185" s="588"/>
      <c r="H185" s="594"/>
      <c r="I185" s="742"/>
      <c r="J185" s="635"/>
      <c r="K185" s="848"/>
      <c r="L185" s="705"/>
      <c r="M185" s="685"/>
      <c r="N185" s="745" t="s">
        <v>334</v>
      </c>
      <c r="O185" s="685"/>
      <c r="P185" s="795"/>
      <c r="Q185" s="769"/>
      <c r="R185" s="708"/>
      <c r="S185" s="664"/>
      <c r="T185" s="664"/>
      <c r="U185" s="687"/>
      <c r="V185" s="709"/>
      <c r="W185" s="788" t="s">
        <v>351</v>
      </c>
      <c r="X185" s="684"/>
      <c r="Y185" s="685"/>
      <c r="Z185" s="745" t="s">
        <v>334</v>
      </c>
      <c r="AA185" s="685"/>
      <c r="AB185" s="687"/>
      <c r="AC185" s="687"/>
      <c r="AD185" s="687"/>
      <c r="AE185" s="895"/>
      <c r="AF185" s="896"/>
      <c r="AG185" s="768"/>
      <c r="AH185" s="895"/>
      <c r="AI185" s="896"/>
      <c r="AJ185" s="768"/>
      <c r="AK185" s="895"/>
      <c r="AL185" s="896"/>
      <c r="AM185" s="768"/>
      <c r="AN185" s="895"/>
      <c r="AO185" s="896"/>
      <c r="AP185" s="768"/>
      <c r="AQ185" s="895"/>
      <c r="AR185" s="896"/>
      <c r="AS185" s="768"/>
      <c r="AT185" s="895"/>
      <c r="AU185" s="896"/>
      <c r="AV185" s="768"/>
      <c r="AW185" s="895"/>
      <c r="AX185" s="896"/>
      <c r="AY185" s="768"/>
      <c r="AZ185" s="895"/>
      <c r="BA185" s="896"/>
      <c r="BB185" s="768"/>
      <c r="BC185" s="895"/>
      <c r="BD185" s="896"/>
      <c r="BE185" s="768"/>
      <c r="BF185" s="897"/>
      <c r="BG185" s="785"/>
      <c r="BH185" s="786"/>
      <c r="BI185" s="897"/>
      <c r="BJ185" s="785"/>
      <c r="BK185" s="786"/>
      <c r="BL185" s="895"/>
      <c r="BM185" s="896"/>
      <c r="BN185" s="768"/>
      <c r="BO185" s="897"/>
      <c r="BP185" s="895"/>
      <c r="BQ185" s="896"/>
      <c r="BR185" s="768"/>
      <c r="BS185" s="895"/>
      <c r="BT185" s="768"/>
      <c r="BU185" s="768"/>
      <c r="BV185" s="897"/>
      <c r="BW185" s="895"/>
      <c r="BX185" s="896"/>
      <c r="BY185" s="768"/>
      <c r="BZ185" s="895"/>
      <c r="CA185" s="768"/>
      <c r="CB185" s="768"/>
      <c r="CC185" s="895"/>
      <c r="CD185" s="768"/>
      <c r="CE185" s="2552"/>
    </row>
    <row r="186" spans="1:83" ht="18.75" customHeight="1" x14ac:dyDescent="0.4">
      <c r="A186" s="249"/>
      <c r="B186" s="249"/>
      <c r="C186" s="584" t="s">
        <v>307</v>
      </c>
      <c r="D186" s="587"/>
      <c r="E186" s="1048"/>
      <c r="F186" s="688"/>
      <c r="G186" s="588"/>
      <c r="H186" s="594"/>
      <c r="I186" s="742"/>
      <c r="J186" s="635"/>
      <c r="K186" s="691"/>
      <c r="L186" s="705"/>
      <c r="M186" s="987"/>
      <c r="N186" s="745"/>
      <c r="O186" s="685"/>
      <c r="P186" s="795"/>
      <c r="Q186" s="769"/>
      <c r="R186" s="708"/>
      <c r="S186" s="1574"/>
      <c r="T186" s="664"/>
      <c r="U186" s="687"/>
      <c r="V186" s="709"/>
      <c r="W186" s="788"/>
      <c r="X186" s="684"/>
      <c r="Y186" s="987"/>
      <c r="Z186" s="745"/>
      <c r="AA186" s="685"/>
      <c r="AB186" s="687"/>
      <c r="AC186" s="687"/>
      <c r="AD186" s="687"/>
      <c r="AE186" s="895"/>
      <c r="AF186" s="896"/>
      <c r="AG186" s="768"/>
      <c r="AH186" s="895"/>
      <c r="AI186" s="896"/>
      <c r="AJ186" s="768"/>
      <c r="AK186" s="895"/>
      <c r="AL186" s="896"/>
      <c r="AM186" s="768"/>
      <c r="AN186" s="895"/>
      <c r="AO186" s="896"/>
      <c r="AP186" s="768"/>
      <c r="AQ186" s="895"/>
      <c r="AR186" s="896"/>
      <c r="AS186" s="768"/>
      <c r="AT186" s="895"/>
      <c r="AU186" s="896"/>
      <c r="AV186" s="768"/>
      <c r="AW186" s="895"/>
      <c r="AX186" s="896"/>
      <c r="AY186" s="768"/>
      <c r="AZ186" s="895"/>
      <c r="BA186" s="896"/>
      <c r="BB186" s="768"/>
      <c r="BC186" s="895"/>
      <c r="BD186" s="896"/>
      <c r="BE186" s="768"/>
      <c r="BF186" s="897"/>
      <c r="BG186" s="785"/>
      <c r="BH186" s="786"/>
      <c r="BI186" s="897"/>
      <c r="BJ186" s="785"/>
      <c r="BK186" s="786"/>
      <c r="BL186" s="895"/>
      <c r="BM186" s="896"/>
      <c r="BN186" s="768"/>
      <c r="BO186" s="897"/>
      <c r="BP186" s="895"/>
      <c r="BQ186" s="896"/>
      <c r="BR186" s="768"/>
      <c r="BS186" s="895"/>
      <c r="BT186" s="768"/>
      <c r="BU186" s="768"/>
      <c r="BV186" s="897"/>
      <c r="BW186" s="895"/>
      <c r="BX186" s="896"/>
      <c r="BY186" s="768"/>
      <c r="BZ186" s="895"/>
      <c r="CA186" s="768"/>
      <c r="CB186" s="768"/>
      <c r="CC186" s="895"/>
      <c r="CD186" s="768"/>
      <c r="CE186" s="2552"/>
    </row>
    <row r="187" spans="1:83" ht="18.75" customHeight="1" x14ac:dyDescent="0.4">
      <c r="A187" s="249"/>
      <c r="B187" s="249"/>
      <c r="C187" s="584" t="s">
        <v>307</v>
      </c>
      <c r="D187" s="587"/>
      <c r="E187" s="1048"/>
      <c r="F187" s="688"/>
      <c r="G187" s="588"/>
      <c r="H187" s="594"/>
      <c r="I187" s="742"/>
      <c r="J187" s="635"/>
      <c r="K187" s="691"/>
      <c r="L187" s="705"/>
      <c r="M187" s="981"/>
      <c r="N187" s="982"/>
      <c r="O187" s="93"/>
      <c r="P187" s="795"/>
      <c r="Q187" s="707"/>
      <c r="R187" s="708"/>
      <c r="S187" s="2758"/>
      <c r="T187" s="2759"/>
      <c r="U187" s="931"/>
      <c r="V187" s="709"/>
      <c r="W187" s="709"/>
      <c r="X187" s="684"/>
      <c r="Y187" s="981"/>
      <c r="Z187" s="982"/>
      <c r="AA187" s="93"/>
      <c r="AB187" s="931"/>
      <c r="AC187" s="990" t="s">
        <v>341</v>
      </c>
      <c r="AD187" s="931"/>
      <c r="AE187" s="895"/>
      <c r="AF187" s="896"/>
      <c r="AG187" s="768"/>
      <c r="AH187" s="895"/>
      <c r="AI187" s="896"/>
      <c r="AJ187" s="768"/>
      <c r="AK187" s="895"/>
      <c r="AL187" s="896"/>
      <c r="AM187" s="768"/>
      <c r="AN187" s="895"/>
      <c r="AO187" s="896"/>
      <c r="AP187" s="768"/>
      <c r="AQ187" s="895"/>
      <c r="AR187" s="896"/>
      <c r="AS187" s="768"/>
      <c r="AT187" s="895"/>
      <c r="AU187" s="896"/>
      <c r="AV187" s="768"/>
      <c r="AW187" s="895"/>
      <c r="AX187" s="896"/>
      <c r="AY187" s="768"/>
      <c r="AZ187" s="895"/>
      <c r="BA187" s="896"/>
      <c r="BB187" s="768"/>
      <c r="BC187" s="895"/>
      <c r="BD187" s="896"/>
      <c r="BE187" s="768"/>
      <c r="BF187" s="897"/>
      <c r="BG187" s="785"/>
      <c r="BH187" s="786"/>
      <c r="BI187" s="897"/>
      <c r="BJ187" s="785"/>
      <c r="BK187" s="786"/>
      <c r="BL187" s="895"/>
      <c r="BM187" s="896"/>
      <c r="BN187" s="768"/>
      <c r="BO187" s="897"/>
      <c r="BP187" s="895"/>
      <c r="BQ187" s="896"/>
      <c r="BR187" s="768"/>
      <c r="BS187" s="895"/>
      <c r="BT187" s="768"/>
      <c r="BU187" s="768"/>
      <c r="BV187" s="897"/>
      <c r="BW187" s="895"/>
      <c r="BX187" s="896"/>
      <c r="BY187" s="768"/>
      <c r="BZ187" s="895"/>
      <c r="CA187" s="768"/>
      <c r="CB187" s="768"/>
      <c r="CC187" s="895"/>
      <c r="CD187" s="768"/>
      <c r="CE187" s="2552"/>
    </row>
    <row r="188" spans="1:83" ht="14.25" customHeight="1" x14ac:dyDescent="0.4">
      <c r="A188" s="249"/>
      <c r="B188" s="249"/>
      <c r="C188" s="584">
        <v>0.48263888888888901</v>
      </c>
      <c r="D188" s="587"/>
      <c r="E188" s="1048"/>
      <c r="F188" s="688"/>
      <c r="G188" s="588"/>
      <c r="H188" s="594"/>
      <c r="I188" s="742"/>
      <c r="J188" s="635"/>
      <c r="K188" s="691"/>
      <c r="L188" s="991"/>
      <c r="M188" s="981"/>
      <c r="N188" s="982"/>
      <c r="O188" s="93"/>
      <c r="P188" s="795"/>
      <c r="Q188" s="769"/>
      <c r="R188" s="992"/>
      <c r="S188" s="2758"/>
      <c r="T188" s="2759"/>
      <c r="U188" s="931"/>
      <c r="V188" s="709"/>
      <c r="W188" s="709"/>
      <c r="X188" s="993"/>
      <c r="Y188" s="981"/>
      <c r="Z188" s="982"/>
      <c r="AA188" s="93"/>
      <c r="AB188" s="931"/>
      <c r="AC188" s="990"/>
      <c r="AD188" s="931"/>
      <c r="AE188" s="895"/>
      <c r="AF188" s="896"/>
      <c r="AG188" s="768"/>
      <c r="AH188" s="895"/>
      <c r="AI188" s="896"/>
      <c r="AJ188" s="768"/>
      <c r="AK188" s="895"/>
      <c r="AL188" s="896"/>
      <c r="AM188" s="768"/>
      <c r="AN188" s="895"/>
      <c r="AO188" s="896"/>
      <c r="AP188" s="768"/>
      <c r="AQ188" s="895"/>
      <c r="AR188" s="896"/>
      <c r="AS188" s="768"/>
      <c r="AT188" s="895"/>
      <c r="AU188" s="896"/>
      <c r="AV188" s="768"/>
      <c r="AW188" s="895"/>
      <c r="AX188" s="896"/>
      <c r="AY188" s="768"/>
      <c r="AZ188" s="895"/>
      <c r="BA188" s="896"/>
      <c r="BB188" s="768"/>
      <c r="BC188" s="895"/>
      <c r="BD188" s="896"/>
      <c r="BE188" s="768"/>
      <c r="BF188" s="567"/>
      <c r="BG188" s="767"/>
      <c r="BH188" s="768"/>
      <c r="BI188" s="567"/>
      <c r="BJ188" s="767"/>
      <c r="BK188" s="768"/>
      <c r="BL188" s="895"/>
      <c r="BM188" s="896"/>
      <c r="BN188" s="768"/>
      <c r="BO188" s="897"/>
      <c r="BP188" s="895"/>
      <c r="BQ188" s="896"/>
      <c r="BR188" s="768"/>
      <c r="BS188" s="895"/>
      <c r="BT188" s="768"/>
      <c r="BU188" s="768"/>
      <c r="BV188" s="897"/>
      <c r="BW188" s="895"/>
      <c r="BX188" s="896"/>
      <c r="BY188" s="768"/>
      <c r="BZ188" s="895"/>
      <c r="CA188" s="768"/>
      <c r="CB188" s="768"/>
      <c r="CC188" s="895"/>
      <c r="CD188" s="768"/>
      <c r="CE188" s="2552"/>
    </row>
    <row r="189" spans="1:83" ht="14.25" customHeight="1" x14ac:dyDescent="0.4">
      <c r="A189" s="249"/>
      <c r="B189" s="249"/>
      <c r="C189" s="584">
        <v>0.48611111111111099</v>
      </c>
      <c r="D189" s="587"/>
      <c r="E189" s="1048"/>
      <c r="F189" s="688"/>
      <c r="G189" s="588"/>
      <c r="H189" s="594"/>
      <c r="I189" s="994"/>
      <c r="J189" s="635"/>
      <c r="K189" s="971"/>
      <c r="L189" s="991"/>
      <c r="M189" s="995"/>
      <c r="N189" s="865"/>
      <c r="O189" s="791"/>
      <c r="P189" s="795"/>
      <c r="Q189" s="769"/>
      <c r="R189" s="992"/>
      <c r="S189" s="687"/>
      <c r="T189" s="664"/>
      <c r="U189" s="687"/>
      <c r="V189" s="709"/>
      <c r="W189" s="709"/>
      <c r="X189" s="993"/>
      <c r="Y189" s="995"/>
      <c r="Z189" s="865"/>
      <c r="AA189" s="791"/>
      <c r="AB189" s="908"/>
      <c r="AC189" s="990"/>
      <c r="AD189" s="908"/>
      <c r="AE189" s="895"/>
      <c r="AF189" s="896"/>
      <c r="AG189" s="768"/>
      <c r="AH189" s="895"/>
      <c r="AI189" s="896"/>
      <c r="AJ189" s="768"/>
      <c r="AK189" s="895"/>
      <c r="AL189" s="896"/>
      <c r="AM189" s="768"/>
      <c r="AN189" s="895"/>
      <c r="AO189" s="896"/>
      <c r="AP189" s="768"/>
      <c r="AQ189" s="895"/>
      <c r="AR189" s="896"/>
      <c r="AS189" s="768"/>
      <c r="AT189" s="895"/>
      <c r="AU189" s="896"/>
      <c r="AV189" s="768"/>
      <c r="AW189" s="895"/>
      <c r="AX189" s="896"/>
      <c r="AY189" s="768"/>
      <c r="AZ189" s="895"/>
      <c r="BA189" s="896"/>
      <c r="BB189" s="768"/>
      <c r="BC189" s="895"/>
      <c r="BD189" s="896"/>
      <c r="BE189" s="768"/>
      <c r="BF189" s="567"/>
      <c r="BG189" s="767"/>
      <c r="BH189" s="768"/>
      <c r="BI189" s="567"/>
      <c r="BJ189" s="767"/>
      <c r="BK189" s="768"/>
      <c r="BL189" s="895"/>
      <c r="BM189" s="896"/>
      <c r="BN189" s="768"/>
      <c r="BO189" s="897"/>
      <c r="BP189" s="895"/>
      <c r="BQ189" s="896"/>
      <c r="BR189" s="768"/>
      <c r="BS189" s="895"/>
      <c r="BT189" s="768"/>
      <c r="BU189" s="768"/>
      <c r="BV189" s="897"/>
      <c r="BW189" s="895"/>
      <c r="BX189" s="896"/>
      <c r="BY189" s="768"/>
      <c r="BZ189" s="895"/>
      <c r="CA189" s="768"/>
      <c r="CB189" s="768"/>
      <c r="CC189" s="895"/>
      <c r="CD189" s="768"/>
      <c r="CE189" s="2552"/>
    </row>
    <row r="190" spans="1:83" ht="18.75" customHeight="1" x14ac:dyDescent="0.4">
      <c r="A190" s="249"/>
      <c r="B190" s="249"/>
      <c r="C190" s="584">
        <v>0.48958333333333298</v>
      </c>
      <c r="D190" s="587"/>
      <c r="E190" s="1048"/>
      <c r="F190" s="688"/>
      <c r="G190" s="588"/>
      <c r="H190" s="594"/>
      <c r="I190" s="742"/>
      <c r="J190" s="635"/>
      <c r="K190" s="848"/>
      <c r="L190" s="705"/>
      <c r="M190" s="686"/>
      <c r="N190" s="793" t="s">
        <v>336</v>
      </c>
      <c r="O190" s="791"/>
      <c r="P190" s="977"/>
      <c r="Q190" s="851" t="s">
        <v>334</v>
      </c>
      <c r="R190" s="996"/>
      <c r="S190" s="664"/>
      <c r="T190" s="664" t="s">
        <v>331</v>
      </c>
      <c r="U190" s="687"/>
      <c r="V190" s="683"/>
      <c r="W190" s="709" t="s">
        <v>332</v>
      </c>
      <c r="X190" s="993"/>
      <c r="Y190" s="686"/>
      <c r="Z190" s="793" t="s">
        <v>336</v>
      </c>
      <c r="AA190" s="791"/>
      <c r="AB190" s="95"/>
      <c r="AC190" s="990"/>
      <c r="AD190" s="95"/>
      <c r="AE190" s="895"/>
      <c r="AF190" s="896"/>
      <c r="AG190" s="768"/>
      <c r="AH190" s="895"/>
      <c r="AI190" s="896"/>
      <c r="AJ190" s="768"/>
      <c r="AK190" s="895"/>
      <c r="AL190" s="896"/>
      <c r="AM190" s="768"/>
      <c r="AN190" s="895"/>
      <c r="AO190" s="896"/>
      <c r="AP190" s="768"/>
      <c r="AQ190" s="895"/>
      <c r="AR190" s="896"/>
      <c r="AS190" s="768"/>
      <c r="AT190" s="895"/>
      <c r="AU190" s="896"/>
      <c r="AV190" s="768"/>
      <c r="AW190" s="895"/>
      <c r="AX190" s="896"/>
      <c r="AY190" s="768"/>
      <c r="AZ190" s="895"/>
      <c r="BA190" s="896"/>
      <c r="BB190" s="768"/>
      <c r="BC190" s="895"/>
      <c r="BD190" s="896"/>
      <c r="BE190" s="768"/>
      <c r="BF190" s="567"/>
      <c r="BG190" s="767"/>
      <c r="BH190" s="768"/>
      <c r="BI190" s="567"/>
      <c r="BJ190" s="767"/>
      <c r="BK190" s="768"/>
      <c r="BL190" s="895"/>
      <c r="BM190" s="896"/>
      <c r="BN190" s="768"/>
      <c r="BO190" s="897"/>
      <c r="BP190" s="895"/>
      <c r="BQ190" s="896"/>
      <c r="BR190" s="768"/>
      <c r="BS190" s="895"/>
      <c r="BT190" s="768"/>
      <c r="BU190" s="768"/>
      <c r="BV190" s="897"/>
      <c r="BW190" s="895"/>
      <c r="BX190" s="896"/>
      <c r="BY190" s="768"/>
      <c r="BZ190" s="895"/>
      <c r="CA190" s="768"/>
      <c r="CB190" s="768"/>
      <c r="CC190" s="895"/>
      <c r="CD190" s="768"/>
      <c r="CE190" s="2552"/>
    </row>
    <row r="191" spans="1:83" ht="18.75" customHeight="1" x14ac:dyDescent="0.4">
      <c r="A191" s="249"/>
      <c r="B191" s="249"/>
      <c r="C191" s="584" t="s">
        <v>307</v>
      </c>
      <c r="D191" s="587"/>
      <c r="E191" s="688"/>
      <c r="F191" s="845"/>
      <c r="G191" s="588"/>
      <c r="H191" s="2682"/>
      <c r="I191" s="742"/>
      <c r="J191" s="635"/>
      <c r="K191" s="2571" t="s">
        <v>364</v>
      </c>
      <c r="L191" s="705"/>
      <c r="M191" s="685"/>
      <c r="N191" s="745" t="s">
        <v>333</v>
      </c>
      <c r="O191" s="685"/>
      <c r="P191" s="795"/>
      <c r="Q191" s="769"/>
      <c r="R191" s="708"/>
      <c r="S191" s="687"/>
      <c r="T191" s="664" t="s">
        <v>334</v>
      </c>
      <c r="U191" s="687"/>
      <c r="V191" s="709"/>
      <c r="W191" s="709" t="s">
        <v>335</v>
      </c>
      <c r="X191" s="684"/>
      <c r="Y191" s="685"/>
      <c r="Z191" s="745" t="s">
        <v>333</v>
      </c>
      <c r="AA191" s="685"/>
      <c r="AB191" s="908"/>
      <c r="AC191" s="990"/>
      <c r="AD191" s="908"/>
      <c r="AE191" s="895"/>
      <c r="AF191" s="768"/>
      <c r="AG191" s="768"/>
      <c r="AH191" s="895"/>
      <c r="AI191" s="768"/>
      <c r="AJ191" s="768"/>
      <c r="AK191" s="895"/>
      <c r="AL191" s="768"/>
      <c r="AM191" s="768"/>
      <c r="AN191" s="895"/>
      <c r="AO191" s="768"/>
      <c r="AP191" s="768"/>
      <c r="AQ191" s="895"/>
      <c r="AR191" s="768"/>
      <c r="AS191" s="768"/>
      <c r="AT191" s="895"/>
      <c r="AU191" s="768"/>
      <c r="AV191" s="768"/>
      <c r="AW191" s="895"/>
      <c r="AX191" s="768"/>
      <c r="AY191" s="768"/>
      <c r="AZ191" s="895"/>
      <c r="BA191" s="768"/>
      <c r="BB191" s="768"/>
      <c r="BC191" s="895"/>
      <c r="BD191" s="768"/>
      <c r="BE191" s="768"/>
      <c r="BF191" s="895"/>
      <c r="BG191" s="768"/>
      <c r="BH191" s="768"/>
      <c r="BI191" s="895"/>
      <c r="BJ191" s="768"/>
      <c r="BK191" s="768"/>
      <c r="BL191" s="895"/>
      <c r="BM191" s="768"/>
      <c r="BN191" s="768"/>
      <c r="BO191" s="897"/>
      <c r="BP191" s="895"/>
      <c r="BQ191" s="768"/>
      <c r="BR191" s="768"/>
      <c r="BS191" s="895"/>
      <c r="BT191" s="768"/>
      <c r="BU191" s="768"/>
      <c r="BV191" s="897"/>
      <c r="BW191" s="895"/>
      <c r="BX191" s="768"/>
      <c r="BY191" s="768"/>
      <c r="BZ191" s="895"/>
      <c r="CA191" s="768"/>
      <c r="CB191" s="768"/>
      <c r="CC191" s="895"/>
      <c r="CD191" s="768"/>
      <c r="CE191" s="2552"/>
    </row>
    <row r="192" spans="1:83" ht="18.75" customHeight="1" x14ac:dyDescent="0.4">
      <c r="A192" s="249"/>
      <c r="B192" s="249"/>
      <c r="C192" s="584" t="s">
        <v>307</v>
      </c>
      <c r="D192" s="587"/>
      <c r="E192" s="688"/>
      <c r="F192" s="688"/>
      <c r="G192" s="588"/>
      <c r="H192" s="2682"/>
      <c r="I192" s="742"/>
      <c r="J192" s="582"/>
      <c r="K192" s="2562"/>
      <c r="L192" s="849"/>
      <c r="M192" s="685"/>
      <c r="N192" s="865"/>
      <c r="O192" s="685"/>
      <c r="P192" s="997"/>
      <c r="Q192" s="998"/>
      <c r="R192" s="999"/>
      <c r="S192" s="687"/>
      <c r="T192" s="1990"/>
      <c r="U192" s="908"/>
      <c r="V192" s="709"/>
      <c r="W192" s="788" t="s">
        <v>594</v>
      </c>
      <c r="X192" s="993"/>
      <c r="Y192" s="685"/>
      <c r="Z192" s="865" t="s">
        <v>351</v>
      </c>
      <c r="AA192" s="685"/>
      <c r="AB192" s="95"/>
      <c r="AC192" s="990"/>
      <c r="AD192" s="95"/>
      <c r="AE192" s="895"/>
      <c r="AF192" s="768"/>
      <c r="AG192" s="768"/>
      <c r="AH192" s="895"/>
      <c r="AI192" s="768"/>
      <c r="AJ192" s="768"/>
      <c r="AK192" s="895"/>
      <c r="AL192" s="768"/>
      <c r="AM192" s="768"/>
      <c r="AN192" s="895"/>
      <c r="AO192" s="768"/>
      <c r="AP192" s="768"/>
      <c r="AQ192" s="895"/>
      <c r="AR192" s="768"/>
      <c r="AS192" s="768"/>
      <c r="AT192" s="895"/>
      <c r="AU192" s="768"/>
      <c r="AV192" s="768"/>
      <c r="AW192" s="895"/>
      <c r="AX192" s="768"/>
      <c r="AY192" s="768"/>
      <c r="AZ192" s="895"/>
      <c r="BA192" s="768"/>
      <c r="BB192" s="768"/>
      <c r="BC192" s="895"/>
      <c r="BD192" s="768"/>
      <c r="BE192" s="768"/>
      <c r="BF192" s="895"/>
      <c r="BG192" s="768"/>
      <c r="BH192" s="768"/>
      <c r="BI192" s="895"/>
      <c r="BJ192" s="768"/>
      <c r="BK192" s="768"/>
      <c r="BL192" s="895"/>
      <c r="BM192" s="768"/>
      <c r="BN192" s="768"/>
      <c r="BO192" s="897"/>
      <c r="BP192" s="895"/>
      <c r="BQ192" s="768"/>
      <c r="BR192" s="768"/>
      <c r="BS192" s="895"/>
      <c r="BT192" s="768"/>
      <c r="BU192" s="768"/>
      <c r="BV192" s="897"/>
      <c r="BW192" s="895"/>
      <c r="BX192" s="768"/>
      <c r="BY192" s="768"/>
      <c r="BZ192" s="895"/>
      <c r="CA192" s="768"/>
      <c r="CB192" s="768"/>
      <c r="CC192" s="895"/>
      <c r="CD192" s="768"/>
      <c r="CE192" s="2552"/>
    </row>
    <row r="193" spans="1:83" ht="18.75" customHeight="1" x14ac:dyDescent="0.4">
      <c r="A193" s="249"/>
      <c r="B193" s="249"/>
      <c r="C193" s="584" t="s">
        <v>307</v>
      </c>
      <c r="D193" s="844"/>
      <c r="E193" s="688"/>
      <c r="F193" s="845"/>
      <c r="G193" s="846"/>
      <c r="H193" s="2682"/>
      <c r="I193" s="847"/>
      <c r="J193" s="582"/>
      <c r="K193" s="2562"/>
      <c r="L193" s="849"/>
      <c r="M193" s="905"/>
      <c r="N193" s="906"/>
      <c r="O193" s="907"/>
      <c r="P193" s="997"/>
      <c r="Q193" s="998"/>
      <c r="R193" s="999"/>
      <c r="S193" s="687"/>
      <c r="T193" s="664"/>
      <c r="U193" s="908"/>
      <c r="V193" s="709"/>
      <c r="W193" s="788"/>
      <c r="X193" s="993"/>
      <c r="Y193" s="905"/>
      <c r="Z193" s="906"/>
      <c r="AA193" s="907"/>
      <c r="AB193" s="908"/>
      <c r="AC193" s="990"/>
      <c r="AD193" s="908"/>
      <c r="AE193" s="895"/>
      <c r="AF193" s="768"/>
      <c r="AG193" s="768"/>
      <c r="AH193" s="895"/>
      <c r="AI193" s="768"/>
      <c r="AJ193" s="768"/>
      <c r="AK193" s="895"/>
      <c r="AL193" s="768"/>
      <c r="AM193" s="768"/>
      <c r="AN193" s="895"/>
      <c r="AO193" s="768"/>
      <c r="AP193" s="768"/>
      <c r="AQ193" s="895"/>
      <c r="AR193" s="768"/>
      <c r="AS193" s="768"/>
      <c r="AT193" s="895"/>
      <c r="AU193" s="768"/>
      <c r="AV193" s="768"/>
      <c r="AW193" s="895"/>
      <c r="AX193" s="768"/>
      <c r="AY193" s="768"/>
      <c r="AZ193" s="895"/>
      <c r="BA193" s="768"/>
      <c r="BB193" s="768"/>
      <c r="BC193" s="895"/>
      <c r="BD193" s="768"/>
      <c r="BE193" s="768"/>
      <c r="BF193" s="895"/>
      <c r="BG193" s="768"/>
      <c r="BH193" s="768"/>
      <c r="BI193" s="895"/>
      <c r="BJ193" s="768"/>
      <c r="BK193" s="768"/>
      <c r="BL193" s="895"/>
      <c r="BM193" s="768"/>
      <c r="BN193" s="768"/>
      <c r="BO193" s="897"/>
      <c r="BP193" s="895"/>
      <c r="BQ193" s="768"/>
      <c r="BR193" s="768"/>
      <c r="BS193" s="895"/>
      <c r="BT193" s="768"/>
      <c r="BU193" s="768"/>
      <c r="BV193" s="897"/>
      <c r="BW193" s="895"/>
      <c r="BX193" s="768"/>
      <c r="BY193" s="768"/>
      <c r="BZ193" s="895"/>
      <c r="CA193" s="768"/>
      <c r="CB193" s="768"/>
      <c r="CC193" s="895"/>
      <c r="CD193" s="768"/>
      <c r="CE193" s="2552"/>
    </row>
    <row r="194" spans="1:83" ht="18.75" customHeight="1" x14ac:dyDescent="0.4">
      <c r="A194" s="249"/>
      <c r="B194" s="249"/>
      <c r="C194" s="584" t="s">
        <v>307</v>
      </c>
      <c r="D194" s="844"/>
      <c r="E194" s="688"/>
      <c r="F194" s="845"/>
      <c r="G194" s="846"/>
      <c r="H194" s="2682"/>
      <c r="I194" s="847"/>
      <c r="J194" s="582"/>
      <c r="K194" s="2562"/>
      <c r="L194" s="849"/>
      <c r="M194" s="905"/>
      <c r="N194" s="906"/>
      <c r="O194" s="907"/>
      <c r="P194" s="997"/>
      <c r="Q194" s="998"/>
      <c r="R194" s="999"/>
      <c r="S194" s="687"/>
      <c r="T194" s="664"/>
      <c r="U194" s="908"/>
      <c r="V194" s="709"/>
      <c r="W194" s="709"/>
      <c r="X194" s="993"/>
      <c r="Y194" s="905"/>
      <c r="Z194" s="906"/>
      <c r="AA194" s="907"/>
      <c r="AB194" s="908"/>
      <c r="AC194" s="990"/>
      <c r="AD194" s="908"/>
      <c r="AE194" s="895"/>
      <c r="AF194" s="768"/>
      <c r="AG194" s="768"/>
      <c r="AH194" s="895"/>
      <c r="AI194" s="768"/>
      <c r="AJ194" s="768"/>
      <c r="AK194" s="895"/>
      <c r="AL194" s="768"/>
      <c r="AM194" s="768"/>
      <c r="AN194" s="895"/>
      <c r="AO194" s="768"/>
      <c r="AP194" s="768"/>
      <c r="AQ194" s="895"/>
      <c r="AR194" s="768"/>
      <c r="AS194" s="768"/>
      <c r="AT194" s="895"/>
      <c r="AU194" s="768"/>
      <c r="AV194" s="768"/>
      <c r="AW194" s="895"/>
      <c r="AX194" s="768"/>
      <c r="AY194" s="768"/>
      <c r="AZ194" s="895"/>
      <c r="BA194" s="768"/>
      <c r="BB194" s="768"/>
      <c r="BC194" s="895"/>
      <c r="BD194" s="768"/>
      <c r="BE194" s="768"/>
      <c r="BF194" s="895"/>
      <c r="BG194" s="768"/>
      <c r="BH194" s="768"/>
      <c r="BI194" s="895"/>
      <c r="BJ194" s="768"/>
      <c r="BK194" s="768"/>
      <c r="BL194" s="895"/>
      <c r="BM194" s="768"/>
      <c r="BN194" s="768"/>
      <c r="BO194" s="897"/>
      <c r="BP194" s="895"/>
      <c r="BQ194" s="768"/>
      <c r="BR194" s="768"/>
      <c r="BS194" s="895"/>
      <c r="BT194" s="768"/>
      <c r="BU194" s="768"/>
      <c r="BV194" s="897"/>
      <c r="BW194" s="895"/>
      <c r="BX194" s="768"/>
      <c r="BY194" s="768"/>
      <c r="BZ194" s="895"/>
      <c r="CA194" s="768"/>
      <c r="CB194" s="768"/>
      <c r="CC194" s="895"/>
      <c r="CD194" s="768"/>
      <c r="CE194" s="2552"/>
    </row>
    <row r="195" spans="1:83" ht="18.75" customHeight="1" x14ac:dyDescent="0.4">
      <c r="A195" s="249"/>
      <c r="B195" s="249"/>
      <c r="C195" s="584" t="s">
        <v>307</v>
      </c>
      <c r="D195" s="844"/>
      <c r="E195" s="688"/>
      <c r="F195" s="845"/>
      <c r="G195" s="846"/>
      <c r="H195" s="2682"/>
      <c r="I195" s="847"/>
      <c r="J195" s="582"/>
      <c r="K195" s="2562"/>
      <c r="L195" s="849"/>
      <c r="M195" s="905"/>
      <c r="N195" s="906"/>
      <c r="O195" s="907"/>
      <c r="P195" s="997"/>
      <c r="Q195" s="998"/>
      <c r="R195" s="999"/>
      <c r="S195" s="687"/>
      <c r="T195" s="664"/>
      <c r="U195" s="908"/>
      <c r="V195" s="709"/>
      <c r="W195" s="709"/>
      <c r="X195" s="993"/>
      <c r="Y195" s="905"/>
      <c r="Z195" s="906"/>
      <c r="AA195" s="907"/>
      <c r="AB195" s="908"/>
      <c r="AC195" s="990"/>
      <c r="AD195" s="908"/>
      <c r="AE195" s="895"/>
      <c r="AF195" s="768"/>
      <c r="AG195" s="768"/>
      <c r="AH195" s="895"/>
      <c r="AI195" s="768"/>
      <c r="AJ195" s="768"/>
      <c r="AK195" s="895"/>
      <c r="AL195" s="768"/>
      <c r="AM195" s="768"/>
      <c r="AN195" s="895"/>
      <c r="AO195" s="768"/>
      <c r="AP195" s="768"/>
      <c r="AQ195" s="895"/>
      <c r="AR195" s="768"/>
      <c r="AS195" s="768"/>
      <c r="AT195" s="895"/>
      <c r="AU195" s="768"/>
      <c r="AV195" s="768"/>
      <c r="AW195" s="895"/>
      <c r="AX195" s="768"/>
      <c r="AY195" s="768"/>
      <c r="AZ195" s="895"/>
      <c r="BA195" s="768"/>
      <c r="BB195" s="768"/>
      <c r="BC195" s="895"/>
      <c r="BD195" s="768"/>
      <c r="BE195" s="768"/>
      <c r="BF195" s="895"/>
      <c r="BG195" s="768"/>
      <c r="BH195" s="768"/>
      <c r="BI195" s="895"/>
      <c r="BJ195" s="768"/>
      <c r="BK195" s="768"/>
      <c r="BL195" s="895"/>
      <c r="BM195" s="768"/>
      <c r="BN195" s="768"/>
      <c r="BO195" s="897"/>
      <c r="BP195" s="895"/>
      <c r="BQ195" s="768"/>
      <c r="BR195" s="768"/>
      <c r="BS195" s="895"/>
      <c r="BT195" s="768"/>
      <c r="BU195" s="768"/>
      <c r="BV195" s="897"/>
      <c r="BW195" s="895"/>
      <c r="BX195" s="768"/>
      <c r="BY195" s="768"/>
      <c r="BZ195" s="895"/>
      <c r="CA195" s="768"/>
      <c r="CB195" s="768"/>
      <c r="CC195" s="895"/>
      <c r="CD195" s="768"/>
      <c r="CE195" s="2552"/>
    </row>
    <row r="196" spans="1:83" ht="18.75" customHeight="1" x14ac:dyDescent="0.4">
      <c r="A196" s="249"/>
      <c r="B196" s="249"/>
      <c r="C196" s="584" t="s">
        <v>307</v>
      </c>
      <c r="D196" s="844"/>
      <c r="E196" s="688"/>
      <c r="F196" s="845"/>
      <c r="G196" s="846"/>
      <c r="H196" s="2682"/>
      <c r="I196" s="847"/>
      <c r="J196" s="635"/>
      <c r="K196" s="2562"/>
      <c r="L196" s="849"/>
      <c r="M196" s="905"/>
      <c r="N196" s="928"/>
      <c r="O196" s="915"/>
      <c r="P196" s="977"/>
      <c r="Q196" s="1001"/>
      <c r="R196" s="999"/>
      <c r="S196" s="687"/>
      <c r="T196" s="664"/>
      <c r="U196" s="908"/>
      <c r="V196" s="709"/>
      <c r="W196" s="1002"/>
      <c r="X196" s="684"/>
      <c r="Y196" s="905"/>
      <c r="Z196" s="928"/>
      <c r="AA196" s="915"/>
      <c r="AB196" s="95"/>
      <c r="AC196" s="990"/>
      <c r="AD196" s="95"/>
      <c r="AE196" s="895"/>
      <c r="AF196" s="768"/>
      <c r="AG196" s="768"/>
      <c r="AH196" s="895"/>
      <c r="AI196" s="768"/>
      <c r="AJ196" s="768"/>
      <c r="AK196" s="895"/>
      <c r="AL196" s="768"/>
      <c r="AM196" s="768"/>
      <c r="AN196" s="895"/>
      <c r="AO196" s="768"/>
      <c r="AP196" s="768"/>
      <c r="AQ196" s="895"/>
      <c r="AR196" s="768"/>
      <c r="AS196" s="768"/>
      <c r="AT196" s="895"/>
      <c r="AU196" s="768"/>
      <c r="AV196" s="768"/>
      <c r="AW196" s="895"/>
      <c r="AX196" s="768"/>
      <c r="AY196" s="768"/>
      <c r="AZ196" s="895"/>
      <c r="BA196" s="768"/>
      <c r="BB196" s="768"/>
      <c r="BC196" s="895"/>
      <c r="BD196" s="768"/>
      <c r="BE196" s="768"/>
      <c r="BF196" s="895"/>
      <c r="BG196" s="768"/>
      <c r="BH196" s="768"/>
      <c r="BI196" s="895"/>
      <c r="BJ196" s="768"/>
      <c r="BK196" s="768"/>
      <c r="BL196" s="895"/>
      <c r="BM196" s="768"/>
      <c r="BN196" s="768"/>
      <c r="BO196" s="897"/>
      <c r="BP196" s="895"/>
      <c r="BQ196" s="768"/>
      <c r="BR196" s="768"/>
      <c r="BS196" s="895"/>
      <c r="BT196" s="768"/>
      <c r="BU196" s="768"/>
      <c r="BV196" s="897"/>
      <c r="BW196" s="895"/>
      <c r="BX196" s="768"/>
      <c r="BY196" s="768"/>
      <c r="BZ196" s="895"/>
      <c r="CA196" s="768"/>
      <c r="CB196" s="768"/>
      <c r="CC196" s="895"/>
      <c r="CD196" s="768"/>
      <c r="CE196" s="2552"/>
    </row>
    <row r="197" spans="1:83" ht="18.75" customHeight="1" x14ac:dyDescent="0.4">
      <c r="A197" s="249"/>
      <c r="B197" s="249"/>
      <c r="C197" s="584">
        <v>0.49305555555555503</v>
      </c>
      <c r="D197" s="587"/>
      <c r="E197" s="688"/>
      <c r="F197" s="1003"/>
      <c r="G197" s="588"/>
      <c r="H197" s="2682"/>
      <c r="I197" s="847"/>
      <c r="J197" s="1004"/>
      <c r="K197" s="2562"/>
      <c r="L197" s="1005"/>
      <c r="M197" s="686"/>
      <c r="N197" s="745"/>
      <c r="O197" s="686"/>
      <c r="P197" s="1006"/>
      <c r="Q197" s="1001"/>
      <c r="R197" s="1007"/>
      <c r="S197" s="664"/>
      <c r="T197" s="664"/>
      <c r="U197" s="964"/>
      <c r="V197" s="871"/>
      <c r="W197" s="709"/>
      <c r="X197" s="1009"/>
      <c r="Y197" s="686"/>
      <c r="Z197" s="745"/>
      <c r="AA197" s="686"/>
      <c r="AB197" s="964"/>
      <c r="AC197" s="964"/>
      <c r="AD197" s="964"/>
      <c r="AE197" s="895"/>
      <c r="AF197" s="768"/>
      <c r="AG197" s="768"/>
      <c r="AH197" s="895"/>
      <c r="AI197" s="768"/>
      <c r="AJ197" s="768"/>
      <c r="AK197" s="895"/>
      <c r="AL197" s="768"/>
      <c r="AM197" s="768"/>
      <c r="AN197" s="895"/>
      <c r="AO197" s="768"/>
      <c r="AP197" s="768"/>
      <c r="AQ197" s="895"/>
      <c r="AR197" s="768"/>
      <c r="AS197" s="768"/>
      <c r="AT197" s="895"/>
      <c r="AU197" s="768"/>
      <c r="AV197" s="768"/>
      <c r="AW197" s="895"/>
      <c r="AX197" s="768"/>
      <c r="AY197" s="768"/>
      <c r="AZ197" s="895"/>
      <c r="BA197" s="768"/>
      <c r="BB197" s="768"/>
      <c r="BC197" s="895"/>
      <c r="BD197" s="768"/>
      <c r="BE197" s="768"/>
      <c r="BF197" s="895"/>
      <c r="BG197" s="768"/>
      <c r="BH197" s="768"/>
      <c r="BI197" s="895"/>
      <c r="BJ197" s="768"/>
      <c r="BK197" s="768"/>
      <c r="BL197" s="895"/>
      <c r="BM197" s="768"/>
      <c r="BN197" s="768"/>
      <c r="BO197" s="897"/>
      <c r="BP197" s="895"/>
      <c r="BQ197" s="768"/>
      <c r="BR197" s="768"/>
      <c r="BS197" s="895"/>
      <c r="BT197" s="768"/>
      <c r="BU197" s="768"/>
      <c r="BV197" s="897"/>
      <c r="BW197" s="895"/>
      <c r="BX197" s="768"/>
      <c r="BY197" s="768"/>
      <c r="BZ197" s="895"/>
      <c r="CA197" s="768"/>
      <c r="CB197" s="768"/>
      <c r="CC197" s="895"/>
      <c r="CD197" s="768"/>
      <c r="CE197" s="2552"/>
    </row>
    <row r="198" spans="1:83" ht="18.75" customHeight="1" x14ac:dyDescent="0.4">
      <c r="A198" s="249"/>
      <c r="B198" s="249"/>
      <c r="C198" s="621">
        <v>0.49652777777777701</v>
      </c>
      <c r="D198" s="1010"/>
      <c r="E198" s="688"/>
      <c r="F198" s="1011"/>
      <c r="G198" s="1012"/>
      <c r="H198" s="2682"/>
      <c r="I198" s="873"/>
      <c r="J198" s="1013"/>
      <c r="K198" s="2563"/>
      <c r="L198" s="875"/>
      <c r="M198" s="881"/>
      <c r="N198" s="882"/>
      <c r="O198" s="881"/>
      <c r="P198" s="1014"/>
      <c r="Q198" s="1015"/>
      <c r="R198" s="1016"/>
      <c r="S198" s="1932"/>
      <c r="T198" s="2755"/>
      <c r="U198" s="1021"/>
      <c r="V198" s="1019"/>
      <c r="W198" s="880"/>
      <c r="X198" s="1020"/>
      <c r="Y198" s="881"/>
      <c r="Z198" s="882"/>
      <c r="AA198" s="881"/>
      <c r="AB198" s="1021"/>
      <c r="AC198" s="1021"/>
      <c r="AD198" s="1021"/>
      <c r="AE198" s="895"/>
      <c r="AF198" s="768"/>
      <c r="AG198" s="768"/>
      <c r="AH198" s="895"/>
      <c r="AI198" s="768"/>
      <c r="AJ198" s="768"/>
      <c r="AK198" s="895"/>
      <c r="AL198" s="768"/>
      <c r="AM198" s="768"/>
      <c r="AN198" s="895"/>
      <c r="AO198" s="768"/>
      <c r="AP198" s="768"/>
      <c r="AQ198" s="895"/>
      <c r="AR198" s="768"/>
      <c r="AS198" s="768"/>
      <c r="AT198" s="895"/>
      <c r="AU198" s="768"/>
      <c r="AV198" s="768"/>
      <c r="AW198" s="895"/>
      <c r="AX198" s="768"/>
      <c r="AY198" s="768"/>
      <c r="AZ198" s="895"/>
      <c r="BA198" s="768"/>
      <c r="BB198" s="768"/>
      <c r="BC198" s="895"/>
      <c r="BD198" s="768"/>
      <c r="BE198" s="768"/>
      <c r="BF198" s="895"/>
      <c r="BG198" s="768"/>
      <c r="BH198" s="768"/>
      <c r="BI198" s="895"/>
      <c r="BJ198" s="768"/>
      <c r="BK198" s="768"/>
      <c r="BL198" s="895"/>
      <c r="BM198" s="768"/>
      <c r="BN198" s="768"/>
      <c r="BO198" s="897"/>
      <c r="BP198" s="895"/>
      <c r="BQ198" s="768"/>
      <c r="BR198" s="768"/>
      <c r="BS198" s="895"/>
      <c r="BT198" s="768"/>
      <c r="BU198" s="768"/>
      <c r="BV198" s="897"/>
      <c r="BW198" s="895"/>
      <c r="BX198" s="768"/>
      <c r="BY198" s="768"/>
      <c r="BZ198" s="895"/>
      <c r="CA198" s="768"/>
      <c r="CB198" s="768"/>
      <c r="CC198" s="895"/>
      <c r="CD198" s="567"/>
      <c r="CE198" s="2552"/>
    </row>
    <row r="199" spans="1:83" ht="18" customHeight="1" x14ac:dyDescent="0.4">
      <c r="A199" s="249"/>
      <c r="B199" s="249"/>
      <c r="C199" s="622">
        <v>0.5</v>
      </c>
      <c r="D199" s="587"/>
      <c r="E199" s="818"/>
      <c r="F199" s="688"/>
      <c r="G199" s="588"/>
      <c r="H199" s="2682"/>
      <c r="I199" s="742"/>
      <c r="J199" s="635"/>
      <c r="K199" s="2562"/>
      <c r="L199" s="705"/>
      <c r="M199" s="791"/>
      <c r="N199" s="745" t="s">
        <v>330</v>
      </c>
      <c r="O199" s="791"/>
      <c r="P199" s="977"/>
      <c r="Q199" s="851" t="s">
        <v>365</v>
      </c>
      <c r="R199" s="996"/>
      <c r="S199" s="664"/>
      <c r="T199" s="664" t="s">
        <v>331</v>
      </c>
      <c r="U199" s="687"/>
      <c r="V199" s="886"/>
      <c r="W199" s="709" t="s">
        <v>332</v>
      </c>
      <c r="X199" s="684"/>
      <c r="Y199" s="791"/>
      <c r="Z199" s="745" t="s">
        <v>330</v>
      </c>
      <c r="AA199" s="791"/>
      <c r="AB199" s="967"/>
      <c r="AC199" s="784"/>
      <c r="AD199" s="967"/>
      <c r="AE199" s="895"/>
      <c r="AF199" s="566"/>
      <c r="AG199" s="567"/>
      <c r="AH199" s="895"/>
      <c r="AI199" s="566"/>
      <c r="AJ199" s="567"/>
      <c r="AK199" s="895"/>
      <c r="AL199" s="566"/>
      <c r="AM199" s="567"/>
      <c r="AN199" s="895"/>
      <c r="AO199" s="566"/>
      <c r="AP199" s="567"/>
      <c r="AQ199" s="895"/>
      <c r="AR199" s="566"/>
      <c r="AS199" s="567"/>
      <c r="AT199" s="895"/>
      <c r="AU199" s="566"/>
      <c r="AV199" s="567"/>
      <c r="AW199" s="895"/>
      <c r="AX199" s="566"/>
      <c r="AY199" s="567"/>
      <c r="AZ199" s="895"/>
      <c r="BA199" s="566"/>
      <c r="BB199" s="567"/>
      <c r="BC199" s="895"/>
      <c r="BD199" s="566"/>
      <c r="BE199" s="567"/>
      <c r="BF199" s="895"/>
      <c r="BG199" s="768"/>
      <c r="BH199" s="768"/>
      <c r="BI199" s="895"/>
      <c r="BJ199" s="768"/>
      <c r="BK199" s="768"/>
      <c r="BL199" s="895"/>
      <c r="BM199" s="566"/>
      <c r="BN199" s="567"/>
      <c r="BO199" s="897"/>
      <c r="BP199" s="895"/>
      <c r="BQ199" s="566"/>
      <c r="BR199" s="567"/>
      <c r="BS199" s="895"/>
      <c r="BT199" s="567"/>
      <c r="BU199" s="567"/>
      <c r="BV199" s="897"/>
      <c r="BW199" s="895"/>
      <c r="BX199" s="566"/>
      <c r="BY199" s="567"/>
      <c r="BZ199" s="895"/>
      <c r="CA199" s="567"/>
      <c r="CB199" s="567"/>
      <c r="CC199" s="895"/>
      <c r="CD199" s="567"/>
      <c r="CE199" s="2807"/>
    </row>
    <row r="200" spans="1:83" ht="17.850000000000001" customHeight="1" x14ac:dyDescent="0.4">
      <c r="A200" s="249"/>
      <c r="B200" s="249"/>
      <c r="C200" s="584" t="s">
        <v>307</v>
      </c>
      <c r="D200" s="587"/>
      <c r="E200" s="688"/>
      <c r="F200" s="845"/>
      <c r="G200" s="588"/>
      <c r="H200" s="2682"/>
      <c r="I200" s="742"/>
      <c r="J200" s="635"/>
      <c r="K200" s="2562"/>
      <c r="L200" s="705"/>
      <c r="M200" s="685"/>
      <c r="N200" s="745" t="s">
        <v>333</v>
      </c>
      <c r="O200" s="791"/>
      <c r="P200" s="977"/>
      <c r="Q200" s="707"/>
      <c r="R200" s="996"/>
      <c r="S200" s="664"/>
      <c r="T200" s="664" t="s">
        <v>334</v>
      </c>
      <c r="U200" s="687"/>
      <c r="V200" s="683"/>
      <c r="W200" s="709" t="s">
        <v>335</v>
      </c>
      <c r="X200" s="1022"/>
      <c r="Y200" s="685"/>
      <c r="Z200" s="745" t="s">
        <v>333</v>
      </c>
      <c r="AA200" s="791"/>
      <c r="AB200" s="1023"/>
      <c r="AC200" s="1023"/>
      <c r="AD200" s="1023"/>
      <c r="AE200" s="895"/>
      <c r="AF200" s="566"/>
      <c r="AG200" s="567"/>
      <c r="AH200" s="895"/>
      <c r="AI200" s="566"/>
      <c r="AJ200" s="567"/>
      <c r="AK200" s="895"/>
      <c r="AL200" s="566"/>
      <c r="AM200" s="567"/>
      <c r="AN200" s="895"/>
      <c r="AO200" s="566"/>
      <c r="AP200" s="567"/>
      <c r="AQ200" s="895"/>
      <c r="AR200" s="566"/>
      <c r="AS200" s="567"/>
      <c r="AT200" s="895"/>
      <c r="AU200" s="566"/>
      <c r="AV200" s="567"/>
      <c r="AW200" s="895"/>
      <c r="AX200" s="566"/>
      <c r="AY200" s="567"/>
      <c r="AZ200" s="895"/>
      <c r="BA200" s="566"/>
      <c r="BB200" s="567"/>
      <c r="BC200" s="895"/>
      <c r="BD200" s="566"/>
      <c r="BE200" s="567"/>
      <c r="BF200" s="895"/>
      <c r="BG200" s="768"/>
      <c r="BH200" s="768"/>
      <c r="BI200" s="895"/>
      <c r="BJ200" s="768"/>
      <c r="BK200" s="768"/>
      <c r="BL200" s="895"/>
      <c r="BM200" s="566"/>
      <c r="BN200" s="567"/>
      <c r="BO200" s="897"/>
      <c r="BP200" s="895"/>
      <c r="BQ200" s="566"/>
      <c r="BR200" s="567"/>
      <c r="BS200" s="895"/>
      <c r="BT200" s="567"/>
      <c r="BU200" s="567"/>
      <c r="BV200" s="897"/>
      <c r="BW200" s="895"/>
      <c r="BX200" s="566"/>
      <c r="BY200" s="567"/>
      <c r="BZ200" s="895"/>
      <c r="CA200" s="567"/>
      <c r="CB200" s="567"/>
      <c r="CC200" s="895"/>
      <c r="CD200" s="567"/>
      <c r="CE200" s="2807"/>
    </row>
    <row r="201" spans="1:83" ht="17.850000000000001" customHeight="1" x14ac:dyDescent="0.4">
      <c r="A201" s="249"/>
      <c r="B201" s="249"/>
      <c r="C201" s="584" t="s">
        <v>307</v>
      </c>
      <c r="D201" s="587"/>
      <c r="E201" s="688"/>
      <c r="F201" s="688"/>
      <c r="G201" s="588"/>
      <c r="H201" s="2682"/>
      <c r="I201" s="742"/>
      <c r="J201" s="635"/>
      <c r="K201" s="2562"/>
      <c r="L201" s="705"/>
      <c r="M201" s="685"/>
      <c r="N201" s="745"/>
      <c r="O201" s="685"/>
      <c r="P201" s="977"/>
      <c r="Q201" s="707"/>
      <c r="R201" s="996"/>
      <c r="S201" s="664"/>
      <c r="T201" s="1990"/>
      <c r="U201" s="687"/>
      <c r="V201" s="709"/>
      <c r="W201" s="788" t="s">
        <v>351</v>
      </c>
      <c r="X201" s="1022"/>
      <c r="Y201" s="685"/>
      <c r="Z201" s="745"/>
      <c r="AA201" s="685"/>
      <c r="AB201" s="687"/>
      <c r="AC201" s="687"/>
      <c r="AD201" s="687"/>
      <c r="AE201" s="895"/>
      <c r="AF201" s="566"/>
      <c r="AG201" s="567"/>
      <c r="AH201" s="895"/>
      <c r="AI201" s="566"/>
      <c r="AJ201" s="567"/>
      <c r="AK201" s="895"/>
      <c r="AL201" s="566"/>
      <c r="AM201" s="567"/>
      <c r="AN201" s="895"/>
      <c r="AO201" s="566"/>
      <c r="AP201" s="567"/>
      <c r="AQ201" s="895"/>
      <c r="AR201" s="566"/>
      <c r="AS201" s="567"/>
      <c r="AT201" s="895"/>
      <c r="AU201" s="566"/>
      <c r="AV201" s="567"/>
      <c r="AW201" s="895"/>
      <c r="AX201" s="566"/>
      <c r="AY201" s="567"/>
      <c r="AZ201" s="895"/>
      <c r="BA201" s="566"/>
      <c r="BB201" s="567"/>
      <c r="BC201" s="895"/>
      <c r="BD201" s="566"/>
      <c r="BE201" s="567"/>
      <c r="BF201" s="895"/>
      <c r="BG201" s="768"/>
      <c r="BH201" s="768"/>
      <c r="BI201" s="895"/>
      <c r="BJ201" s="768"/>
      <c r="BK201" s="768"/>
      <c r="BL201" s="895"/>
      <c r="BM201" s="566"/>
      <c r="BN201" s="567"/>
      <c r="BO201" s="897"/>
      <c r="BP201" s="895"/>
      <c r="BQ201" s="566"/>
      <c r="BR201" s="567"/>
      <c r="BS201" s="895"/>
      <c r="BT201" s="567"/>
      <c r="BU201" s="567"/>
      <c r="BV201" s="897"/>
      <c r="BW201" s="895"/>
      <c r="BX201" s="566"/>
      <c r="BY201" s="567"/>
      <c r="BZ201" s="895"/>
      <c r="CA201" s="567"/>
      <c r="CB201" s="567"/>
      <c r="CC201" s="895"/>
      <c r="CD201" s="567"/>
      <c r="CE201" s="2807"/>
    </row>
    <row r="202" spans="1:83" ht="13.5" customHeight="1" x14ac:dyDescent="0.4">
      <c r="A202" s="249"/>
      <c r="B202" s="249"/>
      <c r="C202" s="584" t="s">
        <v>307</v>
      </c>
      <c r="D202" s="587"/>
      <c r="E202" s="688"/>
      <c r="F202" s="688"/>
      <c r="G202" s="588"/>
      <c r="H202" s="2682"/>
      <c r="I202" s="742"/>
      <c r="J202" s="635"/>
      <c r="K202" s="2562"/>
      <c r="L202" s="705"/>
      <c r="M202" s="685"/>
      <c r="N202" s="745"/>
      <c r="O202" s="685"/>
      <c r="P202" s="977"/>
      <c r="Q202" s="707"/>
      <c r="R202" s="996"/>
      <c r="S202" s="664"/>
      <c r="T202" s="664"/>
      <c r="U202" s="687"/>
      <c r="V202" s="898"/>
      <c r="W202" s="1024"/>
      <c r="X202" s="1022"/>
      <c r="Y202" s="685"/>
      <c r="Z202" s="745"/>
      <c r="AA202" s="685"/>
      <c r="AB202" s="1023"/>
      <c r="AC202" s="1023"/>
      <c r="AD202" s="1023"/>
      <c r="AE202" s="895"/>
      <c r="AF202" s="566"/>
      <c r="AG202" s="567"/>
      <c r="AH202" s="895"/>
      <c r="AI202" s="566"/>
      <c r="AJ202" s="567"/>
      <c r="AK202" s="895"/>
      <c r="AL202" s="566"/>
      <c r="AM202" s="567"/>
      <c r="AN202" s="895"/>
      <c r="AO202" s="566"/>
      <c r="AP202" s="567"/>
      <c r="AQ202" s="895"/>
      <c r="AR202" s="566"/>
      <c r="AS202" s="567"/>
      <c r="AT202" s="895"/>
      <c r="AU202" s="566"/>
      <c r="AV202" s="567"/>
      <c r="AW202" s="895"/>
      <c r="AX202" s="566"/>
      <c r="AY202" s="567"/>
      <c r="AZ202" s="895"/>
      <c r="BA202" s="566"/>
      <c r="BB202" s="567"/>
      <c r="BC202" s="895"/>
      <c r="BD202" s="566"/>
      <c r="BE202" s="567"/>
      <c r="BF202" s="895"/>
      <c r="BG202" s="768"/>
      <c r="BH202" s="768"/>
      <c r="BI202" s="895"/>
      <c r="BJ202" s="768"/>
      <c r="BK202" s="768"/>
      <c r="BL202" s="895"/>
      <c r="BM202" s="566"/>
      <c r="BN202" s="567"/>
      <c r="BO202" s="897"/>
      <c r="BP202" s="895"/>
      <c r="BQ202" s="566"/>
      <c r="BR202" s="567"/>
      <c r="BS202" s="895"/>
      <c r="BT202" s="567"/>
      <c r="BU202" s="567"/>
      <c r="BV202" s="897"/>
      <c r="BW202" s="895"/>
      <c r="BX202" s="566"/>
      <c r="BY202" s="567"/>
      <c r="BZ202" s="895"/>
      <c r="CA202" s="567"/>
      <c r="CB202" s="567"/>
      <c r="CC202" s="895"/>
      <c r="CD202" s="567"/>
      <c r="CE202" s="2807"/>
    </row>
    <row r="203" spans="1:83" ht="13.5" customHeight="1" x14ac:dyDescent="0.4">
      <c r="A203" s="249"/>
      <c r="B203" s="249"/>
      <c r="C203" s="584" t="s">
        <v>307</v>
      </c>
      <c r="D203" s="587"/>
      <c r="E203" s="688"/>
      <c r="F203" s="688"/>
      <c r="G203" s="588"/>
      <c r="H203" s="2682"/>
      <c r="I203" s="742"/>
      <c r="J203" s="635"/>
      <c r="K203" s="2562"/>
      <c r="L203" s="849"/>
      <c r="M203" s="1026"/>
      <c r="N203" s="1027"/>
      <c r="O203" s="1028"/>
      <c r="P203" s="977"/>
      <c r="Q203" s="707"/>
      <c r="R203" s="999"/>
      <c r="S203" s="664"/>
      <c r="T203" s="664"/>
      <c r="U203" s="687"/>
      <c r="V203" s="904"/>
      <c r="W203" s="1025"/>
      <c r="X203" s="783"/>
      <c r="Y203" s="1026"/>
      <c r="Z203" s="1027"/>
      <c r="AA203" s="1028"/>
      <c r="AB203" s="1023"/>
      <c r="AC203" s="1023"/>
      <c r="AD203" s="1023"/>
      <c r="AE203" s="895"/>
      <c r="AF203" s="566"/>
      <c r="AG203" s="567"/>
      <c r="AH203" s="895"/>
      <c r="AI203" s="566"/>
      <c r="AJ203" s="567"/>
      <c r="AK203" s="895"/>
      <c r="AL203" s="566"/>
      <c r="AM203" s="567"/>
      <c r="AN203" s="895"/>
      <c r="AO203" s="566"/>
      <c r="AP203" s="567"/>
      <c r="AQ203" s="895"/>
      <c r="AR203" s="566"/>
      <c r="AS203" s="567"/>
      <c r="AT203" s="895"/>
      <c r="AU203" s="566"/>
      <c r="AV203" s="567"/>
      <c r="AW203" s="895"/>
      <c r="AX203" s="566"/>
      <c r="AY203" s="567"/>
      <c r="AZ203" s="895"/>
      <c r="BA203" s="566"/>
      <c r="BB203" s="567"/>
      <c r="BC203" s="895"/>
      <c r="BD203" s="566"/>
      <c r="BE203" s="567"/>
      <c r="BF203" s="895"/>
      <c r="BG203" s="768"/>
      <c r="BH203" s="768"/>
      <c r="BI203" s="895"/>
      <c r="BJ203" s="768"/>
      <c r="BK203" s="768"/>
      <c r="BL203" s="895"/>
      <c r="BM203" s="566"/>
      <c r="BN203" s="567"/>
      <c r="BO203" s="897"/>
      <c r="BP203" s="895"/>
      <c r="BQ203" s="566"/>
      <c r="BR203" s="567"/>
      <c r="BS203" s="895"/>
      <c r="BT203" s="567"/>
      <c r="BU203" s="567"/>
      <c r="BV203" s="897"/>
      <c r="BW203" s="895"/>
      <c r="BX203" s="566"/>
      <c r="BY203" s="567"/>
      <c r="BZ203" s="895"/>
      <c r="CA203" s="567"/>
      <c r="CB203" s="567"/>
      <c r="CC203" s="895"/>
      <c r="CD203" s="567"/>
      <c r="CE203" s="2807"/>
    </row>
    <row r="204" spans="1:83" ht="18.600000000000001" customHeight="1" x14ac:dyDescent="0.4">
      <c r="A204" s="249"/>
      <c r="B204" s="249"/>
      <c r="C204" s="584" t="s">
        <v>307</v>
      </c>
      <c r="D204" s="587"/>
      <c r="E204" s="688"/>
      <c r="F204" s="688"/>
      <c r="G204" s="588"/>
      <c r="H204" s="2682"/>
      <c r="I204" s="847"/>
      <c r="J204" s="1029"/>
      <c r="K204" s="2562"/>
      <c r="L204" s="849"/>
      <c r="M204" s="1026"/>
      <c r="N204" s="1027"/>
      <c r="O204" s="1028"/>
      <c r="P204" s="1030"/>
      <c r="Q204" s="707"/>
      <c r="R204" s="999"/>
      <c r="S204" s="664"/>
      <c r="T204" s="664"/>
      <c r="U204" s="687"/>
      <c r="V204" s="904"/>
      <c r="W204" s="1025"/>
      <c r="X204" s="783"/>
      <c r="Y204" s="1026"/>
      <c r="Z204" s="1027"/>
      <c r="AA204" s="1028"/>
      <c r="AB204" s="687"/>
      <c r="AC204" s="687"/>
      <c r="AD204" s="687"/>
      <c r="AE204" s="895"/>
      <c r="AF204" s="566"/>
      <c r="AG204" s="567"/>
      <c r="AH204" s="895"/>
      <c r="AI204" s="566"/>
      <c r="AJ204" s="567"/>
      <c r="AK204" s="895"/>
      <c r="AL204" s="566"/>
      <c r="AM204" s="567"/>
      <c r="AN204" s="895"/>
      <c r="AO204" s="566"/>
      <c r="AP204" s="567"/>
      <c r="AQ204" s="895"/>
      <c r="AR204" s="566"/>
      <c r="AS204" s="567"/>
      <c r="AT204" s="895"/>
      <c r="AU204" s="566"/>
      <c r="AV204" s="567"/>
      <c r="AW204" s="895"/>
      <c r="AX204" s="566"/>
      <c r="AY204" s="567"/>
      <c r="AZ204" s="895"/>
      <c r="BA204" s="566"/>
      <c r="BB204" s="567"/>
      <c r="BC204" s="895"/>
      <c r="BD204" s="566"/>
      <c r="BE204" s="567"/>
      <c r="BF204" s="895"/>
      <c r="BG204" s="566"/>
      <c r="BH204" s="567"/>
      <c r="BI204" s="895"/>
      <c r="BJ204" s="566"/>
      <c r="BK204" s="567"/>
      <c r="BL204" s="895"/>
      <c r="BM204" s="566"/>
      <c r="BN204" s="567"/>
      <c r="BO204" s="897"/>
      <c r="BP204" s="895"/>
      <c r="BQ204" s="566"/>
      <c r="BR204" s="567"/>
      <c r="BS204" s="895"/>
      <c r="BT204" s="567"/>
      <c r="BU204" s="567"/>
      <c r="BV204" s="897"/>
      <c r="BW204" s="895"/>
      <c r="BX204" s="566"/>
      <c r="BY204" s="567"/>
      <c r="BZ204" s="895"/>
      <c r="CA204" s="567"/>
      <c r="CB204" s="567"/>
      <c r="CC204" s="895"/>
      <c r="CD204" s="567"/>
      <c r="CE204" s="2807"/>
    </row>
    <row r="205" spans="1:83" ht="18.600000000000001" customHeight="1" x14ac:dyDescent="0.4">
      <c r="A205" s="249"/>
      <c r="B205" s="249"/>
      <c r="C205" s="584"/>
      <c r="D205" s="1031"/>
      <c r="E205" s="688"/>
      <c r="F205" s="688"/>
      <c r="G205" s="588"/>
      <c r="H205" s="2682"/>
      <c r="I205" s="847"/>
      <c r="J205" s="1029"/>
      <c r="K205" s="2562"/>
      <c r="L205" s="849"/>
      <c r="M205" s="1026"/>
      <c r="N205" s="1027"/>
      <c r="O205" s="1028"/>
      <c r="P205" s="1030"/>
      <c r="Q205" s="707"/>
      <c r="R205" s="999"/>
      <c r="S205" s="664"/>
      <c r="T205" s="664"/>
      <c r="U205" s="687"/>
      <c r="V205" s="904"/>
      <c r="W205" s="1025"/>
      <c r="X205" s="783"/>
      <c r="Y205" s="1026"/>
      <c r="Z205" s="1027"/>
      <c r="AA205" s="1028"/>
      <c r="AB205" s="1023"/>
      <c r="AC205" s="1023"/>
      <c r="AD205" s="1023"/>
      <c r="AE205" s="895"/>
      <c r="AF205" s="566"/>
      <c r="AG205" s="567"/>
      <c r="AH205" s="895"/>
      <c r="AI205" s="566"/>
      <c r="AJ205" s="567"/>
      <c r="AK205" s="895"/>
      <c r="AL205" s="566"/>
      <c r="AM205" s="567"/>
      <c r="AN205" s="895"/>
      <c r="AO205" s="566"/>
      <c r="AP205" s="567"/>
      <c r="AQ205" s="895"/>
      <c r="AR205" s="566"/>
      <c r="AS205" s="567"/>
      <c r="AT205" s="895"/>
      <c r="AU205" s="566"/>
      <c r="AV205" s="567"/>
      <c r="AW205" s="895"/>
      <c r="AX205" s="566"/>
      <c r="AY205" s="567"/>
      <c r="AZ205" s="895"/>
      <c r="BA205" s="566"/>
      <c r="BB205" s="567"/>
      <c r="BC205" s="895"/>
      <c r="BD205" s="566"/>
      <c r="BE205" s="567"/>
      <c r="BF205" s="895"/>
      <c r="BG205" s="566"/>
      <c r="BH205" s="567"/>
      <c r="BI205" s="895"/>
      <c r="BJ205" s="566"/>
      <c r="BK205" s="567"/>
      <c r="BL205" s="895"/>
      <c r="BM205" s="566"/>
      <c r="BN205" s="567"/>
      <c r="BO205" s="897"/>
      <c r="BP205" s="895"/>
      <c r="BQ205" s="566"/>
      <c r="BR205" s="567"/>
      <c r="BS205" s="895"/>
      <c r="BT205" s="567"/>
      <c r="BU205" s="567"/>
      <c r="BV205" s="897"/>
      <c r="BW205" s="895"/>
      <c r="BX205" s="566"/>
      <c r="BY205" s="567"/>
      <c r="BZ205" s="895"/>
      <c r="CA205" s="567"/>
      <c r="CB205" s="567"/>
      <c r="CC205" s="895"/>
      <c r="CD205" s="567"/>
      <c r="CE205" s="2807"/>
    </row>
    <row r="206" spans="1:83" ht="18.600000000000001" customHeight="1" x14ac:dyDescent="0.4">
      <c r="A206" s="249"/>
      <c r="B206" s="249"/>
      <c r="C206" s="584">
        <v>0.50347222222222199</v>
      </c>
      <c r="D206" s="1031"/>
      <c r="E206" s="688"/>
      <c r="F206" s="688"/>
      <c r="G206" s="588"/>
      <c r="H206" s="2682"/>
      <c r="I206" s="847"/>
      <c r="J206" s="1032"/>
      <c r="K206" s="2562"/>
      <c r="L206" s="1033"/>
      <c r="M206" s="1026"/>
      <c r="N206" s="1027"/>
      <c r="O206" s="1028"/>
      <c r="P206" s="1034"/>
      <c r="Q206" s="707"/>
      <c r="R206" s="1035"/>
      <c r="S206" s="2760"/>
      <c r="T206" s="2761"/>
      <c r="U206" s="2762"/>
      <c r="V206" s="904"/>
      <c r="W206" s="871"/>
      <c r="X206" s="930"/>
      <c r="Y206" s="1026"/>
      <c r="Z206" s="1027"/>
      <c r="AA206" s="1028"/>
      <c r="AB206" s="1023"/>
      <c r="AC206" s="1023"/>
      <c r="AD206" s="1023"/>
      <c r="AE206" s="895"/>
      <c r="AF206" s="566"/>
      <c r="AG206" s="567"/>
      <c r="AH206" s="895"/>
      <c r="AI206" s="566"/>
      <c r="AJ206" s="567"/>
      <c r="AK206" s="895"/>
      <c r="AL206" s="566"/>
      <c r="AM206" s="567"/>
      <c r="AN206" s="895"/>
      <c r="AO206" s="566"/>
      <c r="AP206" s="567"/>
      <c r="AQ206" s="895"/>
      <c r="AR206" s="566"/>
      <c r="AS206" s="567"/>
      <c r="AT206" s="895"/>
      <c r="AU206" s="566"/>
      <c r="AV206" s="567"/>
      <c r="AW206" s="895"/>
      <c r="AX206" s="566"/>
      <c r="AY206" s="567"/>
      <c r="AZ206" s="895"/>
      <c r="BA206" s="566"/>
      <c r="BB206" s="567"/>
      <c r="BC206" s="895"/>
      <c r="BD206" s="566"/>
      <c r="BE206" s="567"/>
      <c r="BF206" s="895"/>
      <c r="BG206" s="566"/>
      <c r="BH206" s="567"/>
      <c r="BI206" s="895"/>
      <c r="BJ206" s="566"/>
      <c r="BK206" s="567"/>
      <c r="BL206" s="895"/>
      <c r="BM206" s="566"/>
      <c r="BN206" s="567"/>
      <c r="BO206" s="897"/>
      <c r="BP206" s="895"/>
      <c r="BQ206" s="566"/>
      <c r="BR206" s="567"/>
      <c r="BS206" s="895"/>
      <c r="BT206" s="567"/>
      <c r="BU206" s="567"/>
      <c r="BV206" s="897"/>
      <c r="BW206" s="895"/>
      <c r="BX206" s="566"/>
      <c r="BY206" s="567"/>
      <c r="BZ206" s="895"/>
      <c r="CA206" s="567"/>
      <c r="CB206" s="567"/>
      <c r="CC206" s="895"/>
      <c r="CD206" s="567"/>
      <c r="CE206" s="2807"/>
    </row>
    <row r="207" spans="1:83" ht="15.6" customHeight="1" x14ac:dyDescent="0.4">
      <c r="A207" s="249"/>
      <c r="B207" s="249"/>
      <c r="C207" s="584">
        <v>0.50694444444444398</v>
      </c>
      <c r="D207" s="1039"/>
      <c r="E207" s="688"/>
      <c r="F207" s="688"/>
      <c r="G207" s="1040"/>
      <c r="H207" s="2682"/>
      <c r="I207" s="1041"/>
      <c r="J207" s="1032"/>
      <c r="K207" s="2563"/>
      <c r="L207" s="1033"/>
      <c r="M207" s="1042"/>
      <c r="N207" s="1043"/>
      <c r="O207" s="1042"/>
      <c r="P207" s="1034"/>
      <c r="Q207" s="707"/>
      <c r="R207" s="1035"/>
      <c r="S207" s="2760"/>
      <c r="T207" s="2761"/>
      <c r="U207" s="2762"/>
      <c r="V207" s="904"/>
      <c r="W207" s="871"/>
      <c r="X207" s="930"/>
      <c r="Y207" s="1042"/>
      <c r="Z207" s="1043"/>
      <c r="AA207" s="1042"/>
      <c r="AB207" s="1023"/>
      <c r="AC207" s="1023"/>
      <c r="AD207" s="1023"/>
      <c r="AE207" s="895"/>
      <c r="AF207" s="566"/>
      <c r="AG207" s="567"/>
      <c r="AH207" s="895"/>
      <c r="AI207" s="566"/>
      <c r="AJ207" s="567"/>
      <c r="AK207" s="895"/>
      <c r="AL207" s="566"/>
      <c r="AM207" s="567"/>
      <c r="AN207" s="895"/>
      <c r="AO207" s="566"/>
      <c r="AP207" s="567"/>
      <c r="AQ207" s="895"/>
      <c r="AR207" s="566"/>
      <c r="AS207" s="567"/>
      <c r="AT207" s="895"/>
      <c r="AU207" s="566"/>
      <c r="AV207" s="567"/>
      <c r="AW207" s="895"/>
      <c r="AX207" s="566"/>
      <c r="AY207" s="567"/>
      <c r="AZ207" s="895"/>
      <c r="BA207" s="566"/>
      <c r="BB207" s="567"/>
      <c r="BC207" s="895"/>
      <c r="BD207" s="566"/>
      <c r="BE207" s="567"/>
      <c r="BF207" s="895"/>
      <c r="BG207" s="566"/>
      <c r="BH207" s="567"/>
      <c r="BI207" s="895"/>
      <c r="BJ207" s="566"/>
      <c r="BK207" s="567"/>
      <c r="BL207" s="895"/>
      <c r="BM207" s="566"/>
      <c r="BN207" s="567"/>
      <c r="BO207" s="897"/>
      <c r="BP207" s="895"/>
      <c r="BQ207" s="566"/>
      <c r="BR207" s="567"/>
      <c r="BS207" s="895"/>
      <c r="BT207" s="567"/>
      <c r="BU207" s="567"/>
      <c r="BV207" s="897"/>
      <c r="BW207" s="895"/>
      <c r="BX207" s="566"/>
      <c r="BY207" s="567"/>
      <c r="BZ207" s="895"/>
      <c r="CA207" s="567"/>
      <c r="CB207" s="567"/>
      <c r="CC207" s="895"/>
      <c r="CD207" s="567"/>
      <c r="CE207" s="2807"/>
    </row>
    <row r="208" spans="1:83" ht="14.85" customHeight="1" x14ac:dyDescent="0.4">
      <c r="A208" s="249"/>
      <c r="B208" s="249"/>
      <c r="C208" s="584" t="s">
        <v>307</v>
      </c>
      <c r="D208" s="1039"/>
      <c r="E208" s="688"/>
      <c r="F208" s="688"/>
      <c r="G208" s="1040"/>
      <c r="H208" s="2682"/>
      <c r="I208" s="1041"/>
      <c r="J208" s="1032"/>
      <c r="K208" s="2562"/>
      <c r="L208" s="1033"/>
      <c r="M208" s="686"/>
      <c r="N208" s="1044"/>
      <c r="O208" s="791"/>
      <c r="P208" s="1034"/>
      <c r="Q208" s="707"/>
      <c r="R208" s="1035"/>
      <c r="S208" s="664"/>
      <c r="T208" s="664"/>
      <c r="U208" s="687"/>
      <c r="V208" s="709"/>
      <c r="W208" s="709"/>
      <c r="X208" s="930"/>
      <c r="Y208" s="686"/>
      <c r="Z208" s="1044"/>
      <c r="AA208" s="791"/>
      <c r="AB208" s="687"/>
      <c r="AC208" s="687"/>
      <c r="AD208" s="687"/>
      <c r="AE208" s="895"/>
      <c r="AF208" s="566"/>
      <c r="AG208" s="567"/>
      <c r="AH208" s="895"/>
      <c r="AI208" s="566"/>
      <c r="AJ208" s="567"/>
      <c r="AK208" s="895"/>
      <c r="AL208" s="566"/>
      <c r="AM208" s="567"/>
      <c r="AN208" s="895"/>
      <c r="AO208" s="566"/>
      <c r="AP208" s="567"/>
      <c r="AQ208" s="895"/>
      <c r="AR208" s="566"/>
      <c r="AS208" s="567"/>
      <c r="AT208" s="895"/>
      <c r="AU208" s="566"/>
      <c r="AV208" s="567"/>
      <c r="AW208" s="895"/>
      <c r="AX208" s="566"/>
      <c r="AY208" s="567"/>
      <c r="AZ208" s="895"/>
      <c r="BA208" s="566"/>
      <c r="BB208" s="567"/>
      <c r="BC208" s="895"/>
      <c r="BD208" s="566"/>
      <c r="BE208" s="567"/>
      <c r="BF208" s="895"/>
      <c r="BG208" s="566"/>
      <c r="BH208" s="567"/>
      <c r="BI208" s="895"/>
      <c r="BJ208" s="566"/>
      <c r="BK208" s="567"/>
      <c r="BL208" s="895"/>
      <c r="BM208" s="566"/>
      <c r="BN208" s="567"/>
      <c r="BO208" s="897"/>
      <c r="BP208" s="895"/>
      <c r="BQ208" s="566"/>
      <c r="BR208" s="567"/>
      <c r="BS208" s="895"/>
      <c r="BT208" s="567"/>
      <c r="BU208" s="567"/>
      <c r="BV208" s="897"/>
      <c r="BW208" s="895"/>
      <c r="BX208" s="566"/>
      <c r="BY208" s="567"/>
      <c r="BZ208" s="895"/>
      <c r="CA208" s="567"/>
      <c r="CB208" s="567"/>
      <c r="CC208" s="895"/>
      <c r="CD208" s="567"/>
      <c r="CE208" s="2807"/>
    </row>
    <row r="209" spans="1:83" ht="18.75" customHeight="1" x14ac:dyDescent="0.4">
      <c r="A209" s="249"/>
      <c r="B209" s="249"/>
      <c r="C209" s="584">
        <v>0.51041666666666596</v>
      </c>
      <c r="D209" s="587"/>
      <c r="E209" s="688"/>
      <c r="F209" s="688"/>
      <c r="G209" s="588"/>
      <c r="H209" s="2682"/>
      <c r="I209" s="742"/>
      <c r="J209" s="635"/>
      <c r="K209" s="2561"/>
      <c r="L209" s="705"/>
      <c r="M209" s="685"/>
      <c r="N209" s="1044"/>
      <c r="O209" s="791"/>
      <c r="P209" s="977"/>
      <c r="Q209" s="851" t="s">
        <v>334</v>
      </c>
      <c r="R209" s="996"/>
      <c r="S209" s="664"/>
      <c r="T209" s="664" t="s">
        <v>331</v>
      </c>
      <c r="U209" s="687"/>
      <c r="V209" s="709"/>
      <c r="W209" s="793" t="s">
        <v>336</v>
      </c>
      <c r="X209" s="930"/>
      <c r="Y209" s="685"/>
      <c r="Z209" s="1044"/>
      <c r="AA209" s="791"/>
      <c r="AB209" s="1023"/>
      <c r="AC209" s="1023"/>
      <c r="AD209" s="1023"/>
      <c r="AE209" s="568"/>
      <c r="AF209" s="566"/>
      <c r="AG209" s="567"/>
      <c r="AH209" s="568"/>
      <c r="AI209" s="566"/>
      <c r="AJ209" s="567"/>
      <c r="AK209" s="568"/>
      <c r="AL209" s="566"/>
      <c r="AM209" s="567"/>
      <c r="AN209" s="568"/>
      <c r="AO209" s="566"/>
      <c r="AP209" s="567"/>
      <c r="AQ209" s="568"/>
      <c r="AR209" s="566"/>
      <c r="AS209" s="567"/>
      <c r="AT209" s="568"/>
      <c r="AU209" s="566"/>
      <c r="AV209" s="567"/>
      <c r="AW209" s="568"/>
      <c r="AX209" s="566"/>
      <c r="AY209" s="567"/>
      <c r="AZ209" s="568"/>
      <c r="BA209" s="566"/>
      <c r="BB209" s="567"/>
      <c r="BC209" s="568"/>
      <c r="BD209" s="566"/>
      <c r="BE209" s="567"/>
      <c r="BF209" s="568"/>
      <c r="BG209" s="566"/>
      <c r="BH209" s="567"/>
      <c r="BI209" s="568"/>
      <c r="BJ209" s="566"/>
      <c r="BK209" s="567"/>
      <c r="BL209" s="568"/>
      <c r="BM209" s="566"/>
      <c r="BN209" s="567"/>
      <c r="BO209" s="567"/>
      <c r="BP209" s="568"/>
      <c r="BQ209" s="566"/>
      <c r="BR209" s="567"/>
      <c r="BS209" s="568"/>
      <c r="BT209" s="567"/>
      <c r="BU209" s="567"/>
      <c r="BV209" s="567"/>
      <c r="BW209" s="568"/>
      <c r="BX209" s="566"/>
      <c r="BY209" s="567"/>
      <c r="BZ209" s="568"/>
      <c r="CA209" s="567"/>
      <c r="CB209" s="567"/>
      <c r="CC209" s="568"/>
      <c r="CD209" s="567"/>
      <c r="CE209" s="2807"/>
    </row>
    <row r="210" spans="1:83" ht="18.75" customHeight="1" x14ac:dyDescent="0.4">
      <c r="A210" s="249"/>
      <c r="B210" s="249"/>
      <c r="C210" s="584" t="s">
        <v>307</v>
      </c>
      <c r="D210" s="844"/>
      <c r="E210" s="688"/>
      <c r="F210" s="688"/>
      <c r="G210" s="846"/>
      <c r="H210" s="2682"/>
      <c r="I210" s="918"/>
      <c r="J210" s="635"/>
      <c r="K210" s="2563"/>
      <c r="L210" s="705"/>
      <c r="M210" s="685"/>
      <c r="N210" s="1044"/>
      <c r="O210" s="685"/>
      <c r="P210" s="795"/>
      <c r="Q210" s="769"/>
      <c r="R210" s="708"/>
      <c r="S210" s="664"/>
      <c r="T210" s="664" t="s">
        <v>366</v>
      </c>
      <c r="U210" s="687"/>
      <c r="V210" s="886"/>
      <c r="W210" s="709" t="s">
        <v>332</v>
      </c>
      <c r="X210" s="930"/>
      <c r="Y210" s="685"/>
      <c r="Z210" s="1044"/>
      <c r="AA210" s="685"/>
      <c r="AB210" s="1023"/>
      <c r="AC210" s="1023"/>
      <c r="AD210" s="1023"/>
      <c r="AE210" s="568"/>
      <c r="AF210" s="566"/>
      <c r="AG210" s="567"/>
      <c r="AH210" s="568"/>
      <c r="AI210" s="566"/>
      <c r="AJ210" s="567"/>
      <c r="AK210" s="568"/>
      <c r="AL210" s="566"/>
      <c r="AM210" s="567"/>
      <c r="AN210" s="568"/>
      <c r="AO210" s="566"/>
      <c r="AP210" s="567"/>
      <c r="AQ210" s="568"/>
      <c r="AR210" s="566"/>
      <c r="AS210" s="567"/>
      <c r="AT210" s="568"/>
      <c r="AU210" s="566"/>
      <c r="AV210" s="567"/>
      <c r="AW210" s="568"/>
      <c r="AX210" s="566"/>
      <c r="AY210" s="567"/>
      <c r="AZ210" s="568"/>
      <c r="BA210" s="566"/>
      <c r="BB210" s="567"/>
      <c r="BC210" s="568"/>
      <c r="BD210" s="566"/>
      <c r="BE210" s="567"/>
      <c r="BF210" s="568"/>
      <c r="BG210" s="566"/>
      <c r="BH210" s="567"/>
      <c r="BI210" s="568"/>
      <c r="BJ210" s="566"/>
      <c r="BK210" s="567"/>
      <c r="BL210" s="568"/>
      <c r="BM210" s="566"/>
      <c r="BN210" s="567"/>
      <c r="BO210" s="567"/>
      <c r="BP210" s="568"/>
      <c r="BQ210" s="566"/>
      <c r="BR210" s="567"/>
      <c r="BS210" s="568"/>
      <c r="BT210" s="567"/>
      <c r="BU210" s="567"/>
      <c r="BV210" s="567"/>
      <c r="BW210" s="568"/>
      <c r="BX210" s="566"/>
      <c r="BY210" s="567"/>
      <c r="BZ210" s="568"/>
      <c r="CA210" s="567"/>
      <c r="CB210" s="567"/>
      <c r="CC210" s="568"/>
      <c r="CD210" s="567"/>
      <c r="CE210" s="2807"/>
    </row>
    <row r="211" spans="1:83" ht="18.75" customHeight="1" x14ac:dyDescent="0.4">
      <c r="A211" s="249"/>
      <c r="B211" s="249"/>
      <c r="C211" s="584" t="s">
        <v>307</v>
      </c>
      <c r="D211" s="844"/>
      <c r="E211" s="688"/>
      <c r="F211" s="688"/>
      <c r="G211" s="846"/>
      <c r="H211" s="2682"/>
      <c r="I211" s="918"/>
      <c r="J211" s="582"/>
      <c r="K211" s="2562"/>
      <c r="L211" s="913"/>
      <c r="M211" s="685"/>
      <c r="N211" s="1044"/>
      <c r="O211" s="685"/>
      <c r="P211" s="997"/>
      <c r="Q211" s="707"/>
      <c r="R211" s="1045"/>
      <c r="S211" s="664"/>
      <c r="T211" s="664"/>
      <c r="U211" s="916"/>
      <c r="V211" s="886"/>
      <c r="W211" s="709" t="s">
        <v>335</v>
      </c>
      <c r="X211" s="930"/>
      <c r="Y211" s="685"/>
      <c r="Z211" s="1044"/>
      <c r="AA211" s="685"/>
      <c r="AB211" s="1023"/>
      <c r="AC211" s="1023"/>
      <c r="AD211" s="1023"/>
      <c r="AE211" s="568"/>
      <c r="AF211" s="566"/>
      <c r="AG211" s="567"/>
      <c r="AH211" s="568"/>
      <c r="AI211" s="566"/>
      <c r="AJ211" s="567"/>
      <c r="AK211" s="568"/>
      <c r="AL211" s="566"/>
      <c r="AM211" s="567"/>
      <c r="AN211" s="568"/>
      <c r="AO211" s="566"/>
      <c r="AP211" s="567"/>
      <c r="AQ211" s="568"/>
      <c r="AR211" s="566"/>
      <c r="AS211" s="567"/>
      <c r="AT211" s="568"/>
      <c r="AU211" s="566"/>
      <c r="AV211" s="567"/>
      <c r="AW211" s="568"/>
      <c r="AX211" s="566"/>
      <c r="AY211" s="567"/>
      <c r="AZ211" s="568"/>
      <c r="BA211" s="566"/>
      <c r="BB211" s="567"/>
      <c r="BC211" s="568"/>
      <c r="BD211" s="566"/>
      <c r="BE211" s="567"/>
      <c r="BF211" s="568"/>
      <c r="BG211" s="566"/>
      <c r="BH211" s="567"/>
      <c r="BI211" s="568"/>
      <c r="BJ211" s="566"/>
      <c r="BK211" s="567"/>
      <c r="BL211" s="568"/>
      <c r="BM211" s="566"/>
      <c r="BN211" s="567"/>
      <c r="BO211" s="567"/>
      <c r="BP211" s="568"/>
      <c r="BQ211" s="566"/>
      <c r="BR211" s="567"/>
      <c r="BS211" s="568"/>
      <c r="BT211" s="567"/>
      <c r="BU211" s="567"/>
      <c r="BV211" s="567"/>
      <c r="BW211" s="568"/>
      <c r="BX211" s="566"/>
      <c r="BY211" s="567"/>
      <c r="BZ211" s="568"/>
      <c r="CA211" s="567"/>
      <c r="CB211" s="567"/>
      <c r="CC211" s="568"/>
      <c r="CD211" s="567"/>
      <c r="CE211" s="2807"/>
    </row>
    <row r="212" spans="1:83" ht="18.75" customHeight="1" x14ac:dyDescent="0.4">
      <c r="A212" s="249"/>
      <c r="B212" s="249"/>
      <c r="C212" s="584" t="s">
        <v>307</v>
      </c>
      <c r="D212" s="844"/>
      <c r="E212" s="688"/>
      <c r="F212" s="688"/>
      <c r="G212" s="846"/>
      <c r="H212" s="2682"/>
      <c r="I212" s="918"/>
      <c r="J212" s="582"/>
      <c r="K212" s="2562"/>
      <c r="L212" s="913"/>
      <c r="M212" s="685"/>
      <c r="N212" s="1044" t="s">
        <v>367</v>
      </c>
      <c r="O212" s="1028"/>
      <c r="P212" s="997"/>
      <c r="Q212" s="707"/>
      <c r="R212" s="1045"/>
      <c r="S212" s="664"/>
      <c r="T212" s="664"/>
      <c r="U212" s="687"/>
      <c r="V212" s="886"/>
      <c r="W212" s="788" t="s">
        <v>351</v>
      </c>
      <c r="X212" s="930"/>
      <c r="Y212" s="685"/>
      <c r="Z212" s="1044" t="s">
        <v>367</v>
      </c>
      <c r="AA212" s="1028"/>
      <c r="AB212" s="1023"/>
      <c r="AC212" s="1023"/>
      <c r="AD212" s="1023"/>
      <c r="AE212" s="568"/>
      <c r="AF212" s="566"/>
      <c r="AG212" s="567"/>
      <c r="AH212" s="568"/>
      <c r="AI212" s="566"/>
      <c r="AJ212" s="567"/>
      <c r="AK212" s="568"/>
      <c r="AL212" s="566"/>
      <c r="AM212" s="567"/>
      <c r="AN212" s="568"/>
      <c r="AO212" s="566"/>
      <c r="AP212" s="567"/>
      <c r="AQ212" s="568"/>
      <c r="AR212" s="566"/>
      <c r="AS212" s="567"/>
      <c r="AT212" s="568"/>
      <c r="AU212" s="566"/>
      <c r="AV212" s="567"/>
      <c r="AW212" s="568"/>
      <c r="AX212" s="566"/>
      <c r="AY212" s="567"/>
      <c r="AZ212" s="568"/>
      <c r="BA212" s="566"/>
      <c r="BB212" s="567"/>
      <c r="BC212" s="568"/>
      <c r="BD212" s="566"/>
      <c r="BE212" s="567"/>
      <c r="BF212" s="568"/>
      <c r="BG212" s="566"/>
      <c r="BH212" s="567"/>
      <c r="BI212" s="568"/>
      <c r="BJ212" s="566"/>
      <c r="BK212" s="567"/>
      <c r="BL212" s="568"/>
      <c r="BM212" s="566"/>
      <c r="BN212" s="567"/>
      <c r="BO212" s="567"/>
      <c r="BP212" s="568"/>
      <c r="BQ212" s="566"/>
      <c r="BR212" s="567"/>
      <c r="BS212" s="568"/>
      <c r="BT212" s="567"/>
      <c r="BU212" s="567"/>
      <c r="BV212" s="567"/>
      <c r="BW212" s="568"/>
      <c r="BX212" s="566"/>
      <c r="BY212" s="567"/>
      <c r="BZ212" s="568"/>
      <c r="CA212" s="567"/>
      <c r="CB212" s="567"/>
      <c r="CC212" s="568"/>
      <c r="CD212" s="567"/>
      <c r="CE212" s="2807"/>
    </row>
    <row r="213" spans="1:83" ht="18.75" customHeight="1" x14ac:dyDescent="0.4">
      <c r="A213" s="249"/>
      <c r="B213" s="249"/>
      <c r="C213" s="584" t="s">
        <v>307</v>
      </c>
      <c r="D213" s="844"/>
      <c r="E213" s="688"/>
      <c r="F213" s="688"/>
      <c r="G213" s="846"/>
      <c r="H213" s="2682"/>
      <c r="I213" s="918"/>
      <c r="J213" s="582"/>
      <c r="K213" s="2562"/>
      <c r="L213" s="913"/>
      <c r="M213" s="686"/>
      <c r="N213" s="1044"/>
      <c r="O213" s="907"/>
      <c r="P213" s="997"/>
      <c r="Q213" s="707"/>
      <c r="R213" s="1045"/>
      <c r="S213" s="664"/>
      <c r="T213" s="664"/>
      <c r="U213" s="687"/>
      <c r="V213" s="898"/>
      <c r="W213" s="683"/>
      <c r="X213" s="930"/>
      <c r="Y213" s="686"/>
      <c r="Z213" s="1044"/>
      <c r="AA213" s="907"/>
      <c r="AB213" s="1023"/>
      <c r="AC213" s="1023"/>
      <c r="AD213" s="1023"/>
      <c r="AE213" s="568"/>
      <c r="AF213" s="566"/>
      <c r="AG213" s="567"/>
      <c r="AH213" s="568"/>
      <c r="AI213" s="566"/>
      <c r="AJ213" s="567"/>
      <c r="AK213" s="568"/>
      <c r="AL213" s="566"/>
      <c r="AM213" s="567"/>
      <c r="AN213" s="568"/>
      <c r="AO213" s="566"/>
      <c r="AP213" s="567"/>
      <c r="AQ213" s="568"/>
      <c r="AR213" s="566"/>
      <c r="AS213" s="567"/>
      <c r="AT213" s="568"/>
      <c r="AU213" s="566"/>
      <c r="AV213" s="567"/>
      <c r="AW213" s="568"/>
      <c r="AX213" s="566"/>
      <c r="AY213" s="567"/>
      <c r="AZ213" s="568"/>
      <c r="BA213" s="566"/>
      <c r="BB213" s="567"/>
      <c r="BC213" s="568"/>
      <c r="BD213" s="566"/>
      <c r="BE213" s="567"/>
      <c r="BF213" s="568"/>
      <c r="BG213" s="566"/>
      <c r="BH213" s="567"/>
      <c r="BI213" s="568"/>
      <c r="BJ213" s="566"/>
      <c r="BK213" s="567"/>
      <c r="BL213" s="568"/>
      <c r="BM213" s="566"/>
      <c r="BN213" s="567"/>
      <c r="BO213" s="567"/>
      <c r="BP213" s="568"/>
      <c r="BQ213" s="566"/>
      <c r="BR213" s="567"/>
      <c r="BS213" s="568"/>
      <c r="BT213" s="567"/>
      <c r="BU213" s="567"/>
      <c r="BV213" s="567"/>
      <c r="BW213" s="568"/>
      <c r="BX213" s="566"/>
      <c r="BY213" s="567"/>
      <c r="BZ213" s="568"/>
      <c r="CA213" s="567"/>
      <c r="CB213" s="567"/>
      <c r="CC213" s="568"/>
      <c r="CD213" s="567"/>
      <c r="CE213" s="2807"/>
    </row>
    <row r="214" spans="1:83" ht="14.85" customHeight="1" x14ac:dyDescent="0.4">
      <c r="A214" s="249"/>
      <c r="B214" s="249"/>
      <c r="C214" s="584" t="s">
        <v>307</v>
      </c>
      <c r="D214" s="844"/>
      <c r="E214" s="688"/>
      <c r="F214" s="688"/>
      <c r="G214" s="846"/>
      <c r="H214" s="2682"/>
      <c r="I214" s="918"/>
      <c r="J214" s="582"/>
      <c r="K214" s="2562"/>
      <c r="L214" s="913"/>
      <c r="M214" s="686"/>
      <c r="N214" s="1044"/>
      <c r="O214" s="907"/>
      <c r="P214" s="997"/>
      <c r="Q214" s="707"/>
      <c r="R214" s="1045"/>
      <c r="S214" s="664"/>
      <c r="T214" s="664"/>
      <c r="U214" s="687"/>
      <c r="V214" s="898"/>
      <c r="W214" s="683"/>
      <c r="X214" s="930"/>
      <c r="Y214" s="686"/>
      <c r="Z214" s="1044"/>
      <c r="AA214" s="907"/>
      <c r="AB214" s="1023"/>
      <c r="AC214" s="1023"/>
      <c r="AD214" s="1023"/>
      <c r="AE214" s="568"/>
      <c r="AF214" s="566"/>
      <c r="AG214" s="567"/>
      <c r="AH214" s="568"/>
      <c r="AI214" s="566"/>
      <c r="AJ214" s="567"/>
      <c r="AK214" s="568"/>
      <c r="AL214" s="566"/>
      <c r="AM214" s="567"/>
      <c r="AN214" s="568"/>
      <c r="AO214" s="566"/>
      <c r="AP214" s="567"/>
      <c r="AQ214" s="568"/>
      <c r="AR214" s="566"/>
      <c r="AS214" s="567"/>
      <c r="AT214" s="568"/>
      <c r="AU214" s="566"/>
      <c r="AV214" s="567"/>
      <c r="AW214" s="568"/>
      <c r="AX214" s="566"/>
      <c r="AY214" s="567"/>
      <c r="AZ214" s="568"/>
      <c r="BA214" s="566"/>
      <c r="BB214" s="567"/>
      <c r="BC214" s="568"/>
      <c r="BD214" s="566"/>
      <c r="BE214" s="567"/>
      <c r="BF214" s="568"/>
      <c r="BG214" s="566"/>
      <c r="BH214" s="567"/>
      <c r="BI214" s="568"/>
      <c r="BJ214" s="566"/>
      <c r="BK214" s="567"/>
      <c r="BL214" s="568"/>
      <c r="BM214" s="566"/>
      <c r="BN214" s="567"/>
      <c r="BO214" s="567"/>
      <c r="BP214" s="568"/>
      <c r="BQ214" s="566"/>
      <c r="BR214" s="567"/>
      <c r="BS214" s="568"/>
      <c r="BT214" s="567"/>
      <c r="BU214" s="567"/>
      <c r="BV214" s="567"/>
      <c r="BW214" s="568"/>
      <c r="BX214" s="566"/>
      <c r="BY214" s="567"/>
      <c r="BZ214" s="568"/>
      <c r="CA214" s="567"/>
      <c r="CB214" s="567"/>
      <c r="CC214" s="568"/>
      <c r="CD214" s="567"/>
      <c r="CE214" s="2807"/>
    </row>
    <row r="215" spans="1:83" ht="14.85" customHeight="1" x14ac:dyDescent="0.4">
      <c r="A215" s="249"/>
      <c r="B215" s="249"/>
      <c r="C215" s="584" t="s">
        <v>307</v>
      </c>
      <c r="D215" s="844"/>
      <c r="E215" s="688"/>
      <c r="F215" s="688"/>
      <c r="G215" s="846"/>
      <c r="H215" s="2682"/>
      <c r="I215" s="918"/>
      <c r="J215" s="797"/>
      <c r="K215" s="2562"/>
      <c r="L215" s="849"/>
      <c r="M215" s="791"/>
      <c r="N215" s="1044"/>
      <c r="O215" s="907"/>
      <c r="P215" s="1047"/>
      <c r="Q215" s="707"/>
      <c r="R215" s="999"/>
      <c r="S215" s="664"/>
      <c r="T215" s="1990"/>
      <c r="U215" s="908"/>
      <c r="V215" s="904"/>
      <c r="W215" s="871"/>
      <c r="X215" s="930"/>
      <c r="Y215" s="791"/>
      <c r="Z215" s="1044"/>
      <c r="AA215" s="907"/>
      <c r="AB215" s="1023"/>
      <c r="AC215" s="1023"/>
      <c r="AD215" s="1023"/>
      <c r="AE215" s="568"/>
      <c r="AF215" s="566"/>
      <c r="AG215" s="567"/>
      <c r="AH215" s="568"/>
      <c r="AI215" s="566"/>
      <c r="AJ215" s="567"/>
      <c r="AK215" s="568"/>
      <c r="AL215" s="566"/>
      <c r="AM215" s="567"/>
      <c r="AN215" s="568"/>
      <c r="AO215" s="566"/>
      <c r="AP215" s="567"/>
      <c r="AQ215" s="568"/>
      <c r="AR215" s="566"/>
      <c r="AS215" s="567"/>
      <c r="AT215" s="568"/>
      <c r="AU215" s="566"/>
      <c r="AV215" s="567"/>
      <c r="AW215" s="568"/>
      <c r="AX215" s="566"/>
      <c r="AY215" s="567"/>
      <c r="AZ215" s="568"/>
      <c r="BA215" s="566"/>
      <c r="BB215" s="567"/>
      <c r="BC215" s="568"/>
      <c r="BD215" s="566"/>
      <c r="BE215" s="567"/>
      <c r="BF215" s="568"/>
      <c r="BG215" s="566"/>
      <c r="BH215" s="567"/>
      <c r="BI215" s="568"/>
      <c r="BJ215" s="566"/>
      <c r="BK215" s="567"/>
      <c r="BL215" s="568"/>
      <c r="BM215" s="566"/>
      <c r="BN215" s="567"/>
      <c r="BO215" s="567"/>
      <c r="BP215" s="568"/>
      <c r="BQ215" s="566"/>
      <c r="BR215" s="567"/>
      <c r="BS215" s="568"/>
      <c r="BT215" s="567"/>
      <c r="BU215" s="567"/>
      <c r="BV215" s="567"/>
      <c r="BW215" s="568"/>
      <c r="BX215" s="566"/>
      <c r="BY215" s="567"/>
      <c r="BZ215" s="568"/>
      <c r="CA215" s="567"/>
      <c r="CB215" s="567"/>
      <c r="CC215" s="568"/>
      <c r="CD215" s="567"/>
      <c r="CE215" s="2807"/>
    </row>
    <row r="216" spans="1:83" ht="20.100000000000001" customHeight="1" x14ac:dyDescent="0.4">
      <c r="A216" s="249"/>
      <c r="B216" s="249"/>
      <c r="C216" s="584">
        <v>0.51388888888888795</v>
      </c>
      <c r="D216" s="673"/>
      <c r="E216" s="688"/>
      <c r="F216" s="688"/>
      <c r="G216" s="835"/>
      <c r="H216" s="2803" t="s">
        <v>368</v>
      </c>
      <c r="I216" s="847"/>
      <c r="J216" s="582"/>
      <c r="K216" s="2563"/>
      <c r="L216" s="913"/>
      <c r="M216" s="686"/>
      <c r="N216" s="1052" t="s">
        <v>369</v>
      </c>
      <c r="O216" s="685"/>
      <c r="P216" s="997"/>
      <c r="Q216" s="707"/>
      <c r="R216" s="1045"/>
      <c r="S216" s="664"/>
      <c r="T216" s="664"/>
      <c r="U216" s="687"/>
      <c r="V216" s="1049"/>
      <c r="W216" s="1050" t="s">
        <v>370</v>
      </c>
      <c r="X216" s="1051"/>
      <c r="Y216" s="686"/>
      <c r="Z216" s="1052" t="s">
        <v>369</v>
      </c>
      <c r="AA216" s="685"/>
      <c r="AB216" s="1023"/>
      <c r="AC216" s="1023"/>
      <c r="AD216" s="1023"/>
      <c r="AE216" s="568"/>
      <c r="AF216" s="566"/>
      <c r="AG216" s="567"/>
      <c r="AH216" s="568"/>
      <c r="AI216" s="566"/>
      <c r="AJ216" s="567"/>
      <c r="AK216" s="568"/>
      <c r="AL216" s="566"/>
      <c r="AM216" s="567"/>
      <c r="AN216" s="568"/>
      <c r="AO216" s="566"/>
      <c r="AP216" s="567"/>
      <c r="AQ216" s="568"/>
      <c r="AR216" s="566"/>
      <c r="AS216" s="567"/>
      <c r="AT216" s="568"/>
      <c r="AU216" s="566"/>
      <c r="AV216" s="567"/>
      <c r="AW216" s="568"/>
      <c r="AX216" s="566"/>
      <c r="AY216" s="567"/>
      <c r="AZ216" s="568"/>
      <c r="BA216" s="566"/>
      <c r="BB216" s="567"/>
      <c r="BC216" s="568"/>
      <c r="BD216" s="566"/>
      <c r="BE216" s="567"/>
      <c r="BF216" s="568"/>
      <c r="BG216" s="566"/>
      <c r="BH216" s="567"/>
      <c r="BI216" s="568"/>
      <c r="BJ216" s="566"/>
      <c r="BK216" s="567"/>
      <c r="BL216" s="568"/>
      <c r="BM216" s="566"/>
      <c r="BN216" s="567"/>
      <c r="BO216" s="567"/>
      <c r="BP216" s="568"/>
      <c r="BQ216" s="566"/>
      <c r="BR216" s="567"/>
      <c r="BS216" s="568"/>
      <c r="BT216" s="567"/>
      <c r="BU216" s="567"/>
      <c r="BV216" s="567"/>
      <c r="BW216" s="568"/>
      <c r="BX216" s="566"/>
      <c r="BY216" s="567"/>
      <c r="BZ216" s="568"/>
      <c r="CA216" s="567"/>
      <c r="CB216" s="567"/>
      <c r="CC216" s="568"/>
      <c r="CD216" s="759"/>
      <c r="CE216" s="2807"/>
    </row>
    <row r="217" spans="1:83" ht="18.75" customHeight="1" x14ac:dyDescent="0.4">
      <c r="A217" s="249"/>
      <c r="B217" s="249"/>
      <c r="C217" s="584">
        <v>0.51736111111111105</v>
      </c>
      <c r="D217" s="844"/>
      <c r="E217" s="688"/>
      <c r="F217" s="845"/>
      <c r="G217" s="846"/>
      <c r="H217" s="2682"/>
      <c r="I217" s="918"/>
      <c r="J217" s="797"/>
      <c r="K217" s="2562"/>
      <c r="L217" s="849"/>
      <c r="M217" s="686"/>
      <c r="N217" s="745" t="s">
        <v>330</v>
      </c>
      <c r="O217" s="791"/>
      <c r="P217" s="1047"/>
      <c r="Q217" s="707"/>
      <c r="R217" s="999"/>
      <c r="S217" s="664"/>
      <c r="T217" s="664"/>
      <c r="U217" s="687"/>
      <c r="V217" s="886"/>
      <c r="W217" s="709"/>
      <c r="X217" s="993"/>
      <c r="Y217" s="686"/>
      <c r="Z217" s="865"/>
      <c r="AA217" s="791"/>
      <c r="AB217" s="985"/>
      <c r="AC217" s="984"/>
      <c r="AD217" s="985"/>
      <c r="AE217" s="568"/>
      <c r="AF217" s="777"/>
      <c r="AG217" s="759"/>
      <c r="AH217" s="568"/>
      <c r="AI217" s="777"/>
      <c r="AJ217" s="759"/>
      <c r="AK217" s="568"/>
      <c r="AL217" s="777"/>
      <c r="AM217" s="759"/>
      <c r="AN217" s="568"/>
      <c r="AO217" s="777"/>
      <c r="AP217" s="759"/>
      <c r="AQ217" s="568"/>
      <c r="AR217" s="777"/>
      <c r="AS217" s="759"/>
      <c r="AT217" s="568"/>
      <c r="AU217" s="777"/>
      <c r="AV217" s="759"/>
      <c r="AW217" s="568"/>
      <c r="AX217" s="777"/>
      <c r="AY217" s="759"/>
      <c r="AZ217" s="568"/>
      <c r="BA217" s="777"/>
      <c r="BB217" s="759"/>
      <c r="BC217" s="568"/>
      <c r="BD217" s="777"/>
      <c r="BE217" s="759"/>
      <c r="BF217" s="568"/>
      <c r="BG217" s="777"/>
      <c r="BH217" s="759"/>
      <c r="BI217" s="568"/>
      <c r="BJ217" s="777"/>
      <c r="BK217" s="759"/>
      <c r="BL217" s="568"/>
      <c r="BM217" s="777"/>
      <c r="BN217" s="759"/>
      <c r="BO217" s="567"/>
      <c r="BP217" s="568"/>
      <c r="BQ217" s="777"/>
      <c r="BR217" s="759"/>
      <c r="BS217" s="568"/>
      <c r="BT217" s="759"/>
      <c r="BU217" s="759"/>
      <c r="BV217" s="567"/>
      <c r="BW217" s="568"/>
      <c r="BX217" s="777"/>
      <c r="BY217" s="759"/>
      <c r="BZ217" s="568"/>
      <c r="CA217" s="759"/>
      <c r="CB217" s="759"/>
      <c r="CC217" s="568"/>
      <c r="CD217" s="759"/>
      <c r="CE217" s="909"/>
    </row>
    <row r="218" spans="1:83" ht="18.75" customHeight="1" x14ac:dyDescent="0.4">
      <c r="A218" s="249"/>
      <c r="B218" s="249"/>
      <c r="C218" s="584">
        <v>0.52083333333333304</v>
      </c>
      <c r="D218" s="587"/>
      <c r="E218" s="688" t="s">
        <v>278</v>
      </c>
      <c r="F218" s="688"/>
      <c r="G218" s="588"/>
      <c r="H218" s="1048"/>
      <c r="I218" s="742"/>
      <c r="J218" s="635"/>
      <c r="K218" s="2562"/>
      <c r="L218" s="705"/>
      <c r="M218" s="685"/>
      <c r="N218" s="745" t="s">
        <v>333</v>
      </c>
      <c r="O218" s="791"/>
      <c r="P218" s="977"/>
      <c r="Q218" s="851" t="s">
        <v>334</v>
      </c>
      <c r="R218" s="996"/>
      <c r="S218" s="664"/>
      <c r="T218" s="664" t="s">
        <v>331</v>
      </c>
      <c r="U218" s="687"/>
      <c r="V218" s="683"/>
      <c r="W218" s="709" t="s">
        <v>356</v>
      </c>
      <c r="X218" s="930"/>
      <c r="Y218" s="685"/>
      <c r="Z218" s="745" t="s">
        <v>330</v>
      </c>
      <c r="AA218" s="791"/>
      <c r="AB218" s="1023"/>
      <c r="AC218" s="1023"/>
      <c r="AD218" s="1023"/>
      <c r="AE218" s="568"/>
      <c r="AF218" s="777"/>
      <c r="AG218" s="759"/>
      <c r="AH218" s="568"/>
      <c r="AI218" s="777"/>
      <c r="AJ218" s="759"/>
      <c r="AK218" s="568"/>
      <c r="AL218" s="777"/>
      <c r="AM218" s="759"/>
      <c r="AN218" s="568"/>
      <c r="AO218" s="777"/>
      <c r="AP218" s="759"/>
      <c r="AQ218" s="568"/>
      <c r="AR218" s="777"/>
      <c r="AS218" s="759"/>
      <c r="AT218" s="568"/>
      <c r="AU218" s="777"/>
      <c r="AV218" s="759"/>
      <c r="AW218" s="568"/>
      <c r="AX218" s="777"/>
      <c r="AY218" s="759"/>
      <c r="AZ218" s="568"/>
      <c r="BA218" s="777"/>
      <c r="BB218" s="759"/>
      <c r="BC218" s="568"/>
      <c r="BD218" s="777"/>
      <c r="BE218" s="759"/>
      <c r="BF218" s="568"/>
      <c r="BG218" s="777"/>
      <c r="BH218" s="759"/>
      <c r="BI218" s="568"/>
      <c r="BJ218" s="777"/>
      <c r="BK218" s="759"/>
      <c r="BL218" s="568"/>
      <c r="BM218" s="777"/>
      <c r="BN218" s="759"/>
      <c r="BO218" s="567"/>
      <c r="BP218" s="568"/>
      <c r="BQ218" s="777"/>
      <c r="BR218" s="759"/>
      <c r="BS218" s="568"/>
      <c r="BT218" s="759"/>
      <c r="BU218" s="759"/>
      <c r="BV218" s="567"/>
      <c r="BW218" s="568"/>
      <c r="BX218" s="777"/>
      <c r="BY218" s="759"/>
      <c r="BZ218" s="568"/>
      <c r="CA218" s="759"/>
      <c r="CB218" s="759"/>
      <c r="CC218" s="568"/>
      <c r="CD218" s="759"/>
      <c r="CE218" s="909"/>
    </row>
    <row r="219" spans="1:83" ht="18.75" customHeight="1" x14ac:dyDescent="0.4">
      <c r="A219" s="249"/>
      <c r="B219" s="249"/>
      <c r="C219" s="584" t="s">
        <v>307</v>
      </c>
      <c r="D219" s="587"/>
      <c r="E219" s="688" t="s">
        <v>310</v>
      </c>
      <c r="F219" s="845"/>
      <c r="G219" s="588"/>
      <c r="H219" s="1048"/>
      <c r="I219" s="742"/>
      <c r="J219" s="691"/>
      <c r="K219" s="2562"/>
      <c r="L219" s="754"/>
      <c r="M219" s="685"/>
      <c r="N219" s="745"/>
      <c r="O219" s="685"/>
      <c r="P219" s="707"/>
      <c r="Q219" s="707"/>
      <c r="R219" s="1053"/>
      <c r="S219" s="664"/>
      <c r="T219" s="664" t="s">
        <v>334</v>
      </c>
      <c r="U219" s="687"/>
      <c r="V219" s="709"/>
      <c r="W219" s="709" t="s">
        <v>335</v>
      </c>
      <c r="X219" s="930"/>
      <c r="Y219" s="685"/>
      <c r="Z219" s="745" t="s">
        <v>333</v>
      </c>
      <c r="AA219" s="685"/>
      <c r="AB219" s="1023"/>
      <c r="AC219" s="1023"/>
      <c r="AD219" s="1023"/>
      <c r="AE219" s="568"/>
      <c r="AF219" s="777"/>
      <c r="AG219" s="759"/>
      <c r="AH219" s="568"/>
      <c r="AI219" s="777"/>
      <c r="AJ219" s="759"/>
      <c r="AK219" s="568"/>
      <c r="AL219" s="777"/>
      <c r="AM219" s="759"/>
      <c r="AN219" s="568"/>
      <c r="AO219" s="777"/>
      <c r="AP219" s="759"/>
      <c r="AQ219" s="568"/>
      <c r="AR219" s="777"/>
      <c r="AS219" s="759"/>
      <c r="AT219" s="568"/>
      <c r="AU219" s="777"/>
      <c r="AV219" s="759"/>
      <c r="AW219" s="568"/>
      <c r="AX219" s="777"/>
      <c r="AY219" s="759"/>
      <c r="AZ219" s="568"/>
      <c r="BA219" s="777"/>
      <c r="BB219" s="759"/>
      <c r="BC219" s="568"/>
      <c r="BD219" s="777"/>
      <c r="BE219" s="759"/>
      <c r="BF219" s="568"/>
      <c r="BG219" s="777"/>
      <c r="BH219" s="759"/>
      <c r="BI219" s="568"/>
      <c r="BJ219" s="777"/>
      <c r="BK219" s="759"/>
      <c r="BL219" s="568"/>
      <c r="BM219" s="777"/>
      <c r="BN219" s="759"/>
      <c r="BO219" s="567"/>
      <c r="BP219" s="568"/>
      <c r="BQ219" s="777"/>
      <c r="BR219" s="759"/>
      <c r="BS219" s="568"/>
      <c r="BT219" s="759"/>
      <c r="BU219" s="759"/>
      <c r="BV219" s="567"/>
      <c r="BW219" s="568"/>
      <c r="BX219" s="777"/>
      <c r="BY219" s="759"/>
      <c r="BZ219" s="568"/>
      <c r="CA219" s="759"/>
      <c r="CB219" s="759"/>
      <c r="CC219" s="568"/>
      <c r="CD219" s="759"/>
      <c r="CE219" s="909"/>
    </row>
    <row r="220" spans="1:83" ht="18.75" customHeight="1" x14ac:dyDescent="0.4">
      <c r="A220" s="249"/>
      <c r="B220" s="249"/>
      <c r="C220" s="584" t="s">
        <v>307</v>
      </c>
      <c r="D220" s="688"/>
      <c r="E220" s="1003"/>
      <c r="F220" s="1003"/>
      <c r="G220" s="594"/>
      <c r="H220" s="2683"/>
      <c r="I220" s="775"/>
      <c r="J220" s="635"/>
      <c r="K220" s="2562"/>
      <c r="L220" s="754"/>
      <c r="M220" s="685"/>
      <c r="N220" s="745"/>
      <c r="O220" s="685"/>
      <c r="P220" s="977"/>
      <c r="Q220" s="1055"/>
      <c r="R220" s="1053"/>
      <c r="S220" s="664"/>
      <c r="T220" s="1990"/>
      <c r="U220" s="687"/>
      <c r="V220" s="904"/>
      <c r="W220" s="788" t="s">
        <v>351</v>
      </c>
      <c r="X220" s="930"/>
      <c r="Y220" s="685"/>
      <c r="Z220" s="745"/>
      <c r="AA220" s="685"/>
      <c r="AB220" s="1023"/>
      <c r="AC220" s="1023"/>
      <c r="AD220" s="1023"/>
      <c r="AE220" s="568"/>
      <c r="AF220" s="777"/>
      <c r="AG220" s="759"/>
      <c r="AH220" s="568"/>
      <c r="AI220" s="777"/>
      <c r="AJ220" s="759"/>
      <c r="AK220" s="568"/>
      <c r="AL220" s="777"/>
      <c r="AM220" s="759"/>
      <c r="AN220" s="568"/>
      <c r="AO220" s="777"/>
      <c r="AP220" s="759"/>
      <c r="AQ220" s="568"/>
      <c r="AR220" s="777"/>
      <c r="AS220" s="759"/>
      <c r="AT220" s="568"/>
      <c r="AU220" s="777"/>
      <c r="AV220" s="759"/>
      <c r="AW220" s="568"/>
      <c r="AX220" s="777"/>
      <c r="AY220" s="759"/>
      <c r="AZ220" s="568"/>
      <c r="BA220" s="777"/>
      <c r="BB220" s="759"/>
      <c r="BC220" s="568"/>
      <c r="BD220" s="777"/>
      <c r="BE220" s="759"/>
      <c r="BF220" s="568"/>
      <c r="BG220" s="777"/>
      <c r="BH220" s="759"/>
      <c r="BI220" s="568"/>
      <c r="BJ220" s="777"/>
      <c r="BK220" s="759"/>
      <c r="BL220" s="568"/>
      <c r="BM220" s="777"/>
      <c r="BN220" s="759"/>
      <c r="BO220" s="567"/>
      <c r="BP220" s="568"/>
      <c r="BQ220" s="777"/>
      <c r="BR220" s="759"/>
      <c r="BS220" s="568"/>
      <c r="BT220" s="759"/>
      <c r="BU220" s="759"/>
      <c r="BV220" s="567"/>
      <c r="BW220" s="568"/>
      <c r="BX220" s="777"/>
      <c r="BY220" s="759"/>
      <c r="BZ220" s="568"/>
      <c r="CA220" s="759"/>
      <c r="CB220" s="759"/>
      <c r="CC220" s="568"/>
      <c r="CD220" s="759"/>
      <c r="CE220" s="909"/>
    </row>
    <row r="221" spans="1:83" ht="18.600000000000001" customHeight="1" x14ac:dyDescent="0.4">
      <c r="A221" s="249"/>
      <c r="B221" s="249"/>
      <c r="C221" s="584" t="s">
        <v>307</v>
      </c>
      <c r="D221" s="587"/>
      <c r="E221" s="1056"/>
      <c r="F221" s="1056"/>
      <c r="G221" s="588"/>
      <c r="H221" s="1054"/>
      <c r="I221" s="775"/>
      <c r="J221" s="691"/>
      <c r="K221" s="2562"/>
      <c r="L221" s="705"/>
      <c r="M221" s="686"/>
      <c r="N221" s="745"/>
      <c r="O221" s="685"/>
      <c r="P221" s="707"/>
      <c r="Q221" s="1001"/>
      <c r="R221" s="996"/>
      <c r="S221" s="664"/>
      <c r="T221" s="664"/>
      <c r="U221" s="687"/>
      <c r="V221" s="904"/>
      <c r="W221" s="871"/>
      <c r="X221" s="930"/>
      <c r="Y221" s="686"/>
      <c r="Z221" s="745"/>
      <c r="AA221" s="685"/>
      <c r="AB221" s="687"/>
      <c r="AC221" s="687"/>
      <c r="AD221" s="687"/>
      <c r="AE221" s="568"/>
      <c r="AF221" s="777"/>
      <c r="AG221" s="759"/>
      <c r="AH221" s="568"/>
      <c r="AI221" s="777"/>
      <c r="AJ221" s="759"/>
      <c r="AK221" s="568"/>
      <c r="AL221" s="777"/>
      <c r="AM221" s="759"/>
      <c r="AN221" s="568"/>
      <c r="AO221" s="777"/>
      <c r="AP221" s="759"/>
      <c r="AQ221" s="568"/>
      <c r="AR221" s="777"/>
      <c r="AS221" s="759"/>
      <c r="AT221" s="568"/>
      <c r="AU221" s="777"/>
      <c r="AV221" s="759"/>
      <c r="AW221" s="568"/>
      <c r="AX221" s="777"/>
      <c r="AY221" s="759"/>
      <c r="AZ221" s="568"/>
      <c r="BA221" s="777"/>
      <c r="BB221" s="759"/>
      <c r="BC221" s="568"/>
      <c r="BD221" s="777"/>
      <c r="BE221" s="759"/>
      <c r="BF221" s="568"/>
      <c r="BG221" s="777"/>
      <c r="BH221" s="759"/>
      <c r="BI221" s="568"/>
      <c r="BJ221" s="777"/>
      <c r="BK221" s="759"/>
      <c r="BL221" s="568"/>
      <c r="BM221" s="777"/>
      <c r="BN221" s="759"/>
      <c r="BO221" s="567"/>
      <c r="BP221" s="568"/>
      <c r="BQ221" s="777"/>
      <c r="BR221" s="759"/>
      <c r="BS221" s="568"/>
      <c r="BT221" s="759"/>
      <c r="BU221" s="759"/>
      <c r="BV221" s="567"/>
      <c r="BW221" s="568"/>
      <c r="BX221" s="777"/>
      <c r="BY221" s="759"/>
      <c r="BZ221" s="568"/>
      <c r="CA221" s="759"/>
      <c r="CB221" s="759"/>
      <c r="CC221" s="568"/>
      <c r="CD221" s="567"/>
      <c r="CE221" s="909"/>
    </row>
    <row r="222" spans="1:83" ht="18.600000000000001" customHeight="1" x14ac:dyDescent="0.4">
      <c r="A222" s="249"/>
      <c r="B222" s="249"/>
      <c r="C222" s="584" t="s">
        <v>307</v>
      </c>
      <c r="D222" s="688"/>
      <c r="E222" s="1003"/>
      <c r="F222" s="1003"/>
      <c r="G222" s="594"/>
      <c r="H222" s="1057"/>
      <c r="I222" s="742"/>
      <c r="J222" s="691"/>
      <c r="K222" s="2562"/>
      <c r="L222" s="705"/>
      <c r="M222" s="686"/>
      <c r="N222" s="745"/>
      <c r="O222" s="685"/>
      <c r="P222" s="707"/>
      <c r="Q222" s="1059"/>
      <c r="R222" s="996"/>
      <c r="S222" s="664"/>
      <c r="T222" s="2763"/>
      <c r="U222" s="687"/>
      <c r="V222" s="904"/>
      <c r="W222" s="871"/>
      <c r="X222" s="930"/>
      <c r="Y222" s="686"/>
      <c r="Z222" s="745"/>
      <c r="AA222" s="685"/>
      <c r="AB222" s="687"/>
      <c r="AC222" s="687"/>
      <c r="AD222" s="687"/>
      <c r="AE222" s="568"/>
      <c r="AF222" s="566"/>
      <c r="AG222" s="567"/>
      <c r="AH222" s="568"/>
      <c r="AI222" s="566"/>
      <c r="AJ222" s="567"/>
      <c r="AK222" s="568"/>
      <c r="AL222" s="566"/>
      <c r="AM222" s="567"/>
      <c r="AN222" s="568"/>
      <c r="AO222" s="566"/>
      <c r="AP222" s="567"/>
      <c r="AQ222" s="568"/>
      <c r="AR222" s="566"/>
      <c r="AS222" s="567"/>
      <c r="AT222" s="568"/>
      <c r="AU222" s="566"/>
      <c r="AV222" s="567"/>
      <c r="AW222" s="568"/>
      <c r="AX222" s="566"/>
      <c r="AY222" s="567"/>
      <c r="AZ222" s="568"/>
      <c r="BA222" s="566"/>
      <c r="BB222" s="567"/>
      <c r="BC222" s="568"/>
      <c r="BD222" s="566"/>
      <c r="BE222" s="567"/>
      <c r="BF222" s="568"/>
      <c r="BG222" s="566"/>
      <c r="BH222" s="567"/>
      <c r="BI222" s="568"/>
      <c r="BJ222" s="566"/>
      <c r="BK222" s="567"/>
      <c r="BL222" s="568"/>
      <c r="BM222" s="566"/>
      <c r="BN222" s="567"/>
      <c r="BO222" s="567"/>
      <c r="BP222" s="568"/>
      <c r="BQ222" s="566"/>
      <c r="BR222" s="567"/>
      <c r="BS222" s="568"/>
      <c r="BT222" s="567"/>
      <c r="BU222" s="567"/>
      <c r="BV222" s="567"/>
      <c r="BW222" s="568"/>
      <c r="BX222" s="566"/>
      <c r="BY222" s="567"/>
      <c r="BZ222" s="568"/>
      <c r="CA222" s="567"/>
      <c r="CB222" s="567"/>
      <c r="CC222" s="568"/>
      <c r="CD222" s="567"/>
      <c r="CE222" s="2807"/>
    </row>
    <row r="223" spans="1:83" ht="14.85" customHeight="1" x14ac:dyDescent="0.4">
      <c r="A223" s="249"/>
      <c r="B223" s="249"/>
      <c r="C223" s="584">
        <v>0.52430555555555503</v>
      </c>
      <c r="D223" s="688"/>
      <c r="E223" s="699"/>
      <c r="F223" s="699"/>
      <c r="G223" s="594"/>
      <c r="H223" s="1058"/>
      <c r="I223" s="742"/>
      <c r="J223" s="582"/>
      <c r="K223" s="2562"/>
      <c r="L223" s="849"/>
      <c r="M223" s="1061"/>
      <c r="N223" s="1062"/>
      <c r="O223" s="1063"/>
      <c r="P223" s="997"/>
      <c r="Q223" s="998"/>
      <c r="R223" s="999"/>
      <c r="S223" s="664"/>
      <c r="T223" s="2763"/>
      <c r="U223" s="687"/>
      <c r="V223" s="886"/>
      <c r="W223" s="871"/>
      <c r="X223" s="993"/>
      <c r="Y223" s="1061"/>
      <c r="Z223" s="1062"/>
      <c r="AA223" s="1063"/>
      <c r="AB223" s="1023"/>
      <c r="AC223" s="1023"/>
      <c r="AD223" s="1023"/>
      <c r="AE223" s="568"/>
      <c r="AF223" s="566"/>
      <c r="AG223" s="567"/>
      <c r="AH223" s="568"/>
      <c r="AI223" s="566"/>
      <c r="AJ223" s="567"/>
      <c r="AK223" s="568"/>
      <c r="AL223" s="566"/>
      <c r="AM223" s="567"/>
      <c r="AN223" s="568"/>
      <c r="AO223" s="566"/>
      <c r="AP223" s="567"/>
      <c r="AQ223" s="568"/>
      <c r="AR223" s="566"/>
      <c r="AS223" s="567"/>
      <c r="AT223" s="568"/>
      <c r="AU223" s="566"/>
      <c r="AV223" s="567"/>
      <c r="AW223" s="568"/>
      <c r="AX223" s="566"/>
      <c r="AY223" s="567"/>
      <c r="AZ223" s="568"/>
      <c r="BA223" s="566"/>
      <c r="BB223" s="567"/>
      <c r="BC223" s="568"/>
      <c r="BD223" s="566"/>
      <c r="BE223" s="567"/>
      <c r="BF223" s="568"/>
      <c r="BG223" s="566"/>
      <c r="BH223" s="567"/>
      <c r="BI223" s="568"/>
      <c r="BJ223" s="566"/>
      <c r="BK223" s="567"/>
      <c r="BL223" s="568"/>
      <c r="BM223" s="566"/>
      <c r="BN223" s="567"/>
      <c r="BO223" s="567"/>
      <c r="BP223" s="568"/>
      <c r="BQ223" s="566"/>
      <c r="BR223" s="567"/>
      <c r="BS223" s="568"/>
      <c r="BT223" s="567"/>
      <c r="BU223" s="567"/>
      <c r="BV223" s="567"/>
      <c r="BW223" s="568"/>
      <c r="BX223" s="566"/>
      <c r="BY223" s="567"/>
      <c r="BZ223" s="568"/>
      <c r="CA223" s="567"/>
      <c r="CB223" s="567"/>
      <c r="CC223" s="568"/>
      <c r="CD223" s="567"/>
      <c r="CE223" s="2807"/>
    </row>
    <row r="224" spans="1:83" ht="18.600000000000001" customHeight="1" x14ac:dyDescent="0.4">
      <c r="A224" s="249"/>
      <c r="B224" s="249"/>
      <c r="C224" s="584">
        <v>0.52777777777777701</v>
      </c>
      <c r="D224" s="844"/>
      <c r="E224" s="688"/>
      <c r="F224" s="845"/>
      <c r="G224" s="846"/>
      <c r="H224" s="1048"/>
      <c r="I224" s="847"/>
      <c r="J224" s="582"/>
      <c r="K224" s="2562"/>
      <c r="L224" s="849"/>
      <c r="M224" s="1064"/>
      <c r="N224" s="1065"/>
      <c r="O224" s="1061"/>
      <c r="P224" s="997"/>
      <c r="Q224" s="998"/>
      <c r="R224" s="999"/>
      <c r="S224" s="664"/>
      <c r="T224" s="664"/>
      <c r="U224" s="687"/>
      <c r="V224" s="904"/>
      <c r="W224" s="709"/>
      <c r="X224" s="930"/>
      <c r="Y224" s="1064"/>
      <c r="Z224" s="1065"/>
      <c r="AA224" s="1061"/>
      <c r="AB224" s="1023"/>
      <c r="AC224" s="1023"/>
      <c r="AD224" s="1023"/>
      <c r="AE224" s="568"/>
      <c r="AF224" s="566"/>
      <c r="AG224" s="567"/>
      <c r="AH224" s="568"/>
      <c r="AI224" s="566"/>
      <c r="AJ224" s="567"/>
      <c r="AK224" s="568"/>
      <c r="AL224" s="566"/>
      <c r="AM224" s="567"/>
      <c r="AN224" s="568"/>
      <c r="AO224" s="566"/>
      <c r="AP224" s="567"/>
      <c r="AQ224" s="568"/>
      <c r="AR224" s="566"/>
      <c r="AS224" s="567"/>
      <c r="AT224" s="568"/>
      <c r="AU224" s="566"/>
      <c r="AV224" s="567"/>
      <c r="AW224" s="568"/>
      <c r="AX224" s="566"/>
      <c r="AY224" s="567"/>
      <c r="AZ224" s="568"/>
      <c r="BA224" s="566"/>
      <c r="BB224" s="567"/>
      <c r="BC224" s="568"/>
      <c r="BD224" s="566"/>
      <c r="BE224" s="567"/>
      <c r="BF224" s="568"/>
      <c r="BG224" s="566"/>
      <c r="BH224" s="567"/>
      <c r="BI224" s="568"/>
      <c r="BJ224" s="566"/>
      <c r="BK224" s="567"/>
      <c r="BL224" s="568"/>
      <c r="BM224" s="566"/>
      <c r="BN224" s="567"/>
      <c r="BO224" s="567"/>
      <c r="BP224" s="568"/>
      <c r="BQ224" s="566"/>
      <c r="BR224" s="567"/>
      <c r="BS224" s="568"/>
      <c r="BT224" s="567"/>
      <c r="BU224" s="567"/>
      <c r="BV224" s="567"/>
      <c r="BW224" s="568"/>
      <c r="BX224" s="566"/>
      <c r="BY224" s="567"/>
      <c r="BZ224" s="568"/>
      <c r="CA224" s="567"/>
      <c r="CB224" s="567"/>
      <c r="CC224" s="568"/>
      <c r="CD224" s="567"/>
      <c r="CE224" s="2807"/>
    </row>
    <row r="225" spans="1:83" ht="14.85" customHeight="1" x14ac:dyDescent="0.4">
      <c r="A225" s="249"/>
      <c r="B225" s="249"/>
      <c r="C225" s="584" t="s">
        <v>307</v>
      </c>
      <c r="D225" s="844"/>
      <c r="E225" s="688"/>
      <c r="F225" s="845"/>
      <c r="G225" s="846"/>
      <c r="H225" s="1048"/>
      <c r="I225" s="847"/>
      <c r="J225" s="582"/>
      <c r="K225" s="2563"/>
      <c r="L225" s="849"/>
      <c r="M225" s="686"/>
      <c r="N225" s="865"/>
      <c r="O225" s="791"/>
      <c r="P225" s="997"/>
      <c r="Q225" s="998"/>
      <c r="R225" s="999"/>
      <c r="S225" s="664"/>
      <c r="T225" s="664"/>
      <c r="U225" s="687"/>
      <c r="V225" s="886"/>
      <c r="W225" s="871"/>
      <c r="X225" s="993"/>
      <c r="Y225" s="686"/>
      <c r="Z225" s="865"/>
      <c r="AA225" s="791"/>
      <c r="AB225" s="687"/>
      <c r="AC225" s="687"/>
      <c r="AD225" s="687"/>
      <c r="AE225" s="568"/>
      <c r="AF225" s="566"/>
      <c r="AG225" s="567"/>
      <c r="AH225" s="568"/>
      <c r="AI225" s="566"/>
      <c r="AJ225" s="567"/>
      <c r="AK225" s="568"/>
      <c r="AL225" s="566"/>
      <c r="AM225" s="567"/>
      <c r="AN225" s="568"/>
      <c r="AO225" s="566"/>
      <c r="AP225" s="567"/>
      <c r="AQ225" s="568"/>
      <c r="AR225" s="566"/>
      <c r="AS225" s="567"/>
      <c r="AT225" s="568"/>
      <c r="AU225" s="566"/>
      <c r="AV225" s="567"/>
      <c r="AW225" s="568"/>
      <c r="AX225" s="566"/>
      <c r="AY225" s="567"/>
      <c r="AZ225" s="568"/>
      <c r="BA225" s="566"/>
      <c r="BB225" s="567"/>
      <c r="BC225" s="568"/>
      <c r="BD225" s="566"/>
      <c r="BE225" s="567"/>
      <c r="BF225" s="568"/>
      <c r="BG225" s="566"/>
      <c r="BH225" s="567"/>
      <c r="BI225" s="568"/>
      <c r="BJ225" s="566"/>
      <c r="BK225" s="567"/>
      <c r="BL225" s="568"/>
      <c r="BM225" s="566"/>
      <c r="BN225" s="567"/>
      <c r="BO225" s="567"/>
      <c r="BP225" s="568"/>
      <c r="BQ225" s="566"/>
      <c r="BR225" s="567"/>
      <c r="BS225" s="568"/>
      <c r="BT225" s="567"/>
      <c r="BU225" s="567"/>
      <c r="BV225" s="567"/>
      <c r="BW225" s="568"/>
      <c r="BX225" s="566"/>
      <c r="BY225" s="567"/>
      <c r="BZ225" s="568"/>
      <c r="CA225" s="567"/>
      <c r="CB225" s="567"/>
      <c r="CC225" s="568"/>
      <c r="CD225" s="917"/>
      <c r="CE225" s="2807"/>
    </row>
    <row r="226" spans="1:83" ht="18.75" customHeight="1" x14ac:dyDescent="0.4">
      <c r="A226" s="249"/>
      <c r="B226" s="249"/>
      <c r="C226" s="584">
        <v>0.531249999999999</v>
      </c>
      <c r="D226" s="587"/>
      <c r="E226" s="688"/>
      <c r="F226" s="688"/>
      <c r="G226" s="588"/>
      <c r="H226" s="1048"/>
      <c r="I226" s="742"/>
      <c r="J226" s="935"/>
      <c r="K226" s="2562"/>
      <c r="L226" s="936"/>
      <c r="M226" s="686"/>
      <c r="N226" s="745" t="s">
        <v>371</v>
      </c>
      <c r="O226" s="973"/>
      <c r="P226" s="937"/>
      <c r="Q226" s="851" t="s">
        <v>356</v>
      </c>
      <c r="R226" s="938"/>
      <c r="S226" s="687"/>
      <c r="T226" s="664" t="s">
        <v>331</v>
      </c>
      <c r="U226" s="2764"/>
      <c r="V226" s="886"/>
      <c r="W226" s="2841" t="s">
        <v>341</v>
      </c>
      <c r="X226" s="993"/>
      <c r="Y226" s="686"/>
      <c r="Z226" s="745" t="s">
        <v>371</v>
      </c>
      <c r="AA226" s="973"/>
      <c r="AB226" s="1023"/>
      <c r="AC226" s="1023"/>
      <c r="AD226" s="1023"/>
      <c r="AE226" s="568"/>
      <c r="AF226" s="919"/>
      <c r="AG226" s="917"/>
      <c r="AH226" s="568"/>
      <c r="AI226" s="919"/>
      <c r="AJ226" s="917"/>
      <c r="AK226" s="568"/>
      <c r="AL226" s="919"/>
      <c r="AM226" s="917"/>
      <c r="AN226" s="568"/>
      <c r="AO226" s="919"/>
      <c r="AP226" s="917"/>
      <c r="AQ226" s="568"/>
      <c r="AR226" s="919"/>
      <c r="AS226" s="917"/>
      <c r="AT226" s="568"/>
      <c r="AU226" s="919"/>
      <c r="AV226" s="917"/>
      <c r="AW226" s="568"/>
      <c r="AX226" s="919"/>
      <c r="AY226" s="917"/>
      <c r="AZ226" s="568"/>
      <c r="BA226" s="919"/>
      <c r="BB226" s="917"/>
      <c r="BC226" s="568"/>
      <c r="BD226" s="919"/>
      <c r="BE226" s="917"/>
      <c r="BF226" s="568"/>
      <c r="BG226" s="919"/>
      <c r="BH226" s="917"/>
      <c r="BI226" s="568"/>
      <c r="BJ226" s="919"/>
      <c r="BK226" s="917"/>
      <c r="BL226" s="568"/>
      <c r="BM226" s="919"/>
      <c r="BN226" s="917"/>
      <c r="BO226" s="567"/>
      <c r="BP226" s="568"/>
      <c r="BQ226" s="919"/>
      <c r="BR226" s="917"/>
      <c r="BS226" s="568"/>
      <c r="BT226" s="917"/>
      <c r="BU226" s="917"/>
      <c r="BV226" s="567"/>
      <c r="BW226" s="568"/>
      <c r="BX226" s="919"/>
      <c r="BY226" s="917"/>
      <c r="BZ226" s="568"/>
      <c r="CA226" s="917"/>
      <c r="CB226" s="917"/>
      <c r="CC226" s="568"/>
      <c r="CD226" s="917"/>
      <c r="CE226" s="2551"/>
    </row>
    <row r="227" spans="1:83" ht="18.75" customHeight="1" x14ac:dyDescent="0.4">
      <c r="A227" s="249"/>
      <c r="B227" s="249"/>
      <c r="C227" s="584" t="s">
        <v>307</v>
      </c>
      <c r="D227" s="939"/>
      <c r="E227" s="688"/>
      <c r="F227" s="688"/>
      <c r="G227" s="940"/>
      <c r="H227" s="1048"/>
      <c r="I227" s="737"/>
      <c r="J227" s="935"/>
      <c r="K227" s="2561"/>
      <c r="L227" s="936"/>
      <c r="M227" s="685"/>
      <c r="N227" s="793" t="s">
        <v>336</v>
      </c>
      <c r="O227" s="686"/>
      <c r="P227" s="937"/>
      <c r="Q227" s="707" t="s">
        <v>334</v>
      </c>
      <c r="R227" s="938"/>
      <c r="S227" s="664"/>
      <c r="T227" s="664" t="s">
        <v>334</v>
      </c>
      <c r="U227" s="687"/>
      <c r="V227" s="886"/>
      <c r="W227" s="2841"/>
      <c r="X227" s="993"/>
      <c r="Y227" s="685"/>
      <c r="Z227" s="793" t="s">
        <v>336</v>
      </c>
      <c r="AA227" s="686"/>
      <c r="AB227" s="1023"/>
      <c r="AC227" s="1023"/>
      <c r="AD227" s="1023"/>
      <c r="AE227" s="568"/>
      <c r="AF227" s="919"/>
      <c r="AG227" s="917"/>
      <c r="AH227" s="568"/>
      <c r="AI227" s="566"/>
      <c r="AJ227" s="917"/>
      <c r="AK227" s="568"/>
      <c r="AL227" s="919"/>
      <c r="AM227" s="917"/>
      <c r="AN227" s="568"/>
      <c r="AO227" s="919"/>
      <c r="AP227" s="917"/>
      <c r="AQ227" s="568"/>
      <c r="AR227" s="919"/>
      <c r="AS227" s="917"/>
      <c r="AT227" s="568"/>
      <c r="AU227" s="919"/>
      <c r="AV227" s="917"/>
      <c r="AW227" s="568"/>
      <c r="AX227" s="919"/>
      <c r="AY227" s="917"/>
      <c r="AZ227" s="568"/>
      <c r="BA227" s="919"/>
      <c r="BB227" s="917"/>
      <c r="BC227" s="568"/>
      <c r="BD227" s="919"/>
      <c r="BE227" s="917"/>
      <c r="BF227" s="568"/>
      <c r="BG227" s="919"/>
      <c r="BH227" s="917"/>
      <c r="BI227" s="568"/>
      <c r="BJ227" s="919"/>
      <c r="BK227" s="917"/>
      <c r="BL227" s="568"/>
      <c r="BM227" s="919"/>
      <c r="BN227" s="917"/>
      <c r="BO227" s="567"/>
      <c r="BP227" s="568"/>
      <c r="BQ227" s="919"/>
      <c r="BR227" s="917"/>
      <c r="BS227" s="568"/>
      <c r="BT227" s="917"/>
      <c r="BU227" s="917"/>
      <c r="BV227" s="567"/>
      <c r="BW227" s="568"/>
      <c r="BX227" s="919"/>
      <c r="BY227" s="917"/>
      <c r="BZ227" s="568"/>
      <c r="CA227" s="917"/>
      <c r="CB227" s="917"/>
      <c r="CC227" s="568"/>
      <c r="CD227" s="917"/>
      <c r="CE227" s="2551"/>
    </row>
    <row r="228" spans="1:83" ht="18.75" customHeight="1" x14ac:dyDescent="0.4">
      <c r="A228" s="249"/>
      <c r="B228" s="249"/>
      <c r="C228" s="584" t="s">
        <v>307</v>
      </c>
      <c r="D228" s="587"/>
      <c r="E228" s="688"/>
      <c r="F228" s="845"/>
      <c r="G228" s="588"/>
      <c r="H228" s="1048"/>
      <c r="I228" s="742"/>
      <c r="J228" s="691"/>
      <c r="K228" s="2562"/>
      <c r="L228" s="705"/>
      <c r="M228" s="685"/>
      <c r="N228" s="745" t="s">
        <v>333</v>
      </c>
      <c r="O228" s="686"/>
      <c r="P228" s="707"/>
      <c r="Q228" s="707"/>
      <c r="R228" s="996"/>
      <c r="S228" s="664"/>
      <c r="T228" s="1990" t="s">
        <v>351</v>
      </c>
      <c r="U228" s="687"/>
      <c r="V228" s="886"/>
      <c r="W228" s="2841"/>
      <c r="X228" s="993"/>
      <c r="Y228" s="685"/>
      <c r="Z228" s="745" t="s">
        <v>333</v>
      </c>
      <c r="AA228" s="686"/>
      <c r="AB228" s="664"/>
      <c r="AC228" s="664"/>
      <c r="AD228" s="664"/>
      <c r="AE228" s="568"/>
      <c r="AF228" s="919"/>
      <c r="AG228" s="917"/>
      <c r="AH228" s="568"/>
      <c r="AI228" s="566"/>
      <c r="AJ228" s="917"/>
      <c r="AK228" s="568"/>
      <c r="AL228" s="919"/>
      <c r="AM228" s="917"/>
      <c r="AN228" s="568"/>
      <c r="AO228" s="919"/>
      <c r="AP228" s="917"/>
      <c r="AQ228" s="568"/>
      <c r="AR228" s="919"/>
      <c r="AS228" s="917"/>
      <c r="AT228" s="568"/>
      <c r="AU228" s="919"/>
      <c r="AV228" s="917"/>
      <c r="AW228" s="568"/>
      <c r="AX228" s="919"/>
      <c r="AY228" s="917"/>
      <c r="AZ228" s="568"/>
      <c r="BA228" s="919"/>
      <c r="BB228" s="917"/>
      <c r="BC228" s="568"/>
      <c r="BD228" s="919"/>
      <c r="BE228" s="917"/>
      <c r="BF228" s="568"/>
      <c r="BG228" s="919"/>
      <c r="BH228" s="917"/>
      <c r="BI228" s="568"/>
      <c r="BJ228" s="919"/>
      <c r="BK228" s="917"/>
      <c r="BL228" s="568"/>
      <c r="BM228" s="919"/>
      <c r="BN228" s="917"/>
      <c r="BO228" s="567"/>
      <c r="BP228" s="568"/>
      <c r="BQ228" s="919"/>
      <c r="BR228" s="917"/>
      <c r="BS228" s="568"/>
      <c r="BT228" s="917"/>
      <c r="BU228" s="917"/>
      <c r="BV228" s="567"/>
      <c r="BW228" s="568"/>
      <c r="BX228" s="919"/>
      <c r="BY228" s="917"/>
      <c r="BZ228" s="568"/>
      <c r="CA228" s="917"/>
      <c r="CB228" s="917"/>
      <c r="CC228" s="568"/>
      <c r="CD228" s="917"/>
      <c r="CE228" s="2551"/>
    </row>
    <row r="229" spans="1:83" ht="18.75" customHeight="1" x14ac:dyDescent="0.4">
      <c r="A229" s="249"/>
      <c r="B229" s="249"/>
      <c r="C229" s="584" t="s">
        <v>307</v>
      </c>
      <c r="D229" s="587"/>
      <c r="E229" s="688"/>
      <c r="F229" s="845"/>
      <c r="G229" s="588"/>
      <c r="H229" s="1048"/>
      <c r="I229" s="742"/>
      <c r="J229" s="1067"/>
      <c r="K229" s="2562"/>
      <c r="L229" s="1068"/>
      <c r="M229" s="686"/>
      <c r="N229" s="745"/>
      <c r="O229" s="907"/>
      <c r="P229" s="1069"/>
      <c r="Q229" s="1070"/>
      <c r="R229" s="1071"/>
      <c r="S229" s="664"/>
      <c r="T229" s="1990"/>
      <c r="U229" s="687"/>
      <c r="V229" s="886"/>
      <c r="W229" s="2841"/>
      <c r="X229" s="993"/>
      <c r="Y229" s="686"/>
      <c r="Z229" s="745"/>
      <c r="AA229" s="907"/>
      <c r="AB229" s="1023"/>
      <c r="AC229" s="1023"/>
      <c r="AD229" s="1023"/>
      <c r="AE229" s="568"/>
      <c r="AF229" s="919"/>
      <c r="AG229" s="917"/>
      <c r="AH229" s="568"/>
      <c r="AI229" s="919"/>
      <c r="AJ229" s="917"/>
      <c r="AK229" s="568"/>
      <c r="AL229" s="919"/>
      <c r="AM229" s="917"/>
      <c r="AN229" s="568"/>
      <c r="AO229" s="919"/>
      <c r="AP229" s="917"/>
      <c r="AQ229" s="568"/>
      <c r="AR229" s="919"/>
      <c r="AS229" s="917"/>
      <c r="AT229" s="568"/>
      <c r="AU229" s="919"/>
      <c r="AV229" s="917"/>
      <c r="AW229" s="568"/>
      <c r="AX229" s="919"/>
      <c r="AY229" s="917"/>
      <c r="AZ229" s="568"/>
      <c r="BA229" s="919"/>
      <c r="BB229" s="917"/>
      <c r="BC229" s="568"/>
      <c r="BD229" s="919"/>
      <c r="BE229" s="917"/>
      <c r="BF229" s="568"/>
      <c r="BG229" s="919"/>
      <c r="BH229" s="917"/>
      <c r="BI229" s="568"/>
      <c r="BJ229" s="919"/>
      <c r="BK229" s="917"/>
      <c r="BL229" s="568"/>
      <c r="BM229" s="919"/>
      <c r="BN229" s="917"/>
      <c r="BO229" s="567"/>
      <c r="BP229" s="568"/>
      <c r="BQ229" s="919"/>
      <c r="BR229" s="917"/>
      <c r="BS229" s="568"/>
      <c r="BT229" s="917"/>
      <c r="BU229" s="917"/>
      <c r="BV229" s="567"/>
      <c r="BW229" s="568"/>
      <c r="BX229" s="919"/>
      <c r="BY229" s="917"/>
      <c r="BZ229" s="568"/>
      <c r="CA229" s="917"/>
      <c r="CB229" s="917"/>
      <c r="CC229" s="568"/>
      <c r="CD229" s="917"/>
      <c r="CE229" s="2551"/>
    </row>
    <row r="230" spans="1:83" ht="18.75" customHeight="1" x14ac:dyDescent="0.4">
      <c r="A230" s="249"/>
      <c r="B230" s="249"/>
      <c r="C230" s="584" t="s">
        <v>307</v>
      </c>
      <c r="D230" s="1072"/>
      <c r="E230" s="1073"/>
      <c r="F230" s="1074"/>
      <c r="G230" s="1075"/>
      <c r="H230" s="2684"/>
      <c r="I230" s="1076"/>
      <c r="J230" s="1067"/>
      <c r="K230" s="2562"/>
      <c r="L230" s="1068"/>
      <c r="M230" s="791"/>
      <c r="N230" s="906"/>
      <c r="O230" s="907"/>
      <c r="P230" s="1069"/>
      <c r="Q230" s="1070"/>
      <c r="R230" s="1071"/>
      <c r="S230" s="664"/>
      <c r="T230" s="664"/>
      <c r="U230" s="687"/>
      <c r="V230" s="886"/>
      <c r="W230" s="2841"/>
      <c r="X230" s="993"/>
      <c r="Y230" s="791"/>
      <c r="Z230" s="906"/>
      <c r="AA230" s="907"/>
      <c r="AB230" s="1023"/>
      <c r="AC230" s="1023"/>
      <c r="AD230" s="1023"/>
      <c r="AE230" s="568"/>
      <c r="AF230" s="919"/>
      <c r="AG230" s="917"/>
      <c r="AH230" s="568"/>
      <c r="AI230" s="919"/>
      <c r="AJ230" s="917"/>
      <c r="AK230" s="568"/>
      <c r="AL230" s="919"/>
      <c r="AM230" s="917"/>
      <c r="AN230" s="568"/>
      <c r="AO230" s="919"/>
      <c r="AP230" s="917"/>
      <c r="AQ230" s="568"/>
      <c r="AR230" s="919"/>
      <c r="AS230" s="917"/>
      <c r="AT230" s="568"/>
      <c r="AU230" s="919"/>
      <c r="AV230" s="917"/>
      <c r="AW230" s="568"/>
      <c r="AX230" s="919"/>
      <c r="AY230" s="917"/>
      <c r="AZ230" s="568"/>
      <c r="BA230" s="919"/>
      <c r="BB230" s="917"/>
      <c r="BC230" s="568"/>
      <c r="BD230" s="919"/>
      <c r="BE230" s="917"/>
      <c r="BF230" s="568"/>
      <c r="BG230" s="919"/>
      <c r="BH230" s="917"/>
      <c r="BI230" s="568"/>
      <c r="BJ230" s="919"/>
      <c r="BK230" s="917"/>
      <c r="BL230" s="568"/>
      <c r="BM230" s="919"/>
      <c r="BN230" s="917"/>
      <c r="BO230" s="567"/>
      <c r="BP230" s="568"/>
      <c r="BQ230" s="919"/>
      <c r="BR230" s="917"/>
      <c r="BS230" s="568"/>
      <c r="BT230" s="917"/>
      <c r="BU230" s="917"/>
      <c r="BV230" s="567"/>
      <c r="BW230" s="568"/>
      <c r="BX230" s="919"/>
      <c r="BY230" s="917"/>
      <c r="BZ230" s="568"/>
      <c r="CA230" s="917"/>
      <c r="CB230" s="917"/>
      <c r="CC230" s="568"/>
      <c r="CD230" s="917"/>
      <c r="CE230" s="2551"/>
    </row>
    <row r="231" spans="1:83" ht="18.75" customHeight="1" x14ac:dyDescent="0.4">
      <c r="A231" s="249"/>
      <c r="B231" s="249"/>
      <c r="C231" s="584" t="s">
        <v>307</v>
      </c>
      <c r="D231" s="1072"/>
      <c r="E231" s="1073"/>
      <c r="F231" s="1074"/>
      <c r="G231" s="1075"/>
      <c r="H231" s="2684"/>
      <c r="I231" s="1076"/>
      <c r="J231" s="1067"/>
      <c r="K231" s="2562"/>
      <c r="L231" s="1068"/>
      <c r="M231" s="791"/>
      <c r="N231" s="906"/>
      <c r="O231" s="907"/>
      <c r="P231" s="1069"/>
      <c r="Q231" s="1070"/>
      <c r="R231" s="1071"/>
      <c r="S231" s="664"/>
      <c r="T231" s="664"/>
      <c r="U231" s="687"/>
      <c r="V231" s="886"/>
      <c r="W231" s="2841"/>
      <c r="X231" s="993"/>
      <c r="Y231" s="791"/>
      <c r="Z231" s="906"/>
      <c r="AA231" s="907"/>
      <c r="AB231" s="1023"/>
      <c r="AC231" s="1023"/>
      <c r="AD231" s="1023"/>
      <c r="AE231" s="568"/>
      <c r="AF231" s="919"/>
      <c r="AG231" s="917"/>
      <c r="AH231" s="568"/>
      <c r="AI231" s="919"/>
      <c r="AJ231" s="917"/>
      <c r="AK231" s="568"/>
      <c r="AL231" s="919"/>
      <c r="AM231" s="917"/>
      <c r="AN231" s="568"/>
      <c r="AO231" s="919"/>
      <c r="AP231" s="917"/>
      <c r="AQ231" s="568"/>
      <c r="AR231" s="919"/>
      <c r="AS231" s="917"/>
      <c r="AT231" s="568"/>
      <c r="AU231" s="919"/>
      <c r="AV231" s="917"/>
      <c r="AW231" s="568"/>
      <c r="AX231" s="919"/>
      <c r="AY231" s="917"/>
      <c r="AZ231" s="568"/>
      <c r="BA231" s="919"/>
      <c r="BB231" s="917"/>
      <c r="BC231" s="568"/>
      <c r="BD231" s="919"/>
      <c r="BE231" s="917"/>
      <c r="BF231" s="568"/>
      <c r="BG231" s="919"/>
      <c r="BH231" s="917"/>
      <c r="BI231" s="568"/>
      <c r="BJ231" s="919"/>
      <c r="BK231" s="917"/>
      <c r="BL231" s="568"/>
      <c r="BM231" s="919"/>
      <c r="BN231" s="917"/>
      <c r="BO231" s="567"/>
      <c r="BP231" s="568"/>
      <c r="BQ231" s="919"/>
      <c r="BR231" s="917"/>
      <c r="BS231" s="568"/>
      <c r="BT231" s="917"/>
      <c r="BU231" s="917"/>
      <c r="BV231" s="567"/>
      <c r="BW231" s="568"/>
      <c r="BX231" s="919"/>
      <c r="BY231" s="917"/>
      <c r="BZ231" s="568"/>
      <c r="CA231" s="917"/>
      <c r="CB231" s="917"/>
      <c r="CC231" s="568"/>
      <c r="CD231" s="917"/>
      <c r="CE231" s="2551"/>
    </row>
    <row r="232" spans="1:83" ht="20.85" customHeight="1" x14ac:dyDescent="0.4">
      <c r="A232" s="249"/>
      <c r="B232" s="249"/>
      <c r="C232" s="584" t="s">
        <v>307</v>
      </c>
      <c r="D232" s="1072"/>
      <c r="E232" s="1073"/>
      <c r="F232" s="1074"/>
      <c r="G232" s="1075"/>
      <c r="H232" s="2684"/>
      <c r="I232" s="1076"/>
      <c r="J232" s="635"/>
      <c r="K232" s="2562"/>
      <c r="L232" s="849"/>
      <c r="M232" s="915"/>
      <c r="N232" s="928"/>
      <c r="O232" s="915"/>
      <c r="P232" s="795"/>
      <c r="Q232" s="769"/>
      <c r="R232" s="999"/>
      <c r="S232" s="664"/>
      <c r="T232" s="664"/>
      <c r="U232" s="908"/>
      <c r="V232" s="886"/>
      <c r="W232" s="2841"/>
      <c r="X232" s="993"/>
      <c r="Y232" s="915"/>
      <c r="Z232" s="928"/>
      <c r="AA232" s="915"/>
      <c r="AB232" s="1023"/>
      <c r="AC232" s="1023"/>
      <c r="AD232" s="1023"/>
      <c r="AE232" s="568"/>
      <c r="AF232" s="919"/>
      <c r="AG232" s="917"/>
      <c r="AH232" s="568"/>
      <c r="AI232" s="919"/>
      <c r="AJ232" s="917"/>
      <c r="AK232" s="568"/>
      <c r="AL232" s="919"/>
      <c r="AM232" s="917"/>
      <c r="AN232" s="568"/>
      <c r="AO232" s="919"/>
      <c r="AP232" s="917"/>
      <c r="AQ232" s="568"/>
      <c r="AR232" s="919"/>
      <c r="AS232" s="917"/>
      <c r="AT232" s="568"/>
      <c r="AU232" s="919"/>
      <c r="AV232" s="917"/>
      <c r="AW232" s="568"/>
      <c r="AX232" s="919"/>
      <c r="AY232" s="917"/>
      <c r="AZ232" s="568"/>
      <c r="BA232" s="919"/>
      <c r="BB232" s="917"/>
      <c r="BC232" s="568"/>
      <c r="BD232" s="919"/>
      <c r="BE232" s="917"/>
      <c r="BF232" s="568"/>
      <c r="BG232" s="919"/>
      <c r="BH232" s="917"/>
      <c r="BI232" s="568"/>
      <c r="BJ232" s="919"/>
      <c r="BK232" s="917"/>
      <c r="BL232" s="568"/>
      <c r="BM232" s="919"/>
      <c r="BN232" s="917"/>
      <c r="BO232" s="567"/>
      <c r="BP232" s="568"/>
      <c r="BQ232" s="919"/>
      <c r="BR232" s="917"/>
      <c r="BS232" s="568"/>
      <c r="BT232" s="917"/>
      <c r="BU232" s="917"/>
      <c r="BV232" s="567"/>
      <c r="BW232" s="568"/>
      <c r="BX232" s="919"/>
      <c r="BY232" s="917"/>
      <c r="BZ232" s="568"/>
      <c r="CA232" s="917"/>
      <c r="CB232" s="917"/>
      <c r="CC232" s="568"/>
      <c r="CD232" s="759"/>
      <c r="CE232" s="2551"/>
    </row>
    <row r="233" spans="1:83" ht="14.85" customHeight="1" x14ac:dyDescent="0.4">
      <c r="A233" s="249"/>
      <c r="B233" s="249"/>
      <c r="C233" s="584">
        <v>0.53472222222222199</v>
      </c>
      <c r="D233" s="587"/>
      <c r="E233" s="688"/>
      <c r="F233" s="688"/>
      <c r="G233" s="588"/>
      <c r="H233" s="1048"/>
      <c r="I233" s="847"/>
      <c r="J233" s="635"/>
      <c r="K233" s="2563"/>
      <c r="L233" s="849"/>
      <c r="M233" s="915"/>
      <c r="N233" s="928"/>
      <c r="O233" s="915"/>
      <c r="P233" s="977"/>
      <c r="Q233" s="707"/>
      <c r="R233" s="999"/>
      <c r="S233" s="664"/>
      <c r="T233" s="664"/>
      <c r="U233" s="908"/>
      <c r="V233" s="886"/>
      <c r="W233" s="2841"/>
      <c r="X233" s="993"/>
      <c r="Y233" s="915"/>
      <c r="Z233" s="928"/>
      <c r="AA233" s="915"/>
      <c r="AB233" s="908"/>
      <c r="AC233" s="908"/>
      <c r="AD233" s="908"/>
      <c r="AE233" s="568"/>
      <c r="AF233" s="777"/>
      <c r="AG233" s="759"/>
      <c r="AH233" s="568"/>
      <c r="AI233" s="777"/>
      <c r="AJ233" s="759"/>
      <c r="AK233" s="568"/>
      <c r="AL233" s="777"/>
      <c r="AM233" s="759"/>
      <c r="AN233" s="568"/>
      <c r="AO233" s="777"/>
      <c r="AP233" s="759"/>
      <c r="AQ233" s="568"/>
      <c r="AR233" s="777"/>
      <c r="AS233" s="759"/>
      <c r="AT233" s="568"/>
      <c r="AU233" s="777"/>
      <c r="AV233" s="759"/>
      <c r="AW233" s="568"/>
      <c r="AX233" s="777"/>
      <c r="AY233" s="759"/>
      <c r="AZ233" s="568"/>
      <c r="BA233" s="777"/>
      <c r="BB233" s="759"/>
      <c r="BC233" s="568"/>
      <c r="BD233" s="777"/>
      <c r="BE233" s="759"/>
      <c r="BF233" s="568"/>
      <c r="BG233" s="777"/>
      <c r="BH233" s="759"/>
      <c r="BI233" s="568"/>
      <c r="BJ233" s="777"/>
      <c r="BK233" s="759"/>
      <c r="BL233" s="568"/>
      <c r="BM233" s="777"/>
      <c r="BN233" s="759"/>
      <c r="BO233" s="567"/>
      <c r="BP233" s="568"/>
      <c r="BQ233" s="777"/>
      <c r="BR233" s="759"/>
      <c r="BS233" s="568"/>
      <c r="BT233" s="759"/>
      <c r="BU233" s="759"/>
      <c r="BV233" s="567"/>
      <c r="BW233" s="568"/>
      <c r="BX233" s="777"/>
      <c r="BY233" s="759"/>
      <c r="BZ233" s="568"/>
      <c r="CA233" s="759"/>
      <c r="CB233" s="759"/>
      <c r="CC233" s="568"/>
      <c r="CD233" s="917"/>
      <c r="CE233" s="909"/>
    </row>
    <row r="234" spans="1:83" ht="24.6" customHeight="1" x14ac:dyDescent="0.4">
      <c r="A234" s="249"/>
      <c r="B234" s="249"/>
      <c r="C234" s="584" t="s">
        <v>307</v>
      </c>
      <c r="D234" s="587"/>
      <c r="E234" s="688"/>
      <c r="F234" s="688"/>
      <c r="G234" s="588"/>
      <c r="H234" s="1048"/>
      <c r="I234" s="847"/>
      <c r="J234" s="635"/>
      <c r="K234" s="2562"/>
      <c r="L234" s="849"/>
      <c r="M234" s="915"/>
      <c r="N234" s="739" t="s">
        <v>595</v>
      </c>
      <c r="O234" s="915"/>
      <c r="P234" s="977"/>
      <c r="Q234" s="707"/>
      <c r="R234" s="999"/>
      <c r="S234" s="664"/>
      <c r="T234" s="1900"/>
      <c r="U234" s="908"/>
      <c r="V234" s="683"/>
      <c r="W234" s="2841"/>
      <c r="X234" s="1079"/>
      <c r="Y234" s="915"/>
      <c r="Z234" s="739" t="s">
        <v>595</v>
      </c>
      <c r="AA234" s="915"/>
      <c r="AB234" s="908"/>
      <c r="AC234" s="908"/>
      <c r="AD234" s="908"/>
      <c r="AE234" s="568"/>
      <c r="AF234" s="919"/>
      <c r="AG234" s="917"/>
      <c r="AH234" s="568"/>
      <c r="AI234" s="919"/>
      <c r="AJ234" s="917"/>
      <c r="AK234" s="568"/>
      <c r="AL234" s="777"/>
      <c r="AM234" s="759"/>
      <c r="AN234" s="568"/>
      <c r="AO234" s="777"/>
      <c r="AP234" s="759"/>
      <c r="AQ234" s="568"/>
      <c r="AR234" s="777"/>
      <c r="AS234" s="759"/>
      <c r="AT234" s="568"/>
      <c r="AU234" s="777"/>
      <c r="AV234" s="759"/>
      <c r="AW234" s="568"/>
      <c r="AX234" s="777"/>
      <c r="AY234" s="759"/>
      <c r="AZ234" s="568"/>
      <c r="BA234" s="777"/>
      <c r="BB234" s="759"/>
      <c r="BC234" s="568"/>
      <c r="BD234" s="919"/>
      <c r="BE234" s="917"/>
      <c r="BF234" s="568"/>
      <c r="BG234" s="777"/>
      <c r="BH234" s="759"/>
      <c r="BI234" s="568"/>
      <c r="BJ234" s="777"/>
      <c r="BK234" s="759"/>
      <c r="BL234" s="568"/>
      <c r="BM234" s="777"/>
      <c r="BN234" s="759"/>
      <c r="BO234" s="567"/>
      <c r="BP234" s="568"/>
      <c r="BQ234" s="919"/>
      <c r="BR234" s="917"/>
      <c r="BS234" s="568"/>
      <c r="BT234" s="917"/>
      <c r="BU234" s="917"/>
      <c r="BV234" s="567"/>
      <c r="BW234" s="568"/>
      <c r="BX234" s="919"/>
      <c r="BY234" s="917"/>
      <c r="BZ234" s="568"/>
      <c r="CA234" s="917"/>
      <c r="CB234" s="917"/>
      <c r="CC234" s="568"/>
      <c r="CD234" s="917"/>
      <c r="CE234" s="2551"/>
    </row>
    <row r="235" spans="1:83" ht="43.5" customHeight="1" x14ac:dyDescent="0.4">
      <c r="A235" s="249"/>
      <c r="B235" s="249"/>
      <c r="C235" s="802">
        <v>0.53819444444444398</v>
      </c>
      <c r="D235" s="587"/>
      <c r="E235" s="872"/>
      <c r="F235" s="688"/>
      <c r="G235" s="588"/>
      <c r="H235" s="2685"/>
      <c r="I235" s="847"/>
      <c r="J235" s="1004"/>
      <c r="K235" s="2686"/>
      <c r="L235" s="1080"/>
      <c r="M235" s="686"/>
      <c r="N235" s="2765"/>
      <c r="O235" s="1083"/>
      <c r="P235" s="1081"/>
      <c r="Q235" s="769"/>
      <c r="R235" s="1082"/>
      <c r="S235" s="664"/>
      <c r="T235" s="1932"/>
      <c r="U235" s="964"/>
      <c r="V235" s="709"/>
      <c r="W235" s="2842"/>
      <c r="X235" s="709"/>
      <c r="Y235" s="686"/>
      <c r="Z235" s="1083"/>
      <c r="AA235" s="1083"/>
      <c r="AB235" s="1084"/>
      <c r="AC235" s="1084"/>
      <c r="AD235" s="1084"/>
      <c r="AE235" s="583"/>
      <c r="AF235" s="643" t="s">
        <v>373</v>
      </c>
      <c r="AG235" s="646"/>
      <c r="AH235" s="583"/>
      <c r="AI235" s="643" t="s">
        <v>373</v>
      </c>
      <c r="AJ235" s="646"/>
      <c r="AK235" s="583"/>
      <c r="AL235" s="643" t="s">
        <v>373</v>
      </c>
      <c r="AM235" s="646"/>
      <c r="AN235" s="583"/>
      <c r="AO235" s="643" t="s">
        <v>373</v>
      </c>
      <c r="AP235" s="646"/>
      <c r="AQ235" s="583"/>
      <c r="AR235" s="643" t="s">
        <v>373</v>
      </c>
      <c r="AS235" s="646"/>
      <c r="AT235" s="583"/>
      <c r="AU235" s="643" t="s">
        <v>373</v>
      </c>
      <c r="AV235" s="646"/>
      <c r="AW235" s="583"/>
      <c r="AX235" s="643" t="s">
        <v>373</v>
      </c>
      <c r="AY235" s="646"/>
      <c r="AZ235" s="583"/>
      <c r="BA235" s="643" t="s">
        <v>373</v>
      </c>
      <c r="BB235" s="646"/>
      <c r="BC235" s="583"/>
      <c r="BD235" s="643" t="s">
        <v>373</v>
      </c>
      <c r="BE235" s="646"/>
      <c r="BF235" s="583"/>
      <c r="BG235" s="643" t="s">
        <v>373</v>
      </c>
      <c r="BH235" s="646"/>
      <c r="BI235" s="583"/>
      <c r="BJ235" s="643" t="s">
        <v>373</v>
      </c>
      <c r="BK235" s="646"/>
      <c r="BL235" s="583"/>
      <c r="BM235" s="643" t="s">
        <v>373</v>
      </c>
      <c r="BN235" s="646"/>
      <c r="BO235" s="1085"/>
      <c r="BP235" s="1085"/>
      <c r="BQ235" s="1085"/>
      <c r="BR235" s="1085"/>
      <c r="BS235" s="948"/>
      <c r="BT235" s="948"/>
      <c r="BU235" s="948"/>
      <c r="BV235" s="1086"/>
      <c r="BW235" s="1086"/>
      <c r="BX235" s="1086"/>
      <c r="BY235" s="1086"/>
      <c r="BZ235" s="948"/>
      <c r="CA235" s="948"/>
      <c r="CB235" s="948"/>
      <c r="CC235" s="948"/>
      <c r="CD235" s="948"/>
      <c r="CE235" s="948"/>
    </row>
    <row r="236" spans="1:83" ht="17.850000000000001" customHeight="1" x14ac:dyDescent="0.4">
      <c r="A236" s="249"/>
      <c r="B236" s="249"/>
      <c r="C236" s="1087">
        <v>0.54166666666666596</v>
      </c>
      <c r="D236" s="1088"/>
      <c r="E236" s="1089"/>
      <c r="F236" s="1090"/>
      <c r="G236" s="1091"/>
      <c r="H236" s="2568" t="s">
        <v>358</v>
      </c>
      <c r="I236" s="1092"/>
      <c r="J236" s="1093"/>
      <c r="K236" s="1000"/>
      <c r="L236" s="630"/>
      <c r="M236" s="827"/>
      <c r="N236" s="2766" t="s">
        <v>379</v>
      </c>
      <c r="O236" s="1100"/>
      <c r="P236" s="1094"/>
      <c r="Q236" s="1095" t="s">
        <v>374</v>
      </c>
      <c r="R236" s="1096"/>
      <c r="S236" s="1094"/>
      <c r="T236" s="1095" t="s">
        <v>375</v>
      </c>
      <c r="U236" s="1096"/>
      <c r="V236" s="1097"/>
      <c r="W236" s="1098" t="s">
        <v>376</v>
      </c>
      <c r="X236" s="1097"/>
      <c r="Y236" s="827"/>
      <c r="Z236" s="1099" t="s">
        <v>330</v>
      </c>
      <c r="AA236" s="1100"/>
      <c r="AB236" s="1101"/>
      <c r="AC236" s="1102"/>
      <c r="AD236" s="1101"/>
      <c r="AE236" s="1103"/>
      <c r="AF236" s="1104" t="s">
        <v>377</v>
      </c>
      <c r="AG236" s="1105"/>
      <c r="AH236" s="1103"/>
      <c r="AI236" s="1104" t="s">
        <v>377</v>
      </c>
      <c r="AJ236" s="1105"/>
      <c r="AK236" s="1103"/>
      <c r="AL236" s="1104" t="s">
        <v>377</v>
      </c>
      <c r="AM236" s="1106"/>
      <c r="AN236" s="1103"/>
      <c r="AO236" s="1104" t="s">
        <v>377</v>
      </c>
      <c r="AP236" s="1106"/>
      <c r="AQ236" s="1103"/>
      <c r="AR236" s="1104" t="s">
        <v>377</v>
      </c>
      <c r="AS236" s="1106"/>
      <c r="AT236" s="1103"/>
      <c r="AU236" s="1104" t="s">
        <v>377</v>
      </c>
      <c r="AV236" s="1106"/>
      <c r="AW236" s="1103"/>
      <c r="AX236" s="1104" t="s">
        <v>377</v>
      </c>
      <c r="AY236" s="1105"/>
      <c r="AZ236" s="1103"/>
      <c r="BA236" s="1104" t="s">
        <v>377</v>
      </c>
      <c r="BB236" s="1105"/>
      <c r="BC236" s="1103"/>
      <c r="BD236" s="1104" t="s">
        <v>377</v>
      </c>
      <c r="BE236" s="1105"/>
      <c r="BF236" s="1103"/>
      <c r="BG236" s="1104" t="s">
        <v>377</v>
      </c>
      <c r="BH236" s="1105"/>
      <c r="BI236" s="1103"/>
      <c r="BJ236" s="1104" t="s">
        <v>377</v>
      </c>
      <c r="BK236" s="1105"/>
      <c r="BL236" s="1103"/>
      <c r="BM236" s="1104" t="s">
        <v>377</v>
      </c>
      <c r="BN236" s="1105"/>
      <c r="BO236" s="1107"/>
      <c r="BP236" s="1108"/>
      <c r="BQ236" s="1109"/>
      <c r="BR236" s="1107"/>
      <c r="BS236" s="568"/>
      <c r="BT236" s="786"/>
      <c r="BU236" s="567"/>
      <c r="BV236" s="1110"/>
      <c r="BW236" s="1111"/>
      <c r="BX236" s="1112"/>
      <c r="BY236" s="1110"/>
      <c r="BZ236" s="568"/>
      <c r="CA236" s="786"/>
      <c r="CB236" s="567"/>
      <c r="CC236" s="568"/>
      <c r="CD236" s="786"/>
      <c r="CE236" s="567"/>
    </row>
    <row r="237" spans="1:83" ht="31.5" customHeight="1" x14ac:dyDescent="0.4">
      <c r="A237" s="249"/>
      <c r="B237" s="249"/>
      <c r="C237" s="1087">
        <v>0.54166666666666596</v>
      </c>
      <c r="D237" s="1113"/>
      <c r="E237" s="1114"/>
      <c r="F237" s="1115"/>
      <c r="G237" s="1116"/>
      <c r="H237" s="1117"/>
      <c r="I237" s="1118"/>
      <c r="J237" s="1119"/>
      <c r="K237" s="848"/>
      <c r="L237" s="1120"/>
      <c r="M237" s="686"/>
      <c r="N237" s="1163" t="s">
        <v>381</v>
      </c>
      <c r="O237" s="907"/>
      <c r="P237" s="1121"/>
      <c r="Q237" s="1122" t="s">
        <v>378</v>
      </c>
      <c r="R237" s="1123"/>
      <c r="S237" s="664"/>
      <c r="T237" s="664" t="s">
        <v>353</v>
      </c>
      <c r="U237" s="908"/>
      <c r="V237" s="683"/>
      <c r="W237" s="1125" t="s">
        <v>371</v>
      </c>
      <c r="X237" s="1079"/>
      <c r="Y237" s="686"/>
      <c r="Z237" s="1126" t="s">
        <v>333</v>
      </c>
      <c r="AA237" s="907"/>
      <c r="AB237" s="271"/>
      <c r="AC237" s="271"/>
      <c r="AD237" s="271"/>
      <c r="AE237" s="719"/>
      <c r="AF237" s="719" t="s">
        <v>324</v>
      </c>
      <c r="AG237" s="719"/>
      <c r="AH237" s="719"/>
      <c r="AI237" s="719" t="s">
        <v>324</v>
      </c>
      <c r="AJ237" s="719"/>
      <c r="AK237" s="719"/>
      <c r="AL237" s="719" t="s">
        <v>324</v>
      </c>
      <c r="AM237" s="719"/>
      <c r="AN237" s="719"/>
      <c r="AO237" s="719" t="s">
        <v>324</v>
      </c>
      <c r="AP237" s="719"/>
      <c r="AQ237" s="719"/>
      <c r="AR237" s="719" t="s">
        <v>324</v>
      </c>
      <c r="AS237" s="719"/>
      <c r="AT237" s="719"/>
      <c r="AU237" s="719" t="s">
        <v>324</v>
      </c>
      <c r="AV237" s="719"/>
      <c r="AW237" s="719"/>
      <c r="AX237" s="719" t="s">
        <v>324</v>
      </c>
      <c r="AY237" s="719"/>
      <c r="AZ237" s="719"/>
      <c r="BA237" s="719" t="s">
        <v>324</v>
      </c>
      <c r="BB237" s="719"/>
      <c r="BC237" s="719"/>
      <c r="BD237" s="719" t="s">
        <v>324</v>
      </c>
      <c r="BE237" s="719"/>
      <c r="BF237" s="719"/>
      <c r="BG237" s="719" t="s">
        <v>324</v>
      </c>
      <c r="BH237" s="719"/>
      <c r="BI237" s="719"/>
      <c r="BJ237" s="719" t="s">
        <v>324</v>
      </c>
      <c r="BK237" s="719"/>
      <c r="BL237" s="719"/>
      <c r="BM237" s="719" t="s">
        <v>324</v>
      </c>
      <c r="BN237" s="719"/>
      <c r="BO237" s="1097"/>
      <c r="BP237" s="1097"/>
      <c r="BQ237" s="1127"/>
      <c r="BR237" s="1128"/>
      <c r="BS237" s="892"/>
      <c r="BT237" s="1129"/>
      <c r="BU237" s="1130"/>
      <c r="BV237" s="1131"/>
      <c r="BW237" s="1131"/>
      <c r="BX237" s="1132"/>
      <c r="BY237" s="1133"/>
      <c r="BZ237" s="892"/>
      <c r="CA237" s="1129"/>
      <c r="CB237" s="1130"/>
      <c r="CC237" s="892"/>
      <c r="CD237" s="1129"/>
      <c r="CE237" s="1130"/>
    </row>
    <row r="238" spans="1:83" ht="33" customHeight="1" x14ac:dyDescent="0.4">
      <c r="A238" s="249"/>
      <c r="B238" s="249"/>
      <c r="C238" s="584" t="s">
        <v>307</v>
      </c>
      <c r="D238" s="844"/>
      <c r="E238" s="688"/>
      <c r="F238" s="845"/>
      <c r="G238" s="846"/>
      <c r="H238" s="594"/>
      <c r="I238" s="847"/>
      <c r="J238" s="582"/>
      <c r="K238" s="848"/>
      <c r="L238" s="849"/>
      <c r="M238" s="686"/>
      <c r="N238" s="1163" t="s">
        <v>384</v>
      </c>
      <c r="O238" s="907"/>
      <c r="P238" s="1134"/>
      <c r="Q238" s="1135" t="s">
        <v>380</v>
      </c>
      <c r="R238" s="902"/>
      <c r="S238" s="664"/>
      <c r="T238" s="664" t="s">
        <v>349</v>
      </c>
      <c r="U238" s="908"/>
      <c r="V238" s="683"/>
      <c r="W238" s="1125" t="s">
        <v>334</v>
      </c>
      <c r="X238" s="1079"/>
      <c r="Y238" s="686"/>
      <c r="Z238" s="1126"/>
      <c r="AA238" s="907"/>
      <c r="AB238" s="271"/>
      <c r="AC238" s="271"/>
      <c r="AD238" s="271"/>
      <c r="AE238" s="1137"/>
      <c r="AF238" s="1138" t="s">
        <v>382</v>
      </c>
      <c r="AG238" s="1137"/>
      <c r="AH238" s="100"/>
      <c r="AI238" s="1139"/>
      <c r="AJ238" s="102"/>
      <c r="AK238" s="1140"/>
      <c r="AL238" s="157"/>
      <c r="AM238" s="1141"/>
      <c r="AN238" s="1140"/>
      <c r="AO238" s="1142"/>
      <c r="AP238" s="1141"/>
      <c r="AQ238" s="1140"/>
      <c r="AR238" s="1142"/>
      <c r="AS238" s="1141"/>
      <c r="AT238" s="1140"/>
      <c r="AU238" s="1142"/>
      <c r="AV238" s="1141"/>
      <c r="AW238" s="1143"/>
      <c r="AX238" s="1144"/>
      <c r="AY238" s="607"/>
      <c r="AZ238" s="1140"/>
      <c r="BA238" s="1142"/>
      <c r="BB238" s="1141"/>
      <c r="BC238" s="1140"/>
      <c r="BD238" s="1142"/>
      <c r="BE238" s="1141"/>
      <c r="BF238" s="1145"/>
      <c r="BG238" s="1144"/>
      <c r="BH238" s="607"/>
      <c r="BI238" s="1145"/>
      <c r="BJ238" s="1144"/>
      <c r="BK238" s="607"/>
      <c r="BL238" s="1146"/>
      <c r="BM238" s="2810" t="s">
        <v>596</v>
      </c>
      <c r="BN238" s="1146"/>
      <c r="BO238" s="1147"/>
      <c r="BP238" s="1147"/>
      <c r="BQ238" s="1148"/>
      <c r="BR238" s="1149"/>
      <c r="BS238" s="1150"/>
      <c r="BT238" s="1151"/>
      <c r="BU238" s="1152"/>
      <c r="BV238" s="1153"/>
      <c r="BW238" s="1153"/>
      <c r="BX238" s="1154"/>
      <c r="BY238" s="1155"/>
      <c r="BZ238" s="1150"/>
      <c r="CA238" s="1151"/>
      <c r="CB238" s="1152"/>
      <c r="CC238" s="1150"/>
      <c r="CD238" s="1151"/>
      <c r="CE238" s="1152"/>
    </row>
    <row r="239" spans="1:83" ht="33.75" customHeight="1" x14ac:dyDescent="0.4">
      <c r="A239" s="249"/>
      <c r="B239" s="249"/>
      <c r="C239" s="584" t="s">
        <v>307</v>
      </c>
      <c r="D239" s="844"/>
      <c r="E239" s="688"/>
      <c r="F239" s="845"/>
      <c r="G239" s="846"/>
      <c r="H239" s="594"/>
      <c r="I239" s="847"/>
      <c r="J239" s="635"/>
      <c r="K239" s="1000"/>
      <c r="L239" s="849"/>
      <c r="M239" s="685"/>
      <c r="N239" s="1126"/>
      <c r="O239" s="907"/>
      <c r="P239" s="795"/>
      <c r="Q239" s="707"/>
      <c r="R239" s="852"/>
      <c r="S239" s="664"/>
      <c r="T239" s="664"/>
      <c r="U239" s="908"/>
      <c r="V239" s="683"/>
      <c r="W239" s="1156"/>
      <c r="X239" s="1079"/>
      <c r="Y239" s="685"/>
      <c r="Z239" s="1126"/>
      <c r="AA239" s="907"/>
      <c r="AB239" s="271"/>
      <c r="AC239" s="271"/>
      <c r="AD239" s="271"/>
      <c r="AE239" s="1157"/>
      <c r="AF239" s="1158" t="s">
        <v>356</v>
      </c>
      <c r="AG239" s="1157"/>
      <c r="AH239" s="1159"/>
      <c r="AI239" s="1139"/>
      <c r="AJ239" s="1160"/>
      <c r="AK239" s="1140"/>
      <c r="AL239" s="157"/>
      <c r="AM239" s="1141"/>
      <c r="AN239" s="1140"/>
      <c r="AO239" s="1142"/>
      <c r="AP239" s="1141"/>
      <c r="AQ239" s="1140"/>
      <c r="AR239" s="1142"/>
      <c r="AS239" s="1141"/>
      <c r="AT239" s="1140"/>
      <c r="AU239" s="1142"/>
      <c r="AV239" s="1141"/>
      <c r="AW239" s="1143"/>
      <c r="AX239" s="1144"/>
      <c r="AY239" s="607"/>
      <c r="AZ239" s="1140"/>
      <c r="BA239" s="1142"/>
      <c r="BB239" s="1141"/>
      <c r="BC239" s="1140"/>
      <c r="BD239" s="1142"/>
      <c r="BE239" s="1141"/>
      <c r="BF239" s="1145"/>
      <c r="BG239" s="1144"/>
      <c r="BH239" s="607"/>
      <c r="BI239" s="1145"/>
      <c r="BJ239" s="1144"/>
      <c r="BK239" s="607"/>
      <c r="BL239" s="1146"/>
      <c r="BM239" s="2810" t="s">
        <v>385</v>
      </c>
      <c r="BN239" s="1146"/>
      <c r="BO239" s="1107"/>
      <c r="BP239" s="1161"/>
      <c r="BQ239" s="1148"/>
      <c r="BR239" s="1107"/>
      <c r="BS239" s="978"/>
      <c r="BT239" s="1151"/>
      <c r="BU239" s="567"/>
      <c r="BV239" s="1110"/>
      <c r="BW239" s="1162"/>
      <c r="BX239" s="1154"/>
      <c r="BY239" s="1110"/>
      <c r="BZ239" s="978"/>
      <c r="CA239" s="1151"/>
      <c r="CB239" s="567"/>
      <c r="CC239" s="978"/>
      <c r="CD239" s="1151"/>
      <c r="CE239" s="567"/>
    </row>
    <row r="240" spans="1:83" ht="18" customHeight="1" x14ac:dyDescent="0.4">
      <c r="A240" s="249"/>
      <c r="B240" s="249"/>
      <c r="C240" s="584" t="s">
        <v>307</v>
      </c>
      <c r="D240" s="587"/>
      <c r="E240" s="688"/>
      <c r="F240" s="688"/>
      <c r="G240" s="588"/>
      <c r="H240" s="594"/>
      <c r="I240" s="847"/>
      <c r="J240" s="635"/>
      <c r="K240" s="848"/>
      <c r="L240" s="849"/>
      <c r="M240" s="685"/>
      <c r="N240" s="1163"/>
      <c r="O240" s="907"/>
      <c r="P240" s="795"/>
      <c r="Q240" s="769"/>
      <c r="R240" s="852"/>
      <c r="S240" s="664"/>
      <c r="T240" s="664"/>
      <c r="U240" s="908"/>
      <c r="V240" s="709"/>
      <c r="W240" s="1156"/>
      <c r="X240" s="684"/>
      <c r="Y240" s="685"/>
      <c r="Z240" s="1163"/>
      <c r="AA240" s="907"/>
      <c r="AB240" s="271"/>
      <c r="AC240" s="271"/>
      <c r="AD240" s="271"/>
      <c r="AE240" s="1157"/>
      <c r="AF240" s="1158"/>
      <c r="AG240" s="1157"/>
      <c r="AH240" s="1164"/>
      <c r="AI240" s="1160" t="s">
        <v>331</v>
      </c>
      <c r="AJ240" s="1165"/>
      <c r="AK240" s="1140"/>
      <c r="AL240" s="157"/>
      <c r="AM240" s="1141"/>
      <c r="AN240" s="1140"/>
      <c r="AO240" s="1142"/>
      <c r="AP240" s="1141"/>
      <c r="AQ240" s="1140"/>
      <c r="AR240" s="1142"/>
      <c r="AS240" s="1141"/>
      <c r="AT240" s="1140"/>
      <c r="AU240" s="1142"/>
      <c r="AV240" s="1141"/>
      <c r="AW240" s="1140"/>
      <c r="AX240" s="1166"/>
      <c r="AY240" s="1167"/>
      <c r="AZ240" s="1140"/>
      <c r="BA240" s="1142"/>
      <c r="BB240" s="1141"/>
      <c r="BC240" s="1140"/>
      <c r="BD240" s="1142"/>
      <c r="BE240" s="1141"/>
      <c r="BF240" s="1145"/>
      <c r="BG240" s="1144"/>
      <c r="BH240" s="607"/>
      <c r="BI240" s="1145"/>
      <c r="BJ240" s="1144"/>
      <c r="BK240" s="607"/>
      <c r="BL240" s="1168"/>
      <c r="BM240" s="1169"/>
      <c r="BN240" s="1168"/>
      <c r="BO240" s="1107"/>
      <c r="BP240" s="1108"/>
      <c r="BQ240" s="1107"/>
      <c r="BR240" s="1107"/>
      <c r="BS240" s="568"/>
      <c r="BT240" s="567"/>
      <c r="BU240" s="567"/>
      <c r="BV240" s="1110"/>
      <c r="BW240" s="1111"/>
      <c r="BX240" s="1110"/>
      <c r="BY240" s="1110"/>
      <c r="BZ240" s="568"/>
      <c r="CA240" s="567"/>
      <c r="CB240" s="567"/>
      <c r="CC240" s="568"/>
      <c r="CD240" s="567"/>
      <c r="CE240" s="567"/>
    </row>
    <row r="241" spans="1:83" ht="43.35" customHeight="1" x14ac:dyDescent="0.4">
      <c r="A241" s="249"/>
      <c r="B241" s="249"/>
      <c r="C241" s="584" t="s">
        <v>307</v>
      </c>
      <c r="D241" s="587"/>
      <c r="E241" s="688"/>
      <c r="F241" s="688"/>
      <c r="G241" s="588"/>
      <c r="H241" s="594"/>
      <c r="I241" s="847"/>
      <c r="J241" s="635"/>
      <c r="K241" s="848"/>
      <c r="L241" s="849"/>
      <c r="M241" s="685"/>
      <c r="N241" s="1083"/>
      <c r="O241" s="1171"/>
      <c r="P241" s="795"/>
      <c r="Q241" s="769"/>
      <c r="R241" s="852"/>
      <c r="S241" s="664"/>
      <c r="T241" s="664"/>
      <c r="U241" s="908"/>
      <c r="V241" s="709"/>
      <c r="W241" s="1170"/>
      <c r="X241" s="684"/>
      <c r="Y241" s="685"/>
      <c r="Z241" s="1083"/>
      <c r="AA241" s="1171"/>
      <c r="AB241" s="271"/>
      <c r="AC241" s="271"/>
      <c r="AD241" s="271"/>
      <c r="AE241" s="607"/>
      <c r="AF241" s="1145"/>
      <c r="AG241" s="1172"/>
      <c r="AH241" s="1140"/>
      <c r="AI241" s="1142"/>
      <c r="AJ241" s="1141"/>
      <c r="AK241" s="1140"/>
      <c r="AL241" s="1142"/>
      <c r="AM241" s="1141"/>
      <c r="AN241" s="1140"/>
      <c r="AO241" s="1142"/>
      <c r="AP241" s="1141"/>
      <c r="AQ241" s="1140"/>
      <c r="AR241" s="1142"/>
      <c r="AS241" s="1141"/>
      <c r="AT241" s="1140"/>
      <c r="AU241" s="1142"/>
      <c r="AV241" s="1141"/>
      <c r="AW241" s="1143"/>
      <c r="AX241" s="1173"/>
      <c r="AY241" s="607"/>
      <c r="AZ241" s="1140"/>
      <c r="BA241" s="1142"/>
      <c r="BB241" s="1141"/>
      <c r="BC241" s="1140"/>
      <c r="BD241" s="1142"/>
      <c r="BE241" s="1141"/>
      <c r="BF241" s="1145"/>
      <c r="BG241" s="1144"/>
      <c r="BH241" s="607"/>
      <c r="BI241" s="1145"/>
      <c r="BJ241" s="1144"/>
      <c r="BK241" s="607"/>
      <c r="BL241" s="1146"/>
      <c r="BM241" s="1174"/>
      <c r="BN241" s="1146"/>
      <c r="BO241" s="1175"/>
      <c r="BP241" s="1108"/>
      <c r="BQ241" s="1161"/>
      <c r="BR241" s="1176"/>
      <c r="BS241" s="568"/>
      <c r="BT241" s="978"/>
      <c r="BU241" s="1177"/>
      <c r="BV241" s="1178"/>
      <c r="BW241" s="1111"/>
      <c r="BX241" s="1162"/>
      <c r="BY241" s="1179"/>
      <c r="BZ241" s="568"/>
      <c r="CA241" s="978"/>
      <c r="CB241" s="1177"/>
      <c r="CC241" s="568"/>
      <c r="CD241" s="978"/>
      <c r="CE241" s="1177"/>
    </row>
    <row r="242" spans="1:83" ht="20.100000000000001" customHeight="1" x14ac:dyDescent="0.4">
      <c r="A242" s="249"/>
      <c r="B242" s="249"/>
      <c r="C242" s="584"/>
      <c r="D242" s="587"/>
      <c r="E242" s="688"/>
      <c r="F242" s="688"/>
      <c r="G242" s="588"/>
      <c r="H242" s="594"/>
      <c r="I242" s="847"/>
      <c r="J242" s="635"/>
      <c r="K242" s="1000"/>
      <c r="L242" s="849"/>
      <c r="M242" s="685"/>
      <c r="N242" s="1083"/>
      <c r="O242" s="1171"/>
      <c r="P242" s="795"/>
      <c r="Q242" s="769"/>
      <c r="R242" s="852"/>
      <c r="S242" s="664"/>
      <c r="T242" s="664"/>
      <c r="U242" s="908"/>
      <c r="V242" s="709"/>
      <c r="W242" s="1156"/>
      <c r="X242" s="684"/>
      <c r="Y242" s="685"/>
      <c r="Z242" s="1083"/>
      <c r="AA242" s="1171"/>
      <c r="AB242" s="271"/>
      <c r="AC242" s="271"/>
      <c r="AD242" s="271"/>
      <c r="AE242" s="607"/>
      <c r="AF242" s="1145"/>
      <c r="AG242" s="1172"/>
      <c r="AH242" s="1140"/>
      <c r="AI242" s="1142"/>
      <c r="AJ242" s="1141"/>
      <c r="AK242" s="1140"/>
      <c r="AL242" s="1142"/>
      <c r="AM242" s="1141"/>
      <c r="AN242" s="1140"/>
      <c r="AO242" s="1142"/>
      <c r="AP242" s="1141"/>
      <c r="AQ242" s="1140"/>
      <c r="AR242" s="1142"/>
      <c r="AS242" s="1141"/>
      <c r="AT242" s="1140"/>
      <c r="AU242" s="1142"/>
      <c r="AV242" s="1141"/>
      <c r="AW242" s="1143"/>
      <c r="AX242" s="1166"/>
      <c r="AY242" s="607"/>
      <c r="AZ242" s="1140"/>
      <c r="BA242" s="1142"/>
      <c r="BB242" s="1141"/>
      <c r="BC242" s="1140"/>
      <c r="BD242" s="1142"/>
      <c r="BE242" s="1141"/>
      <c r="BF242" s="1145"/>
      <c r="BG242" s="1144"/>
      <c r="BH242" s="607"/>
      <c r="BI242" s="1145"/>
      <c r="BJ242" s="1144"/>
      <c r="BK242" s="607"/>
      <c r="BL242" s="1146"/>
      <c r="BM242" s="1174"/>
      <c r="BN242" s="1146"/>
      <c r="BO242" s="1175"/>
      <c r="BP242" s="1180"/>
      <c r="BQ242" s="1161"/>
      <c r="BR242" s="1176"/>
      <c r="BS242" s="1181"/>
      <c r="BT242" s="978"/>
      <c r="BU242" s="1177"/>
      <c r="BV242" s="1178"/>
      <c r="BW242" s="1182"/>
      <c r="BX242" s="1162"/>
      <c r="BY242" s="1179"/>
      <c r="BZ242" s="1181"/>
      <c r="CA242" s="978"/>
      <c r="CB242" s="1177"/>
      <c r="CC242" s="1181"/>
      <c r="CD242" s="978"/>
      <c r="CE242" s="1177"/>
    </row>
    <row r="243" spans="1:83" ht="46.5" customHeight="1" x14ac:dyDescent="0.4">
      <c r="A243" s="249"/>
      <c r="B243" s="249"/>
      <c r="C243" s="584" t="s">
        <v>307</v>
      </c>
      <c r="D243" s="587"/>
      <c r="E243" s="688"/>
      <c r="F243" s="688"/>
      <c r="G243" s="588"/>
      <c r="H243" s="594"/>
      <c r="I243" s="847"/>
      <c r="J243" s="635"/>
      <c r="K243" s="848"/>
      <c r="L243" s="849"/>
      <c r="M243" s="685"/>
      <c r="N243" s="1083"/>
      <c r="O243" s="1171"/>
      <c r="P243" s="795"/>
      <c r="Q243" s="769"/>
      <c r="R243" s="852"/>
      <c r="S243" s="664"/>
      <c r="T243" s="664"/>
      <c r="U243" s="908"/>
      <c r="V243" s="709"/>
      <c r="W243" s="1156"/>
      <c r="X243" s="684"/>
      <c r="Y243" s="685"/>
      <c r="Z243" s="1083"/>
      <c r="AA243" s="1171"/>
      <c r="AB243" s="271"/>
      <c r="AC243" s="271"/>
      <c r="AD243" s="271"/>
      <c r="AE243" s="1140"/>
      <c r="AF243" s="1142"/>
      <c r="AG243" s="1141"/>
      <c r="AH243" s="1140"/>
      <c r="AI243" s="1142"/>
      <c r="AJ243" s="1141"/>
      <c r="AK243" s="1140"/>
      <c r="AL243" s="1142"/>
      <c r="AM243" s="1141"/>
      <c r="AN243" s="1140"/>
      <c r="AO243" s="1142"/>
      <c r="AP243" s="1141"/>
      <c r="AQ243" s="1140"/>
      <c r="AR243" s="1142"/>
      <c r="AS243" s="1141"/>
      <c r="AT243" s="1140"/>
      <c r="AU243" s="1142"/>
      <c r="AV243" s="1141"/>
      <c r="AW243" s="1140"/>
      <c r="AX243" s="1173"/>
      <c r="AY243" s="1167"/>
      <c r="AZ243" s="1140"/>
      <c r="BA243" s="1142"/>
      <c r="BB243" s="1141"/>
      <c r="BC243" s="601"/>
      <c r="BD243" s="1142"/>
      <c r="BE243" s="601"/>
      <c r="BF243" s="1145"/>
      <c r="BG243" s="1145"/>
      <c r="BH243" s="607"/>
      <c r="BI243" s="1145"/>
      <c r="BJ243" s="1145"/>
      <c r="BK243" s="607"/>
      <c r="BL243" s="1168"/>
      <c r="BM243" s="1174"/>
      <c r="BN243" s="1168"/>
      <c r="BO243" s="1175"/>
      <c r="BP243" s="1183"/>
      <c r="BQ243" s="1161"/>
      <c r="BR243" s="1176"/>
      <c r="BS243" s="1184"/>
      <c r="BT243" s="978"/>
      <c r="BU243" s="1177"/>
      <c r="BV243" s="1178"/>
      <c r="BW243" s="1185"/>
      <c r="BX243" s="1162"/>
      <c r="BY243" s="1179"/>
      <c r="BZ243" s="1184"/>
      <c r="CA243" s="978"/>
      <c r="CB243" s="1177"/>
      <c r="CC243" s="1184"/>
      <c r="CD243" s="978"/>
      <c r="CE243" s="1177"/>
    </row>
    <row r="244" spans="1:83" ht="46.5" customHeight="1" x14ac:dyDescent="0.4">
      <c r="A244" s="249"/>
      <c r="B244" s="249"/>
      <c r="C244" s="584"/>
      <c r="D244" s="587"/>
      <c r="E244" s="688"/>
      <c r="F244" s="688"/>
      <c r="G244" s="588"/>
      <c r="H244" s="594"/>
      <c r="I244" s="847"/>
      <c r="J244" s="635"/>
      <c r="K244" s="848"/>
      <c r="L244" s="849"/>
      <c r="M244" s="685"/>
      <c r="N244" s="686"/>
      <c r="O244" s="685"/>
      <c r="P244" s="795"/>
      <c r="Q244" s="769"/>
      <c r="R244" s="852"/>
      <c r="S244" s="664"/>
      <c r="T244" s="664"/>
      <c r="U244" s="908"/>
      <c r="V244" s="709"/>
      <c r="W244" s="709"/>
      <c r="X244" s="684"/>
      <c r="Y244" s="685"/>
      <c r="Z244" s="686"/>
      <c r="AA244" s="685"/>
      <c r="AB244" s="271"/>
      <c r="AC244" s="271"/>
      <c r="AD244" s="271"/>
      <c r="AE244" s="1140"/>
      <c r="AF244" s="1142"/>
      <c r="AG244" s="1141"/>
      <c r="AH244" s="1140"/>
      <c r="AI244" s="1142"/>
      <c r="AJ244" s="1141"/>
      <c r="AK244" s="1140"/>
      <c r="AL244" s="1142"/>
      <c r="AM244" s="1141"/>
      <c r="AN244" s="1140"/>
      <c r="AO244" s="1142"/>
      <c r="AP244" s="1141"/>
      <c r="AQ244" s="1140"/>
      <c r="AR244" s="1142"/>
      <c r="AS244" s="1141"/>
      <c r="AT244" s="1140"/>
      <c r="AU244" s="1142"/>
      <c r="AV244" s="1141"/>
      <c r="AW244" s="1140"/>
      <c r="AX244" s="1173"/>
      <c r="AY244" s="1167"/>
      <c r="AZ244" s="1140"/>
      <c r="BA244" s="1142"/>
      <c r="BB244" s="1141"/>
      <c r="BC244" s="601"/>
      <c r="BD244" s="1142"/>
      <c r="BE244" s="601"/>
      <c r="BF244" s="1145"/>
      <c r="BG244" s="1145"/>
      <c r="BH244" s="607"/>
      <c r="BI244" s="1145"/>
      <c r="BJ244" s="1145"/>
      <c r="BK244" s="607"/>
      <c r="BL244" s="1146"/>
      <c r="BM244" s="1186"/>
      <c r="BN244" s="1146"/>
      <c r="BO244" s="1175"/>
      <c r="BP244" s="1183"/>
      <c r="BQ244" s="1161"/>
      <c r="BR244" s="1176"/>
      <c r="BS244" s="1184"/>
      <c r="BT244" s="978"/>
      <c r="BU244" s="1177"/>
      <c r="BV244" s="1178"/>
      <c r="BW244" s="1185"/>
      <c r="BX244" s="1162"/>
      <c r="BY244" s="1179"/>
      <c r="BZ244" s="1184"/>
      <c r="CA244" s="978"/>
      <c r="CB244" s="1177"/>
      <c r="CC244" s="1184"/>
      <c r="CD244" s="978"/>
      <c r="CE244" s="1177"/>
    </row>
    <row r="245" spans="1:83" ht="40.35" customHeight="1" x14ac:dyDescent="0.4">
      <c r="A245" s="249"/>
      <c r="B245" s="249"/>
      <c r="C245" s="584" t="s">
        <v>307</v>
      </c>
      <c r="D245" s="587"/>
      <c r="E245" s="688"/>
      <c r="F245" s="688"/>
      <c r="G245" s="588"/>
      <c r="H245" s="594"/>
      <c r="I245" s="847"/>
      <c r="J245" s="635"/>
      <c r="K245" s="1000"/>
      <c r="L245" s="849"/>
      <c r="M245" s="685"/>
      <c r="N245" s="686"/>
      <c r="O245" s="685"/>
      <c r="P245" s="795"/>
      <c r="Q245" s="769"/>
      <c r="R245" s="852"/>
      <c r="S245" s="664"/>
      <c r="T245" s="664"/>
      <c r="U245" s="908"/>
      <c r="V245" s="709"/>
      <c r="W245" s="709"/>
      <c r="X245" s="684"/>
      <c r="Y245" s="685"/>
      <c r="Z245" s="686"/>
      <c r="AA245" s="685"/>
      <c r="AB245" s="271"/>
      <c r="AC245" s="271"/>
      <c r="AD245" s="271"/>
      <c r="AE245" s="601"/>
      <c r="AF245" s="1142"/>
      <c r="AG245" s="601"/>
      <c r="AH245" s="601"/>
      <c r="AI245" s="1142"/>
      <c r="AJ245" s="601"/>
      <c r="AK245" s="601"/>
      <c r="AL245" s="1142" t="s">
        <v>309</v>
      </c>
      <c r="AM245" s="601"/>
      <c r="AN245" s="601"/>
      <c r="AO245" s="1142" t="s">
        <v>309</v>
      </c>
      <c r="AP245" s="601"/>
      <c r="AQ245" s="601"/>
      <c r="AR245" s="1142" t="s">
        <v>309</v>
      </c>
      <c r="AS245" s="601"/>
      <c r="AT245" s="601"/>
      <c r="AU245" s="1142" t="s">
        <v>309</v>
      </c>
      <c r="AV245" s="601"/>
      <c r="AW245" s="601"/>
      <c r="AX245" s="1142" t="s">
        <v>309</v>
      </c>
      <c r="AY245" s="601"/>
      <c r="AZ245" s="601"/>
      <c r="BA245" s="1142" t="s">
        <v>309</v>
      </c>
      <c r="BB245" s="601"/>
      <c r="BC245" s="601"/>
      <c r="BD245" s="1142" t="s">
        <v>309</v>
      </c>
      <c r="BE245" s="601"/>
      <c r="BF245" s="601"/>
      <c r="BG245" s="1142" t="s">
        <v>309</v>
      </c>
      <c r="BH245" s="601"/>
      <c r="BI245" s="601"/>
      <c r="BJ245" s="1142" t="s">
        <v>309</v>
      </c>
      <c r="BK245" s="601"/>
      <c r="BL245" s="1168"/>
      <c r="BM245" s="1169"/>
      <c r="BN245" s="1168"/>
      <c r="BO245" s="1175"/>
      <c r="BP245" s="1108"/>
      <c r="BQ245" s="1161"/>
      <c r="BR245" s="1107"/>
      <c r="BS245" s="568"/>
      <c r="BT245" s="978"/>
      <c r="BU245" s="567"/>
      <c r="BV245" s="1178"/>
      <c r="BW245" s="1111"/>
      <c r="BX245" s="1162"/>
      <c r="BY245" s="1110"/>
      <c r="BZ245" s="568"/>
      <c r="CA245" s="978"/>
      <c r="CB245" s="567"/>
      <c r="CC245" s="568"/>
      <c r="CD245" s="978"/>
      <c r="CE245" s="567"/>
    </row>
    <row r="246" spans="1:83" ht="43.35" customHeight="1" x14ac:dyDescent="0.4">
      <c r="A246" s="249"/>
      <c r="B246" s="249"/>
      <c r="C246" s="584" t="s">
        <v>307</v>
      </c>
      <c r="D246" s="587"/>
      <c r="E246" s="688"/>
      <c r="F246" s="688"/>
      <c r="G246" s="588"/>
      <c r="H246" s="594"/>
      <c r="I246" s="847"/>
      <c r="J246" s="635"/>
      <c r="K246" s="848"/>
      <c r="L246" s="849"/>
      <c r="M246" s="685"/>
      <c r="N246" s="686"/>
      <c r="O246" s="685"/>
      <c r="P246" s="795"/>
      <c r="Q246" s="769"/>
      <c r="R246" s="852"/>
      <c r="S246" s="664"/>
      <c r="T246" s="664"/>
      <c r="U246" s="908"/>
      <c r="V246" s="709"/>
      <c r="W246" s="709"/>
      <c r="X246" s="684"/>
      <c r="Y246" s="685"/>
      <c r="Z246" s="686"/>
      <c r="AA246" s="685"/>
      <c r="AB246" s="271"/>
      <c r="AC246" s="271"/>
      <c r="AD246" s="271"/>
      <c r="AE246" s="601"/>
      <c r="AF246" s="1142" t="s">
        <v>309</v>
      </c>
      <c r="AG246" s="601"/>
      <c r="AH246" s="601"/>
      <c r="AI246" s="1142" t="s">
        <v>309</v>
      </c>
      <c r="AJ246" s="601"/>
      <c r="AK246" s="601"/>
      <c r="AL246" s="1142"/>
      <c r="AM246" s="601"/>
      <c r="AN246" s="601"/>
      <c r="AO246" s="1142"/>
      <c r="AP246" s="601"/>
      <c r="AQ246" s="601"/>
      <c r="AR246" s="1142"/>
      <c r="AS246" s="601"/>
      <c r="AT246" s="601"/>
      <c r="AU246" s="1142"/>
      <c r="AV246" s="601"/>
      <c r="AW246" s="1140"/>
      <c r="AX246" s="1187"/>
      <c r="AY246" s="1167"/>
      <c r="AZ246" s="601"/>
      <c r="BA246" s="1142"/>
      <c r="BB246" s="601"/>
      <c r="BC246" s="601"/>
      <c r="BD246" s="1142"/>
      <c r="BE246" s="601"/>
      <c r="BF246" s="1145"/>
      <c r="BG246" s="1145"/>
      <c r="BH246" s="607"/>
      <c r="BI246" s="1145"/>
      <c r="BJ246" s="1145"/>
      <c r="BK246" s="607"/>
      <c r="BL246" s="607"/>
      <c r="BM246" s="1142"/>
      <c r="BN246" s="1188"/>
      <c r="BO246" s="1107"/>
      <c r="BP246" s="1108"/>
      <c r="BQ246" s="1107"/>
      <c r="BR246" s="1107"/>
      <c r="BS246" s="568"/>
      <c r="BT246" s="567"/>
      <c r="BU246" s="567"/>
      <c r="BV246" s="1110"/>
      <c r="BW246" s="1111"/>
      <c r="BX246" s="1110"/>
      <c r="BY246" s="1110"/>
      <c r="BZ246" s="568"/>
      <c r="CA246" s="567"/>
      <c r="CB246" s="567"/>
      <c r="CC246" s="568"/>
      <c r="CD246" s="567"/>
      <c r="CE246" s="567"/>
    </row>
    <row r="247" spans="1:83" ht="42.6" customHeight="1" x14ac:dyDescent="0.4">
      <c r="A247" s="249"/>
      <c r="B247" s="249"/>
      <c r="C247" s="584" t="s">
        <v>307</v>
      </c>
      <c r="D247" s="587"/>
      <c r="E247" s="688"/>
      <c r="F247" s="688"/>
      <c r="G247" s="588"/>
      <c r="H247" s="594"/>
      <c r="I247" s="847"/>
      <c r="J247" s="635"/>
      <c r="K247" s="848"/>
      <c r="L247" s="849"/>
      <c r="M247" s="685"/>
      <c r="N247" s="686"/>
      <c r="O247" s="685"/>
      <c r="P247" s="795"/>
      <c r="Q247" s="769"/>
      <c r="R247" s="852"/>
      <c r="S247" s="664"/>
      <c r="T247" s="664"/>
      <c r="U247" s="908"/>
      <c r="V247" s="709"/>
      <c r="W247" s="709"/>
      <c r="X247" s="684"/>
      <c r="Y247" s="685"/>
      <c r="Z247" s="686"/>
      <c r="AA247" s="685"/>
      <c r="AB247" s="271"/>
      <c r="AC247" s="271"/>
      <c r="AD247" s="271"/>
      <c r="AE247" s="601"/>
      <c r="AF247" s="1142"/>
      <c r="AG247" s="601"/>
      <c r="AH247" s="601"/>
      <c r="AI247" s="1142"/>
      <c r="AJ247" s="601"/>
      <c r="AK247" s="601"/>
      <c r="AL247" s="1142"/>
      <c r="AM247" s="601"/>
      <c r="AN247" s="601"/>
      <c r="AO247" s="1142"/>
      <c r="AP247" s="601"/>
      <c r="AQ247" s="601"/>
      <c r="AR247" s="1142"/>
      <c r="AS247" s="601"/>
      <c r="AT247" s="601"/>
      <c r="AU247" s="1142"/>
      <c r="AV247" s="601"/>
      <c r="AW247" s="601"/>
      <c r="AX247" s="1142"/>
      <c r="AY247" s="601"/>
      <c r="AZ247" s="601"/>
      <c r="BA247" s="1142"/>
      <c r="BB247" s="601"/>
      <c r="BC247" s="601"/>
      <c r="BD247" s="1189"/>
      <c r="BE247" s="601"/>
      <c r="BF247" s="1190"/>
      <c r="BG247" s="1144"/>
      <c r="BH247" s="1141"/>
      <c r="BI247" s="1190"/>
      <c r="BJ247" s="1144"/>
      <c r="BK247" s="1141"/>
      <c r="BL247" s="1140"/>
      <c r="BM247" s="1142"/>
      <c r="BN247" s="1167"/>
      <c r="BO247" s="1175"/>
      <c r="BP247" s="1108"/>
      <c r="BQ247" s="1107"/>
      <c r="BR247" s="1191"/>
      <c r="BS247" s="568"/>
      <c r="BT247" s="567"/>
      <c r="BU247" s="1192"/>
      <c r="BV247" s="1178"/>
      <c r="BW247" s="1111"/>
      <c r="BX247" s="1110"/>
      <c r="BY247" s="1193"/>
      <c r="BZ247" s="568"/>
      <c r="CA247" s="567"/>
      <c r="CB247" s="1192"/>
      <c r="CC247" s="568"/>
      <c r="CD247" s="567"/>
      <c r="CE247" s="1192"/>
    </row>
    <row r="248" spans="1:83" ht="22.5" customHeight="1" x14ac:dyDescent="0.4">
      <c r="A248" s="249"/>
      <c r="B248" s="249"/>
      <c r="C248" s="1194">
        <v>0.54513888888888795</v>
      </c>
      <c r="D248" s="587"/>
      <c r="E248" s="688"/>
      <c r="F248" s="688"/>
      <c r="G248" s="588"/>
      <c r="H248" s="594"/>
      <c r="I248" s="847"/>
      <c r="J248" s="635"/>
      <c r="K248" s="1000"/>
      <c r="L248" s="849"/>
      <c r="M248" s="685"/>
      <c r="N248" s="686"/>
      <c r="O248" s="685"/>
      <c r="P248" s="795"/>
      <c r="Q248" s="769"/>
      <c r="R248" s="852"/>
      <c r="S248" s="664"/>
      <c r="T248" s="664"/>
      <c r="U248" s="908"/>
      <c r="V248" s="709"/>
      <c r="W248" s="709"/>
      <c r="X248" s="684"/>
      <c r="Y248" s="685"/>
      <c r="Z248" s="686"/>
      <c r="AA248" s="685"/>
      <c r="AB248" s="908"/>
      <c r="AC248" s="908"/>
      <c r="AD248" s="908"/>
      <c r="AE248" s="601"/>
      <c r="AF248" s="1189"/>
      <c r="AG248" s="601"/>
      <c r="AH248" s="601"/>
      <c r="AI248" s="1189"/>
      <c r="AJ248" s="601"/>
      <c r="AK248" s="601"/>
      <c r="AL248" s="1189"/>
      <c r="AM248" s="601"/>
      <c r="AN248" s="601"/>
      <c r="AO248" s="1189"/>
      <c r="AP248" s="601"/>
      <c r="AQ248" s="601"/>
      <c r="AR248" s="1189"/>
      <c r="AS248" s="601"/>
      <c r="AT248" s="601"/>
      <c r="AU248" s="1189"/>
      <c r="AV248" s="601"/>
      <c r="AW248" s="601"/>
      <c r="AX248" s="1189"/>
      <c r="AY248" s="601"/>
      <c r="AZ248" s="601"/>
      <c r="BA248" s="1189"/>
      <c r="BB248" s="601"/>
      <c r="BC248" s="601"/>
      <c r="BD248" s="1189"/>
      <c r="BE248" s="601"/>
      <c r="BF248" s="1145"/>
      <c r="BG248" s="1144"/>
      <c r="BH248" s="607"/>
      <c r="BI248" s="1145"/>
      <c r="BJ248" s="1144"/>
      <c r="BK248" s="607"/>
      <c r="BL248" s="601"/>
      <c r="BM248" s="1189"/>
      <c r="BN248" s="601"/>
      <c r="BO248" s="1107"/>
      <c r="BP248" s="1107"/>
      <c r="BQ248" s="1195"/>
      <c r="BR248" s="1107"/>
      <c r="BS248" s="567"/>
      <c r="BT248" s="567"/>
      <c r="BU248" s="567"/>
      <c r="BV248" s="1110"/>
      <c r="BW248" s="1110"/>
      <c r="BX248" s="1196"/>
      <c r="BY248" s="1110"/>
      <c r="BZ248" s="567"/>
      <c r="CA248" s="567"/>
      <c r="CB248" s="567"/>
      <c r="CC248" s="567"/>
      <c r="CD248" s="567"/>
      <c r="CE248" s="567"/>
    </row>
    <row r="249" spans="1:83" ht="53.1" customHeight="1" x14ac:dyDescent="0.4">
      <c r="A249" s="249"/>
      <c r="B249" s="249"/>
      <c r="C249" s="584" t="s">
        <v>307</v>
      </c>
      <c r="D249" s="587"/>
      <c r="E249" s="688"/>
      <c r="F249" s="688"/>
      <c r="G249" s="588"/>
      <c r="H249" s="594"/>
      <c r="I249" s="847"/>
      <c r="J249" s="635"/>
      <c r="K249" s="848"/>
      <c r="L249" s="991"/>
      <c r="M249" s="685"/>
      <c r="N249" s="686"/>
      <c r="O249" s="685"/>
      <c r="P249" s="795"/>
      <c r="Q249" s="769"/>
      <c r="R249" s="992"/>
      <c r="S249" s="664"/>
      <c r="T249" s="664"/>
      <c r="U249" s="1198"/>
      <c r="V249" s="709"/>
      <c r="W249" s="709"/>
      <c r="X249" s="684"/>
      <c r="Y249" s="685"/>
      <c r="Z249" s="686"/>
      <c r="AA249" s="685"/>
      <c r="AB249" s="1198"/>
      <c r="AC249" s="1198"/>
      <c r="AD249" s="1198"/>
      <c r="AE249" s="601"/>
      <c r="AF249" s="1189"/>
      <c r="AG249" s="601"/>
      <c r="AH249" s="601"/>
      <c r="AI249" s="1189"/>
      <c r="AJ249" s="601"/>
      <c r="AK249" s="601"/>
      <c r="AL249" s="1189"/>
      <c r="AM249" s="601"/>
      <c r="AN249" s="601"/>
      <c r="AO249" s="1189"/>
      <c r="AP249" s="601"/>
      <c r="AQ249" s="601"/>
      <c r="AR249" s="1189"/>
      <c r="AS249" s="601"/>
      <c r="AT249" s="601"/>
      <c r="AU249" s="1189"/>
      <c r="AV249" s="601"/>
      <c r="AW249" s="601"/>
      <c r="AX249" s="1189"/>
      <c r="AY249" s="601"/>
      <c r="AZ249" s="601"/>
      <c r="BA249" s="1189"/>
      <c r="BB249" s="601"/>
      <c r="BC249" s="601"/>
      <c r="BD249" s="1189"/>
      <c r="BE249" s="601"/>
      <c r="BF249" s="1143"/>
      <c r="BG249" s="1199"/>
      <c r="BH249" s="607"/>
      <c r="BI249" s="1143"/>
      <c r="BJ249" s="1199"/>
      <c r="BK249" s="607"/>
      <c r="BL249" s="601"/>
      <c r="BM249" s="1142" t="s">
        <v>309</v>
      </c>
      <c r="BN249" s="601"/>
      <c r="BO249" s="1107"/>
      <c r="BP249" s="1107"/>
      <c r="BQ249" s="1195"/>
      <c r="BR249" s="1107"/>
      <c r="BS249" s="567"/>
      <c r="BT249" s="567"/>
      <c r="BU249" s="567"/>
      <c r="BV249" s="1110"/>
      <c r="BW249" s="1110"/>
      <c r="BX249" s="1196"/>
      <c r="BY249" s="1110"/>
      <c r="BZ249" s="567"/>
      <c r="CA249" s="567"/>
      <c r="CB249" s="567"/>
      <c r="CC249" s="567"/>
      <c r="CD249" s="567"/>
      <c r="CE249" s="567"/>
    </row>
    <row r="250" spans="1:83" ht="37.35" customHeight="1" x14ac:dyDescent="0.4">
      <c r="A250" s="249"/>
      <c r="B250" s="249"/>
      <c r="C250" s="584">
        <v>0.54861111111111105</v>
      </c>
      <c r="D250" s="587"/>
      <c r="E250" s="688"/>
      <c r="F250" s="688"/>
      <c r="G250" s="588"/>
      <c r="H250" s="594"/>
      <c r="I250" s="994"/>
      <c r="J250" s="635"/>
      <c r="K250" s="848"/>
      <c r="L250" s="991"/>
      <c r="M250" s="685"/>
      <c r="N250" s="686"/>
      <c r="O250" s="685"/>
      <c r="P250" s="795"/>
      <c r="Q250" s="769"/>
      <c r="R250" s="992"/>
      <c r="S250" s="664"/>
      <c r="T250" s="664"/>
      <c r="U250" s="1198"/>
      <c r="V250" s="709"/>
      <c r="W250" s="709"/>
      <c r="X250" s="684"/>
      <c r="Y250" s="685"/>
      <c r="Z250" s="686"/>
      <c r="AA250" s="685"/>
      <c r="AB250" s="1198"/>
      <c r="AC250" s="1198"/>
      <c r="AD250" s="1198"/>
      <c r="AE250" s="601"/>
      <c r="AF250" s="1189"/>
      <c r="AG250" s="601"/>
      <c r="AH250" s="601"/>
      <c r="AI250" s="1189"/>
      <c r="AJ250" s="601"/>
      <c r="AK250" s="1200"/>
      <c r="AL250" s="1201" t="s">
        <v>386</v>
      </c>
      <c r="AM250" s="1202"/>
      <c r="AN250" s="1203"/>
      <c r="AO250" s="1204" t="s">
        <v>597</v>
      </c>
      <c r="AP250" s="1205"/>
      <c r="AQ250" s="778"/>
      <c r="AR250" s="1206" t="s">
        <v>598</v>
      </c>
      <c r="AS250" s="1207"/>
      <c r="AT250" s="1208"/>
      <c r="AU250" s="1209" t="s">
        <v>389</v>
      </c>
      <c r="AV250" s="1210"/>
      <c r="AW250" s="1211"/>
      <c r="AX250" s="1212" t="s">
        <v>390</v>
      </c>
      <c r="AY250" s="1213"/>
      <c r="AZ250" s="1214"/>
      <c r="BA250" s="1215" t="s">
        <v>391</v>
      </c>
      <c r="BB250" s="1214"/>
      <c r="BC250" s="975"/>
      <c r="BD250" s="1216" t="s">
        <v>379</v>
      </c>
      <c r="BE250" s="687"/>
      <c r="BF250" s="1217"/>
      <c r="BG250" s="1218" t="s">
        <v>392</v>
      </c>
      <c r="BH250" s="1217"/>
      <c r="BI250" s="1219"/>
      <c r="BJ250" s="2702" t="s">
        <v>599</v>
      </c>
      <c r="BK250" s="1219"/>
      <c r="BL250" s="601"/>
      <c r="BM250" s="1221"/>
      <c r="BN250" s="601"/>
      <c r="BO250" s="1107"/>
      <c r="BP250" s="1108"/>
      <c r="BQ250" s="1107"/>
      <c r="BR250" s="1107"/>
      <c r="BS250" s="568"/>
      <c r="BT250" s="567"/>
      <c r="BU250" s="567"/>
      <c r="BV250" s="1110"/>
      <c r="BW250" s="1111"/>
      <c r="BX250" s="1110"/>
      <c r="BY250" s="1110"/>
      <c r="BZ250" s="568"/>
      <c r="CA250" s="567"/>
      <c r="CB250" s="567"/>
      <c r="CC250" s="568"/>
      <c r="CD250" s="567"/>
      <c r="CE250" s="567"/>
    </row>
    <row r="251" spans="1:83" ht="22.35" customHeight="1" x14ac:dyDescent="0.4">
      <c r="A251" s="249"/>
      <c r="B251" s="249"/>
      <c r="C251" s="584"/>
      <c r="D251" s="587"/>
      <c r="E251" s="688"/>
      <c r="F251" s="688"/>
      <c r="G251" s="588"/>
      <c r="H251" s="594"/>
      <c r="I251" s="994"/>
      <c r="J251" s="935"/>
      <c r="K251" s="1000"/>
      <c r="L251" s="936"/>
      <c r="M251" s="1061"/>
      <c r="N251" s="1126"/>
      <c r="O251" s="1061"/>
      <c r="P251" s="937"/>
      <c r="Q251" s="707"/>
      <c r="R251" s="938"/>
      <c r="S251" s="664"/>
      <c r="T251" s="1465"/>
      <c r="U251" s="740"/>
      <c r="V251" s="1224"/>
      <c r="W251" s="1225"/>
      <c r="X251" s="1226"/>
      <c r="Y251" s="1061"/>
      <c r="Z251" s="1126"/>
      <c r="AA251" s="1061"/>
      <c r="AB251" s="740"/>
      <c r="AC251" s="740"/>
      <c r="AD251" s="740"/>
      <c r="AE251" s="601"/>
      <c r="AF251" s="1189"/>
      <c r="AG251" s="601"/>
      <c r="AH251" s="601"/>
      <c r="AI251" s="1189"/>
      <c r="AJ251" s="601"/>
      <c r="AK251" s="1200"/>
      <c r="AL251" s="1227" t="s">
        <v>394</v>
      </c>
      <c r="AM251" s="1202"/>
      <c r="AN251" s="1203"/>
      <c r="AO251" s="1228" t="s">
        <v>600</v>
      </c>
      <c r="AP251" s="1205"/>
      <c r="AQ251" s="778"/>
      <c r="AR251" s="1229" t="s">
        <v>396</v>
      </c>
      <c r="AS251" s="1207"/>
      <c r="AT251" s="1230"/>
      <c r="AU251" s="1231" t="s">
        <v>397</v>
      </c>
      <c r="AV251" s="1210"/>
      <c r="AW251" s="1211"/>
      <c r="AX251" s="2700" t="s">
        <v>398</v>
      </c>
      <c r="AY251" s="1213"/>
      <c r="AZ251" s="1214"/>
      <c r="BA251" s="2701" t="s">
        <v>399</v>
      </c>
      <c r="BB251" s="1214"/>
      <c r="BC251" s="975"/>
      <c r="BD251" s="1216"/>
      <c r="BE251" s="687"/>
      <c r="BF251" s="1234"/>
      <c r="BG251" s="1235" t="s">
        <v>400</v>
      </c>
      <c r="BH251" s="1234"/>
      <c r="BI251" s="1219"/>
      <c r="BJ251" s="1236" t="s">
        <v>401</v>
      </c>
      <c r="BK251" s="1219"/>
      <c r="BL251" s="601"/>
      <c r="BM251" s="1187"/>
      <c r="BN251" s="601"/>
      <c r="BO251" s="1107"/>
      <c r="BP251" s="1108"/>
      <c r="BQ251" s="1107"/>
      <c r="BR251" s="1107"/>
      <c r="BS251" s="568"/>
      <c r="BT251" s="567"/>
      <c r="BU251" s="567"/>
      <c r="BV251" s="1110"/>
      <c r="BW251" s="1111"/>
      <c r="BX251" s="1110"/>
      <c r="BY251" s="1110"/>
      <c r="BZ251" s="568"/>
      <c r="CA251" s="567"/>
      <c r="CB251" s="567"/>
      <c r="CC251" s="568"/>
      <c r="CD251" s="567"/>
      <c r="CE251" s="567"/>
    </row>
    <row r="252" spans="1:83" ht="26.85" customHeight="1" x14ac:dyDescent="0.4">
      <c r="A252" s="249"/>
      <c r="B252" s="249"/>
      <c r="C252" s="584">
        <v>0.55208333333333304</v>
      </c>
      <c r="D252" s="1237"/>
      <c r="E252" s="609"/>
      <c r="F252" s="609"/>
      <c r="G252" s="1238"/>
      <c r="H252" s="612"/>
      <c r="I252" s="1239"/>
      <c r="J252" s="935"/>
      <c r="K252" s="848"/>
      <c r="L252" s="936"/>
      <c r="M252" s="686"/>
      <c r="N252" s="793" t="s">
        <v>336</v>
      </c>
      <c r="O252" s="907"/>
      <c r="P252" s="937"/>
      <c r="Q252" s="707"/>
      <c r="R252" s="938"/>
      <c r="S252" s="1574"/>
      <c r="T252" s="1465"/>
      <c r="U252" s="740"/>
      <c r="V252" s="683"/>
      <c r="W252" s="1125" t="s">
        <v>371</v>
      </c>
      <c r="X252" s="1079"/>
      <c r="Y252" s="686"/>
      <c r="Z252" s="793" t="s">
        <v>336</v>
      </c>
      <c r="AA252" s="907"/>
      <c r="AB252" s="740"/>
      <c r="AC252" s="740"/>
      <c r="AD252" s="740"/>
      <c r="AE252" s="1157"/>
      <c r="AF252" s="1158" t="s">
        <v>332</v>
      </c>
      <c r="AG252" s="1157"/>
      <c r="AH252" s="1159"/>
      <c r="AI252" s="1160" t="s">
        <v>331</v>
      </c>
      <c r="AJ252" s="1160"/>
      <c r="AK252" s="1200"/>
      <c r="AL252" s="1241"/>
      <c r="AM252" s="1202"/>
      <c r="AN252" s="1203"/>
      <c r="AO252" s="1242"/>
      <c r="AP252" s="1205"/>
      <c r="AQ252" s="778"/>
      <c r="AR252" s="1243"/>
      <c r="AS252" s="1207"/>
      <c r="AT252" s="1208"/>
      <c r="AU252" s="1244"/>
      <c r="AV252" s="1210"/>
      <c r="AW252" s="1245"/>
      <c r="AX252" s="1246"/>
      <c r="AY252" s="1245"/>
      <c r="AZ252" s="1214"/>
      <c r="BA252" s="1247"/>
      <c r="BB252" s="1214"/>
      <c r="BC252" s="975"/>
      <c r="BD252" s="975" t="s">
        <v>381</v>
      </c>
      <c r="BE252" s="687"/>
      <c r="BF252" s="1248"/>
      <c r="BG252" s="1249"/>
      <c r="BH252" s="1248"/>
      <c r="BI252" s="1219"/>
      <c r="BJ252" s="1236" t="s">
        <v>403</v>
      </c>
      <c r="BK252" s="1219"/>
      <c r="BL252" s="607"/>
      <c r="BM252" s="1173"/>
      <c r="BN252" s="1250"/>
      <c r="BO252" s="1107"/>
      <c r="BP252" s="1108"/>
      <c r="BQ252" s="1107"/>
      <c r="BR252" s="1107"/>
      <c r="BS252" s="568"/>
      <c r="BT252" s="567"/>
      <c r="BU252" s="567"/>
      <c r="BV252" s="1110"/>
      <c r="BW252" s="1111"/>
      <c r="BX252" s="1110"/>
      <c r="BY252" s="1110"/>
      <c r="BZ252" s="568"/>
      <c r="CA252" s="567"/>
      <c r="CB252" s="567"/>
      <c r="CC252" s="568"/>
      <c r="CD252" s="567"/>
      <c r="CE252" s="567"/>
    </row>
    <row r="253" spans="1:83" ht="50.85" customHeight="1" x14ac:dyDescent="0.4">
      <c r="A253" s="249"/>
      <c r="B253" s="249"/>
      <c r="C253" s="584" t="s">
        <v>307</v>
      </c>
      <c r="D253" s="844"/>
      <c r="E253" s="688"/>
      <c r="F253" s="845"/>
      <c r="G253" s="846"/>
      <c r="H253" s="594"/>
      <c r="I253" s="675"/>
      <c r="J253" s="582"/>
      <c r="K253" s="848"/>
      <c r="L253" s="789"/>
      <c r="M253" s="1061"/>
      <c r="N253" s="1126" t="s">
        <v>334</v>
      </c>
      <c r="O253" s="1061"/>
      <c r="P253" s="997"/>
      <c r="Q253" s="998"/>
      <c r="R253" s="1251"/>
      <c r="S253" s="1574"/>
      <c r="T253" s="1465"/>
      <c r="U253" s="740"/>
      <c r="V253" s="898"/>
      <c r="W253" s="1252"/>
      <c r="X253" s="1253"/>
      <c r="Y253" s="1061"/>
      <c r="Z253" s="1126" t="s">
        <v>334</v>
      </c>
      <c r="AA253" s="1061"/>
      <c r="AB253" s="740"/>
      <c r="AC253" s="740"/>
      <c r="AD253" s="740"/>
      <c r="AE253" s="1254"/>
      <c r="AF253" s="1255"/>
      <c r="AG253" s="766"/>
      <c r="AH253" s="1160"/>
      <c r="AI253" s="1164" t="s">
        <v>366</v>
      </c>
      <c r="AJ253" s="1256"/>
      <c r="AK253" s="1200"/>
      <c r="AL253" s="1201"/>
      <c r="AM253" s="1202"/>
      <c r="AN253" s="1203"/>
      <c r="AO253" s="1204"/>
      <c r="AP253" s="1257"/>
      <c r="AQ253" s="1134"/>
      <c r="AR253" s="1206"/>
      <c r="AS253" s="1207"/>
      <c r="AT253" s="1208"/>
      <c r="AU253" s="1209"/>
      <c r="AV253" s="1210"/>
      <c r="AW253" s="1211"/>
      <c r="AX253" s="1212"/>
      <c r="AY253" s="1213"/>
      <c r="AZ253" s="1258"/>
      <c r="BA253" s="1215"/>
      <c r="BB253" s="1214"/>
      <c r="BC253" s="1259"/>
      <c r="BD253" s="975" t="s">
        <v>384</v>
      </c>
      <c r="BE253" s="687"/>
      <c r="BF253" s="1234"/>
      <c r="BG253" s="1260"/>
      <c r="BH253" s="1234"/>
      <c r="BI253" s="1219"/>
      <c r="BJ253" s="1236" t="s">
        <v>601</v>
      </c>
      <c r="BK253" s="1219"/>
      <c r="BL253" s="601"/>
      <c r="BM253" s="1261"/>
      <c r="BN253" s="601"/>
      <c r="BO253" s="1107"/>
      <c r="BP253" s="1108"/>
      <c r="BQ253" s="1107"/>
      <c r="BR253" s="1107"/>
      <c r="BS253" s="568"/>
      <c r="BT253" s="567"/>
      <c r="BU253" s="567"/>
      <c r="BV253" s="1110"/>
      <c r="BW253" s="1111"/>
      <c r="BX253" s="1110"/>
      <c r="BY253" s="1110"/>
      <c r="BZ253" s="568"/>
      <c r="CA253" s="567"/>
      <c r="CB253" s="567"/>
      <c r="CC253" s="568"/>
      <c r="CD253" s="567"/>
      <c r="CE253" s="567"/>
    </row>
    <row r="254" spans="1:83" ht="47.1" customHeight="1" x14ac:dyDescent="0.4">
      <c r="A254" s="249"/>
      <c r="B254" s="249"/>
      <c r="C254" s="584" t="s">
        <v>404</v>
      </c>
      <c r="D254" s="844"/>
      <c r="E254" s="688"/>
      <c r="F254" s="845"/>
      <c r="G254" s="846"/>
      <c r="H254" s="594"/>
      <c r="I254" s="675"/>
      <c r="J254" s="582"/>
      <c r="K254" s="1000"/>
      <c r="L254" s="789"/>
      <c r="M254" s="1061"/>
      <c r="N254" s="1064"/>
      <c r="O254" s="1061"/>
      <c r="P254" s="997"/>
      <c r="Q254" s="998"/>
      <c r="R254" s="1251"/>
      <c r="S254" s="1574"/>
      <c r="T254" s="1465"/>
      <c r="U254" s="740"/>
      <c r="V254" s="898"/>
      <c r="W254" s="1252"/>
      <c r="X254" s="1253"/>
      <c r="Y254" s="1061"/>
      <c r="Z254" s="1064"/>
      <c r="AA254" s="1061"/>
      <c r="AB254" s="740"/>
      <c r="AC254" s="740"/>
      <c r="AD254" s="740"/>
      <c r="AE254" s="1254"/>
      <c r="AF254" s="1255"/>
      <c r="AG254" s="766"/>
      <c r="AH254" s="1164"/>
      <c r="AI254" s="1164" t="s">
        <v>334</v>
      </c>
      <c r="AJ254" s="1164"/>
      <c r="AK254" s="1200"/>
      <c r="AL254" s="1227"/>
      <c r="AM254" s="1262"/>
      <c r="AN254" s="1263"/>
      <c r="AO254" s="1228"/>
      <c r="AP254" s="1263"/>
      <c r="AQ254" s="1264"/>
      <c r="AR254" s="1229"/>
      <c r="AS254" s="1265"/>
      <c r="AT254" s="1230"/>
      <c r="AU254" s="1231"/>
      <c r="AV254" s="1210"/>
      <c r="AW254" s="1211"/>
      <c r="AX254" s="1232"/>
      <c r="AY254" s="1213"/>
      <c r="AZ254" s="1266"/>
      <c r="BA254" s="1233"/>
      <c r="BB254" s="1267"/>
      <c r="BC254" s="1259"/>
      <c r="BD254" s="1268" t="s">
        <v>405</v>
      </c>
      <c r="BE254" s="687"/>
      <c r="BF254" s="1234"/>
      <c r="BG254" s="1269"/>
      <c r="BH254" s="1234"/>
      <c r="BI254" s="1270"/>
      <c r="BJ254" s="1236"/>
      <c r="BK254" s="1270"/>
      <c r="BL254" s="1146"/>
      <c r="BM254" s="1271"/>
      <c r="BN254" s="1146"/>
      <c r="BO254" s="1107"/>
      <c r="BP254" s="1107"/>
      <c r="BQ254" s="1161"/>
      <c r="BR254" s="1107"/>
      <c r="BS254" s="567"/>
      <c r="BT254" s="978"/>
      <c r="BU254" s="567"/>
      <c r="BV254" s="1110"/>
      <c r="BW254" s="1110"/>
      <c r="BX254" s="1162"/>
      <c r="BY254" s="1110"/>
      <c r="BZ254" s="567"/>
      <c r="CA254" s="978"/>
      <c r="CB254" s="567"/>
      <c r="CC254" s="567"/>
      <c r="CD254" s="978"/>
      <c r="CE254" s="567"/>
    </row>
    <row r="255" spans="1:83" ht="48.6" customHeight="1" x14ac:dyDescent="0.4">
      <c r="A255" s="249"/>
      <c r="B255" s="249"/>
      <c r="C255" s="584" t="s">
        <v>404</v>
      </c>
      <c r="D255" s="844"/>
      <c r="E255" s="688"/>
      <c r="F255" s="845"/>
      <c r="G255" s="846"/>
      <c r="H255" s="594"/>
      <c r="I255" s="675"/>
      <c r="J255" s="582"/>
      <c r="K255" s="848"/>
      <c r="L255" s="789"/>
      <c r="M255" s="1061"/>
      <c r="N255" s="1064"/>
      <c r="O255" s="1061"/>
      <c r="P255" s="997"/>
      <c r="Q255" s="998"/>
      <c r="R255" s="1251"/>
      <c r="S255" s="1574"/>
      <c r="T255" s="1465"/>
      <c r="U255" s="740"/>
      <c r="V255" s="898"/>
      <c r="W255" s="1252"/>
      <c r="X255" s="1253"/>
      <c r="Y255" s="1061"/>
      <c r="Z255" s="1064"/>
      <c r="AA255" s="1061"/>
      <c r="AB255" s="740"/>
      <c r="AC255" s="740"/>
      <c r="AD255" s="740"/>
      <c r="AE255" s="1254"/>
      <c r="AF255" s="1255"/>
      <c r="AG255" s="766"/>
      <c r="AH255" s="1164"/>
      <c r="AI255" s="1164"/>
      <c r="AJ255" s="1164"/>
      <c r="AK255" s="1272"/>
      <c r="AL255" s="1272"/>
      <c r="AM255" s="1272"/>
      <c r="AN255" s="1273"/>
      <c r="AO255" s="1274"/>
      <c r="AP255" s="1275"/>
      <c r="AQ255" s="778"/>
      <c r="AR255" s="1276"/>
      <c r="AS255" s="1207"/>
      <c r="AT255" s="1210"/>
      <c r="AU255" s="1244"/>
      <c r="AV255" s="1277"/>
      <c r="AW255" s="1278"/>
      <c r="AX255" s="1279"/>
      <c r="AY255" s="1278"/>
      <c r="AZ255" s="1280"/>
      <c r="BA255" s="1281"/>
      <c r="BB255" s="1280"/>
      <c r="BC255" s="916"/>
      <c r="BD255" s="1268" t="s">
        <v>406</v>
      </c>
      <c r="BE255" s="916"/>
      <c r="BF255" s="1234"/>
      <c r="BG255" s="1260"/>
      <c r="BH255" s="1234"/>
      <c r="BI255" s="1270"/>
      <c r="BJ255" s="1236"/>
      <c r="BK255" s="1270"/>
      <c r="BL255" s="1146"/>
      <c r="BM255" s="1282"/>
      <c r="BN255" s="1146"/>
      <c r="BO255" s="1107"/>
      <c r="BP255" s="1108"/>
      <c r="BQ255" s="1161"/>
      <c r="BR255" s="1107"/>
      <c r="BS255" s="568"/>
      <c r="BT255" s="978"/>
      <c r="BU255" s="567"/>
      <c r="BV255" s="1110"/>
      <c r="BW255" s="1111"/>
      <c r="BX255" s="1162"/>
      <c r="BY255" s="1110"/>
      <c r="BZ255" s="568"/>
      <c r="CA255" s="978"/>
      <c r="CB255" s="567"/>
      <c r="CC255" s="568"/>
      <c r="CD255" s="978"/>
      <c r="CE255" s="567"/>
    </row>
    <row r="256" spans="1:83" ht="14.85" customHeight="1" x14ac:dyDescent="0.4">
      <c r="A256" s="249"/>
      <c r="B256" s="249"/>
      <c r="C256" s="584" t="s">
        <v>307</v>
      </c>
      <c r="D256" s="844"/>
      <c r="E256" s="688"/>
      <c r="F256" s="845"/>
      <c r="G256" s="846"/>
      <c r="H256" s="594"/>
      <c r="I256" s="675"/>
      <c r="J256" s="582"/>
      <c r="K256" s="848"/>
      <c r="L256" s="789"/>
      <c r="M256" s="1061"/>
      <c r="N256" s="1064"/>
      <c r="O256" s="1061"/>
      <c r="P256" s="997"/>
      <c r="Q256" s="998"/>
      <c r="R256" s="1251"/>
      <c r="S256" s="1574"/>
      <c r="T256" s="1465"/>
      <c r="U256" s="740"/>
      <c r="V256" s="898"/>
      <c r="W256" s="1252"/>
      <c r="X256" s="1253"/>
      <c r="Y256" s="1061"/>
      <c r="Z256" s="1064"/>
      <c r="AA256" s="1061"/>
      <c r="AB256" s="740"/>
      <c r="AC256" s="740"/>
      <c r="AD256" s="740"/>
      <c r="AE256" s="1254"/>
      <c r="AF256" s="1255"/>
      <c r="AG256" s="766"/>
      <c r="AH256" s="1164"/>
      <c r="AI256" s="1164"/>
      <c r="AJ256" s="1164"/>
      <c r="AK256" s="1283"/>
      <c r="AL256" s="1284"/>
      <c r="AM256" s="1285"/>
      <c r="AN256" s="1203"/>
      <c r="AO256" s="1286"/>
      <c r="AP256" s="1257"/>
      <c r="AQ256" s="1134"/>
      <c r="AR256" s="1134"/>
      <c r="AS256" s="1207"/>
      <c r="AT256" s="1208"/>
      <c r="AU256" s="1287"/>
      <c r="AV256" s="1210"/>
      <c r="AW256" s="1245"/>
      <c r="AX256" s="1288"/>
      <c r="AY256" s="1245"/>
      <c r="AZ256" s="1289"/>
      <c r="BA256" s="1290"/>
      <c r="BB256" s="1280"/>
      <c r="BC256" s="916"/>
      <c r="BD256" s="1291"/>
      <c r="BE256" s="916"/>
      <c r="BF256" s="1234"/>
      <c r="BG256" s="1260"/>
      <c r="BH256" s="1234"/>
      <c r="BI256" s="1292"/>
      <c r="BJ256" s="1293"/>
      <c r="BK256" s="1292"/>
      <c r="BL256" s="1294"/>
      <c r="BM256" s="2810"/>
      <c r="BN256" s="1168"/>
      <c r="BO256" s="1107"/>
      <c r="BP256" s="1108"/>
      <c r="BQ256" s="1161"/>
      <c r="BR256" s="1107"/>
      <c r="BS256" s="568"/>
      <c r="BT256" s="978"/>
      <c r="BU256" s="567"/>
      <c r="BV256" s="1110"/>
      <c r="BW256" s="1111"/>
      <c r="BX256" s="1162"/>
      <c r="BY256" s="1110"/>
      <c r="BZ256" s="568"/>
      <c r="CA256" s="978"/>
      <c r="CB256" s="567"/>
      <c r="CC256" s="568"/>
      <c r="CD256" s="978"/>
      <c r="CE256" s="567"/>
    </row>
    <row r="257" spans="1:83" ht="13.5" customHeight="1" x14ac:dyDescent="0.4">
      <c r="A257" s="249"/>
      <c r="B257" s="249"/>
      <c r="C257" s="584">
        <v>0.55555555555555503</v>
      </c>
      <c r="D257" s="1295"/>
      <c r="E257" s="1296" t="s">
        <v>347</v>
      </c>
      <c r="F257" s="1297"/>
      <c r="G257" s="1298"/>
      <c r="H257" s="1296" t="s">
        <v>347</v>
      </c>
      <c r="I257" s="1298"/>
      <c r="J257" s="1298"/>
      <c r="K257" s="1296" t="s">
        <v>347</v>
      </c>
      <c r="L257" s="1298"/>
      <c r="M257" s="1295"/>
      <c r="N257" s="1296" t="s">
        <v>347</v>
      </c>
      <c r="O257" s="1301"/>
      <c r="P257" s="1295"/>
      <c r="Q257" s="1296" t="s">
        <v>347</v>
      </c>
      <c r="R257" s="1298"/>
      <c r="S257" s="1299"/>
      <c r="T257" s="1297" t="s">
        <v>347</v>
      </c>
      <c r="U257" s="1300"/>
      <c r="V257" s="1299"/>
      <c r="W257" s="1297" t="s">
        <v>347</v>
      </c>
      <c r="X257" s="1300"/>
      <c r="Y257" s="1295"/>
      <c r="Z257" s="1296" t="s">
        <v>347</v>
      </c>
      <c r="AA257" s="1301"/>
      <c r="AB257" s="740"/>
      <c r="AC257" s="1302"/>
      <c r="AD257" s="740"/>
      <c r="AE257" s="1303"/>
      <c r="AF257" s="1304" t="s">
        <v>347</v>
      </c>
      <c r="AG257" s="1303"/>
      <c r="AH257" s="1303"/>
      <c r="AI257" s="1304" t="s">
        <v>347</v>
      </c>
      <c r="AJ257" s="1303"/>
      <c r="AK257" s="1295"/>
      <c r="AL257" s="1301" t="s">
        <v>347</v>
      </c>
      <c r="AM257" s="1300"/>
      <c r="AN257" s="1295"/>
      <c r="AO257" s="1301" t="s">
        <v>347</v>
      </c>
      <c r="AP257" s="1300"/>
      <c r="AQ257" s="1295"/>
      <c r="AR257" s="1301" t="s">
        <v>347</v>
      </c>
      <c r="AS257" s="1300"/>
      <c r="AT257" s="1305"/>
      <c r="AU257" s="1306" t="s">
        <v>347</v>
      </c>
      <c r="AV257" s="1305"/>
      <c r="AW257" s="1295"/>
      <c r="AX257" s="1301" t="s">
        <v>347</v>
      </c>
      <c r="AY257" s="1295"/>
      <c r="AZ257" s="1295"/>
      <c r="BA257" s="1301" t="s">
        <v>347</v>
      </c>
      <c r="BB257" s="1295"/>
      <c r="BC257" s="1295"/>
      <c r="BD257" s="1301" t="s">
        <v>347</v>
      </c>
      <c r="BE257" s="1295"/>
      <c r="BF257" s="1295"/>
      <c r="BG257" s="1301" t="s">
        <v>347</v>
      </c>
      <c r="BH257" s="1295"/>
      <c r="BI257" s="1295"/>
      <c r="BJ257" s="1301" t="s">
        <v>347</v>
      </c>
      <c r="BK257" s="1295"/>
      <c r="BL257" s="1295"/>
      <c r="BM257" s="1301" t="s">
        <v>347</v>
      </c>
      <c r="BN257" s="1295"/>
      <c r="BO257" s="1295">
        <v>20</v>
      </c>
      <c r="BP257" s="1295"/>
      <c r="BQ257" s="1301" t="s">
        <v>347</v>
      </c>
      <c r="BR257" s="1295"/>
      <c r="BS257" s="567"/>
      <c r="BT257" s="1307"/>
      <c r="BU257" s="567"/>
      <c r="BV257" s="1308">
        <v>20</v>
      </c>
      <c r="BW257" s="1308"/>
      <c r="BX257" s="1309" t="s">
        <v>347</v>
      </c>
      <c r="BY257" s="1308"/>
      <c r="BZ257" s="567"/>
      <c r="CA257" s="1307"/>
      <c r="CB257" s="567"/>
      <c r="CC257" s="567"/>
      <c r="CD257" s="1307"/>
      <c r="CE257" s="567"/>
    </row>
    <row r="258" spans="1:83" ht="14.85" customHeight="1" x14ac:dyDescent="0.4">
      <c r="A258" s="249"/>
      <c r="B258" s="249"/>
      <c r="C258" s="584">
        <v>0.55902777777777701</v>
      </c>
      <c r="D258" s="1310"/>
      <c r="E258" s="1299"/>
      <c r="F258" s="1310"/>
      <c r="G258" s="1298"/>
      <c r="H258" s="1299"/>
      <c r="I258" s="1298"/>
      <c r="J258" s="1298"/>
      <c r="K258" s="1299"/>
      <c r="L258" s="1298"/>
      <c r="M258" s="1310"/>
      <c r="N258" s="1310"/>
      <c r="O258" s="1311"/>
      <c r="P258" s="1310"/>
      <c r="Q258" s="1310"/>
      <c r="R258" s="1298"/>
      <c r="S258" s="1299"/>
      <c r="T258" s="1310"/>
      <c r="U258" s="1300"/>
      <c r="V258" s="1299"/>
      <c r="W258" s="1310"/>
      <c r="X258" s="1300"/>
      <c r="Y258" s="1310"/>
      <c r="Z258" s="1310"/>
      <c r="AA258" s="1311"/>
      <c r="AB258" s="740"/>
      <c r="AC258" s="740"/>
      <c r="AD258" s="740"/>
      <c r="AE258" s="1312"/>
      <c r="AF258" s="1313"/>
      <c r="AG258" s="1303"/>
      <c r="AH258" s="1312"/>
      <c r="AI258" s="1313"/>
      <c r="AJ258" s="1303"/>
      <c r="AK258" s="1310"/>
      <c r="AL258" s="1314"/>
      <c r="AM258" s="1315"/>
      <c r="AN258" s="1310"/>
      <c r="AO258" s="1314"/>
      <c r="AP258" s="1315"/>
      <c r="AQ258" s="1310"/>
      <c r="AR258" s="1314"/>
      <c r="AS258" s="1315"/>
      <c r="AT258" s="1311"/>
      <c r="AU258" s="1316"/>
      <c r="AV258" s="1295"/>
      <c r="AW258" s="1311"/>
      <c r="AX258" s="1316"/>
      <c r="AY258" s="1295"/>
      <c r="AZ258" s="1311"/>
      <c r="BA258" s="1316"/>
      <c r="BB258" s="1295"/>
      <c r="BC258" s="1311"/>
      <c r="BD258" s="1316"/>
      <c r="BE258" s="1295"/>
      <c r="BF258" s="1295"/>
      <c r="BG258" s="1317"/>
      <c r="BH258" s="1295"/>
      <c r="BI258" s="1295"/>
      <c r="BJ258" s="1317"/>
      <c r="BK258" s="1295"/>
      <c r="BL258" s="1311"/>
      <c r="BM258" s="1316"/>
      <c r="BN258" s="1295"/>
      <c r="BO258" s="1295"/>
      <c r="BP258" s="1311"/>
      <c r="BQ258" s="1316"/>
      <c r="BR258" s="1295"/>
      <c r="BS258" s="568"/>
      <c r="BT258" s="567"/>
      <c r="BU258" s="567"/>
      <c r="BV258" s="1308"/>
      <c r="BW258" s="1318"/>
      <c r="BX258" s="1319"/>
      <c r="BY258" s="1308"/>
      <c r="BZ258" s="568"/>
      <c r="CA258" s="567"/>
      <c r="CB258" s="567"/>
      <c r="CC258" s="568"/>
      <c r="CD258" s="567"/>
      <c r="CE258" s="567"/>
    </row>
    <row r="259" spans="1:83" ht="29.1" customHeight="1" x14ac:dyDescent="0.4">
      <c r="A259" s="249"/>
      <c r="B259" s="249"/>
      <c r="C259" s="584">
        <v>0.562499999999999</v>
      </c>
      <c r="D259" s="1305"/>
      <c r="E259" s="1320"/>
      <c r="F259" s="1320"/>
      <c r="G259" s="1321"/>
      <c r="H259" s="1320"/>
      <c r="I259" s="1321"/>
      <c r="J259" s="1321"/>
      <c r="K259" s="1048"/>
      <c r="L259" s="1321"/>
      <c r="M259" s="1324"/>
      <c r="N259" s="2834" t="s">
        <v>407</v>
      </c>
      <c r="O259" s="1326"/>
      <c r="P259" s="1305"/>
      <c r="Q259" s="1320"/>
      <c r="R259" s="1321"/>
      <c r="S259" s="1320"/>
      <c r="T259" s="1322"/>
      <c r="U259" s="1323"/>
      <c r="V259" s="1320"/>
      <c r="W259" s="1322" t="s">
        <v>371</v>
      </c>
      <c r="X259" s="1305"/>
      <c r="Y259" s="1324"/>
      <c r="Z259" s="1325"/>
      <c r="AA259" s="1326"/>
      <c r="AB259" s="1327"/>
      <c r="AC259" s="985"/>
      <c r="AD259" s="912"/>
      <c r="AE259" s="1328"/>
      <c r="AF259" s="1329" t="s">
        <v>332</v>
      </c>
      <c r="AG259" s="1328"/>
      <c r="AH259" s="1328"/>
      <c r="AI259" s="1328" t="s">
        <v>337</v>
      </c>
      <c r="AJ259" s="1328"/>
      <c r="AK259" s="1330"/>
      <c r="AL259" s="1331" t="s">
        <v>408</v>
      </c>
      <c r="AM259" s="1332"/>
      <c r="AN259" s="1330"/>
      <c r="AO259" s="1333"/>
      <c r="AP259" s="1305"/>
      <c r="AQ259" s="1295"/>
      <c r="AR259" s="1295"/>
      <c r="AS259" s="1334"/>
      <c r="AT259" s="1305"/>
      <c r="AU259" s="1333"/>
      <c r="AV259" s="1305"/>
      <c r="AW259" s="1305"/>
      <c r="AX259" s="1335" t="s">
        <v>409</v>
      </c>
      <c r="AY259" s="1305"/>
      <c r="AZ259" s="1295"/>
      <c r="BA259" s="1336"/>
      <c r="BB259" s="1334"/>
      <c r="BC259" s="1305"/>
      <c r="BD259" s="1328" t="s">
        <v>379</v>
      </c>
      <c r="BE259" s="1337"/>
      <c r="BF259" s="1330"/>
      <c r="BG259" s="1338" t="s">
        <v>334</v>
      </c>
      <c r="BH259" s="1305"/>
      <c r="BI259" s="1305"/>
      <c r="BJ259" s="1325" t="s">
        <v>330</v>
      </c>
      <c r="BK259" s="1334"/>
      <c r="BL259" s="1295"/>
      <c r="BM259" s="1295"/>
      <c r="BN259" s="1334"/>
      <c r="BO259" s="1295"/>
      <c r="BP259" s="1295"/>
      <c r="BQ259" s="1295"/>
      <c r="BR259" s="1334"/>
      <c r="BS259" s="567"/>
      <c r="BT259" s="567"/>
      <c r="BU259" s="1339"/>
      <c r="BV259" s="1308"/>
      <c r="BW259" s="1308"/>
      <c r="BX259" s="1308"/>
      <c r="BY259" s="1340"/>
      <c r="BZ259" s="567"/>
      <c r="CA259" s="567"/>
      <c r="CB259" s="1339"/>
      <c r="CC259" s="567"/>
      <c r="CD259" s="567"/>
      <c r="CE259" s="1339"/>
    </row>
    <row r="260" spans="1:83" ht="21" customHeight="1" x14ac:dyDescent="0.4">
      <c r="A260" s="249"/>
      <c r="B260" s="249"/>
      <c r="C260" s="584" t="s">
        <v>307</v>
      </c>
      <c r="D260" s="1341"/>
      <c r="E260" s="1320"/>
      <c r="F260" s="1341"/>
      <c r="G260" s="1342"/>
      <c r="H260" s="1320"/>
      <c r="I260" s="1342"/>
      <c r="J260" s="1342"/>
      <c r="K260" s="1048"/>
      <c r="L260" s="1342"/>
      <c r="M260" s="1344"/>
      <c r="N260" s="2834"/>
      <c r="O260" s="1345"/>
      <c r="P260" s="1341"/>
      <c r="Q260" s="1341"/>
      <c r="R260" s="1342"/>
      <c r="S260" s="1320"/>
      <c r="T260" s="1343"/>
      <c r="U260" s="1323"/>
      <c r="V260" s="1320"/>
      <c r="W260" s="1325" t="s">
        <v>334</v>
      </c>
      <c r="X260" s="1305"/>
      <c r="Y260" s="1344"/>
      <c r="Z260" s="1325"/>
      <c r="AA260" s="1345"/>
      <c r="AB260" s="912"/>
      <c r="AC260" s="912"/>
      <c r="AD260" s="912"/>
      <c r="AE260" s="1328"/>
      <c r="AF260" s="1329"/>
      <c r="AG260" s="1328"/>
      <c r="AH260" s="1328"/>
      <c r="AI260" s="1328" t="s">
        <v>366</v>
      </c>
      <c r="AJ260" s="1328"/>
      <c r="AK260" s="1330"/>
      <c r="AL260" s="1346"/>
      <c r="AM260" s="1305"/>
      <c r="AN260" s="1330"/>
      <c r="AO260" s="1346"/>
      <c r="AP260" s="1305"/>
      <c r="AQ260" s="1334"/>
      <c r="AR260" s="1337"/>
      <c r="AS260" s="1334"/>
      <c r="AT260" s="1341"/>
      <c r="AU260" s="1347"/>
      <c r="AV260" s="1348"/>
      <c r="AW260" s="1305"/>
      <c r="AX260" s="1349" t="s">
        <v>411</v>
      </c>
      <c r="AY260" s="1305"/>
      <c r="AZ260" s="1350"/>
      <c r="BA260" s="1351"/>
      <c r="BB260" s="1334"/>
      <c r="BC260" s="1334"/>
      <c r="BD260" s="1352" t="s">
        <v>381</v>
      </c>
      <c r="BE260" s="1334"/>
      <c r="BF260" s="1334"/>
      <c r="BG260" s="1353"/>
      <c r="BH260" s="1337"/>
      <c r="BI260" s="1305"/>
      <c r="BJ260" s="1354"/>
      <c r="BK260" s="1305"/>
      <c r="BL260" s="1334"/>
      <c r="BM260" s="1334"/>
      <c r="BN260" s="1334"/>
      <c r="BO260" s="1334"/>
      <c r="BP260" s="1334"/>
      <c r="BQ260" s="1334"/>
      <c r="BR260" s="1334"/>
      <c r="BS260" s="1339"/>
      <c r="BT260" s="1339"/>
      <c r="BU260" s="1339"/>
      <c r="BV260" s="1340"/>
      <c r="BW260" s="1340"/>
      <c r="BX260" s="1340"/>
      <c r="BY260" s="1340"/>
      <c r="BZ260" s="1339"/>
      <c r="CA260" s="1339"/>
      <c r="CB260" s="1339"/>
      <c r="CC260" s="1339"/>
      <c r="CD260" s="1339"/>
      <c r="CE260" s="1339"/>
    </row>
    <row r="261" spans="1:83" ht="17.850000000000001" customHeight="1" x14ac:dyDescent="0.4">
      <c r="A261" s="249"/>
      <c r="B261" s="249"/>
      <c r="C261" s="584" t="s">
        <v>307</v>
      </c>
      <c r="D261" s="1341"/>
      <c r="E261" s="1320"/>
      <c r="F261" s="1341"/>
      <c r="G261" s="1342"/>
      <c r="H261" s="1320"/>
      <c r="I261" s="1342"/>
      <c r="J261" s="1342"/>
      <c r="K261" s="1048"/>
      <c r="L261" s="1342"/>
      <c r="M261" s="1344"/>
      <c r="N261" s="2834"/>
      <c r="O261" s="1345"/>
      <c r="P261" s="1341"/>
      <c r="Q261" s="1341"/>
      <c r="R261" s="1342"/>
      <c r="S261" s="1320"/>
      <c r="T261" s="1343"/>
      <c r="U261" s="1323"/>
      <c r="V261" s="1320"/>
      <c r="W261" s="1325"/>
      <c r="X261" s="1305"/>
      <c r="Y261" s="1344"/>
      <c r="Z261" s="1343"/>
      <c r="AA261" s="1345"/>
      <c r="AB261" s="912"/>
      <c r="AC261" s="912"/>
      <c r="AD261" s="912"/>
      <c r="AE261" s="1328"/>
      <c r="AF261" s="1328"/>
      <c r="AG261" s="1328"/>
      <c r="AH261" s="1355"/>
      <c r="AI261" s="1328" t="s">
        <v>350</v>
      </c>
      <c r="AJ261" s="1355"/>
      <c r="AK261" s="1305"/>
      <c r="AL261" s="1333"/>
      <c r="AM261" s="1305"/>
      <c r="AN261" s="1330"/>
      <c r="AO261" s="1333"/>
      <c r="AP261" s="1305"/>
      <c r="AQ261" s="1334"/>
      <c r="AR261" s="1334"/>
      <c r="AS261" s="1334"/>
      <c r="AT261" s="1330"/>
      <c r="AU261" s="1356"/>
      <c r="AV261" s="1305"/>
      <c r="AW261" s="1330"/>
      <c r="AX261" s="1357"/>
      <c r="AY261" s="1305"/>
      <c r="AZ261" s="1334"/>
      <c r="BA261" s="1358"/>
      <c r="BB261" s="1334"/>
      <c r="BC261" s="1334"/>
      <c r="BD261" s="1352"/>
      <c r="BE261" s="1334"/>
      <c r="BF261" s="1334"/>
      <c r="BG261" s="1353"/>
      <c r="BH261" s="1334"/>
      <c r="BI261" s="1334"/>
      <c r="BJ261" s="1334"/>
      <c r="BK261" s="1334"/>
      <c r="BL261" s="1334"/>
      <c r="BM261" s="1334"/>
      <c r="BN261" s="1334"/>
      <c r="BO261" s="1359"/>
      <c r="BP261" s="1350"/>
      <c r="BQ261" s="1360"/>
      <c r="BR261" s="1334"/>
      <c r="BS261" s="1361"/>
      <c r="BT261" s="759"/>
      <c r="BU261" s="1339"/>
      <c r="BV261" s="1362"/>
      <c r="BW261" s="1363"/>
      <c r="BX261" s="1364"/>
      <c r="BY261" s="1340"/>
      <c r="BZ261" s="1361"/>
      <c r="CA261" s="759"/>
      <c r="CB261" s="1339"/>
      <c r="CC261" s="1361"/>
      <c r="CD261" s="759"/>
      <c r="CE261" s="1339"/>
    </row>
    <row r="262" spans="1:83" ht="22.5" customHeight="1" x14ac:dyDescent="0.4">
      <c r="A262" s="249"/>
      <c r="B262" s="249"/>
      <c r="C262" s="584" t="s">
        <v>307</v>
      </c>
      <c r="D262" s="1341"/>
      <c r="E262" s="1320"/>
      <c r="F262" s="1341"/>
      <c r="G262" s="1342"/>
      <c r="H262" s="1320"/>
      <c r="I262" s="1342"/>
      <c r="J262" s="1342"/>
      <c r="K262" s="1048"/>
      <c r="L262" s="1342"/>
      <c r="M262" s="1344"/>
      <c r="N262" s="2834"/>
      <c r="O262" s="1345"/>
      <c r="P262" s="1341"/>
      <c r="Q262" s="1341"/>
      <c r="R262" s="1342"/>
      <c r="S262" s="1320"/>
      <c r="T262" s="1343"/>
      <c r="U262" s="1323"/>
      <c r="V262" s="1320"/>
      <c r="W262" s="1341"/>
      <c r="X262" s="1305"/>
      <c r="Y262" s="1344"/>
      <c r="Z262" s="1343"/>
      <c r="AA262" s="1345"/>
      <c r="AB262" s="912"/>
      <c r="AC262" s="912"/>
      <c r="AD262" s="912"/>
      <c r="AE262" s="1328"/>
      <c r="AF262" s="1329"/>
      <c r="AG262" s="1328"/>
      <c r="AH262" s="1355"/>
      <c r="AI262" s="1355"/>
      <c r="AJ262" s="1355"/>
      <c r="AK262" s="1341"/>
      <c r="AL262" s="1347"/>
      <c r="AM262" s="1348"/>
      <c r="AN262" s="1330"/>
      <c r="AO262" s="1365"/>
      <c r="AP262" s="1332"/>
      <c r="AQ262" s="1334"/>
      <c r="AR262" s="1334"/>
      <c r="AS262" s="1334"/>
      <c r="AT262" s="1330"/>
      <c r="AU262" s="1338"/>
      <c r="AV262" s="1305"/>
      <c r="AW262" s="1353"/>
      <c r="AX262" s="1366"/>
      <c r="AY262" s="1305"/>
      <c r="AZ262" s="1295"/>
      <c r="BA262" s="1336"/>
      <c r="BB262" s="1334"/>
      <c r="BC262" s="1334"/>
      <c r="BD262" s="1352" t="s">
        <v>384</v>
      </c>
      <c r="BE262" s="1334"/>
      <c r="BF262" s="1367"/>
      <c r="BG262" s="1368" t="s">
        <v>413</v>
      </c>
      <c r="BH262" s="1369"/>
      <c r="BI262" s="1367"/>
      <c r="BJ262" s="1368" t="s">
        <v>414</v>
      </c>
      <c r="BK262" s="1369"/>
      <c r="BL262" s="1334"/>
      <c r="BM262" s="1370" t="s">
        <v>412</v>
      </c>
      <c r="BN262" s="1334"/>
      <c r="BO262" s="1334"/>
      <c r="BP262" s="1337"/>
      <c r="BQ262" s="1334"/>
      <c r="BR262" s="1334"/>
      <c r="BS262" s="1371"/>
      <c r="BT262" s="1339"/>
      <c r="BU262" s="1339"/>
      <c r="BV262" s="1340"/>
      <c r="BW262" s="1372"/>
      <c r="BX262" s="1340"/>
      <c r="BY262" s="1340"/>
      <c r="BZ262" s="1371"/>
      <c r="CA262" s="1339"/>
      <c r="CB262" s="1339"/>
      <c r="CC262" s="1371"/>
      <c r="CD262" s="1339"/>
      <c r="CE262" s="1339"/>
    </row>
    <row r="263" spans="1:83" ht="50.25" customHeight="1" x14ac:dyDescent="0.4">
      <c r="A263" s="249"/>
      <c r="B263" s="249"/>
      <c r="C263" s="584"/>
      <c r="D263" s="1341"/>
      <c r="E263" s="1320"/>
      <c r="F263" s="1341"/>
      <c r="G263" s="1342"/>
      <c r="H263" s="1320"/>
      <c r="I263" s="1342"/>
      <c r="J263" s="1342"/>
      <c r="K263" s="1048"/>
      <c r="L263" s="1342"/>
      <c r="M263" s="1344"/>
      <c r="N263" s="2834"/>
      <c r="O263" s="1345"/>
      <c r="P263" s="1341"/>
      <c r="Q263" s="1341"/>
      <c r="R263" s="1342"/>
      <c r="S263" s="1320"/>
      <c r="T263" s="1343"/>
      <c r="U263" s="1323"/>
      <c r="V263" s="1320"/>
      <c r="W263" s="1341"/>
      <c r="X263" s="1305"/>
      <c r="Y263" s="1344"/>
      <c r="Z263" s="1343"/>
      <c r="AA263" s="1345"/>
      <c r="AB263" s="912"/>
      <c r="AC263" s="912"/>
      <c r="AD263" s="912"/>
      <c r="AE263" s="1328"/>
      <c r="AF263" s="1329"/>
      <c r="AG263" s="1328"/>
      <c r="AH263" s="1355"/>
      <c r="AI263" s="1355"/>
      <c r="AJ263" s="1355"/>
      <c r="AK263" s="1341"/>
      <c r="AL263" s="1356"/>
      <c r="AM263" s="1348"/>
      <c r="AN263" s="1330"/>
      <c r="AO263" s="1365"/>
      <c r="AP263" s="1332"/>
      <c r="AQ263" s="1334"/>
      <c r="AR263" s="1334"/>
      <c r="AS263" s="1334"/>
      <c r="AT263" s="1330"/>
      <c r="AU263" s="1338"/>
      <c r="AV263" s="1305"/>
      <c r="AW263" s="1353"/>
      <c r="AX263" s="1366"/>
      <c r="AY263" s="1305"/>
      <c r="AZ263" s="1350"/>
      <c r="BA263" s="1351"/>
      <c r="BB263" s="1334"/>
      <c r="BC263" s="1334"/>
      <c r="BD263" s="1353"/>
      <c r="BE263" s="1334"/>
      <c r="BF263" s="1334"/>
      <c r="BG263" s="1334"/>
      <c r="BH263" s="1334"/>
      <c r="BI263" s="1334"/>
      <c r="BJ263" s="1334"/>
      <c r="BK263" s="1334"/>
      <c r="BL263" s="1334"/>
      <c r="BM263" s="1334"/>
      <c r="BN263" s="1334"/>
      <c r="BO263" s="1334"/>
      <c r="BP263" s="1337"/>
      <c r="BQ263" s="1334"/>
      <c r="BR263" s="1334"/>
      <c r="BS263" s="1371"/>
      <c r="BT263" s="1339"/>
      <c r="BU263" s="1339"/>
      <c r="BV263" s="1340"/>
      <c r="BW263" s="1372"/>
      <c r="BX263" s="1340"/>
      <c r="BY263" s="1340"/>
      <c r="BZ263" s="1371"/>
      <c r="CA263" s="1339"/>
      <c r="CB263" s="1339"/>
      <c r="CC263" s="1371"/>
      <c r="CD263" s="1339"/>
      <c r="CE263" s="1339"/>
    </row>
    <row r="264" spans="1:83" ht="67.5" customHeight="1" x14ac:dyDescent="0.4">
      <c r="A264" s="249"/>
      <c r="B264" s="249"/>
      <c r="C264" s="584" t="s">
        <v>307</v>
      </c>
      <c r="D264" s="1341"/>
      <c r="E264" s="1320"/>
      <c r="F264" s="1341"/>
      <c r="G264" s="1342"/>
      <c r="H264" s="1320"/>
      <c r="I264" s="1342"/>
      <c r="J264" s="1342"/>
      <c r="K264" s="1048"/>
      <c r="L264" s="1342"/>
      <c r="M264" s="1344"/>
      <c r="N264" s="2834"/>
      <c r="O264" s="1345"/>
      <c r="P264" s="1341"/>
      <c r="Q264" s="1341"/>
      <c r="R264" s="1342"/>
      <c r="S264" s="1320"/>
      <c r="T264" s="1343"/>
      <c r="U264" s="1323"/>
      <c r="V264" s="1320"/>
      <c r="W264" s="1341"/>
      <c r="X264" s="1305"/>
      <c r="Y264" s="1344"/>
      <c r="Z264" s="1343"/>
      <c r="AA264" s="1345"/>
      <c r="AB264" s="912"/>
      <c r="AC264" s="912"/>
      <c r="AD264" s="912"/>
      <c r="AE264" s="1328"/>
      <c r="AF264" s="1328"/>
      <c r="AG264" s="1328"/>
      <c r="AH264" s="1355"/>
      <c r="AI264" s="1355"/>
      <c r="AJ264" s="1355"/>
      <c r="AK264" s="1330"/>
      <c r="AL264" s="1360"/>
      <c r="AM264" s="1305"/>
      <c r="AN264" s="1333"/>
      <c r="AO264" s="1365"/>
      <c r="AP264" s="1332"/>
      <c r="AQ264" s="1334"/>
      <c r="AR264" s="1334"/>
      <c r="AS264" s="1334"/>
      <c r="AT264" s="1305"/>
      <c r="AU264" s="1333"/>
      <c r="AV264" s="1332"/>
      <c r="AW264" s="1353"/>
      <c r="AX264" s="1366"/>
      <c r="AY264" s="1305"/>
      <c r="AZ264" s="1334"/>
      <c r="BA264" s="1358"/>
      <c r="BB264" s="1334"/>
      <c r="BC264" s="1334"/>
      <c r="BD264" s="1334"/>
      <c r="BE264" s="1334"/>
      <c r="BF264" s="1334"/>
      <c r="BG264" s="1334"/>
      <c r="BH264" s="1334"/>
      <c r="BI264" s="1334"/>
      <c r="BJ264" s="1334"/>
      <c r="BK264" s="1334"/>
      <c r="BL264" s="1334"/>
      <c r="BM264" s="1334"/>
      <c r="BN264" s="1334"/>
      <c r="BO264" s="1334"/>
      <c r="BP264" s="1337"/>
      <c r="BQ264" s="1334"/>
      <c r="BR264" s="1334"/>
      <c r="BS264" s="1371"/>
      <c r="BT264" s="1339"/>
      <c r="BU264" s="1339"/>
      <c r="BV264" s="1340"/>
      <c r="BW264" s="1372"/>
      <c r="BX264" s="1340"/>
      <c r="BY264" s="1340"/>
      <c r="BZ264" s="1371"/>
      <c r="CA264" s="1339"/>
      <c r="CB264" s="1339"/>
      <c r="CC264" s="1371"/>
      <c r="CD264" s="1339"/>
      <c r="CE264" s="1339"/>
    </row>
    <row r="265" spans="1:83" ht="23.85" customHeight="1" x14ac:dyDescent="0.4">
      <c r="A265" s="249"/>
      <c r="B265" s="249"/>
      <c r="C265" s="584">
        <v>0.56597222222222199</v>
      </c>
      <c r="D265" s="1328"/>
      <c r="E265" s="1373"/>
      <c r="F265" s="1373"/>
      <c r="G265" s="1328"/>
      <c r="H265" s="1373"/>
      <c r="I265" s="1328"/>
      <c r="J265" s="1328"/>
      <c r="K265" s="2687"/>
      <c r="L265" s="1328"/>
      <c r="M265" s="1328"/>
      <c r="N265" s="2834"/>
      <c r="O265" s="1328"/>
      <c r="P265" s="1328"/>
      <c r="Q265" s="1373"/>
      <c r="R265" s="1328"/>
      <c r="S265" s="1328"/>
      <c r="T265" s="1373"/>
      <c r="U265" s="1328"/>
      <c r="V265" s="1328"/>
      <c r="W265" s="1373"/>
      <c r="X265" s="1328"/>
      <c r="Y265" s="1328"/>
      <c r="Z265" s="1373"/>
      <c r="AA265" s="1328"/>
      <c r="AB265" s="967"/>
      <c r="AC265" s="1374"/>
      <c r="AD265" s="967"/>
      <c r="AE265" s="1328"/>
      <c r="AF265" s="1373"/>
      <c r="AG265" s="1328"/>
      <c r="AH265" s="1355"/>
      <c r="AI265" s="1355"/>
      <c r="AJ265" s="1355"/>
      <c r="AK265" s="1350"/>
      <c r="AL265" s="1360"/>
      <c r="AM265" s="1334"/>
      <c r="AN265" s="1330"/>
      <c r="AO265" s="1375"/>
      <c r="AP265" s="1305"/>
      <c r="AQ265" s="1334"/>
      <c r="AR265" s="1334"/>
      <c r="AS265" s="1334"/>
      <c r="AT265" s="1305"/>
      <c r="AU265" s="1376"/>
      <c r="AV265" s="1305"/>
      <c r="AW265" s="1305"/>
      <c r="AX265" s="1333"/>
      <c r="AY265" s="1305"/>
      <c r="AZ265" s="1334"/>
      <c r="BA265" s="1334"/>
      <c r="BB265" s="1334"/>
      <c r="BC265" s="1334"/>
      <c r="BD265" s="1334"/>
      <c r="BE265" s="1334"/>
      <c r="BF265" s="1334"/>
      <c r="BG265" s="1334"/>
      <c r="BH265" s="1334"/>
      <c r="BI265" s="1334"/>
      <c r="BJ265" s="1334"/>
      <c r="BK265" s="1334"/>
      <c r="BL265" s="1334"/>
      <c r="BM265" s="1334"/>
      <c r="BN265" s="1334"/>
      <c r="BO265" s="1334"/>
      <c r="BP265" s="1334"/>
      <c r="BQ265" s="1334"/>
      <c r="BR265" s="1334"/>
      <c r="BS265" s="1339"/>
      <c r="BT265" s="1339"/>
      <c r="BU265" s="1339"/>
      <c r="BV265" s="1340"/>
      <c r="BW265" s="1340"/>
      <c r="BX265" s="1340"/>
      <c r="BY265" s="1340"/>
      <c r="BZ265" s="1339"/>
      <c r="CA265" s="1339"/>
      <c r="CB265" s="1339"/>
      <c r="CC265" s="1339"/>
      <c r="CD265" s="1339"/>
      <c r="CE265" s="1339"/>
    </row>
    <row r="266" spans="1:83" ht="36.6" customHeight="1" x14ac:dyDescent="0.4">
      <c r="A266" s="249"/>
      <c r="B266" s="249"/>
      <c r="C266" s="584">
        <v>0.56944444444444398</v>
      </c>
      <c r="D266" s="845"/>
      <c r="E266" s="688"/>
      <c r="F266" s="845"/>
      <c r="G266" s="1377"/>
      <c r="H266" s="594"/>
      <c r="I266" s="742"/>
      <c r="J266" s="935"/>
      <c r="K266" s="2688"/>
      <c r="L266" s="936"/>
      <c r="M266" s="1382"/>
      <c r="N266" s="2834"/>
      <c r="O266" s="1383"/>
      <c r="P266" s="1379"/>
      <c r="Q266" s="2834" t="s">
        <v>361</v>
      </c>
      <c r="R266" s="1380"/>
      <c r="S266" s="664"/>
      <c r="T266" s="2834" t="s">
        <v>361</v>
      </c>
      <c r="U266" s="1384"/>
      <c r="V266" s="709"/>
      <c r="W266" s="2834" t="s">
        <v>361</v>
      </c>
      <c r="X266" s="684"/>
      <c r="Y266" s="1382"/>
      <c r="Z266" s="2834" t="s">
        <v>361</v>
      </c>
      <c r="AA266" s="1383"/>
      <c r="AB266" s="1384"/>
      <c r="AC266" s="2843" t="s">
        <v>361</v>
      </c>
      <c r="AD266" s="1384"/>
      <c r="AE266" s="1385"/>
      <c r="AF266" s="1385"/>
      <c r="AG266" s="1385"/>
      <c r="AH266" s="1386"/>
      <c r="AI266" s="1387"/>
      <c r="AJ266" s="1388"/>
      <c r="AK266" s="1272"/>
      <c r="AL266" s="1201" t="s">
        <v>415</v>
      </c>
      <c r="AM266" s="1272"/>
      <c r="AN266" s="1273"/>
      <c r="AO266" s="1204"/>
      <c r="AP266" s="1275"/>
      <c r="AQ266" s="1389"/>
      <c r="AR266" s="1390"/>
      <c r="AS266" s="1391"/>
      <c r="AT266" s="1392"/>
      <c r="AU266" s="1393"/>
      <c r="AV266" s="1394"/>
      <c r="AW266" s="1395"/>
      <c r="AX266" s="1395"/>
      <c r="AY266" s="1395"/>
      <c r="AZ266" s="1396"/>
      <c r="BA266" s="1397"/>
      <c r="BB266" s="1398"/>
      <c r="BC266" s="1399"/>
      <c r="BD266" s="1400"/>
      <c r="BE266" s="687"/>
      <c r="BF266" s="1401"/>
      <c r="BG266" s="1401"/>
      <c r="BH266" s="1401"/>
      <c r="BI266" s="1219"/>
      <c r="BJ266" s="1220"/>
      <c r="BK266" s="1402"/>
      <c r="BL266" s="1168"/>
      <c r="BM266" s="1403"/>
      <c r="BN266" s="1168"/>
      <c r="BO266" s="1404"/>
      <c r="BP266" s="1404"/>
      <c r="BQ266" s="1405"/>
      <c r="BR266" s="1404"/>
      <c r="BS266" s="1339"/>
      <c r="BT266" s="1371"/>
      <c r="BU266" s="1339"/>
      <c r="BV266" s="1406"/>
      <c r="BW266" s="1406"/>
      <c r="BX266" s="1407"/>
      <c r="BY266" s="1406"/>
      <c r="BZ266" s="1339"/>
      <c r="CA266" s="1371"/>
      <c r="CB266" s="1339"/>
      <c r="CC266" s="1339"/>
      <c r="CD266" s="1371"/>
      <c r="CE266" s="1339"/>
    </row>
    <row r="267" spans="1:83" ht="23.85" customHeight="1" x14ac:dyDescent="0.4">
      <c r="A267" s="249"/>
      <c r="B267" s="249"/>
      <c r="C267" s="584">
        <v>0.57291666666666596</v>
      </c>
      <c r="D267" s="1237"/>
      <c r="E267" s="609"/>
      <c r="F267" s="609"/>
      <c r="G267" s="1238"/>
      <c r="H267" s="612"/>
      <c r="I267" s="1239"/>
      <c r="J267" s="848"/>
      <c r="K267" s="2688"/>
      <c r="L267" s="705"/>
      <c r="M267" s="1382"/>
      <c r="N267" s="2834"/>
      <c r="O267" s="1383"/>
      <c r="P267" s="851"/>
      <c r="Q267" s="2834"/>
      <c r="R267" s="708"/>
      <c r="S267" s="664"/>
      <c r="T267" s="2834"/>
      <c r="U267" s="1384"/>
      <c r="V267" s="709"/>
      <c r="W267" s="2834"/>
      <c r="X267" s="684"/>
      <c r="Y267" s="1382"/>
      <c r="Z267" s="2834"/>
      <c r="AA267" s="1383"/>
      <c r="AB267" s="1384"/>
      <c r="AC267" s="2843"/>
      <c r="AD267" s="1384"/>
      <c r="AE267" s="1385"/>
      <c r="AF267" s="1385" t="s">
        <v>332</v>
      </c>
      <c r="AG267" s="1408"/>
      <c r="AH267" s="1159"/>
      <c r="AI267" s="1160" t="s">
        <v>331</v>
      </c>
      <c r="AJ267" s="1160"/>
      <c r="AK267" s="1283"/>
      <c r="AL267" s="1227" t="s">
        <v>416</v>
      </c>
      <c r="AM267" s="1285"/>
      <c r="AN267" s="1273"/>
      <c r="AO267" s="1228"/>
      <c r="AP267" s="1275"/>
      <c r="AQ267" s="1409"/>
      <c r="AR267" s="1410"/>
      <c r="AS267" s="778"/>
      <c r="AT267" s="1411"/>
      <c r="AU267" s="1412"/>
      <c r="AV267" s="1413"/>
      <c r="AW267" s="1278"/>
      <c r="AX267" s="1414"/>
      <c r="AY267" s="1278"/>
      <c r="AZ267" s="1280"/>
      <c r="BA267" s="1397"/>
      <c r="BB267" s="1280"/>
      <c r="BC267" s="1399"/>
      <c r="BD267" s="1400"/>
      <c r="BE267" s="687"/>
      <c r="BF267" s="1401"/>
      <c r="BG267" s="1401" t="s">
        <v>379</v>
      </c>
      <c r="BH267" s="1401"/>
      <c r="BI267" s="1219"/>
      <c r="BJ267" s="1415" t="s">
        <v>447</v>
      </c>
      <c r="BK267" s="1402"/>
      <c r="BL267" s="1168"/>
      <c r="BM267" s="1403" t="s">
        <v>350</v>
      </c>
      <c r="BN267" s="1168"/>
      <c r="BO267" s="1404"/>
      <c r="BP267" s="1404"/>
      <c r="BQ267" s="1405"/>
      <c r="BR267" s="1404"/>
      <c r="BS267" s="1339"/>
      <c r="BT267" s="1371"/>
      <c r="BU267" s="1339"/>
      <c r="BV267" s="1406"/>
      <c r="BW267" s="1406"/>
      <c r="BX267" s="1407"/>
      <c r="BY267" s="1406"/>
      <c r="BZ267" s="1339"/>
      <c r="CA267" s="1371"/>
      <c r="CB267" s="1339"/>
      <c r="CC267" s="1339"/>
      <c r="CD267" s="1371"/>
      <c r="CE267" s="1339"/>
    </row>
    <row r="268" spans="1:83" ht="40.35" customHeight="1" x14ac:dyDescent="0.4">
      <c r="A268" s="249"/>
      <c r="B268" s="249"/>
      <c r="C268" s="584" t="s">
        <v>307</v>
      </c>
      <c r="D268" s="845"/>
      <c r="E268" s="1416"/>
      <c r="F268" s="1417"/>
      <c r="G268" s="1377"/>
      <c r="H268" s="1418"/>
      <c r="I268" s="742"/>
      <c r="J268" s="848"/>
      <c r="K268" s="2688"/>
      <c r="L268" s="705"/>
      <c r="M268" s="1382"/>
      <c r="N268" s="2834"/>
      <c r="O268" s="1383"/>
      <c r="P268" s="851"/>
      <c r="Q268" s="2834"/>
      <c r="R268" s="708"/>
      <c r="S268" s="664"/>
      <c r="T268" s="2834"/>
      <c r="U268" s="1384"/>
      <c r="V268" s="709"/>
      <c r="W268" s="2834"/>
      <c r="X268" s="684"/>
      <c r="Y268" s="1382"/>
      <c r="Z268" s="2834"/>
      <c r="AA268" s="1383"/>
      <c r="AB268" s="1384"/>
      <c r="AC268" s="2843"/>
      <c r="AD268" s="1384"/>
      <c r="AE268" s="1385"/>
      <c r="AF268" s="1419" t="s">
        <v>418</v>
      </c>
      <c r="AG268" s="1385"/>
      <c r="AH268" s="1160"/>
      <c r="AI268" s="1164" t="s">
        <v>366</v>
      </c>
      <c r="AJ268" s="1160"/>
      <c r="AK268" s="1420"/>
      <c r="AL268" s="1241"/>
      <c r="AM268" s="1283"/>
      <c r="AN268" s="1421"/>
      <c r="AO268" s="1422"/>
      <c r="AP268" s="1275"/>
      <c r="AQ268" s="1391"/>
      <c r="AR268" s="1423"/>
      <c r="AS268" s="1391"/>
      <c r="AT268" s="1210"/>
      <c r="AU268" s="1244"/>
      <c r="AV268" s="1277"/>
      <c r="AW268" s="1278"/>
      <c r="AX268" s="1414"/>
      <c r="AY268" s="1278"/>
      <c r="AZ268" s="1280"/>
      <c r="BA268" s="1424" t="s">
        <v>419</v>
      </c>
      <c r="BB268" s="1280"/>
      <c r="BC268" s="1425"/>
      <c r="BD268" s="1400"/>
      <c r="BE268" s="784"/>
      <c r="BF268" s="1401"/>
      <c r="BG268" s="1426" t="s">
        <v>381</v>
      </c>
      <c r="BH268" s="1401"/>
      <c r="BI268" s="1292"/>
      <c r="BJ268" s="1427"/>
      <c r="BK268" s="1292"/>
      <c r="BL268" s="1168"/>
      <c r="BM268" s="1428"/>
      <c r="BN268" s="1168"/>
      <c r="BO268" s="1404"/>
      <c r="BP268" s="1404"/>
      <c r="BQ268" s="1405"/>
      <c r="BR268" s="1404"/>
      <c r="BS268" s="1339"/>
      <c r="BT268" s="1371"/>
      <c r="BU268" s="1339"/>
      <c r="BV268" s="1406"/>
      <c r="BW268" s="1406"/>
      <c r="BX268" s="1407"/>
      <c r="BY268" s="1406"/>
      <c r="BZ268" s="1339"/>
      <c r="CA268" s="1371"/>
      <c r="CB268" s="1339"/>
      <c r="CC268" s="1339"/>
      <c r="CD268" s="1371"/>
      <c r="CE268" s="1339"/>
    </row>
    <row r="269" spans="1:83" ht="45.6" customHeight="1" x14ac:dyDescent="0.4">
      <c r="A269" s="249"/>
      <c r="B269" s="249"/>
      <c r="C269" s="584" t="s">
        <v>307</v>
      </c>
      <c r="D269" s="845"/>
      <c r="E269" s="1416"/>
      <c r="F269" s="1417"/>
      <c r="G269" s="1377"/>
      <c r="H269" s="1418"/>
      <c r="I269" s="742"/>
      <c r="J269" s="848"/>
      <c r="K269" s="2688"/>
      <c r="L269" s="705"/>
      <c r="M269" s="1382"/>
      <c r="N269" s="2834"/>
      <c r="O269" s="1383"/>
      <c r="P269" s="851"/>
      <c r="Q269" s="2834"/>
      <c r="R269" s="708"/>
      <c r="S269" s="664"/>
      <c r="T269" s="2834"/>
      <c r="U269" s="1384"/>
      <c r="V269" s="709"/>
      <c r="W269" s="2834"/>
      <c r="X269" s="684"/>
      <c r="Y269" s="1382"/>
      <c r="Z269" s="2834"/>
      <c r="AA269" s="1383"/>
      <c r="AB269" s="1384"/>
      <c r="AC269" s="2843"/>
      <c r="AD269" s="1384"/>
      <c r="AE269" s="1157"/>
      <c r="AF269" s="1429"/>
      <c r="AG269" s="1157"/>
      <c r="AH269" s="1430"/>
      <c r="AI269" s="793" t="s">
        <v>336</v>
      </c>
      <c r="AJ269" s="1430"/>
      <c r="AK269" s="1420"/>
      <c r="AL269" s="1201"/>
      <c r="AM269" s="1283"/>
      <c r="AN269" s="1273"/>
      <c r="AO269" s="1274"/>
      <c r="AP269" s="1275"/>
      <c r="AQ269" s="778"/>
      <c r="AR269" s="1276"/>
      <c r="AS269" s="1207"/>
      <c r="AT269" s="1210"/>
      <c r="AU269" s="1244"/>
      <c r="AV269" s="1277"/>
      <c r="AW269" s="1278"/>
      <c r="AX269" s="1279"/>
      <c r="AY269" s="1278"/>
      <c r="AZ269" s="1280"/>
      <c r="BA269" s="1424" t="s">
        <v>421</v>
      </c>
      <c r="BB269" s="1280"/>
      <c r="BC269" s="1425"/>
      <c r="BD269" s="1400"/>
      <c r="BE269" s="784"/>
      <c r="BF269" s="1401"/>
      <c r="BG269" s="1426" t="s">
        <v>384</v>
      </c>
      <c r="BH269" s="1401"/>
      <c r="BI269" s="1292"/>
      <c r="BJ269" s="1220"/>
      <c r="BK269" s="1292"/>
      <c r="BL269" s="1294"/>
      <c r="BM269" s="1431"/>
      <c r="BN269" s="1168"/>
      <c r="BO269" s="1404"/>
      <c r="BP269" s="1404"/>
      <c r="BQ269" s="1432"/>
      <c r="BR269" s="1404"/>
      <c r="BS269" s="1339"/>
      <c r="BT269" s="1371"/>
      <c r="BU269" s="1339"/>
      <c r="BV269" s="1406"/>
      <c r="BW269" s="1406"/>
      <c r="BX269" s="1433"/>
      <c r="BY269" s="1406"/>
      <c r="BZ269" s="1339"/>
      <c r="CA269" s="1371"/>
      <c r="CB269" s="1339"/>
      <c r="CC269" s="1339"/>
      <c r="CD269" s="1371"/>
      <c r="CE269" s="1339"/>
    </row>
    <row r="270" spans="1:83" ht="45" customHeight="1" x14ac:dyDescent="0.4">
      <c r="A270" s="249"/>
      <c r="B270" s="249"/>
      <c r="C270" s="584" t="s">
        <v>307</v>
      </c>
      <c r="D270" s="845"/>
      <c r="E270" s="1416"/>
      <c r="F270" s="1417"/>
      <c r="G270" s="1377"/>
      <c r="H270" s="1418"/>
      <c r="I270" s="742"/>
      <c r="J270" s="848"/>
      <c r="K270" s="2688"/>
      <c r="L270" s="705"/>
      <c r="M270" s="1382"/>
      <c r="N270" s="2834"/>
      <c r="O270" s="1383"/>
      <c r="P270" s="851"/>
      <c r="Q270" s="2834"/>
      <c r="R270" s="708"/>
      <c r="S270" s="664"/>
      <c r="T270" s="2834"/>
      <c r="U270" s="1384"/>
      <c r="V270" s="709"/>
      <c r="W270" s="2834"/>
      <c r="X270" s="684"/>
      <c r="Y270" s="1382"/>
      <c r="Z270" s="2834"/>
      <c r="AA270" s="1383"/>
      <c r="AB270" s="1434"/>
      <c r="AC270" s="2843"/>
      <c r="AD270" s="1384"/>
      <c r="AE270" s="1385"/>
      <c r="AF270" s="1385"/>
      <c r="AG270" s="1435"/>
      <c r="AH270" s="1388"/>
      <c r="AI270" s="1436" t="s">
        <v>350</v>
      </c>
      <c r="AJ270" s="1388"/>
      <c r="AK270" s="1420"/>
      <c r="AL270" s="2553" t="s">
        <v>420</v>
      </c>
      <c r="AM270" s="1283"/>
      <c r="AN270" s="1273"/>
      <c r="AO270" s="1437"/>
      <c r="AP270" s="1438"/>
      <c r="AQ270" s="1134"/>
      <c r="AR270" s="1276"/>
      <c r="AS270" s="1207"/>
      <c r="AT270" s="1392"/>
      <c r="AU270" s="1412"/>
      <c r="AV270" s="1439"/>
      <c r="AW270" s="1440"/>
      <c r="AX270" s="1441"/>
      <c r="AY270" s="1278"/>
      <c r="AZ270" s="1442"/>
      <c r="BA270" s="1424" t="s">
        <v>422</v>
      </c>
      <c r="BB270" s="1442"/>
      <c r="BC270" s="1399"/>
      <c r="BD270" s="975" t="s">
        <v>423</v>
      </c>
      <c r="BE270" s="869"/>
      <c r="BF270" s="1401"/>
      <c r="BG270" s="1401"/>
      <c r="BH270" s="1401"/>
      <c r="BI270" s="1292"/>
      <c r="BJ270" s="1236"/>
      <c r="BK270" s="1292"/>
      <c r="BL270" s="1443"/>
      <c r="BM270" s="2876"/>
      <c r="BN270" s="1444"/>
      <c r="BO270" s="1404"/>
      <c r="BP270" s="1404"/>
      <c r="BQ270" s="1445"/>
      <c r="BR270" s="1404"/>
      <c r="BS270" s="1339"/>
      <c r="BT270" s="1446"/>
      <c r="BU270" s="1339"/>
      <c r="BV270" s="1406"/>
      <c r="BW270" s="1406"/>
      <c r="BX270" s="1447"/>
      <c r="BY270" s="1406"/>
      <c r="BZ270" s="1339"/>
      <c r="CA270" s="1446"/>
      <c r="CB270" s="1339"/>
      <c r="CC270" s="1339"/>
      <c r="CD270" s="1446"/>
      <c r="CE270" s="1339"/>
    </row>
    <row r="271" spans="1:83" ht="21" customHeight="1" x14ac:dyDescent="0.4">
      <c r="A271" s="249"/>
      <c r="B271" s="249"/>
      <c r="C271" s="584" t="s">
        <v>307</v>
      </c>
      <c r="D271" s="845"/>
      <c r="E271" s="1416"/>
      <c r="F271" s="1417"/>
      <c r="G271" s="1377"/>
      <c r="H271" s="1418"/>
      <c r="I271" s="742"/>
      <c r="J271" s="848"/>
      <c r="K271" s="2688"/>
      <c r="L271" s="705"/>
      <c r="M271" s="1382"/>
      <c r="N271" s="2834"/>
      <c r="O271" s="1383"/>
      <c r="P271" s="851"/>
      <c r="Q271" s="2834"/>
      <c r="R271" s="708"/>
      <c r="S271" s="664"/>
      <c r="T271" s="2834"/>
      <c r="U271" s="1384"/>
      <c r="V271" s="709"/>
      <c r="W271" s="2834"/>
      <c r="X271" s="684"/>
      <c r="Y271" s="1382"/>
      <c r="Z271" s="2834"/>
      <c r="AA271" s="1383"/>
      <c r="AB271" s="1434"/>
      <c r="AC271" s="2843"/>
      <c r="AD271" s="1384"/>
      <c r="AE271" s="1435"/>
      <c r="AF271" s="1448"/>
      <c r="AG271" s="1435"/>
      <c r="AH271" s="1388"/>
      <c r="AI271" s="1388"/>
      <c r="AJ271" s="1388"/>
      <c r="AK271" s="1420"/>
      <c r="AL271" s="1449"/>
      <c r="AM271" s="1283"/>
      <c r="AN271" s="1273"/>
      <c r="AO271" s="1450"/>
      <c r="AP271" s="1438"/>
      <c r="AQ271" s="1391"/>
      <c r="AR271" s="1451"/>
      <c r="AS271" s="1391"/>
      <c r="AT271" s="1452"/>
      <c r="AU271" s="1453"/>
      <c r="AV271" s="1454"/>
      <c r="AW271" s="1440"/>
      <c r="AX271" s="1455"/>
      <c r="AY271" s="1278"/>
      <c r="AZ271" s="1442"/>
      <c r="BA271" s="1456"/>
      <c r="BB271" s="1442"/>
      <c r="BC271" s="916"/>
      <c r="BD271" s="1457"/>
      <c r="BE271" s="916"/>
      <c r="BF271" s="1401"/>
      <c r="BG271" s="1401"/>
      <c r="BH271" s="1401"/>
      <c r="BI271" s="1292"/>
      <c r="BJ271" s="1458"/>
      <c r="BK271" s="1292"/>
      <c r="BL271" s="1443"/>
      <c r="BM271" s="2876"/>
      <c r="BN271" s="1444"/>
      <c r="BO271" s="1404"/>
      <c r="BP271" s="1404"/>
      <c r="BQ271" s="1445"/>
      <c r="BR271" s="1404"/>
      <c r="BS271" s="1339"/>
      <c r="BT271" s="1446"/>
      <c r="BU271" s="1339"/>
      <c r="BV271" s="1406"/>
      <c r="BW271" s="1406"/>
      <c r="BX271" s="1447"/>
      <c r="BY271" s="1406"/>
      <c r="BZ271" s="1339"/>
      <c r="CA271" s="1446"/>
      <c r="CB271" s="1339"/>
      <c r="CC271" s="1339"/>
      <c r="CD271" s="1446"/>
      <c r="CE271" s="1339"/>
    </row>
    <row r="272" spans="1:83" ht="21" customHeight="1" x14ac:dyDescent="0.4">
      <c r="A272" s="249"/>
      <c r="B272" s="249"/>
      <c r="C272" s="584" t="s">
        <v>307</v>
      </c>
      <c r="D272" s="845"/>
      <c r="E272" s="1416"/>
      <c r="F272" s="1417"/>
      <c r="G272" s="1377"/>
      <c r="H272" s="1418"/>
      <c r="I272" s="742"/>
      <c r="J272" s="848"/>
      <c r="K272" s="2688"/>
      <c r="L272" s="705"/>
      <c r="M272" s="685"/>
      <c r="N272" s="2834"/>
      <c r="O272" s="1383"/>
      <c r="P272" s="851"/>
      <c r="Q272" s="2834"/>
      <c r="R272" s="708"/>
      <c r="S272" s="664"/>
      <c r="T272" s="2834"/>
      <c r="U272" s="1399"/>
      <c r="V272" s="709"/>
      <c r="W272" s="2834"/>
      <c r="X272" s="684"/>
      <c r="Y272" s="685"/>
      <c r="Z272" s="2834"/>
      <c r="AA272" s="1383"/>
      <c r="AB272" s="1399"/>
      <c r="AC272" s="2843"/>
      <c r="AD272" s="1399"/>
      <c r="AE272" s="1435"/>
      <c r="AF272" s="1448"/>
      <c r="AG272" s="1435"/>
      <c r="AH272" s="1388"/>
      <c r="AI272" s="1388"/>
      <c r="AJ272" s="1388"/>
      <c r="AK272" s="1420"/>
      <c r="AL272" s="1449"/>
      <c r="AM272" s="1283"/>
      <c r="AN272" s="1273"/>
      <c r="AO272" s="1450"/>
      <c r="AP272" s="1438"/>
      <c r="AQ272" s="1391"/>
      <c r="AR272" s="1451"/>
      <c r="AS272" s="1391"/>
      <c r="AT272" s="1392"/>
      <c r="AU272" s="1392"/>
      <c r="AV272" s="1460"/>
      <c r="AW272" s="1461"/>
      <c r="AX272" s="1455"/>
      <c r="AY272" s="1395"/>
      <c r="AZ272" s="1442"/>
      <c r="BA272" s="1456"/>
      <c r="BB272" s="1442"/>
      <c r="BC272" s="1399"/>
      <c r="BD272" s="1462"/>
      <c r="BE272" s="869"/>
      <c r="BF272" s="1401"/>
      <c r="BG272" s="1401"/>
      <c r="BH272" s="1401"/>
      <c r="BI272" s="1292"/>
      <c r="BJ272" s="1458"/>
      <c r="BK272" s="1292"/>
      <c r="BL272" s="1463"/>
      <c r="BM272" s="1464"/>
      <c r="BN272" s="1463"/>
      <c r="BO272" s="1404"/>
      <c r="BP272" s="1404"/>
      <c r="BQ272" s="1445"/>
      <c r="BR272" s="1404"/>
      <c r="BS272" s="1339"/>
      <c r="BT272" s="1446"/>
      <c r="BU272" s="1339"/>
      <c r="BV272" s="1406"/>
      <c r="BW272" s="1406"/>
      <c r="BX272" s="1447"/>
      <c r="BY272" s="1406"/>
      <c r="BZ272" s="1339"/>
      <c r="CA272" s="1446"/>
      <c r="CB272" s="1339"/>
      <c r="CC272" s="1339"/>
      <c r="CD272" s="1446"/>
      <c r="CE272" s="1339"/>
    </row>
    <row r="273" spans="1:83" ht="13.5" customHeight="1" x14ac:dyDescent="0.4">
      <c r="A273" s="249"/>
      <c r="B273" s="249"/>
      <c r="C273" s="584" t="s">
        <v>307</v>
      </c>
      <c r="D273" s="845"/>
      <c r="E273" s="1416"/>
      <c r="F273" s="1417"/>
      <c r="G273" s="1377"/>
      <c r="H273" s="1418"/>
      <c r="I273" s="742"/>
      <c r="J273" s="848"/>
      <c r="K273" s="2805" t="s">
        <v>368</v>
      </c>
      <c r="L273" s="705"/>
      <c r="M273" s="685"/>
      <c r="N273" s="2834"/>
      <c r="O273" s="1383"/>
      <c r="P273" s="851"/>
      <c r="Q273" s="2834"/>
      <c r="R273" s="708"/>
      <c r="S273" s="664"/>
      <c r="T273" s="2834"/>
      <c r="U273" s="1399"/>
      <c r="V273" s="709"/>
      <c r="W273" s="2834"/>
      <c r="X273" s="684"/>
      <c r="Y273" s="685"/>
      <c r="Z273" s="2834"/>
      <c r="AA273" s="1383"/>
      <c r="AB273" s="1465"/>
      <c r="AC273" s="2843"/>
      <c r="AD273" s="1399"/>
      <c r="AE273" s="1466"/>
      <c r="AF273" s="1467"/>
      <c r="AG273" s="1385"/>
      <c r="AH273" s="1388"/>
      <c r="AI273" s="1468"/>
      <c r="AJ273" s="1388"/>
      <c r="AK273" s="1420"/>
      <c r="AL273" s="1449"/>
      <c r="AM273" s="1469"/>
      <c r="AN273" s="1470"/>
      <c r="AO273" s="1471"/>
      <c r="AP273" s="1273"/>
      <c r="AQ273" s="1391"/>
      <c r="AR273" s="1472"/>
      <c r="AS273" s="1391"/>
      <c r="AT273" s="1392"/>
      <c r="AU273" s="1473"/>
      <c r="AV273" s="1394"/>
      <c r="AW273" s="1461"/>
      <c r="AX273" s="1474"/>
      <c r="AY273" s="1395"/>
      <c r="AZ273" s="1442"/>
      <c r="BA273" s="1475"/>
      <c r="BB273" s="1442"/>
      <c r="BC273" s="916"/>
      <c r="BD273" s="869"/>
      <c r="BE273" s="916"/>
      <c r="BF273" s="1401"/>
      <c r="BG273" s="1426"/>
      <c r="BH273" s="1401"/>
      <c r="BI273" s="1292"/>
      <c r="BJ273" s="1458"/>
      <c r="BK273" s="1292"/>
      <c r="BL273" s="1463"/>
      <c r="BM273" s="1476"/>
      <c r="BN273" s="1463"/>
      <c r="BO273" s="1404"/>
      <c r="BP273" s="1432"/>
      <c r="BQ273" s="1405"/>
      <c r="BR273" s="1404"/>
      <c r="BS273" s="1371"/>
      <c r="BT273" s="1371"/>
      <c r="BU273" s="1339"/>
      <c r="BV273" s="1406"/>
      <c r="BW273" s="1433"/>
      <c r="BX273" s="1407"/>
      <c r="BY273" s="1406"/>
      <c r="BZ273" s="1371"/>
      <c r="CA273" s="1371"/>
      <c r="CB273" s="1339"/>
      <c r="CC273" s="1371"/>
      <c r="CD273" s="1371"/>
      <c r="CE273" s="1339"/>
    </row>
    <row r="274" spans="1:83" ht="13.5" customHeight="1" x14ac:dyDescent="0.4">
      <c r="A274" s="249"/>
      <c r="B274" s="249"/>
      <c r="C274" s="584">
        <v>0.57638888888888795</v>
      </c>
      <c r="D274" s="845"/>
      <c r="E274" s="1416"/>
      <c r="F274" s="1417"/>
      <c r="G274" s="1377"/>
      <c r="H274" s="1418"/>
      <c r="I274" s="742"/>
      <c r="J274" s="848"/>
      <c r="K274" s="2688"/>
      <c r="L274" s="705"/>
      <c r="M274" s="685"/>
      <c r="N274" s="2834"/>
      <c r="O274" s="1383"/>
      <c r="P274" s="851"/>
      <c r="Q274" s="2834"/>
      <c r="R274" s="708"/>
      <c r="S274" s="664"/>
      <c r="T274" s="2834"/>
      <c r="U274" s="1399"/>
      <c r="V274" s="709"/>
      <c r="W274" s="2834"/>
      <c r="X274" s="684"/>
      <c r="Y274" s="685"/>
      <c r="Z274" s="2834"/>
      <c r="AA274" s="1383"/>
      <c r="AB274" s="1465"/>
      <c r="AC274" s="2843"/>
      <c r="AD274" s="1399"/>
      <c r="AE274" s="1466"/>
      <c r="AF274" s="1467"/>
      <c r="AG274" s="1385"/>
      <c r="AH274" s="1388"/>
      <c r="AI274" s="1468"/>
      <c r="AJ274" s="1388"/>
      <c r="AK274" s="1420"/>
      <c r="AL274" s="1477"/>
      <c r="AM274" s="1469"/>
      <c r="AN274" s="1470"/>
      <c r="AO274" s="1471"/>
      <c r="AP274" s="1273"/>
      <c r="AQ274" s="1391"/>
      <c r="AR274" s="1472"/>
      <c r="AS274" s="1391"/>
      <c r="AT274" s="1392"/>
      <c r="AU274" s="2844"/>
      <c r="AV274" s="1394"/>
      <c r="AW274" s="1461"/>
      <c r="AX274" s="2845"/>
      <c r="AY274" s="1395"/>
      <c r="AZ274" s="1442"/>
      <c r="BA274" s="1475"/>
      <c r="BB274" s="1442"/>
      <c r="BC274" s="916"/>
      <c r="BD274" s="1291"/>
      <c r="BE274" s="916"/>
      <c r="BF274" s="1401"/>
      <c r="BG274" s="1426"/>
      <c r="BH274" s="1401"/>
      <c r="BI274" s="1292"/>
      <c r="BJ274" s="1293"/>
      <c r="BK274" s="1292"/>
      <c r="BL274" s="1463"/>
      <c r="BM274" s="1476"/>
      <c r="BN274" s="1463"/>
      <c r="BO274" s="1404"/>
      <c r="BP274" s="1432"/>
      <c r="BQ274" s="1405"/>
      <c r="BR274" s="1404"/>
      <c r="BS274" s="1371"/>
      <c r="BT274" s="1371"/>
      <c r="BU274" s="1339"/>
      <c r="BV274" s="1406"/>
      <c r="BW274" s="1433"/>
      <c r="BX274" s="1407"/>
      <c r="BY274" s="1406"/>
      <c r="BZ274" s="1371"/>
      <c r="CA274" s="1371"/>
      <c r="CB274" s="1339"/>
      <c r="CC274" s="1371"/>
      <c r="CD274" s="1371"/>
      <c r="CE274" s="1339"/>
    </row>
    <row r="275" spans="1:83" ht="29.25" customHeight="1" x14ac:dyDescent="0.4">
      <c r="A275" s="249"/>
      <c r="B275" s="249"/>
      <c r="C275" s="584" t="s">
        <v>307</v>
      </c>
      <c r="D275" s="845"/>
      <c r="E275" s="1416"/>
      <c r="F275" s="1417"/>
      <c r="G275" s="1377"/>
      <c r="H275" s="1418"/>
      <c r="I275" s="742"/>
      <c r="J275" s="848"/>
      <c r="K275" s="2688"/>
      <c r="L275" s="705"/>
      <c r="M275" s="685"/>
      <c r="N275" s="2834"/>
      <c r="O275" s="1383"/>
      <c r="P275" s="851"/>
      <c r="Q275" s="2834"/>
      <c r="R275" s="708"/>
      <c r="S275" s="687"/>
      <c r="T275" s="2834"/>
      <c r="U275" s="1399"/>
      <c r="V275" s="709"/>
      <c r="W275" s="2834"/>
      <c r="X275" s="684"/>
      <c r="Y275" s="685"/>
      <c r="Z275" s="2834"/>
      <c r="AA275" s="1383"/>
      <c r="AB275" s="1465"/>
      <c r="AC275" s="2843"/>
      <c r="AD275" s="1399"/>
      <c r="AE275" s="1466"/>
      <c r="AF275" s="1478"/>
      <c r="AG275" s="1385"/>
      <c r="AH275" s="1388"/>
      <c r="AI275" s="1468"/>
      <c r="AJ275" s="1388"/>
      <c r="AK275" s="1285"/>
      <c r="AL275" s="1479"/>
      <c r="AM275" s="1469"/>
      <c r="AN275" s="1421"/>
      <c r="AO275" s="1480"/>
      <c r="AP275" s="1273"/>
      <c r="AQ275" s="1391"/>
      <c r="AR275" s="1472"/>
      <c r="AS275" s="1391"/>
      <c r="AT275" s="1392"/>
      <c r="AU275" s="2844"/>
      <c r="AV275" s="1394"/>
      <c r="AW275" s="1461"/>
      <c r="AX275" s="2845"/>
      <c r="AY275" s="1395"/>
      <c r="AZ275" s="1442"/>
      <c r="BA275" s="1475"/>
      <c r="BB275" s="1442"/>
      <c r="BC275" s="916"/>
      <c r="BD275" s="1291"/>
      <c r="BE275" s="916"/>
      <c r="BF275" s="1401"/>
      <c r="BG275" s="1401"/>
      <c r="BH275" s="1401"/>
      <c r="BI275" s="1292"/>
      <c r="BJ275" s="1293"/>
      <c r="BK275" s="1292"/>
      <c r="BL275" s="1463"/>
      <c r="BM275" s="1476"/>
      <c r="BN275" s="1463"/>
      <c r="BO275" s="1404"/>
      <c r="BP275" s="1432"/>
      <c r="BQ275" s="1405"/>
      <c r="BR275" s="1404"/>
      <c r="BS275" s="1371"/>
      <c r="BT275" s="1371"/>
      <c r="BU275" s="1339"/>
      <c r="BV275" s="1406"/>
      <c r="BW275" s="1433"/>
      <c r="BX275" s="1407"/>
      <c r="BY275" s="1406"/>
      <c r="BZ275" s="1371"/>
      <c r="CA275" s="1371"/>
      <c r="CB275" s="1339"/>
      <c r="CC275" s="1371"/>
      <c r="CD275" s="1371"/>
      <c r="CE275" s="1339"/>
    </row>
    <row r="276" spans="1:83" ht="37.35" customHeight="1" x14ac:dyDescent="0.4">
      <c r="A276" s="249"/>
      <c r="B276" s="249"/>
      <c r="C276" s="802">
        <v>0.57986111111111005</v>
      </c>
      <c r="D276" s="804"/>
      <c r="E276" s="1481"/>
      <c r="F276" s="1482"/>
      <c r="G276" s="1483"/>
      <c r="H276" s="1484"/>
      <c r="I276" s="873"/>
      <c r="J276" s="1485"/>
      <c r="K276" s="2688"/>
      <c r="L276" s="875"/>
      <c r="M276" s="1488"/>
      <c r="N276" s="2834"/>
      <c r="O276" s="1489"/>
      <c r="P276" s="1486"/>
      <c r="Q276" s="2834"/>
      <c r="R276" s="878"/>
      <c r="S276" s="1932"/>
      <c r="T276" s="2834"/>
      <c r="U276" s="1490"/>
      <c r="V276" s="814"/>
      <c r="W276" s="2834"/>
      <c r="X276" s="814"/>
      <c r="Y276" s="1488"/>
      <c r="Z276" s="2834"/>
      <c r="AA276" s="1489"/>
      <c r="AB276" s="1490"/>
      <c r="AC276" s="2843"/>
      <c r="AD276" s="1491"/>
      <c r="AE276" s="1492"/>
      <c r="AF276" s="1448"/>
      <c r="AG276" s="1493"/>
      <c r="AH276" s="1494"/>
      <c r="AI276" s="1495"/>
      <c r="AJ276" s="1494"/>
      <c r="AK276" s="1496"/>
      <c r="AL276" s="1497"/>
      <c r="AM276" s="1496"/>
      <c r="AN276" s="1498"/>
      <c r="AO276" s="1499"/>
      <c r="AP276" s="1500"/>
      <c r="AQ276" s="1501"/>
      <c r="AR276" s="1502"/>
      <c r="AS276" s="1501"/>
      <c r="AT276" s="1503"/>
      <c r="AU276" s="1504"/>
      <c r="AV276" s="1505"/>
      <c r="AW276" s="1506"/>
      <c r="AX276" s="1507"/>
      <c r="AY276" s="943"/>
      <c r="AZ276" s="1508"/>
      <c r="BA276" s="1509"/>
      <c r="BB276" s="1508"/>
      <c r="BC276" s="1510"/>
      <c r="BD276" s="1511"/>
      <c r="BE276" s="1510"/>
      <c r="BF276" s="1512"/>
      <c r="BG276" s="1401"/>
      <c r="BH276" s="1512"/>
      <c r="BI276" s="1513"/>
      <c r="BJ276" s="1514"/>
      <c r="BK276" s="1513"/>
      <c r="BL276" s="1515"/>
      <c r="BM276" s="1516"/>
      <c r="BN276" s="1515"/>
      <c r="BO276" s="1517"/>
      <c r="BP276" s="1517"/>
      <c r="BQ276" s="1518"/>
      <c r="BR276" s="1517"/>
      <c r="BS276" s="583"/>
      <c r="BT276" s="645" t="s">
        <v>424</v>
      </c>
      <c r="BU276" s="645"/>
      <c r="BV276" s="1517"/>
      <c r="BW276" s="1517"/>
      <c r="BX276" s="1518"/>
      <c r="BY276" s="1517"/>
      <c r="BZ276" s="583"/>
      <c r="CA276" s="645" t="s">
        <v>424</v>
      </c>
      <c r="CB276" s="647"/>
      <c r="CC276" s="583"/>
      <c r="CD276" s="645" t="s">
        <v>424</v>
      </c>
      <c r="CE276" s="647"/>
    </row>
    <row r="277" spans="1:83" ht="21" customHeight="1" x14ac:dyDescent="0.4">
      <c r="A277" s="249"/>
      <c r="B277" s="249"/>
      <c r="C277" s="578">
        <v>0.58333333333333304</v>
      </c>
      <c r="D277" s="609"/>
      <c r="E277" s="1519"/>
      <c r="F277" s="1520"/>
      <c r="G277" s="1521"/>
      <c r="H277" s="1522"/>
      <c r="I277" s="616"/>
      <c r="J277" s="1523"/>
      <c r="K277" s="2688"/>
      <c r="L277" s="705"/>
      <c r="M277" s="1526"/>
      <c r="N277" s="2834"/>
      <c r="O277" s="1383"/>
      <c r="P277" s="1524"/>
      <c r="Q277" s="2834"/>
      <c r="R277" s="708"/>
      <c r="S277" s="664"/>
      <c r="T277" s="2834"/>
      <c r="U277" s="1527"/>
      <c r="V277" s="709"/>
      <c r="W277" s="2834"/>
      <c r="X277" s="684"/>
      <c r="Y277" s="1526"/>
      <c r="Z277" s="2834"/>
      <c r="AA277" s="1383"/>
      <c r="AB277" s="1527"/>
      <c r="AC277" s="2843"/>
      <c r="AD277" s="1527"/>
      <c r="AE277" s="1136"/>
      <c r="AF277" s="2846" t="s">
        <v>407</v>
      </c>
      <c r="AG277" s="1528"/>
      <c r="AH277" s="1159"/>
      <c r="AI277" s="1139" t="s">
        <v>356</v>
      </c>
      <c r="AJ277" s="1160"/>
      <c r="AK277" s="1529"/>
      <c r="AL277" s="1530" t="s">
        <v>331</v>
      </c>
      <c r="AM277" s="1531"/>
      <c r="AN277" s="1273"/>
      <c r="AO277" s="1532"/>
      <c r="AP277" s="1533"/>
      <c r="AQ277" s="778"/>
      <c r="AR277" s="2848" t="s">
        <v>361</v>
      </c>
      <c r="AS277" s="1534"/>
      <c r="AT277" s="1535"/>
      <c r="AU277" s="1536" t="s">
        <v>425</v>
      </c>
      <c r="AV277" s="1537"/>
      <c r="AW277" s="1538"/>
      <c r="AX277" s="2848" t="s">
        <v>407</v>
      </c>
      <c r="AY277" s="1395"/>
      <c r="AZ277" s="1539"/>
      <c r="BA277" s="1540" t="s">
        <v>350</v>
      </c>
      <c r="BB277" s="1280"/>
      <c r="BC277" s="1541"/>
      <c r="BD277" s="1216" t="s">
        <v>379</v>
      </c>
      <c r="BE277" s="687"/>
      <c r="BF277" s="1401"/>
      <c r="BG277" s="2852" t="s">
        <v>427</v>
      </c>
      <c r="BH277" s="1401"/>
      <c r="BI277" s="1542"/>
      <c r="BJ277" s="2864" t="s">
        <v>407</v>
      </c>
      <c r="BK277" s="1543"/>
      <c r="BL277" s="1294"/>
      <c r="BM277" s="1186" t="s">
        <v>447</v>
      </c>
      <c r="BN277" s="1168"/>
      <c r="BO277" s="1107"/>
      <c r="BP277" s="1161"/>
      <c r="BQ277" s="1161"/>
      <c r="BR277" s="1107"/>
      <c r="BS277" s="1544"/>
      <c r="BT277" s="1544"/>
      <c r="BU277" s="1544"/>
      <c r="BV277" s="1107"/>
      <c r="BW277" s="1161"/>
      <c r="BX277" s="1161"/>
      <c r="BY277" s="1107"/>
      <c r="BZ277" s="1107"/>
      <c r="CA277" s="1107"/>
      <c r="CB277" s="1107"/>
      <c r="CC277" s="1545"/>
      <c r="CD277" s="1546" t="s">
        <v>428</v>
      </c>
      <c r="CE277" s="1547"/>
    </row>
    <row r="278" spans="1:83" ht="19.350000000000001" customHeight="1" x14ac:dyDescent="0.4">
      <c r="A278" s="249"/>
      <c r="B278" s="249"/>
      <c r="C278" s="584" t="s">
        <v>307</v>
      </c>
      <c r="D278" s="587"/>
      <c r="E278" s="1416"/>
      <c r="F278" s="1417"/>
      <c r="G278" s="1377"/>
      <c r="H278" s="1418"/>
      <c r="I278" s="742"/>
      <c r="J278" s="848"/>
      <c r="K278" s="2688"/>
      <c r="L278" s="705"/>
      <c r="M278" s="1526"/>
      <c r="N278" s="2834"/>
      <c r="O278" s="1383"/>
      <c r="P278" s="851"/>
      <c r="Q278" s="2834"/>
      <c r="R278" s="708"/>
      <c r="S278" s="664"/>
      <c r="T278" s="2834"/>
      <c r="U278" s="1527"/>
      <c r="V278" s="709"/>
      <c r="W278" s="2834"/>
      <c r="X278" s="684"/>
      <c r="Y278" s="1526"/>
      <c r="Z278" s="2834"/>
      <c r="AA278" s="1383"/>
      <c r="AB278" s="1548"/>
      <c r="AC278" s="2843"/>
      <c r="AD278" s="1527"/>
      <c r="AE278" s="1385"/>
      <c r="AF278" s="2846"/>
      <c r="AG278" s="1385"/>
      <c r="AH278" s="1160"/>
      <c r="AI278" s="1160" t="s">
        <v>334</v>
      </c>
      <c r="AJ278" s="1160"/>
      <c r="AK278" s="2855"/>
      <c r="AL278" s="1530" t="s">
        <v>366</v>
      </c>
      <c r="AM278" s="1283"/>
      <c r="AN278" s="1273"/>
      <c r="AO278" s="1549"/>
      <c r="AP278" s="1273"/>
      <c r="AQ278" s="1134"/>
      <c r="AR278" s="2846"/>
      <c r="AS278" s="1550"/>
      <c r="AT278" s="1551"/>
      <c r="AU278" s="1552"/>
      <c r="AV278" s="1210"/>
      <c r="AW278" s="1538"/>
      <c r="AX278" s="2846"/>
      <c r="AY278" s="1395"/>
      <c r="AZ278" s="1553"/>
      <c r="BA278" s="1554"/>
      <c r="BB278" s="1280"/>
      <c r="BC278" s="869"/>
      <c r="BD278" s="1555" t="s">
        <v>381</v>
      </c>
      <c r="BE278" s="687"/>
      <c r="BF278" s="1401"/>
      <c r="BG278" s="2853"/>
      <c r="BH278" s="1401"/>
      <c r="BI278" s="1556"/>
      <c r="BJ278" s="2865"/>
      <c r="BK278" s="1557"/>
      <c r="BL278" s="1168"/>
      <c r="BM278" s="1431"/>
      <c r="BN278" s="1168"/>
      <c r="BO278" s="1107"/>
      <c r="BP278" s="1161"/>
      <c r="BQ278" s="1161"/>
      <c r="BR278" s="1107"/>
      <c r="BS278" s="605"/>
      <c r="BT278" s="605"/>
      <c r="BU278" s="607"/>
      <c r="BV278" s="1107"/>
      <c r="BW278" s="1161"/>
      <c r="BX278" s="1161"/>
      <c r="BY278" s="1107"/>
      <c r="BZ278" s="605"/>
      <c r="CA278" s="605"/>
      <c r="CB278" s="607"/>
      <c r="CC278" s="605"/>
      <c r="CD278" s="605"/>
      <c r="CE278" s="607"/>
    </row>
    <row r="279" spans="1:83" ht="25.35" customHeight="1" x14ac:dyDescent="0.4">
      <c r="A279" s="249"/>
      <c r="B279" s="249"/>
      <c r="C279" s="584" t="s">
        <v>307</v>
      </c>
      <c r="D279" s="587"/>
      <c r="E279" s="1416"/>
      <c r="F279" s="1417"/>
      <c r="G279" s="1377"/>
      <c r="H279" s="1418"/>
      <c r="I279" s="742"/>
      <c r="J279" s="848"/>
      <c r="K279" s="2688"/>
      <c r="L279" s="705"/>
      <c r="M279" s="1526"/>
      <c r="N279" s="2834"/>
      <c r="O279" s="1383"/>
      <c r="P279" s="851"/>
      <c r="Q279" s="2834"/>
      <c r="R279" s="708"/>
      <c r="S279" s="664"/>
      <c r="T279" s="2834"/>
      <c r="U279" s="1527"/>
      <c r="V279" s="709"/>
      <c r="W279" s="2834"/>
      <c r="X279" s="684"/>
      <c r="Y279" s="1526"/>
      <c r="Z279" s="2834"/>
      <c r="AA279" s="1383"/>
      <c r="AB279" s="1548"/>
      <c r="AC279" s="2843"/>
      <c r="AD279" s="1527"/>
      <c r="AE279" s="1408"/>
      <c r="AF279" s="2846"/>
      <c r="AG279" s="1408"/>
      <c r="AH279" s="1159"/>
      <c r="AI279" s="1159" t="s">
        <v>353</v>
      </c>
      <c r="AJ279" s="1159"/>
      <c r="AK279" s="2855"/>
      <c r="AL279" s="1558"/>
      <c r="AM279" s="1283"/>
      <c r="AN279" s="1273"/>
      <c r="AO279" s="1549"/>
      <c r="AP279" s="1273"/>
      <c r="AQ279" s="1134"/>
      <c r="AR279" s="2846"/>
      <c r="AS279" s="1550"/>
      <c r="AT279" s="1559"/>
      <c r="AU279" s="1560"/>
      <c r="AV279" s="1411"/>
      <c r="AW279" s="1395"/>
      <c r="AX279" s="2846"/>
      <c r="AY279" s="1395"/>
      <c r="AZ279" s="1280"/>
      <c r="BA279" s="1554"/>
      <c r="BB279" s="1280"/>
      <c r="BC279" s="664"/>
      <c r="BD279" s="975" t="s">
        <v>384</v>
      </c>
      <c r="BE279" s="664"/>
      <c r="BF279" s="1401"/>
      <c r="BG279" s="2853"/>
      <c r="BH279" s="1401"/>
      <c r="BI279" s="1556"/>
      <c r="BJ279" s="2865"/>
      <c r="BK279" s="1543"/>
      <c r="BL279" s="1561"/>
      <c r="BM279" s="1562"/>
      <c r="BN279" s="1168"/>
      <c r="BO279" s="1107"/>
      <c r="BP279" s="1161"/>
      <c r="BQ279" s="1161"/>
      <c r="BR279" s="1107"/>
      <c r="BS279" s="605"/>
      <c r="BT279" s="605"/>
      <c r="BU279" s="607"/>
      <c r="BV279" s="1107"/>
      <c r="BW279" s="1161"/>
      <c r="BX279" s="1161"/>
      <c r="BY279" s="1107"/>
      <c r="BZ279" s="605"/>
      <c r="CA279" s="605"/>
      <c r="CB279" s="607"/>
      <c r="CC279" s="605"/>
      <c r="CD279" s="605"/>
      <c r="CE279" s="607"/>
    </row>
    <row r="280" spans="1:83" ht="21" customHeight="1" x14ac:dyDescent="0.4">
      <c r="A280" s="249"/>
      <c r="B280" s="249"/>
      <c r="C280" s="584" t="s">
        <v>307</v>
      </c>
      <c r="D280" s="587"/>
      <c r="E280" s="1416"/>
      <c r="F280" s="1417"/>
      <c r="G280" s="1377"/>
      <c r="H280" s="1418"/>
      <c r="I280" s="742"/>
      <c r="J280" s="848"/>
      <c r="K280" s="2688"/>
      <c r="L280" s="705"/>
      <c r="M280" s="1526"/>
      <c r="N280" s="2834"/>
      <c r="O280" s="1383"/>
      <c r="P280" s="851"/>
      <c r="Q280" s="2834"/>
      <c r="R280" s="708"/>
      <c r="S280" s="664"/>
      <c r="T280" s="2834"/>
      <c r="U280" s="1527"/>
      <c r="V280" s="709"/>
      <c r="W280" s="2834"/>
      <c r="X280" s="684"/>
      <c r="Y280" s="1526"/>
      <c r="Z280" s="2834"/>
      <c r="AA280" s="1383"/>
      <c r="AB280" s="1548"/>
      <c r="AC280" s="2843"/>
      <c r="AD280" s="1527"/>
      <c r="AE280" s="1408"/>
      <c r="AF280" s="2846"/>
      <c r="AG280" s="1408"/>
      <c r="AH280" s="1159"/>
      <c r="AI280" s="1160"/>
      <c r="AJ280" s="1256"/>
      <c r="AK280" s="2855"/>
      <c r="AL280" s="1563"/>
      <c r="AM280" s="1469"/>
      <c r="AN280" s="1273"/>
      <c r="AO280" s="1564"/>
      <c r="AP280" s="1273"/>
      <c r="AQ280" s="778"/>
      <c r="AR280" s="2846"/>
      <c r="AS280" s="1550"/>
      <c r="AT280" s="1559"/>
      <c r="AU280" s="1560"/>
      <c r="AV280" s="1411"/>
      <c r="AW280" s="927"/>
      <c r="AX280" s="2846"/>
      <c r="AY280" s="1395"/>
      <c r="AZ280" s="1565"/>
      <c r="BA280" s="1554"/>
      <c r="BB280" s="1280"/>
      <c r="BC280" s="664"/>
      <c r="BD280" s="975"/>
      <c r="BE280" s="664"/>
      <c r="BF280" s="1401"/>
      <c r="BG280" s="2853"/>
      <c r="BH280" s="1401"/>
      <c r="BI280" s="1566"/>
      <c r="BJ280" s="2865"/>
      <c r="BK280" s="1543"/>
      <c r="BL280" s="1168"/>
      <c r="BM280" s="1431"/>
      <c r="BN280" s="1168"/>
      <c r="BO280" s="1107"/>
      <c r="BP280" s="1161"/>
      <c r="BQ280" s="1161"/>
      <c r="BR280" s="1107"/>
      <c r="BS280" s="1567"/>
      <c r="BT280" s="1568"/>
      <c r="BU280" s="604"/>
      <c r="BV280" s="1107"/>
      <c r="BW280" s="1161"/>
      <c r="BX280" s="1161"/>
      <c r="BY280" s="1107"/>
      <c r="BZ280" s="1567"/>
      <c r="CA280" s="1568"/>
      <c r="CB280" s="604"/>
      <c r="CC280" s="1567"/>
      <c r="CD280" s="1568"/>
      <c r="CE280" s="604"/>
    </row>
    <row r="281" spans="1:83" ht="23.85" customHeight="1" x14ac:dyDescent="0.4">
      <c r="A281" s="249"/>
      <c r="B281" s="249"/>
      <c r="C281" s="584" t="s">
        <v>307</v>
      </c>
      <c r="D281" s="587"/>
      <c r="E281" s="1416"/>
      <c r="F281" s="1417"/>
      <c r="G281" s="1377"/>
      <c r="H281" s="1418"/>
      <c r="I281" s="742"/>
      <c r="J281" s="848"/>
      <c r="K281" s="2688"/>
      <c r="L281" s="705"/>
      <c r="M281" s="1526"/>
      <c r="N281" s="2834"/>
      <c r="O281" s="1383"/>
      <c r="P281" s="851"/>
      <c r="Q281" s="2834"/>
      <c r="R281" s="708"/>
      <c r="S281" s="664"/>
      <c r="T281" s="2834"/>
      <c r="U281" s="1527"/>
      <c r="V281" s="709"/>
      <c r="W281" s="2834"/>
      <c r="X281" s="684"/>
      <c r="Y281" s="1526"/>
      <c r="Z281" s="2834"/>
      <c r="AA281" s="1383"/>
      <c r="AB281" s="1548"/>
      <c r="AC281" s="2843"/>
      <c r="AD281" s="1527"/>
      <c r="AE281" s="1408"/>
      <c r="AF281" s="2846"/>
      <c r="AG281" s="1385"/>
      <c r="AH281" s="1569"/>
      <c r="AI281" s="1160"/>
      <c r="AJ281" s="1570"/>
      <c r="AK281" s="1285"/>
      <c r="AL281" s="1571"/>
      <c r="AM281" s="1469"/>
      <c r="AN281" s="1273"/>
      <c r="AO281" s="1273"/>
      <c r="AP281" s="1273"/>
      <c r="AQ281" s="778"/>
      <c r="AR281" s="2846"/>
      <c r="AS281" s="1550"/>
      <c r="AT281" s="1413"/>
      <c r="AU281" s="1560"/>
      <c r="AV281" s="1210"/>
      <c r="AW281" s="1538"/>
      <c r="AX281" s="2846"/>
      <c r="AY281" s="1572"/>
      <c r="AZ281" s="1553"/>
      <c r="BA281" s="1554"/>
      <c r="BB281" s="1573"/>
      <c r="BC281" s="664"/>
      <c r="BD281" s="1374"/>
      <c r="BE281" s="1574"/>
      <c r="BF281" s="1401"/>
      <c r="BG281" s="2853"/>
      <c r="BH281" s="1401"/>
      <c r="BI281" s="1542"/>
      <c r="BJ281" s="2865"/>
      <c r="BK281" s="1575"/>
      <c r="BL281" s="1576"/>
      <c r="BM281" s="1431"/>
      <c r="BN281" s="1168"/>
      <c r="BO281" s="1577"/>
      <c r="BP281" s="1578"/>
      <c r="BQ281" s="1579"/>
      <c r="BR281" s="1580"/>
      <c r="BS281" s="601"/>
      <c r="BT281" s="1581" t="s">
        <v>309</v>
      </c>
      <c r="BU281" s="601"/>
      <c r="BV281" s="1577"/>
      <c r="BW281" s="1578"/>
      <c r="BX281" s="1579"/>
      <c r="BY281" s="1580"/>
      <c r="BZ281" s="601"/>
      <c r="CA281" s="1582" t="s">
        <v>309</v>
      </c>
      <c r="CB281" s="601"/>
      <c r="CC281" s="601"/>
      <c r="CD281" s="1582" t="s">
        <v>309</v>
      </c>
      <c r="CE281" s="601"/>
    </row>
    <row r="282" spans="1:83" ht="13.5" customHeight="1" x14ac:dyDescent="0.4">
      <c r="A282" s="249"/>
      <c r="B282" s="249"/>
      <c r="C282" s="584" t="s">
        <v>307</v>
      </c>
      <c r="D282" s="587"/>
      <c r="E282" s="1416"/>
      <c r="F282" s="1417"/>
      <c r="G282" s="1377"/>
      <c r="H282" s="1418"/>
      <c r="I282" s="742"/>
      <c r="J282" s="848"/>
      <c r="K282" s="2688"/>
      <c r="L282" s="705"/>
      <c r="M282" s="1526"/>
      <c r="N282" s="2834"/>
      <c r="O282" s="1383"/>
      <c r="P282" s="851"/>
      <c r="Q282" s="2834"/>
      <c r="R282" s="708"/>
      <c r="S282" s="664"/>
      <c r="T282" s="2834"/>
      <c r="U282" s="1527"/>
      <c r="V282" s="709"/>
      <c r="W282" s="2834"/>
      <c r="X282" s="684"/>
      <c r="Y282" s="1526"/>
      <c r="Z282" s="2834"/>
      <c r="AA282" s="1383"/>
      <c r="AB282" s="1548"/>
      <c r="AC282" s="2843"/>
      <c r="AD282" s="1527"/>
      <c r="AE282" s="1408"/>
      <c r="AF282" s="2846"/>
      <c r="AG282" s="1385"/>
      <c r="AH282" s="1569"/>
      <c r="AI282" s="1160"/>
      <c r="AJ282" s="1570"/>
      <c r="AK282" s="1285"/>
      <c r="AL282" s="1571"/>
      <c r="AM282" s="1469"/>
      <c r="AN282" s="1273"/>
      <c r="AO282" s="1583"/>
      <c r="AP282" s="1273"/>
      <c r="AQ282" s="778"/>
      <c r="AR282" s="2846"/>
      <c r="AS282" s="1550"/>
      <c r="AT282" s="1413"/>
      <c r="AU282" s="1584"/>
      <c r="AV282" s="1210"/>
      <c r="AW282" s="1395"/>
      <c r="AX282" s="2846"/>
      <c r="AY282" s="1585"/>
      <c r="AZ282" s="1565"/>
      <c r="BA282" s="1554"/>
      <c r="BB282" s="1586"/>
      <c r="BC282" s="664"/>
      <c r="BD282" s="967"/>
      <c r="BE282" s="1574"/>
      <c r="BF282" s="1401"/>
      <c r="BG282" s="2853"/>
      <c r="BH282" s="1401"/>
      <c r="BI282" s="1542"/>
      <c r="BJ282" s="2865"/>
      <c r="BK282" s="1587"/>
      <c r="BL282" s="1561"/>
      <c r="BM282" s="1428"/>
      <c r="BN282" s="1588"/>
      <c r="BO282" s="1577"/>
      <c r="BP282" s="1578"/>
      <c r="BQ282" s="1579"/>
      <c r="BR282" s="1580"/>
      <c r="BS282" s="1567"/>
      <c r="BT282" s="1568"/>
      <c r="BU282" s="604"/>
      <c r="BV282" s="1577"/>
      <c r="BW282" s="1578"/>
      <c r="BX282" s="1579"/>
      <c r="BY282" s="1580"/>
      <c r="BZ282" s="1567"/>
      <c r="CA282" s="1568"/>
      <c r="CB282" s="604"/>
      <c r="CC282" s="1567"/>
      <c r="CD282" s="1568"/>
      <c r="CE282" s="604"/>
    </row>
    <row r="283" spans="1:83" ht="13.5" customHeight="1" x14ac:dyDescent="0.4">
      <c r="A283" s="249"/>
      <c r="B283" s="249"/>
      <c r="C283" s="584" t="s">
        <v>307</v>
      </c>
      <c r="D283" s="587"/>
      <c r="E283" s="1416"/>
      <c r="F283" s="1417"/>
      <c r="G283" s="1377"/>
      <c r="H283" s="1418"/>
      <c r="I283" s="742"/>
      <c r="J283" s="848"/>
      <c r="K283" s="2688"/>
      <c r="L283" s="705"/>
      <c r="M283" s="1589"/>
      <c r="N283" s="2834"/>
      <c r="O283" s="1383"/>
      <c r="P283" s="851"/>
      <c r="Q283" s="2834"/>
      <c r="R283" s="708"/>
      <c r="S283" s="664"/>
      <c r="T283" s="2834"/>
      <c r="U283" s="1527"/>
      <c r="V283" s="709"/>
      <c r="W283" s="2834"/>
      <c r="X283" s="684"/>
      <c r="Y283" s="1589"/>
      <c r="Z283" s="2834"/>
      <c r="AA283" s="1383"/>
      <c r="AB283" s="1548"/>
      <c r="AC283" s="2843"/>
      <c r="AD283" s="1527"/>
      <c r="AE283" s="1408"/>
      <c r="AF283" s="2846"/>
      <c r="AG283" s="1385"/>
      <c r="AH283" s="1569"/>
      <c r="AI283" s="1160"/>
      <c r="AJ283" s="1570"/>
      <c r="AK283" s="1285"/>
      <c r="AL283" s="1571"/>
      <c r="AM283" s="1469"/>
      <c r="AN283" s="1273"/>
      <c r="AO283" s="1583"/>
      <c r="AP283" s="1273"/>
      <c r="AQ283" s="778"/>
      <c r="AR283" s="2846"/>
      <c r="AS283" s="1550"/>
      <c r="AT283" s="1413"/>
      <c r="AU283" s="1584"/>
      <c r="AV283" s="1210"/>
      <c r="AW283" s="1395"/>
      <c r="AX283" s="2846"/>
      <c r="AY283" s="1585"/>
      <c r="AZ283" s="1565"/>
      <c r="BA283" s="1554"/>
      <c r="BB283" s="1586"/>
      <c r="BC283" s="664"/>
      <c r="BD283" s="967"/>
      <c r="BE283" s="1574"/>
      <c r="BF283" s="1401"/>
      <c r="BG283" s="2853"/>
      <c r="BH283" s="1401"/>
      <c r="BI283" s="1542"/>
      <c r="BJ283" s="2865"/>
      <c r="BK283" s="1587"/>
      <c r="BL283" s="1561"/>
      <c r="BM283" s="1428"/>
      <c r="BN283" s="1588"/>
      <c r="BO283" s="1577"/>
      <c r="BP283" s="1578"/>
      <c r="BQ283" s="1579"/>
      <c r="BR283" s="1580"/>
      <c r="BS283" s="1567"/>
      <c r="BT283" s="1568"/>
      <c r="BU283" s="604"/>
      <c r="BV283" s="1577"/>
      <c r="BW283" s="1578"/>
      <c r="BX283" s="1579"/>
      <c r="BY283" s="1580"/>
      <c r="BZ283" s="1567"/>
      <c r="CA283" s="1568"/>
      <c r="CB283" s="604"/>
      <c r="CC283" s="1567"/>
      <c r="CD283" s="1568"/>
      <c r="CE283" s="604"/>
    </row>
    <row r="284" spans="1:83" ht="13.5" customHeight="1" x14ac:dyDescent="0.4">
      <c r="A284" s="249"/>
      <c r="B284" s="249"/>
      <c r="C284" s="584">
        <v>0.58680555555555503</v>
      </c>
      <c r="D284" s="845"/>
      <c r="E284" s="1416"/>
      <c r="F284" s="1417"/>
      <c r="G284" s="1377"/>
      <c r="H284" s="1418"/>
      <c r="I284" s="742"/>
      <c r="J284" s="848"/>
      <c r="K284" s="2688"/>
      <c r="L284" s="705"/>
      <c r="M284" s="1589"/>
      <c r="N284" s="2834"/>
      <c r="O284" s="1383"/>
      <c r="P284" s="851"/>
      <c r="Q284" s="2834"/>
      <c r="R284" s="708"/>
      <c r="S284" s="664"/>
      <c r="T284" s="2834"/>
      <c r="U284" s="1527"/>
      <c r="V284" s="709"/>
      <c r="W284" s="2834"/>
      <c r="X284" s="684"/>
      <c r="Y284" s="1589"/>
      <c r="Z284" s="2834"/>
      <c r="AA284" s="1383"/>
      <c r="AB284" s="1527"/>
      <c r="AC284" s="2843"/>
      <c r="AD284" s="1527"/>
      <c r="AE284" s="1590"/>
      <c r="AF284" s="2846"/>
      <c r="AG284" s="1591"/>
      <c r="AH284" s="1592"/>
      <c r="AI284" s="1593"/>
      <c r="AJ284" s="1594"/>
      <c r="AK284" s="1200"/>
      <c r="AL284" s="1595"/>
      <c r="AM284" s="1285"/>
      <c r="AN284" s="1421"/>
      <c r="AO284" s="1596"/>
      <c r="AP284" s="1273"/>
      <c r="AQ284" s="1134"/>
      <c r="AR284" s="2846"/>
      <c r="AS284" s="1534"/>
      <c r="AT284" s="1551"/>
      <c r="AU284" s="1597"/>
      <c r="AV284" s="1537"/>
      <c r="AW284" s="1461"/>
      <c r="AX284" s="2846"/>
      <c r="AY284" s="1395"/>
      <c r="AZ284" s="1598"/>
      <c r="BA284" s="1554"/>
      <c r="BB284" s="1573"/>
      <c r="BC284" s="687"/>
      <c r="BD284" s="1374"/>
      <c r="BE284" s="974"/>
      <c r="BF284" s="1401"/>
      <c r="BG284" s="2853"/>
      <c r="BH284" s="1401"/>
      <c r="BI284" s="1556"/>
      <c r="BJ284" s="2865"/>
      <c r="BK284" s="1543"/>
      <c r="BL284" s="1168"/>
      <c r="BM284" s="1431"/>
      <c r="BN284" s="1444"/>
      <c r="BO284" s="1577"/>
      <c r="BP284" s="1599"/>
      <c r="BQ284" s="1579"/>
      <c r="BR284" s="1580"/>
      <c r="BS284" s="1600"/>
      <c r="BT284" s="1568"/>
      <c r="BU284" s="604"/>
      <c r="BV284" s="1577"/>
      <c r="BW284" s="1599"/>
      <c r="BX284" s="1579"/>
      <c r="BY284" s="1580"/>
      <c r="BZ284" s="1600"/>
      <c r="CA284" s="1568"/>
      <c r="CB284" s="604"/>
      <c r="CC284" s="1600"/>
      <c r="CD284" s="1568"/>
      <c r="CE284" s="604"/>
    </row>
    <row r="285" spans="1:83" ht="13.5" customHeight="1" x14ac:dyDescent="0.4">
      <c r="A285" s="249"/>
      <c r="B285" s="249"/>
      <c r="C285" s="584">
        <v>0.59027777777777701</v>
      </c>
      <c r="D285" s="587"/>
      <c r="E285" s="1416"/>
      <c r="F285" s="1417"/>
      <c r="G285" s="1377"/>
      <c r="H285" s="1418"/>
      <c r="I285" s="742"/>
      <c r="J285" s="848"/>
      <c r="K285" s="2688"/>
      <c r="L285" s="705"/>
      <c r="M285" s="1589"/>
      <c r="N285" s="2834"/>
      <c r="O285" s="1383"/>
      <c r="P285" s="851"/>
      <c r="Q285" s="2834"/>
      <c r="R285" s="708"/>
      <c r="S285" s="664"/>
      <c r="T285" s="2834"/>
      <c r="U285" s="1527"/>
      <c r="V285" s="709"/>
      <c r="W285" s="2834"/>
      <c r="X285" s="684"/>
      <c r="Y285" s="1589"/>
      <c r="Z285" s="2834"/>
      <c r="AA285" s="1383"/>
      <c r="AB285" s="1527"/>
      <c r="AC285" s="2843"/>
      <c r="AD285" s="1527"/>
      <c r="AE285" s="1466"/>
      <c r="AF285" s="2846"/>
      <c r="AG285" s="1385"/>
      <c r="AH285" s="1601"/>
      <c r="AI285" s="1160"/>
      <c r="AJ285" s="1160"/>
      <c r="AK285" s="1200"/>
      <c r="AL285" s="1449"/>
      <c r="AM285" s="1531"/>
      <c r="AN285" s="1421"/>
      <c r="AO285" s="1583"/>
      <c r="AP285" s="1438"/>
      <c r="AQ285" s="1134"/>
      <c r="AR285" s="2846"/>
      <c r="AS285" s="1534"/>
      <c r="AT285" s="1551"/>
      <c r="AU285" s="1597"/>
      <c r="AV285" s="1210"/>
      <c r="AW285" s="1461"/>
      <c r="AX285" s="2846"/>
      <c r="AY285" s="1022"/>
      <c r="AZ285" s="1598"/>
      <c r="BA285" s="1554"/>
      <c r="BB285" s="1573"/>
      <c r="BC285" s="1602"/>
      <c r="BD285" s="967"/>
      <c r="BE285" s="687"/>
      <c r="BF285" s="1401"/>
      <c r="BG285" s="2853"/>
      <c r="BH285" s="1401"/>
      <c r="BI285" s="1556"/>
      <c r="BJ285" s="2865"/>
      <c r="BK285" s="1587"/>
      <c r="BL285" s="1294"/>
      <c r="BM285" s="1431"/>
      <c r="BN285" s="1168"/>
      <c r="BO285" s="1107"/>
      <c r="BP285" s="1108"/>
      <c r="BQ285" s="1195"/>
      <c r="BR285" s="1107"/>
      <c r="BS285" s="1567"/>
      <c r="BT285" s="1568"/>
      <c r="BU285" s="604"/>
      <c r="BV285" s="1107"/>
      <c r="BW285" s="1108"/>
      <c r="BX285" s="1195"/>
      <c r="BY285" s="1107"/>
      <c r="BZ285" s="1567"/>
      <c r="CA285" s="1568"/>
      <c r="CB285" s="604"/>
      <c r="CC285" s="1567"/>
      <c r="CD285" s="1568"/>
      <c r="CE285" s="604"/>
    </row>
    <row r="286" spans="1:83" ht="29.85" customHeight="1" x14ac:dyDescent="0.4">
      <c r="A286" s="249"/>
      <c r="B286" s="249"/>
      <c r="C286" s="584">
        <v>0.59375</v>
      </c>
      <c r="D286" s="688"/>
      <c r="E286" s="592" t="s">
        <v>429</v>
      </c>
      <c r="F286" s="1417"/>
      <c r="G286" s="1377"/>
      <c r="H286" s="592" t="s">
        <v>430</v>
      </c>
      <c r="I286" s="742"/>
      <c r="J286" s="848"/>
      <c r="K286" s="2688"/>
      <c r="L286" s="705"/>
      <c r="M286" s="1589"/>
      <c r="N286" s="2834"/>
      <c r="O286" s="1383"/>
      <c r="P286" s="851"/>
      <c r="Q286" s="2834"/>
      <c r="R286" s="708"/>
      <c r="S286" s="664"/>
      <c r="T286" s="2834"/>
      <c r="U286" s="1527"/>
      <c r="V286" s="709"/>
      <c r="W286" s="2834"/>
      <c r="X286" s="684"/>
      <c r="Y286" s="1589"/>
      <c r="Z286" s="2834"/>
      <c r="AA286" s="1383"/>
      <c r="AB286" s="1527"/>
      <c r="AC286" s="2843"/>
      <c r="AD286" s="1527"/>
      <c r="AE286" s="1385"/>
      <c r="AF286" s="2846"/>
      <c r="AG286" s="1385"/>
      <c r="AH286" s="1159"/>
      <c r="AI286" s="1160" t="s">
        <v>332</v>
      </c>
      <c r="AJ286" s="1160"/>
      <c r="AK286" s="2806"/>
      <c r="AL286" s="1530" t="s">
        <v>331</v>
      </c>
      <c r="AM286" s="1531"/>
      <c r="AN286" s="1450"/>
      <c r="AO286" s="2856" t="s">
        <v>341</v>
      </c>
      <c r="AP286" s="1603"/>
      <c r="AQ286" s="1134"/>
      <c r="AR286" s="2846"/>
      <c r="AS286" s="1550"/>
      <c r="AT286" s="1604"/>
      <c r="AU286" s="1605"/>
      <c r="AV286" s="1606"/>
      <c r="AW286" s="1607"/>
      <c r="AX286" s="2846"/>
      <c r="AY286" s="1395"/>
      <c r="AZ286" s="1553"/>
      <c r="BA286" s="1608" t="s">
        <v>350</v>
      </c>
      <c r="BB286" s="1609"/>
      <c r="BC286" s="687"/>
      <c r="BD286" s="1216" t="s">
        <v>379</v>
      </c>
      <c r="BE286" s="687"/>
      <c r="BF286" s="1401"/>
      <c r="BG286" s="2853"/>
      <c r="BH286" s="1401"/>
      <c r="BI286" s="1556"/>
      <c r="BJ286" s="2865"/>
      <c r="BK286" s="1557"/>
      <c r="BL286" s="1168"/>
      <c r="BM286" s="1562" t="s">
        <v>447</v>
      </c>
      <c r="BN286" s="1168"/>
      <c r="BO286" s="1610"/>
      <c r="BP286" s="1610"/>
      <c r="BQ286" s="1579"/>
      <c r="BR286" s="1191"/>
      <c r="BS286" s="591"/>
      <c r="BT286" s="592" t="s">
        <v>431</v>
      </c>
      <c r="BU286" s="593"/>
      <c r="BV286" s="1610"/>
      <c r="BW286" s="1610"/>
      <c r="BX286" s="1579"/>
      <c r="BY286" s="1191"/>
      <c r="BZ286" s="1107"/>
      <c r="CA286" s="1107"/>
      <c r="CB286" s="1107"/>
      <c r="CC286" s="1611"/>
      <c r="CD286" s="1611"/>
      <c r="CE286" s="1611"/>
    </row>
    <row r="287" spans="1:83" ht="28.5" customHeight="1" x14ac:dyDescent="0.4">
      <c r="A287" s="249"/>
      <c r="B287" s="249"/>
      <c r="C287" s="584" t="s">
        <v>404</v>
      </c>
      <c r="D287" s="688"/>
      <c r="E287" s="1416"/>
      <c r="F287" s="1417"/>
      <c r="G287" s="1377"/>
      <c r="H287" s="2564" t="s">
        <v>432</v>
      </c>
      <c r="I287" s="742"/>
      <c r="J287" s="848"/>
      <c r="K287" s="2688"/>
      <c r="L287" s="705"/>
      <c r="M287" s="685"/>
      <c r="N287" s="2834"/>
      <c r="O287" s="1383"/>
      <c r="P287" s="851"/>
      <c r="Q287" s="2834"/>
      <c r="R287" s="708"/>
      <c r="S287" s="664"/>
      <c r="T287" s="2834"/>
      <c r="U287" s="1527"/>
      <c r="V287" s="709"/>
      <c r="W287" s="2834"/>
      <c r="X287" s="684"/>
      <c r="Y287" s="685"/>
      <c r="Z287" s="2834"/>
      <c r="AA287" s="1383"/>
      <c r="AB287" s="1527"/>
      <c r="AC287" s="2843"/>
      <c r="AD287" s="1527"/>
      <c r="AE287" s="1385"/>
      <c r="AF287" s="2846"/>
      <c r="AG287" s="1385"/>
      <c r="AH287" s="1159"/>
      <c r="AI287" s="1160" t="s">
        <v>334</v>
      </c>
      <c r="AJ287" s="1159"/>
      <c r="AK287" s="2806"/>
      <c r="AL287" s="1285" t="s">
        <v>333</v>
      </c>
      <c r="AM287" s="1531"/>
      <c r="AN287" s="1273"/>
      <c r="AO287" s="2856"/>
      <c r="AP287" s="1603"/>
      <c r="AQ287" s="778"/>
      <c r="AR287" s="2846"/>
      <c r="AS287" s="778"/>
      <c r="AT287" s="1392"/>
      <c r="AU287" s="1411"/>
      <c r="AV287" s="1394"/>
      <c r="AW287" s="1395"/>
      <c r="AX287" s="2846"/>
      <c r="AY287" s="1395"/>
      <c r="AZ287" s="1553"/>
      <c r="BA287" s="1554"/>
      <c r="BB287" s="1609"/>
      <c r="BC287" s="687"/>
      <c r="BD287" s="1555" t="s">
        <v>381</v>
      </c>
      <c r="BE287" s="687"/>
      <c r="BF287" s="1401"/>
      <c r="BG287" s="2853"/>
      <c r="BH287" s="1401"/>
      <c r="BI287" s="1556"/>
      <c r="BJ287" s="2865"/>
      <c r="BK287" s="1587"/>
      <c r="BL287" s="1430"/>
      <c r="BM287" s="793" t="s">
        <v>336</v>
      </c>
      <c r="BN287" s="1430"/>
      <c r="BO287" s="1107"/>
      <c r="BP287" s="1107"/>
      <c r="BQ287" s="1161"/>
      <c r="BR287" s="1107"/>
      <c r="BS287" s="1544"/>
      <c r="BT287" s="1544"/>
      <c r="BU287" s="1544"/>
      <c r="BV287" s="1107"/>
      <c r="BW287" s="1107"/>
      <c r="BX287" s="1161"/>
      <c r="BY287" s="1107"/>
      <c r="BZ287" s="1107"/>
      <c r="CA287" s="1107"/>
      <c r="CB287" s="1107"/>
      <c r="CC287" s="1611"/>
      <c r="CD287" s="1611"/>
      <c r="CE287" s="1611"/>
    </row>
    <row r="288" spans="1:83" ht="19.350000000000001" customHeight="1" x14ac:dyDescent="0.4">
      <c r="A288" s="249"/>
      <c r="B288" s="249"/>
      <c r="C288" s="584" t="s">
        <v>307</v>
      </c>
      <c r="D288" s="587"/>
      <c r="E288" s="1416"/>
      <c r="F288" s="1417"/>
      <c r="G288" s="1377"/>
      <c r="H288" s="1418"/>
      <c r="I288" s="742"/>
      <c r="J288" s="848"/>
      <c r="K288" s="2688"/>
      <c r="L288" s="705"/>
      <c r="M288" s="685"/>
      <c r="N288" s="2834"/>
      <c r="O288" s="1383"/>
      <c r="P288" s="851"/>
      <c r="Q288" s="2834"/>
      <c r="R288" s="708"/>
      <c r="S288" s="664"/>
      <c r="T288" s="2834"/>
      <c r="U288" s="1527"/>
      <c r="V288" s="709"/>
      <c r="W288" s="2834"/>
      <c r="X288" s="684"/>
      <c r="Y288" s="685"/>
      <c r="Z288" s="2834"/>
      <c r="AA288" s="1383"/>
      <c r="AB288" s="1527"/>
      <c r="AC288" s="2843"/>
      <c r="AD288" s="1527"/>
      <c r="AE288" s="1385"/>
      <c r="AF288" s="2846"/>
      <c r="AG288" s="1385"/>
      <c r="AH288" s="1430"/>
      <c r="AI288" s="793" t="s">
        <v>433</v>
      </c>
      <c r="AJ288" s="1430"/>
      <c r="AK288" s="1285"/>
      <c r="AL288" s="1595"/>
      <c r="AM288" s="1285"/>
      <c r="AN288" s="1273"/>
      <c r="AO288" s="2856"/>
      <c r="AP288" s="1603"/>
      <c r="AQ288" s="1134"/>
      <c r="AR288" s="2846"/>
      <c r="AS288" s="1612"/>
      <c r="AT288" s="1392"/>
      <c r="AU288" s="1613"/>
      <c r="AV288" s="1460"/>
      <c r="AW288" s="1395"/>
      <c r="AX288" s="2846"/>
      <c r="AY288" s="1395"/>
      <c r="AZ288" s="1553"/>
      <c r="BA288" s="1554"/>
      <c r="BB288" s="1609"/>
      <c r="BC288" s="687"/>
      <c r="BD288" s="975" t="s">
        <v>384</v>
      </c>
      <c r="BE288" s="687"/>
      <c r="BF288" s="1401"/>
      <c r="BG288" s="2853"/>
      <c r="BH288" s="1401"/>
      <c r="BI288" s="1556"/>
      <c r="BJ288" s="2865"/>
      <c r="BK288" s="1587"/>
      <c r="BL288" s="1168"/>
      <c r="BM288" s="1562"/>
      <c r="BN288" s="1168"/>
      <c r="BO288" s="1107"/>
      <c r="BP288" s="1108"/>
      <c r="BQ288" s="1161"/>
      <c r="BR288" s="1614"/>
      <c r="BS288" s="1544"/>
      <c r="BT288" s="1544"/>
      <c r="BU288" s="1615"/>
      <c r="BV288" s="1107"/>
      <c r="BW288" s="1108"/>
      <c r="BX288" s="1161"/>
      <c r="BY288" s="1614"/>
      <c r="BZ288" s="1107"/>
      <c r="CA288" s="1107"/>
      <c r="CB288" s="1614"/>
      <c r="CC288" s="1611"/>
      <c r="CD288" s="1611"/>
      <c r="CE288" s="1616"/>
    </row>
    <row r="289" spans="1:83" ht="19.350000000000001" customHeight="1" x14ac:dyDescent="0.4">
      <c r="A289" s="249"/>
      <c r="B289" s="249"/>
      <c r="C289" s="584" t="s">
        <v>307</v>
      </c>
      <c r="D289" s="688"/>
      <c r="E289" s="1416"/>
      <c r="F289" s="1417"/>
      <c r="G289" s="1377"/>
      <c r="H289" s="1418"/>
      <c r="I289" s="742"/>
      <c r="J289" s="691"/>
      <c r="K289" s="2688"/>
      <c r="L289" s="705"/>
      <c r="M289" s="685"/>
      <c r="N289" s="2834"/>
      <c r="O289" s="1383"/>
      <c r="P289" s="769"/>
      <c r="Q289" s="2834"/>
      <c r="R289" s="708"/>
      <c r="S289" s="664"/>
      <c r="T289" s="2834"/>
      <c r="U289" s="1527"/>
      <c r="V289" s="709"/>
      <c r="W289" s="2834"/>
      <c r="X289" s="684"/>
      <c r="Y289" s="685"/>
      <c r="Z289" s="2834"/>
      <c r="AA289" s="1383"/>
      <c r="AB289" s="1527"/>
      <c r="AC289" s="2843"/>
      <c r="AD289" s="1527"/>
      <c r="AE289" s="1385"/>
      <c r="AF289" s="2846"/>
      <c r="AG289" s="1385"/>
      <c r="AH289" s="1160"/>
      <c r="AI289" s="1617"/>
      <c r="AJ289" s="1618"/>
      <c r="AK289" s="1285"/>
      <c r="AL289" s="1595"/>
      <c r="AM289" s="1285"/>
      <c r="AN289" s="1619"/>
      <c r="AO289" s="2856"/>
      <c r="AP289" s="1620"/>
      <c r="AQ289" s="1134"/>
      <c r="AR289" s="2846"/>
      <c r="AS289" s="1612"/>
      <c r="AT289" s="1392"/>
      <c r="AU289" s="1613"/>
      <c r="AV289" s="1460"/>
      <c r="AW289" s="1395"/>
      <c r="AX289" s="2846"/>
      <c r="AY289" s="1395"/>
      <c r="AZ289" s="1553"/>
      <c r="BA289" s="1554"/>
      <c r="BB289" s="1609"/>
      <c r="BC289" s="687"/>
      <c r="BD289" s="975"/>
      <c r="BE289" s="687"/>
      <c r="BF289" s="1401"/>
      <c r="BG289" s="2853"/>
      <c r="BH289" s="1401"/>
      <c r="BI289" s="1556"/>
      <c r="BJ289" s="2865"/>
      <c r="BK289" s="1587"/>
      <c r="BL289" s="1168"/>
      <c r="BM289" s="1428"/>
      <c r="BN289" s="1168"/>
      <c r="BO289" s="1107"/>
      <c r="BP289" s="1108"/>
      <c r="BQ289" s="1161"/>
      <c r="BR289" s="1614"/>
      <c r="BS289" s="1621"/>
      <c r="BT289" s="1544"/>
      <c r="BU289" s="1615"/>
      <c r="BV289" s="1107"/>
      <c r="BW289" s="1108"/>
      <c r="BX289" s="1161"/>
      <c r="BY289" s="1614"/>
      <c r="BZ289" s="1622"/>
      <c r="CA289" s="1107"/>
      <c r="CB289" s="1614"/>
      <c r="CC289" s="1623"/>
      <c r="CD289" s="1611"/>
      <c r="CE289" s="1616"/>
    </row>
    <row r="290" spans="1:83" ht="25.35" customHeight="1" x14ac:dyDescent="0.4">
      <c r="A290" s="249"/>
      <c r="B290" s="249"/>
      <c r="C290" s="584">
        <v>0.59722222222222099</v>
      </c>
      <c r="D290" s="587"/>
      <c r="E290" s="1519"/>
      <c r="F290" s="1520"/>
      <c r="G290" s="615"/>
      <c r="H290" s="1522"/>
      <c r="I290" s="742"/>
      <c r="J290" s="691"/>
      <c r="K290" s="2688"/>
      <c r="L290" s="705"/>
      <c r="M290" s="1589"/>
      <c r="N290" s="2834"/>
      <c r="O290" s="1383"/>
      <c r="P290" s="769"/>
      <c r="Q290" s="2834"/>
      <c r="R290" s="708"/>
      <c r="S290" s="664"/>
      <c r="T290" s="2834"/>
      <c r="U290" s="1527"/>
      <c r="V290" s="709"/>
      <c r="W290" s="2834"/>
      <c r="X290" s="684"/>
      <c r="Y290" s="1589"/>
      <c r="Z290" s="2834"/>
      <c r="AA290" s="1383"/>
      <c r="AB290" s="1527"/>
      <c r="AC290" s="2843"/>
      <c r="AD290" s="1527"/>
      <c r="AE290" s="1466"/>
      <c r="AF290" s="2846"/>
      <c r="AG290" s="1624"/>
      <c r="AH290" s="1601"/>
      <c r="AI290" s="1160"/>
      <c r="AJ290" s="1256"/>
      <c r="AK290" s="1285"/>
      <c r="AL290" s="1595"/>
      <c r="AM290" s="1285"/>
      <c r="AN290" s="1619"/>
      <c r="AO290" s="2856"/>
      <c r="AP290" s="1625"/>
      <c r="AQ290" s="1626"/>
      <c r="AR290" s="2846"/>
      <c r="AS290" s="778"/>
      <c r="AT290" s="1210"/>
      <c r="AU290" s="1627"/>
      <c r="AV290" s="1210"/>
      <c r="AW290" s="1395"/>
      <c r="AX290" s="2846"/>
      <c r="AY290" s="1628"/>
      <c r="AZ290" s="1280"/>
      <c r="BA290" s="1554"/>
      <c r="BB290" s="1629"/>
      <c r="BC290" s="1399"/>
      <c r="BD290" s="967"/>
      <c r="BE290" s="908"/>
      <c r="BF290" s="1401"/>
      <c r="BG290" s="2853"/>
      <c r="BH290" s="1401"/>
      <c r="BI290" s="1556"/>
      <c r="BJ290" s="2865"/>
      <c r="BK290" s="1543"/>
      <c r="BL290" s="1294"/>
      <c r="BM290" s="1428"/>
      <c r="BN290" s="1630"/>
      <c r="BO290" s="1107"/>
      <c r="BP290" s="1108"/>
      <c r="BQ290" s="1107"/>
      <c r="BR290" s="1614"/>
      <c r="BS290" s="1544"/>
      <c r="BT290" s="1544"/>
      <c r="BU290" s="1615"/>
      <c r="BV290" s="1107"/>
      <c r="BW290" s="1108"/>
      <c r="BX290" s="1107"/>
      <c r="BY290" s="1614"/>
      <c r="BZ290" s="1107"/>
      <c r="CA290" s="1107"/>
      <c r="CB290" s="1614"/>
      <c r="CC290" s="1611"/>
      <c r="CD290" s="1631"/>
      <c r="CE290" s="1611"/>
    </row>
    <row r="291" spans="1:83" ht="18" customHeight="1" x14ac:dyDescent="0.4">
      <c r="A291" s="249"/>
      <c r="B291" s="249"/>
      <c r="C291" s="584">
        <v>0.60069444444444398</v>
      </c>
      <c r="D291" s="688"/>
      <c r="E291" s="1416"/>
      <c r="F291" s="1417"/>
      <c r="G291" s="594"/>
      <c r="H291" s="1418"/>
      <c r="I291" s="742"/>
      <c r="J291" s="635"/>
      <c r="K291" s="2688"/>
      <c r="L291" s="705"/>
      <c r="M291" s="1589"/>
      <c r="N291" s="2834"/>
      <c r="O291" s="1383"/>
      <c r="P291" s="795"/>
      <c r="Q291" s="2834"/>
      <c r="R291" s="708"/>
      <c r="S291" s="664"/>
      <c r="T291" s="2834"/>
      <c r="U291" s="1399"/>
      <c r="V291" s="709"/>
      <c r="W291" s="2834"/>
      <c r="X291" s="1632"/>
      <c r="Y291" s="1589"/>
      <c r="Z291" s="2834"/>
      <c r="AA291" s="1383"/>
      <c r="AB291" s="1399"/>
      <c r="AC291" s="2843"/>
      <c r="AD291" s="1399"/>
      <c r="AE291" s="1385"/>
      <c r="AF291" s="2846"/>
      <c r="AG291" s="1633"/>
      <c r="AH291" s="1160"/>
      <c r="AI291" s="1617"/>
      <c r="AJ291" s="1618"/>
      <c r="AK291" s="1285"/>
      <c r="AL291" s="1595"/>
      <c r="AM291" s="1531"/>
      <c r="AN291" s="1421"/>
      <c r="AO291" s="2856"/>
      <c r="AP291" s="1533"/>
      <c r="AQ291" s="1626"/>
      <c r="AR291" s="2846"/>
      <c r="AS291" s="778"/>
      <c r="AT291" s="1452"/>
      <c r="AU291" s="1634"/>
      <c r="AV291" s="1460"/>
      <c r="AW291" s="1395"/>
      <c r="AX291" s="2846"/>
      <c r="AY291" s="1628"/>
      <c r="AZ291" s="1280"/>
      <c r="BA291" s="1554"/>
      <c r="BB291" s="1629"/>
      <c r="BC291" s="687"/>
      <c r="BD291" s="1555"/>
      <c r="BE291" s="1635"/>
      <c r="BF291" s="1401"/>
      <c r="BG291" s="2853"/>
      <c r="BH291" s="1401"/>
      <c r="BI291" s="1556"/>
      <c r="BJ291" s="2865"/>
      <c r="BK291" s="1636"/>
      <c r="BL291" s="1168"/>
      <c r="BM291" s="1637"/>
      <c r="BN291" s="1638"/>
      <c r="BO291" s="1107"/>
      <c r="BP291" s="1108"/>
      <c r="BQ291" s="1107"/>
      <c r="BR291" s="1614"/>
      <c r="BS291" s="1621"/>
      <c r="BT291" s="1544"/>
      <c r="BU291" s="1615"/>
      <c r="BV291" s="1107"/>
      <c r="BW291" s="1108"/>
      <c r="BX291" s="1107"/>
      <c r="BY291" s="1614"/>
      <c r="BZ291" s="1622"/>
      <c r="CA291" s="1107"/>
      <c r="CB291" s="1614"/>
      <c r="CC291" s="1623"/>
      <c r="CD291" s="1611"/>
      <c r="CE291" s="1616"/>
    </row>
    <row r="292" spans="1:83" ht="22.35" customHeight="1" x14ac:dyDescent="0.4">
      <c r="A292" s="249"/>
      <c r="B292" s="249"/>
      <c r="C292" s="584">
        <v>0.60416666666666596</v>
      </c>
      <c r="D292" s="587"/>
      <c r="E292" s="1519"/>
      <c r="F292" s="1520"/>
      <c r="G292" s="615"/>
      <c r="H292" s="1522"/>
      <c r="I292" s="742"/>
      <c r="J292" s="635"/>
      <c r="K292" s="2688"/>
      <c r="L292" s="705"/>
      <c r="M292" s="1589"/>
      <c r="N292" s="1064"/>
      <c r="O292" s="1383"/>
      <c r="P292" s="795"/>
      <c r="Q292" s="2834"/>
      <c r="R292" s="708"/>
      <c r="S292" s="664"/>
      <c r="T292" s="2834"/>
      <c r="U292" s="1399"/>
      <c r="V292" s="709"/>
      <c r="W292" s="2834"/>
      <c r="X292" s="1632"/>
      <c r="Y292" s="1589"/>
      <c r="Z292" s="2834"/>
      <c r="AA292" s="1383"/>
      <c r="AB292" s="1399"/>
      <c r="AC292" s="2843"/>
      <c r="AD292" s="1399"/>
      <c r="AE292" s="1385"/>
      <c r="AF292" s="2846"/>
      <c r="AG292" s="1385"/>
      <c r="AH292" s="1159"/>
      <c r="AI292" s="1160" t="s">
        <v>332</v>
      </c>
      <c r="AJ292" s="1160"/>
      <c r="AK292" s="1285"/>
      <c r="AL292" s="1530" t="s">
        <v>331</v>
      </c>
      <c r="AM292" s="1285"/>
      <c r="AN292" s="1273"/>
      <c r="AO292" s="2856"/>
      <c r="AP292" s="1639"/>
      <c r="AQ292" s="1550"/>
      <c r="AR292" s="2846"/>
      <c r="AS292" s="1640"/>
      <c r="AT292" s="1394"/>
      <c r="AU292" s="1641"/>
      <c r="AV292" s="1460"/>
      <c r="AW292" s="1395"/>
      <c r="AX292" s="2846"/>
      <c r="AY292" s="1628"/>
      <c r="AZ292" s="1280"/>
      <c r="BA292" s="1608" t="s">
        <v>350</v>
      </c>
      <c r="BB292" s="1629"/>
      <c r="BC292" s="687"/>
      <c r="BD292" s="1216" t="s">
        <v>379</v>
      </c>
      <c r="BE292" s="687"/>
      <c r="BF292" s="1401"/>
      <c r="BG292" s="2853"/>
      <c r="BH292" s="1401"/>
      <c r="BI292" s="1542"/>
      <c r="BJ292" s="2865"/>
      <c r="BK292" s="1543"/>
      <c r="BL292" s="1168"/>
      <c r="BM292" s="1186" t="s">
        <v>447</v>
      </c>
      <c r="BN292" s="1168"/>
      <c r="BO292" s="1107"/>
      <c r="BP292" s="1107"/>
      <c r="BQ292" s="1642"/>
      <c r="BR292" s="1614"/>
      <c r="BS292" s="1544"/>
      <c r="BT292" s="1544" t="s">
        <v>278</v>
      </c>
      <c r="BU292" s="1544"/>
      <c r="BV292" s="1107"/>
      <c r="BW292" s="1107"/>
      <c r="BX292" s="1642"/>
      <c r="BY292" s="1614"/>
      <c r="BZ292" s="1107"/>
      <c r="CA292" s="1107" t="s">
        <v>278</v>
      </c>
      <c r="CB292" s="1107"/>
      <c r="CC292" s="1611"/>
      <c r="CD292" s="1611"/>
      <c r="CE292" s="1611"/>
    </row>
    <row r="293" spans="1:83" ht="20.85" customHeight="1" x14ac:dyDescent="0.4">
      <c r="A293" s="249"/>
      <c r="B293" s="249"/>
      <c r="C293" s="584" t="s">
        <v>307</v>
      </c>
      <c r="D293" s="587"/>
      <c r="E293" s="1416"/>
      <c r="F293" s="1417"/>
      <c r="G293" s="588"/>
      <c r="H293" s="1418"/>
      <c r="I293" s="742"/>
      <c r="J293" s="635"/>
      <c r="K293" s="2688"/>
      <c r="L293" s="705"/>
      <c r="M293" s="1589"/>
      <c r="N293" s="1064"/>
      <c r="O293" s="1383"/>
      <c r="P293" s="795"/>
      <c r="Q293" s="2834"/>
      <c r="R293" s="708"/>
      <c r="S293" s="664"/>
      <c r="T293" s="2834"/>
      <c r="U293" s="1399"/>
      <c r="V293" s="709"/>
      <c r="W293" s="2834"/>
      <c r="X293" s="1632"/>
      <c r="Y293" s="1589"/>
      <c r="Z293" s="2834"/>
      <c r="AA293" s="1383"/>
      <c r="AB293" s="1399"/>
      <c r="AC293" s="2843"/>
      <c r="AD293" s="1399"/>
      <c r="AE293" s="1385"/>
      <c r="AF293" s="2846"/>
      <c r="AG293" s="1385"/>
      <c r="AH293" s="1159"/>
      <c r="AI293" s="1160" t="s">
        <v>334</v>
      </c>
      <c r="AJ293" s="1159"/>
      <c r="AK293" s="1285"/>
      <c r="AL293" s="1285" t="s">
        <v>349</v>
      </c>
      <c r="AM293" s="1285"/>
      <c r="AN293" s="1421"/>
      <c r="AO293" s="2856"/>
      <c r="AP293" s="1533"/>
      <c r="AQ293" s="1626"/>
      <c r="AR293" s="2846"/>
      <c r="AS293" s="778"/>
      <c r="AT293" s="1208"/>
      <c r="AU293" s="1627"/>
      <c r="AV293" s="1210"/>
      <c r="AW293" s="1461"/>
      <c r="AX293" s="2846"/>
      <c r="AY293" s="1461"/>
      <c r="AZ293" s="1643"/>
      <c r="BA293" s="1554"/>
      <c r="BB293" s="1644"/>
      <c r="BC293" s="687"/>
      <c r="BD293" s="1555" t="s">
        <v>381</v>
      </c>
      <c r="BE293" s="687"/>
      <c r="BF293" s="1401"/>
      <c r="BG293" s="2853"/>
      <c r="BH293" s="1401"/>
      <c r="BI293" s="1556"/>
      <c r="BJ293" s="2865"/>
      <c r="BK293" s="1557"/>
      <c r="BL293" s="1168"/>
      <c r="BM293" s="1186"/>
      <c r="BN293" s="1168"/>
      <c r="BO293" s="1107"/>
      <c r="BP293" s="1161"/>
      <c r="BQ293" s="1642"/>
      <c r="BR293" s="1614"/>
      <c r="BS293" s="1544"/>
      <c r="BT293" s="1544"/>
      <c r="BU293" s="1544"/>
      <c r="BV293" s="1107"/>
      <c r="BW293" s="1161"/>
      <c r="BX293" s="1642"/>
      <c r="BY293" s="1614"/>
      <c r="BZ293" s="1107"/>
      <c r="CA293" s="1107"/>
      <c r="CB293" s="1107"/>
      <c r="CC293" s="1611"/>
      <c r="CD293" s="1611"/>
      <c r="CE293" s="1611"/>
    </row>
    <row r="294" spans="1:83" ht="29.25" customHeight="1" x14ac:dyDescent="0.4">
      <c r="A294" s="249"/>
      <c r="B294" s="249"/>
      <c r="C294" s="584" t="s">
        <v>307</v>
      </c>
      <c r="D294" s="587"/>
      <c r="E294" s="1416"/>
      <c r="F294" s="1417"/>
      <c r="G294" s="588"/>
      <c r="H294" s="1418"/>
      <c r="I294" s="742"/>
      <c r="J294" s="635"/>
      <c r="K294" s="2688"/>
      <c r="L294" s="705"/>
      <c r="M294" s="1589"/>
      <c r="N294" s="686"/>
      <c r="O294" s="1383"/>
      <c r="P294" s="795"/>
      <c r="Q294" s="2834"/>
      <c r="R294" s="708"/>
      <c r="S294" s="664"/>
      <c r="T294" s="2834"/>
      <c r="U294" s="1399"/>
      <c r="V294" s="709"/>
      <c r="W294" s="2834"/>
      <c r="X294" s="1632"/>
      <c r="Y294" s="1589"/>
      <c r="Z294" s="2834"/>
      <c r="AA294" s="1383"/>
      <c r="AB294" s="1399"/>
      <c r="AC294" s="2843"/>
      <c r="AD294" s="1399"/>
      <c r="AE294" s="1385"/>
      <c r="AF294" s="2846"/>
      <c r="AG294" s="1624"/>
      <c r="AH294" s="1645"/>
      <c r="AI294" s="1160" t="s">
        <v>602</v>
      </c>
      <c r="AJ294" s="1160"/>
      <c r="AK294" s="1285"/>
      <c r="AL294" s="1595"/>
      <c r="AM294" s="1285"/>
      <c r="AN294" s="1421"/>
      <c r="AO294" s="1646"/>
      <c r="AP294" s="1533"/>
      <c r="AQ294" s="1647"/>
      <c r="AR294" s="2846"/>
      <c r="AS294" s="1648"/>
      <c r="AT294" s="1394"/>
      <c r="AU294" s="1641"/>
      <c r="AV294" s="1649"/>
      <c r="AW294" s="1395"/>
      <c r="AX294" s="2846"/>
      <c r="AY294" s="1395"/>
      <c r="AZ294" s="1650"/>
      <c r="BA294" s="1554"/>
      <c r="BB294" s="1651"/>
      <c r="BC294" s="687"/>
      <c r="BD294" s="975" t="s">
        <v>384</v>
      </c>
      <c r="BE294" s="908"/>
      <c r="BF294" s="1401"/>
      <c r="BG294" s="2853"/>
      <c r="BH294" s="1401"/>
      <c r="BI294" s="1556"/>
      <c r="BJ294" s="2865"/>
      <c r="BK294" s="1636"/>
      <c r="BL294" s="1168"/>
      <c r="BM294" s="1562"/>
      <c r="BN294" s="1630"/>
      <c r="BO294" s="1107"/>
      <c r="BP294" s="1161"/>
      <c r="BQ294" s="1642"/>
      <c r="BR294" s="1614"/>
      <c r="BS294" s="1544"/>
      <c r="BT294" s="1544"/>
      <c r="BU294" s="1615"/>
      <c r="BV294" s="1107"/>
      <c r="BW294" s="1161"/>
      <c r="BX294" s="1642"/>
      <c r="BY294" s="1614"/>
      <c r="BZ294" s="1107"/>
      <c r="CA294" s="1107"/>
      <c r="CB294" s="1614"/>
      <c r="CC294" s="1611"/>
      <c r="CD294" s="1611"/>
      <c r="CE294" s="1616"/>
    </row>
    <row r="295" spans="1:83" ht="17.100000000000001" customHeight="1" x14ac:dyDescent="0.4">
      <c r="A295" s="249"/>
      <c r="B295" s="249"/>
      <c r="C295" s="584" t="s">
        <v>307</v>
      </c>
      <c r="D295" s="587"/>
      <c r="E295" s="1416"/>
      <c r="F295" s="1417"/>
      <c r="G295" s="588"/>
      <c r="H295" s="1418"/>
      <c r="I295" s="742"/>
      <c r="J295" s="635"/>
      <c r="K295" s="2688"/>
      <c r="L295" s="1652"/>
      <c r="M295" s="1589"/>
      <c r="N295" s="1064"/>
      <c r="O295" s="1383"/>
      <c r="P295" s="795"/>
      <c r="Q295" s="2834"/>
      <c r="R295" s="1653"/>
      <c r="S295" s="664"/>
      <c r="T295" s="2834"/>
      <c r="U295" s="1399"/>
      <c r="V295" s="709"/>
      <c r="W295" s="2834"/>
      <c r="X295" s="1632"/>
      <c r="Y295" s="1589"/>
      <c r="Z295" s="2834"/>
      <c r="AA295" s="1383"/>
      <c r="AB295" s="1399"/>
      <c r="AC295" s="2843"/>
      <c r="AD295" s="1399"/>
      <c r="AE295" s="1385"/>
      <c r="AF295" s="2846"/>
      <c r="AG295" s="1624"/>
      <c r="AH295" s="1645"/>
      <c r="AI295" s="1160"/>
      <c r="AJ295" s="1160"/>
      <c r="AK295" s="1285"/>
      <c r="AL295" s="1595"/>
      <c r="AM295" s="1285"/>
      <c r="AN295" s="1421"/>
      <c r="AO295" s="1654"/>
      <c r="AP295" s="1533"/>
      <c r="AQ295" s="1647"/>
      <c r="AR295" s="2846"/>
      <c r="AS295" s="1648"/>
      <c r="AT295" s="1394"/>
      <c r="AU295" s="1411"/>
      <c r="AV295" s="1649"/>
      <c r="AW295" s="684"/>
      <c r="AX295" s="2846"/>
      <c r="AY295" s="684"/>
      <c r="AZ295" s="1650"/>
      <c r="BA295" s="1554"/>
      <c r="BB295" s="1651"/>
      <c r="BC295" s="687"/>
      <c r="BD295" s="975"/>
      <c r="BE295" s="908"/>
      <c r="BF295" s="1401"/>
      <c r="BG295" s="2853"/>
      <c r="BH295" s="1401"/>
      <c r="BI295" s="1556"/>
      <c r="BJ295" s="2865"/>
      <c r="BK295" s="1636"/>
      <c r="BL295" s="1168"/>
      <c r="BM295" s="1428"/>
      <c r="BN295" s="1630"/>
      <c r="BO295" s="1107"/>
      <c r="BP295" s="1161"/>
      <c r="BQ295" s="1642"/>
      <c r="BR295" s="1614"/>
      <c r="BS295" s="1544"/>
      <c r="BT295" s="1544"/>
      <c r="BU295" s="1615"/>
      <c r="BV295" s="1107"/>
      <c r="BW295" s="1161"/>
      <c r="BX295" s="1642"/>
      <c r="BY295" s="1614"/>
      <c r="BZ295" s="1107"/>
      <c r="CA295" s="1107"/>
      <c r="CB295" s="1614"/>
      <c r="CC295" s="1611"/>
      <c r="CD295" s="1611"/>
      <c r="CE295" s="1616"/>
    </row>
    <row r="296" spans="1:83" ht="14.85" customHeight="1" x14ac:dyDescent="0.4">
      <c r="A296" s="249"/>
      <c r="B296" s="249"/>
      <c r="C296" s="584">
        <v>0.60763888888888795</v>
      </c>
      <c r="D296" s="587"/>
      <c r="E296" s="1416"/>
      <c r="F296" s="1417"/>
      <c r="G296" s="588"/>
      <c r="H296" s="1418"/>
      <c r="I296" s="1118"/>
      <c r="J296" s="635"/>
      <c r="K296" s="2688"/>
      <c r="L296" s="1652"/>
      <c r="M296" s="1656"/>
      <c r="N296" s="1064"/>
      <c r="O296" s="1383"/>
      <c r="P296" s="795"/>
      <c r="Q296" s="2834"/>
      <c r="R296" s="1653"/>
      <c r="S296" s="664"/>
      <c r="T296" s="2834"/>
      <c r="U296" s="912"/>
      <c r="V296" s="709"/>
      <c r="W296" s="2834"/>
      <c r="X296" s="1632"/>
      <c r="Y296" s="1656"/>
      <c r="Z296" s="2834"/>
      <c r="AA296" s="1383"/>
      <c r="AB296" s="912"/>
      <c r="AC296" s="2843"/>
      <c r="AD296" s="912"/>
      <c r="AE296" s="1657"/>
      <c r="AF296" s="2846"/>
      <c r="AG296" s="1385"/>
      <c r="AH296" s="1645"/>
      <c r="AI296" s="1160"/>
      <c r="AJ296" s="1160"/>
      <c r="AK296" s="1285"/>
      <c r="AL296" s="1595"/>
      <c r="AM296" s="1285"/>
      <c r="AN296" s="1273"/>
      <c r="AO296" s="1533"/>
      <c r="AP296" s="1533"/>
      <c r="AQ296" s="1647"/>
      <c r="AR296" s="2846"/>
      <c r="AS296" s="1612"/>
      <c r="AT296" s="1392"/>
      <c r="AU296" s="1411"/>
      <c r="AV296" s="1394"/>
      <c r="AW296" s="684"/>
      <c r="AX296" s="2846"/>
      <c r="AY296" s="684"/>
      <c r="AZ296" s="1658"/>
      <c r="BA296" s="1554"/>
      <c r="BB296" s="1659"/>
      <c r="BC296" s="869"/>
      <c r="BD296" s="1555"/>
      <c r="BE296" s="687"/>
      <c r="BF296" s="1401"/>
      <c r="BG296" s="2853"/>
      <c r="BH296" s="1401"/>
      <c r="BI296" s="1542"/>
      <c r="BJ296" s="2865"/>
      <c r="BK296" s="1587"/>
      <c r="BL296" s="1660"/>
      <c r="BM296" s="1637"/>
      <c r="BN296" s="1168"/>
      <c r="BO296" s="1107"/>
      <c r="BP296" s="1161"/>
      <c r="BQ296" s="1642"/>
      <c r="BR296" s="1107"/>
      <c r="BS296" s="1661"/>
      <c r="BT296" s="1544"/>
      <c r="BU296" s="1544"/>
      <c r="BV296" s="1107"/>
      <c r="BW296" s="1161"/>
      <c r="BX296" s="1642"/>
      <c r="BY296" s="1107"/>
      <c r="BZ296" s="1161"/>
      <c r="CA296" s="1107"/>
      <c r="CB296" s="1107"/>
      <c r="CC296" s="1662"/>
      <c r="CD296" s="1611"/>
      <c r="CE296" s="1611"/>
    </row>
    <row r="297" spans="1:83" ht="14.85" customHeight="1" x14ac:dyDescent="0.4">
      <c r="A297" s="249"/>
      <c r="B297" s="249"/>
      <c r="C297" s="584">
        <v>0.61111111111111005</v>
      </c>
      <c r="D297" s="587"/>
      <c r="E297" s="1416"/>
      <c r="F297" s="1417"/>
      <c r="G297" s="588"/>
      <c r="H297" s="1418"/>
      <c r="I297" s="1118"/>
      <c r="J297" s="691"/>
      <c r="K297" s="2688"/>
      <c r="L297" s="705"/>
      <c r="M297" s="1656"/>
      <c r="N297" s="686"/>
      <c r="O297" s="1383"/>
      <c r="P297" s="769"/>
      <c r="Q297" s="2834"/>
      <c r="R297" s="708"/>
      <c r="S297" s="664"/>
      <c r="T297" s="2834"/>
      <c r="U297" s="912"/>
      <c r="V297" s="709"/>
      <c r="W297" s="2834"/>
      <c r="X297" s="684"/>
      <c r="Y297" s="1656"/>
      <c r="Z297" s="2834"/>
      <c r="AA297" s="1383"/>
      <c r="AB297" s="912"/>
      <c r="AC297" s="2843"/>
      <c r="AD297" s="912"/>
      <c r="AE297" s="1385"/>
      <c r="AF297" s="2846"/>
      <c r="AG297" s="1385"/>
      <c r="AH297" s="1160"/>
      <c r="AI297" s="1160"/>
      <c r="AJ297" s="1160"/>
      <c r="AK297" s="1663"/>
      <c r="AL297" s="1595"/>
      <c r="AM297" s="1200"/>
      <c r="AN297" s="1273"/>
      <c r="AO297" s="1533"/>
      <c r="AP297" s="1533"/>
      <c r="AQ297" s="1550"/>
      <c r="AR297" s="2846"/>
      <c r="AS297" s="778"/>
      <c r="AT297" s="1394"/>
      <c r="AU297" s="1627"/>
      <c r="AV297" s="1394"/>
      <c r="AW297" s="1395"/>
      <c r="AX297" s="2846"/>
      <c r="AY297" s="1395"/>
      <c r="AZ297" s="1280"/>
      <c r="BA297" s="1554"/>
      <c r="BB297" s="1280"/>
      <c r="BC297" s="687"/>
      <c r="BD297" s="967"/>
      <c r="BE297" s="687"/>
      <c r="BF297" s="1401"/>
      <c r="BG297" s="2853"/>
      <c r="BH297" s="1401"/>
      <c r="BI297" s="1556"/>
      <c r="BJ297" s="2865"/>
      <c r="BK297" s="1636"/>
      <c r="BL297" s="1168"/>
      <c r="BM297" s="1428"/>
      <c r="BN297" s="1168"/>
      <c r="BO297" s="1107"/>
      <c r="BP297" s="1107"/>
      <c r="BQ297" s="1642"/>
      <c r="BR297" s="1107"/>
      <c r="BS297" s="1544"/>
      <c r="BT297" s="1544"/>
      <c r="BU297" s="1544"/>
      <c r="BV297" s="1107"/>
      <c r="BW297" s="1107"/>
      <c r="BX297" s="1642"/>
      <c r="BY297" s="1107"/>
      <c r="BZ297" s="1107"/>
      <c r="CA297" s="1107"/>
      <c r="CB297" s="1107"/>
      <c r="CC297" s="1611"/>
      <c r="CD297" s="1611"/>
      <c r="CE297" s="1611"/>
    </row>
    <row r="298" spans="1:83" ht="20.85" customHeight="1" x14ac:dyDescent="0.4">
      <c r="A298" s="249" t="s">
        <v>434</v>
      </c>
      <c r="B298" s="249"/>
      <c r="C298" s="584">
        <v>0.61458333333333304</v>
      </c>
      <c r="D298" s="587"/>
      <c r="E298" s="1519"/>
      <c r="F298" s="1520"/>
      <c r="G298" s="615"/>
      <c r="H298" s="1522"/>
      <c r="I298" s="742"/>
      <c r="J298" s="635"/>
      <c r="K298" s="2688"/>
      <c r="L298" s="705"/>
      <c r="M298" s="1656"/>
      <c r="N298" s="686"/>
      <c r="O298" s="1383"/>
      <c r="P298" s="795"/>
      <c r="Q298" s="2834"/>
      <c r="R298" s="708"/>
      <c r="S298" s="664"/>
      <c r="T298" s="2834"/>
      <c r="U298" s="912"/>
      <c r="V298" s="709"/>
      <c r="W298" s="2834"/>
      <c r="X298" s="684"/>
      <c r="Y298" s="1656"/>
      <c r="Z298" s="2834"/>
      <c r="AA298" s="1383"/>
      <c r="AB298" s="912"/>
      <c r="AC298" s="2843"/>
      <c r="AD298" s="912"/>
      <c r="AE298" s="1385"/>
      <c r="AF298" s="2846"/>
      <c r="AG298" s="1385"/>
      <c r="AH298" s="1159"/>
      <c r="AI298" s="1160" t="s">
        <v>332</v>
      </c>
      <c r="AJ298" s="1160"/>
      <c r="AK298" s="1285"/>
      <c r="AL298" s="2840" t="s">
        <v>361</v>
      </c>
      <c r="AM298" s="1285"/>
      <c r="AN298" s="1273"/>
      <c r="AO298" s="1625" t="s">
        <v>331</v>
      </c>
      <c r="AP298" s="1533"/>
      <c r="AQ298" s="1550"/>
      <c r="AR298" s="2846"/>
      <c r="AS298" s="1640"/>
      <c r="AT298" s="1210"/>
      <c r="AU298" s="1664"/>
      <c r="AV298" s="1411"/>
      <c r="AW298" s="1395"/>
      <c r="AX298" s="2846"/>
      <c r="AY298" s="1572"/>
      <c r="AZ298" s="1280"/>
      <c r="BA298" s="1554"/>
      <c r="BB298" s="1573"/>
      <c r="BC298" s="687"/>
      <c r="BD298" s="1216" t="s">
        <v>379</v>
      </c>
      <c r="BE298" s="687"/>
      <c r="BF298" s="1401"/>
      <c r="BG298" s="2853"/>
      <c r="BH298" s="1401"/>
      <c r="BI298" s="1556"/>
      <c r="BJ298" s="2865"/>
      <c r="BK298" s="1587"/>
      <c r="BL298" s="1168"/>
      <c r="BM298" s="1186" t="s">
        <v>335</v>
      </c>
      <c r="BN298" s="1168"/>
      <c r="BO298" s="1107"/>
      <c r="BP298" s="1107"/>
      <c r="BQ298" s="1642"/>
      <c r="BR298" s="1614"/>
      <c r="BS298" s="1544"/>
      <c r="BT298" s="1544"/>
      <c r="BU298" s="1615"/>
      <c r="BV298" s="1107"/>
      <c r="BW298" s="1107"/>
      <c r="BX298" s="1642"/>
      <c r="BY298" s="1614"/>
      <c r="BZ298" s="1107"/>
      <c r="CA298" s="1107"/>
      <c r="CB298" s="1614"/>
      <c r="CC298" s="1611"/>
      <c r="CD298" s="1611"/>
      <c r="CE298" s="1616"/>
    </row>
    <row r="299" spans="1:83" ht="21" customHeight="1" x14ac:dyDescent="0.4">
      <c r="A299" s="249"/>
      <c r="B299" s="249"/>
      <c r="C299" s="584" t="s">
        <v>307</v>
      </c>
      <c r="D299" s="587"/>
      <c r="E299" s="1416"/>
      <c r="F299" s="1417"/>
      <c r="G299" s="588"/>
      <c r="H299" s="1418"/>
      <c r="I299" s="742"/>
      <c r="J299" s="635"/>
      <c r="K299" s="1378"/>
      <c r="L299" s="705"/>
      <c r="M299" s="1656"/>
      <c r="N299" s="1064"/>
      <c r="O299" s="1383"/>
      <c r="P299" s="795"/>
      <c r="Q299" s="2834"/>
      <c r="R299" s="708"/>
      <c r="S299" s="664"/>
      <c r="T299" s="2834"/>
      <c r="U299" s="912"/>
      <c r="V299" s="709"/>
      <c r="W299" s="2834"/>
      <c r="X299" s="684"/>
      <c r="Y299" s="1656"/>
      <c r="Z299" s="2834"/>
      <c r="AA299" s="1383"/>
      <c r="AB299" s="912"/>
      <c r="AC299" s="2843"/>
      <c r="AD299" s="912"/>
      <c r="AE299" s="1385"/>
      <c r="AF299" s="2846"/>
      <c r="AG299" s="1385"/>
      <c r="AH299" s="1430"/>
      <c r="AI299" s="793" t="s">
        <v>336</v>
      </c>
      <c r="AJ299" s="1430"/>
      <c r="AK299" s="1285"/>
      <c r="AL299" s="2840"/>
      <c r="AM299" s="1285"/>
      <c r="AN299" s="1273"/>
      <c r="AO299" s="1533" t="s">
        <v>349</v>
      </c>
      <c r="AP299" s="1533"/>
      <c r="AQ299" s="1550"/>
      <c r="AR299" s="2846"/>
      <c r="AS299" s="1648"/>
      <c r="AT299" s="1210"/>
      <c r="AU299" s="1665"/>
      <c r="AV299" s="1537"/>
      <c r="AW299" s="1395"/>
      <c r="AX299" s="2846"/>
      <c r="AY299" s="1022"/>
      <c r="AZ299" s="1280"/>
      <c r="BA299" s="1554"/>
      <c r="BB299" s="1573"/>
      <c r="BC299" s="687"/>
      <c r="BD299" s="1555" t="s">
        <v>381</v>
      </c>
      <c r="BE299" s="687"/>
      <c r="BF299" s="1401"/>
      <c r="BG299" s="2853"/>
      <c r="BH299" s="1401"/>
      <c r="BI299" s="1556"/>
      <c r="BJ299" s="2865"/>
      <c r="BK299" s="1587"/>
      <c r="BL299" s="1168"/>
      <c r="BM299" s="1562"/>
      <c r="BN299" s="1168"/>
      <c r="BO299" s="1107"/>
      <c r="BP299" s="1622"/>
      <c r="BQ299" s="1642"/>
      <c r="BR299" s="1614"/>
      <c r="BS299" s="1621"/>
      <c r="BT299" s="1544"/>
      <c r="BU299" s="1615"/>
      <c r="BV299" s="1107"/>
      <c r="BW299" s="1622"/>
      <c r="BX299" s="1642"/>
      <c r="BY299" s="1614"/>
      <c r="BZ299" s="1622"/>
      <c r="CA299" s="1107"/>
      <c r="CB299" s="1614"/>
      <c r="CC299" s="1623"/>
      <c r="CD299" s="1611"/>
      <c r="CE299" s="1616"/>
    </row>
    <row r="300" spans="1:83" ht="19.350000000000001" customHeight="1" x14ac:dyDescent="0.4">
      <c r="A300" s="249"/>
      <c r="B300" s="249"/>
      <c r="C300" s="584" t="s">
        <v>307</v>
      </c>
      <c r="D300" s="587"/>
      <c r="E300" s="1416"/>
      <c r="F300" s="1417"/>
      <c r="G300" s="588"/>
      <c r="H300" s="1418"/>
      <c r="I300" s="742"/>
      <c r="J300" s="635"/>
      <c r="K300" s="1378"/>
      <c r="L300" s="705"/>
      <c r="M300" s="1656"/>
      <c r="N300" s="1064"/>
      <c r="O300" s="1383"/>
      <c r="P300" s="795"/>
      <c r="Q300" s="2834"/>
      <c r="R300" s="708"/>
      <c r="S300" s="664"/>
      <c r="T300" s="2834"/>
      <c r="U300" s="912"/>
      <c r="V300" s="709"/>
      <c r="W300" s="2834"/>
      <c r="X300" s="684"/>
      <c r="Y300" s="1656"/>
      <c r="Z300" s="2834"/>
      <c r="AA300" s="1383"/>
      <c r="AB300" s="912"/>
      <c r="AC300" s="2843"/>
      <c r="AD300" s="912"/>
      <c r="AE300" s="1385"/>
      <c r="AF300" s="2846"/>
      <c r="AG300" s="1624"/>
      <c r="AH300" s="1160"/>
      <c r="AI300" s="1160" t="s">
        <v>350</v>
      </c>
      <c r="AJ300" s="1160"/>
      <c r="AK300" s="1285"/>
      <c r="AL300" s="2840"/>
      <c r="AM300" s="1285"/>
      <c r="AN300" s="1273"/>
      <c r="AO300" s="1533" t="s">
        <v>350</v>
      </c>
      <c r="AP300" s="1533"/>
      <c r="AQ300" s="1550"/>
      <c r="AR300" s="2846"/>
      <c r="AS300" s="1648"/>
      <c r="AT300" s="1210"/>
      <c r="AU300" s="1665"/>
      <c r="AV300" s="1537"/>
      <c r="AW300" s="1395"/>
      <c r="AX300" s="2846"/>
      <c r="AY300" s="1022"/>
      <c r="AZ300" s="1608"/>
      <c r="BA300" s="1554"/>
      <c r="BB300" s="1609"/>
      <c r="BC300" s="687"/>
      <c r="BD300" s="975" t="s">
        <v>384</v>
      </c>
      <c r="BE300" s="908"/>
      <c r="BF300" s="1401"/>
      <c r="BG300" s="2853"/>
      <c r="BH300" s="1401"/>
      <c r="BI300" s="1556"/>
      <c r="BJ300" s="2865"/>
      <c r="BK300" s="1587"/>
      <c r="BL300" s="1168"/>
      <c r="BM300" s="1637"/>
      <c r="BN300" s="1630"/>
      <c r="BO300" s="1107"/>
      <c r="BP300" s="1622"/>
      <c r="BQ300" s="1642"/>
      <c r="BR300" s="1614"/>
      <c r="BS300" s="1621"/>
      <c r="BT300" s="1544"/>
      <c r="BU300" s="1615"/>
      <c r="BV300" s="1107"/>
      <c r="BW300" s="1622"/>
      <c r="BX300" s="1642"/>
      <c r="BY300" s="1614"/>
      <c r="BZ300" s="1622"/>
      <c r="CA300" s="1107"/>
      <c r="CB300" s="1614"/>
      <c r="CC300" s="1623"/>
      <c r="CD300" s="1611"/>
      <c r="CE300" s="1616"/>
    </row>
    <row r="301" spans="1:83" ht="19.350000000000001" customHeight="1" x14ac:dyDescent="0.4">
      <c r="A301" s="249"/>
      <c r="B301" s="249"/>
      <c r="C301" s="584" t="s">
        <v>307</v>
      </c>
      <c r="D301" s="587"/>
      <c r="E301" s="1416"/>
      <c r="F301" s="1417"/>
      <c r="G301" s="588"/>
      <c r="H301" s="1418"/>
      <c r="I301" s="742"/>
      <c r="J301" s="635"/>
      <c r="K301" s="1378"/>
      <c r="L301" s="705"/>
      <c r="M301" s="685"/>
      <c r="N301" s="686"/>
      <c r="O301" s="1383"/>
      <c r="P301" s="795"/>
      <c r="Q301" s="2834"/>
      <c r="R301" s="708"/>
      <c r="S301" s="664"/>
      <c r="T301" s="2834"/>
      <c r="U301" s="1399"/>
      <c r="V301" s="709"/>
      <c r="W301" s="2834"/>
      <c r="X301" s="684"/>
      <c r="Y301" s="685"/>
      <c r="Z301" s="2834"/>
      <c r="AA301" s="1383"/>
      <c r="AB301" s="1399"/>
      <c r="AC301" s="2843"/>
      <c r="AD301" s="1399"/>
      <c r="AE301" s="1385"/>
      <c r="AF301" s="2846"/>
      <c r="AG301" s="1624"/>
      <c r="AH301" s="1160"/>
      <c r="AI301" s="1160"/>
      <c r="AJ301" s="1160"/>
      <c r="AK301" s="1285"/>
      <c r="AL301" s="2840"/>
      <c r="AM301" s="1285"/>
      <c r="AN301" s="1273"/>
      <c r="AO301" s="1666"/>
      <c r="AP301" s="1533"/>
      <c r="AQ301" s="1550"/>
      <c r="AR301" s="2846"/>
      <c r="AS301" s="1648"/>
      <c r="AT301" s="1667"/>
      <c r="AU301" s="1665"/>
      <c r="AV301" s="1668"/>
      <c r="AW301" s="683"/>
      <c r="AX301" s="2846"/>
      <c r="AY301" s="1585"/>
      <c r="AZ301" s="1669"/>
      <c r="BA301" s="1554"/>
      <c r="BB301" s="1586"/>
      <c r="BC301" s="687"/>
      <c r="BD301" s="975"/>
      <c r="BE301" s="908"/>
      <c r="BF301" s="1401"/>
      <c r="BG301" s="2853"/>
      <c r="BH301" s="1401"/>
      <c r="BI301" s="1670"/>
      <c r="BJ301" s="2865"/>
      <c r="BK301" s="1671"/>
      <c r="BL301" s="1168"/>
      <c r="BM301" s="1637"/>
      <c r="BN301" s="1630"/>
      <c r="BO301" s="1107"/>
      <c r="BP301" s="1622"/>
      <c r="BQ301" s="1642"/>
      <c r="BR301" s="1614"/>
      <c r="BS301" s="1621"/>
      <c r="BT301" s="1544"/>
      <c r="BU301" s="1615"/>
      <c r="BV301" s="1107"/>
      <c r="BW301" s="1622"/>
      <c r="BX301" s="1642"/>
      <c r="BY301" s="1614"/>
      <c r="BZ301" s="1622"/>
      <c r="CA301" s="1107"/>
      <c r="CB301" s="1614"/>
      <c r="CC301" s="1623"/>
      <c r="CD301" s="1611"/>
      <c r="CE301" s="1616"/>
    </row>
    <row r="302" spans="1:83" ht="14.85" customHeight="1" x14ac:dyDescent="0.4">
      <c r="A302" s="249"/>
      <c r="B302" s="249"/>
      <c r="C302" s="584">
        <v>0.61805555555555503</v>
      </c>
      <c r="D302" s="587"/>
      <c r="E302" s="1416"/>
      <c r="F302" s="1417"/>
      <c r="G302" s="588"/>
      <c r="H302" s="1418"/>
      <c r="I302" s="742"/>
      <c r="J302" s="635"/>
      <c r="K302" s="1378"/>
      <c r="L302" s="705"/>
      <c r="M302" s="685"/>
      <c r="N302" s="686"/>
      <c r="O302" s="1383"/>
      <c r="P302" s="795"/>
      <c r="Q302" s="2834"/>
      <c r="R302" s="996"/>
      <c r="S302" s="687"/>
      <c r="T302" s="2834"/>
      <c r="U302" s="1399"/>
      <c r="V302" s="684"/>
      <c r="W302" s="2834"/>
      <c r="X302" s="684"/>
      <c r="Y302" s="685"/>
      <c r="Z302" s="2834"/>
      <c r="AA302" s="1383"/>
      <c r="AB302" s="1399"/>
      <c r="AC302" s="2843"/>
      <c r="AD302" s="1399"/>
      <c r="AE302" s="1385"/>
      <c r="AF302" s="2846"/>
      <c r="AG302" s="1385"/>
      <c r="AH302" s="1160"/>
      <c r="AI302" s="1160"/>
      <c r="AJ302" s="1160"/>
      <c r="AK302" s="1285"/>
      <c r="AL302" s="2840"/>
      <c r="AM302" s="1531"/>
      <c r="AN302" s="1273"/>
      <c r="AO302" s="1672"/>
      <c r="AP302" s="1673"/>
      <c r="AQ302" s="1550"/>
      <c r="AR302" s="2846"/>
      <c r="AS302" s="1640"/>
      <c r="AT302" s="1674"/>
      <c r="AU302" s="1627"/>
      <c r="AV302" s="1411"/>
      <c r="AW302" s="1252"/>
      <c r="AX302" s="2846"/>
      <c r="AY302" s="1572"/>
      <c r="AZ302" s="1598"/>
      <c r="BA302" s="1554"/>
      <c r="BB302" s="1573"/>
      <c r="BC302" s="687"/>
      <c r="BD302" s="967"/>
      <c r="BE302" s="687"/>
      <c r="BF302" s="1401"/>
      <c r="BG302" s="2853"/>
      <c r="BH302" s="1401"/>
      <c r="BI302" s="1675"/>
      <c r="BJ302" s="2865"/>
      <c r="BK302" s="1575"/>
      <c r="BL302" s="1168"/>
      <c r="BM302" s="1428"/>
      <c r="BN302" s="1168"/>
      <c r="BO302" s="1107"/>
      <c r="BP302" s="1107"/>
      <c r="BQ302" s="1642"/>
      <c r="BR302" s="1107"/>
      <c r="BS302" s="1544"/>
      <c r="BT302" s="1544"/>
      <c r="BU302" s="1544"/>
      <c r="BV302" s="1107"/>
      <c r="BW302" s="1107"/>
      <c r="BX302" s="1642"/>
      <c r="BY302" s="1107"/>
      <c r="BZ302" s="1107"/>
      <c r="CA302" s="1107"/>
      <c r="CB302" s="1107"/>
      <c r="CC302" s="1611"/>
      <c r="CD302" s="1611"/>
      <c r="CE302" s="1611"/>
    </row>
    <row r="303" spans="1:83" ht="46.5" customHeight="1" x14ac:dyDescent="0.4">
      <c r="A303" s="249"/>
      <c r="B303" s="249"/>
      <c r="C303" s="802">
        <v>0.62152777777777701</v>
      </c>
      <c r="D303" s="1010"/>
      <c r="E303" s="1481"/>
      <c r="F303" s="1482"/>
      <c r="G303" s="1012"/>
      <c r="H303" s="1484"/>
      <c r="I303" s="873"/>
      <c r="J303" s="1676"/>
      <c r="K303" s="1677"/>
      <c r="L303" s="810"/>
      <c r="M303" s="1061"/>
      <c r="N303" s="1685"/>
      <c r="O303" s="1061"/>
      <c r="P303" s="1678"/>
      <c r="Q303" s="1679"/>
      <c r="R303" s="1053"/>
      <c r="S303" s="1932"/>
      <c r="T303" s="1917"/>
      <c r="U303" s="1932"/>
      <c r="V303" s="1682"/>
      <c r="W303" s="1683"/>
      <c r="X303" s="1684"/>
      <c r="Y303" s="1061"/>
      <c r="Z303" s="1685"/>
      <c r="AA303" s="1061"/>
      <c r="AB303" s="687"/>
      <c r="AC303" s="687"/>
      <c r="AD303" s="687"/>
      <c r="AE303" s="1686"/>
      <c r="AF303" s="2847"/>
      <c r="AG303" s="1385"/>
      <c r="AH303" s="1687"/>
      <c r="AI303" s="1687"/>
      <c r="AJ303" s="1687"/>
      <c r="AK303" s="1688"/>
      <c r="AL303" s="2840"/>
      <c r="AM303" s="1688"/>
      <c r="AN303" s="1500"/>
      <c r="AO303" s="1689"/>
      <c r="AP303" s="1690"/>
      <c r="AQ303" s="1691"/>
      <c r="AR303" s="2846"/>
      <c r="AS303" s="1692"/>
      <c r="AT303" s="1693"/>
      <c r="AU303" s="1503"/>
      <c r="AV303" s="1505"/>
      <c r="AW303" s="814"/>
      <c r="AX303" s="2847"/>
      <c r="AY303" s="814"/>
      <c r="AZ303" s="1694"/>
      <c r="BA303" s="1695"/>
      <c r="BB303" s="1696"/>
      <c r="BC303" s="687"/>
      <c r="BD303" s="967"/>
      <c r="BE303" s="687"/>
      <c r="BF303" s="1697"/>
      <c r="BG303" s="2854"/>
      <c r="BH303" s="1697"/>
      <c r="BI303" s="1698"/>
      <c r="BJ303" s="2866"/>
      <c r="BK303" s="1699"/>
      <c r="BL303" s="1700"/>
      <c r="BM303" s="1701"/>
      <c r="BN303" s="1700"/>
      <c r="BO303" s="1702"/>
      <c r="BP303" s="1702"/>
      <c r="BQ303" s="1703"/>
      <c r="BR303" s="1702"/>
      <c r="BS303" s="1704"/>
      <c r="BT303" s="1704"/>
      <c r="BU303" s="1704"/>
      <c r="BV303" s="1702"/>
      <c r="BW303" s="1702"/>
      <c r="BX303" s="1703"/>
      <c r="BY303" s="1702"/>
      <c r="BZ303" s="1702"/>
      <c r="CA303" s="1702"/>
      <c r="CB303" s="1702"/>
      <c r="CC303" s="1705"/>
      <c r="CD303" s="1705"/>
      <c r="CE303" s="1705"/>
    </row>
    <row r="304" spans="1:83" ht="24.6" customHeight="1" x14ac:dyDescent="0.4">
      <c r="A304" s="249"/>
      <c r="B304" s="249"/>
      <c r="C304" s="578">
        <v>0.624999999999999</v>
      </c>
      <c r="D304" s="1706"/>
      <c r="E304" s="1707"/>
      <c r="F304" s="1708"/>
      <c r="G304" s="1706"/>
      <c r="H304" s="1707"/>
      <c r="I304" s="1709"/>
      <c r="J304" s="1706"/>
      <c r="K304" s="1707"/>
      <c r="L304" s="1709"/>
      <c r="M304" s="1706"/>
      <c r="N304" s="1707"/>
      <c r="O304" s="1709"/>
      <c r="P304" s="1710"/>
      <c r="Q304" s="2824" t="s">
        <v>436</v>
      </c>
      <c r="R304" s="1711"/>
      <c r="S304" s="664"/>
      <c r="T304" s="2767"/>
      <c r="U304" s="1635"/>
      <c r="V304" s="1712"/>
      <c r="W304" s="1713" t="s">
        <v>437</v>
      </c>
      <c r="X304" s="1714"/>
      <c r="Y304" s="1715"/>
      <c r="Z304" s="1126"/>
      <c r="AA304" s="1716"/>
      <c r="AB304" s="1717"/>
      <c r="AC304" s="1717"/>
      <c r="AD304" s="1717"/>
      <c r="AE304" s="1718"/>
      <c r="AF304" s="1385" t="s">
        <v>332</v>
      </c>
      <c r="AG304" s="1719"/>
      <c r="AH304" s="1645"/>
      <c r="AI304" s="2858" t="s">
        <v>407</v>
      </c>
      <c r="AJ304" s="1720"/>
      <c r="AK304" s="1285"/>
      <c r="AL304" s="2840"/>
      <c r="AM304" s="1285"/>
      <c r="AN304" s="1721"/>
      <c r="AO304" s="1450"/>
      <c r="AP304" s="1722"/>
      <c r="AQ304" s="778"/>
      <c r="AR304" s="2846"/>
      <c r="AS304" s="1640"/>
      <c r="AT304" s="1208"/>
      <c r="AU304" s="1723" t="s">
        <v>439</v>
      </c>
      <c r="AV304" s="1724"/>
      <c r="AW304" s="1725"/>
      <c r="AX304" s="1726"/>
      <c r="AY304" s="1714"/>
      <c r="AZ304" s="1650"/>
      <c r="BA304" s="2861" t="s">
        <v>603</v>
      </c>
      <c r="BB304" s="1727"/>
      <c r="BC304" s="1728"/>
      <c r="BD304" s="2861" t="s">
        <v>407</v>
      </c>
      <c r="BE304" s="1729"/>
      <c r="BF304" s="1401"/>
      <c r="BG304" s="1401" t="s">
        <v>379</v>
      </c>
      <c r="BH304" s="1401"/>
      <c r="BI304" s="1160"/>
      <c r="BJ304" s="1160"/>
      <c r="BK304" s="1160"/>
      <c r="BL304" s="1730"/>
      <c r="BM304" s="1186" t="s">
        <v>447</v>
      </c>
      <c r="BN304" s="1731"/>
      <c r="BO304" s="1610"/>
      <c r="BP304" s="1610"/>
      <c r="BQ304" s="1579"/>
      <c r="BR304" s="1191"/>
      <c r="BS304" s="1732"/>
      <c r="BT304" s="1733" t="s">
        <v>271</v>
      </c>
      <c r="BU304" s="1734"/>
      <c r="BV304" s="1610"/>
      <c r="BW304" s="1610"/>
      <c r="BX304" s="1579"/>
      <c r="BY304" s="1191"/>
      <c r="BZ304" s="1735"/>
      <c r="CA304" s="1736" t="s">
        <v>271</v>
      </c>
      <c r="CB304" s="1737"/>
      <c r="CC304" s="1738"/>
      <c r="CD304" s="1739"/>
      <c r="CE304" s="1740"/>
    </row>
    <row r="305" spans="1:83" ht="20.100000000000001" customHeight="1" x14ac:dyDescent="0.4">
      <c r="A305" s="249"/>
      <c r="B305" s="249"/>
      <c r="C305" s="584" t="s">
        <v>307</v>
      </c>
      <c r="D305" s="1741"/>
      <c r="E305" s="1707"/>
      <c r="F305" s="1708"/>
      <c r="G305" s="1741"/>
      <c r="H305" s="1707"/>
      <c r="I305" s="1742"/>
      <c r="J305" s="1741"/>
      <c r="K305" s="1707"/>
      <c r="L305" s="1742"/>
      <c r="M305" s="1741"/>
      <c r="N305" s="1707"/>
      <c r="O305" s="1742"/>
      <c r="P305" s="1743"/>
      <c r="Q305" s="1744"/>
      <c r="R305" s="1053"/>
      <c r="S305" s="664"/>
      <c r="T305" s="2767"/>
      <c r="U305" s="1635"/>
      <c r="V305" s="1745"/>
      <c r="W305" s="1746" t="s">
        <v>353</v>
      </c>
      <c r="X305" s="1684"/>
      <c r="Y305" s="1747"/>
      <c r="Z305" s="1748"/>
      <c r="AA305" s="1061"/>
      <c r="AB305" s="687"/>
      <c r="AC305" s="687"/>
      <c r="AD305" s="687"/>
      <c r="AE305" s="1157"/>
      <c r="AF305" s="1385" t="s">
        <v>333</v>
      </c>
      <c r="AG305" s="1385"/>
      <c r="AH305" s="1645"/>
      <c r="AI305" s="2859"/>
      <c r="AJ305" s="1618"/>
      <c r="AK305" s="2806"/>
      <c r="AL305" s="2840"/>
      <c r="AM305" s="1531"/>
      <c r="AN305" s="1450"/>
      <c r="AO305" s="1450"/>
      <c r="AP305" s="1438"/>
      <c r="AQ305" s="778"/>
      <c r="AR305" s="2846"/>
      <c r="AS305" s="1749"/>
      <c r="AT305" s="1208"/>
      <c r="AU305" s="1750" t="s">
        <v>442</v>
      </c>
      <c r="AV305" s="1724"/>
      <c r="AW305" s="1395"/>
      <c r="AX305" s="1751"/>
      <c r="AY305" s="1752"/>
      <c r="AZ305" s="1280"/>
      <c r="BA305" s="2862"/>
      <c r="BB305" s="1289"/>
      <c r="BC305" s="1574"/>
      <c r="BD305" s="2862"/>
      <c r="BE305" s="687"/>
      <c r="BF305" s="1401"/>
      <c r="BG305" s="1426" t="s">
        <v>381</v>
      </c>
      <c r="BH305" s="1401"/>
      <c r="BI305" s="1160"/>
      <c r="BJ305" s="1160"/>
      <c r="BK305" s="1160"/>
      <c r="BL305" s="1730"/>
      <c r="BM305" s="1753" t="s">
        <v>604</v>
      </c>
      <c r="BN305" s="1731"/>
      <c r="BO305" s="1580"/>
      <c r="BP305" s="1108"/>
      <c r="BQ305" s="1109"/>
      <c r="BR305" s="1109"/>
      <c r="BS305" s="1754"/>
      <c r="BT305" s="1755" t="s">
        <v>310</v>
      </c>
      <c r="BU305" s="1755"/>
      <c r="BV305" s="1580"/>
      <c r="BW305" s="1108"/>
      <c r="BX305" s="1109"/>
      <c r="BY305" s="1109"/>
      <c r="BZ305" s="1756"/>
      <c r="CA305" s="1757" t="s">
        <v>310</v>
      </c>
      <c r="CB305" s="1757"/>
      <c r="CC305" s="1758"/>
      <c r="CD305" s="1759"/>
      <c r="CE305" s="1759"/>
    </row>
    <row r="306" spans="1:83" ht="21.75" customHeight="1" x14ac:dyDescent="0.4">
      <c r="A306" s="249"/>
      <c r="B306" s="249"/>
      <c r="C306" s="584" t="s">
        <v>307</v>
      </c>
      <c r="D306" s="1741"/>
      <c r="E306" s="1707"/>
      <c r="F306" s="1708"/>
      <c r="G306" s="1741"/>
      <c r="H306" s="1707"/>
      <c r="I306" s="1742"/>
      <c r="J306" s="1741"/>
      <c r="K306" s="1707"/>
      <c r="L306" s="1742"/>
      <c r="M306" s="1741"/>
      <c r="N306" s="1707"/>
      <c r="O306" s="1742"/>
      <c r="P306" s="1743"/>
      <c r="Q306" s="1744"/>
      <c r="R306" s="1053"/>
      <c r="S306" s="664"/>
      <c r="T306" s="1465"/>
      <c r="U306" s="687"/>
      <c r="V306" s="1745"/>
      <c r="W306" s="1746" t="s">
        <v>331</v>
      </c>
      <c r="X306" s="1684"/>
      <c r="Y306" s="1061"/>
      <c r="Z306" s="1748"/>
      <c r="AA306" s="1061"/>
      <c r="AB306" s="687"/>
      <c r="AC306" s="687"/>
      <c r="AD306" s="687"/>
      <c r="AE306" s="1385"/>
      <c r="AF306" s="1385"/>
      <c r="AG306" s="1385"/>
      <c r="AH306" s="1645"/>
      <c r="AI306" s="2859"/>
      <c r="AJ306" s="1618"/>
      <c r="AK306" s="1285"/>
      <c r="AL306" s="2840"/>
      <c r="AM306" s="1285"/>
      <c r="AN306" s="1450"/>
      <c r="AO306" s="1450"/>
      <c r="AP306" s="1761"/>
      <c r="AQ306" s="778"/>
      <c r="AR306" s="2846"/>
      <c r="AS306" s="1640"/>
      <c r="AT306" s="1210"/>
      <c r="AU306" s="1627"/>
      <c r="AV306" s="1210"/>
      <c r="AW306" s="1538"/>
      <c r="AX306" s="1751"/>
      <c r="AY306" s="1022"/>
      <c r="AZ306" s="1280"/>
      <c r="BA306" s="2862"/>
      <c r="BB306" s="1289"/>
      <c r="BC306" s="687"/>
      <c r="BD306" s="2862"/>
      <c r="BE306" s="687"/>
      <c r="BF306" s="1401"/>
      <c r="BG306" s="1426" t="s">
        <v>384</v>
      </c>
      <c r="BH306" s="1401"/>
      <c r="BI306" s="1160"/>
      <c r="BJ306" s="1160"/>
      <c r="BK306" s="1160"/>
      <c r="BL306" s="1730"/>
      <c r="BM306" s="1762"/>
      <c r="BN306" s="1731"/>
      <c r="BO306" s="1107"/>
      <c r="BP306" s="1108"/>
      <c r="BQ306" s="1195"/>
      <c r="BR306" s="1109"/>
      <c r="BS306" s="1754"/>
      <c r="BT306" s="182"/>
      <c r="BU306" s="1755"/>
      <c r="BV306" s="1107"/>
      <c r="BW306" s="1108"/>
      <c r="BX306" s="1195"/>
      <c r="BY306" s="1109"/>
      <c r="BZ306" s="1756"/>
      <c r="CA306" s="183"/>
      <c r="CB306" s="1757"/>
      <c r="CC306" s="1758"/>
      <c r="CD306" s="184"/>
      <c r="CE306" s="1759"/>
    </row>
    <row r="307" spans="1:83" ht="22.5" customHeight="1" x14ac:dyDescent="0.4">
      <c r="A307" s="249"/>
      <c r="B307" s="249"/>
      <c r="C307" s="584" t="s">
        <v>307</v>
      </c>
      <c r="D307" s="1741"/>
      <c r="E307" s="1707"/>
      <c r="F307" s="1708"/>
      <c r="G307" s="1741"/>
      <c r="H307" s="1707"/>
      <c r="I307" s="1742"/>
      <c r="J307" s="1741"/>
      <c r="K307" s="1707"/>
      <c r="L307" s="1742"/>
      <c r="M307" s="1741"/>
      <c r="N307" s="1707"/>
      <c r="O307" s="1742"/>
      <c r="P307" s="1743"/>
      <c r="Q307" s="1744"/>
      <c r="R307" s="1053"/>
      <c r="S307" s="664"/>
      <c r="T307" s="1465"/>
      <c r="U307" s="687"/>
      <c r="V307" s="1745"/>
      <c r="W307" s="1746" t="s">
        <v>350</v>
      </c>
      <c r="X307" s="1684"/>
      <c r="Y307" s="1061"/>
      <c r="Z307" s="1748"/>
      <c r="AA307" s="1061"/>
      <c r="AB307" s="687"/>
      <c r="AC307" s="687"/>
      <c r="AD307" s="687"/>
      <c r="AE307" s="1385"/>
      <c r="AF307" s="1385"/>
      <c r="AG307" s="1385"/>
      <c r="AH307" s="1159"/>
      <c r="AI307" s="2859"/>
      <c r="AJ307" s="1159"/>
      <c r="AK307" s="1285"/>
      <c r="AL307" s="2840"/>
      <c r="AM307" s="1285"/>
      <c r="AN307" s="1273"/>
      <c r="AO307" s="1273"/>
      <c r="AP307" s="1761"/>
      <c r="AQ307" s="778"/>
      <c r="AR307" s="2846"/>
      <c r="AS307" s="1640"/>
      <c r="AT307" s="1208"/>
      <c r="AU307" s="1763"/>
      <c r="AV307" s="1210"/>
      <c r="AW307" s="1538"/>
      <c r="AX307" s="1751"/>
      <c r="AY307" s="1022"/>
      <c r="AZ307" s="1280"/>
      <c r="BA307" s="2862"/>
      <c r="BB307" s="1289"/>
      <c r="BC307" s="687"/>
      <c r="BD307" s="2862"/>
      <c r="BE307" s="687"/>
      <c r="BF307" s="1401"/>
      <c r="BG307" s="1426"/>
      <c r="BH307" s="1401"/>
      <c r="BI307" s="1160"/>
      <c r="BJ307" s="1764" t="s">
        <v>444</v>
      </c>
      <c r="BK307" s="1160"/>
      <c r="BL307" s="1730"/>
      <c r="BM307" s="1762"/>
      <c r="BN307" s="1731"/>
      <c r="BO307" s="1107"/>
      <c r="BP307" s="1107"/>
      <c r="BQ307" s="1195"/>
      <c r="BR307" s="1107"/>
      <c r="BS307" s="182"/>
      <c r="BT307" s="182"/>
      <c r="BU307" s="182"/>
      <c r="BV307" s="1107"/>
      <c r="BW307" s="1107"/>
      <c r="BX307" s="1195"/>
      <c r="BY307" s="1107"/>
      <c r="BZ307" s="183"/>
      <c r="CA307" s="183"/>
      <c r="CB307" s="183"/>
      <c r="CC307" s="184"/>
      <c r="CD307" s="184"/>
      <c r="CE307" s="184"/>
    </row>
    <row r="308" spans="1:83" ht="22.5" customHeight="1" x14ac:dyDescent="0.4">
      <c r="A308" s="249"/>
      <c r="B308" s="249"/>
      <c r="C308" s="584" t="s">
        <v>307</v>
      </c>
      <c r="D308" s="1741"/>
      <c r="E308" s="1707"/>
      <c r="F308" s="1708"/>
      <c r="G308" s="1741"/>
      <c r="H308" s="1707"/>
      <c r="I308" s="1742"/>
      <c r="J308" s="1741"/>
      <c r="K308" s="1707"/>
      <c r="L308" s="1742"/>
      <c r="M308" s="1741"/>
      <c r="N308" s="1707"/>
      <c r="O308" s="1742"/>
      <c r="P308" s="1743"/>
      <c r="Q308" s="1744"/>
      <c r="R308" s="1053"/>
      <c r="S308" s="664"/>
      <c r="T308" s="1465"/>
      <c r="U308" s="687"/>
      <c r="V308" s="1745"/>
      <c r="W308" s="1746"/>
      <c r="X308" s="1684"/>
      <c r="Y308" s="1061"/>
      <c r="Z308" s="1748"/>
      <c r="AA308" s="1061"/>
      <c r="AB308" s="687"/>
      <c r="AC308" s="687"/>
      <c r="AD308" s="687"/>
      <c r="AE308" s="1385"/>
      <c r="AF308" s="1385"/>
      <c r="AG308" s="1385"/>
      <c r="AH308" s="1159"/>
      <c r="AI308" s="2859"/>
      <c r="AJ308" s="1159"/>
      <c r="AK308" s="1765"/>
      <c r="AL308" s="2840"/>
      <c r="AM308" s="1283"/>
      <c r="AN308" s="1619"/>
      <c r="AO308" s="1273"/>
      <c r="AP308" s="1761"/>
      <c r="AQ308" s="778"/>
      <c r="AR308" s="2846"/>
      <c r="AS308" s="1640"/>
      <c r="AT308" s="1452"/>
      <c r="AU308" s="1766"/>
      <c r="AV308" s="1394"/>
      <c r="AW308" s="1538"/>
      <c r="AX308" s="1751"/>
      <c r="AY308" s="1022"/>
      <c r="AZ308" s="1553"/>
      <c r="BA308" s="2862"/>
      <c r="BB308" s="1609"/>
      <c r="BC308" s="687"/>
      <c r="BD308" s="2862"/>
      <c r="BE308" s="687"/>
      <c r="BF308" s="1401"/>
      <c r="BG308" s="1426"/>
      <c r="BH308" s="1401"/>
      <c r="BI308" s="1160"/>
      <c r="BJ308" s="1160"/>
      <c r="BK308" s="1160"/>
      <c r="BL308" s="1730"/>
      <c r="BM308" s="1762"/>
      <c r="BN308" s="1731"/>
      <c r="BO308" s="1580"/>
      <c r="BP308" s="1108"/>
      <c r="BQ308" s="1767"/>
      <c r="BR308" s="1107"/>
      <c r="BS308" s="1754"/>
      <c r="BT308" s="1755"/>
      <c r="BU308" s="182"/>
      <c r="BV308" s="1580"/>
      <c r="BW308" s="1108"/>
      <c r="BX308" s="1767"/>
      <c r="BY308" s="1107"/>
      <c r="BZ308" s="1756"/>
      <c r="CA308" s="1757"/>
      <c r="CB308" s="183"/>
      <c r="CC308" s="1758"/>
      <c r="CD308" s="1759"/>
      <c r="CE308" s="184"/>
    </row>
    <row r="309" spans="1:83" ht="22.5" customHeight="1" x14ac:dyDescent="0.4">
      <c r="A309" s="249"/>
      <c r="B309" s="249"/>
      <c r="C309" s="584" t="s">
        <v>307</v>
      </c>
      <c r="D309" s="1741"/>
      <c r="E309" s="1707"/>
      <c r="F309" s="1708"/>
      <c r="G309" s="1741"/>
      <c r="H309" s="1707"/>
      <c r="I309" s="1742"/>
      <c r="J309" s="1741"/>
      <c r="K309" s="1707"/>
      <c r="L309" s="1742"/>
      <c r="M309" s="1741"/>
      <c r="N309" s="1707"/>
      <c r="O309" s="1742"/>
      <c r="P309" s="1743"/>
      <c r="Q309" s="1744"/>
      <c r="R309" s="1053"/>
      <c r="S309" s="664"/>
      <c r="T309" s="1990"/>
      <c r="U309" s="1399"/>
      <c r="V309" s="709"/>
      <c r="W309" s="1746"/>
      <c r="X309" s="684"/>
      <c r="Y309" s="1061"/>
      <c r="Z309" s="686"/>
      <c r="AA309" s="1061"/>
      <c r="AB309" s="1399"/>
      <c r="AC309" s="1399"/>
      <c r="AD309" s="1399"/>
      <c r="AE309" s="1385"/>
      <c r="AF309" s="1385"/>
      <c r="AG309" s="1385"/>
      <c r="AH309" s="1159"/>
      <c r="AI309" s="2859"/>
      <c r="AJ309" s="1159"/>
      <c r="AK309" s="1765"/>
      <c r="AL309" s="2840"/>
      <c r="AM309" s="1283"/>
      <c r="AN309" s="1619"/>
      <c r="AO309" s="1273"/>
      <c r="AP309" s="1761"/>
      <c r="AQ309" s="778"/>
      <c r="AR309" s="2846"/>
      <c r="AS309" s="1640"/>
      <c r="AT309" s="1452"/>
      <c r="AU309" s="1766"/>
      <c r="AV309" s="1394"/>
      <c r="AW309" s="1538"/>
      <c r="AX309" s="1751"/>
      <c r="AY309" s="1022"/>
      <c r="AZ309" s="1553"/>
      <c r="BA309" s="2862"/>
      <c r="BB309" s="1609"/>
      <c r="BC309" s="687"/>
      <c r="BD309" s="2862"/>
      <c r="BE309" s="687"/>
      <c r="BF309" s="1401"/>
      <c r="BG309" s="1401"/>
      <c r="BH309" s="1401"/>
      <c r="BI309" s="1160"/>
      <c r="BJ309" s="1160"/>
      <c r="BK309" s="1160"/>
      <c r="BL309" s="1730"/>
      <c r="BM309" s="1762"/>
      <c r="BN309" s="1731"/>
      <c r="BO309" s="1580"/>
      <c r="BP309" s="1108"/>
      <c r="BQ309" s="1109"/>
      <c r="BR309" s="1107"/>
      <c r="BS309" s="1754"/>
      <c r="BT309" s="1755"/>
      <c r="BU309" s="182"/>
      <c r="BV309" s="1580"/>
      <c r="BW309" s="1108"/>
      <c r="BX309" s="1109"/>
      <c r="BY309" s="1107"/>
      <c r="BZ309" s="1756"/>
      <c r="CA309" s="1757"/>
      <c r="CB309" s="183"/>
      <c r="CC309" s="1758"/>
      <c r="CD309" s="1759"/>
      <c r="CE309" s="184"/>
    </row>
    <row r="310" spans="1:83" ht="22.5" customHeight="1" x14ac:dyDescent="0.4">
      <c r="A310" s="249"/>
      <c r="B310" s="249"/>
      <c r="C310" s="584">
        <v>0.62847222222222099</v>
      </c>
      <c r="D310" s="1741"/>
      <c r="E310" s="1707"/>
      <c r="F310" s="1708"/>
      <c r="G310" s="1741"/>
      <c r="H310" s="1707"/>
      <c r="I310" s="1742"/>
      <c r="J310" s="1741"/>
      <c r="K310" s="1707"/>
      <c r="L310" s="1742"/>
      <c r="M310" s="1741"/>
      <c r="N310" s="1707"/>
      <c r="O310" s="1742"/>
      <c r="P310" s="1743"/>
      <c r="Q310" s="1768"/>
      <c r="R310" s="1053"/>
      <c r="S310" s="664"/>
      <c r="T310" s="1465"/>
      <c r="U310" s="1399"/>
      <c r="V310" s="709"/>
      <c r="W310" s="1760"/>
      <c r="X310" s="684"/>
      <c r="Y310" s="1061"/>
      <c r="Z310" s="1064"/>
      <c r="AA310" s="1061"/>
      <c r="AB310" s="1399"/>
      <c r="AC310" s="1399"/>
      <c r="AD310" s="1399"/>
      <c r="AE310" s="1385"/>
      <c r="AF310" s="1385"/>
      <c r="AG310" s="1385"/>
      <c r="AH310" s="1160"/>
      <c r="AI310" s="2859"/>
      <c r="AJ310" s="1160"/>
      <c r="AK310" s="1765"/>
      <c r="AL310" s="2840"/>
      <c r="AM310" s="1283"/>
      <c r="AN310" s="1721"/>
      <c r="AO310" s="1421"/>
      <c r="AP310" s="1722"/>
      <c r="AQ310" s="778"/>
      <c r="AR310" s="2846"/>
      <c r="AS310" s="1640"/>
      <c r="AT310" s="1208"/>
      <c r="AU310" s="1627"/>
      <c r="AV310" s="1208"/>
      <c r="AW310" s="1461"/>
      <c r="AX310" s="1751"/>
      <c r="AY310" s="1461"/>
      <c r="AZ310" s="1650"/>
      <c r="BA310" s="2862"/>
      <c r="BB310" s="1727"/>
      <c r="BC310" s="1399"/>
      <c r="BD310" s="2862"/>
      <c r="BE310" s="1399"/>
      <c r="BF310" s="1401"/>
      <c r="BG310" s="1401"/>
      <c r="BH310" s="1401"/>
      <c r="BI310" s="1160"/>
      <c r="BJ310" s="1160"/>
      <c r="BK310" s="1160"/>
      <c r="BL310" s="1730"/>
      <c r="BM310" s="1762"/>
      <c r="BN310" s="1731"/>
      <c r="BO310" s="1107"/>
      <c r="BP310" s="1108"/>
      <c r="BQ310" s="1579"/>
      <c r="BR310" s="1109"/>
      <c r="BS310" s="1754"/>
      <c r="BT310" s="1733"/>
      <c r="BU310" s="1755"/>
      <c r="BV310" s="1107"/>
      <c r="BW310" s="1108"/>
      <c r="BX310" s="1579"/>
      <c r="BY310" s="1109"/>
      <c r="BZ310" s="1756"/>
      <c r="CA310" s="1736"/>
      <c r="CB310" s="1757"/>
      <c r="CC310" s="1758"/>
      <c r="CD310" s="1739"/>
      <c r="CE310" s="1759"/>
    </row>
    <row r="311" spans="1:83" ht="22.5" customHeight="1" x14ac:dyDescent="0.4">
      <c r="A311" s="249"/>
      <c r="B311" s="249"/>
      <c r="C311" s="584" t="s">
        <v>307</v>
      </c>
      <c r="D311" s="1741"/>
      <c r="E311" s="1769"/>
      <c r="F311" s="1770"/>
      <c r="G311" s="1741"/>
      <c r="H311" s="1769"/>
      <c r="I311" s="1742"/>
      <c r="J311" s="1741"/>
      <c r="K311" s="1769"/>
      <c r="L311" s="1742"/>
      <c r="M311" s="1741"/>
      <c r="N311" s="1769"/>
      <c r="O311" s="1742"/>
      <c r="P311" s="1743"/>
      <c r="Q311" s="1768"/>
      <c r="R311" s="1053"/>
      <c r="S311" s="664"/>
      <c r="T311" s="1465"/>
      <c r="U311" s="1399"/>
      <c r="V311" s="709"/>
      <c r="W311" s="1746"/>
      <c r="X311" s="684"/>
      <c r="Y311" s="1061"/>
      <c r="Z311" s="1064"/>
      <c r="AA311" s="1061"/>
      <c r="AB311" s="1399"/>
      <c r="AC311" s="1399"/>
      <c r="AD311" s="1399"/>
      <c r="AE311" s="1385"/>
      <c r="AF311" s="1385"/>
      <c r="AG311" s="1385"/>
      <c r="AH311" s="1160"/>
      <c r="AI311" s="2859"/>
      <c r="AJ311" s="1160"/>
      <c r="AK311" s="1765"/>
      <c r="AL311" s="2840"/>
      <c r="AM311" s="1283"/>
      <c r="AN311" s="1721"/>
      <c r="AO311" s="1421"/>
      <c r="AP311" s="1722"/>
      <c r="AQ311" s="778"/>
      <c r="AR311" s="2846"/>
      <c r="AS311" s="1640"/>
      <c r="AT311" s="1208"/>
      <c r="AU311" s="1627"/>
      <c r="AV311" s="1208"/>
      <c r="AW311" s="1461"/>
      <c r="AX311" s="1751"/>
      <c r="AY311" s="1461"/>
      <c r="AZ311" s="1694"/>
      <c r="BA311" s="2862"/>
      <c r="BB311" s="1727"/>
      <c r="BC311" s="1399"/>
      <c r="BD311" s="2862"/>
      <c r="BE311" s="1399"/>
      <c r="BF311" s="1401"/>
      <c r="BG311" s="1401"/>
      <c r="BH311" s="1401"/>
      <c r="BI311" s="1160"/>
      <c r="BJ311" s="1160"/>
      <c r="BK311" s="1160"/>
      <c r="BL311" s="1730"/>
      <c r="BM311" s="1762"/>
      <c r="BN311" s="1731"/>
      <c r="BO311" s="1107"/>
      <c r="BP311" s="1108"/>
      <c r="BQ311" s="1579"/>
      <c r="BR311" s="1109"/>
      <c r="BS311" s="1754"/>
      <c r="BT311" s="1733"/>
      <c r="BU311" s="1755"/>
      <c r="BV311" s="1107"/>
      <c r="BW311" s="1108"/>
      <c r="BX311" s="1579"/>
      <c r="BY311" s="1109"/>
      <c r="BZ311" s="1756"/>
      <c r="CA311" s="1736"/>
      <c r="CB311" s="1757"/>
      <c r="CC311" s="1758"/>
      <c r="CD311" s="1739"/>
      <c r="CE311" s="1759"/>
    </row>
    <row r="312" spans="1:83" ht="22.5" customHeight="1" x14ac:dyDescent="0.4">
      <c r="A312" s="249"/>
      <c r="B312" s="249"/>
      <c r="C312" s="584" t="s">
        <v>307</v>
      </c>
      <c r="D312" s="1741"/>
      <c r="E312" s="1769"/>
      <c r="F312" s="1770"/>
      <c r="G312" s="1741"/>
      <c r="H312" s="1769"/>
      <c r="I312" s="1742"/>
      <c r="J312" s="1741"/>
      <c r="K312" s="1769"/>
      <c r="L312" s="1742"/>
      <c r="M312" s="1741"/>
      <c r="N312" s="1769"/>
      <c r="O312" s="1742"/>
      <c r="P312" s="1743"/>
      <c r="Q312" s="1768"/>
      <c r="R312" s="1053"/>
      <c r="S312" s="664"/>
      <c r="T312" s="664"/>
      <c r="U312" s="1399"/>
      <c r="V312" s="1771"/>
      <c r="W312" s="1760"/>
      <c r="X312" s="1772"/>
      <c r="Y312" s="685"/>
      <c r="Z312" s="686"/>
      <c r="AA312" s="685"/>
      <c r="AB312" s="1399"/>
      <c r="AC312" s="1399"/>
      <c r="AD312" s="1399"/>
      <c r="AE312" s="1385"/>
      <c r="AF312" s="1385"/>
      <c r="AG312" s="1385"/>
      <c r="AH312" s="1160"/>
      <c r="AI312" s="2859"/>
      <c r="AJ312" s="1160"/>
      <c r="AK312" s="1765"/>
      <c r="AL312" s="2840"/>
      <c r="AM312" s="1283"/>
      <c r="AN312" s="1721"/>
      <c r="AO312" s="1421"/>
      <c r="AP312" s="1722"/>
      <c r="AQ312" s="778"/>
      <c r="AR312" s="2846"/>
      <c r="AS312" s="1640"/>
      <c r="AT312" s="1208"/>
      <c r="AU312" s="1627"/>
      <c r="AV312" s="1208"/>
      <c r="AW312" s="1461"/>
      <c r="AX312" s="1751"/>
      <c r="AY312" s="1461"/>
      <c r="AZ312" s="1694"/>
      <c r="BA312" s="2862"/>
      <c r="BB312" s="1727"/>
      <c r="BC312" s="1399"/>
      <c r="BD312" s="2862"/>
      <c r="BE312" s="1399"/>
      <c r="BF312" s="1401"/>
      <c r="BG312" s="1401"/>
      <c r="BH312" s="1401"/>
      <c r="BI312" s="1773"/>
      <c r="BJ312" s="1774"/>
      <c r="BK312" s="1773"/>
      <c r="BL312" s="1730"/>
      <c r="BM312" s="1762"/>
      <c r="BN312" s="1731"/>
      <c r="BO312" s="1107"/>
      <c r="BP312" s="1108"/>
      <c r="BQ312" s="1579"/>
      <c r="BR312" s="1109"/>
      <c r="BS312" s="1754"/>
      <c r="BT312" s="1733"/>
      <c r="BU312" s="1755"/>
      <c r="BV312" s="1107"/>
      <c r="BW312" s="1108"/>
      <c r="BX312" s="1579"/>
      <c r="BY312" s="1109"/>
      <c r="BZ312" s="1756"/>
      <c r="CA312" s="1736"/>
      <c r="CB312" s="1757"/>
      <c r="CC312" s="1758"/>
      <c r="CD312" s="1739"/>
      <c r="CE312" s="1759"/>
    </row>
    <row r="313" spans="1:83" ht="14.25" customHeight="1" x14ac:dyDescent="0.4">
      <c r="A313" s="249"/>
      <c r="B313" s="249"/>
      <c r="C313" s="584">
        <v>0.63194444444444398</v>
      </c>
      <c r="D313" s="1741"/>
      <c r="E313" s="1769"/>
      <c r="F313" s="1770"/>
      <c r="G313" s="1741"/>
      <c r="H313" s="1769"/>
      <c r="I313" s="1742"/>
      <c r="J313" s="1741"/>
      <c r="K313" s="1769"/>
      <c r="L313" s="1742"/>
      <c r="M313" s="1741"/>
      <c r="N313" s="1769"/>
      <c r="O313" s="1742"/>
      <c r="P313" s="1743"/>
      <c r="Q313" s="1768"/>
      <c r="R313" s="1053"/>
      <c r="S313" s="664"/>
      <c r="T313" s="664"/>
      <c r="U313" s="1399"/>
      <c r="V313" s="1771"/>
      <c r="W313" s="1760"/>
      <c r="X313" s="1772"/>
      <c r="Y313" s="685"/>
      <c r="Z313" s="686"/>
      <c r="AA313" s="685"/>
      <c r="AB313" s="1399"/>
      <c r="AC313" s="1399"/>
      <c r="AD313" s="1399"/>
      <c r="AE313" s="1385"/>
      <c r="AF313" s="1385"/>
      <c r="AG313" s="1385"/>
      <c r="AH313" s="1160"/>
      <c r="AI313" s="2859"/>
      <c r="AJ313" s="1160"/>
      <c r="AK313" s="1663"/>
      <c r="AL313" s="2840"/>
      <c r="AM313" s="1200"/>
      <c r="AN313" s="1273"/>
      <c r="AO313" s="1421"/>
      <c r="AP313" s="1438"/>
      <c r="AQ313" s="778"/>
      <c r="AR313" s="2846"/>
      <c r="AS313" s="1640"/>
      <c r="AT313" s="1210"/>
      <c r="AU313" s="1775"/>
      <c r="AV313" s="1208"/>
      <c r="AW313" s="1395"/>
      <c r="AX313" s="1751"/>
      <c r="AY313" s="1461"/>
      <c r="AZ313" s="1280"/>
      <c r="BA313" s="2862"/>
      <c r="BB313" s="1289"/>
      <c r="BC313" s="687"/>
      <c r="BD313" s="2862"/>
      <c r="BE313" s="1399"/>
      <c r="BF313" s="1401"/>
      <c r="BG313" s="1401"/>
      <c r="BH313" s="1401"/>
      <c r="BI313" s="1556"/>
      <c r="BJ313" s="1774"/>
      <c r="BK313" s="1773"/>
      <c r="BL313" s="1730"/>
      <c r="BM313" s="1762"/>
      <c r="BN313" s="1731"/>
      <c r="BO313" s="1107"/>
      <c r="BP313" s="1107"/>
      <c r="BQ313" s="1579"/>
      <c r="BR313" s="1107"/>
      <c r="BS313" s="182"/>
      <c r="BT313" s="1733"/>
      <c r="BU313" s="182"/>
      <c r="BV313" s="1107"/>
      <c r="BW313" s="1107"/>
      <c r="BX313" s="1579"/>
      <c r="BY313" s="1107"/>
      <c r="BZ313" s="183"/>
      <c r="CA313" s="1736"/>
      <c r="CB313" s="183"/>
      <c r="CC313" s="184"/>
      <c r="CD313" s="1739"/>
      <c r="CE313" s="184"/>
    </row>
    <row r="314" spans="1:83" ht="14.85" customHeight="1" x14ac:dyDescent="0.4">
      <c r="A314" s="249"/>
      <c r="B314" s="249"/>
      <c r="C314" s="584" t="s">
        <v>307</v>
      </c>
      <c r="D314" s="1741"/>
      <c r="E314" s="1769"/>
      <c r="F314" s="1770"/>
      <c r="G314" s="1741"/>
      <c r="H314" s="1769"/>
      <c r="I314" s="1742"/>
      <c r="J314" s="1741"/>
      <c r="K314" s="1769"/>
      <c r="L314" s="1742"/>
      <c r="M314" s="1741"/>
      <c r="N314" s="1769"/>
      <c r="O314" s="1742"/>
      <c r="P314" s="1743"/>
      <c r="Q314" s="1768"/>
      <c r="R314" s="1053"/>
      <c r="S314" s="664"/>
      <c r="T314" s="664"/>
      <c r="U314" s="1399"/>
      <c r="V314" s="1745"/>
      <c r="W314" s="683"/>
      <c r="X314" s="1684"/>
      <c r="Y314" s="685"/>
      <c r="Z314" s="1064"/>
      <c r="AA314" s="685"/>
      <c r="AB314" s="1399"/>
      <c r="AC314" s="1399"/>
      <c r="AD314" s="1399"/>
      <c r="AE314" s="1776"/>
      <c r="AF314" s="1385"/>
      <c r="AG314" s="1385"/>
      <c r="AH314" s="1160"/>
      <c r="AI314" s="2859"/>
      <c r="AJ314" s="1160"/>
      <c r="AK314" s="1663"/>
      <c r="AL314" s="2840"/>
      <c r="AM314" s="1200"/>
      <c r="AN314" s="1273"/>
      <c r="AO314" s="1421"/>
      <c r="AP314" s="1438"/>
      <c r="AQ314" s="778"/>
      <c r="AR314" s="2846"/>
      <c r="AS314" s="1640"/>
      <c r="AT314" s="1210"/>
      <c r="AU314" s="1775"/>
      <c r="AV314" s="1208"/>
      <c r="AW314" s="1395"/>
      <c r="AX314" s="1751"/>
      <c r="AY314" s="1461"/>
      <c r="AZ314" s="1280"/>
      <c r="BA314" s="2862"/>
      <c r="BB314" s="1289"/>
      <c r="BC314" s="1574"/>
      <c r="BD314" s="2862"/>
      <c r="BE314" s="1399"/>
      <c r="BF314" s="1401"/>
      <c r="BG314" s="1426"/>
      <c r="BH314" s="1401"/>
      <c r="BI314" s="1556"/>
      <c r="BJ314" s="1774"/>
      <c r="BK314" s="1773"/>
      <c r="BL314" s="1730"/>
      <c r="BM314" s="1762"/>
      <c r="BN314" s="1731"/>
      <c r="BO314" s="1107"/>
      <c r="BP314" s="1107"/>
      <c r="BQ314" s="1579"/>
      <c r="BR314" s="1107"/>
      <c r="BS314" s="182"/>
      <c r="BT314" s="1733"/>
      <c r="BU314" s="182"/>
      <c r="BV314" s="1107"/>
      <c r="BW314" s="1107"/>
      <c r="BX314" s="1579"/>
      <c r="BY314" s="1107"/>
      <c r="BZ314" s="183"/>
      <c r="CA314" s="1736"/>
      <c r="CB314" s="183"/>
      <c r="CC314" s="184"/>
      <c r="CD314" s="1739"/>
      <c r="CE314" s="184"/>
    </row>
    <row r="315" spans="1:83" ht="21.75" customHeight="1" x14ac:dyDescent="0.4">
      <c r="A315" s="249"/>
      <c r="B315" s="249"/>
      <c r="C315" s="584">
        <v>0.63541666666666596</v>
      </c>
      <c r="D315" s="1741"/>
      <c r="E315" s="1769"/>
      <c r="F315" s="1770"/>
      <c r="G315" s="1741"/>
      <c r="H315" s="1769"/>
      <c r="I315" s="1742"/>
      <c r="J315" s="1741"/>
      <c r="K315" s="1769"/>
      <c r="L315" s="1742"/>
      <c r="M315" s="1741"/>
      <c r="N315" s="1769"/>
      <c r="O315" s="1742"/>
      <c r="P315" s="1743"/>
      <c r="Q315" s="1768"/>
      <c r="R315" s="1053"/>
      <c r="S315" s="664"/>
      <c r="T315" s="664"/>
      <c r="U315" s="1399"/>
      <c r="V315" s="709"/>
      <c r="W315" s="1746" t="s">
        <v>331</v>
      </c>
      <c r="X315" s="709"/>
      <c r="Y315" s="685"/>
      <c r="Z315" s="1064"/>
      <c r="AA315" s="685"/>
      <c r="AB315" s="1399"/>
      <c r="AC315" s="1399"/>
      <c r="AD315" s="1399"/>
      <c r="AE315" s="1157"/>
      <c r="AF315" s="1385" t="s">
        <v>332</v>
      </c>
      <c r="AG315" s="1157"/>
      <c r="AH315" s="1645"/>
      <c r="AI315" s="2859"/>
      <c r="AJ315" s="1618"/>
      <c r="AK315" s="1285"/>
      <c r="AL315" s="2840"/>
      <c r="AM315" s="1531"/>
      <c r="AN315" s="1273"/>
      <c r="AO315" s="1777" t="s">
        <v>371</v>
      </c>
      <c r="AP315" s="1438"/>
      <c r="AQ315" s="778"/>
      <c r="AR315" s="778"/>
      <c r="AS315" s="1640"/>
      <c r="AT315" s="1452"/>
      <c r="AU315" s="1775"/>
      <c r="AV315" s="1394"/>
      <c r="AW315" s="1395"/>
      <c r="AX315" s="1751"/>
      <c r="AY315" s="1461"/>
      <c r="AZ315" s="1280"/>
      <c r="BA315" s="2862"/>
      <c r="BB315" s="1289"/>
      <c r="BC315" s="1574"/>
      <c r="BD315" s="2862"/>
      <c r="BE315" s="687"/>
      <c r="BF315" s="1401"/>
      <c r="BG315" s="1401" t="s">
        <v>379</v>
      </c>
      <c r="BH315" s="1401"/>
      <c r="BI315" s="1556"/>
      <c r="BJ315" s="1556" t="s">
        <v>334</v>
      </c>
      <c r="BK315" s="1778"/>
      <c r="BL315" s="1730"/>
      <c r="BM315" s="1762"/>
      <c r="BN315" s="1731"/>
      <c r="BO315" s="1107"/>
      <c r="BP315" s="1404"/>
      <c r="BQ315" s="1107"/>
      <c r="BR315" s="1779"/>
      <c r="BS315" s="1754"/>
      <c r="BT315" s="1755"/>
      <c r="BU315" s="1755"/>
      <c r="BV315" s="1107"/>
      <c r="BW315" s="1404"/>
      <c r="BX315" s="1107"/>
      <c r="BY315" s="1779"/>
      <c r="BZ315" s="1756"/>
      <c r="CA315" s="1757"/>
      <c r="CB315" s="1757"/>
      <c r="CC315" s="1758"/>
      <c r="CD315" s="1759"/>
      <c r="CE315" s="1759"/>
    </row>
    <row r="316" spans="1:83" ht="29.25" customHeight="1" x14ac:dyDescent="0.4">
      <c r="A316" s="249"/>
      <c r="B316" s="249"/>
      <c r="C316" s="584" t="s">
        <v>307</v>
      </c>
      <c r="D316" s="1741"/>
      <c r="E316" s="1769"/>
      <c r="F316" s="1770"/>
      <c r="G316" s="1741"/>
      <c r="H316" s="1769"/>
      <c r="I316" s="1742"/>
      <c r="J316" s="1741"/>
      <c r="K316" s="1769"/>
      <c r="L316" s="1742"/>
      <c r="M316" s="1741"/>
      <c r="N316" s="1769"/>
      <c r="O316" s="1742"/>
      <c r="P316" s="1743"/>
      <c r="Q316" s="1768"/>
      <c r="R316" s="1053"/>
      <c r="S316" s="664"/>
      <c r="T316" s="664"/>
      <c r="U316" s="1399"/>
      <c r="V316" s="709"/>
      <c r="W316" s="796" t="s">
        <v>336</v>
      </c>
      <c r="X316" s="684"/>
      <c r="Y316" s="685"/>
      <c r="Z316" s="686"/>
      <c r="AA316" s="685"/>
      <c r="AB316" s="1399"/>
      <c r="AC316" s="1399"/>
      <c r="AD316" s="1399"/>
      <c r="AE316" s="1385"/>
      <c r="AF316" s="1157" t="s">
        <v>366</v>
      </c>
      <c r="AG316" s="1385"/>
      <c r="AH316" s="1159"/>
      <c r="AI316" s="2859"/>
      <c r="AJ316" s="1159"/>
      <c r="AK316" s="2806"/>
      <c r="AL316" s="2840"/>
      <c r="AM316" s="1531"/>
      <c r="AN316" s="1450"/>
      <c r="AO316" s="1421"/>
      <c r="AP316" s="1603"/>
      <c r="AQ316" s="778"/>
      <c r="AR316" s="1780"/>
      <c r="AS316" s="778"/>
      <c r="AT316" s="1394"/>
      <c r="AU316" s="1775"/>
      <c r="AV316" s="1394"/>
      <c r="AW316" s="1781"/>
      <c r="AX316" s="1751"/>
      <c r="AY316" s="783"/>
      <c r="AZ316" s="1553"/>
      <c r="BA316" s="2862"/>
      <c r="BB316" s="1609"/>
      <c r="BC316" s="687"/>
      <c r="BD316" s="2862"/>
      <c r="BE316" s="687"/>
      <c r="BF316" s="1401"/>
      <c r="BG316" s="1426" t="s">
        <v>381</v>
      </c>
      <c r="BH316" s="1401"/>
      <c r="BI316" s="1556"/>
      <c r="BJ316" s="2810" t="s">
        <v>605</v>
      </c>
      <c r="BK316" s="1778"/>
      <c r="BL316" s="1168"/>
      <c r="BM316" s="1782" t="s">
        <v>334</v>
      </c>
      <c r="BN316" s="1168"/>
      <c r="BO316" s="1580"/>
      <c r="BP316" s="1108"/>
      <c r="BQ316" s="1109"/>
      <c r="BR316" s="1614"/>
      <c r="BS316" s="1754"/>
      <c r="BT316" s="1755"/>
      <c r="BU316" s="1783"/>
      <c r="BV316" s="1580"/>
      <c r="BW316" s="1108"/>
      <c r="BX316" s="1109"/>
      <c r="BY316" s="1614"/>
      <c r="BZ316" s="1756"/>
      <c r="CA316" s="1757"/>
      <c r="CB316" s="1784"/>
      <c r="CC316" s="1758"/>
      <c r="CD316" s="1759"/>
      <c r="CE316" s="1785"/>
    </row>
    <row r="317" spans="1:83" ht="17.850000000000001" customHeight="1" x14ac:dyDescent="0.4">
      <c r="A317" s="249"/>
      <c r="B317" s="249"/>
      <c r="C317" s="584" t="s">
        <v>307</v>
      </c>
      <c r="D317" s="1741"/>
      <c r="E317" s="1769"/>
      <c r="F317" s="1770"/>
      <c r="G317" s="1741"/>
      <c r="H317" s="1769"/>
      <c r="I317" s="1742"/>
      <c r="J317" s="1741"/>
      <c r="K317" s="1769"/>
      <c r="L317" s="1742"/>
      <c r="M317" s="1741"/>
      <c r="N317" s="1769"/>
      <c r="O317" s="1742"/>
      <c r="P317" s="1743"/>
      <c r="Q317" s="1768"/>
      <c r="R317" s="1053"/>
      <c r="S317" s="664"/>
      <c r="T317" s="664"/>
      <c r="U317" s="1399"/>
      <c r="V317" s="709"/>
      <c r="W317" s="709"/>
      <c r="X317" s="684"/>
      <c r="Y317" s="685"/>
      <c r="Z317" s="686"/>
      <c r="AA317" s="685"/>
      <c r="AB317" s="1399"/>
      <c r="AC317" s="1399"/>
      <c r="AD317" s="1399"/>
      <c r="AE317" s="1385"/>
      <c r="AF317" s="1385"/>
      <c r="AG317" s="1385"/>
      <c r="AH317" s="1160"/>
      <c r="AI317" s="2859"/>
      <c r="AJ317" s="1160"/>
      <c r="AK317" s="2806"/>
      <c r="AL317" s="2840"/>
      <c r="AM317" s="1531"/>
      <c r="AN317" s="1450"/>
      <c r="AO317" s="1421"/>
      <c r="AP317" s="1603"/>
      <c r="AQ317" s="778"/>
      <c r="AR317" s="1780"/>
      <c r="AS317" s="778"/>
      <c r="AT317" s="1394"/>
      <c r="AU317" s="1775"/>
      <c r="AV317" s="1394"/>
      <c r="AW317" s="1781"/>
      <c r="AX317" s="1751"/>
      <c r="AY317" s="783"/>
      <c r="AZ317" s="1553"/>
      <c r="BA317" s="2862"/>
      <c r="BB317" s="1609"/>
      <c r="BC317" s="687"/>
      <c r="BD317" s="2862"/>
      <c r="BE317" s="687"/>
      <c r="BF317" s="1401"/>
      <c r="BG317" s="1426" t="s">
        <v>384</v>
      </c>
      <c r="BH317" s="1401"/>
      <c r="BI317" s="1556"/>
      <c r="BJ317" s="1774"/>
      <c r="BK317" s="1778"/>
      <c r="BL317" s="1168"/>
      <c r="BM317" s="1753" t="s">
        <v>604</v>
      </c>
      <c r="BN317" s="1168"/>
      <c r="BO317" s="1580"/>
      <c r="BP317" s="1108"/>
      <c r="BQ317" s="1109"/>
      <c r="BR317" s="1614"/>
      <c r="BS317" s="1754"/>
      <c r="BT317" s="1755"/>
      <c r="BU317" s="1783"/>
      <c r="BV317" s="1580"/>
      <c r="BW317" s="1108"/>
      <c r="BX317" s="1109"/>
      <c r="BY317" s="1614"/>
      <c r="BZ317" s="1756"/>
      <c r="CA317" s="1757"/>
      <c r="CB317" s="1784"/>
      <c r="CC317" s="1758"/>
      <c r="CD317" s="1759"/>
      <c r="CE317" s="1785"/>
    </row>
    <row r="318" spans="1:83" ht="21" customHeight="1" x14ac:dyDescent="0.4">
      <c r="A318" s="249"/>
      <c r="B318" s="249"/>
      <c r="C318" s="584" t="s">
        <v>307</v>
      </c>
      <c r="D318" s="1741"/>
      <c r="E318" s="1769"/>
      <c r="F318" s="1770"/>
      <c r="G318" s="1741"/>
      <c r="H318" s="1769"/>
      <c r="I318" s="1742"/>
      <c r="J318" s="1741"/>
      <c r="K318" s="1769"/>
      <c r="L318" s="1742"/>
      <c r="M318" s="1741"/>
      <c r="N318" s="1769"/>
      <c r="O318" s="1742"/>
      <c r="P318" s="1743"/>
      <c r="Q318" s="1768"/>
      <c r="R318" s="1053"/>
      <c r="S318" s="664"/>
      <c r="T318" s="1465"/>
      <c r="U318" s="1399"/>
      <c r="V318" s="709"/>
      <c r="W318" s="683"/>
      <c r="X318" s="684"/>
      <c r="Y318" s="1061"/>
      <c r="Z318" s="1064"/>
      <c r="AA318" s="1061"/>
      <c r="AB318" s="1399"/>
      <c r="AC318" s="1399"/>
      <c r="AD318" s="1399"/>
      <c r="AE318" s="1385"/>
      <c r="AF318" s="1385"/>
      <c r="AG318" s="1385"/>
      <c r="AH318" s="1160"/>
      <c r="AI318" s="2859"/>
      <c r="AJ318" s="1160"/>
      <c r="AK318" s="2806"/>
      <c r="AL318" s="2840"/>
      <c r="AM318" s="1531"/>
      <c r="AN318" s="1450"/>
      <c r="AO318" s="1421"/>
      <c r="AP318" s="1603"/>
      <c r="AQ318" s="778"/>
      <c r="AR318" s="1780"/>
      <c r="AS318" s="778"/>
      <c r="AT318" s="1394"/>
      <c r="AU318" s="1766"/>
      <c r="AV318" s="1394"/>
      <c r="AW318" s="1781"/>
      <c r="AX318" s="1751"/>
      <c r="AY318" s="783"/>
      <c r="AZ318" s="1650"/>
      <c r="BA318" s="2862"/>
      <c r="BB318" s="1727"/>
      <c r="BC318" s="687"/>
      <c r="BD318" s="2862"/>
      <c r="BE318" s="687"/>
      <c r="BF318" s="1401"/>
      <c r="BG318" s="1426"/>
      <c r="BH318" s="1401"/>
      <c r="BI318" s="1556"/>
      <c r="BJ318" s="1774"/>
      <c r="BK318" s="1778"/>
      <c r="BL318" s="1168"/>
      <c r="BM318" s="1762"/>
      <c r="BN318" s="1168"/>
      <c r="BO318" s="1107"/>
      <c r="BP318" s="1622"/>
      <c r="BQ318" s="1642"/>
      <c r="BR318" s="1614"/>
      <c r="BS318" s="1733"/>
      <c r="BT318" s="182"/>
      <c r="BU318" s="1783"/>
      <c r="BV318" s="1107"/>
      <c r="BW318" s="1622"/>
      <c r="BX318" s="1642"/>
      <c r="BY318" s="1614"/>
      <c r="BZ318" s="1736"/>
      <c r="CA318" s="183"/>
      <c r="CB318" s="1784"/>
      <c r="CC318" s="1739"/>
      <c r="CD318" s="184"/>
      <c r="CE318" s="1785"/>
    </row>
    <row r="319" spans="1:83" ht="23.85" customHeight="1" x14ac:dyDescent="0.4">
      <c r="A319" s="249"/>
      <c r="B319" s="249"/>
      <c r="C319" s="584">
        <v>0.63888888888888795</v>
      </c>
      <c r="D319" s="1741"/>
      <c r="E319" s="1769"/>
      <c r="F319" s="1770"/>
      <c r="G319" s="1741"/>
      <c r="H319" s="1769"/>
      <c r="I319" s="1742"/>
      <c r="J319" s="1741"/>
      <c r="K319" s="1769"/>
      <c r="L319" s="1742"/>
      <c r="M319" s="1741"/>
      <c r="N319" s="1769"/>
      <c r="O319" s="1742"/>
      <c r="P319" s="1743"/>
      <c r="Q319" s="1768"/>
      <c r="R319" s="1053"/>
      <c r="S319" s="664"/>
      <c r="T319" s="1465"/>
      <c r="U319" s="1399"/>
      <c r="V319" s="709"/>
      <c r="W319" s="709"/>
      <c r="X319" s="684"/>
      <c r="Y319" s="1061"/>
      <c r="Z319" s="1064"/>
      <c r="AA319" s="1061"/>
      <c r="AB319" s="1399"/>
      <c r="AC319" s="1399"/>
      <c r="AD319" s="1399"/>
      <c r="AE319" s="1385"/>
      <c r="AF319" s="1169" t="s">
        <v>448</v>
      </c>
      <c r="AG319" s="1385"/>
      <c r="AH319" s="1160"/>
      <c r="AI319" s="2859"/>
      <c r="AJ319" s="1160"/>
      <c r="AK319" s="1285"/>
      <c r="AL319" s="2840"/>
      <c r="AM319" s="1531"/>
      <c r="AN319" s="1273"/>
      <c r="AO319" s="1421"/>
      <c r="AP319" s="1273"/>
      <c r="AQ319" s="1134"/>
      <c r="AR319" s="1780"/>
      <c r="AS319" s="1640"/>
      <c r="AT319" s="1394"/>
      <c r="AU319" s="2862" t="s">
        <v>361</v>
      </c>
      <c r="AV319" s="1786"/>
      <c r="AW319" s="684"/>
      <c r="AX319" s="1751"/>
      <c r="AY319" s="684"/>
      <c r="AZ319" s="1694"/>
      <c r="BA319" s="2862"/>
      <c r="BB319" s="1727"/>
      <c r="BC319" s="687"/>
      <c r="BD319" s="2862"/>
      <c r="BE319" s="687"/>
      <c r="BF319" s="1787"/>
      <c r="BG319" s="1788"/>
      <c r="BH319" s="1401"/>
      <c r="BI319" s="1773"/>
      <c r="BJ319" s="1774"/>
      <c r="BK319" s="1789"/>
      <c r="BL319" s="1168"/>
      <c r="BM319" s="1762"/>
      <c r="BN319" s="1168"/>
      <c r="BO319" s="1107"/>
      <c r="BP319" s="1107"/>
      <c r="BQ319" s="1642"/>
      <c r="BR319" s="1107"/>
      <c r="BS319" s="182"/>
      <c r="BT319" s="182"/>
      <c r="BU319" s="182"/>
      <c r="BV319" s="1107"/>
      <c r="BW319" s="1107"/>
      <c r="BX319" s="1642"/>
      <c r="BY319" s="1107"/>
      <c r="BZ319" s="183"/>
      <c r="CA319" s="183"/>
      <c r="CB319" s="183"/>
      <c r="CC319" s="184"/>
      <c r="CD319" s="184"/>
      <c r="CE319" s="184"/>
    </row>
    <row r="320" spans="1:83" ht="22.35" customHeight="1" x14ac:dyDescent="0.4">
      <c r="A320" s="249"/>
      <c r="B320" s="249"/>
      <c r="C320" s="584" t="s">
        <v>307</v>
      </c>
      <c r="D320" s="1741"/>
      <c r="E320" s="1769"/>
      <c r="F320" s="1770"/>
      <c r="G320" s="1741"/>
      <c r="H320" s="1769"/>
      <c r="I320" s="1742"/>
      <c r="J320" s="1741"/>
      <c r="K320" s="1769"/>
      <c r="L320" s="1742"/>
      <c r="M320" s="1741"/>
      <c r="N320" s="1769"/>
      <c r="O320" s="1742"/>
      <c r="P320" s="1743"/>
      <c r="Q320" s="1768"/>
      <c r="R320" s="1053"/>
      <c r="S320" s="664"/>
      <c r="T320" s="1465"/>
      <c r="U320" s="1399"/>
      <c r="V320" s="709"/>
      <c r="W320" s="709"/>
      <c r="X320" s="684"/>
      <c r="Y320" s="1061"/>
      <c r="Z320" s="686"/>
      <c r="AA320" s="1061"/>
      <c r="AB320" s="1399"/>
      <c r="AC320" s="1399"/>
      <c r="AD320" s="1399"/>
      <c r="AE320" s="1385"/>
      <c r="AF320" s="1169" t="s">
        <v>450</v>
      </c>
      <c r="AG320" s="1385"/>
      <c r="AH320" s="1160"/>
      <c r="AI320" s="2859"/>
      <c r="AJ320" s="1160"/>
      <c r="AK320" s="1285"/>
      <c r="AL320" s="2840"/>
      <c r="AM320" s="1531"/>
      <c r="AN320" s="1273"/>
      <c r="AO320" s="1421"/>
      <c r="AP320" s="1273"/>
      <c r="AQ320" s="1134"/>
      <c r="AR320" s="1780"/>
      <c r="AS320" s="1640"/>
      <c r="AT320" s="1394"/>
      <c r="AU320" s="2862"/>
      <c r="AV320" s="1786"/>
      <c r="AW320" s="684"/>
      <c r="AX320" s="1751"/>
      <c r="AY320" s="684"/>
      <c r="AZ320" s="1694"/>
      <c r="BA320" s="2862"/>
      <c r="BB320" s="1727"/>
      <c r="BC320" s="687"/>
      <c r="BD320" s="2862"/>
      <c r="BE320" s="687"/>
      <c r="BF320" s="1787"/>
      <c r="BG320" s="1790"/>
      <c r="BH320" s="1401"/>
      <c r="BI320" s="1773"/>
      <c r="BJ320" s="1774"/>
      <c r="BK320" s="1789"/>
      <c r="BL320" s="1168"/>
      <c r="BM320" s="1762"/>
      <c r="BN320" s="1168"/>
      <c r="BO320" s="1107"/>
      <c r="BP320" s="1107"/>
      <c r="BQ320" s="1642"/>
      <c r="BR320" s="1107"/>
      <c r="BS320" s="182"/>
      <c r="BT320" s="182"/>
      <c r="BU320" s="182"/>
      <c r="BV320" s="1107"/>
      <c r="BW320" s="1107"/>
      <c r="BX320" s="1642"/>
      <c r="BY320" s="1107"/>
      <c r="BZ320" s="183"/>
      <c r="CA320" s="183"/>
      <c r="CB320" s="183"/>
      <c r="CC320" s="184"/>
      <c r="CD320" s="184"/>
      <c r="CE320" s="184"/>
    </row>
    <row r="321" spans="1:83" ht="24" customHeight="1" x14ac:dyDescent="0.4">
      <c r="A321" s="249"/>
      <c r="B321" s="249"/>
      <c r="C321" s="584">
        <v>0.64236111111111005</v>
      </c>
      <c r="D321" s="1741"/>
      <c r="E321" s="1769"/>
      <c r="F321" s="1770"/>
      <c r="G321" s="1741"/>
      <c r="H321" s="1769"/>
      <c r="I321" s="1742"/>
      <c r="J321" s="1741"/>
      <c r="K321" s="1769"/>
      <c r="L321" s="1742"/>
      <c r="M321" s="1741"/>
      <c r="N321" s="1769"/>
      <c r="O321" s="1742"/>
      <c r="P321" s="1047"/>
      <c r="Q321" s="1791"/>
      <c r="R321" s="996"/>
      <c r="S321" s="2768"/>
      <c r="T321" s="2768"/>
      <c r="U321" s="908"/>
      <c r="V321" s="1745"/>
      <c r="W321" s="683"/>
      <c r="X321" s="1684"/>
      <c r="Y321" s="915"/>
      <c r="Z321" s="686"/>
      <c r="AA321" s="915"/>
      <c r="AB321" s="908"/>
      <c r="AC321" s="908"/>
      <c r="AD321" s="908"/>
      <c r="AE321" s="1385"/>
      <c r="AF321" s="1136"/>
      <c r="AG321" s="1385"/>
      <c r="AH321" s="1160"/>
      <c r="AI321" s="2859"/>
      <c r="AJ321" s="1160"/>
      <c r="AK321" s="1285"/>
      <c r="AL321" s="2840"/>
      <c r="AM321" s="1531"/>
      <c r="AN321" s="1273"/>
      <c r="AO321" s="1793"/>
      <c r="AP321" s="1273"/>
      <c r="AQ321" s="778"/>
      <c r="AR321" s="1780"/>
      <c r="AS321" s="778"/>
      <c r="AT321" s="1392"/>
      <c r="AU321" s="2862"/>
      <c r="AV321" s="1394"/>
      <c r="AW321" s="1395"/>
      <c r="AX321" s="1751"/>
      <c r="AY321" s="684"/>
      <c r="AZ321" s="1650"/>
      <c r="BA321" s="2862"/>
      <c r="BB321" s="1727"/>
      <c r="BC321" s="687"/>
      <c r="BD321" s="2862"/>
      <c r="BE321" s="687"/>
      <c r="BF321" s="1794"/>
      <c r="BG321" s="1790"/>
      <c r="BH321" s="1401"/>
      <c r="BI321" s="1556"/>
      <c r="BJ321" s="1774"/>
      <c r="BK321" s="1789"/>
      <c r="BL321" s="1168"/>
      <c r="BM321" s="1753"/>
      <c r="BN321" s="1168"/>
      <c r="BO321" s="1107"/>
      <c r="BP321" s="1107"/>
      <c r="BQ321" s="1642"/>
      <c r="BR321" s="1107"/>
      <c r="BS321" s="182"/>
      <c r="BT321" s="182"/>
      <c r="BU321" s="182"/>
      <c r="BV321" s="1107"/>
      <c r="BW321" s="1107"/>
      <c r="BX321" s="1642"/>
      <c r="BY321" s="1107"/>
      <c r="BZ321" s="183"/>
      <c r="CA321" s="183"/>
      <c r="CB321" s="183"/>
      <c r="CC321" s="184"/>
      <c r="CD321" s="184"/>
      <c r="CE321" s="184"/>
    </row>
    <row r="322" spans="1:83" ht="27" customHeight="1" x14ac:dyDescent="0.4">
      <c r="A322" s="249"/>
      <c r="B322" s="249"/>
      <c r="C322" s="584">
        <v>0.64583333333333204</v>
      </c>
      <c r="D322" s="978"/>
      <c r="E322" s="1795"/>
      <c r="F322" s="1796"/>
      <c r="G322" s="978"/>
      <c r="H322" s="1795"/>
      <c r="I322" s="1797"/>
      <c r="J322" s="978"/>
      <c r="K322" s="1795"/>
      <c r="L322" s="1797"/>
      <c r="M322" s="978"/>
      <c r="N322" s="1795"/>
      <c r="O322" s="1797"/>
      <c r="P322" s="1047"/>
      <c r="Q322" s="707"/>
      <c r="R322" s="996"/>
      <c r="S322" s="2768"/>
      <c r="T322" s="664"/>
      <c r="U322" s="908"/>
      <c r="V322" s="709"/>
      <c r="W322" s="739" t="s">
        <v>606</v>
      </c>
      <c r="X322" s="684"/>
      <c r="Y322" s="915"/>
      <c r="Z322" s="739"/>
      <c r="AA322" s="915"/>
      <c r="AB322" s="908"/>
      <c r="AC322" s="908"/>
      <c r="AD322" s="908"/>
      <c r="AE322" s="1157"/>
      <c r="AF322" s="1385" t="s">
        <v>332</v>
      </c>
      <c r="AG322" s="1157"/>
      <c r="AH322" s="1159"/>
      <c r="AI322" s="2859"/>
      <c r="AJ322" s="1618"/>
      <c r="AK322" s="2806"/>
      <c r="AL322" s="2840"/>
      <c r="AM322" s="1531"/>
      <c r="AN322" s="1273"/>
      <c r="AO322" s="1798" t="s">
        <v>371</v>
      </c>
      <c r="AP322" s="1438"/>
      <c r="AQ322" s="1799"/>
      <c r="AR322" s="2822" t="s">
        <v>451</v>
      </c>
      <c r="AS322" s="1640"/>
      <c r="AT322" s="1452"/>
      <c r="AU322" s="2862"/>
      <c r="AV322" s="1394"/>
      <c r="AW322" s="927"/>
      <c r="AX322" s="1801" t="s">
        <v>452</v>
      </c>
      <c r="AY322" s="1585"/>
      <c r="AZ322" s="1643"/>
      <c r="BA322" s="2862"/>
      <c r="BB322" s="1802"/>
      <c r="BC322" s="687"/>
      <c r="BD322" s="2862"/>
      <c r="BE322" s="687"/>
      <c r="BF322" s="1401"/>
      <c r="BG322" s="1401" t="s">
        <v>379</v>
      </c>
      <c r="BH322" s="1401"/>
      <c r="BI322" s="1556"/>
      <c r="BJ322" s="1556" t="s">
        <v>331</v>
      </c>
      <c r="BK322" s="1778"/>
      <c r="BL322" s="1168"/>
      <c r="BM322" s="1803" t="s">
        <v>607</v>
      </c>
      <c r="BN322" s="1168"/>
      <c r="BO322" s="1107"/>
      <c r="BP322" s="1161"/>
      <c r="BQ322" s="1107"/>
      <c r="BR322" s="1614"/>
      <c r="BS322" s="1732"/>
      <c r="BT322" s="182" t="s">
        <v>271</v>
      </c>
      <c r="BU322" s="1783"/>
      <c r="BV322" s="1107"/>
      <c r="BW322" s="1161"/>
      <c r="BX322" s="1107"/>
      <c r="BY322" s="1614"/>
      <c r="BZ322" s="1735"/>
      <c r="CA322" s="183" t="s">
        <v>271</v>
      </c>
      <c r="CB322" s="1784"/>
      <c r="CC322" s="1738"/>
      <c r="CD322" s="184"/>
      <c r="CE322" s="1785"/>
    </row>
    <row r="323" spans="1:83" ht="20.85" customHeight="1" x14ac:dyDescent="0.4">
      <c r="A323" s="249"/>
      <c r="B323" s="249"/>
      <c r="C323" s="584" t="s">
        <v>307</v>
      </c>
      <c r="D323" s="978"/>
      <c r="E323" s="1795"/>
      <c r="F323" s="1796"/>
      <c r="G323" s="978"/>
      <c r="H323" s="1795"/>
      <c r="I323" s="1797"/>
      <c r="J323" s="978"/>
      <c r="K323" s="1795"/>
      <c r="L323" s="1797"/>
      <c r="M323" s="978"/>
      <c r="N323" s="1795"/>
      <c r="O323" s="1797"/>
      <c r="P323" s="1047"/>
      <c r="Q323" s="1791"/>
      <c r="R323" s="996"/>
      <c r="S323" s="2768"/>
      <c r="T323" s="2768"/>
      <c r="U323" s="908"/>
      <c r="V323" s="709"/>
      <c r="W323" s="739" t="s">
        <v>608</v>
      </c>
      <c r="X323" s="684"/>
      <c r="Y323" s="915"/>
      <c r="Z323" s="739"/>
      <c r="AA323" s="915"/>
      <c r="AB323" s="908"/>
      <c r="AC323" s="908"/>
      <c r="AD323" s="908"/>
      <c r="AE323" s="1385"/>
      <c r="AF323" s="1157" t="s">
        <v>366</v>
      </c>
      <c r="AG323" s="1385"/>
      <c r="AH323" s="1159"/>
      <c r="AI323" s="2859"/>
      <c r="AJ323" s="1159"/>
      <c r="AK323" s="2806"/>
      <c r="AL323" s="2840"/>
      <c r="AM323" s="1531"/>
      <c r="AN323" s="1273"/>
      <c r="AO323" s="1421" t="s">
        <v>350</v>
      </c>
      <c r="AP323" s="1273"/>
      <c r="AQ323" s="1799"/>
      <c r="AR323" s="778"/>
      <c r="AS323" s="1640"/>
      <c r="AT323" s="1394"/>
      <c r="AU323" s="2862"/>
      <c r="AV323" s="1394"/>
      <c r="AW323" s="1781"/>
      <c r="AX323" s="1801" t="s">
        <v>453</v>
      </c>
      <c r="AY323" s="1781"/>
      <c r="AZ323" s="1643"/>
      <c r="BA323" s="2862"/>
      <c r="BB323" s="1644"/>
      <c r="BC323" s="687"/>
      <c r="BD323" s="2862"/>
      <c r="BE323" s="687"/>
      <c r="BF323" s="1401"/>
      <c r="BG323" s="1426" t="s">
        <v>381</v>
      </c>
      <c r="BH323" s="1401"/>
      <c r="BI323" s="1542"/>
      <c r="BJ323" s="1556" t="s">
        <v>334</v>
      </c>
      <c r="BK323" s="1778"/>
      <c r="BL323" s="1168"/>
      <c r="BM323" s="2804"/>
      <c r="BN323" s="1168"/>
      <c r="BO323" s="1107"/>
      <c r="BP323" s="1161"/>
      <c r="BQ323" s="1107"/>
      <c r="BR323" s="1614"/>
      <c r="BS323" s="1754"/>
      <c r="BT323" s="1755" t="s">
        <v>310</v>
      </c>
      <c r="BU323" s="1755"/>
      <c r="BV323" s="1107"/>
      <c r="BW323" s="1161"/>
      <c r="BX323" s="1107"/>
      <c r="BY323" s="1614"/>
      <c r="BZ323" s="1756"/>
      <c r="CA323" s="1757" t="s">
        <v>310</v>
      </c>
      <c r="CB323" s="1757"/>
      <c r="CC323" s="1758"/>
      <c r="CD323" s="1759"/>
      <c r="CE323" s="1759"/>
    </row>
    <row r="324" spans="1:83" ht="26.1" customHeight="1" x14ac:dyDescent="0.4">
      <c r="A324" s="249"/>
      <c r="B324" s="249"/>
      <c r="C324" s="584" t="s">
        <v>307</v>
      </c>
      <c r="D324" s="978"/>
      <c r="E324" s="1795"/>
      <c r="F324" s="1796"/>
      <c r="G324" s="978"/>
      <c r="H324" s="1795"/>
      <c r="I324" s="1797"/>
      <c r="J324" s="978"/>
      <c r="K324" s="1795"/>
      <c r="L324" s="1797"/>
      <c r="M324" s="978"/>
      <c r="N324" s="1795"/>
      <c r="O324" s="1797"/>
      <c r="P324" s="1047"/>
      <c r="Q324" s="1791"/>
      <c r="R324" s="996"/>
      <c r="S324" s="2768"/>
      <c r="T324" s="2768"/>
      <c r="U324" s="908"/>
      <c r="V324" s="709"/>
      <c r="W324" s="928"/>
      <c r="X324" s="684"/>
      <c r="Y324" s="915"/>
      <c r="Z324" s="928"/>
      <c r="AA324" s="915"/>
      <c r="AB324" s="908"/>
      <c r="AC324" s="908"/>
      <c r="AD324" s="908"/>
      <c r="AE324" s="1385"/>
      <c r="AF324" s="1169" t="s">
        <v>455</v>
      </c>
      <c r="AG324" s="1385"/>
      <c r="AH324" s="1645"/>
      <c r="AI324" s="2859"/>
      <c r="AJ324" s="1256"/>
      <c r="AK324" s="2806"/>
      <c r="AL324" s="2840"/>
      <c r="AM324" s="1531"/>
      <c r="AN324" s="1619"/>
      <c r="AO324" s="1421"/>
      <c r="AP324" s="1273"/>
      <c r="AQ324" s="1799"/>
      <c r="AR324" s="1780"/>
      <c r="AS324" s="1640"/>
      <c r="AT324" s="1394"/>
      <c r="AU324" s="2862"/>
      <c r="AV324" s="1394"/>
      <c r="AW324" s="1781"/>
      <c r="AX324" s="1331" t="s">
        <v>456</v>
      </c>
      <c r="AY324" s="1781"/>
      <c r="AZ324" s="1650"/>
      <c r="BA324" s="2862"/>
      <c r="BB324" s="1644"/>
      <c r="BC324" s="687"/>
      <c r="BD324" s="2862"/>
      <c r="BE324" s="908"/>
      <c r="BF324" s="1401"/>
      <c r="BG324" s="1426" t="s">
        <v>384</v>
      </c>
      <c r="BH324" s="1401"/>
      <c r="BI324" s="1542"/>
      <c r="BJ324" s="1556" t="s">
        <v>609</v>
      </c>
      <c r="BK324" s="1778"/>
      <c r="BL324" s="1168"/>
      <c r="BM324" s="1804"/>
      <c r="BN324" s="1630"/>
      <c r="BO324" s="1107"/>
      <c r="BP324" s="1161"/>
      <c r="BQ324" s="1642"/>
      <c r="BR324" s="1614"/>
      <c r="BS324" s="1732"/>
      <c r="BT324" s="182"/>
      <c r="BU324" s="1783"/>
      <c r="BV324" s="1107"/>
      <c r="BW324" s="1161"/>
      <c r="BX324" s="1642"/>
      <c r="BY324" s="1614"/>
      <c r="BZ324" s="1735"/>
      <c r="CA324" s="183"/>
      <c r="CB324" s="1784"/>
      <c r="CC324" s="1738"/>
      <c r="CD324" s="184"/>
      <c r="CE324" s="1785"/>
    </row>
    <row r="325" spans="1:83" ht="32.1" customHeight="1" x14ac:dyDescent="0.4">
      <c r="A325" s="249"/>
      <c r="B325" s="249"/>
      <c r="C325" s="584" t="s">
        <v>307</v>
      </c>
      <c r="D325" s="978"/>
      <c r="E325" s="1795"/>
      <c r="F325" s="1796"/>
      <c r="G325" s="978"/>
      <c r="H325" s="1795"/>
      <c r="I325" s="1797"/>
      <c r="J325" s="978"/>
      <c r="K325" s="1795"/>
      <c r="L325" s="1797"/>
      <c r="M325" s="978"/>
      <c r="N325" s="1795"/>
      <c r="O325" s="1797"/>
      <c r="P325" s="1047"/>
      <c r="Q325" s="1791"/>
      <c r="R325" s="996"/>
      <c r="S325" s="2768"/>
      <c r="T325" s="2768"/>
      <c r="U325" s="908"/>
      <c r="V325" s="709"/>
      <c r="W325" s="928"/>
      <c r="X325" s="684"/>
      <c r="Y325" s="915"/>
      <c r="Z325" s="928"/>
      <c r="AA325" s="915"/>
      <c r="AB325" s="908"/>
      <c r="AC325" s="908"/>
      <c r="AD325" s="908"/>
      <c r="AE325" s="1385"/>
      <c r="AF325" s="1157"/>
      <c r="AG325" s="1385"/>
      <c r="AH325" s="1645"/>
      <c r="AI325" s="2859"/>
      <c r="AJ325" s="1256"/>
      <c r="AK325" s="2806"/>
      <c r="AL325" s="2840"/>
      <c r="AM325" s="1531"/>
      <c r="AN325" s="1619"/>
      <c r="AO325" s="1421"/>
      <c r="AP325" s="1273"/>
      <c r="AQ325" s="1799"/>
      <c r="AR325" s="1780"/>
      <c r="AS325" s="1640"/>
      <c r="AT325" s="1394"/>
      <c r="AU325" s="2862"/>
      <c r="AV325" s="1394"/>
      <c r="AW325" s="1781"/>
      <c r="AX325" s="1751"/>
      <c r="AY325" s="1781"/>
      <c r="AZ325" s="1650"/>
      <c r="BA325" s="2862"/>
      <c r="BB325" s="1644"/>
      <c r="BC325" s="687"/>
      <c r="BD325" s="2862"/>
      <c r="BE325" s="687"/>
      <c r="BF325" s="1401"/>
      <c r="BG325" s="1426"/>
      <c r="BH325" s="1401"/>
      <c r="BI325" s="1542"/>
      <c r="BJ325" s="1556" t="s">
        <v>353</v>
      </c>
      <c r="BK325" s="1778"/>
      <c r="BL325" s="1168"/>
      <c r="BM325" s="1805"/>
      <c r="BN325" s="1168"/>
      <c r="BO325" s="1107"/>
      <c r="BP325" s="1161"/>
      <c r="BQ325" s="1642"/>
      <c r="BR325" s="1614"/>
      <c r="BS325" s="1732"/>
      <c r="BT325" s="182"/>
      <c r="BU325" s="1783"/>
      <c r="BV325" s="1107"/>
      <c r="BW325" s="1161"/>
      <c r="BX325" s="1642"/>
      <c r="BY325" s="1614"/>
      <c r="BZ325" s="1735"/>
      <c r="CA325" s="183"/>
      <c r="CB325" s="1784"/>
      <c r="CC325" s="1738"/>
      <c r="CD325" s="184"/>
      <c r="CE325" s="1785"/>
    </row>
    <row r="326" spans="1:83" ht="13.5" customHeight="1" x14ac:dyDescent="0.4">
      <c r="A326" s="249"/>
      <c r="B326" s="249"/>
      <c r="C326" s="584" t="s">
        <v>307</v>
      </c>
      <c r="D326" s="978"/>
      <c r="E326" s="1795"/>
      <c r="F326" s="1796"/>
      <c r="G326" s="978"/>
      <c r="H326" s="1795"/>
      <c r="I326" s="1797"/>
      <c r="J326" s="978"/>
      <c r="K326" s="1795"/>
      <c r="L326" s="1797"/>
      <c r="M326" s="978"/>
      <c r="N326" s="1795"/>
      <c r="O326" s="1797"/>
      <c r="P326" s="1047"/>
      <c r="Q326" s="1791"/>
      <c r="R326" s="999"/>
      <c r="S326" s="664"/>
      <c r="T326" s="664"/>
      <c r="U326" s="1399"/>
      <c r="V326" s="1771"/>
      <c r="W326" s="745"/>
      <c r="X326" s="1772"/>
      <c r="Y326" s="685"/>
      <c r="Z326" s="745"/>
      <c r="AA326" s="685"/>
      <c r="AB326" s="1399"/>
      <c r="AC326" s="1399"/>
      <c r="AD326" s="1399"/>
      <c r="AE326" s="1385"/>
      <c r="AF326" s="1136"/>
      <c r="AG326" s="1385"/>
      <c r="AH326" s="1645"/>
      <c r="AI326" s="2859"/>
      <c r="AJ326" s="1256"/>
      <c r="AK326" s="2806"/>
      <c r="AL326" s="2840"/>
      <c r="AM326" s="1531"/>
      <c r="AN326" s="1619"/>
      <c r="AO326" s="1421"/>
      <c r="AP326" s="1273"/>
      <c r="AQ326" s="1799"/>
      <c r="AR326" s="1780"/>
      <c r="AS326" s="1640"/>
      <c r="AT326" s="1394"/>
      <c r="AU326" s="2862"/>
      <c r="AV326" s="1394"/>
      <c r="AW326" s="1781"/>
      <c r="AX326" s="1751"/>
      <c r="AY326" s="1781"/>
      <c r="AZ326" s="1650"/>
      <c r="BA326" s="2862"/>
      <c r="BB326" s="1644"/>
      <c r="BC326" s="687"/>
      <c r="BD326" s="2862"/>
      <c r="BE326" s="687"/>
      <c r="BF326" s="1401"/>
      <c r="BG326" s="1401"/>
      <c r="BH326" s="1401"/>
      <c r="BI326" s="1542"/>
      <c r="BJ326" s="1774"/>
      <c r="BK326" s="1778"/>
      <c r="BL326" s="1168"/>
      <c r="BM326" s="1806"/>
      <c r="BN326" s="1168"/>
      <c r="BO326" s="1107"/>
      <c r="BP326" s="1161"/>
      <c r="BQ326" s="1642"/>
      <c r="BR326" s="1614"/>
      <c r="BS326" s="1732"/>
      <c r="BT326" s="182"/>
      <c r="BU326" s="1783"/>
      <c r="BV326" s="1107"/>
      <c r="BW326" s="1161"/>
      <c r="BX326" s="1642"/>
      <c r="BY326" s="1614"/>
      <c r="BZ326" s="1735"/>
      <c r="CA326" s="183"/>
      <c r="CB326" s="1784"/>
      <c r="CC326" s="1738"/>
      <c r="CD326" s="184"/>
      <c r="CE326" s="1785"/>
    </row>
    <row r="327" spans="1:83" ht="14.85" customHeight="1" x14ac:dyDescent="0.4">
      <c r="A327" s="249"/>
      <c r="B327" s="249"/>
      <c r="C327" s="584">
        <v>0.64930555555555503</v>
      </c>
      <c r="D327" s="978"/>
      <c r="E327" s="1795"/>
      <c r="F327" s="1796"/>
      <c r="G327" s="978"/>
      <c r="H327" s="1795"/>
      <c r="I327" s="1807"/>
      <c r="J327" s="978"/>
      <c r="K327" s="1795"/>
      <c r="L327" s="1807"/>
      <c r="M327" s="978"/>
      <c r="N327" s="1795"/>
      <c r="O327" s="1807"/>
      <c r="P327" s="997"/>
      <c r="Q327" s="998"/>
      <c r="R327" s="1053"/>
      <c r="S327" s="664"/>
      <c r="T327" s="1465"/>
      <c r="U327" s="1399"/>
      <c r="V327" s="709"/>
      <c r="W327" s="1065"/>
      <c r="X327" s="1808"/>
      <c r="Y327" s="1061"/>
      <c r="Z327" s="1065"/>
      <c r="AA327" s="1061"/>
      <c r="AB327" s="1399"/>
      <c r="AC327" s="1399"/>
      <c r="AD327" s="1399"/>
      <c r="AE327" s="1385"/>
      <c r="AF327" s="1136"/>
      <c r="AG327" s="1385"/>
      <c r="AH327" s="1160"/>
      <c r="AI327" s="2859"/>
      <c r="AJ327" s="1160"/>
      <c r="AK327" s="1200"/>
      <c r="AL327" s="2840"/>
      <c r="AM327" s="1531"/>
      <c r="AN327" s="1619"/>
      <c r="AO327" s="1421"/>
      <c r="AP327" s="1438"/>
      <c r="AQ327" s="1799"/>
      <c r="AR327" s="1780"/>
      <c r="AS327" s="778"/>
      <c r="AT327" s="1392"/>
      <c r="AU327" s="2862"/>
      <c r="AV327" s="1786"/>
      <c r="AW327" s="1772"/>
      <c r="AX327" s="1751"/>
      <c r="AY327" s="783"/>
      <c r="AZ327" s="1694"/>
      <c r="BA327" s="2862"/>
      <c r="BB327" s="1644"/>
      <c r="BC327" s="687"/>
      <c r="BD327" s="2862"/>
      <c r="BE327" s="687"/>
      <c r="BF327" s="1401"/>
      <c r="BG327" s="1426"/>
      <c r="BH327" s="1401"/>
      <c r="BI327" s="1773"/>
      <c r="BJ327" s="1774"/>
      <c r="BK327" s="1789"/>
      <c r="BL327" s="1168"/>
      <c r="BM327" s="1806"/>
      <c r="BN327" s="1168"/>
      <c r="BO327" s="1107"/>
      <c r="BP327" s="1107"/>
      <c r="BQ327" s="1642"/>
      <c r="BR327" s="1107"/>
      <c r="BS327" s="182"/>
      <c r="BT327" s="182"/>
      <c r="BU327" s="182"/>
      <c r="BV327" s="1107"/>
      <c r="BW327" s="1107"/>
      <c r="BX327" s="1642"/>
      <c r="BY327" s="1107"/>
      <c r="BZ327" s="183"/>
      <c r="CA327" s="183"/>
      <c r="CB327" s="183"/>
      <c r="CC327" s="184"/>
      <c r="CD327" s="184"/>
      <c r="CE327" s="184"/>
    </row>
    <row r="328" spans="1:83" ht="18.600000000000001" customHeight="1" x14ac:dyDescent="0.4">
      <c r="A328" s="249"/>
      <c r="B328" s="249"/>
      <c r="C328" s="584">
        <v>0.65277777777777779</v>
      </c>
      <c r="D328" s="568"/>
      <c r="E328" s="1795"/>
      <c r="F328" s="1809"/>
      <c r="G328" s="568"/>
      <c r="H328" s="1795"/>
      <c r="I328" s="1742"/>
      <c r="J328" s="568"/>
      <c r="K328" s="1795"/>
      <c r="L328" s="1742"/>
      <c r="M328" s="568"/>
      <c r="N328" s="1795"/>
      <c r="O328" s="1742"/>
      <c r="P328" s="997"/>
      <c r="Q328" s="998"/>
      <c r="R328" s="1053"/>
      <c r="S328" s="664"/>
      <c r="T328" s="1465"/>
      <c r="U328" s="1399"/>
      <c r="V328" s="709"/>
      <c r="W328" s="1065"/>
      <c r="X328" s="1808"/>
      <c r="Y328" s="1061"/>
      <c r="Z328" s="1065"/>
      <c r="AA328" s="1061"/>
      <c r="AB328" s="1399"/>
      <c r="AC328" s="1399"/>
      <c r="AD328" s="1399"/>
      <c r="AE328" s="1385"/>
      <c r="AF328" s="1136"/>
      <c r="AG328" s="1385"/>
      <c r="AH328" s="1160"/>
      <c r="AI328" s="2859"/>
      <c r="AJ328" s="1160"/>
      <c r="AK328" s="1200"/>
      <c r="AL328" s="2840"/>
      <c r="AM328" s="1531"/>
      <c r="AN328" s="1619"/>
      <c r="AO328" s="1421"/>
      <c r="AP328" s="1438"/>
      <c r="AQ328" s="778"/>
      <c r="AR328" s="1780"/>
      <c r="AS328" s="778"/>
      <c r="AT328" s="1392"/>
      <c r="AU328" s="2862"/>
      <c r="AV328" s="1394"/>
      <c r="AW328" s="788"/>
      <c r="AX328" s="1751"/>
      <c r="AY328" s="783"/>
      <c r="AZ328" s="1694"/>
      <c r="BA328" s="2862"/>
      <c r="BB328" s="1644"/>
      <c r="BC328" s="687"/>
      <c r="BD328" s="2862"/>
      <c r="BE328" s="687"/>
      <c r="BF328" s="1401"/>
      <c r="BG328" s="1426"/>
      <c r="BH328" s="1401"/>
      <c r="BI328" s="1773"/>
      <c r="BJ328" s="1774"/>
      <c r="BK328" s="1789"/>
      <c r="BL328" s="1168"/>
      <c r="BM328" s="1806"/>
      <c r="BN328" s="1168"/>
      <c r="BO328" s="1107"/>
      <c r="BP328" s="1578"/>
      <c r="BQ328" s="1642"/>
      <c r="BR328" s="1614"/>
      <c r="BS328" s="1810"/>
      <c r="BT328" s="182"/>
      <c r="BU328" s="1783"/>
      <c r="BV328" s="1107"/>
      <c r="BW328" s="1578"/>
      <c r="BX328" s="1642"/>
      <c r="BY328" s="1614"/>
      <c r="BZ328" s="1811"/>
      <c r="CA328" s="183"/>
      <c r="CB328" s="1784"/>
      <c r="CC328" s="1812"/>
      <c r="CD328" s="184"/>
      <c r="CE328" s="1785"/>
    </row>
    <row r="329" spans="1:83" ht="14.85" customHeight="1" x14ac:dyDescent="0.4">
      <c r="A329" s="249"/>
      <c r="B329" s="249"/>
      <c r="C329" s="584" t="s">
        <v>307</v>
      </c>
      <c r="D329" s="568"/>
      <c r="E329" s="1795"/>
      <c r="F329" s="1809"/>
      <c r="G329" s="568"/>
      <c r="H329" s="1795"/>
      <c r="I329" s="1742"/>
      <c r="J329" s="568"/>
      <c r="K329" s="1795"/>
      <c r="L329" s="1742"/>
      <c r="M329" s="568"/>
      <c r="N329" s="1795"/>
      <c r="O329" s="1742"/>
      <c r="P329" s="1047"/>
      <c r="Q329" s="1791"/>
      <c r="R329" s="996"/>
      <c r="S329" s="664"/>
      <c r="T329" s="1465"/>
      <c r="U329" s="1399"/>
      <c r="V329" s="1745"/>
      <c r="W329" s="1065"/>
      <c r="X329" s="1684"/>
      <c r="Y329" s="1061"/>
      <c r="Z329" s="1065"/>
      <c r="AA329" s="1061"/>
      <c r="AB329" s="1399"/>
      <c r="AC329" s="1399"/>
      <c r="AD329" s="1399"/>
      <c r="AE329" s="1385"/>
      <c r="AF329" s="1136"/>
      <c r="AG329" s="1385"/>
      <c r="AH329" s="1160"/>
      <c r="AI329" s="2859"/>
      <c r="AJ329" s="1160"/>
      <c r="AK329" s="1200"/>
      <c r="AL329" s="2840"/>
      <c r="AM329" s="1531"/>
      <c r="AN329" s="1619"/>
      <c r="AO329" s="1421" t="s">
        <v>350</v>
      </c>
      <c r="AP329" s="1438"/>
      <c r="AQ329" s="778"/>
      <c r="AR329" s="778" t="s">
        <v>446</v>
      </c>
      <c r="AS329" s="778"/>
      <c r="AT329" s="1392"/>
      <c r="AU329" s="2862"/>
      <c r="AV329" s="1394"/>
      <c r="AW329" s="788"/>
      <c r="AX329" s="1751"/>
      <c r="AY329" s="783"/>
      <c r="AZ329" s="1694"/>
      <c r="BA329" s="2862"/>
      <c r="BB329" s="1644"/>
      <c r="BC329" s="687"/>
      <c r="BD329" s="2862"/>
      <c r="BE329" s="687"/>
      <c r="BF329" s="1401"/>
      <c r="BG329" s="1426"/>
      <c r="BH329" s="1401"/>
      <c r="BI329" s="1773"/>
      <c r="BJ329" s="1774"/>
      <c r="BK329" s="1789"/>
      <c r="BL329" s="1168"/>
      <c r="BM329" s="1806"/>
      <c r="BN329" s="1168"/>
      <c r="BO329" s="1107"/>
      <c r="BP329" s="1107"/>
      <c r="BQ329" s="1107"/>
      <c r="BR329" s="1191"/>
      <c r="BS329" s="182"/>
      <c r="BT329" s="182"/>
      <c r="BU329" s="1734"/>
      <c r="BV329" s="1107"/>
      <c r="BW329" s="1107"/>
      <c r="BX329" s="1107"/>
      <c r="BY329" s="1191"/>
      <c r="BZ329" s="183"/>
      <c r="CA329" s="183"/>
      <c r="CB329" s="1737"/>
      <c r="CC329" s="184"/>
      <c r="CD329" s="184"/>
      <c r="CE329" s="1740"/>
    </row>
    <row r="330" spans="1:83" ht="21" customHeight="1" x14ac:dyDescent="0.4">
      <c r="A330" s="249"/>
      <c r="B330" s="249"/>
      <c r="C330" s="584">
        <v>0.656249999999999</v>
      </c>
      <c r="D330" s="978"/>
      <c r="E330" s="1795"/>
      <c r="F330" s="1796"/>
      <c r="G330" s="978"/>
      <c r="H330" s="1795"/>
      <c r="I330" s="1797"/>
      <c r="J330" s="978"/>
      <c r="K330" s="1795"/>
      <c r="L330" s="1797"/>
      <c r="M330" s="978"/>
      <c r="N330" s="1795"/>
      <c r="O330" s="1797"/>
      <c r="P330" s="1743"/>
      <c r="Q330" s="1768"/>
      <c r="R330" s="1053"/>
      <c r="S330" s="664"/>
      <c r="T330" s="1465"/>
      <c r="U330" s="1399"/>
      <c r="V330" s="709"/>
      <c r="W330" s="1065"/>
      <c r="X330" s="709"/>
      <c r="Y330" s="1061"/>
      <c r="Z330" s="1065"/>
      <c r="AA330" s="1061"/>
      <c r="AB330" s="1399"/>
      <c r="AC330" s="1399"/>
      <c r="AD330" s="1399"/>
      <c r="AE330" s="1157"/>
      <c r="AF330" s="1385" t="s">
        <v>332</v>
      </c>
      <c r="AG330" s="1385"/>
      <c r="AH330" s="1159"/>
      <c r="AI330" s="2859"/>
      <c r="AJ330" s="1618"/>
      <c r="AK330" s="2806"/>
      <c r="AL330" s="2840"/>
      <c r="AM330" s="1531"/>
      <c r="AN330" s="1273"/>
      <c r="AO330" s="1793"/>
      <c r="AP330" s="1273"/>
      <c r="AQ330" s="778"/>
      <c r="AR330" s="778"/>
      <c r="AS330" s="1640"/>
      <c r="AT330" s="1452"/>
      <c r="AU330" s="2862"/>
      <c r="AV330" s="1394"/>
      <c r="AW330" s="927"/>
      <c r="AX330" s="1801" t="s">
        <v>457</v>
      </c>
      <c r="AY330" s="1585"/>
      <c r="AZ330" s="1565"/>
      <c r="BA330" s="2862"/>
      <c r="BB330" s="1586"/>
      <c r="BC330" s="687"/>
      <c r="BD330" s="2862"/>
      <c r="BE330" s="687"/>
      <c r="BF330" s="1401"/>
      <c r="BG330" s="1401" t="s">
        <v>379</v>
      </c>
      <c r="BH330" s="1401"/>
      <c r="BI330" s="1556"/>
      <c r="BJ330" s="1331" t="s">
        <v>458</v>
      </c>
      <c r="BK330" s="1778"/>
      <c r="BL330" s="1168"/>
      <c r="BM330" s="2803"/>
      <c r="BN330" s="1630"/>
      <c r="BO330" s="1107"/>
      <c r="BP330" s="1404"/>
      <c r="BQ330" s="1107"/>
      <c r="BR330" s="1779"/>
      <c r="BS330" s="1754"/>
      <c r="BT330" s="1755"/>
      <c r="BU330" s="1755"/>
      <c r="BV330" s="1107"/>
      <c r="BW330" s="1404"/>
      <c r="BX330" s="1107"/>
      <c r="BY330" s="1779"/>
      <c r="BZ330" s="1756"/>
      <c r="CA330" s="1757"/>
      <c r="CB330" s="1757"/>
      <c r="CC330" s="1758"/>
      <c r="CD330" s="1759"/>
      <c r="CE330" s="1759"/>
    </row>
    <row r="331" spans="1:83" ht="26.85" customHeight="1" x14ac:dyDescent="0.4">
      <c r="A331" s="249"/>
      <c r="B331" s="249"/>
      <c r="C331" s="584" t="s">
        <v>307</v>
      </c>
      <c r="D331" s="1741"/>
      <c r="E331" s="1769"/>
      <c r="F331" s="1770"/>
      <c r="G331" s="1741"/>
      <c r="H331" s="1769"/>
      <c r="I331" s="1742"/>
      <c r="J331" s="1741"/>
      <c r="K331" s="1769"/>
      <c r="L331" s="1742"/>
      <c r="M331" s="1741"/>
      <c r="N331" s="1769"/>
      <c r="O331" s="1742"/>
      <c r="P331" s="1743"/>
      <c r="Q331" s="1768"/>
      <c r="R331" s="1053"/>
      <c r="S331" s="664"/>
      <c r="T331" s="1465"/>
      <c r="U331" s="1399"/>
      <c r="V331" s="709"/>
      <c r="W331" s="796" t="s">
        <v>336</v>
      </c>
      <c r="X331" s="1808"/>
      <c r="Y331" s="1061"/>
      <c r="Z331" s="1065"/>
      <c r="AA331" s="1061"/>
      <c r="AB331" s="1399"/>
      <c r="AC331" s="1399"/>
      <c r="AD331" s="1399"/>
      <c r="AE331" s="1385"/>
      <c r="AF331" s="1157" t="s">
        <v>366</v>
      </c>
      <c r="AG331" s="1385"/>
      <c r="AH331" s="1159"/>
      <c r="AI331" s="2859"/>
      <c r="AJ331" s="1159"/>
      <c r="AK331" s="2806"/>
      <c r="AL331" s="2840"/>
      <c r="AM331" s="1469"/>
      <c r="AN331" s="1273"/>
      <c r="AO331" s="1583"/>
      <c r="AP331" s="1273"/>
      <c r="AQ331" s="1813"/>
      <c r="AR331" s="1780"/>
      <c r="AS331" s="778"/>
      <c r="AT331" s="1452"/>
      <c r="AU331" s="2862"/>
      <c r="AV331" s="1460"/>
      <c r="AW331" s="1781"/>
      <c r="AX331" s="1751"/>
      <c r="AY331" s="783"/>
      <c r="AZ331" s="1643"/>
      <c r="BA331" s="2862"/>
      <c r="BB331" s="1727"/>
      <c r="BC331" s="687"/>
      <c r="BD331" s="2862"/>
      <c r="BE331" s="687"/>
      <c r="BF331" s="1401"/>
      <c r="BG331" s="1426" t="s">
        <v>381</v>
      </c>
      <c r="BH331" s="1401"/>
      <c r="BI331" s="1814"/>
      <c r="BJ331" s="1331" t="s">
        <v>460</v>
      </c>
      <c r="BK331" s="1778"/>
      <c r="BL331" s="1168"/>
      <c r="BM331" s="1815"/>
      <c r="BN331" s="1168"/>
      <c r="BO331" s="1580"/>
      <c r="BP331" s="1108"/>
      <c r="BQ331" s="1109"/>
      <c r="BR331" s="1614"/>
      <c r="BS331" s="1754"/>
      <c r="BT331" s="1755"/>
      <c r="BU331" s="1783"/>
      <c r="BV331" s="1580"/>
      <c r="BW331" s="1108"/>
      <c r="BX331" s="1109"/>
      <c r="BY331" s="1614"/>
      <c r="BZ331" s="1756"/>
      <c r="CA331" s="1757"/>
      <c r="CB331" s="1784"/>
      <c r="CC331" s="1758"/>
      <c r="CD331" s="1759"/>
      <c r="CE331" s="1785"/>
    </row>
    <row r="332" spans="1:83" ht="20.85" customHeight="1" x14ac:dyDescent="0.4">
      <c r="A332" s="249"/>
      <c r="B332" s="249"/>
      <c r="C332" s="584" t="s">
        <v>307</v>
      </c>
      <c r="D332" s="1741"/>
      <c r="E332" s="1769"/>
      <c r="F332" s="1770"/>
      <c r="G332" s="1741"/>
      <c r="H332" s="1769"/>
      <c r="I332" s="1742"/>
      <c r="J332" s="1741"/>
      <c r="K332" s="1769"/>
      <c r="L332" s="1742"/>
      <c r="M332" s="1741"/>
      <c r="N332" s="1769"/>
      <c r="O332" s="1742"/>
      <c r="P332" s="1816"/>
      <c r="Q332" s="1817"/>
      <c r="R332" s="996"/>
      <c r="S332" s="664"/>
      <c r="T332" s="1465"/>
      <c r="U332" s="1399"/>
      <c r="V332" s="709"/>
      <c r="W332" s="1065"/>
      <c r="X332" s="1808"/>
      <c r="Y332" s="1061"/>
      <c r="Z332" s="1065"/>
      <c r="AA332" s="1061"/>
      <c r="AB332" s="1399"/>
      <c r="AC332" s="1399"/>
      <c r="AD332" s="1399"/>
      <c r="AE332" s="1385"/>
      <c r="AF332" s="1169" t="s">
        <v>459</v>
      </c>
      <c r="AG332" s="1624"/>
      <c r="AH332" s="1160"/>
      <c r="AI332" s="2859"/>
      <c r="AJ332" s="1160"/>
      <c r="AK332" s="2806"/>
      <c r="AL332" s="2840"/>
      <c r="AM332" s="1469"/>
      <c r="AN332" s="1273"/>
      <c r="AO332" s="1583"/>
      <c r="AP332" s="1722"/>
      <c r="AQ332" s="1813"/>
      <c r="AR332" s="1780"/>
      <c r="AS332" s="778"/>
      <c r="AT332" s="1452"/>
      <c r="AU332" s="2862"/>
      <c r="AV332" s="1460"/>
      <c r="AW332" s="1781"/>
      <c r="AX332" s="1751"/>
      <c r="AY332" s="783"/>
      <c r="AZ332" s="1643"/>
      <c r="BA332" s="2862"/>
      <c r="BB332" s="1727"/>
      <c r="BC332" s="687"/>
      <c r="BD332" s="2862"/>
      <c r="BE332" s="908"/>
      <c r="BF332" s="1401"/>
      <c r="BG332" s="1426" t="s">
        <v>384</v>
      </c>
      <c r="BH332" s="1401"/>
      <c r="BI332" s="1814"/>
      <c r="BJ332" s="1556" t="s">
        <v>609</v>
      </c>
      <c r="BK332" s="1818"/>
      <c r="BL332" s="1168"/>
      <c r="BM332" s="1804"/>
      <c r="BN332" s="1630"/>
      <c r="BO332" s="1580"/>
      <c r="BP332" s="1108"/>
      <c r="BQ332" s="1109"/>
      <c r="BR332" s="1614"/>
      <c r="BS332" s="1754"/>
      <c r="BT332" s="1755"/>
      <c r="BU332" s="1783"/>
      <c r="BV332" s="1580"/>
      <c r="BW332" s="1108"/>
      <c r="BX332" s="1109"/>
      <c r="BY332" s="1614"/>
      <c r="BZ332" s="1756"/>
      <c r="CA332" s="1757"/>
      <c r="CB332" s="1784"/>
      <c r="CC332" s="1758"/>
      <c r="CD332" s="1759"/>
      <c r="CE332" s="1785"/>
    </row>
    <row r="333" spans="1:83" ht="21.6" customHeight="1" x14ac:dyDescent="0.4">
      <c r="A333" s="249"/>
      <c r="B333" s="249"/>
      <c r="C333" s="584" t="s">
        <v>307</v>
      </c>
      <c r="D333" s="1819"/>
      <c r="E333" s="1820"/>
      <c r="F333" s="1821"/>
      <c r="G333" s="1819"/>
      <c r="H333" s="1820"/>
      <c r="I333" s="1797"/>
      <c r="J333" s="1819"/>
      <c r="K333" s="1820"/>
      <c r="L333" s="1797"/>
      <c r="M333" s="1819"/>
      <c r="N333" s="1820"/>
      <c r="O333" s="1797"/>
      <c r="P333" s="1816"/>
      <c r="Q333" s="1817"/>
      <c r="R333" s="996"/>
      <c r="S333" s="664"/>
      <c r="T333" s="1465"/>
      <c r="U333" s="1399"/>
      <c r="V333" s="709"/>
      <c r="W333" s="1065"/>
      <c r="X333" s="1808"/>
      <c r="Y333" s="1061"/>
      <c r="Z333" s="1065"/>
      <c r="AA333" s="1061"/>
      <c r="AB333" s="1399"/>
      <c r="AC333" s="1399"/>
      <c r="AD333" s="1399"/>
      <c r="AE333" s="1385"/>
      <c r="AF333" s="1169" t="s">
        <v>461</v>
      </c>
      <c r="AG333" s="1385"/>
      <c r="AH333" s="1160"/>
      <c r="AI333" s="2859"/>
      <c r="AJ333" s="1160"/>
      <c r="AK333" s="1285"/>
      <c r="AL333" s="2840"/>
      <c r="AM333" s="1469"/>
      <c r="AN333" s="1450"/>
      <c r="AO333" s="1583"/>
      <c r="AP333" s="1761"/>
      <c r="AQ333" s="1799"/>
      <c r="AR333" s="1780"/>
      <c r="AS333" s="1640"/>
      <c r="AT333" s="1452"/>
      <c r="AU333" s="2862"/>
      <c r="AV333" s="1460"/>
      <c r="AW333" s="1781"/>
      <c r="AX333" s="1751"/>
      <c r="AY333" s="783"/>
      <c r="AZ333" s="1643"/>
      <c r="BA333" s="2862"/>
      <c r="BB333" s="1802"/>
      <c r="BC333" s="687"/>
      <c r="BD333" s="2862"/>
      <c r="BE333" s="687"/>
      <c r="BF333" s="1401"/>
      <c r="BG333" s="1426"/>
      <c r="BH333" s="1401"/>
      <c r="BI333" s="1773"/>
      <c r="BJ333" s="1556" t="s">
        <v>350</v>
      </c>
      <c r="BK333" s="1818"/>
      <c r="BL333" s="1168"/>
      <c r="BM333" s="1804"/>
      <c r="BN333" s="1168"/>
      <c r="BO333" s="1107"/>
      <c r="BP333" s="1161"/>
      <c r="BQ333" s="1107"/>
      <c r="BR333" s="1614"/>
      <c r="BS333" s="1732"/>
      <c r="BT333" s="182"/>
      <c r="BU333" s="1783"/>
      <c r="BV333" s="1107"/>
      <c r="BW333" s="1161"/>
      <c r="BX333" s="1107"/>
      <c r="BY333" s="1614"/>
      <c r="BZ333" s="1735"/>
      <c r="CA333" s="183"/>
      <c r="CB333" s="1784"/>
      <c r="CC333" s="1738"/>
      <c r="CD333" s="184"/>
      <c r="CE333" s="1785"/>
    </row>
    <row r="334" spans="1:83" ht="20.85" customHeight="1" x14ac:dyDescent="0.4">
      <c r="A334" s="249"/>
      <c r="B334" s="249"/>
      <c r="C334" s="584" t="s">
        <v>307</v>
      </c>
      <c r="D334" s="1819"/>
      <c r="E334" s="1820"/>
      <c r="F334" s="1821"/>
      <c r="G334" s="1819"/>
      <c r="H334" s="1820"/>
      <c r="I334" s="1797"/>
      <c r="J334" s="1819"/>
      <c r="K334" s="1820"/>
      <c r="L334" s="1797"/>
      <c r="M334" s="1819"/>
      <c r="N334" s="1820"/>
      <c r="O334" s="1797"/>
      <c r="P334" s="1816"/>
      <c r="Q334" s="1817"/>
      <c r="R334" s="996"/>
      <c r="S334" s="664"/>
      <c r="T334" s="1465"/>
      <c r="U334" s="1399"/>
      <c r="V334" s="709"/>
      <c r="W334" s="1065"/>
      <c r="X334" s="1808"/>
      <c r="Y334" s="1061"/>
      <c r="Z334" s="1065"/>
      <c r="AA334" s="1061"/>
      <c r="AB334" s="1399"/>
      <c r="AC334" s="1399"/>
      <c r="AD334" s="1399"/>
      <c r="AE334" s="1385"/>
      <c r="AF334" s="1822"/>
      <c r="AG334" s="1385"/>
      <c r="AH334" s="1160"/>
      <c r="AI334" s="2859"/>
      <c r="AJ334" s="1160"/>
      <c r="AK334" s="1285"/>
      <c r="AL334" s="2840"/>
      <c r="AM334" s="1469"/>
      <c r="AN334" s="1450"/>
      <c r="AO334" s="1583"/>
      <c r="AP334" s="1761"/>
      <c r="AQ334" s="1799"/>
      <c r="AR334" s="1780"/>
      <c r="AS334" s="1640"/>
      <c r="AT334" s="1452"/>
      <c r="AU334" s="2862"/>
      <c r="AV334" s="1460"/>
      <c r="AW334" s="1781"/>
      <c r="AX334" s="1751"/>
      <c r="AY334" s="783"/>
      <c r="AZ334" s="1643"/>
      <c r="BA334" s="2862"/>
      <c r="BB334" s="1802"/>
      <c r="BC334" s="687"/>
      <c r="BD334" s="2862"/>
      <c r="BE334" s="687"/>
      <c r="BF334" s="1401"/>
      <c r="BG334" s="1401"/>
      <c r="BH334" s="1401"/>
      <c r="BI334" s="1773"/>
      <c r="BJ334" s="1556" t="s">
        <v>447</v>
      </c>
      <c r="BK334" s="1818"/>
      <c r="BL334" s="1168"/>
      <c r="BM334" s="1823"/>
      <c r="BN334" s="1168"/>
      <c r="BO334" s="1107"/>
      <c r="BP334" s="1161"/>
      <c r="BQ334" s="1107"/>
      <c r="BR334" s="1614"/>
      <c r="BS334" s="1732"/>
      <c r="BT334" s="182"/>
      <c r="BU334" s="1783"/>
      <c r="BV334" s="1107"/>
      <c r="BW334" s="1161"/>
      <c r="BX334" s="1107"/>
      <c r="BY334" s="1614"/>
      <c r="BZ334" s="1735"/>
      <c r="CA334" s="183"/>
      <c r="CB334" s="1784"/>
      <c r="CC334" s="1738"/>
      <c r="CD334" s="184"/>
      <c r="CE334" s="1785"/>
    </row>
    <row r="335" spans="1:83" ht="14.85" customHeight="1" x14ac:dyDescent="0.4">
      <c r="A335" s="249"/>
      <c r="B335" s="249"/>
      <c r="C335" s="584" t="s">
        <v>307</v>
      </c>
      <c r="D335" s="1819"/>
      <c r="E335" s="1820"/>
      <c r="F335" s="1821"/>
      <c r="G335" s="1819"/>
      <c r="H335" s="1820"/>
      <c r="I335" s="1797"/>
      <c r="J335" s="1819"/>
      <c r="K335" s="1820"/>
      <c r="L335" s="1797"/>
      <c r="M335" s="1819"/>
      <c r="N335" s="1820"/>
      <c r="O335" s="1797"/>
      <c r="P335" s="997"/>
      <c r="Q335" s="998"/>
      <c r="R335" s="1251"/>
      <c r="S335" s="664"/>
      <c r="T335" s="1465"/>
      <c r="U335" s="1399"/>
      <c r="V335" s="709"/>
      <c r="W335" s="1065"/>
      <c r="X335" s="1808"/>
      <c r="Y335" s="1061"/>
      <c r="Z335" s="1065"/>
      <c r="AA335" s="1061"/>
      <c r="AB335" s="1399"/>
      <c r="AC335" s="1399"/>
      <c r="AD335" s="1399"/>
      <c r="AE335" s="1385"/>
      <c r="AF335" s="1385"/>
      <c r="AG335" s="1385"/>
      <c r="AH335" s="1160"/>
      <c r="AI335" s="2859"/>
      <c r="AJ335" s="1160"/>
      <c r="AK335" s="1285"/>
      <c r="AL335" s="2840"/>
      <c r="AM335" s="1469"/>
      <c r="AN335" s="1450"/>
      <c r="AO335" s="1583"/>
      <c r="AP335" s="1761"/>
      <c r="AQ335" s="1799"/>
      <c r="AR335" s="1780"/>
      <c r="AS335" s="1640"/>
      <c r="AT335" s="1452"/>
      <c r="AU335" s="2862"/>
      <c r="AV335" s="1460"/>
      <c r="AW335" s="1781"/>
      <c r="AX335" s="1751"/>
      <c r="AY335" s="783"/>
      <c r="AZ335" s="1643"/>
      <c r="BA335" s="2862"/>
      <c r="BB335" s="1802"/>
      <c r="BC335" s="687"/>
      <c r="BD335" s="2862"/>
      <c r="BE335" s="687"/>
      <c r="BF335" s="1401"/>
      <c r="BG335" s="1426"/>
      <c r="BH335" s="1401"/>
      <c r="BI335" s="1773"/>
      <c r="BJ335" s="1774"/>
      <c r="BK335" s="1818"/>
      <c r="BL335" s="1168"/>
      <c r="BM335" s="1823"/>
      <c r="BN335" s="1168"/>
      <c r="BO335" s="1107"/>
      <c r="BP335" s="1161"/>
      <c r="BQ335" s="1107"/>
      <c r="BR335" s="1614"/>
      <c r="BS335" s="1732"/>
      <c r="BT335" s="182"/>
      <c r="BU335" s="1783"/>
      <c r="BV335" s="1107"/>
      <c r="BW335" s="1161"/>
      <c r="BX335" s="1107"/>
      <c r="BY335" s="1614"/>
      <c r="BZ335" s="1735"/>
      <c r="CA335" s="183"/>
      <c r="CB335" s="1784"/>
      <c r="CC335" s="1738"/>
      <c r="CD335" s="184"/>
      <c r="CE335" s="1785"/>
    </row>
    <row r="336" spans="1:83" ht="14.85" customHeight="1" x14ac:dyDescent="0.4">
      <c r="A336" s="249"/>
      <c r="B336" s="249"/>
      <c r="C336" s="584">
        <v>0.65972222222222099</v>
      </c>
      <c r="D336" s="568"/>
      <c r="E336" s="1795"/>
      <c r="F336" s="1809"/>
      <c r="G336" s="568"/>
      <c r="H336" s="1795"/>
      <c r="I336" s="1824"/>
      <c r="J336" s="568"/>
      <c r="K336" s="1795"/>
      <c r="L336" s="1824"/>
      <c r="M336" s="568"/>
      <c r="N336" s="1795"/>
      <c r="O336" s="1824"/>
      <c r="P336" s="997"/>
      <c r="Q336" s="998"/>
      <c r="R336" s="1251"/>
      <c r="S336" s="664"/>
      <c r="T336" s="1465"/>
      <c r="U336" s="1399"/>
      <c r="V336" s="709"/>
      <c r="W336" s="1065"/>
      <c r="X336" s="1808"/>
      <c r="Y336" s="1061"/>
      <c r="Z336" s="1065"/>
      <c r="AA336" s="1061"/>
      <c r="AB336" s="1399"/>
      <c r="AC336" s="1399"/>
      <c r="AD336" s="1399"/>
      <c r="AE336" s="1385"/>
      <c r="AF336" s="1822"/>
      <c r="AG336" s="1385"/>
      <c r="AH336" s="1160"/>
      <c r="AI336" s="2859"/>
      <c r="AJ336" s="1160"/>
      <c r="AK336" s="1285"/>
      <c r="AL336" s="2840"/>
      <c r="AM336" s="1531"/>
      <c r="AN336" s="1421"/>
      <c r="AO336" s="1583"/>
      <c r="AP336" s="1438"/>
      <c r="AQ336" s="1134"/>
      <c r="AR336" s="1780"/>
      <c r="AS336" s="1640"/>
      <c r="AT336" s="1392"/>
      <c r="AU336" s="2862"/>
      <c r="AV336" s="1460"/>
      <c r="AW336" s="684"/>
      <c r="AX336" s="1751"/>
      <c r="AY336" s="684"/>
      <c r="AZ336" s="1802"/>
      <c r="BA336" s="2862"/>
      <c r="BB336" s="1825"/>
      <c r="BC336" s="687"/>
      <c r="BD336" s="2862"/>
      <c r="BE336" s="687"/>
      <c r="BF336" s="1401"/>
      <c r="BG336" s="1426"/>
      <c r="BH336" s="1401"/>
      <c r="BI336" s="1773"/>
      <c r="BJ336" s="1774"/>
      <c r="BK336" s="1789"/>
      <c r="BL336" s="1168"/>
      <c r="BM336" s="2877"/>
      <c r="BN336" s="1168"/>
      <c r="BO336" s="1107"/>
      <c r="BP336" s="1107"/>
      <c r="BQ336" s="1107"/>
      <c r="BR336" s="1191"/>
      <c r="BS336" s="182"/>
      <c r="BT336" s="182"/>
      <c r="BU336" s="1734"/>
      <c r="BV336" s="1107"/>
      <c r="BW336" s="1107"/>
      <c r="BX336" s="1107"/>
      <c r="BY336" s="1191"/>
      <c r="BZ336" s="183"/>
      <c r="CA336" s="183"/>
      <c r="CB336" s="1737"/>
      <c r="CC336" s="184"/>
      <c r="CD336" s="184"/>
      <c r="CE336" s="1740"/>
    </row>
    <row r="337" spans="1:83" ht="30.75" customHeight="1" x14ac:dyDescent="0.4">
      <c r="A337" s="249"/>
      <c r="B337" s="249"/>
      <c r="C337" s="802">
        <v>0.66319444444444298</v>
      </c>
      <c r="D337" s="815"/>
      <c r="E337" s="1826"/>
      <c r="F337" s="1827"/>
      <c r="G337" s="815"/>
      <c r="H337" s="1826"/>
      <c r="I337" s="1828"/>
      <c r="J337" s="815"/>
      <c r="K337" s="1826"/>
      <c r="L337" s="1828"/>
      <c r="M337" s="815"/>
      <c r="N337" s="1826"/>
      <c r="O337" s="1828"/>
      <c r="P337" s="1829"/>
      <c r="Q337" s="1829"/>
      <c r="R337" s="1830"/>
      <c r="S337" s="664"/>
      <c r="T337" s="1465"/>
      <c r="U337" s="1465"/>
      <c r="V337" s="709"/>
      <c r="W337" s="1065"/>
      <c r="X337" s="1831"/>
      <c r="Y337" s="1064"/>
      <c r="Z337" s="1065"/>
      <c r="AA337" s="1064"/>
      <c r="AB337" s="1465"/>
      <c r="AC337" s="1465"/>
      <c r="AD337" s="1465"/>
      <c r="AE337" s="1385"/>
      <c r="AF337" s="1832"/>
      <c r="AG337" s="1385"/>
      <c r="AH337" s="1687"/>
      <c r="AI337" s="2860"/>
      <c r="AJ337" s="1687"/>
      <c r="AK337" s="1200"/>
      <c r="AL337" s="2857"/>
      <c r="AM337" s="1285"/>
      <c r="AN337" s="1498"/>
      <c r="AO337" s="1833"/>
      <c r="AP337" s="1500"/>
      <c r="AQ337" s="1834"/>
      <c r="AR337" s="1835"/>
      <c r="AS337" s="1692"/>
      <c r="AT337" s="1503"/>
      <c r="AU337" s="2862"/>
      <c r="AV337" s="1505"/>
      <c r="AW337" s="814"/>
      <c r="AX337" s="1836"/>
      <c r="AY337" s="814"/>
      <c r="AZ337" s="1837"/>
      <c r="BA337" s="2863"/>
      <c r="BB337" s="1837"/>
      <c r="BC337" s="687"/>
      <c r="BD337" s="2863"/>
      <c r="BE337" s="687"/>
      <c r="BF337" s="1512"/>
      <c r="BG337" s="1426"/>
      <c r="BH337" s="1512"/>
      <c r="BI337" s="1838"/>
      <c r="BJ337" s="1839"/>
      <c r="BK337" s="1840"/>
      <c r="BL337" s="1168"/>
      <c r="BM337" s="2877"/>
      <c r="BN337" s="1168"/>
      <c r="BO337" s="1702"/>
      <c r="BP337" s="1702"/>
      <c r="BQ337" s="1702"/>
      <c r="BR337" s="1702"/>
      <c r="BS337" s="243"/>
      <c r="BT337" s="243"/>
      <c r="BU337" s="243"/>
      <c r="BV337" s="1702"/>
      <c r="BW337" s="1702"/>
      <c r="BX337" s="1702"/>
      <c r="BY337" s="1702"/>
      <c r="BZ337" s="245"/>
      <c r="CA337" s="245"/>
      <c r="CB337" s="245"/>
      <c r="CC337" s="1841"/>
      <c r="CD337" s="1841"/>
      <c r="CE337" s="1841"/>
    </row>
    <row r="338" spans="1:83" ht="26.1" customHeight="1" x14ac:dyDescent="0.4">
      <c r="A338" s="249"/>
      <c r="B338" s="249"/>
      <c r="C338" s="578">
        <v>0.66666666666666596</v>
      </c>
      <c r="D338" s="978"/>
      <c r="E338" s="1842"/>
      <c r="F338" s="1795"/>
      <c r="G338" s="978"/>
      <c r="H338" s="1842"/>
      <c r="I338" s="1742"/>
      <c r="J338" s="978"/>
      <c r="K338" s="1842"/>
      <c r="L338" s="1742"/>
      <c r="M338" s="978"/>
      <c r="N338" s="1842"/>
      <c r="O338" s="1742"/>
      <c r="P338" s="1743"/>
      <c r="Q338" s="707"/>
      <c r="R338" s="1053"/>
      <c r="S338" s="1843"/>
      <c r="T338" s="1094" t="s">
        <v>462</v>
      </c>
      <c r="U338" s="2769"/>
      <c r="V338" s="1712"/>
      <c r="W338" s="1845" t="s">
        <v>604</v>
      </c>
      <c r="X338" s="1714"/>
      <c r="Y338" s="827"/>
      <c r="Z338" s="1845"/>
      <c r="AA338" s="827"/>
      <c r="AB338" s="1717"/>
      <c r="AC338" s="1717"/>
      <c r="AD338" s="1717"/>
      <c r="AE338" s="1846"/>
      <c r="AF338" s="1385" t="s">
        <v>332</v>
      </c>
      <c r="AG338" s="1408"/>
      <c r="AH338" s="1159"/>
      <c r="AI338" s="1160" t="s">
        <v>371</v>
      </c>
      <c r="AJ338" s="1160"/>
      <c r="AK338" s="1847"/>
      <c r="AL338" s="1723" t="s">
        <v>463</v>
      </c>
      <c r="AM338" s="1847"/>
      <c r="AN338" s="1450"/>
      <c r="AO338" s="2861" t="s">
        <v>407</v>
      </c>
      <c r="AP338" s="1761"/>
      <c r="AQ338" s="778"/>
      <c r="AR338" s="778" t="s">
        <v>350</v>
      </c>
      <c r="AS338" s="1640"/>
      <c r="AT338" s="1394"/>
      <c r="AU338" s="2862"/>
      <c r="AV338" s="1394"/>
      <c r="AW338" s="1395"/>
      <c r="AX338" s="1801" t="s">
        <v>464</v>
      </c>
      <c r="AY338" s="1848"/>
      <c r="AZ338" s="1643"/>
      <c r="BA338" s="1849" t="s">
        <v>329</v>
      </c>
      <c r="BB338" s="1727"/>
      <c r="BC338" s="1728"/>
      <c r="BD338" s="963" t="s">
        <v>379</v>
      </c>
      <c r="BE338" s="1729"/>
      <c r="BF338" s="1850"/>
      <c r="BG338" s="1851" t="s">
        <v>379</v>
      </c>
      <c r="BH338" s="1852"/>
      <c r="BI338" s="1556"/>
      <c r="BJ338" s="1853" t="s">
        <v>465</v>
      </c>
      <c r="BK338" s="1789"/>
      <c r="BL338" s="1854"/>
      <c r="BM338" s="2804" t="s">
        <v>407</v>
      </c>
      <c r="BN338" s="1854"/>
      <c r="BO338" s="1107"/>
      <c r="BP338" s="1107"/>
      <c r="BQ338" s="1107"/>
      <c r="BR338" s="1107"/>
      <c r="BS338" s="182"/>
      <c r="BT338" s="182" t="s">
        <v>271</v>
      </c>
      <c r="BU338" s="182"/>
      <c r="BV338" s="1107"/>
      <c r="BW338" s="1107"/>
      <c r="BX338" s="1107"/>
      <c r="BY338" s="1107"/>
      <c r="BZ338" s="183"/>
      <c r="CA338" s="183" t="s">
        <v>271</v>
      </c>
      <c r="CB338" s="183"/>
      <c r="CC338" s="184"/>
      <c r="CD338" s="184"/>
      <c r="CE338" s="184"/>
    </row>
    <row r="339" spans="1:83" ht="21" customHeight="1" x14ac:dyDescent="0.4">
      <c r="A339" s="249"/>
      <c r="B339" s="249"/>
      <c r="C339" s="584" t="s">
        <v>307</v>
      </c>
      <c r="D339" s="1741"/>
      <c r="E339" s="1769"/>
      <c r="F339" s="1770"/>
      <c r="G339" s="1741"/>
      <c r="H339" s="1769"/>
      <c r="I339" s="1742"/>
      <c r="J339" s="1741"/>
      <c r="K339" s="1769"/>
      <c r="L339" s="1742"/>
      <c r="M339" s="1741"/>
      <c r="N339" s="1769"/>
      <c r="O339" s="1742"/>
      <c r="P339" s="1743"/>
      <c r="Q339" s="707"/>
      <c r="R339" s="1053"/>
      <c r="S339" s="664"/>
      <c r="T339" s="664"/>
      <c r="U339" s="1399"/>
      <c r="V339" s="709"/>
      <c r="W339" s="739"/>
      <c r="X339" s="1855"/>
      <c r="Y339" s="685"/>
      <c r="Z339" s="739"/>
      <c r="AA339" s="685"/>
      <c r="AB339" s="1399"/>
      <c r="AC339" s="1399"/>
      <c r="AD339" s="1399"/>
      <c r="AE339" s="1157"/>
      <c r="AF339" s="1157" t="s">
        <v>329</v>
      </c>
      <c r="AG339" s="1157"/>
      <c r="AH339" s="1164"/>
      <c r="AI339" s="1160" t="s">
        <v>331</v>
      </c>
      <c r="AJ339" s="1165"/>
      <c r="AK339" s="1285"/>
      <c r="AL339" s="1285"/>
      <c r="AM339" s="1285"/>
      <c r="AN339" s="1421"/>
      <c r="AO339" s="2862"/>
      <c r="AP339" s="1273"/>
      <c r="AQ339" s="1813"/>
      <c r="AR339" s="778"/>
      <c r="AS339" s="1648"/>
      <c r="AT339" s="1452"/>
      <c r="AU339" s="2862"/>
      <c r="AV339" s="1394"/>
      <c r="AW339" s="1781"/>
      <c r="AX339" s="1856"/>
      <c r="AY339" s="1857"/>
      <c r="AZ339" s="1643"/>
      <c r="BA339" s="1858"/>
      <c r="BB339" s="1644"/>
      <c r="BC339" s="687"/>
      <c r="BD339" s="1555"/>
      <c r="BE339" s="687"/>
      <c r="BF339" s="1794"/>
      <c r="BG339" s="1859" t="s">
        <v>381</v>
      </c>
      <c r="BH339" s="1401"/>
      <c r="BI339" s="1670"/>
      <c r="BJ339" s="1860" t="s">
        <v>466</v>
      </c>
      <c r="BK339" s="1789"/>
      <c r="BL339" s="1168"/>
      <c r="BM339" s="2804"/>
      <c r="BN339" s="1168"/>
      <c r="BO339" s="1580"/>
      <c r="BP339" s="1108"/>
      <c r="BQ339" s="1109"/>
      <c r="BR339" s="1107"/>
      <c r="BS339" s="1754"/>
      <c r="BT339" s="1755" t="s">
        <v>310</v>
      </c>
      <c r="BU339" s="1755"/>
      <c r="BV339" s="1580"/>
      <c r="BW339" s="1108"/>
      <c r="BX339" s="1109"/>
      <c r="BY339" s="1107"/>
      <c r="BZ339" s="1756"/>
      <c r="CA339" s="1757" t="s">
        <v>310</v>
      </c>
      <c r="CB339" s="1757"/>
      <c r="CC339" s="1758"/>
      <c r="CD339" s="1759"/>
      <c r="CE339" s="1759"/>
    </row>
    <row r="340" spans="1:83" ht="22.35" customHeight="1" x14ac:dyDescent="0.4">
      <c r="A340" s="249"/>
      <c r="B340" s="249"/>
      <c r="C340" s="584" t="s">
        <v>307</v>
      </c>
      <c r="D340" s="1741"/>
      <c r="E340" s="1769"/>
      <c r="F340" s="1770"/>
      <c r="G340" s="1741"/>
      <c r="H340" s="1769"/>
      <c r="I340" s="1742"/>
      <c r="J340" s="1741"/>
      <c r="K340" s="1769"/>
      <c r="L340" s="1742"/>
      <c r="M340" s="1741"/>
      <c r="N340" s="1769"/>
      <c r="O340" s="1742"/>
      <c r="P340" s="1743"/>
      <c r="Q340" s="1768"/>
      <c r="R340" s="1053"/>
      <c r="S340" s="664"/>
      <c r="T340" s="664"/>
      <c r="U340" s="1399"/>
      <c r="V340" s="709"/>
      <c r="W340" s="1861"/>
      <c r="X340" s="1855"/>
      <c r="Y340" s="685"/>
      <c r="Z340" s="1861"/>
      <c r="AA340" s="685"/>
      <c r="AB340" s="1399"/>
      <c r="AC340" s="1399"/>
      <c r="AD340" s="1399"/>
      <c r="AE340" s="1385"/>
      <c r="AF340" s="1385"/>
      <c r="AG340" s="1385"/>
      <c r="AH340" s="1160"/>
      <c r="AI340" s="1139" t="s">
        <v>333</v>
      </c>
      <c r="AJ340" s="1160"/>
      <c r="AK340" s="1285"/>
      <c r="AL340" s="1285"/>
      <c r="AM340" s="1285"/>
      <c r="AN340" s="1721"/>
      <c r="AO340" s="2862"/>
      <c r="AP340" s="1722"/>
      <c r="AQ340" s="1799"/>
      <c r="AR340" s="778"/>
      <c r="AS340" s="1648"/>
      <c r="AT340" s="1452"/>
      <c r="AU340" s="2862"/>
      <c r="AV340" s="1394"/>
      <c r="AW340" s="1781"/>
      <c r="AX340" s="1856"/>
      <c r="AY340" s="1857"/>
      <c r="AZ340" s="1643"/>
      <c r="BA340" s="1858"/>
      <c r="BB340" s="1644"/>
      <c r="BC340" s="687"/>
      <c r="BD340" s="975"/>
      <c r="BE340" s="687"/>
      <c r="BF340" s="1794"/>
      <c r="BG340" s="1862" t="s">
        <v>384</v>
      </c>
      <c r="BH340" s="1401"/>
      <c r="BI340" s="1556"/>
      <c r="BJ340" s="1863" t="s">
        <v>467</v>
      </c>
      <c r="BK340" s="1789"/>
      <c r="BL340" s="1168"/>
      <c r="BM340" s="2804"/>
      <c r="BN340" s="1168"/>
      <c r="BO340" s="1580"/>
      <c r="BP340" s="1108"/>
      <c r="BQ340" s="1109"/>
      <c r="BR340" s="1107"/>
      <c r="BS340" s="1754"/>
      <c r="BT340" s="1755"/>
      <c r="BU340" s="182"/>
      <c r="BV340" s="1580"/>
      <c r="BW340" s="1108"/>
      <c r="BX340" s="1109"/>
      <c r="BY340" s="1107"/>
      <c r="BZ340" s="1756"/>
      <c r="CA340" s="1757"/>
      <c r="CB340" s="183"/>
      <c r="CC340" s="1758"/>
      <c r="CD340" s="1759"/>
      <c r="CE340" s="184"/>
    </row>
    <row r="341" spans="1:83" ht="13.5" customHeight="1" x14ac:dyDescent="0.4">
      <c r="A341" s="249"/>
      <c r="B341" s="249"/>
      <c r="C341" s="584" t="s">
        <v>307</v>
      </c>
      <c r="D341" s="1741"/>
      <c r="E341" s="1769"/>
      <c r="F341" s="1770"/>
      <c r="G341" s="1741"/>
      <c r="H341" s="1769"/>
      <c r="I341" s="1742"/>
      <c r="J341" s="1741"/>
      <c r="K341" s="1769"/>
      <c r="L341" s="1742"/>
      <c r="M341" s="1741"/>
      <c r="N341" s="1769"/>
      <c r="O341" s="1742"/>
      <c r="P341" s="997"/>
      <c r="Q341" s="998"/>
      <c r="R341" s="996"/>
      <c r="S341" s="664"/>
      <c r="T341" s="664"/>
      <c r="U341" s="1399"/>
      <c r="V341" s="709"/>
      <c r="W341" s="1864"/>
      <c r="X341" s="1855"/>
      <c r="Y341" s="685"/>
      <c r="Z341" s="1864"/>
      <c r="AA341" s="685"/>
      <c r="AB341" s="1399"/>
      <c r="AC341" s="1399"/>
      <c r="AD341" s="1399"/>
      <c r="AE341" s="1385"/>
      <c r="AF341" s="1385"/>
      <c r="AG341" s="1385"/>
      <c r="AH341" s="1160"/>
      <c r="AI341" s="1160" t="s">
        <v>353</v>
      </c>
      <c r="AJ341" s="1160"/>
      <c r="AK341" s="1285"/>
      <c r="AL341" s="1285"/>
      <c r="AM341" s="1285"/>
      <c r="AN341" s="1721"/>
      <c r="AO341" s="2862"/>
      <c r="AP341" s="1722"/>
      <c r="AQ341" s="1799"/>
      <c r="AR341" s="778"/>
      <c r="AS341" s="1648"/>
      <c r="AT341" s="1452"/>
      <c r="AU341" s="2862"/>
      <c r="AV341" s="1394"/>
      <c r="AW341" s="1781"/>
      <c r="AX341" s="1856"/>
      <c r="AY341" s="1857"/>
      <c r="AZ341" s="1643"/>
      <c r="BA341" s="1858"/>
      <c r="BB341" s="1644"/>
      <c r="BC341" s="687"/>
      <c r="BD341" s="975"/>
      <c r="BE341" s="687"/>
      <c r="BF341" s="1794"/>
      <c r="BG341" s="1862"/>
      <c r="BH341" s="1401"/>
      <c r="BI341" s="1556"/>
      <c r="BJ341" s="1865"/>
      <c r="BK341" s="1789"/>
      <c r="BL341" s="1168"/>
      <c r="BM341" s="2804"/>
      <c r="BN341" s="1168"/>
      <c r="BO341" s="1107"/>
      <c r="BP341" s="1161"/>
      <c r="BQ341" s="1107"/>
      <c r="BR341" s="1107"/>
      <c r="BS341" s="1732"/>
      <c r="BT341" s="182"/>
      <c r="BU341" s="182"/>
      <c r="BV341" s="1107"/>
      <c r="BW341" s="1161"/>
      <c r="BX341" s="1107"/>
      <c r="BY341" s="1107"/>
      <c r="BZ341" s="1735"/>
      <c r="CA341" s="183"/>
      <c r="CB341" s="183"/>
      <c r="CC341" s="1738"/>
      <c r="CD341" s="184"/>
      <c r="CE341" s="184"/>
    </row>
    <row r="342" spans="1:83" ht="13.5" customHeight="1" x14ac:dyDescent="0.4">
      <c r="A342" s="249"/>
      <c r="B342" s="249"/>
      <c r="C342" s="584">
        <v>0.67013888888888795</v>
      </c>
      <c r="D342" s="568"/>
      <c r="E342" s="1795"/>
      <c r="F342" s="1809"/>
      <c r="G342" s="568"/>
      <c r="H342" s="1795"/>
      <c r="I342" s="1797"/>
      <c r="J342" s="568"/>
      <c r="K342" s="1795"/>
      <c r="L342" s="1797"/>
      <c r="M342" s="568"/>
      <c r="N342" s="1795"/>
      <c r="O342" s="1797"/>
      <c r="P342" s="977"/>
      <c r="Q342" s="707"/>
      <c r="R342" s="996"/>
      <c r="S342" s="664"/>
      <c r="T342" s="664"/>
      <c r="U342" s="1399"/>
      <c r="V342" s="709"/>
      <c r="W342" s="1866"/>
      <c r="X342" s="1855"/>
      <c r="Y342" s="685"/>
      <c r="Z342" s="1866"/>
      <c r="AA342" s="685"/>
      <c r="AB342" s="1399"/>
      <c r="AC342" s="1399"/>
      <c r="AD342" s="1399"/>
      <c r="AE342" s="1385"/>
      <c r="AF342" s="1385"/>
      <c r="AG342" s="1385"/>
      <c r="AH342" s="1160"/>
      <c r="AI342" s="1160"/>
      <c r="AJ342" s="1160"/>
      <c r="AK342" s="1285"/>
      <c r="AL342" s="1285"/>
      <c r="AM342" s="1285"/>
      <c r="AN342" s="1619"/>
      <c r="AO342" s="2862"/>
      <c r="AP342" s="1761"/>
      <c r="AQ342" s="778"/>
      <c r="AR342" s="778"/>
      <c r="AS342" s="1640"/>
      <c r="AT342" s="1392"/>
      <c r="AU342" s="2862"/>
      <c r="AV342" s="1786"/>
      <c r="AW342" s="684"/>
      <c r="AX342" s="1856"/>
      <c r="AY342" s="684"/>
      <c r="AZ342" s="1802"/>
      <c r="BA342" s="1858"/>
      <c r="BB342" s="1802"/>
      <c r="BC342" s="687"/>
      <c r="BD342" s="970"/>
      <c r="BE342" s="687"/>
      <c r="BF342" s="1794"/>
      <c r="BG342" s="1867"/>
      <c r="BH342" s="1401"/>
      <c r="BI342" s="1556"/>
      <c r="BJ342" s="1865"/>
      <c r="BK342" s="1789"/>
      <c r="BL342" s="1168"/>
      <c r="BM342" s="2804"/>
      <c r="BN342" s="1168"/>
      <c r="BO342" s="1107"/>
      <c r="BP342" s="1107"/>
      <c r="BQ342" s="1107"/>
      <c r="BR342" s="1191"/>
      <c r="BS342" s="182"/>
      <c r="BT342" s="182"/>
      <c r="BU342" s="1734"/>
      <c r="BV342" s="1107"/>
      <c r="BW342" s="1107"/>
      <c r="BX342" s="1107"/>
      <c r="BY342" s="1191"/>
      <c r="BZ342" s="183"/>
      <c r="CA342" s="183"/>
      <c r="CB342" s="1737"/>
      <c r="CC342" s="184"/>
      <c r="CD342" s="184"/>
      <c r="CE342" s="1740"/>
    </row>
    <row r="343" spans="1:83" ht="13.5" customHeight="1" x14ac:dyDescent="0.4">
      <c r="A343" s="249"/>
      <c r="B343" s="249"/>
      <c r="C343" s="584">
        <v>0.67361111111111005</v>
      </c>
      <c r="D343" s="567"/>
      <c r="E343" s="1795"/>
      <c r="F343" s="1795"/>
      <c r="G343" s="567"/>
      <c r="H343" s="1795"/>
      <c r="I343" s="1797"/>
      <c r="J343" s="567"/>
      <c r="K343" s="1795"/>
      <c r="L343" s="1797"/>
      <c r="M343" s="567"/>
      <c r="N343" s="1795"/>
      <c r="O343" s="1797"/>
      <c r="P343" s="977"/>
      <c r="Q343" s="707"/>
      <c r="R343" s="996"/>
      <c r="S343" s="664"/>
      <c r="T343" s="664"/>
      <c r="U343" s="1399"/>
      <c r="V343" s="1745"/>
      <c r="W343" s="1866"/>
      <c r="X343" s="1684"/>
      <c r="Y343" s="915"/>
      <c r="Z343" s="1866"/>
      <c r="AA343" s="915"/>
      <c r="AB343" s="1399"/>
      <c r="AC343" s="1399"/>
      <c r="AD343" s="1399"/>
      <c r="AE343" s="1385"/>
      <c r="AF343" s="1385"/>
      <c r="AG343" s="1385"/>
      <c r="AH343" s="1160"/>
      <c r="AI343" s="1160"/>
      <c r="AJ343" s="1160"/>
      <c r="AK343" s="1285"/>
      <c r="AL343" s="1285"/>
      <c r="AM343" s="1285"/>
      <c r="AN343" s="1421"/>
      <c r="AO343" s="2862"/>
      <c r="AP343" s="1438"/>
      <c r="AQ343" s="1134"/>
      <c r="AR343" s="778"/>
      <c r="AS343" s="778"/>
      <c r="AT343" s="1392"/>
      <c r="AU343" s="2862"/>
      <c r="AV343" s="1786"/>
      <c r="AW343" s="684"/>
      <c r="AX343" s="1856"/>
      <c r="AY343" s="684"/>
      <c r="AZ343" s="1868"/>
      <c r="BA343" s="1858"/>
      <c r="BB343" s="1802"/>
      <c r="BC343" s="687"/>
      <c r="BD343" s="970"/>
      <c r="BE343" s="687"/>
      <c r="BF343" s="1794"/>
      <c r="BG343" s="1867"/>
      <c r="BH343" s="1401"/>
      <c r="BI343" s="1556"/>
      <c r="BJ343" s="1865"/>
      <c r="BK343" s="1789"/>
      <c r="BL343" s="1168"/>
      <c r="BM343" s="2804"/>
      <c r="BN343" s="1168"/>
      <c r="BO343" s="1107"/>
      <c r="BP343" s="1107"/>
      <c r="BQ343" s="1107"/>
      <c r="BR343" s="1107"/>
      <c r="BS343" s="182"/>
      <c r="BT343" s="182"/>
      <c r="BU343" s="182"/>
      <c r="BV343" s="1107"/>
      <c r="BW343" s="1107"/>
      <c r="BX343" s="1107"/>
      <c r="BY343" s="1107"/>
      <c r="BZ343" s="183"/>
      <c r="CA343" s="183"/>
      <c r="CB343" s="183"/>
      <c r="CC343" s="184"/>
      <c r="CD343" s="184"/>
      <c r="CE343" s="184"/>
    </row>
    <row r="344" spans="1:83" ht="30.6" customHeight="1" x14ac:dyDescent="0.4">
      <c r="A344" s="249"/>
      <c r="B344" s="249"/>
      <c r="C344" s="584">
        <v>0.67708333333333204</v>
      </c>
      <c r="D344" s="567"/>
      <c r="E344" s="1795"/>
      <c r="F344" s="1795"/>
      <c r="G344" s="567"/>
      <c r="H344" s="1795"/>
      <c r="I344" s="1797"/>
      <c r="J344" s="567"/>
      <c r="K344" s="1795"/>
      <c r="L344" s="1797"/>
      <c r="M344" s="567"/>
      <c r="N344" s="1795"/>
      <c r="O344" s="1797"/>
      <c r="P344" s="997"/>
      <c r="Q344" s="998"/>
      <c r="R344" s="996"/>
      <c r="S344" s="664"/>
      <c r="T344" s="2768"/>
      <c r="U344" s="1198"/>
      <c r="V344" s="709"/>
      <c r="W344" s="796" t="s">
        <v>336</v>
      </c>
      <c r="X344" s="1855"/>
      <c r="Y344" s="915"/>
      <c r="Z344" s="1866"/>
      <c r="AA344" s="915"/>
      <c r="AB344" s="1198"/>
      <c r="AC344" s="1198"/>
      <c r="AD344" s="1198"/>
      <c r="AE344" s="1385"/>
      <c r="AF344" s="1385"/>
      <c r="AG344" s="1385"/>
      <c r="AH344" s="1160"/>
      <c r="AI344" s="1160" t="s">
        <v>331</v>
      </c>
      <c r="AJ344" s="1160"/>
      <c r="AK344" s="1285"/>
      <c r="AL344" s="1285"/>
      <c r="AM344" s="1285"/>
      <c r="AN344" s="1421"/>
      <c r="AO344" s="2862"/>
      <c r="AP344" s="1761"/>
      <c r="AQ344" s="1134"/>
      <c r="AR344" s="1723" t="s">
        <v>468</v>
      </c>
      <c r="AS344" s="778"/>
      <c r="AT344" s="1392"/>
      <c r="AU344" s="2862"/>
      <c r="AV344" s="1869"/>
      <c r="AW344" s="684"/>
      <c r="AX344" s="1800" t="s">
        <v>469</v>
      </c>
      <c r="AY344" s="684"/>
      <c r="AZ344" s="1868"/>
      <c r="BA344" s="1849" t="s">
        <v>329</v>
      </c>
      <c r="BB344" s="1696"/>
      <c r="BC344" s="687"/>
      <c r="BD344" s="967" t="s">
        <v>379</v>
      </c>
      <c r="BE344" s="974"/>
      <c r="BF344" s="1794"/>
      <c r="BG344" s="1794" t="s">
        <v>379</v>
      </c>
      <c r="BH344" s="1401"/>
      <c r="BI344" s="1556"/>
      <c r="BJ344" s="1870"/>
      <c r="BK344" s="1871"/>
      <c r="BL344" s="1168"/>
      <c r="BM344" s="2804"/>
      <c r="BN344" s="1561"/>
      <c r="BO344" s="1580"/>
      <c r="BP344" s="1107"/>
      <c r="BQ344" s="1107"/>
      <c r="BR344" s="1107"/>
      <c r="BS344" s="1754"/>
      <c r="BT344" s="1755"/>
      <c r="BU344" s="1755"/>
      <c r="BV344" s="1580"/>
      <c r="BW344" s="1107"/>
      <c r="BX344" s="1107"/>
      <c r="BY344" s="1107"/>
      <c r="BZ344" s="1756"/>
      <c r="CA344" s="1757"/>
      <c r="CB344" s="1757"/>
      <c r="CC344" s="1758"/>
      <c r="CD344" s="1759"/>
      <c r="CE344" s="1759"/>
    </row>
    <row r="345" spans="1:83" ht="26.1" customHeight="1" x14ac:dyDescent="0.4">
      <c r="A345" s="249"/>
      <c r="B345" s="249"/>
      <c r="C345" s="584" t="s">
        <v>307</v>
      </c>
      <c r="D345" s="568"/>
      <c r="E345" s="1795"/>
      <c r="F345" s="1809"/>
      <c r="G345" s="568"/>
      <c r="H345" s="1795"/>
      <c r="I345" s="1797"/>
      <c r="J345" s="568"/>
      <c r="K345" s="1795"/>
      <c r="L345" s="1797"/>
      <c r="M345" s="568"/>
      <c r="N345" s="1795"/>
      <c r="O345" s="1797"/>
      <c r="P345" s="997"/>
      <c r="Q345" s="998"/>
      <c r="R345" s="996"/>
      <c r="S345" s="664"/>
      <c r="T345" s="2768"/>
      <c r="U345" s="1198"/>
      <c r="V345" s="871"/>
      <c r="W345" s="1864" t="s">
        <v>604</v>
      </c>
      <c r="X345" s="1395"/>
      <c r="Y345" s="915"/>
      <c r="Z345" s="1864"/>
      <c r="AA345" s="915"/>
      <c r="AB345" s="1198"/>
      <c r="AC345" s="1198"/>
      <c r="AD345" s="1198"/>
      <c r="AE345" s="1385"/>
      <c r="AF345" s="1385" t="s">
        <v>332</v>
      </c>
      <c r="AG345" s="1408"/>
      <c r="AH345" s="1159"/>
      <c r="AI345" s="1160" t="s">
        <v>447</v>
      </c>
      <c r="AJ345" s="1160"/>
      <c r="AK345" s="1285"/>
      <c r="AL345" s="1285"/>
      <c r="AM345" s="1285"/>
      <c r="AN345" s="1872"/>
      <c r="AO345" s="2862"/>
      <c r="AP345" s="1761"/>
      <c r="AQ345" s="778"/>
      <c r="AR345" s="778"/>
      <c r="AS345" s="778"/>
      <c r="AT345" s="1452"/>
      <c r="AU345" s="2862"/>
      <c r="AV345" s="1873"/>
      <c r="AW345" s="684"/>
      <c r="AX345" s="1856"/>
      <c r="AY345" s="684"/>
      <c r="AZ345" s="1643"/>
      <c r="BA345" s="1858"/>
      <c r="BB345" s="1727"/>
      <c r="BC345" s="687"/>
      <c r="BD345" s="1555"/>
      <c r="BE345" s="974"/>
      <c r="BF345" s="1850"/>
      <c r="BG345" s="1859" t="s">
        <v>381</v>
      </c>
      <c r="BH345" s="1852"/>
      <c r="BI345" s="1670"/>
      <c r="BJ345" s="1874"/>
      <c r="BK345" s="1818"/>
      <c r="BL345" s="1168"/>
      <c r="BM345" s="2804"/>
      <c r="BN345" s="1561"/>
      <c r="BO345" s="1580"/>
      <c r="BP345" s="1108"/>
      <c r="BQ345" s="1109"/>
      <c r="BR345" s="1107"/>
      <c r="BS345" s="1754"/>
      <c r="BT345" s="1755"/>
      <c r="BU345" s="182"/>
      <c r="BV345" s="1580"/>
      <c r="BW345" s="1108"/>
      <c r="BX345" s="1109"/>
      <c r="BY345" s="1107"/>
      <c r="BZ345" s="1756"/>
      <c r="CA345" s="1757"/>
      <c r="CB345" s="183"/>
      <c r="CC345" s="1758"/>
      <c r="CD345" s="1759"/>
      <c r="CE345" s="184"/>
    </row>
    <row r="346" spans="1:83" ht="19.350000000000001" customHeight="1" x14ac:dyDescent="0.4">
      <c r="A346" s="249"/>
      <c r="B346" s="249"/>
      <c r="C346" s="584" t="s">
        <v>307</v>
      </c>
      <c r="D346" s="568"/>
      <c r="E346" s="1795"/>
      <c r="F346" s="1809"/>
      <c r="G346" s="568"/>
      <c r="H346" s="1795"/>
      <c r="I346" s="1797"/>
      <c r="J346" s="568"/>
      <c r="K346" s="1795"/>
      <c r="L346" s="1797"/>
      <c r="M346" s="568"/>
      <c r="N346" s="1795"/>
      <c r="O346" s="1797"/>
      <c r="P346" s="997"/>
      <c r="Q346" s="998"/>
      <c r="R346" s="996"/>
      <c r="S346" s="664"/>
      <c r="T346" s="2768"/>
      <c r="U346" s="1198"/>
      <c r="V346" s="871"/>
      <c r="W346" s="1866"/>
      <c r="X346" s="1395"/>
      <c r="Y346" s="915"/>
      <c r="Z346" s="1866"/>
      <c r="AA346" s="915"/>
      <c r="AB346" s="1198"/>
      <c r="AC346" s="1198"/>
      <c r="AD346" s="1198"/>
      <c r="AE346" s="1157"/>
      <c r="AF346" s="1157" t="s">
        <v>329</v>
      </c>
      <c r="AG346" s="1157"/>
      <c r="AH346" s="1164"/>
      <c r="AI346" s="1139" t="s">
        <v>349</v>
      </c>
      <c r="AJ346" s="1165"/>
      <c r="AK346" s="1285"/>
      <c r="AL346" s="1285"/>
      <c r="AM346" s="1285"/>
      <c r="AN346" s="1872"/>
      <c r="AO346" s="2862"/>
      <c r="AP346" s="1761"/>
      <c r="AQ346" s="778"/>
      <c r="AR346" s="778"/>
      <c r="AS346" s="1648"/>
      <c r="AT346" s="1452"/>
      <c r="AU346" s="2862"/>
      <c r="AV346" s="1394"/>
      <c r="AW346" s="684"/>
      <c r="AX346" s="1856"/>
      <c r="AY346" s="1875"/>
      <c r="AZ346" s="1643"/>
      <c r="BA346" s="1858"/>
      <c r="BB346" s="1644"/>
      <c r="BC346" s="687"/>
      <c r="BD346" s="975"/>
      <c r="BE346" s="687"/>
      <c r="BF346" s="1850"/>
      <c r="BG346" s="1862" t="s">
        <v>384</v>
      </c>
      <c r="BH346" s="1852"/>
      <c r="BI346" s="1670"/>
      <c r="BJ346" s="1874"/>
      <c r="BK346" s="1818"/>
      <c r="BL346" s="1168"/>
      <c r="BM346" s="2804"/>
      <c r="BN346" s="1168"/>
      <c r="BO346" s="1107"/>
      <c r="BP346" s="1107"/>
      <c r="BQ346" s="1107"/>
      <c r="BR346" s="1107"/>
      <c r="BS346" s="182"/>
      <c r="BT346" s="182"/>
      <c r="BU346" s="182"/>
      <c r="BV346" s="1107"/>
      <c r="BW346" s="1107"/>
      <c r="BX346" s="1107"/>
      <c r="BY346" s="1107"/>
      <c r="BZ346" s="183"/>
      <c r="CA346" s="183"/>
      <c r="CB346" s="183"/>
      <c r="CC346" s="184"/>
      <c r="CD346" s="184"/>
      <c r="CE346" s="184"/>
    </row>
    <row r="347" spans="1:83" ht="19.350000000000001" customHeight="1" x14ac:dyDescent="0.4">
      <c r="A347" s="249"/>
      <c r="B347" s="249"/>
      <c r="C347" s="584" t="s">
        <v>307</v>
      </c>
      <c r="D347" s="568"/>
      <c r="E347" s="1795"/>
      <c r="F347" s="1809"/>
      <c r="G347" s="568"/>
      <c r="H347" s="1795"/>
      <c r="I347" s="1797"/>
      <c r="J347" s="568"/>
      <c r="K347" s="1795"/>
      <c r="L347" s="1797"/>
      <c r="M347" s="568"/>
      <c r="N347" s="1795"/>
      <c r="O347" s="1797"/>
      <c r="P347" s="997"/>
      <c r="Q347" s="998"/>
      <c r="R347" s="996"/>
      <c r="S347" s="664"/>
      <c r="T347" s="2768"/>
      <c r="U347" s="1198"/>
      <c r="V347" s="871"/>
      <c r="W347" s="1866"/>
      <c r="X347" s="1395"/>
      <c r="Y347" s="915"/>
      <c r="Z347" s="1866"/>
      <c r="AA347" s="915"/>
      <c r="AB347" s="1198"/>
      <c r="AC347" s="1198"/>
      <c r="AD347" s="1198"/>
      <c r="AE347" s="1385"/>
      <c r="AF347" s="1385"/>
      <c r="AG347" s="1385"/>
      <c r="AH347" s="1160"/>
      <c r="AI347" s="1160"/>
      <c r="AJ347" s="1160"/>
      <c r="AK347" s="1285"/>
      <c r="AL347" s="1285"/>
      <c r="AM347" s="1285"/>
      <c r="AN347" s="1872"/>
      <c r="AO347" s="2862"/>
      <c r="AP347" s="1761"/>
      <c r="AQ347" s="778"/>
      <c r="AR347" s="778"/>
      <c r="AS347" s="1648"/>
      <c r="AT347" s="1452"/>
      <c r="AU347" s="2862"/>
      <c r="AV347" s="1394"/>
      <c r="AW347" s="684"/>
      <c r="AX347" s="1856"/>
      <c r="AY347" s="1875"/>
      <c r="AZ347" s="1643"/>
      <c r="BA347" s="1858"/>
      <c r="BB347" s="1644"/>
      <c r="BC347" s="687"/>
      <c r="BD347" s="975"/>
      <c r="BE347" s="687"/>
      <c r="BF347" s="1850"/>
      <c r="BG347" s="1862"/>
      <c r="BH347" s="1852"/>
      <c r="BI347" s="1876"/>
      <c r="BJ347" s="1877"/>
      <c r="BK347" s="1818"/>
      <c r="BL347" s="1168"/>
      <c r="BM347" s="2804"/>
      <c r="BN347" s="1168"/>
      <c r="BO347" s="1107"/>
      <c r="BP347" s="1107"/>
      <c r="BQ347" s="1107"/>
      <c r="BR347" s="1107"/>
      <c r="BS347" s="182"/>
      <c r="BT347" s="182"/>
      <c r="BU347" s="182"/>
      <c r="BV347" s="1107"/>
      <c r="BW347" s="1107"/>
      <c r="BX347" s="1107"/>
      <c r="BY347" s="1107"/>
      <c r="BZ347" s="183"/>
      <c r="CA347" s="183"/>
      <c r="CB347" s="183"/>
      <c r="CC347" s="184"/>
      <c r="CD347" s="184"/>
      <c r="CE347" s="184"/>
    </row>
    <row r="348" spans="1:83" ht="25.5" customHeight="1" x14ac:dyDescent="0.4">
      <c r="A348" s="249"/>
      <c r="B348" s="249"/>
      <c r="C348" s="584">
        <v>0.68055555555555503</v>
      </c>
      <c r="D348" s="568"/>
      <c r="E348" s="1795"/>
      <c r="F348" s="1809"/>
      <c r="G348" s="568"/>
      <c r="H348" s="1795"/>
      <c r="I348" s="1797"/>
      <c r="J348" s="568"/>
      <c r="K348" s="1795"/>
      <c r="L348" s="1797"/>
      <c r="M348" s="568"/>
      <c r="N348" s="1795"/>
      <c r="O348" s="1797"/>
      <c r="P348" s="997"/>
      <c r="Q348" s="998"/>
      <c r="R348" s="996"/>
      <c r="S348" s="664"/>
      <c r="T348" s="2768"/>
      <c r="U348" s="1198"/>
      <c r="V348" s="871"/>
      <c r="W348" s="1866"/>
      <c r="X348" s="1395"/>
      <c r="Y348" s="915"/>
      <c r="Z348" s="1866"/>
      <c r="AA348" s="915"/>
      <c r="AB348" s="1198"/>
      <c r="AC348" s="1198"/>
      <c r="AD348" s="1198"/>
      <c r="AE348" s="1385"/>
      <c r="AF348" s="1385"/>
      <c r="AG348" s="1385"/>
      <c r="AH348" s="1160"/>
      <c r="AI348" s="1160"/>
      <c r="AJ348" s="1160"/>
      <c r="AK348" s="1285"/>
      <c r="AL348" s="2553" t="s">
        <v>470</v>
      </c>
      <c r="AM348" s="1285"/>
      <c r="AN348" s="1273"/>
      <c r="AO348" s="2862"/>
      <c r="AP348" s="1438"/>
      <c r="AQ348" s="778"/>
      <c r="AR348" s="778"/>
      <c r="AS348" s="1640"/>
      <c r="AT348" s="1392"/>
      <c r="AU348" s="2862"/>
      <c r="AV348" s="1460"/>
      <c r="AW348" s="684"/>
      <c r="AX348" s="1856"/>
      <c r="AY348" s="684"/>
      <c r="AZ348" s="1643"/>
      <c r="BA348" s="1858"/>
      <c r="BB348" s="1802"/>
      <c r="BC348" s="687"/>
      <c r="BD348" s="970"/>
      <c r="BE348" s="687"/>
      <c r="BF348" s="1794"/>
      <c r="BG348" s="1867"/>
      <c r="BH348" s="1401"/>
      <c r="BI348" s="1670"/>
      <c r="BJ348" s="1853"/>
      <c r="BK348" s="1878"/>
      <c r="BL348" s="1168"/>
      <c r="BM348" s="2804"/>
      <c r="BN348" s="1168"/>
      <c r="BO348" s="1107"/>
      <c r="BP348" s="1107"/>
      <c r="BQ348" s="1107"/>
      <c r="BR348" s="1191"/>
      <c r="BS348" s="182"/>
      <c r="BT348" s="182"/>
      <c r="BU348" s="1734"/>
      <c r="BV348" s="1107"/>
      <c r="BW348" s="1107"/>
      <c r="BX348" s="1107"/>
      <c r="BY348" s="1191"/>
      <c r="BZ348" s="183"/>
      <c r="CA348" s="183"/>
      <c r="CB348" s="1737"/>
      <c r="CC348" s="184"/>
      <c r="CD348" s="184"/>
      <c r="CE348" s="1740"/>
    </row>
    <row r="349" spans="1:83" ht="13.5" customHeight="1" x14ac:dyDescent="0.4">
      <c r="A349" s="249"/>
      <c r="B349" s="249"/>
      <c r="C349" s="584">
        <v>0.68402777777777701</v>
      </c>
      <c r="D349" s="568"/>
      <c r="E349" s="1795"/>
      <c r="F349" s="1809"/>
      <c r="G349" s="568"/>
      <c r="H349" s="1795"/>
      <c r="I349" s="1797"/>
      <c r="J349" s="568"/>
      <c r="K349" s="1795"/>
      <c r="L349" s="1797"/>
      <c r="M349" s="568"/>
      <c r="N349" s="1795"/>
      <c r="O349" s="1797"/>
      <c r="P349" s="997"/>
      <c r="Q349" s="998"/>
      <c r="R349" s="996"/>
      <c r="S349" s="664"/>
      <c r="T349" s="664"/>
      <c r="U349" s="1399"/>
      <c r="V349" s="1745"/>
      <c r="W349" s="1864" t="s">
        <v>604</v>
      </c>
      <c r="X349" s="1684"/>
      <c r="Y349" s="685"/>
      <c r="Z349" s="1864"/>
      <c r="AA349" s="685"/>
      <c r="AB349" s="1399"/>
      <c r="AC349" s="1399"/>
      <c r="AD349" s="1399"/>
      <c r="AE349" s="1385"/>
      <c r="AF349" s="1385"/>
      <c r="AG349" s="1385"/>
      <c r="AH349" s="1160"/>
      <c r="AI349" s="1160"/>
      <c r="AJ349" s="1160"/>
      <c r="AK349" s="1200"/>
      <c r="AL349" s="1879"/>
      <c r="AM349" s="1531"/>
      <c r="AN349" s="1273"/>
      <c r="AO349" s="2862"/>
      <c r="AP349" s="1273"/>
      <c r="AQ349" s="778"/>
      <c r="AR349" s="778"/>
      <c r="AS349" s="778"/>
      <c r="AT349" s="1392"/>
      <c r="AU349" s="2862"/>
      <c r="AV349" s="1394"/>
      <c r="AW349" s="684"/>
      <c r="AX349" s="1856"/>
      <c r="AY349" s="783"/>
      <c r="AZ349" s="1643"/>
      <c r="BA349" s="1858"/>
      <c r="BB349" s="1644"/>
      <c r="BC349" s="687"/>
      <c r="BD349" s="970"/>
      <c r="BE349" s="687"/>
      <c r="BF349" s="1787"/>
      <c r="BG349" s="1867"/>
      <c r="BH349" s="1401"/>
      <c r="BI349" s="1675"/>
      <c r="BJ349" s="1865"/>
      <c r="BK349" s="1878"/>
      <c r="BL349" s="1168"/>
      <c r="BM349" s="2804"/>
      <c r="BN349" s="1168"/>
      <c r="BO349" s="1107"/>
      <c r="BP349" s="1107"/>
      <c r="BQ349" s="1107"/>
      <c r="BR349" s="1107"/>
      <c r="BS349" s="182"/>
      <c r="BT349" s="182"/>
      <c r="BU349" s="182"/>
      <c r="BV349" s="1107"/>
      <c r="BW349" s="1107"/>
      <c r="BX349" s="1107"/>
      <c r="BY349" s="1107"/>
      <c r="BZ349" s="183"/>
      <c r="CA349" s="183"/>
      <c r="CB349" s="183"/>
      <c r="CC349" s="184"/>
      <c r="CD349" s="184"/>
      <c r="CE349" s="184"/>
    </row>
    <row r="350" spans="1:83" ht="23.1" customHeight="1" x14ac:dyDescent="0.4">
      <c r="A350" s="249"/>
      <c r="B350" s="249"/>
      <c r="C350" s="584">
        <v>0.687499999999999</v>
      </c>
      <c r="D350" s="568"/>
      <c r="E350" s="1795"/>
      <c r="F350" s="1809"/>
      <c r="G350" s="568"/>
      <c r="H350" s="1795"/>
      <c r="I350" s="1797"/>
      <c r="J350" s="568"/>
      <c r="K350" s="1795"/>
      <c r="L350" s="1797"/>
      <c r="M350" s="568"/>
      <c r="N350" s="1795"/>
      <c r="O350" s="1797"/>
      <c r="P350" s="997"/>
      <c r="Q350" s="998"/>
      <c r="R350" s="996"/>
      <c r="S350" s="664"/>
      <c r="T350" s="664"/>
      <c r="U350" s="1399"/>
      <c r="V350" s="871"/>
      <c r="W350" s="745"/>
      <c r="X350" s="1395"/>
      <c r="Y350" s="685"/>
      <c r="Z350" s="745"/>
      <c r="AA350" s="685"/>
      <c r="AB350" s="1399"/>
      <c r="AC350" s="1399"/>
      <c r="AD350" s="1399"/>
      <c r="AE350" s="1385"/>
      <c r="AF350" s="1385" t="s">
        <v>332</v>
      </c>
      <c r="AG350" s="1408"/>
      <c r="AH350" s="1159"/>
      <c r="AI350" s="1160" t="s">
        <v>371</v>
      </c>
      <c r="AJ350" s="1160"/>
      <c r="AK350" s="2806"/>
      <c r="AL350" s="1800" t="s">
        <v>471</v>
      </c>
      <c r="AM350" s="1531"/>
      <c r="AN350" s="1273"/>
      <c r="AO350" s="2862"/>
      <c r="AP350" s="1438"/>
      <c r="AQ350" s="778"/>
      <c r="AR350" s="1423" t="s">
        <v>350</v>
      </c>
      <c r="AS350" s="1640"/>
      <c r="AT350" s="1452"/>
      <c r="AU350" s="2862"/>
      <c r="AV350" s="1873"/>
      <c r="AW350" s="1781"/>
      <c r="AX350" s="1856"/>
      <c r="AY350" s="783"/>
      <c r="AZ350" s="1643"/>
      <c r="BA350" s="1849"/>
      <c r="BB350" s="1727"/>
      <c r="BC350" s="687"/>
      <c r="BD350" s="967" t="s">
        <v>379</v>
      </c>
      <c r="BE350" s="687"/>
      <c r="BF350" s="1862"/>
      <c r="BG350" s="1794" t="s">
        <v>379</v>
      </c>
      <c r="BH350" s="1852"/>
      <c r="BI350" s="1556"/>
      <c r="BJ350" s="1853"/>
      <c r="BK350" s="1789"/>
      <c r="BL350" s="1168"/>
      <c r="BM350" s="2804"/>
      <c r="BN350" s="1168"/>
      <c r="BO350" s="1580"/>
      <c r="BP350" s="1108"/>
      <c r="BQ350" s="1109"/>
      <c r="BR350" s="1107"/>
      <c r="BS350" s="1754"/>
      <c r="BT350" s="1755" t="s">
        <v>271</v>
      </c>
      <c r="BU350" s="182"/>
      <c r="BV350" s="1580"/>
      <c r="BW350" s="1108"/>
      <c r="BX350" s="1109"/>
      <c r="BY350" s="1107"/>
      <c r="BZ350" s="1756"/>
      <c r="CA350" s="1757" t="s">
        <v>271</v>
      </c>
      <c r="CB350" s="183"/>
      <c r="CC350" s="1758"/>
      <c r="CD350" s="1759"/>
      <c r="CE350" s="184"/>
    </row>
    <row r="351" spans="1:83" ht="24" customHeight="1" x14ac:dyDescent="0.4">
      <c r="A351" s="249"/>
      <c r="B351" s="249"/>
      <c r="C351" s="584" t="s">
        <v>307</v>
      </c>
      <c r="D351" s="568"/>
      <c r="E351" s="1795"/>
      <c r="F351" s="1809"/>
      <c r="G351" s="568"/>
      <c r="H351" s="1795"/>
      <c r="I351" s="1797"/>
      <c r="J351" s="568"/>
      <c r="K351" s="1795"/>
      <c r="L351" s="1797"/>
      <c r="M351" s="568"/>
      <c r="N351" s="1795"/>
      <c r="O351" s="1797"/>
      <c r="P351" s="997"/>
      <c r="Q351" s="998"/>
      <c r="R351" s="996"/>
      <c r="S351" s="664"/>
      <c r="T351" s="664"/>
      <c r="U351" s="1399"/>
      <c r="V351" s="871"/>
      <c r="W351" s="745"/>
      <c r="X351" s="1395"/>
      <c r="Y351" s="685"/>
      <c r="Z351" s="745"/>
      <c r="AA351" s="685"/>
      <c r="AB351" s="1399"/>
      <c r="AC351" s="1399"/>
      <c r="AD351" s="1399"/>
      <c r="AE351" s="1157"/>
      <c r="AF351" s="1157" t="s">
        <v>329</v>
      </c>
      <c r="AG351" s="1157"/>
      <c r="AH351" s="1164"/>
      <c r="AI351" s="1160" t="s">
        <v>331</v>
      </c>
      <c r="AJ351" s="1165"/>
      <c r="AK351" s="2806"/>
      <c r="AL351" s="1800" t="s">
        <v>472</v>
      </c>
      <c r="AM351" s="1531"/>
      <c r="AN351" s="1273"/>
      <c r="AO351" s="2862"/>
      <c r="AP351" s="1761"/>
      <c r="AQ351" s="1813"/>
      <c r="AR351" s="778"/>
      <c r="AS351" s="1648"/>
      <c r="AT351" s="1452"/>
      <c r="AU351" s="2862"/>
      <c r="AV351" s="1873"/>
      <c r="AW351" s="1781"/>
      <c r="AX351" s="1856"/>
      <c r="AY351" s="783"/>
      <c r="AZ351" s="1643"/>
      <c r="BA351" s="1858"/>
      <c r="BB351" s="1727"/>
      <c r="BC351" s="687"/>
      <c r="BD351" s="1555"/>
      <c r="BE351" s="687"/>
      <c r="BF351" s="1862"/>
      <c r="BG351" s="1859" t="s">
        <v>381</v>
      </c>
      <c r="BH351" s="1852"/>
      <c r="BI351" s="1542"/>
      <c r="BJ351" s="1880"/>
      <c r="BK351" s="1881"/>
      <c r="BL351" s="1168"/>
      <c r="BM351" s="178"/>
      <c r="BN351" s="1168"/>
      <c r="BO351" s="1107"/>
      <c r="BP351" s="1107"/>
      <c r="BQ351" s="1882"/>
      <c r="BR351" s="1107"/>
      <c r="BS351" s="1754"/>
      <c r="BT351" s="1755" t="s">
        <v>310</v>
      </c>
      <c r="BU351" s="1755"/>
      <c r="BV351" s="1107"/>
      <c r="BW351" s="1107"/>
      <c r="BX351" s="1882"/>
      <c r="BY351" s="1107"/>
      <c r="BZ351" s="1756"/>
      <c r="CA351" s="1757" t="s">
        <v>310</v>
      </c>
      <c r="CB351" s="1757"/>
      <c r="CC351" s="1758"/>
      <c r="CD351" s="1759"/>
      <c r="CE351" s="1759"/>
    </row>
    <row r="352" spans="1:83" ht="19.350000000000001" customHeight="1" x14ac:dyDescent="0.4">
      <c r="A352" s="249"/>
      <c r="B352" s="249"/>
      <c r="C352" s="584" t="s">
        <v>307</v>
      </c>
      <c r="D352" s="568"/>
      <c r="E352" s="1795"/>
      <c r="F352" s="1809"/>
      <c r="G352" s="568"/>
      <c r="H352" s="1795"/>
      <c r="I352" s="1797"/>
      <c r="J352" s="568"/>
      <c r="K352" s="1795"/>
      <c r="L352" s="1797"/>
      <c r="M352" s="568"/>
      <c r="N352" s="1795"/>
      <c r="O352" s="1797"/>
      <c r="P352" s="997"/>
      <c r="Q352" s="998"/>
      <c r="R352" s="996"/>
      <c r="S352" s="664"/>
      <c r="T352" s="664"/>
      <c r="U352" s="1399"/>
      <c r="V352" s="871"/>
      <c r="W352" s="745"/>
      <c r="X352" s="1395"/>
      <c r="Y352" s="685"/>
      <c r="Z352" s="745"/>
      <c r="AA352" s="685"/>
      <c r="AB352" s="1399"/>
      <c r="AC352" s="1399"/>
      <c r="AD352" s="1399"/>
      <c r="AE352" s="1385"/>
      <c r="AF352" s="1385"/>
      <c r="AG352" s="1385"/>
      <c r="AH352" s="1645"/>
      <c r="AI352" s="1160" t="s">
        <v>334</v>
      </c>
      <c r="AJ352" s="1256"/>
      <c r="AK352" s="1663"/>
      <c r="AL352" s="1879"/>
      <c r="AM352" s="1531"/>
      <c r="AN352" s="1450"/>
      <c r="AO352" s="2862"/>
      <c r="AP352" s="1761"/>
      <c r="AQ352" s="1799"/>
      <c r="AR352" s="778"/>
      <c r="AS352" s="1648"/>
      <c r="AT352" s="1452"/>
      <c r="AU352" s="2862"/>
      <c r="AV352" s="1460"/>
      <c r="AW352" s="684"/>
      <c r="AX352" s="1856"/>
      <c r="AY352" s="783"/>
      <c r="AZ352" s="1802"/>
      <c r="BA352" s="1858"/>
      <c r="BB352" s="1644"/>
      <c r="BC352" s="687"/>
      <c r="BD352" s="1555"/>
      <c r="BE352" s="687"/>
      <c r="BF352" s="1862"/>
      <c r="BG352" s="1859" t="s">
        <v>384</v>
      </c>
      <c r="BH352" s="1883"/>
      <c r="BI352" s="1542"/>
      <c r="BJ352" s="1865"/>
      <c r="BK352" s="1881"/>
      <c r="BL352" s="1168"/>
      <c r="BM352" s="178"/>
      <c r="BN352" s="1168"/>
      <c r="BO352" s="1107"/>
      <c r="BP352" s="1107"/>
      <c r="BQ352" s="1107"/>
      <c r="BR352" s="1107"/>
      <c r="BS352" s="182"/>
      <c r="BT352" s="182"/>
      <c r="BU352" s="182"/>
      <c r="BV352" s="1107"/>
      <c r="BW352" s="1107"/>
      <c r="BX352" s="1107"/>
      <c r="BY352" s="1107"/>
      <c r="BZ352" s="183"/>
      <c r="CA352" s="183"/>
      <c r="CB352" s="183"/>
      <c r="CC352" s="184"/>
      <c r="CD352" s="184"/>
      <c r="CE352" s="184"/>
    </row>
    <row r="353" spans="1:83" ht="21.6" customHeight="1" x14ac:dyDescent="0.4">
      <c r="A353" s="249"/>
      <c r="B353" s="249"/>
      <c r="C353" s="584" t="s">
        <v>307</v>
      </c>
      <c r="D353" s="568"/>
      <c r="E353" s="1795"/>
      <c r="F353" s="1809"/>
      <c r="G353" s="568"/>
      <c r="H353" s="1795"/>
      <c r="I353" s="1797"/>
      <c r="J353" s="568"/>
      <c r="K353" s="1795"/>
      <c r="L353" s="1797"/>
      <c r="M353" s="568"/>
      <c r="N353" s="1795"/>
      <c r="O353" s="1797"/>
      <c r="P353" s="997"/>
      <c r="Q353" s="998"/>
      <c r="R353" s="996"/>
      <c r="S353" s="664"/>
      <c r="T353" s="664"/>
      <c r="U353" s="1399"/>
      <c r="V353" s="871"/>
      <c r="W353" s="745"/>
      <c r="X353" s="1395"/>
      <c r="Y353" s="685"/>
      <c r="Z353" s="745"/>
      <c r="AA353" s="685"/>
      <c r="AB353" s="1399"/>
      <c r="AC353" s="1399"/>
      <c r="AD353" s="1399"/>
      <c r="AE353" s="1385"/>
      <c r="AF353" s="1385"/>
      <c r="AG353" s="1385"/>
      <c r="AH353" s="1645"/>
      <c r="AI353" s="1160" t="s">
        <v>353</v>
      </c>
      <c r="AJ353" s="1256"/>
      <c r="AK353" s="1663"/>
      <c r="AL353" s="1879"/>
      <c r="AM353" s="1531"/>
      <c r="AN353" s="1450"/>
      <c r="AO353" s="2862"/>
      <c r="AP353" s="1761"/>
      <c r="AQ353" s="1799"/>
      <c r="AR353" s="778"/>
      <c r="AS353" s="1648"/>
      <c r="AT353" s="1452"/>
      <c r="AU353" s="2862"/>
      <c r="AV353" s="1460"/>
      <c r="AW353" s="684"/>
      <c r="AX353" s="1856"/>
      <c r="AY353" s="783"/>
      <c r="AZ353" s="1802"/>
      <c r="BA353" s="1858"/>
      <c r="BB353" s="1644"/>
      <c r="BC353" s="687"/>
      <c r="BD353" s="1555"/>
      <c r="BE353" s="687"/>
      <c r="BF353" s="1862"/>
      <c r="BG353" s="1859"/>
      <c r="BH353" s="1883"/>
      <c r="BI353" s="1542"/>
      <c r="BJ353" s="1865"/>
      <c r="BK353" s="1881"/>
      <c r="BL353" s="1168"/>
      <c r="BM353" s="178"/>
      <c r="BN353" s="1168"/>
      <c r="BO353" s="1107"/>
      <c r="BP353" s="1107"/>
      <c r="BQ353" s="416"/>
      <c r="BR353" s="1107"/>
      <c r="BS353" s="182"/>
      <c r="BT353" s="415"/>
      <c r="BU353" s="182"/>
      <c r="BV353" s="1107"/>
      <c r="BW353" s="1107"/>
      <c r="BX353" s="416"/>
      <c r="BY353" s="1107"/>
      <c r="BZ353" s="183"/>
      <c r="CA353" s="416"/>
      <c r="CB353" s="183"/>
      <c r="CC353" s="184"/>
      <c r="CD353" s="417"/>
      <c r="CE353" s="184"/>
    </row>
    <row r="354" spans="1:83" ht="19.350000000000001" customHeight="1" x14ac:dyDescent="0.4">
      <c r="A354" s="249"/>
      <c r="B354" s="249"/>
      <c r="C354" s="584" t="s">
        <v>307</v>
      </c>
      <c r="D354" s="568"/>
      <c r="E354" s="1795"/>
      <c r="F354" s="1809"/>
      <c r="G354" s="568"/>
      <c r="H354" s="1795"/>
      <c r="I354" s="1797"/>
      <c r="J354" s="568"/>
      <c r="K354" s="1795"/>
      <c r="L354" s="1797"/>
      <c r="M354" s="568"/>
      <c r="N354" s="1795"/>
      <c r="O354" s="1797"/>
      <c r="P354" s="977"/>
      <c r="Q354" s="707"/>
      <c r="R354" s="996"/>
      <c r="S354" s="664"/>
      <c r="T354" s="664"/>
      <c r="U354" s="1399"/>
      <c r="V354" s="709"/>
      <c r="W354" s="745"/>
      <c r="X354" s="1395"/>
      <c r="Y354" s="685"/>
      <c r="Z354" s="745"/>
      <c r="AA354" s="685"/>
      <c r="AB354" s="1399"/>
      <c r="AC354" s="1399"/>
      <c r="AD354" s="1399"/>
      <c r="AE354" s="1385"/>
      <c r="AF354" s="1385"/>
      <c r="AG354" s="1385"/>
      <c r="AH354" s="1645"/>
      <c r="AI354" s="1160"/>
      <c r="AJ354" s="1256"/>
      <c r="AK354" s="1663"/>
      <c r="AL354" s="1879"/>
      <c r="AM354" s="1531"/>
      <c r="AN354" s="1450"/>
      <c r="AO354" s="2862"/>
      <c r="AP354" s="1761"/>
      <c r="AQ354" s="1799"/>
      <c r="AR354" s="778"/>
      <c r="AS354" s="1648"/>
      <c r="AT354" s="1452"/>
      <c r="AU354" s="2862"/>
      <c r="AV354" s="1460"/>
      <c r="AW354" s="684"/>
      <c r="AX354" s="1856"/>
      <c r="AY354" s="783"/>
      <c r="AZ354" s="1802"/>
      <c r="BA354" s="1858"/>
      <c r="BB354" s="1644"/>
      <c r="BC354" s="687"/>
      <c r="BD354" s="970"/>
      <c r="BE354" s="687"/>
      <c r="BF354" s="1862"/>
      <c r="BG354" s="1867"/>
      <c r="BH354" s="1883"/>
      <c r="BI354" s="1542"/>
      <c r="BJ354" s="1865"/>
      <c r="BK354" s="1881"/>
      <c r="BL354" s="1168"/>
      <c r="BM354" s="486"/>
      <c r="BN354" s="1168"/>
      <c r="BO354" s="1107"/>
      <c r="BP354" s="1107"/>
      <c r="BQ354" s="416"/>
      <c r="BR354" s="1107"/>
      <c r="BS354" s="182"/>
      <c r="BT354" s="415"/>
      <c r="BU354" s="182"/>
      <c r="BV354" s="1107"/>
      <c r="BW354" s="1107"/>
      <c r="BX354" s="416"/>
      <c r="BY354" s="1107"/>
      <c r="BZ354" s="183"/>
      <c r="CA354" s="416"/>
      <c r="CB354" s="183"/>
      <c r="CC354" s="184"/>
      <c r="CD354" s="417"/>
      <c r="CE354" s="184"/>
    </row>
    <row r="355" spans="1:83" ht="13.5" customHeight="1" x14ac:dyDescent="0.4">
      <c r="A355" s="249"/>
      <c r="B355" s="249"/>
      <c r="C355" s="584">
        <v>0.69097222222222099</v>
      </c>
      <c r="D355" s="567"/>
      <c r="E355" s="1795"/>
      <c r="F355" s="1795"/>
      <c r="G355" s="567"/>
      <c r="H355" s="1795"/>
      <c r="I355" s="1797"/>
      <c r="J355" s="567"/>
      <c r="K355" s="1795"/>
      <c r="L355" s="1797"/>
      <c r="M355" s="567"/>
      <c r="N355" s="1795"/>
      <c r="O355" s="1797"/>
      <c r="P355" s="977"/>
      <c r="Q355" s="707"/>
      <c r="R355" s="996"/>
      <c r="S355" s="664"/>
      <c r="T355" s="664"/>
      <c r="U355" s="1399"/>
      <c r="V355" s="709"/>
      <c r="W355" s="745"/>
      <c r="X355" s="1395"/>
      <c r="Y355" s="685"/>
      <c r="Z355" s="745"/>
      <c r="AA355" s="685"/>
      <c r="AB355" s="1399"/>
      <c r="AC355" s="1399"/>
      <c r="AD355" s="1399"/>
      <c r="AE355" s="1385"/>
      <c r="AF355" s="1385"/>
      <c r="AG355" s="1385"/>
      <c r="AH355" s="1160"/>
      <c r="AI355" s="1160"/>
      <c r="AJ355" s="1160"/>
      <c r="AK355" s="1200"/>
      <c r="AL355" s="1879"/>
      <c r="AM355" s="1531"/>
      <c r="AN355" s="1273"/>
      <c r="AO355" s="2862"/>
      <c r="AP355" s="1603"/>
      <c r="AQ355" s="1799"/>
      <c r="AR355" s="778"/>
      <c r="AS355" s="1640"/>
      <c r="AT355" s="1394"/>
      <c r="AU355" s="1884"/>
      <c r="AV355" s="1460"/>
      <c r="AW355" s="684"/>
      <c r="AX355" s="1856"/>
      <c r="AY355" s="1857"/>
      <c r="AZ355" s="1802"/>
      <c r="BA355" s="1858"/>
      <c r="BB355" s="1644"/>
      <c r="BC355" s="687"/>
      <c r="BD355" s="967"/>
      <c r="BE355" s="687"/>
      <c r="BF355" s="1794"/>
      <c r="BG355" s="1794"/>
      <c r="BH355" s="1883"/>
      <c r="BI355" s="1556"/>
      <c r="BJ355" s="1865"/>
      <c r="BK355" s="1881"/>
      <c r="BL355" s="1168"/>
      <c r="BM355" s="486"/>
      <c r="BN355" s="1168"/>
      <c r="BO355" s="1107"/>
      <c r="BP355" s="1107"/>
      <c r="BQ355" s="1107"/>
      <c r="BR355" s="1107"/>
      <c r="BS355" s="182"/>
      <c r="BT355" s="182"/>
      <c r="BU355" s="182"/>
      <c r="BV355" s="1107"/>
      <c r="BW355" s="1107"/>
      <c r="BX355" s="1107"/>
      <c r="BY355" s="1107"/>
      <c r="BZ355" s="183"/>
      <c r="CA355" s="183"/>
      <c r="CB355" s="183"/>
      <c r="CC355" s="184"/>
      <c r="CD355" s="184"/>
      <c r="CE355" s="184"/>
    </row>
    <row r="356" spans="1:83" ht="46.5" customHeight="1" x14ac:dyDescent="0.4">
      <c r="A356" s="249"/>
      <c r="B356" s="249"/>
      <c r="C356" s="584">
        <v>0.69444444444444298</v>
      </c>
      <c r="D356" s="567"/>
      <c r="E356" s="1795"/>
      <c r="F356" s="1795"/>
      <c r="G356" s="567"/>
      <c r="H356" s="1795"/>
      <c r="I356" s="1797"/>
      <c r="J356" s="567"/>
      <c r="K356" s="1795"/>
      <c r="L356" s="1797"/>
      <c r="M356" s="567"/>
      <c r="N356" s="1795"/>
      <c r="O356" s="1797"/>
      <c r="P356" s="977"/>
      <c r="Q356" s="707"/>
      <c r="R356" s="996"/>
      <c r="S356" s="664"/>
      <c r="T356" s="2768"/>
      <c r="U356" s="1198"/>
      <c r="V356" s="1745"/>
      <c r="W356" s="1885" t="s">
        <v>610</v>
      </c>
      <c r="X356" s="1684"/>
      <c r="Y356" s="686"/>
      <c r="Z356" s="1885"/>
      <c r="AA356" s="685"/>
      <c r="AB356" s="687"/>
      <c r="AC356" s="687"/>
      <c r="AD356" s="687"/>
      <c r="AE356" s="1385"/>
      <c r="AF356" s="1385"/>
      <c r="AG356" s="1385"/>
      <c r="AH356" s="1160"/>
      <c r="AI356" s="1160"/>
      <c r="AJ356" s="1160"/>
      <c r="AK356" s="1663"/>
      <c r="AL356" s="1879"/>
      <c r="AM356" s="1531"/>
      <c r="AN356" s="1273"/>
      <c r="AO356" s="2862"/>
      <c r="AP356" s="1438"/>
      <c r="AQ356" s="1886"/>
      <c r="AR356" s="778"/>
      <c r="AS356" s="1887"/>
      <c r="AT356" s="1394"/>
      <c r="AU356" s="1884"/>
      <c r="AV356" s="1873"/>
      <c r="AW356" s="684"/>
      <c r="AX356" s="1856"/>
      <c r="AY356" s="783"/>
      <c r="AZ356" s="1802"/>
      <c r="BA356" s="1858"/>
      <c r="BB356" s="1644"/>
      <c r="BC356" s="687"/>
      <c r="BD356" s="1555"/>
      <c r="BE356" s="687"/>
      <c r="BF356" s="1862"/>
      <c r="BG356" s="1859"/>
      <c r="BH356" s="1401"/>
      <c r="BI356" s="1542"/>
      <c r="BJ356" s="1865"/>
      <c r="BK356" s="1789"/>
      <c r="BL356" s="1168"/>
      <c r="BM356" s="486"/>
      <c r="BN356" s="1168"/>
      <c r="BO356" s="1107"/>
      <c r="BP356" s="1107"/>
      <c r="BQ356" s="1888"/>
      <c r="BR356" s="1107"/>
      <c r="BS356" s="182"/>
      <c r="BT356" s="1889"/>
      <c r="BU356" s="182"/>
      <c r="BV356" s="1107"/>
      <c r="BW356" s="1107"/>
      <c r="BX356" s="1888"/>
      <c r="BY356" s="1107"/>
      <c r="BZ356" s="183"/>
      <c r="CA356" s="1890"/>
      <c r="CB356" s="183"/>
      <c r="CC356" s="184"/>
      <c r="CD356" s="1891"/>
      <c r="CE356" s="184"/>
    </row>
    <row r="357" spans="1:83" ht="25.35" customHeight="1" x14ac:dyDescent="0.4">
      <c r="A357" s="249"/>
      <c r="B357" s="249"/>
      <c r="C357" s="584">
        <v>0.69791666666666596</v>
      </c>
      <c r="D357" s="567"/>
      <c r="E357" s="1795"/>
      <c r="F357" s="1795"/>
      <c r="G357" s="567"/>
      <c r="H357" s="1795"/>
      <c r="I357" s="1797"/>
      <c r="J357" s="567"/>
      <c r="K357" s="1795"/>
      <c r="L357" s="1797"/>
      <c r="M357" s="567"/>
      <c r="N357" s="1795"/>
      <c r="O357" s="1797"/>
      <c r="P357" s="977"/>
      <c r="Q357" s="707"/>
      <c r="R357" s="996"/>
      <c r="S357" s="664"/>
      <c r="T357" s="2768"/>
      <c r="U357" s="1399"/>
      <c r="V357" s="1745"/>
      <c r="W357" s="1885"/>
      <c r="X357" s="1684"/>
      <c r="Y357" s="685"/>
      <c r="Z357" s="1885"/>
      <c r="AA357" s="685"/>
      <c r="AB357" s="687"/>
      <c r="AC357" s="687"/>
      <c r="AD357" s="687"/>
      <c r="AE357" s="1385"/>
      <c r="AF357" s="1385" t="s">
        <v>332</v>
      </c>
      <c r="AG357" s="1408"/>
      <c r="AH357" s="1159"/>
      <c r="AI357" s="1160" t="s">
        <v>331</v>
      </c>
      <c r="AJ357" s="1160"/>
      <c r="AK357" s="1200"/>
      <c r="AL357" s="1530"/>
      <c r="AM357" s="1531"/>
      <c r="AN357" s="1273"/>
      <c r="AO357" s="2862"/>
      <c r="AP357" s="1273"/>
      <c r="AQ357" s="778"/>
      <c r="AR357" s="1723" t="s">
        <v>474</v>
      </c>
      <c r="AS357" s="778"/>
      <c r="AT357" s="1892"/>
      <c r="AU357" s="1884"/>
      <c r="AV357" s="1394"/>
      <c r="AW357" s="684"/>
      <c r="AX357" s="1331" t="s">
        <v>475</v>
      </c>
      <c r="AY357" s="783"/>
      <c r="AZ357" s="1280"/>
      <c r="BA357" s="1849" t="s">
        <v>334</v>
      </c>
      <c r="BB357" s="1280"/>
      <c r="BC357" s="687"/>
      <c r="BD357" s="967" t="s">
        <v>379</v>
      </c>
      <c r="BE357" s="687"/>
      <c r="BF357" s="1794"/>
      <c r="BG357" s="1859"/>
      <c r="BH357" s="1883"/>
      <c r="BI357" s="1556"/>
      <c r="BJ357" s="1880"/>
      <c r="BK357" s="1556"/>
      <c r="BL357" s="1168"/>
      <c r="BM357" s="2809" t="s">
        <v>611</v>
      </c>
      <c r="BN357" s="1168"/>
      <c r="BO357" s="1577"/>
      <c r="BP357" s="1107"/>
      <c r="BQ357" s="1893"/>
      <c r="BR357" s="1107"/>
      <c r="BS357" s="1754"/>
      <c r="BT357" s="1755"/>
      <c r="BU357" s="1755"/>
      <c r="BV357" s="1577"/>
      <c r="BW357" s="1107"/>
      <c r="BX357" s="1893"/>
      <c r="BY357" s="1107"/>
      <c r="BZ357" s="1756"/>
      <c r="CA357" s="1757"/>
      <c r="CB357" s="1757"/>
      <c r="CC357" s="1758"/>
      <c r="CD357" s="1759"/>
      <c r="CE357" s="1759"/>
    </row>
    <row r="358" spans="1:83" ht="28.5" customHeight="1" x14ac:dyDescent="0.4">
      <c r="A358" s="249"/>
      <c r="B358" s="249"/>
      <c r="C358" s="584" t="s">
        <v>307</v>
      </c>
      <c r="D358" s="567"/>
      <c r="E358" s="1795"/>
      <c r="F358" s="1795"/>
      <c r="G358" s="567"/>
      <c r="H358" s="1795"/>
      <c r="I358" s="1797"/>
      <c r="J358" s="567"/>
      <c r="K358" s="1795"/>
      <c r="L358" s="1797"/>
      <c r="M358" s="567"/>
      <c r="N358" s="1795"/>
      <c r="O358" s="1797"/>
      <c r="P358" s="977"/>
      <c r="Q358" s="707"/>
      <c r="R358" s="996"/>
      <c r="S358" s="664"/>
      <c r="T358" s="2768"/>
      <c r="U358" s="1399"/>
      <c r="V358" s="871"/>
      <c r="W358" s="796" t="s">
        <v>336</v>
      </c>
      <c r="X358" s="1395"/>
      <c r="Y358" s="1061"/>
      <c r="Z358" s="686"/>
      <c r="AA358" s="1061"/>
      <c r="AB358" s="687"/>
      <c r="AC358" s="687"/>
      <c r="AD358" s="687"/>
      <c r="AE358" s="1157"/>
      <c r="AF358" s="1157" t="s">
        <v>329</v>
      </c>
      <c r="AG358" s="1157"/>
      <c r="AH358" s="1164"/>
      <c r="AI358" s="1160" t="s">
        <v>334</v>
      </c>
      <c r="AJ358" s="1165"/>
      <c r="AK358" s="1200"/>
      <c r="AL358" s="1879"/>
      <c r="AM358" s="1531"/>
      <c r="AN358" s="1872"/>
      <c r="AO358" s="2862"/>
      <c r="AP358" s="1761"/>
      <c r="AQ358" s="778"/>
      <c r="AR358" s="778"/>
      <c r="AS358" s="1887"/>
      <c r="AT358" s="1452"/>
      <c r="AU358" s="1665"/>
      <c r="AV358" s="1873"/>
      <c r="AW358" s="1894"/>
      <c r="AX358" s="1895"/>
      <c r="AY358" s="783"/>
      <c r="AZ358" s="1280"/>
      <c r="BA358" s="1858"/>
      <c r="BB358" s="1280"/>
      <c r="BC358" s="687"/>
      <c r="BD358" s="1555"/>
      <c r="BE358" s="687"/>
      <c r="BF358" s="1794"/>
      <c r="BG358" s="1896" t="s">
        <v>445</v>
      </c>
      <c r="BH358" s="1883"/>
      <c r="BI358" s="1556"/>
      <c r="BJ358" s="1880"/>
      <c r="BK358" s="1881"/>
      <c r="BL358" s="1168"/>
      <c r="BM358" s="2809" t="s">
        <v>477</v>
      </c>
      <c r="BN358" s="1168"/>
      <c r="BO358" s="1107"/>
      <c r="BP358" s="1107"/>
      <c r="BQ358" s="416"/>
      <c r="BR358" s="1107"/>
      <c r="BS358" s="182"/>
      <c r="BT358" s="415"/>
      <c r="BU358" s="182"/>
      <c r="BV358" s="1107"/>
      <c r="BW358" s="1107"/>
      <c r="BX358" s="416"/>
      <c r="BY358" s="1107"/>
      <c r="BZ358" s="183"/>
      <c r="CA358" s="416"/>
      <c r="CB358" s="183"/>
      <c r="CC358" s="184"/>
      <c r="CD358" s="417"/>
      <c r="CE358" s="184"/>
    </row>
    <row r="359" spans="1:83" ht="25.5" customHeight="1" x14ac:dyDescent="0.4">
      <c r="A359" s="249"/>
      <c r="B359" s="249"/>
      <c r="C359" s="584" t="s">
        <v>307</v>
      </c>
      <c r="D359" s="567"/>
      <c r="E359" s="1795"/>
      <c r="F359" s="1795"/>
      <c r="G359" s="567"/>
      <c r="H359" s="1795"/>
      <c r="I359" s="1797"/>
      <c r="J359" s="567"/>
      <c r="K359" s="1795"/>
      <c r="L359" s="1797"/>
      <c r="M359" s="567"/>
      <c r="N359" s="1795"/>
      <c r="O359" s="1797"/>
      <c r="P359" s="1006"/>
      <c r="Q359" s="707"/>
      <c r="R359" s="996"/>
      <c r="S359" s="664"/>
      <c r="T359" s="2768"/>
      <c r="U359" s="1399"/>
      <c r="V359" s="886"/>
      <c r="W359" s="683"/>
      <c r="X359" s="1253"/>
      <c r="Y359" s="1061"/>
      <c r="Z359" s="1064"/>
      <c r="AA359" s="1061"/>
      <c r="AB359" s="687"/>
      <c r="AC359" s="687"/>
      <c r="AD359" s="687"/>
      <c r="AE359" s="1385"/>
      <c r="AF359" s="1385"/>
      <c r="AG359" s="1385"/>
      <c r="AH359" s="1160"/>
      <c r="AI359" s="1160" t="s">
        <v>447</v>
      </c>
      <c r="AJ359" s="1256"/>
      <c r="AK359" s="1200"/>
      <c r="AL359" s="1879"/>
      <c r="AM359" s="1531"/>
      <c r="AN359" s="1872"/>
      <c r="AO359" s="2862"/>
      <c r="AP359" s="1761"/>
      <c r="AQ359" s="1886"/>
      <c r="AR359" s="1887"/>
      <c r="AS359" s="1887"/>
      <c r="AT359" s="1452"/>
      <c r="AU359" s="1665"/>
      <c r="AV359" s="1873"/>
      <c r="AW359" s="1894"/>
      <c r="AX359" s="1895"/>
      <c r="AY359" s="783"/>
      <c r="AZ359" s="1643"/>
      <c r="BA359" s="1858"/>
      <c r="BB359" s="1644"/>
      <c r="BC359" s="687"/>
      <c r="BD359" s="970"/>
      <c r="BE359" s="687"/>
      <c r="BF359" s="1794"/>
      <c r="BG359" s="1859" t="s">
        <v>381</v>
      </c>
      <c r="BH359" s="1883"/>
      <c r="BI359" s="1556"/>
      <c r="BJ359" s="1880"/>
      <c r="BK359" s="1881"/>
      <c r="BL359" s="1168"/>
      <c r="BM359" s="1897"/>
      <c r="BN359" s="1168"/>
      <c r="BO359" s="1107"/>
      <c r="BP359" s="1107"/>
      <c r="BQ359" s="416"/>
      <c r="BR359" s="1107"/>
      <c r="BS359" s="182"/>
      <c r="BT359" s="415"/>
      <c r="BU359" s="182"/>
      <c r="BV359" s="1107"/>
      <c r="BW359" s="1107"/>
      <c r="BX359" s="416"/>
      <c r="BY359" s="1107"/>
      <c r="BZ359" s="183"/>
      <c r="CA359" s="416"/>
      <c r="CB359" s="183"/>
      <c r="CC359" s="184"/>
      <c r="CD359" s="417"/>
      <c r="CE359" s="184"/>
    </row>
    <row r="360" spans="1:83" ht="33" customHeight="1" x14ac:dyDescent="0.4">
      <c r="A360" s="249"/>
      <c r="B360" s="249"/>
      <c r="C360" s="584" t="s">
        <v>307</v>
      </c>
      <c r="D360" s="1898"/>
      <c r="E360" s="1795"/>
      <c r="F360" s="1898"/>
      <c r="G360" s="1898"/>
      <c r="H360" s="1795"/>
      <c r="I360" s="1797"/>
      <c r="J360" s="1898"/>
      <c r="K360" s="1795"/>
      <c r="L360" s="1797"/>
      <c r="M360" s="1898"/>
      <c r="N360" s="1795"/>
      <c r="O360" s="1797"/>
      <c r="P360" s="998"/>
      <c r="Q360" s="997"/>
      <c r="R360" s="1899"/>
      <c r="S360" s="664"/>
      <c r="T360" s="687"/>
      <c r="U360" s="1900"/>
      <c r="V360" s="709"/>
      <c r="W360" s="709"/>
      <c r="X360" s="709"/>
      <c r="Y360" s="686"/>
      <c r="Z360" s="686"/>
      <c r="AA360" s="686"/>
      <c r="AB360" s="1900"/>
      <c r="AC360" s="1900"/>
      <c r="AD360" s="1635"/>
      <c r="AE360" s="1385"/>
      <c r="AF360" s="1385"/>
      <c r="AG360" s="1385"/>
      <c r="AH360" s="1160"/>
      <c r="AI360" s="1160"/>
      <c r="AJ360" s="1256"/>
      <c r="AK360" s="1200"/>
      <c r="AL360" s="1879"/>
      <c r="AM360" s="1531"/>
      <c r="AN360" s="1872"/>
      <c r="AO360" s="2862"/>
      <c r="AP360" s="1761"/>
      <c r="AQ360" s="1886"/>
      <c r="AR360" s="778"/>
      <c r="AS360" s="1887"/>
      <c r="AT360" s="1452"/>
      <c r="AU360" s="1665"/>
      <c r="AV360" s="1873"/>
      <c r="AW360" s="1894"/>
      <c r="AX360" s="1895"/>
      <c r="AY360" s="783"/>
      <c r="AZ360" s="1643"/>
      <c r="BA360" s="1858"/>
      <c r="BB360" s="1644"/>
      <c r="BC360" s="687"/>
      <c r="BD360" s="970"/>
      <c r="BE360" s="687"/>
      <c r="BF360" s="1794"/>
      <c r="BG360" s="1859" t="s">
        <v>384</v>
      </c>
      <c r="BH360" s="1883"/>
      <c r="BI360" s="1556"/>
      <c r="BJ360" s="1865"/>
      <c r="BK360" s="1881"/>
      <c r="BL360" s="1168"/>
      <c r="BM360" s="1897"/>
      <c r="BN360" s="1168"/>
      <c r="BO360" s="1107"/>
      <c r="BP360" s="1107"/>
      <c r="BQ360" s="416"/>
      <c r="BR360" s="1107"/>
      <c r="BS360" s="182"/>
      <c r="BT360" s="415"/>
      <c r="BU360" s="182"/>
      <c r="BV360" s="1107"/>
      <c r="BW360" s="1107"/>
      <c r="BX360" s="416"/>
      <c r="BY360" s="1107"/>
      <c r="BZ360" s="183"/>
      <c r="CA360" s="416"/>
      <c r="CB360" s="183"/>
      <c r="CC360" s="184"/>
      <c r="CD360" s="417"/>
      <c r="CE360" s="184"/>
    </row>
    <row r="361" spans="1:83" ht="27" customHeight="1" x14ac:dyDescent="0.4">
      <c r="A361" s="249"/>
      <c r="B361" s="249"/>
      <c r="C361" s="866">
        <v>0.70138888888888795</v>
      </c>
      <c r="D361" s="1181"/>
      <c r="E361" s="1795"/>
      <c r="F361" s="1181"/>
      <c r="G361" s="1181"/>
      <c r="H361" s="1795"/>
      <c r="I361" s="1797"/>
      <c r="J361" s="1181"/>
      <c r="K361" s="1795"/>
      <c r="L361" s="1797"/>
      <c r="M361" s="1181"/>
      <c r="N361" s="1795"/>
      <c r="O361" s="1797"/>
      <c r="P361" s="998"/>
      <c r="Q361" s="997"/>
      <c r="R361" s="1899"/>
      <c r="S361" s="664"/>
      <c r="T361" s="1958"/>
      <c r="U361" s="1465"/>
      <c r="V361" s="709"/>
      <c r="W361" s="683"/>
      <c r="X361" s="1746"/>
      <c r="Y361" s="1902"/>
      <c r="Z361" s="686"/>
      <c r="AA361" s="1902"/>
      <c r="AB361" s="1465"/>
      <c r="AC361" s="1465"/>
      <c r="AD361" s="1399"/>
      <c r="AE361" s="1385"/>
      <c r="AF361" s="1385"/>
      <c r="AG361" s="1903"/>
      <c r="AH361" s="1160"/>
      <c r="AI361" s="1160"/>
      <c r="AJ361" s="1904"/>
      <c r="AK361" s="1200"/>
      <c r="AL361" s="2553" t="s">
        <v>470</v>
      </c>
      <c r="AM361" s="1531"/>
      <c r="AN361" s="1273"/>
      <c r="AO361" s="2862"/>
      <c r="AP361" s="1603"/>
      <c r="AQ361" s="1886"/>
      <c r="AR361" s="778"/>
      <c r="AS361" s="1886"/>
      <c r="AT361" s="1394"/>
      <c r="AU361" s="1665"/>
      <c r="AV361" s="1873"/>
      <c r="AW361" s="684"/>
      <c r="AX361" s="1895"/>
      <c r="AY361" s="783"/>
      <c r="AZ361" s="1802"/>
      <c r="BA361" s="1905"/>
      <c r="BB361" s="1644"/>
      <c r="BC361" s="687"/>
      <c r="BD361" s="970"/>
      <c r="BE361" s="1906"/>
      <c r="BF361" s="1794"/>
      <c r="BG361" s="1907"/>
      <c r="BH361" s="1401"/>
      <c r="BI361" s="1556"/>
      <c r="BJ361" s="1865"/>
      <c r="BK361" s="1789"/>
      <c r="BL361" s="1168"/>
      <c r="BM361" s="1169"/>
      <c r="BN361" s="1908"/>
      <c r="BO361" s="1107"/>
      <c r="BP361" s="1107"/>
      <c r="BQ361" s="1107"/>
      <c r="BR361" s="1191"/>
      <c r="BS361" s="182"/>
      <c r="BT361" s="182"/>
      <c r="BU361" s="1734"/>
      <c r="BV361" s="1107"/>
      <c r="BW361" s="1107"/>
      <c r="BX361" s="1107"/>
      <c r="BY361" s="1191"/>
      <c r="BZ361" s="183"/>
      <c r="CA361" s="183"/>
      <c r="CB361" s="1737"/>
      <c r="CC361" s="184"/>
      <c r="CD361" s="184"/>
      <c r="CE361" s="1740"/>
    </row>
    <row r="362" spans="1:83" ht="28.5" customHeight="1" x14ac:dyDescent="0.4">
      <c r="A362" s="249"/>
      <c r="B362" s="249"/>
      <c r="C362" s="621">
        <v>0.70486111111111005</v>
      </c>
      <c r="D362" s="815"/>
      <c r="E362" s="1826"/>
      <c r="F362" s="1827"/>
      <c r="G362" s="815"/>
      <c r="H362" s="1826"/>
      <c r="I362" s="1909"/>
      <c r="J362" s="815"/>
      <c r="K362" s="1826"/>
      <c r="L362" s="1909"/>
      <c r="M362" s="815"/>
      <c r="N362" s="1826"/>
      <c r="O362" s="1909"/>
      <c r="P362" s="1910"/>
      <c r="Q362" s="1829"/>
      <c r="R362" s="1016"/>
      <c r="S362" s="2755"/>
      <c r="T362" s="2770"/>
      <c r="U362" s="1917"/>
      <c r="V362" s="880"/>
      <c r="W362" s="1913"/>
      <c r="X362" s="1914"/>
      <c r="Y362" s="1915"/>
      <c r="Z362" s="1916"/>
      <c r="AA362" s="1915"/>
      <c r="AB362" s="1917"/>
      <c r="AC362" s="1917"/>
      <c r="AD362" s="1917"/>
      <c r="AE362" s="1686"/>
      <c r="AF362" s="1686"/>
      <c r="AG362" s="1918"/>
      <c r="AH362" s="1687"/>
      <c r="AI362" s="1687"/>
      <c r="AJ362" s="1919"/>
      <c r="AK362" s="1920"/>
      <c r="AL362" s="1921"/>
      <c r="AM362" s="1922"/>
      <c r="AN362" s="1500"/>
      <c r="AO362" s="2863"/>
      <c r="AP362" s="1923"/>
      <c r="AQ362" s="1924"/>
      <c r="AR362" s="1692"/>
      <c r="AS362" s="1925"/>
      <c r="AT362" s="1505"/>
      <c r="AU362" s="1926"/>
      <c r="AV362" s="1927"/>
      <c r="AW362" s="814"/>
      <c r="AX362" s="1928"/>
      <c r="AY362" s="1020"/>
      <c r="AZ362" s="1929"/>
      <c r="BA362" s="1930"/>
      <c r="BB362" s="1931"/>
      <c r="BC362" s="1932"/>
      <c r="BD362" s="1933"/>
      <c r="BE362" s="1021"/>
      <c r="BF362" s="1934"/>
      <c r="BG362" s="1935"/>
      <c r="BH362" s="1936"/>
      <c r="BI362" s="1698"/>
      <c r="BJ362" s="1937"/>
      <c r="BK362" s="1938"/>
      <c r="BL362" s="1700"/>
      <c r="BM362" s="1939"/>
      <c r="BN362" s="1700"/>
      <c r="BO362" s="1702"/>
      <c r="BP362" s="1702"/>
      <c r="BQ362" s="1940"/>
      <c r="BR362" s="1941"/>
      <c r="BS362" s="243"/>
      <c r="BT362" s="1942"/>
      <c r="BU362" s="1943"/>
      <c r="BV362" s="1702"/>
      <c r="BW362" s="1702"/>
      <c r="BX362" s="1940"/>
      <c r="BY362" s="1941"/>
      <c r="BZ362" s="245"/>
      <c r="CA362" s="1944"/>
      <c r="CB362" s="1945"/>
      <c r="CC362" s="1841"/>
      <c r="CD362" s="1946"/>
      <c r="CE362" s="1947"/>
    </row>
    <row r="363" spans="1:83" ht="26.1" customHeight="1" x14ac:dyDescent="0.4">
      <c r="A363" s="249"/>
      <c r="B363" s="249"/>
      <c r="C363" s="578">
        <v>0.70833333333333204</v>
      </c>
      <c r="D363" s="1948"/>
      <c r="E363" s="1949"/>
      <c r="F363" s="1950"/>
      <c r="G363" s="1948"/>
      <c r="H363" s="1949"/>
      <c r="I363" s="1951"/>
      <c r="J363" s="1948"/>
      <c r="K363" s="1950"/>
      <c r="L363" s="1951"/>
      <c r="M363" s="1952"/>
      <c r="N363" s="1955"/>
      <c r="O363" s="2807"/>
      <c r="P363" s="1948"/>
      <c r="Q363" s="1950"/>
      <c r="R363" s="1951"/>
      <c r="S363" s="2807"/>
      <c r="T363" s="1952"/>
      <c r="U363" s="1953"/>
      <c r="V363" s="1954"/>
      <c r="W363" s="1948"/>
      <c r="X363" s="1954"/>
      <c r="Y363" s="1952"/>
      <c r="Z363" s="1955"/>
      <c r="AA363" s="2807"/>
      <c r="AB363" s="1953"/>
      <c r="AC363" s="1953"/>
      <c r="AD363" s="1953"/>
      <c r="AE363" s="1385"/>
      <c r="AF363" s="1385" t="s">
        <v>332</v>
      </c>
      <c r="AG363" s="1408"/>
      <c r="AH363" s="1159"/>
      <c r="AI363" s="1160" t="s">
        <v>331</v>
      </c>
      <c r="AJ363" s="1160"/>
      <c r="AK363" s="2806"/>
      <c r="AL363" s="1723" t="s">
        <v>478</v>
      </c>
      <c r="AM363" s="1531"/>
      <c r="AN363" s="1273"/>
      <c r="AO363" s="1331" t="s">
        <v>479</v>
      </c>
      <c r="AP363" s="1438"/>
      <c r="AQ363" s="778"/>
      <c r="AR363" s="1331" t="s">
        <v>480</v>
      </c>
      <c r="AS363" s="1640"/>
      <c r="AT363" s="1956"/>
      <c r="AU363" s="1723" t="s">
        <v>481</v>
      </c>
      <c r="AV363" s="1537"/>
      <c r="AW363" s="1395"/>
      <c r="AX363" s="1957" t="s">
        <v>482</v>
      </c>
      <c r="AY363" s="1395"/>
      <c r="AZ363" s="1802"/>
      <c r="BA363" s="1723" t="s">
        <v>483</v>
      </c>
      <c r="BB363" s="1802"/>
      <c r="BC363" s="1958"/>
      <c r="BD363" s="967" t="s">
        <v>379</v>
      </c>
      <c r="BE363" s="1959"/>
      <c r="BF363" s="1794"/>
      <c r="BG363" s="1896" t="s">
        <v>379</v>
      </c>
      <c r="BH363" s="1883"/>
      <c r="BI363" s="1556"/>
      <c r="BJ363" s="1853"/>
      <c r="BK363" s="1818"/>
      <c r="BL363" s="1576"/>
      <c r="BM363" s="1897"/>
      <c r="BN363" s="1960"/>
      <c r="BO363" s="1107"/>
      <c r="BP363" s="1107"/>
      <c r="BQ363" s="1107"/>
      <c r="BR363" s="1614"/>
      <c r="BS363" s="182"/>
      <c r="BT363" s="182" t="s">
        <v>271</v>
      </c>
      <c r="BU363" s="1783"/>
      <c r="BV363" s="1107"/>
      <c r="BW363" s="1107"/>
      <c r="BX363" s="1107"/>
      <c r="BY363" s="1614"/>
      <c r="BZ363" s="183"/>
      <c r="CA363" s="183" t="s">
        <v>271</v>
      </c>
      <c r="CB363" s="1784"/>
      <c r="CC363" s="184"/>
      <c r="CD363" s="2867" t="s">
        <v>484</v>
      </c>
      <c r="CE363" s="1785"/>
    </row>
    <row r="364" spans="1:83" ht="26.1" customHeight="1" x14ac:dyDescent="0.4">
      <c r="A364" s="249"/>
      <c r="B364" s="249"/>
      <c r="C364" s="584" t="s">
        <v>307</v>
      </c>
      <c r="D364" s="1948"/>
      <c r="E364" s="1949"/>
      <c r="F364" s="1950"/>
      <c r="G364" s="1948"/>
      <c r="H364" s="1949"/>
      <c r="I364" s="1951"/>
      <c r="J364" s="1948"/>
      <c r="K364" s="1950"/>
      <c r="L364" s="1951"/>
      <c r="M364" s="1952"/>
      <c r="N364" s="1955"/>
      <c r="O364" s="2807"/>
      <c r="P364" s="1948"/>
      <c r="Q364" s="1950"/>
      <c r="R364" s="1951"/>
      <c r="S364" s="2807"/>
      <c r="T364" s="1952"/>
      <c r="U364" s="1961"/>
      <c r="V364" s="1954"/>
      <c r="W364" s="1948"/>
      <c r="X364" s="1954"/>
      <c r="Y364" s="1952"/>
      <c r="Z364" s="1955"/>
      <c r="AA364" s="2807"/>
      <c r="AB364" s="1961"/>
      <c r="AC364" s="1961"/>
      <c r="AD364" s="1961"/>
      <c r="AE364" s="1157"/>
      <c r="AF364" s="1385" t="s">
        <v>334</v>
      </c>
      <c r="AG364" s="1157"/>
      <c r="AH364" s="1164"/>
      <c r="AI364" s="1160" t="s">
        <v>334</v>
      </c>
      <c r="AJ364" s="1165"/>
      <c r="AK364" s="2806"/>
      <c r="AL364" s="1723" t="s">
        <v>485</v>
      </c>
      <c r="AM364" s="1531"/>
      <c r="AN364" s="1273"/>
      <c r="AO364" s="1331" t="s">
        <v>486</v>
      </c>
      <c r="AP364" s="1438"/>
      <c r="AQ364" s="778"/>
      <c r="AR364" s="1331" t="s">
        <v>487</v>
      </c>
      <c r="AS364" s="1640"/>
      <c r="AT364" s="1452"/>
      <c r="AU364" s="1723" t="s">
        <v>488</v>
      </c>
      <c r="AV364" s="1613"/>
      <c r="AW364" s="1894"/>
      <c r="AX364" s="1800" t="s">
        <v>489</v>
      </c>
      <c r="AY364" s="783"/>
      <c r="AZ364" s="1802"/>
      <c r="BA364" s="1723" t="s">
        <v>490</v>
      </c>
      <c r="BB364" s="1802"/>
      <c r="BC364" s="1958"/>
      <c r="BD364" s="970"/>
      <c r="BE364" s="1959"/>
      <c r="BF364" s="1794"/>
      <c r="BG364" s="1859" t="s">
        <v>381</v>
      </c>
      <c r="BH364" s="1883"/>
      <c r="BI364" s="1556"/>
      <c r="BJ364" s="1874"/>
      <c r="BK364" s="1789"/>
      <c r="BL364" s="1576"/>
      <c r="BM364" s="1897"/>
      <c r="BN364" s="1960"/>
      <c r="BO364" s="1580"/>
      <c r="BP364" s="1108"/>
      <c r="BQ364" s="1109"/>
      <c r="BR364" s="1614"/>
      <c r="BS364" s="1754"/>
      <c r="BT364" s="1755" t="s">
        <v>310</v>
      </c>
      <c r="BU364" s="1755"/>
      <c r="BV364" s="1580"/>
      <c r="BW364" s="1108"/>
      <c r="BX364" s="1109"/>
      <c r="BY364" s="1614"/>
      <c r="BZ364" s="1756"/>
      <c r="CA364" s="1757" t="s">
        <v>310</v>
      </c>
      <c r="CB364" s="1757"/>
      <c r="CC364" s="1758"/>
      <c r="CD364" s="2868"/>
      <c r="CE364" s="1759"/>
    </row>
    <row r="365" spans="1:83" ht="24" customHeight="1" x14ac:dyDescent="0.4">
      <c r="A365" s="249"/>
      <c r="B365" s="249"/>
      <c r="C365" s="584" t="s">
        <v>307</v>
      </c>
      <c r="D365" s="1962"/>
      <c r="E365" s="1963"/>
      <c r="F365" s="1964"/>
      <c r="G365" s="1962"/>
      <c r="H365" s="1963"/>
      <c r="I365" s="1965"/>
      <c r="J365" s="1962"/>
      <c r="K365" s="1964"/>
      <c r="L365" s="1965"/>
      <c r="M365" s="1952"/>
      <c r="N365" s="1955"/>
      <c r="O365" s="2807"/>
      <c r="P365" s="1962"/>
      <c r="Q365" s="1964"/>
      <c r="R365" s="1965"/>
      <c r="S365" s="2807"/>
      <c r="T365" s="1952"/>
      <c r="U365" s="1961"/>
      <c r="V365" s="1966"/>
      <c r="W365" s="1962"/>
      <c r="X365" s="1966"/>
      <c r="Y365" s="1952"/>
      <c r="Z365" s="1955"/>
      <c r="AA365" s="2807"/>
      <c r="AB365" s="1961"/>
      <c r="AC365" s="1961"/>
      <c r="AD365" s="1961"/>
      <c r="AE365" s="1967"/>
      <c r="AF365" s="1385"/>
      <c r="AG365" s="1968"/>
      <c r="AH365" s="1645"/>
      <c r="AI365" s="1160" t="s">
        <v>371</v>
      </c>
      <c r="AJ365" s="1256"/>
      <c r="AK365" s="1285"/>
      <c r="AL365" s="1879"/>
      <c r="AM365" s="1969"/>
      <c r="AN365" s="1273"/>
      <c r="AO365" s="1723" t="s">
        <v>492</v>
      </c>
      <c r="AP365" s="1438"/>
      <c r="AQ365" s="778"/>
      <c r="AR365" s="778"/>
      <c r="AS365" s="1640"/>
      <c r="AT365" s="1452"/>
      <c r="AU365" s="1665"/>
      <c r="AV365" s="1613"/>
      <c r="AW365" s="1894"/>
      <c r="AX365" s="1895"/>
      <c r="AY365" s="783"/>
      <c r="AZ365" s="1802"/>
      <c r="BA365" s="1802"/>
      <c r="BB365" s="1802"/>
      <c r="BC365" s="1958"/>
      <c r="BD365" s="970"/>
      <c r="BE365" s="1959"/>
      <c r="BF365" s="1794"/>
      <c r="BG365" s="1859" t="s">
        <v>351</v>
      </c>
      <c r="BH365" s="1883"/>
      <c r="BI365" s="1814"/>
      <c r="BJ365" s="1970"/>
      <c r="BK365" s="1818"/>
      <c r="BL365" s="1576"/>
      <c r="BM365" s="1897"/>
      <c r="BN365" s="1960"/>
      <c r="BO365" s="1107"/>
      <c r="BP365" s="1161"/>
      <c r="BQ365" s="1107"/>
      <c r="BR365" s="1614"/>
      <c r="BS365" s="1732"/>
      <c r="BT365" s="182"/>
      <c r="BU365" s="1783"/>
      <c r="BV365" s="1107"/>
      <c r="BW365" s="1161"/>
      <c r="BX365" s="1107"/>
      <c r="BY365" s="1614"/>
      <c r="BZ365" s="1735"/>
      <c r="CA365" s="183"/>
      <c r="CB365" s="1784"/>
      <c r="CC365" s="1738"/>
      <c r="CD365" s="2868"/>
      <c r="CE365" s="1785"/>
    </row>
    <row r="366" spans="1:83" ht="14.85" customHeight="1" x14ac:dyDescent="0.4">
      <c r="A366" s="249"/>
      <c r="B366" s="249"/>
      <c r="C366" s="584" t="s">
        <v>307</v>
      </c>
      <c r="D366" s="1962"/>
      <c r="E366" s="1963"/>
      <c r="F366" s="1964"/>
      <c r="G366" s="1962"/>
      <c r="H366" s="1963"/>
      <c r="I366" s="1965"/>
      <c r="J366" s="1962"/>
      <c r="K366" s="1964"/>
      <c r="L366" s="1965"/>
      <c r="M366" s="1952"/>
      <c r="N366" s="1955"/>
      <c r="O366" s="2807"/>
      <c r="P366" s="1962"/>
      <c r="Q366" s="1964"/>
      <c r="R366" s="1965"/>
      <c r="S366" s="2807"/>
      <c r="T366" s="1952"/>
      <c r="U366" s="1961"/>
      <c r="V366" s="1966"/>
      <c r="W366" s="1962"/>
      <c r="X366" s="1966"/>
      <c r="Y366" s="1952"/>
      <c r="Z366" s="1955"/>
      <c r="AA366" s="2807"/>
      <c r="AB366" s="1961"/>
      <c r="AC366" s="1961"/>
      <c r="AD366" s="1961"/>
      <c r="AE366" s="1967"/>
      <c r="AF366" s="1385"/>
      <c r="AG366" s="1968"/>
      <c r="AH366" s="1645"/>
      <c r="AI366" s="1160" t="s">
        <v>353</v>
      </c>
      <c r="AJ366" s="1256"/>
      <c r="AK366" s="1285"/>
      <c r="AL366" s="1879"/>
      <c r="AM366" s="1969"/>
      <c r="AN366" s="1273"/>
      <c r="AO366" s="1564"/>
      <c r="AP366" s="1438"/>
      <c r="AQ366" s="1799"/>
      <c r="AR366" s="778"/>
      <c r="AS366" s="1640"/>
      <c r="AT366" s="1452"/>
      <c r="AU366" s="1665"/>
      <c r="AV366" s="1613"/>
      <c r="AW366" s="1894"/>
      <c r="AX366" s="1895"/>
      <c r="AY366" s="783"/>
      <c r="AZ366" s="1802"/>
      <c r="BA366" s="1802"/>
      <c r="BB366" s="1802"/>
      <c r="BC366" s="1958"/>
      <c r="BD366" s="970"/>
      <c r="BE366" s="1959"/>
      <c r="BF366" s="1794"/>
      <c r="BG366" s="1896"/>
      <c r="BH366" s="1883"/>
      <c r="BI366" s="1556"/>
      <c r="BJ366" s="1870"/>
      <c r="BK366" s="1818"/>
      <c r="BL366" s="1576"/>
      <c r="BM366" s="1897"/>
      <c r="BN366" s="1960"/>
      <c r="BO366" s="1107"/>
      <c r="BP366" s="1161"/>
      <c r="BQ366" s="1107"/>
      <c r="BR366" s="1614"/>
      <c r="BS366" s="1732"/>
      <c r="BT366" s="182"/>
      <c r="BU366" s="1783"/>
      <c r="BV366" s="1107"/>
      <c r="BW366" s="1161"/>
      <c r="BX366" s="1107"/>
      <c r="BY366" s="1614"/>
      <c r="BZ366" s="1735"/>
      <c r="CA366" s="183"/>
      <c r="CB366" s="1784"/>
      <c r="CC366" s="1738"/>
      <c r="CD366" s="2868"/>
      <c r="CE366" s="1785"/>
    </row>
    <row r="367" spans="1:83" ht="13.5" customHeight="1" x14ac:dyDescent="0.4">
      <c r="A367" s="249"/>
      <c r="B367" s="249"/>
      <c r="C367" s="1971">
        <v>0.71180555555555403</v>
      </c>
      <c r="D367" s="1972"/>
      <c r="E367" s="1973"/>
      <c r="F367" s="1974"/>
      <c r="G367" s="1972"/>
      <c r="H367" s="1973"/>
      <c r="I367" s="1975"/>
      <c r="J367" s="1972"/>
      <c r="K367" s="1974"/>
      <c r="L367" s="1975"/>
      <c r="M367" s="1952"/>
      <c r="N367" s="1955"/>
      <c r="O367" s="2808"/>
      <c r="P367" s="1972"/>
      <c r="Q367" s="1974"/>
      <c r="R367" s="1975"/>
      <c r="S367" s="2807"/>
      <c r="T367" s="1952"/>
      <c r="U367" s="1976"/>
      <c r="V367" s="1977"/>
      <c r="W367" s="1972"/>
      <c r="X367" s="1977"/>
      <c r="Y367" s="1952"/>
      <c r="Z367" s="1955"/>
      <c r="AA367" s="2808"/>
      <c r="AB367" s="1976"/>
      <c r="AC367" s="1976"/>
      <c r="AD367" s="1976"/>
      <c r="AE367" s="1385"/>
      <c r="AF367" s="1385"/>
      <c r="AG367" s="1624"/>
      <c r="AH367" s="1160"/>
      <c r="AI367" s="1160"/>
      <c r="AJ367" s="1256"/>
      <c r="AK367" s="1285"/>
      <c r="AL367" s="1879"/>
      <c r="AM367" s="1969"/>
      <c r="AN367" s="1273"/>
      <c r="AO367" s="1564"/>
      <c r="AP367" s="1438"/>
      <c r="AQ367" s="1886"/>
      <c r="AR367" s="1886"/>
      <c r="AS367" s="1887"/>
      <c r="AT367" s="1392"/>
      <c r="AU367" s="1665"/>
      <c r="AV367" s="1460"/>
      <c r="AW367" s="684"/>
      <c r="AX367" s="1895"/>
      <c r="AY367" s="1857"/>
      <c r="AZ367" s="1802"/>
      <c r="BA367" s="1802"/>
      <c r="BB367" s="1802"/>
      <c r="BC367" s="687"/>
      <c r="BD367" s="970"/>
      <c r="BE367" s="985"/>
      <c r="BF367" s="1862"/>
      <c r="BG367" s="1401"/>
      <c r="BH367" s="1978"/>
      <c r="BI367" s="1542"/>
      <c r="BJ367" s="1874"/>
      <c r="BK367" s="1878"/>
      <c r="BL367" s="1168"/>
      <c r="BM367" s="1897"/>
      <c r="BN367" s="1630"/>
      <c r="BO367" s="1107"/>
      <c r="BP367" s="1107"/>
      <c r="BQ367" s="1107"/>
      <c r="BR367" s="1614"/>
      <c r="BS367" s="182"/>
      <c r="BT367" s="182"/>
      <c r="BU367" s="1783"/>
      <c r="BV367" s="1107"/>
      <c r="BW367" s="1107"/>
      <c r="BX367" s="1107"/>
      <c r="BY367" s="1614"/>
      <c r="BZ367" s="183"/>
      <c r="CA367" s="183"/>
      <c r="CB367" s="1784"/>
      <c r="CC367" s="184"/>
      <c r="CD367" s="2868"/>
      <c r="CE367" s="1785"/>
    </row>
    <row r="368" spans="1:83" ht="13.5" customHeight="1" x14ac:dyDescent="0.4">
      <c r="A368" s="249"/>
      <c r="B368" s="249"/>
      <c r="C368" s="1979">
        <v>0.71527777777777701</v>
      </c>
      <c r="D368" s="1980"/>
      <c r="E368" s="1981"/>
      <c r="F368" s="1982"/>
      <c r="G368" s="1980"/>
      <c r="H368" s="1981"/>
      <c r="I368" s="1983"/>
      <c r="J368" s="1980"/>
      <c r="K368" s="1982"/>
      <c r="L368" s="1983"/>
      <c r="M368" s="1980"/>
      <c r="N368" s="1972"/>
      <c r="O368" s="1980"/>
      <c r="P368" s="1980"/>
      <c r="Q368" s="1982"/>
      <c r="R368" s="1983"/>
      <c r="S368" s="1984"/>
      <c r="T368" s="1980"/>
      <c r="U368" s="1980"/>
      <c r="V368" s="1984"/>
      <c r="W368" s="1980"/>
      <c r="X368" s="1984"/>
      <c r="Y368" s="1980"/>
      <c r="Z368" s="1972"/>
      <c r="AA368" s="1980"/>
      <c r="AB368" s="1980"/>
      <c r="AC368" s="1980"/>
      <c r="AD368" s="1980"/>
      <c r="AE368" s="1385"/>
      <c r="AF368" s="1385"/>
      <c r="AG368" s="1903"/>
      <c r="AH368" s="1160"/>
      <c r="AI368" s="1160"/>
      <c r="AJ368" s="1904"/>
      <c r="AK368" s="1285"/>
      <c r="AL368" s="1879"/>
      <c r="AM368" s="1969"/>
      <c r="AN368" s="1273"/>
      <c r="AO368" s="1564"/>
      <c r="AP368" s="1438"/>
      <c r="AQ368" s="1886"/>
      <c r="AR368" s="1886"/>
      <c r="AS368" s="1887"/>
      <c r="AT368" s="1394"/>
      <c r="AU368" s="1665"/>
      <c r="AV368" s="1786"/>
      <c r="AW368" s="684"/>
      <c r="AX368" s="1895"/>
      <c r="AY368" s="1857"/>
      <c r="AZ368" s="1802"/>
      <c r="BA368" s="1802"/>
      <c r="BB368" s="1644"/>
      <c r="BC368" s="687"/>
      <c r="BD368" s="970"/>
      <c r="BE368" s="1985"/>
      <c r="BF368" s="1794"/>
      <c r="BG368" s="1794"/>
      <c r="BH368" s="1794"/>
      <c r="BI368" s="1556"/>
      <c r="BJ368" s="1870"/>
      <c r="BK368" s="1556"/>
      <c r="BL368" s="1168"/>
      <c r="BM368" s="1897"/>
      <c r="BN368" s="1908"/>
      <c r="BO368" s="1107"/>
      <c r="BP368" s="1161"/>
      <c r="BQ368" s="1107"/>
      <c r="BR368" s="1614"/>
      <c r="BS368" s="1732"/>
      <c r="BT368" s="182"/>
      <c r="BU368" s="1783"/>
      <c r="BV368" s="1107"/>
      <c r="BW368" s="1161"/>
      <c r="BX368" s="1107"/>
      <c r="BY368" s="1614"/>
      <c r="BZ368" s="1735"/>
      <c r="CA368" s="183"/>
      <c r="CB368" s="1784"/>
      <c r="CC368" s="1738"/>
      <c r="CD368" s="2868"/>
      <c r="CE368" s="1785"/>
    </row>
    <row r="369" spans="1:83" ht="24.6" customHeight="1" x14ac:dyDescent="0.4">
      <c r="A369" s="249"/>
      <c r="B369" s="249"/>
      <c r="C369" s="584">
        <v>0.718749999999999</v>
      </c>
      <c r="D369" s="1948"/>
      <c r="E369" s="1949"/>
      <c r="F369" s="1950"/>
      <c r="G369" s="1948"/>
      <c r="H369" s="1949"/>
      <c r="I369" s="1951"/>
      <c r="J369" s="1948"/>
      <c r="K369" s="1950"/>
      <c r="L369" s="1951"/>
      <c r="M369" s="2807"/>
      <c r="N369" s="1986"/>
      <c r="O369" s="2808"/>
      <c r="P369" s="1948"/>
      <c r="Q369" s="1950"/>
      <c r="R369" s="1951"/>
      <c r="S369" s="2807"/>
      <c r="T369" s="2807"/>
      <c r="U369" s="1953"/>
      <c r="V369" s="1954"/>
      <c r="W369" s="1948"/>
      <c r="X369" s="1954"/>
      <c r="Y369" s="2807"/>
      <c r="Z369" s="1986"/>
      <c r="AA369" s="2808"/>
      <c r="AB369" s="1953"/>
      <c r="AC369" s="1953"/>
      <c r="AD369" s="1953"/>
      <c r="AE369" s="1385"/>
      <c r="AF369" s="1385" t="s">
        <v>332</v>
      </c>
      <c r="AG369" s="1408"/>
      <c r="AH369" s="1159"/>
      <c r="AI369" s="1160" t="s">
        <v>331</v>
      </c>
      <c r="AJ369" s="1160"/>
      <c r="AK369" s="1285"/>
      <c r="AL369" s="1879"/>
      <c r="AM369" s="1969"/>
      <c r="AN369" s="1273"/>
      <c r="AO369" s="1273"/>
      <c r="AP369" s="1438"/>
      <c r="AQ369" s="778"/>
      <c r="AR369" s="778"/>
      <c r="AS369" s="1886"/>
      <c r="AT369" s="1452"/>
      <c r="AU369" s="1331" t="s">
        <v>493</v>
      </c>
      <c r="AV369" s="1394"/>
      <c r="AW369" s="1894"/>
      <c r="AX369" s="1895"/>
      <c r="AY369" s="684"/>
      <c r="AZ369" s="1643"/>
      <c r="BA369" s="1802"/>
      <c r="BB369" s="1802"/>
      <c r="BC369" s="1958"/>
      <c r="BD369" s="967" t="s">
        <v>379</v>
      </c>
      <c r="BE369" s="985"/>
      <c r="BF369" s="1794"/>
      <c r="BG369" s="1896" t="s">
        <v>379</v>
      </c>
      <c r="BH369" s="1883"/>
      <c r="BI369" s="1556"/>
      <c r="BJ369" s="1874" t="s">
        <v>350</v>
      </c>
      <c r="BK369" s="1789"/>
      <c r="BL369" s="1660"/>
      <c r="BM369" s="1897"/>
      <c r="BN369" s="1168"/>
      <c r="BO369" s="1107"/>
      <c r="BP369" s="1107"/>
      <c r="BQ369" s="1107"/>
      <c r="BR369" s="1614"/>
      <c r="BS369" s="1754"/>
      <c r="BT369" s="1755"/>
      <c r="BU369" s="1755"/>
      <c r="BV369" s="1107"/>
      <c r="BW369" s="1107"/>
      <c r="BX369" s="1107"/>
      <c r="BY369" s="1614"/>
      <c r="BZ369" s="1756"/>
      <c r="CA369" s="1757"/>
      <c r="CB369" s="1757"/>
      <c r="CC369" s="1758"/>
      <c r="CD369" s="2868"/>
      <c r="CE369" s="1759"/>
    </row>
    <row r="370" spans="1:83" ht="18.600000000000001" customHeight="1" x14ac:dyDescent="0.4">
      <c r="A370" s="249"/>
      <c r="B370" s="249"/>
      <c r="C370" s="584" t="s">
        <v>307</v>
      </c>
      <c r="D370" s="1948"/>
      <c r="E370" s="1949"/>
      <c r="F370" s="1950"/>
      <c r="G370" s="1948"/>
      <c r="H370" s="1949"/>
      <c r="I370" s="1951"/>
      <c r="J370" s="1948"/>
      <c r="K370" s="1950"/>
      <c r="L370" s="1951"/>
      <c r="M370" s="2807"/>
      <c r="N370" s="1986"/>
      <c r="O370" s="2808"/>
      <c r="P370" s="1948"/>
      <c r="Q370" s="1950"/>
      <c r="R370" s="1951"/>
      <c r="S370" s="2807"/>
      <c r="T370" s="2807"/>
      <c r="U370" s="1953"/>
      <c r="V370" s="1954"/>
      <c r="W370" s="1948"/>
      <c r="X370" s="1954"/>
      <c r="Y370" s="2807"/>
      <c r="Z370" s="1986"/>
      <c r="AA370" s="2808"/>
      <c r="AB370" s="1953"/>
      <c r="AC370" s="1953"/>
      <c r="AD370" s="1953"/>
      <c r="AE370" s="1157"/>
      <c r="AF370" s="1385" t="s">
        <v>334</v>
      </c>
      <c r="AG370" s="1157"/>
      <c r="AH370" s="1164"/>
      <c r="AI370" s="1139" t="s">
        <v>366</v>
      </c>
      <c r="AJ370" s="1165"/>
      <c r="AK370" s="1285"/>
      <c r="AL370" s="1879"/>
      <c r="AM370" s="1969"/>
      <c r="AN370" s="1273"/>
      <c r="AO370" s="1564"/>
      <c r="AP370" s="1438"/>
      <c r="AQ370" s="1799"/>
      <c r="AR370" s="1886"/>
      <c r="AS370" s="1887"/>
      <c r="AT370" s="1892"/>
      <c r="AU370" s="1665"/>
      <c r="AV370" s="1873"/>
      <c r="AW370" s="1894"/>
      <c r="AX370" s="1895"/>
      <c r="AY370" s="783"/>
      <c r="AZ370" s="1868"/>
      <c r="BA370" s="1868"/>
      <c r="BB370" s="1644"/>
      <c r="BC370" s="1958"/>
      <c r="BD370" s="970"/>
      <c r="BE370" s="985"/>
      <c r="BF370" s="1794"/>
      <c r="BG370" s="1859" t="s">
        <v>381</v>
      </c>
      <c r="BH370" s="1883"/>
      <c r="BI370" s="1814"/>
      <c r="BJ370" s="1970"/>
      <c r="BK370" s="1881"/>
      <c r="BL370" s="1168"/>
      <c r="BM370" s="1562"/>
      <c r="BN370" s="1630"/>
      <c r="BO370" s="1580"/>
      <c r="BP370" s="1108"/>
      <c r="BQ370" s="1109"/>
      <c r="BR370" s="1614"/>
      <c r="BS370" s="1754"/>
      <c r="BT370" s="1755"/>
      <c r="BU370" s="1783"/>
      <c r="BV370" s="1580"/>
      <c r="BW370" s="1108"/>
      <c r="BX370" s="1109"/>
      <c r="BY370" s="1614"/>
      <c r="BZ370" s="1756"/>
      <c r="CA370" s="1757"/>
      <c r="CB370" s="1784"/>
      <c r="CC370" s="1758"/>
      <c r="CD370" s="2868"/>
      <c r="CE370" s="1785"/>
    </row>
    <row r="371" spans="1:83" ht="20.25" customHeight="1" x14ac:dyDescent="0.4">
      <c r="A371" s="249"/>
      <c r="B371" s="249"/>
      <c r="C371" s="584" t="s">
        <v>307</v>
      </c>
      <c r="D371" s="1948"/>
      <c r="E371" s="1949"/>
      <c r="F371" s="1950"/>
      <c r="G371" s="1948"/>
      <c r="H371" s="1949"/>
      <c r="I371" s="1951"/>
      <c r="J371" s="1948"/>
      <c r="K371" s="1950"/>
      <c r="L371" s="1951"/>
      <c r="M371" s="2807"/>
      <c r="N371" s="1986"/>
      <c r="O371" s="2808"/>
      <c r="P371" s="1948"/>
      <c r="Q371" s="1950"/>
      <c r="R371" s="1951"/>
      <c r="S371" s="2807"/>
      <c r="T371" s="2807"/>
      <c r="U371" s="1953"/>
      <c r="V371" s="1954"/>
      <c r="W371" s="1948"/>
      <c r="X371" s="1954"/>
      <c r="Y371" s="2807"/>
      <c r="Z371" s="1986"/>
      <c r="AA371" s="2808"/>
      <c r="AB371" s="1987"/>
      <c r="AC371" s="1987"/>
      <c r="AD371" s="1987"/>
      <c r="AE371" s="1988"/>
      <c r="AF371" s="1385"/>
      <c r="AG371" s="1968"/>
      <c r="AH371" s="1989"/>
      <c r="AI371" s="1160" t="s">
        <v>371</v>
      </c>
      <c r="AJ371" s="1570"/>
      <c r="AK371" s="1285"/>
      <c r="AL371" s="1879"/>
      <c r="AM371" s="1969"/>
      <c r="AN371" s="1273"/>
      <c r="AO371" s="1564"/>
      <c r="AP371" s="1438"/>
      <c r="AQ371" s="1799"/>
      <c r="AR371" s="1886"/>
      <c r="AS371" s="1887"/>
      <c r="AT371" s="1892"/>
      <c r="AU371" s="1665"/>
      <c r="AV371" s="1873"/>
      <c r="AW371" s="1894"/>
      <c r="AX371" s="1895"/>
      <c r="AY371" s="783"/>
      <c r="AZ371" s="1868"/>
      <c r="BA371" s="1289"/>
      <c r="BB371" s="1644"/>
      <c r="BC371" s="1990"/>
      <c r="BD371" s="970"/>
      <c r="BE371" s="965"/>
      <c r="BF371" s="1794"/>
      <c r="BG371" s="1859" t="s">
        <v>351</v>
      </c>
      <c r="BH371" s="1883"/>
      <c r="BI371" s="1543"/>
      <c r="BJ371" s="1991"/>
      <c r="BK371" s="1636"/>
      <c r="BL371" s="1561"/>
      <c r="BM371" s="1897"/>
      <c r="BN371" s="1960"/>
      <c r="BO371" s="1577"/>
      <c r="BP371" s="1578"/>
      <c r="BQ371" s="1107"/>
      <c r="BR371" s="1992"/>
      <c r="BS371" s="1810"/>
      <c r="BT371" s="182"/>
      <c r="BU371" s="1993"/>
      <c r="BV371" s="1577"/>
      <c r="BW371" s="1578"/>
      <c r="BX371" s="1107"/>
      <c r="BY371" s="1992"/>
      <c r="BZ371" s="1811"/>
      <c r="CA371" s="183"/>
      <c r="CB371" s="1994"/>
      <c r="CC371" s="1812"/>
      <c r="CD371" s="2868"/>
      <c r="CE371" s="1995"/>
    </row>
    <row r="372" spans="1:83" ht="13.5" customHeight="1" x14ac:dyDescent="0.4">
      <c r="A372" s="249"/>
      <c r="B372" s="249"/>
      <c r="C372" s="584" t="s">
        <v>307</v>
      </c>
      <c r="D372" s="1948"/>
      <c r="E372" s="1949"/>
      <c r="F372" s="1950"/>
      <c r="G372" s="1948"/>
      <c r="H372" s="1949"/>
      <c r="I372" s="1951"/>
      <c r="J372" s="1948"/>
      <c r="K372" s="1950"/>
      <c r="L372" s="1951"/>
      <c r="M372" s="2807"/>
      <c r="N372" s="1986"/>
      <c r="O372" s="2808"/>
      <c r="P372" s="1948"/>
      <c r="Q372" s="1950"/>
      <c r="R372" s="1951"/>
      <c r="S372" s="2807"/>
      <c r="T372" s="2807"/>
      <c r="U372" s="1953"/>
      <c r="V372" s="1954"/>
      <c r="W372" s="1948"/>
      <c r="X372" s="1954"/>
      <c r="Y372" s="2807"/>
      <c r="Z372" s="1986"/>
      <c r="AA372" s="2808"/>
      <c r="AB372" s="1987"/>
      <c r="AC372" s="1987"/>
      <c r="AD372" s="1987"/>
      <c r="AE372" s="1988"/>
      <c r="AF372" s="1385"/>
      <c r="AG372" s="1968"/>
      <c r="AH372" s="793"/>
      <c r="AI372" s="793" t="s">
        <v>336</v>
      </c>
      <c r="AJ372" s="1430"/>
      <c r="AK372" s="1285"/>
      <c r="AL372" s="1879"/>
      <c r="AM372" s="1969"/>
      <c r="AN372" s="1273"/>
      <c r="AO372" s="1564"/>
      <c r="AP372" s="1438"/>
      <c r="AQ372" s="1799"/>
      <c r="AR372" s="1886"/>
      <c r="AS372" s="1887"/>
      <c r="AT372" s="1892"/>
      <c r="AU372" s="1665"/>
      <c r="AV372" s="1873"/>
      <c r="AW372" s="1894"/>
      <c r="AX372" s="1895"/>
      <c r="AY372" s="783"/>
      <c r="AZ372" s="1868"/>
      <c r="BA372" s="1868"/>
      <c r="BB372" s="1644"/>
      <c r="BC372" s="1990"/>
      <c r="BD372" s="970"/>
      <c r="BE372" s="965"/>
      <c r="BF372" s="1794"/>
      <c r="BG372" s="1896"/>
      <c r="BH372" s="1883"/>
      <c r="BI372" s="1996"/>
      <c r="BJ372" s="1997"/>
      <c r="BK372" s="1998"/>
      <c r="BL372" s="1730"/>
      <c r="BM372" s="1897"/>
      <c r="BN372" s="1960"/>
      <c r="BO372" s="1577"/>
      <c r="BP372" s="1578"/>
      <c r="BQ372" s="1107"/>
      <c r="BR372" s="1992"/>
      <c r="BS372" s="1810"/>
      <c r="BT372" s="182"/>
      <c r="BU372" s="1993"/>
      <c r="BV372" s="1577"/>
      <c r="BW372" s="1578"/>
      <c r="BX372" s="1107"/>
      <c r="BY372" s="1992"/>
      <c r="BZ372" s="1811"/>
      <c r="CA372" s="183"/>
      <c r="CB372" s="1994"/>
      <c r="CC372" s="1812"/>
      <c r="CD372" s="2868"/>
      <c r="CE372" s="1995"/>
    </row>
    <row r="373" spans="1:83" ht="29.25" customHeight="1" x14ac:dyDescent="0.4">
      <c r="A373" s="249"/>
      <c r="B373" s="249"/>
      <c r="C373" s="584">
        <v>0.72222222222222099</v>
      </c>
      <c r="D373" s="1948"/>
      <c r="E373" s="1949"/>
      <c r="F373" s="1950"/>
      <c r="G373" s="1948"/>
      <c r="H373" s="1949"/>
      <c r="I373" s="1951"/>
      <c r="J373" s="1948"/>
      <c r="K373" s="1950"/>
      <c r="L373" s="1951"/>
      <c r="M373" s="2807"/>
      <c r="N373" s="1986"/>
      <c r="O373" s="2808"/>
      <c r="P373" s="1948"/>
      <c r="Q373" s="1950"/>
      <c r="R373" s="1951"/>
      <c r="S373" s="2807"/>
      <c r="T373" s="2807"/>
      <c r="U373" s="2808"/>
      <c r="V373" s="1954"/>
      <c r="W373" s="1948"/>
      <c r="X373" s="1954"/>
      <c r="Y373" s="2807"/>
      <c r="Z373" s="1986"/>
      <c r="AA373" s="2808"/>
      <c r="AB373" s="1999"/>
      <c r="AC373" s="1999"/>
      <c r="AD373" s="1999"/>
      <c r="AE373" s="1408"/>
      <c r="AF373" s="1385"/>
      <c r="AG373" s="1968"/>
      <c r="AH373" s="2000"/>
      <c r="AI373" s="1160"/>
      <c r="AJ373" s="1570"/>
      <c r="AK373" s="1285"/>
      <c r="AL373" s="2553" t="s">
        <v>470</v>
      </c>
      <c r="AM373" s="1969"/>
      <c r="AN373" s="1273"/>
      <c r="AO373" s="1564"/>
      <c r="AP373" s="1438"/>
      <c r="AQ373" s="2001"/>
      <c r="AR373" s="1886"/>
      <c r="AS373" s="1887"/>
      <c r="AT373" s="1394"/>
      <c r="AU373" s="1665"/>
      <c r="AV373" s="2002"/>
      <c r="AW373" s="684"/>
      <c r="AX373" s="1895"/>
      <c r="AY373" s="783"/>
      <c r="AZ373" s="1868"/>
      <c r="BA373" s="1868"/>
      <c r="BB373" s="1644"/>
      <c r="BC373" s="664"/>
      <c r="BD373" s="970"/>
      <c r="BE373" s="965"/>
      <c r="BF373" s="1794"/>
      <c r="BG373" s="1896"/>
      <c r="BH373" s="1883"/>
      <c r="BI373" s="1543"/>
      <c r="BJ373" s="2003"/>
      <c r="BK373" s="1636"/>
      <c r="BL373" s="1561"/>
      <c r="BM373" s="1897"/>
      <c r="BN373" s="1960"/>
      <c r="BO373" s="1107"/>
      <c r="BP373" s="1107"/>
      <c r="BQ373" s="1107"/>
      <c r="BR373" s="1191"/>
      <c r="BS373" s="182"/>
      <c r="BT373" s="182"/>
      <c r="BU373" s="1734"/>
      <c r="BV373" s="1107"/>
      <c r="BW373" s="1107"/>
      <c r="BX373" s="1107"/>
      <c r="BY373" s="1191"/>
      <c r="BZ373" s="183"/>
      <c r="CA373" s="183"/>
      <c r="CB373" s="1737"/>
      <c r="CC373" s="184"/>
      <c r="CD373" s="2868"/>
      <c r="CE373" s="1740"/>
    </row>
    <row r="374" spans="1:83" ht="32.85" customHeight="1" x14ac:dyDescent="0.4">
      <c r="A374" s="249"/>
      <c r="B374" s="249"/>
      <c r="C374" s="584" t="s">
        <v>307</v>
      </c>
      <c r="D374" s="1948"/>
      <c r="E374" s="1949"/>
      <c r="F374" s="1950"/>
      <c r="G374" s="1948"/>
      <c r="H374" s="1949"/>
      <c r="I374" s="1951"/>
      <c r="J374" s="1948"/>
      <c r="K374" s="1950"/>
      <c r="L374" s="1951"/>
      <c r="M374" s="2807"/>
      <c r="N374" s="1986"/>
      <c r="O374" s="2808"/>
      <c r="P374" s="1948"/>
      <c r="Q374" s="1950"/>
      <c r="R374" s="1951"/>
      <c r="S374" s="2807"/>
      <c r="T374" s="2807"/>
      <c r="U374" s="2808"/>
      <c r="V374" s="1954"/>
      <c r="W374" s="1948"/>
      <c r="X374" s="1954"/>
      <c r="Y374" s="2807"/>
      <c r="Z374" s="1986"/>
      <c r="AA374" s="2808"/>
      <c r="AB374" s="1999"/>
      <c r="AC374" s="1999"/>
      <c r="AD374" s="1999"/>
      <c r="AE374" s="1408"/>
      <c r="AF374" s="1385"/>
      <c r="AG374" s="1968"/>
      <c r="AH374" s="2000"/>
      <c r="AI374" s="1160"/>
      <c r="AJ374" s="1570"/>
      <c r="AK374" s="1285"/>
      <c r="AL374" s="1879"/>
      <c r="AM374" s="1969"/>
      <c r="AN374" s="1273"/>
      <c r="AO374" s="1564"/>
      <c r="AP374" s="1438"/>
      <c r="AQ374" s="2001"/>
      <c r="AR374" s="1886"/>
      <c r="AS374" s="1887"/>
      <c r="AT374" s="1394"/>
      <c r="AU374" s="1665"/>
      <c r="AV374" s="2002"/>
      <c r="AW374" s="684"/>
      <c r="AX374" s="1895"/>
      <c r="AY374" s="783"/>
      <c r="AZ374" s="1868"/>
      <c r="BA374" s="1289"/>
      <c r="BB374" s="1644"/>
      <c r="BC374" s="664"/>
      <c r="BD374" s="970"/>
      <c r="BE374" s="965"/>
      <c r="BF374" s="1794"/>
      <c r="BG374" s="1794"/>
      <c r="BH374" s="1401"/>
      <c r="BI374" s="1556"/>
      <c r="BJ374" s="2003"/>
      <c r="BK374" s="1789"/>
      <c r="BL374" s="1561"/>
      <c r="BM374" s="1897"/>
      <c r="BN374" s="1960"/>
      <c r="BO374" s="1580"/>
      <c r="BP374" s="1108"/>
      <c r="BQ374" s="1109"/>
      <c r="BR374" s="1992"/>
      <c r="BS374" s="1754"/>
      <c r="BT374" s="1755"/>
      <c r="BU374" s="1993"/>
      <c r="BV374" s="1580"/>
      <c r="BW374" s="1108"/>
      <c r="BX374" s="1109"/>
      <c r="BY374" s="1992"/>
      <c r="BZ374" s="1756"/>
      <c r="CA374" s="1757"/>
      <c r="CB374" s="1994"/>
      <c r="CC374" s="1758"/>
      <c r="CD374" s="2868"/>
      <c r="CE374" s="1995"/>
    </row>
    <row r="375" spans="1:83" ht="13.5" customHeight="1" x14ac:dyDescent="0.4">
      <c r="A375" s="249"/>
      <c r="B375" s="249"/>
      <c r="C375" s="584">
        <v>0.72569444444444298</v>
      </c>
      <c r="D375" s="1948"/>
      <c r="E375" s="1949"/>
      <c r="F375" s="1950"/>
      <c r="G375" s="1948"/>
      <c r="H375" s="1949"/>
      <c r="I375" s="1951"/>
      <c r="J375" s="1948"/>
      <c r="K375" s="1950"/>
      <c r="L375" s="1951"/>
      <c r="M375" s="1948"/>
      <c r="N375" s="1962"/>
      <c r="O375" s="1948"/>
      <c r="P375" s="1948"/>
      <c r="Q375" s="1950"/>
      <c r="R375" s="1951"/>
      <c r="S375" s="1954"/>
      <c r="T375" s="1948"/>
      <c r="U375" s="1948"/>
      <c r="V375" s="1954"/>
      <c r="W375" s="1948"/>
      <c r="X375" s="1954"/>
      <c r="Y375" s="1948"/>
      <c r="Z375" s="1962"/>
      <c r="AA375" s="1948"/>
      <c r="AB375" s="1962"/>
      <c r="AC375" s="1962"/>
      <c r="AD375" s="1962"/>
      <c r="AE375" s="1408"/>
      <c r="AF375" s="1385"/>
      <c r="AG375" s="1968"/>
      <c r="AH375" s="2000"/>
      <c r="AI375" s="1160"/>
      <c r="AJ375" s="1570"/>
      <c r="AK375" s="1285"/>
      <c r="AL375" s="1879"/>
      <c r="AM375" s="1969"/>
      <c r="AN375" s="1273"/>
      <c r="AO375" s="1564"/>
      <c r="AP375" s="1438"/>
      <c r="AQ375" s="1886"/>
      <c r="AR375" s="2004"/>
      <c r="AS375" s="1887"/>
      <c r="AT375" s="1394"/>
      <c r="AU375" s="1665"/>
      <c r="AV375" s="2002"/>
      <c r="AW375" s="684"/>
      <c r="AX375" s="1895"/>
      <c r="AY375" s="783"/>
      <c r="AZ375" s="1802"/>
      <c r="BA375" s="1802"/>
      <c r="BB375" s="1644"/>
      <c r="BC375" s="664"/>
      <c r="BD375" s="970"/>
      <c r="BE375" s="965"/>
      <c r="BF375" s="1862"/>
      <c r="BG375" s="1794"/>
      <c r="BH375" s="1794"/>
      <c r="BI375" s="1542"/>
      <c r="BJ375" s="1870"/>
      <c r="BK375" s="1881"/>
      <c r="BL375" s="1561"/>
      <c r="BM375" s="1897"/>
      <c r="BN375" s="1960"/>
      <c r="BO375" s="1580"/>
      <c r="BP375" s="1108"/>
      <c r="BQ375" s="1109"/>
      <c r="BR375" s="1992"/>
      <c r="BS375" s="1754"/>
      <c r="BT375" s="1755"/>
      <c r="BU375" s="1993"/>
      <c r="BV375" s="1580"/>
      <c r="BW375" s="1108"/>
      <c r="BX375" s="1109"/>
      <c r="BY375" s="1992"/>
      <c r="BZ375" s="1756"/>
      <c r="CA375" s="1757"/>
      <c r="CB375" s="1994"/>
      <c r="CC375" s="1758"/>
      <c r="CD375" s="2868"/>
      <c r="CE375" s="1995"/>
    </row>
    <row r="376" spans="1:83" ht="25.5" customHeight="1" x14ac:dyDescent="0.4">
      <c r="A376" s="249"/>
      <c r="B376" s="249"/>
      <c r="C376" s="584">
        <v>0.72916666666666496</v>
      </c>
      <c r="D376" s="1948"/>
      <c r="E376" s="1949"/>
      <c r="F376" s="1950"/>
      <c r="G376" s="1948"/>
      <c r="H376" s="1949"/>
      <c r="I376" s="1951"/>
      <c r="J376" s="1948"/>
      <c r="K376" s="1950"/>
      <c r="L376" s="1951"/>
      <c r="M376" s="1952"/>
      <c r="N376" s="1955"/>
      <c r="O376" s="2807"/>
      <c r="P376" s="1948"/>
      <c r="Q376" s="1950"/>
      <c r="R376" s="1951"/>
      <c r="S376" s="2807"/>
      <c r="T376" s="1952"/>
      <c r="U376" s="1953"/>
      <c r="V376" s="1954"/>
      <c r="W376" s="1948"/>
      <c r="X376" s="1954"/>
      <c r="Y376" s="1952"/>
      <c r="Z376" s="1955"/>
      <c r="AA376" s="2807"/>
      <c r="AB376" s="1953"/>
      <c r="AC376" s="1953"/>
      <c r="AD376" s="1953"/>
      <c r="AE376" s="1385"/>
      <c r="AF376" s="1385" t="s">
        <v>332</v>
      </c>
      <c r="AG376" s="1408"/>
      <c r="AH376" s="1159"/>
      <c r="AI376" s="1160" t="s">
        <v>331</v>
      </c>
      <c r="AJ376" s="1160"/>
      <c r="AK376" s="1285"/>
      <c r="AL376" s="1331" t="s">
        <v>494</v>
      </c>
      <c r="AM376" s="1969"/>
      <c r="AN376" s="1273"/>
      <c r="AO376" s="2005" t="s">
        <v>350</v>
      </c>
      <c r="AP376" s="1438"/>
      <c r="AQ376" s="778"/>
      <c r="AR376" s="1331" t="s">
        <v>495</v>
      </c>
      <c r="AS376" s="1886"/>
      <c r="AT376" s="1892"/>
      <c r="AU376" s="1331" t="s">
        <v>496</v>
      </c>
      <c r="AV376" s="1460"/>
      <c r="AW376" s="1538"/>
      <c r="AX376" s="2006" t="s">
        <v>497</v>
      </c>
      <c r="AY376" s="1395"/>
      <c r="AZ376" s="1643"/>
      <c r="BA376" s="1331" t="s">
        <v>498</v>
      </c>
      <c r="BB376" s="1802"/>
      <c r="BC376" s="1958"/>
      <c r="BD376" s="967" t="s">
        <v>379</v>
      </c>
      <c r="BE376" s="687"/>
      <c r="BF376" s="1794"/>
      <c r="BG376" s="2846" t="s">
        <v>341</v>
      </c>
      <c r="BH376" s="1794"/>
      <c r="BI376" s="1556"/>
      <c r="BJ376" s="1853"/>
      <c r="BK376" s="1789"/>
      <c r="BL376" s="1660"/>
      <c r="BM376" s="1169" t="s">
        <v>371</v>
      </c>
      <c r="BN376" s="1168"/>
      <c r="BO376" s="1580"/>
      <c r="BP376" s="1108"/>
      <c r="BQ376" s="1109"/>
      <c r="BR376" s="1614"/>
      <c r="BS376" s="1754"/>
      <c r="BT376" s="2869" t="s">
        <v>499</v>
      </c>
      <c r="BU376" s="1783"/>
      <c r="BV376" s="1580"/>
      <c r="BW376" s="1108"/>
      <c r="BX376" s="1109"/>
      <c r="BY376" s="1614"/>
      <c r="BZ376" s="1756"/>
      <c r="CA376" s="1757"/>
      <c r="CB376" s="1784"/>
      <c r="CC376" s="1758"/>
      <c r="CD376" s="2868"/>
      <c r="CE376" s="1785"/>
    </row>
    <row r="377" spans="1:83" ht="24.6" customHeight="1" x14ac:dyDescent="0.4">
      <c r="A377" s="249"/>
      <c r="B377" s="249"/>
      <c r="C377" s="584" t="s">
        <v>307</v>
      </c>
      <c r="D377" s="1948"/>
      <c r="E377" s="1949"/>
      <c r="F377" s="1950"/>
      <c r="G377" s="1948"/>
      <c r="H377" s="1949"/>
      <c r="I377" s="1951"/>
      <c r="J377" s="1948"/>
      <c r="K377" s="1950"/>
      <c r="L377" s="1951"/>
      <c r="M377" s="1948"/>
      <c r="N377" s="1962"/>
      <c r="O377" s="1948"/>
      <c r="P377" s="1948"/>
      <c r="Q377" s="1950"/>
      <c r="R377" s="1951"/>
      <c r="S377" s="1954"/>
      <c r="T377" s="1948"/>
      <c r="U377" s="1948"/>
      <c r="V377" s="1954"/>
      <c r="W377" s="1948"/>
      <c r="X377" s="1954"/>
      <c r="Y377" s="1948"/>
      <c r="Z377" s="1962"/>
      <c r="AA377" s="1948"/>
      <c r="AB377" s="1948"/>
      <c r="AC377" s="1948"/>
      <c r="AD377" s="1948"/>
      <c r="AE377" s="1157"/>
      <c r="AF377" s="1385" t="s">
        <v>334</v>
      </c>
      <c r="AG377" s="1157"/>
      <c r="AH377" s="1164"/>
      <c r="AI377" s="1139" t="s">
        <v>366</v>
      </c>
      <c r="AJ377" s="1165"/>
      <c r="AK377" s="1285"/>
      <c r="AL377" s="1879"/>
      <c r="AM377" s="1969"/>
      <c r="AN377" s="1273"/>
      <c r="AO377" s="1564"/>
      <c r="AP377" s="1438"/>
      <c r="AQ377" s="1799"/>
      <c r="AR377" s="1331" t="s">
        <v>501</v>
      </c>
      <c r="AS377" s="1887"/>
      <c r="AT377" s="1892"/>
      <c r="AU377" s="1723" t="s">
        <v>500</v>
      </c>
      <c r="AV377" s="1460"/>
      <c r="AW377" s="1781"/>
      <c r="AX377" s="1331" t="s">
        <v>612</v>
      </c>
      <c r="AY377" s="783"/>
      <c r="AZ377" s="1553"/>
      <c r="BA377" s="1331" t="s">
        <v>503</v>
      </c>
      <c r="BB377" s="1802"/>
      <c r="BC377" s="1958"/>
      <c r="BD377" s="970"/>
      <c r="BE377" s="965"/>
      <c r="BF377" s="1794"/>
      <c r="BG377" s="2846"/>
      <c r="BH377" s="1794"/>
      <c r="BI377" s="1556"/>
      <c r="BJ377" s="2003"/>
      <c r="BK377" s="1778"/>
      <c r="BL377" s="1168"/>
      <c r="BM377" s="1562"/>
      <c r="BN377" s="1960"/>
      <c r="BO377" s="1577"/>
      <c r="BP377" s="1577"/>
      <c r="BQ377" s="1107"/>
      <c r="BR377" s="1614"/>
      <c r="BS377" s="2007"/>
      <c r="BT377" s="2869"/>
      <c r="BU377" s="1783"/>
      <c r="BV377" s="1577"/>
      <c r="BW377" s="1577"/>
      <c r="BX377" s="1107"/>
      <c r="BY377" s="1614"/>
      <c r="BZ377" s="2008"/>
      <c r="CA377" s="183"/>
      <c r="CB377" s="1784"/>
      <c r="CC377" s="2009"/>
      <c r="CD377" s="2868"/>
      <c r="CE377" s="1785"/>
    </row>
    <row r="378" spans="1:83" ht="22.5" customHeight="1" x14ac:dyDescent="0.4">
      <c r="A378" s="249"/>
      <c r="B378" s="249"/>
      <c r="C378" s="584" t="s">
        <v>307</v>
      </c>
      <c r="D378" s="1948"/>
      <c r="E378" s="1949"/>
      <c r="F378" s="1950"/>
      <c r="G378" s="1948"/>
      <c r="H378" s="1949"/>
      <c r="I378" s="1951"/>
      <c r="J378" s="1948"/>
      <c r="K378" s="1950"/>
      <c r="L378" s="1951"/>
      <c r="M378" s="1948"/>
      <c r="N378" s="1962"/>
      <c r="O378" s="1948"/>
      <c r="P378" s="1948"/>
      <c r="Q378" s="1950"/>
      <c r="R378" s="1951"/>
      <c r="S378" s="1954"/>
      <c r="T378" s="1948"/>
      <c r="U378" s="1948"/>
      <c r="V378" s="1954"/>
      <c r="W378" s="1948"/>
      <c r="X378" s="1954"/>
      <c r="Y378" s="1948"/>
      <c r="Z378" s="1962"/>
      <c r="AA378" s="1948"/>
      <c r="AB378" s="1962"/>
      <c r="AC378" s="1962"/>
      <c r="AD378" s="1962"/>
      <c r="AE378" s="1408"/>
      <c r="AF378" s="1385"/>
      <c r="AG378" s="1968"/>
      <c r="AH378" s="1645"/>
      <c r="AI378" s="1160" t="s">
        <v>353</v>
      </c>
      <c r="AJ378" s="1256"/>
      <c r="AK378" s="1285"/>
      <c r="AL378" s="1879"/>
      <c r="AM378" s="1969"/>
      <c r="AN378" s="1273"/>
      <c r="AO378" s="1564"/>
      <c r="AP378" s="1438"/>
      <c r="AQ378" s="1799"/>
      <c r="AR378" s="778"/>
      <c r="AS378" s="1887"/>
      <c r="AT378" s="1892"/>
      <c r="AU378" s="1665"/>
      <c r="AV378" s="1873"/>
      <c r="AW378" s="1781"/>
      <c r="AX378" s="1895"/>
      <c r="AY378" s="783"/>
      <c r="AZ378" s="1553"/>
      <c r="BA378" s="2006" t="s">
        <v>504</v>
      </c>
      <c r="BB378" s="1802"/>
      <c r="BC378" s="664"/>
      <c r="BD378" s="970"/>
      <c r="BE378" s="965"/>
      <c r="BF378" s="1794"/>
      <c r="BG378" s="2846"/>
      <c r="BH378" s="1794"/>
      <c r="BI378" s="2010"/>
      <c r="BJ378" s="1997" t="s">
        <v>445</v>
      </c>
      <c r="BK378" s="1789"/>
      <c r="BL378" s="1561"/>
      <c r="BM378" s="1169"/>
      <c r="BN378" s="1960"/>
      <c r="BO378" s="1107"/>
      <c r="BP378" s="1107"/>
      <c r="BQ378" s="1107"/>
      <c r="BR378" s="1992"/>
      <c r="BS378" s="182"/>
      <c r="BT378" s="2869"/>
      <c r="BU378" s="1993"/>
      <c r="BV378" s="1107"/>
      <c r="BW378" s="1107"/>
      <c r="BX378" s="1107"/>
      <c r="BY378" s="1992"/>
      <c r="BZ378" s="183"/>
      <c r="CA378" s="183"/>
      <c r="CB378" s="1994"/>
      <c r="CC378" s="184"/>
      <c r="CD378" s="2868"/>
      <c r="CE378" s="1995"/>
    </row>
    <row r="379" spans="1:83" ht="13.5" customHeight="1" x14ac:dyDescent="0.4">
      <c r="A379" s="249"/>
      <c r="B379" s="249"/>
      <c r="C379" s="584" t="s">
        <v>307</v>
      </c>
      <c r="D379" s="1948"/>
      <c r="E379" s="1949"/>
      <c r="F379" s="1950"/>
      <c r="G379" s="1948"/>
      <c r="H379" s="1949"/>
      <c r="I379" s="1951"/>
      <c r="J379" s="1948"/>
      <c r="K379" s="1950"/>
      <c r="L379" s="1951"/>
      <c r="M379" s="1948"/>
      <c r="N379" s="1962"/>
      <c r="O379" s="1948"/>
      <c r="P379" s="1948"/>
      <c r="Q379" s="1950"/>
      <c r="R379" s="1951"/>
      <c r="S379" s="1954"/>
      <c r="T379" s="1948"/>
      <c r="U379" s="1948"/>
      <c r="V379" s="1954"/>
      <c r="W379" s="1948"/>
      <c r="X379" s="1954"/>
      <c r="Y379" s="1948"/>
      <c r="Z379" s="1962"/>
      <c r="AA379" s="1948"/>
      <c r="AB379" s="1962"/>
      <c r="AC379" s="1962"/>
      <c r="AD379" s="1962"/>
      <c r="AE379" s="1408"/>
      <c r="AF379" s="1385"/>
      <c r="AG379" s="1968"/>
      <c r="AH379" s="1645"/>
      <c r="AI379" s="1159"/>
      <c r="AJ379" s="1256"/>
      <c r="AK379" s="1285"/>
      <c r="AL379" s="1879"/>
      <c r="AM379" s="1969"/>
      <c r="AN379" s="1273"/>
      <c r="AO379" s="1564"/>
      <c r="AP379" s="1438"/>
      <c r="AQ379" s="1799"/>
      <c r="AR379" s="1886"/>
      <c r="AS379" s="1887"/>
      <c r="AT379" s="1892"/>
      <c r="AU379" s="1665"/>
      <c r="AV379" s="1873"/>
      <c r="AW379" s="1781"/>
      <c r="AX379" s="1895"/>
      <c r="AY379" s="783"/>
      <c r="AZ379" s="1553"/>
      <c r="BA379" s="1280"/>
      <c r="BB379" s="1802"/>
      <c r="BC379" s="664"/>
      <c r="BD379" s="970"/>
      <c r="BE379" s="965"/>
      <c r="BF379" s="1794"/>
      <c r="BG379" s="2846"/>
      <c r="BH379" s="1794"/>
      <c r="BI379" s="2010"/>
      <c r="BJ379" s="2011" t="s">
        <v>381</v>
      </c>
      <c r="BK379" s="1789"/>
      <c r="BL379" s="1561"/>
      <c r="BM379" s="2012"/>
      <c r="BN379" s="1960"/>
      <c r="BO379" s="1577"/>
      <c r="BP379" s="1578"/>
      <c r="BQ379" s="1107"/>
      <c r="BR379" s="1992"/>
      <c r="BS379" s="1810"/>
      <c r="BT379" s="2869"/>
      <c r="BU379" s="1993"/>
      <c r="BV379" s="1577"/>
      <c r="BW379" s="1578"/>
      <c r="BX379" s="1107"/>
      <c r="BY379" s="1992"/>
      <c r="BZ379" s="1811"/>
      <c r="CA379" s="183"/>
      <c r="CB379" s="1994"/>
      <c r="CC379" s="1812"/>
      <c r="CD379" s="2868"/>
      <c r="CE379" s="1995"/>
    </row>
    <row r="380" spans="1:83" ht="13.5" customHeight="1" x14ac:dyDescent="0.4">
      <c r="A380" s="249"/>
      <c r="B380" s="249"/>
      <c r="C380" s="584" t="s">
        <v>307</v>
      </c>
      <c r="D380" s="1948"/>
      <c r="E380" s="1949"/>
      <c r="F380" s="1950"/>
      <c r="G380" s="1948"/>
      <c r="H380" s="1949"/>
      <c r="I380" s="1951"/>
      <c r="J380" s="1948"/>
      <c r="K380" s="1950"/>
      <c r="L380" s="1951"/>
      <c r="M380" s="1948"/>
      <c r="N380" s="1962"/>
      <c r="O380" s="1948"/>
      <c r="P380" s="1948"/>
      <c r="Q380" s="1950"/>
      <c r="R380" s="1951"/>
      <c r="S380" s="1954"/>
      <c r="T380" s="1948"/>
      <c r="U380" s="1948"/>
      <c r="V380" s="1954"/>
      <c r="W380" s="1948"/>
      <c r="X380" s="1954"/>
      <c r="Y380" s="1948"/>
      <c r="Z380" s="1962"/>
      <c r="AA380" s="1948"/>
      <c r="AB380" s="1962"/>
      <c r="AC380" s="1962"/>
      <c r="AD380" s="1962"/>
      <c r="AE380" s="1408"/>
      <c r="AF380" s="1385"/>
      <c r="AG380" s="1968"/>
      <c r="AH380" s="1645"/>
      <c r="AI380" s="1160"/>
      <c r="AJ380" s="1256"/>
      <c r="AK380" s="1285"/>
      <c r="AL380" s="1879"/>
      <c r="AM380" s="1969"/>
      <c r="AN380" s="1273"/>
      <c r="AO380" s="1564"/>
      <c r="AP380" s="1438"/>
      <c r="AQ380" s="1799"/>
      <c r="AR380" s="1886"/>
      <c r="AS380" s="1887"/>
      <c r="AT380" s="1892"/>
      <c r="AU380" s="1665"/>
      <c r="AV380" s="1873"/>
      <c r="AW380" s="1781"/>
      <c r="AX380" s="1895"/>
      <c r="AY380" s="783"/>
      <c r="AZ380" s="1553"/>
      <c r="BA380" s="1280"/>
      <c r="BB380" s="1802"/>
      <c r="BC380" s="664"/>
      <c r="BD380" s="970"/>
      <c r="BE380" s="965"/>
      <c r="BF380" s="1794"/>
      <c r="BG380" s="2846"/>
      <c r="BH380" s="1862"/>
      <c r="BI380" s="2010"/>
      <c r="BJ380" s="2013" t="s">
        <v>384</v>
      </c>
      <c r="BK380" s="1789"/>
      <c r="BL380" s="1561"/>
      <c r="BM380" s="2012"/>
      <c r="BN380" s="1960"/>
      <c r="BO380" s="1577"/>
      <c r="BP380" s="1578"/>
      <c r="BQ380" s="1107"/>
      <c r="BR380" s="1992"/>
      <c r="BS380" s="1810"/>
      <c r="BT380" s="2869"/>
      <c r="BU380" s="1993"/>
      <c r="BV380" s="1577"/>
      <c r="BW380" s="1578"/>
      <c r="BX380" s="1107"/>
      <c r="BY380" s="1992"/>
      <c r="BZ380" s="1811"/>
      <c r="CA380" s="183"/>
      <c r="CB380" s="1994"/>
      <c r="CC380" s="1812"/>
      <c r="CD380" s="2868"/>
      <c r="CE380" s="1995"/>
    </row>
    <row r="381" spans="1:83" ht="13.5" customHeight="1" x14ac:dyDescent="0.4">
      <c r="A381" s="249"/>
      <c r="B381" s="249"/>
      <c r="C381" s="584">
        <v>0.73263888888888795</v>
      </c>
      <c r="D381" s="1948"/>
      <c r="E381" s="1949"/>
      <c r="F381" s="1950"/>
      <c r="G381" s="1948"/>
      <c r="H381" s="1949"/>
      <c r="I381" s="1951"/>
      <c r="J381" s="1948"/>
      <c r="K381" s="1950"/>
      <c r="L381" s="1951"/>
      <c r="M381" s="1948"/>
      <c r="N381" s="1962"/>
      <c r="O381" s="1948"/>
      <c r="P381" s="1948"/>
      <c r="Q381" s="1950"/>
      <c r="R381" s="1951"/>
      <c r="S381" s="1954"/>
      <c r="T381" s="1948"/>
      <c r="U381" s="1948"/>
      <c r="V381" s="1954"/>
      <c r="W381" s="1948"/>
      <c r="X381" s="1954"/>
      <c r="Y381" s="1948"/>
      <c r="Z381" s="1962"/>
      <c r="AA381" s="1948"/>
      <c r="AB381" s="1948"/>
      <c r="AC381" s="1948"/>
      <c r="AD381" s="1948"/>
      <c r="AE381" s="1385"/>
      <c r="AF381" s="1385"/>
      <c r="AG381" s="1385"/>
      <c r="AH381" s="1160"/>
      <c r="AI381" s="1160"/>
      <c r="AJ381" s="1160"/>
      <c r="AK381" s="1285"/>
      <c r="AL381" s="1879"/>
      <c r="AM381" s="1969"/>
      <c r="AN381" s="1273"/>
      <c r="AO381" s="1564"/>
      <c r="AP381" s="1438"/>
      <c r="AQ381" s="778"/>
      <c r="AR381" s="778"/>
      <c r="AS381" s="1207"/>
      <c r="AT381" s="1892"/>
      <c r="AU381" s="1665"/>
      <c r="AV381" s="1873"/>
      <c r="AW381" s="684"/>
      <c r="AX381" s="1895"/>
      <c r="AY381" s="783"/>
      <c r="AZ381" s="1280"/>
      <c r="BA381" s="1280"/>
      <c r="BB381" s="1644"/>
      <c r="BC381" s="687"/>
      <c r="BD381" s="970"/>
      <c r="BE381" s="687"/>
      <c r="BF381" s="1794"/>
      <c r="BG381" s="2846"/>
      <c r="BH381" s="1794"/>
      <c r="BI381" s="1556"/>
      <c r="BJ381" s="2003"/>
      <c r="BK381" s="1789"/>
      <c r="BL381" s="1168"/>
      <c r="BM381" s="1897"/>
      <c r="BN381" s="1168"/>
      <c r="BO381" s="1577"/>
      <c r="BP381" s="1577"/>
      <c r="BQ381" s="1107"/>
      <c r="BR381" s="1992"/>
      <c r="BS381" s="2007"/>
      <c r="BT381" s="2869"/>
      <c r="BU381" s="1993"/>
      <c r="BV381" s="1577"/>
      <c r="BW381" s="1577"/>
      <c r="BX381" s="1107"/>
      <c r="BY381" s="1992"/>
      <c r="BZ381" s="2008"/>
      <c r="CA381" s="183"/>
      <c r="CB381" s="1994"/>
      <c r="CC381" s="2009"/>
      <c r="CD381" s="2868"/>
      <c r="CE381" s="1995"/>
    </row>
    <row r="382" spans="1:83" ht="13.5" customHeight="1" x14ac:dyDescent="0.4">
      <c r="A382" s="249"/>
      <c r="B382" s="249"/>
      <c r="C382" s="584" t="s">
        <v>307</v>
      </c>
      <c r="D382" s="1948"/>
      <c r="E382" s="1949"/>
      <c r="F382" s="1950"/>
      <c r="G382" s="1948"/>
      <c r="H382" s="1949"/>
      <c r="I382" s="1951"/>
      <c r="J382" s="1948"/>
      <c r="K382" s="1950"/>
      <c r="L382" s="1951"/>
      <c r="M382" s="1948"/>
      <c r="N382" s="1962"/>
      <c r="O382" s="1948"/>
      <c r="P382" s="1948"/>
      <c r="Q382" s="1950"/>
      <c r="R382" s="1951"/>
      <c r="S382" s="1954"/>
      <c r="T382" s="1948"/>
      <c r="U382" s="1948"/>
      <c r="V382" s="1954"/>
      <c r="W382" s="1948"/>
      <c r="X382" s="1954"/>
      <c r="Y382" s="1948"/>
      <c r="Z382" s="1962"/>
      <c r="AA382" s="1948"/>
      <c r="AB382" s="1948"/>
      <c r="AC382" s="1948"/>
      <c r="AD382" s="1948"/>
      <c r="AE382" s="1385"/>
      <c r="AF382" s="1385"/>
      <c r="AG382" s="1385"/>
      <c r="AH382" s="1160"/>
      <c r="AI382" s="1160"/>
      <c r="AJ382" s="1160"/>
      <c r="AK382" s="1285"/>
      <c r="AL382" s="1879"/>
      <c r="AM382" s="1969"/>
      <c r="AN382" s="1273"/>
      <c r="AO382" s="1564"/>
      <c r="AP382" s="1438"/>
      <c r="AQ382" s="778"/>
      <c r="AR382" s="778"/>
      <c r="AS382" s="1207"/>
      <c r="AT382" s="1892"/>
      <c r="AU382" s="1665"/>
      <c r="AV382" s="1873"/>
      <c r="AW382" s="684"/>
      <c r="AX382" s="1895"/>
      <c r="AY382" s="783"/>
      <c r="AZ382" s="1280"/>
      <c r="BA382" s="1280"/>
      <c r="BB382" s="1644"/>
      <c r="BC382" s="687"/>
      <c r="BD382" s="970"/>
      <c r="BE382" s="687"/>
      <c r="BF382" s="1794"/>
      <c r="BG382" s="2846"/>
      <c r="BH382" s="1794"/>
      <c r="BI382" s="1556"/>
      <c r="BJ382" s="2003"/>
      <c r="BK382" s="1789"/>
      <c r="BL382" s="1168"/>
      <c r="BM382" s="1897"/>
      <c r="BN382" s="1168"/>
      <c r="BO382" s="1577"/>
      <c r="BP382" s="1577"/>
      <c r="BQ382" s="1107"/>
      <c r="BR382" s="1992"/>
      <c r="BS382" s="2007"/>
      <c r="BT382" s="2869"/>
      <c r="BU382" s="1993"/>
      <c r="BV382" s="1577"/>
      <c r="BW382" s="1577"/>
      <c r="BX382" s="1107"/>
      <c r="BY382" s="1992"/>
      <c r="BZ382" s="2008"/>
      <c r="CA382" s="183"/>
      <c r="CB382" s="1994"/>
      <c r="CC382" s="2009"/>
      <c r="CD382" s="2868"/>
      <c r="CE382" s="1995"/>
    </row>
    <row r="383" spans="1:83" ht="14.25" customHeight="1" x14ac:dyDescent="0.4">
      <c r="A383" s="249"/>
      <c r="B383" s="249"/>
      <c r="C383" s="584">
        <v>0.73611111111111005</v>
      </c>
      <c r="D383" s="1948"/>
      <c r="E383" s="1949"/>
      <c r="F383" s="1950"/>
      <c r="G383" s="1948"/>
      <c r="H383" s="1949"/>
      <c r="I383" s="1951"/>
      <c r="J383" s="1948"/>
      <c r="K383" s="1950"/>
      <c r="L383" s="1951"/>
      <c r="M383" s="1948"/>
      <c r="N383" s="1962"/>
      <c r="O383" s="1948"/>
      <c r="P383" s="1948"/>
      <c r="Q383" s="1950"/>
      <c r="R383" s="1951"/>
      <c r="S383" s="1954"/>
      <c r="T383" s="1948"/>
      <c r="U383" s="1948"/>
      <c r="V383" s="1954"/>
      <c r="W383" s="1948"/>
      <c r="X383" s="1954"/>
      <c r="Y383" s="1948"/>
      <c r="Z383" s="1962"/>
      <c r="AA383" s="1948"/>
      <c r="AB383" s="1948"/>
      <c r="AC383" s="1948"/>
      <c r="AD383" s="1948"/>
      <c r="AE383" s="1385"/>
      <c r="AF383" s="1385"/>
      <c r="AG383" s="1385"/>
      <c r="AH383" s="1160"/>
      <c r="AI383" s="1160"/>
      <c r="AJ383" s="1256"/>
      <c r="AK383" s="1285"/>
      <c r="AL383" s="1879"/>
      <c r="AM383" s="1969"/>
      <c r="AN383" s="1273"/>
      <c r="AO383" s="1564"/>
      <c r="AP383" s="1438"/>
      <c r="AQ383" s="778"/>
      <c r="AR383" s="1813"/>
      <c r="AS383" s="1640"/>
      <c r="AT383" s="1892"/>
      <c r="AU383" s="1665"/>
      <c r="AV383" s="1873"/>
      <c r="AW383" s="684"/>
      <c r="AX383" s="1895"/>
      <c r="AY383" s="738"/>
      <c r="AZ383" s="1280"/>
      <c r="BA383" s="1280"/>
      <c r="BB383" s="1644"/>
      <c r="BC383" s="687"/>
      <c r="BD383" s="970"/>
      <c r="BE383" s="687"/>
      <c r="BF383" s="1794"/>
      <c r="BG383" s="2846"/>
      <c r="BH383" s="1794"/>
      <c r="BI383" s="1556"/>
      <c r="BJ383" s="2003"/>
      <c r="BK383" s="1881"/>
      <c r="BL383" s="1168"/>
      <c r="BM383" s="1897"/>
      <c r="BN383" s="1168"/>
      <c r="BO383" s="1580"/>
      <c r="BP383" s="1108"/>
      <c r="BQ383" s="1109"/>
      <c r="BR383" s="1614"/>
      <c r="BS383" s="1754"/>
      <c r="BT383" s="2869"/>
      <c r="BU383" s="1783"/>
      <c r="BV383" s="1580"/>
      <c r="BW383" s="1108"/>
      <c r="BX383" s="1109"/>
      <c r="BY383" s="1614"/>
      <c r="BZ383" s="1756"/>
      <c r="CA383" s="1757"/>
      <c r="CB383" s="1784"/>
      <c r="CC383" s="1758"/>
      <c r="CD383" s="2868"/>
      <c r="CE383" s="1785"/>
    </row>
    <row r="384" spans="1:83" ht="26.1" customHeight="1" x14ac:dyDescent="0.4">
      <c r="A384" s="249"/>
      <c r="B384" s="249"/>
      <c r="C384" s="584">
        <v>0.73958333333333204</v>
      </c>
      <c r="D384" s="1948"/>
      <c r="E384" s="1949"/>
      <c r="F384" s="1950"/>
      <c r="G384" s="1948"/>
      <c r="H384" s="1949"/>
      <c r="I384" s="1951"/>
      <c r="J384" s="1948"/>
      <c r="K384" s="1950"/>
      <c r="L384" s="1951"/>
      <c r="M384" s="2807"/>
      <c r="N384" s="1986"/>
      <c r="O384" s="2808"/>
      <c r="P384" s="1948"/>
      <c r="Q384" s="1950"/>
      <c r="R384" s="1951"/>
      <c r="S384" s="2807"/>
      <c r="T384" s="2807"/>
      <c r="U384" s="2808"/>
      <c r="V384" s="1954"/>
      <c r="W384" s="1948"/>
      <c r="X384" s="1954"/>
      <c r="Y384" s="2807"/>
      <c r="Z384" s="1986"/>
      <c r="AA384" s="2808"/>
      <c r="AB384" s="2808"/>
      <c r="AC384" s="2808"/>
      <c r="AD384" s="2808"/>
      <c r="AE384" s="1385"/>
      <c r="AF384" s="1385" t="s">
        <v>332</v>
      </c>
      <c r="AG384" s="1408"/>
      <c r="AH384" s="1159"/>
      <c r="AI384" s="1160" t="s">
        <v>331</v>
      </c>
      <c r="AJ384" s="1160"/>
      <c r="AK384" s="1285"/>
      <c r="AL384" s="2014"/>
      <c r="AM384" s="1969"/>
      <c r="AN384" s="1273"/>
      <c r="AO384" s="1273"/>
      <c r="AP384" s="1438"/>
      <c r="AQ384" s="778"/>
      <c r="AR384" s="1723" t="s">
        <v>507</v>
      </c>
      <c r="AS384" s="778"/>
      <c r="AT384" s="1892"/>
      <c r="AU384" s="1665"/>
      <c r="AV384" s="1873"/>
      <c r="AW384" s="1894"/>
      <c r="AX384" s="1331" t="s">
        <v>508</v>
      </c>
      <c r="AY384" s="783"/>
      <c r="AZ384" s="1608"/>
      <c r="BA384" s="1723" t="s">
        <v>509</v>
      </c>
      <c r="BB384" s="1609"/>
      <c r="BC384" s="1958"/>
      <c r="BD384" s="967" t="s">
        <v>379</v>
      </c>
      <c r="BE384" s="908"/>
      <c r="BF384" s="1794"/>
      <c r="BG384" s="1794" t="s">
        <v>379</v>
      </c>
      <c r="BH384" s="1794"/>
      <c r="BI384" s="1556"/>
      <c r="BJ384" s="1874" t="s">
        <v>350</v>
      </c>
      <c r="BK384" s="1778"/>
      <c r="BL384" s="1576"/>
      <c r="BM384" s="1169" t="s">
        <v>371</v>
      </c>
      <c r="BN384" s="1630"/>
      <c r="BO384" s="1580"/>
      <c r="BP384" s="1108"/>
      <c r="BQ384" s="1109"/>
      <c r="BR384" s="1614"/>
      <c r="BS384" s="1754"/>
      <c r="BT384" s="2869"/>
      <c r="BU384" s="1783"/>
      <c r="BV384" s="1580"/>
      <c r="BW384" s="1108"/>
      <c r="BX384" s="1109"/>
      <c r="BY384" s="1614"/>
      <c r="BZ384" s="1756"/>
      <c r="CA384" s="1757"/>
      <c r="CB384" s="1784"/>
      <c r="CC384" s="1758"/>
      <c r="CD384" s="2868"/>
      <c r="CE384" s="1785"/>
    </row>
    <row r="385" spans="1:83" ht="17.850000000000001" customHeight="1" x14ac:dyDescent="0.4">
      <c r="A385" s="249"/>
      <c r="B385" s="249"/>
      <c r="C385" s="584" t="s">
        <v>307</v>
      </c>
      <c r="D385" s="1948"/>
      <c r="E385" s="1949"/>
      <c r="F385" s="1950"/>
      <c r="G385" s="1948"/>
      <c r="H385" s="1949"/>
      <c r="I385" s="1951"/>
      <c r="J385" s="1948"/>
      <c r="K385" s="1950"/>
      <c r="L385" s="1951"/>
      <c r="M385" s="2807"/>
      <c r="N385" s="1986"/>
      <c r="O385" s="2808"/>
      <c r="P385" s="1948"/>
      <c r="Q385" s="1950"/>
      <c r="R385" s="1951"/>
      <c r="S385" s="2807"/>
      <c r="T385" s="2807"/>
      <c r="U385" s="2808"/>
      <c r="V385" s="1954"/>
      <c r="W385" s="1948"/>
      <c r="X385" s="1954"/>
      <c r="Y385" s="2807"/>
      <c r="Z385" s="1986"/>
      <c r="AA385" s="2808"/>
      <c r="AB385" s="2808"/>
      <c r="AC385" s="2808"/>
      <c r="AD385" s="2808"/>
      <c r="AE385" s="1157"/>
      <c r="AF385" s="1385" t="s">
        <v>334</v>
      </c>
      <c r="AG385" s="1157"/>
      <c r="AH385" s="1164"/>
      <c r="AI385" s="1139" t="s">
        <v>366</v>
      </c>
      <c r="AJ385" s="1165"/>
      <c r="AK385" s="1285"/>
      <c r="AL385" s="1879"/>
      <c r="AM385" s="1969"/>
      <c r="AN385" s="1273"/>
      <c r="AO385" s="1564"/>
      <c r="AP385" s="1438"/>
      <c r="AQ385" s="1813"/>
      <c r="AR385" s="778"/>
      <c r="AS385" s="778"/>
      <c r="AT385" s="1452"/>
      <c r="AU385" s="1665"/>
      <c r="AV385" s="1873"/>
      <c r="AW385" s="1894"/>
      <c r="AX385" s="1895"/>
      <c r="AY385" s="783"/>
      <c r="AZ385" s="1289"/>
      <c r="BA385" s="1280"/>
      <c r="BB385" s="1644"/>
      <c r="BC385" s="1958"/>
      <c r="BD385" s="970"/>
      <c r="BE385" s="908"/>
      <c r="BF385" s="1862"/>
      <c r="BG385" s="1859" t="s">
        <v>443</v>
      </c>
      <c r="BH385" s="2015"/>
      <c r="BI385" s="1542"/>
      <c r="BJ385" s="2016"/>
      <c r="BK385" s="2017"/>
      <c r="BL385" s="1168"/>
      <c r="BM385" s="1562"/>
      <c r="BN385" s="1630"/>
      <c r="BO385" s="1107"/>
      <c r="BP385" s="1107"/>
      <c r="BQ385" s="1108"/>
      <c r="BR385" s="1614"/>
      <c r="BS385" s="182"/>
      <c r="BT385" s="2869"/>
      <c r="BU385" s="1783"/>
      <c r="BV385" s="1107"/>
      <c r="BW385" s="1107"/>
      <c r="BX385" s="1108"/>
      <c r="BY385" s="1614"/>
      <c r="BZ385" s="183"/>
      <c r="CA385" s="1756"/>
      <c r="CB385" s="1784"/>
      <c r="CC385" s="184"/>
      <c r="CD385" s="2868"/>
      <c r="CE385" s="1785"/>
    </row>
    <row r="386" spans="1:83" ht="26.25" customHeight="1" x14ac:dyDescent="0.4">
      <c r="A386" s="249"/>
      <c r="B386" s="249"/>
      <c r="C386" s="584" t="s">
        <v>307</v>
      </c>
      <c r="D386" s="1948"/>
      <c r="E386" s="1949"/>
      <c r="F386" s="1950"/>
      <c r="G386" s="1948"/>
      <c r="H386" s="1949"/>
      <c r="I386" s="1951"/>
      <c r="J386" s="1948"/>
      <c r="K386" s="1950"/>
      <c r="L386" s="1951"/>
      <c r="M386" s="2807"/>
      <c r="N386" s="1986"/>
      <c r="O386" s="2808"/>
      <c r="P386" s="1948"/>
      <c r="Q386" s="1950"/>
      <c r="R386" s="1951"/>
      <c r="S386" s="2807"/>
      <c r="T386" s="2807"/>
      <c r="U386" s="2808"/>
      <c r="V386" s="1954"/>
      <c r="W386" s="1948"/>
      <c r="X386" s="1954"/>
      <c r="Y386" s="2807"/>
      <c r="Z386" s="1986"/>
      <c r="AA386" s="2808"/>
      <c r="AB386" s="2808"/>
      <c r="AC386" s="2808"/>
      <c r="AD386" s="2808"/>
      <c r="AE386" s="1385"/>
      <c r="AF386" s="1385"/>
      <c r="AG386" s="1385"/>
      <c r="AH386" s="793"/>
      <c r="AI386" s="793" t="s">
        <v>336</v>
      </c>
      <c r="AJ386" s="1430"/>
      <c r="AK386" s="1285"/>
      <c r="AL386" s="1879"/>
      <c r="AM386" s="1969"/>
      <c r="AN386" s="1273"/>
      <c r="AO386" s="1564"/>
      <c r="AP386" s="1438"/>
      <c r="AQ386" s="1813"/>
      <c r="AR386" s="778"/>
      <c r="AS386" s="778"/>
      <c r="AT386" s="1452"/>
      <c r="AU386" s="1665"/>
      <c r="AV386" s="1873"/>
      <c r="AW386" s="1894"/>
      <c r="AX386" s="1895"/>
      <c r="AY386" s="783"/>
      <c r="AZ386" s="1289"/>
      <c r="BA386" s="1280"/>
      <c r="BB386" s="1644"/>
      <c r="BC386" s="687"/>
      <c r="BD386" s="970"/>
      <c r="BE386" s="687"/>
      <c r="BF386" s="1862"/>
      <c r="BG386" s="1859" t="s">
        <v>351</v>
      </c>
      <c r="BH386" s="2015"/>
      <c r="BI386" s="1542"/>
      <c r="BJ386" s="2016"/>
      <c r="BK386" s="2017"/>
      <c r="BL386" s="1168"/>
      <c r="BM386" s="2018"/>
      <c r="BN386" s="1630"/>
      <c r="BO386" s="1107"/>
      <c r="BP386" s="1622"/>
      <c r="BQ386" s="1107"/>
      <c r="BR386" s="1992"/>
      <c r="BS386" s="1733"/>
      <c r="BT386" s="2869"/>
      <c r="BU386" s="1993"/>
      <c r="BV386" s="1107"/>
      <c r="BW386" s="1622"/>
      <c r="BX386" s="1107"/>
      <c r="BY386" s="1992"/>
      <c r="BZ386" s="1736"/>
      <c r="CA386" s="183"/>
      <c r="CB386" s="1994"/>
      <c r="CC386" s="1739"/>
      <c r="CD386" s="2868"/>
      <c r="CE386" s="1995"/>
    </row>
    <row r="387" spans="1:83" ht="14.25" customHeight="1" x14ac:dyDescent="0.4">
      <c r="A387" s="249"/>
      <c r="B387" s="249"/>
      <c r="C387" s="584" t="s">
        <v>307</v>
      </c>
      <c r="D387" s="1948"/>
      <c r="E387" s="1949"/>
      <c r="F387" s="1950"/>
      <c r="G387" s="1948"/>
      <c r="H387" s="1949"/>
      <c r="I387" s="1951"/>
      <c r="J387" s="1948"/>
      <c r="K387" s="1950"/>
      <c r="L387" s="1951"/>
      <c r="M387" s="2807"/>
      <c r="N387" s="1986"/>
      <c r="O387" s="2808"/>
      <c r="P387" s="1948"/>
      <c r="Q387" s="1950"/>
      <c r="R387" s="1951"/>
      <c r="S387" s="2807"/>
      <c r="T387" s="2807"/>
      <c r="U387" s="2808"/>
      <c r="V387" s="1954"/>
      <c r="W387" s="1948"/>
      <c r="X387" s="1954"/>
      <c r="Y387" s="2807"/>
      <c r="Z387" s="1986"/>
      <c r="AA387" s="2808"/>
      <c r="AB387" s="2808"/>
      <c r="AC387" s="2808"/>
      <c r="AD387" s="2808"/>
      <c r="AE387" s="1385"/>
      <c r="AF387" s="1385"/>
      <c r="AG387" s="1624"/>
      <c r="AH387" s="1160"/>
      <c r="AI387" s="1160"/>
      <c r="AJ387" s="1256"/>
      <c r="AK387" s="1285"/>
      <c r="AL387" s="1879"/>
      <c r="AM387" s="1969"/>
      <c r="AN387" s="1273"/>
      <c r="AO387" s="1564"/>
      <c r="AP387" s="1438"/>
      <c r="AQ387" s="1813"/>
      <c r="AR387" s="778"/>
      <c r="AS387" s="778"/>
      <c r="AT387" s="1452"/>
      <c r="AU387" s="1665"/>
      <c r="AV387" s="1873"/>
      <c r="AW387" s="1894"/>
      <c r="AX387" s="1895"/>
      <c r="AY387" s="783"/>
      <c r="AZ387" s="1868"/>
      <c r="BA387" s="1802"/>
      <c r="BB387" s="1644"/>
      <c r="BC387" s="687"/>
      <c r="BD387" s="970"/>
      <c r="BE387" s="908"/>
      <c r="BF387" s="1862"/>
      <c r="BG387" s="1859"/>
      <c r="BH387" s="2015"/>
      <c r="BI387" s="1542"/>
      <c r="BJ387" s="2016"/>
      <c r="BK387" s="2017"/>
      <c r="BL387" s="1168"/>
      <c r="BM387" s="2018"/>
      <c r="BN387" s="1630"/>
      <c r="BO387" s="1107"/>
      <c r="BP387" s="1622"/>
      <c r="BQ387" s="1107"/>
      <c r="BR387" s="1992"/>
      <c r="BS387" s="1733"/>
      <c r="BT387" s="2869"/>
      <c r="BU387" s="1993"/>
      <c r="BV387" s="1107"/>
      <c r="BW387" s="1622"/>
      <c r="BX387" s="1107"/>
      <c r="BY387" s="1992"/>
      <c r="BZ387" s="1736"/>
      <c r="CA387" s="183"/>
      <c r="CB387" s="1994"/>
      <c r="CC387" s="1739"/>
      <c r="CD387" s="2868"/>
      <c r="CE387" s="1995"/>
    </row>
    <row r="388" spans="1:83" ht="30" customHeight="1" x14ac:dyDescent="0.4">
      <c r="A388" s="249"/>
      <c r="B388" s="249"/>
      <c r="C388" s="584">
        <v>0.74305555555555403</v>
      </c>
      <c r="D388" s="1948"/>
      <c r="E388" s="1949"/>
      <c r="F388" s="1950"/>
      <c r="G388" s="1948"/>
      <c r="H388" s="1949"/>
      <c r="I388" s="1951"/>
      <c r="J388" s="1948"/>
      <c r="K388" s="1950"/>
      <c r="L388" s="1951"/>
      <c r="M388" s="1948"/>
      <c r="N388" s="1962"/>
      <c r="O388" s="1948"/>
      <c r="P388" s="1948"/>
      <c r="Q388" s="1950"/>
      <c r="R388" s="1951"/>
      <c r="S388" s="1954"/>
      <c r="T388" s="1948"/>
      <c r="U388" s="1948"/>
      <c r="V388" s="1954"/>
      <c r="W388" s="1948"/>
      <c r="X388" s="1954"/>
      <c r="Y388" s="1948"/>
      <c r="Z388" s="1962"/>
      <c r="AA388" s="1948"/>
      <c r="AB388" s="1948"/>
      <c r="AC388" s="1948"/>
      <c r="AD388" s="1948"/>
      <c r="AE388" s="1385"/>
      <c r="AF388" s="1385"/>
      <c r="AG388" s="1385"/>
      <c r="AH388" s="1160"/>
      <c r="AI388" s="1160"/>
      <c r="AJ388" s="1256"/>
      <c r="AK388" s="1285"/>
      <c r="AL388" s="2553" t="s">
        <v>470</v>
      </c>
      <c r="AM388" s="1969"/>
      <c r="AN388" s="1273"/>
      <c r="AO388" s="1564"/>
      <c r="AP388" s="1438"/>
      <c r="AQ388" s="778"/>
      <c r="AR388" s="778"/>
      <c r="AS388" s="1640"/>
      <c r="AT388" s="1394"/>
      <c r="AU388" s="1665"/>
      <c r="AV388" s="1460"/>
      <c r="AW388" s="684"/>
      <c r="AX388" s="1895"/>
      <c r="AY388" s="738"/>
      <c r="AZ388" s="1802"/>
      <c r="BA388" s="1802"/>
      <c r="BB388" s="1802"/>
      <c r="BC388" s="687"/>
      <c r="BD388" s="970"/>
      <c r="BE388" s="687"/>
      <c r="BF388" s="2019"/>
      <c r="BG388" s="2020"/>
      <c r="BH388" s="1794"/>
      <c r="BI388" s="2021"/>
      <c r="BJ388" s="2016"/>
      <c r="BK388" s="1587"/>
      <c r="BL388" s="1168"/>
      <c r="BM388" s="2018"/>
      <c r="BN388" s="1168"/>
      <c r="BO388" s="1577"/>
      <c r="BP388" s="1577"/>
      <c r="BQ388" s="1107"/>
      <c r="BR388" s="1992"/>
      <c r="BS388" s="2007"/>
      <c r="BT388" s="2869"/>
      <c r="BU388" s="1993"/>
      <c r="BV388" s="1577"/>
      <c r="BW388" s="1577"/>
      <c r="BX388" s="1107"/>
      <c r="BY388" s="1992"/>
      <c r="BZ388" s="2008"/>
      <c r="CA388" s="183"/>
      <c r="CB388" s="1994"/>
      <c r="CC388" s="2009"/>
      <c r="CD388" s="2868"/>
      <c r="CE388" s="1995"/>
    </row>
    <row r="389" spans="1:83" ht="14.25" customHeight="1" x14ac:dyDescent="0.4">
      <c r="A389" s="249"/>
      <c r="B389" s="249"/>
      <c r="C389" s="584" t="s">
        <v>307</v>
      </c>
      <c r="D389" s="1948"/>
      <c r="E389" s="1949"/>
      <c r="F389" s="1950"/>
      <c r="G389" s="1948"/>
      <c r="H389" s="1949"/>
      <c r="I389" s="1951"/>
      <c r="J389" s="1948"/>
      <c r="K389" s="1950"/>
      <c r="L389" s="1951"/>
      <c r="M389" s="1948"/>
      <c r="N389" s="1962"/>
      <c r="O389" s="1948"/>
      <c r="P389" s="1948"/>
      <c r="Q389" s="1950"/>
      <c r="R389" s="1951"/>
      <c r="S389" s="1954"/>
      <c r="T389" s="1948"/>
      <c r="U389" s="1948"/>
      <c r="V389" s="1954"/>
      <c r="W389" s="1948"/>
      <c r="X389" s="1954"/>
      <c r="Y389" s="1948"/>
      <c r="Z389" s="1962"/>
      <c r="AA389" s="1948"/>
      <c r="AB389" s="1948"/>
      <c r="AC389" s="1948"/>
      <c r="AD389" s="1948"/>
      <c r="AE389" s="1385"/>
      <c r="AF389" s="1385"/>
      <c r="AG389" s="1624"/>
      <c r="AH389" s="1160"/>
      <c r="AI389" s="1160"/>
      <c r="AJ389" s="1256"/>
      <c r="AK389" s="1285"/>
      <c r="AL389" s="1879"/>
      <c r="AM389" s="1969"/>
      <c r="AN389" s="1273"/>
      <c r="AO389" s="1564"/>
      <c r="AP389" s="1438"/>
      <c r="AQ389" s="778"/>
      <c r="AR389" s="778"/>
      <c r="AS389" s="1640"/>
      <c r="AT389" s="1394"/>
      <c r="AU389" s="1665"/>
      <c r="AV389" s="1460"/>
      <c r="AW389" s="684"/>
      <c r="AX389" s="1895"/>
      <c r="AY389" s="738"/>
      <c r="AZ389" s="1802"/>
      <c r="BA389" s="1802"/>
      <c r="BB389" s="1802"/>
      <c r="BC389" s="687"/>
      <c r="BD389" s="970"/>
      <c r="BE389" s="908"/>
      <c r="BF389" s="2019"/>
      <c r="BG389" s="2020"/>
      <c r="BH389" s="2022"/>
      <c r="BI389" s="2021"/>
      <c r="BJ389" s="2023"/>
      <c r="BK389" s="1587"/>
      <c r="BL389" s="1168"/>
      <c r="BM389" s="2018"/>
      <c r="BN389" s="1630"/>
      <c r="BO389" s="1577"/>
      <c r="BP389" s="1577"/>
      <c r="BQ389" s="1107"/>
      <c r="BR389" s="1992"/>
      <c r="BS389" s="2007"/>
      <c r="BT389" s="2869"/>
      <c r="BU389" s="1993"/>
      <c r="BV389" s="1577"/>
      <c r="BW389" s="1577"/>
      <c r="BX389" s="1107"/>
      <c r="BY389" s="1992"/>
      <c r="BZ389" s="2008"/>
      <c r="CA389" s="183"/>
      <c r="CB389" s="1994"/>
      <c r="CC389" s="2009"/>
      <c r="CD389" s="2868"/>
      <c r="CE389" s="1995"/>
    </row>
    <row r="390" spans="1:83" ht="21.6" customHeight="1" x14ac:dyDescent="0.4">
      <c r="A390" s="249"/>
      <c r="B390" s="249"/>
      <c r="C390" s="802">
        <v>0.74652777777777601</v>
      </c>
      <c r="D390" s="2024"/>
      <c r="E390" s="2025"/>
      <c r="F390" s="2026"/>
      <c r="G390" s="2024"/>
      <c r="H390" s="2025"/>
      <c r="I390" s="1951"/>
      <c r="J390" s="2024"/>
      <c r="K390" s="2026"/>
      <c r="L390" s="1951"/>
      <c r="M390" s="2024"/>
      <c r="N390" s="2028"/>
      <c r="O390" s="2024"/>
      <c r="P390" s="2024"/>
      <c r="Q390" s="2026"/>
      <c r="R390" s="1951"/>
      <c r="S390" s="2027"/>
      <c r="T390" s="2024"/>
      <c r="U390" s="2024"/>
      <c r="V390" s="2027"/>
      <c r="W390" s="2024"/>
      <c r="X390" s="1954"/>
      <c r="Y390" s="2024"/>
      <c r="Z390" s="2028"/>
      <c r="AA390" s="2024"/>
      <c r="AB390" s="2024"/>
      <c r="AC390" s="2024"/>
      <c r="AD390" s="2024"/>
      <c r="AE390" s="1686"/>
      <c r="AF390" s="1686"/>
      <c r="AG390" s="1918"/>
      <c r="AH390" s="1687"/>
      <c r="AI390" s="1687"/>
      <c r="AJ390" s="1919"/>
      <c r="AK390" s="1688"/>
      <c r="AL390" s="1921"/>
      <c r="AM390" s="2029"/>
      <c r="AN390" s="1500"/>
      <c r="AO390" s="1498"/>
      <c r="AP390" s="1923"/>
      <c r="AQ390" s="1692"/>
      <c r="AR390" s="1692"/>
      <c r="AS390" s="2030"/>
      <c r="AT390" s="1505"/>
      <c r="AU390" s="1926"/>
      <c r="AV390" s="2031"/>
      <c r="AW390" s="2032"/>
      <c r="AX390" s="1928"/>
      <c r="AY390" s="1020"/>
      <c r="AZ390" s="1837"/>
      <c r="BA390" s="1837"/>
      <c r="BB390" s="1931"/>
      <c r="BC390" s="1932"/>
      <c r="BD390" s="1933"/>
      <c r="BE390" s="1021"/>
      <c r="BF390" s="2033"/>
      <c r="BG390" s="2034"/>
      <c r="BH390" s="2035"/>
      <c r="BI390" s="2021"/>
      <c r="BJ390" s="2023"/>
      <c r="BK390" s="1587"/>
      <c r="BL390" s="2036"/>
      <c r="BM390" s="2037" t="s">
        <v>511</v>
      </c>
      <c r="BN390" s="2038"/>
      <c r="BO390" s="2039"/>
      <c r="BP390" s="2039"/>
      <c r="BQ390" s="1702"/>
      <c r="BR390" s="2040"/>
      <c r="BS390" s="2041"/>
      <c r="BT390" s="2869"/>
      <c r="BU390" s="2042"/>
      <c r="BV390" s="2039"/>
      <c r="BW390" s="2039"/>
      <c r="BX390" s="1702"/>
      <c r="BY390" s="2040"/>
      <c r="BZ390" s="2043"/>
      <c r="CA390" s="245"/>
      <c r="CB390" s="2044"/>
      <c r="CC390" s="2045"/>
      <c r="CD390" s="2868"/>
      <c r="CE390" s="2046"/>
    </row>
    <row r="391" spans="1:83" ht="26.1" customHeight="1" x14ac:dyDescent="0.4">
      <c r="A391" s="249"/>
      <c r="B391" s="249"/>
      <c r="C391" s="578">
        <v>0.749999999999999</v>
      </c>
      <c r="D391" s="1962"/>
      <c r="E391" s="1963"/>
      <c r="F391" s="1964"/>
      <c r="G391" s="1962"/>
      <c r="H391" s="1963"/>
      <c r="I391" s="2047"/>
      <c r="J391" s="1962"/>
      <c r="K391" s="1964"/>
      <c r="L391" s="2047"/>
      <c r="M391" s="1962"/>
      <c r="N391" s="1962"/>
      <c r="O391" s="1962"/>
      <c r="P391" s="1962"/>
      <c r="Q391" s="1964"/>
      <c r="R391" s="2047"/>
      <c r="S391" s="1966"/>
      <c r="T391" s="1962"/>
      <c r="U391" s="1962"/>
      <c r="V391" s="1966"/>
      <c r="W391" s="1962"/>
      <c r="X391" s="2048"/>
      <c r="Y391" s="1962"/>
      <c r="Z391" s="1962"/>
      <c r="AA391" s="1962"/>
      <c r="AB391" s="1962"/>
      <c r="AC391" s="1962"/>
      <c r="AD391" s="1962"/>
      <c r="AE391" s="1157"/>
      <c r="AF391" s="2049" t="s">
        <v>512</v>
      </c>
      <c r="AG391" s="2050"/>
      <c r="AH391" s="1645"/>
      <c r="AI391" s="2051" t="s">
        <v>513</v>
      </c>
      <c r="AJ391" s="1256"/>
      <c r="AK391" s="1285"/>
      <c r="AL391" s="1723" t="s">
        <v>514</v>
      </c>
      <c r="AM391" s="1969"/>
      <c r="AN391" s="1273"/>
      <c r="AO391" s="2821" t="s">
        <v>515</v>
      </c>
      <c r="AP391" s="1603"/>
      <c r="AQ391" s="1799"/>
      <c r="AR391" s="1331" t="s">
        <v>516</v>
      </c>
      <c r="AS391" s="1640"/>
      <c r="AT391" s="1452"/>
      <c r="AU391" s="1331" t="s">
        <v>517</v>
      </c>
      <c r="AV391" s="1873"/>
      <c r="AW391" s="2052"/>
      <c r="AX391" s="1536" t="s">
        <v>518</v>
      </c>
      <c r="AY391" s="1022"/>
      <c r="AZ391" s="1802"/>
      <c r="BA391" s="1331" t="s">
        <v>519</v>
      </c>
      <c r="BB391" s="1825"/>
      <c r="BC391" s="687"/>
      <c r="BD391" s="967" t="s">
        <v>379</v>
      </c>
      <c r="BE391" s="967"/>
      <c r="BF391" s="1794"/>
      <c r="BG391" s="1794" t="s">
        <v>379</v>
      </c>
      <c r="BH391" s="1794"/>
      <c r="BI391" s="2053"/>
      <c r="BJ391" s="2054" t="s">
        <v>350</v>
      </c>
      <c r="BK391" s="2055"/>
      <c r="BL391" s="1576"/>
      <c r="BM391" s="1169" t="s">
        <v>371</v>
      </c>
      <c r="BN391" s="1630"/>
      <c r="BO391" s="1107"/>
      <c r="BP391" s="1107"/>
      <c r="BQ391" s="2056"/>
      <c r="BR391" s="1107"/>
      <c r="BS391" s="182"/>
      <c r="BT391" s="2869"/>
      <c r="BU391" s="182"/>
      <c r="BV391" s="1107"/>
      <c r="BW391" s="1107"/>
      <c r="BX391" s="2056"/>
      <c r="BY391" s="1107"/>
      <c r="BZ391" s="183"/>
      <c r="CA391" s="183"/>
      <c r="CB391" s="183"/>
      <c r="CC391" s="184"/>
      <c r="CD391" s="2868"/>
      <c r="CE391" s="184"/>
    </row>
    <row r="392" spans="1:83" ht="22.35" customHeight="1" x14ac:dyDescent="0.4">
      <c r="A392" s="249"/>
      <c r="B392" s="249"/>
      <c r="C392" s="584" t="s">
        <v>307</v>
      </c>
      <c r="D392" s="1962"/>
      <c r="E392" s="1963"/>
      <c r="F392" s="1964"/>
      <c r="G392" s="1962"/>
      <c r="H392" s="1963"/>
      <c r="I392" s="1965"/>
      <c r="J392" s="1962"/>
      <c r="K392" s="1964"/>
      <c r="L392" s="1965"/>
      <c r="M392" s="1962"/>
      <c r="N392" s="1962"/>
      <c r="O392" s="1962"/>
      <c r="P392" s="1962"/>
      <c r="Q392" s="1964"/>
      <c r="R392" s="1965"/>
      <c r="S392" s="1966"/>
      <c r="T392" s="1962"/>
      <c r="U392" s="1962"/>
      <c r="V392" s="1966"/>
      <c r="W392" s="1962"/>
      <c r="X392" s="1966"/>
      <c r="Y392" s="1962"/>
      <c r="Z392" s="1962"/>
      <c r="AA392" s="1962"/>
      <c r="AB392" s="1962"/>
      <c r="AC392" s="1962"/>
      <c r="AD392" s="1962"/>
      <c r="AE392" s="1385"/>
      <c r="AF392" s="1385" t="s">
        <v>332</v>
      </c>
      <c r="AG392" s="1408"/>
      <c r="AH392" s="1159"/>
      <c r="AI392" s="1160" t="s">
        <v>331</v>
      </c>
      <c r="AJ392" s="1160"/>
      <c r="AK392" s="1285"/>
      <c r="AL392" s="1879"/>
      <c r="AM392" s="1969"/>
      <c r="AN392" s="1273"/>
      <c r="AO392" s="2057"/>
      <c r="AP392" s="1603"/>
      <c r="AQ392" s="1813"/>
      <c r="AR392" s="1886"/>
      <c r="AS392" s="778"/>
      <c r="AT392" s="1452"/>
      <c r="AU392" s="1723" t="s">
        <v>520</v>
      </c>
      <c r="AV392" s="1873"/>
      <c r="AW392" s="684"/>
      <c r="AX392" s="684"/>
      <c r="AY392" s="1857"/>
      <c r="AZ392" s="1802"/>
      <c r="BA392" s="1723" t="s">
        <v>521</v>
      </c>
      <c r="BB392" s="1644"/>
      <c r="BC392" s="1958"/>
      <c r="BD392" s="967"/>
      <c r="BE392" s="965"/>
      <c r="BF392" s="1862"/>
      <c r="BG392" s="1859" t="s">
        <v>522</v>
      </c>
      <c r="BH392" s="2015"/>
      <c r="BI392" s="1556"/>
      <c r="BJ392" s="1874"/>
      <c r="BK392" s="1556"/>
      <c r="BL392" s="1576"/>
      <c r="BM392" s="1562"/>
      <c r="BN392" s="1630"/>
      <c r="BO392" s="1107"/>
      <c r="BP392" s="1107"/>
      <c r="BQ392" s="2058"/>
      <c r="BR392" s="1614"/>
      <c r="BS392" s="182"/>
      <c r="BT392" s="2869"/>
      <c r="BU392" s="1783"/>
      <c r="BV392" s="1107"/>
      <c r="BW392" s="1107"/>
      <c r="BX392" s="2058"/>
      <c r="BY392" s="1614"/>
      <c r="BZ392" s="183"/>
      <c r="CA392" s="2059"/>
      <c r="CB392" s="1784"/>
      <c r="CC392" s="184"/>
      <c r="CD392" s="2868"/>
      <c r="CE392" s="1785"/>
    </row>
    <row r="393" spans="1:83" ht="22.35" customHeight="1" x14ac:dyDescent="0.4">
      <c r="A393" s="249"/>
      <c r="B393" s="249"/>
      <c r="C393" s="584" t="s">
        <v>307</v>
      </c>
      <c r="D393" s="1962"/>
      <c r="E393" s="1963"/>
      <c r="F393" s="1964"/>
      <c r="G393" s="1962"/>
      <c r="H393" s="1963"/>
      <c r="I393" s="1965"/>
      <c r="J393" s="1962"/>
      <c r="K393" s="1964"/>
      <c r="L393" s="1965"/>
      <c r="M393" s="1962"/>
      <c r="N393" s="1962"/>
      <c r="O393" s="1962"/>
      <c r="P393" s="1962"/>
      <c r="Q393" s="1964"/>
      <c r="R393" s="1965"/>
      <c r="S393" s="1966"/>
      <c r="T393" s="1962"/>
      <c r="U393" s="1962"/>
      <c r="V393" s="1966"/>
      <c r="W393" s="1962"/>
      <c r="X393" s="1966"/>
      <c r="Y393" s="1962"/>
      <c r="Z393" s="1962"/>
      <c r="AA393" s="1962"/>
      <c r="AB393" s="1962"/>
      <c r="AC393" s="1962"/>
      <c r="AD393" s="1962"/>
      <c r="AE393" s="1157"/>
      <c r="AF393" s="1385" t="s">
        <v>334</v>
      </c>
      <c r="AG393" s="1157"/>
      <c r="AH393" s="1164"/>
      <c r="AI393" s="1139" t="s">
        <v>366</v>
      </c>
      <c r="AJ393" s="1165"/>
      <c r="AK393" s="1285"/>
      <c r="AL393" s="1879"/>
      <c r="AM393" s="1969"/>
      <c r="AN393" s="1273"/>
      <c r="AO393" s="2057"/>
      <c r="AP393" s="1603"/>
      <c r="AQ393" s="1813"/>
      <c r="AR393" s="1886"/>
      <c r="AS393" s="778"/>
      <c r="AT393" s="1452"/>
      <c r="AU393" s="1394"/>
      <c r="AV393" s="1873"/>
      <c r="AW393" s="684"/>
      <c r="AX393" s="684"/>
      <c r="AY393" s="1857"/>
      <c r="AZ393" s="1802"/>
      <c r="BA393" s="1331" t="s">
        <v>523</v>
      </c>
      <c r="BB393" s="1644"/>
      <c r="BC393" s="1958"/>
      <c r="BD393" s="967"/>
      <c r="BE393" s="965"/>
      <c r="BF393" s="1862"/>
      <c r="BG393" s="1859" t="s">
        <v>351</v>
      </c>
      <c r="BH393" s="2015"/>
      <c r="BI393" s="1556"/>
      <c r="BJ393" s="1870"/>
      <c r="BK393" s="1789"/>
      <c r="BL393" s="1168"/>
      <c r="BM393" s="1428"/>
      <c r="BN393" s="1960"/>
      <c r="BO393" s="1107"/>
      <c r="BP393" s="1622"/>
      <c r="BQ393" s="1107"/>
      <c r="BR393" s="1614"/>
      <c r="BS393" s="1733"/>
      <c r="BT393" s="2869"/>
      <c r="BU393" s="1783"/>
      <c r="BV393" s="1107"/>
      <c r="BW393" s="1622"/>
      <c r="BX393" s="1107"/>
      <c r="BY393" s="1614"/>
      <c r="BZ393" s="1736"/>
      <c r="CA393" s="183"/>
      <c r="CB393" s="1784"/>
      <c r="CC393" s="1739"/>
      <c r="CD393" s="2868"/>
      <c r="CE393" s="1785"/>
    </row>
    <row r="394" spans="1:83" ht="13.5" customHeight="1" x14ac:dyDescent="0.4">
      <c r="A394" s="249"/>
      <c r="B394" s="249"/>
      <c r="C394" s="584" t="s">
        <v>307</v>
      </c>
      <c r="D394" s="1962"/>
      <c r="E394" s="1963"/>
      <c r="F394" s="1964"/>
      <c r="G394" s="1962"/>
      <c r="H394" s="1963"/>
      <c r="I394" s="1965"/>
      <c r="J394" s="1962"/>
      <c r="K394" s="1964"/>
      <c r="L394" s="1965"/>
      <c r="M394" s="1962"/>
      <c r="N394" s="1962"/>
      <c r="O394" s="1962"/>
      <c r="P394" s="1962"/>
      <c r="Q394" s="1964"/>
      <c r="R394" s="1965"/>
      <c r="S394" s="1966"/>
      <c r="T394" s="1962"/>
      <c r="U394" s="1962"/>
      <c r="V394" s="1966"/>
      <c r="W394" s="1962"/>
      <c r="X394" s="1966"/>
      <c r="Y394" s="1962"/>
      <c r="Z394" s="1962"/>
      <c r="AA394" s="1962"/>
      <c r="AB394" s="1962"/>
      <c r="AC394" s="1962"/>
      <c r="AD394" s="1962"/>
      <c r="AE394" s="1385"/>
      <c r="AF394" s="1385"/>
      <c r="AG394" s="1408"/>
      <c r="AH394" s="1159"/>
      <c r="AI394" s="1139" t="s">
        <v>350</v>
      </c>
      <c r="AJ394" s="1160"/>
      <c r="AK394" s="1285"/>
      <c r="AL394" s="1879"/>
      <c r="AM394" s="1969"/>
      <c r="AN394" s="1273"/>
      <c r="AO394" s="1273"/>
      <c r="AP394" s="1273"/>
      <c r="AQ394" s="778"/>
      <c r="AR394" s="778"/>
      <c r="AS394" s="1887"/>
      <c r="AT394" s="1452"/>
      <c r="AU394" s="1394"/>
      <c r="AV394" s="1873"/>
      <c r="AW394" s="684"/>
      <c r="AX394" s="684"/>
      <c r="AY394" s="1857"/>
      <c r="AZ394" s="1802"/>
      <c r="BA394" s="1802"/>
      <c r="BB394" s="1644"/>
      <c r="BC394" s="1958"/>
      <c r="BD394" s="967"/>
      <c r="BE394" s="965"/>
      <c r="BF394" s="1794"/>
      <c r="BG394" s="1978"/>
      <c r="BH394" s="1401"/>
      <c r="BI394" s="1556"/>
      <c r="BJ394" s="1870"/>
      <c r="BK394" s="1778"/>
      <c r="BL394" s="1576"/>
      <c r="BM394" s="1428"/>
      <c r="BN394" s="1960"/>
      <c r="BO394" s="1107"/>
      <c r="BP394" s="1107"/>
      <c r="BQ394" s="1107"/>
      <c r="BR394" s="1614"/>
      <c r="BS394" s="182"/>
      <c r="BT394" s="2869"/>
      <c r="BU394" s="1783"/>
      <c r="BV394" s="1107"/>
      <c r="BW394" s="1107"/>
      <c r="BX394" s="1107"/>
      <c r="BY394" s="1614"/>
      <c r="BZ394" s="183"/>
      <c r="CA394" s="183"/>
      <c r="CB394" s="1784"/>
      <c r="CC394" s="184"/>
      <c r="CD394" s="2868"/>
      <c r="CE394" s="1785"/>
    </row>
    <row r="395" spans="1:83" ht="17.100000000000001" customHeight="1" x14ac:dyDescent="0.4">
      <c r="A395" s="249"/>
      <c r="B395" s="249"/>
      <c r="C395" s="584" t="s">
        <v>307</v>
      </c>
      <c r="D395" s="1962"/>
      <c r="E395" s="1963"/>
      <c r="F395" s="1964"/>
      <c r="G395" s="1962"/>
      <c r="H395" s="1963"/>
      <c r="I395" s="1965"/>
      <c r="J395" s="1962"/>
      <c r="K395" s="1964"/>
      <c r="L395" s="1965"/>
      <c r="M395" s="1962"/>
      <c r="N395" s="1962"/>
      <c r="O395" s="1962"/>
      <c r="P395" s="1962"/>
      <c r="Q395" s="1964"/>
      <c r="R395" s="1965"/>
      <c r="S395" s="1966"/>
      <c r="T395" s="1962"/>
      <c r="U395" s="1962"/>
      <c r="V395" s="1966"/>
      <c r="W395" s="1962"/>
      <c r="X395" s="1966"/>
      <c r="Y395" s="1962"/>
      <c r="Z395" s="1962"/>
      <c r="AA395" s="1962"/>
      <c r="AB395" s="1962"/>
      <c r="AC395" s="1962"/>
      <c r="AD395" s="1962"/>
      <c r="AE395" s="1157"/>
      <c r="AF395" s="1429"/>
      <c r="AG395" s="1157"/>
      <c r="AH395" s="1164"/>
      <c r="AI395" s="1139" t="s">
        <v>353</v>
      </c>
      <c r="AJ395" s="1165"/>
      <c r="AK395" s="1285"/>
      <c r="AL395" s="1879"/>
      <c r="AM395" s="1969"/>
      <c r="AN395" s="1619"/>
      <c r="AO395" s="1619"/>
      <c r="AP395" s="2060"/>
      <c r="AQ395" s="1799"/>
      <c r="AR395" s="1886"/>
      <c r="AS395" s="1887"/>
      <c r="AT395" s="1452"/>
      <c r="AU395" s="1394"/>
      <c r="AV395" s="1873"/>
      <c r="AW395" s="684"/>
      <c r="AX395" s="684"/>
      <c r="AY395" s="1857"/>
      <c r="AZ395" s="1802"/>
      <c r="BA395" s="2061"/>
      <c r="BB395" s="1644"/>
      <c r="BC395" s="1958"/>
      <c r="BD395" s="967"/>
      <c r="BE395" s="965"/>
      <c r="BF395" s="1794"/>
      <c r="BG395" s="1978"/>
      <c r="BH395" s="1883"/>
      <c r="BI395" s="1556"/>
      <c r="BJ395" s="2062"/>
      <c r="BK395" s="1778"/>
      <c r="BL395" s="1576"/>
      <c r="BM395" s="1428"/>
      <c r="BN395" s="1960"/>
      <c r="BO395" s="1107"/>
      <c r="BP395" s="1107"/>
      <c r="BQ395" s="1622"/>
      <c r="BR395" s="1191"/>
      <c r="BS395" s="182"/>
      <c r="BT395" s="2869"/>
      <c r="BU395" s="1734"/>
      <c r="BV395" s="1107"/>
      <c r="BW395" s="1107"/>
      <c r="BX395" s="1622"/>
      <c r="BY395" s="1191"/>
      <c r="BZ395" s="183"/>
      <c r="CA395" s="1736"/>
      <c r="CB395" s="1737"/>
      <c r="CC395" s="184"/>
      <c r="CD395" s="2868"/>
      <c r="CE395" s="1740"/>
    </row>
    <row r="396" spans="1:83" ht="18.600000000000001" customHeight="1" x14ac:dyDescent="0.4">
      <c r="A396" s="249"/>
      <c r="B396" s="249"/>
      <c r="C396" s="1971">
        <v>0.75347222222222099</v>
      </c>
      <c r="D396" s="1972"/>
      <c r="E396" s="1973"/>
      <c r="F396" s="1974"/>
      <c r="G396" s="1972"/>
      <c r="H396" s="1973"/>
      <c r="I396" s="1975"/>
      <c r="J396" s="1972"/>
      <c r="K396" s="1974"/>
      <c r="L396" s="1975"/>
      <c r="M396" s="2807"/>
      <c r="N396" s="2064"/>
      <c r="O396" s="2807"/>
      <c r="P396" s="1972"/>
      <c r="Q396" s="1974"/>
      <c r="R396" s="1975"/>
      <c r="S396" s="2807"/>
      <c r="T396" s="2807"/>
      <c r="U396" s="2063"/>
      <c r="V396" s="1977"/>
      <c r="W396" s="1972"/>
      <c r="X396" s="1977"/>
      <c r="Y396" s="2807"/>
      <c r="Z396" s="2064"/>
      <c r="AA396" s="2807"/>
      <c r="AB396" s="2063"/>
      <c r="AC396" s="2063"/>
      <c r="AD396" s="2063"/>
      <c r="AE396" s="1157"/>
      <c r="AF396" s="1136"/>
      <c r="AG396" s="1157"/>
      <c r="AH396" s="1160"/>
      <c r="AI396" s="1645"/>
      <c r="AJ396" s="1160"/>
      <c r="AK396" s="1285"/>
      <c r="AL396" s="1879"/>
      <c r="AM396" s="1969"/>
      <c r="AN396" s="1450"/>
      <c r="AO396" s="1273"/>
      <c r="AP396" s="1438"/>
      <c r="AQ396" s="778"/>
      <c r="AR396" s="778"/>
      <c r="AS396" s="1612"/>
      <c r="AT396" s="1394"/>
      <c r="AU396" s="2002"/>
      <c r="AV396" s="1786"/>
      <c r="AW396" s="684"/>
      <c r="AX396" s="684"/>
      <c r="AY396" s="783"/>
      <c r="AZ396" s="1802"/>
      <c r="BA396" s="2065"/>
      <c r="BB396" s="1644"/>
      <c r="BC396" s="687"/>
      <c r="BD396" s="1374"/>
      <c r="BE396" s="908"/>
      <c r="BF396" s="1794"/>
      <c r="BG396" s="1978"/>
      <c r="BH396" s="1401"/>
      <c r="BI396" s="2066"/>
      <c r="BJ396" s="2003"/>
      <c r="BK396" s="1778"/>
      <c r="BL396" s="1168"/>
      <c r="BM396" s="2067"/>
      <c r="BN396" s="1630"/>
      <c r="BO396" s="1107"/>
      <c r="BP396" s="1161"/>
      <c r="BQ396" s="1161"/>
      <c r="BR396" s="1614"/>
      <c r="BS396" s="1732"/>
      <c r="BT396" s="2869"/>
      <c r="BU396" s="1783"/>
      <c r="BV396" s="1107"/>
      <c r="BW396" s="1161"/>
      <c r="BX396" s="1161"/>
      <c r="BY396" s="1614"/>
      <c r="BZ396" s="1735"/>
      <c r="CA396" s="1735"/>
      <c r="CB396" s="1784"/>
      <c r="CC396" s="1738"/>
      <c r="CD396" s="2868"/>
      <c r="CE396" s="1785"/>
    </row>
    <row r="397" spans="1:83" ht="13.5" customHeight="1" x14ac:dyDescent="0.4">
      <c r="A397" s="249"/>
      <c r="B397" s="249"/>
      <c r="C397" s="584" t="s">
        <v>307</v>
      </c>
      <c r="D397" s="1972"/>
      <c r="E397" s="1973"/>
      <c r="F397" s="1974"/>
      <c r="G397" s="1972"/>
      <c r="H397" s="1973"/>
      <c r="I397" s="1975"/>
      <c r="J397" s="1972"/>
      <c r="K397" s="1974"/>
      <c r="L397" s="1975"/>
      <c r="M397" s="2807"/>
      <c r="N397" s="1986"/>
      <c r="O397" s="2807"/>
      <c r="P397" s="1972"/>
      <c r="Q397" s="1974"/>
      <c r="R397" s="1975"/>
      <c r="S397" s="2807"/>
      <c r="T397" s="2807"/>
      <c r="U397" s="2063"/>
      <c r="V397" s="1977"/>
      <c r="W397" s="1972"/>
      <c r="X397" s="1977"/>
      <c r="Y397" s="2807"/>
      <c r="Z397" s="1986"/>
      <c r="AA397" s="2807"/>
      <c r="AB397" s="2063"/>
      <c r="AC397" s="2063"/>
      <c r="AD397" s="2063"/>
      <c r="AE397" s="1157"/>
      <c r="AF397" s="1136"/>
      <c r="AG397" s="1157"/>
      <c r="AH397" s="1160"/>
      <c r="AI397" s="1645"/>
      <c r="AJ397" s="1160"/>
      <c r="AK397" s="1285"/>
      <c r="AL397" s="1879"/>
      <c r="AM397" s="1969"/>
      <c r="AN397" s="1273"/>
      <c r="AO397" s="2068"/>
      <c r="AP397" s="1438"/>
      <c r="AQ397" s="778"/>
      <c r="AR397" s="2069"/>
      <c r="AS397" s="1640"/>
      <c r="AT397" s="1394"/>
      <c r="AU397" s="2002"/>
      <c r="AV397" s="1786"/>
      <c r="AW397" s="684"/>
      <c r="AX397" s="684"/>
      <c r="AY397" s="783"/>
      <c r="AZ397" s="1802"/>
      <c r="BA397" s="1802"/>
      <c r="BB397" s="1644"/>
      <c r="BC397" s="687"/>
      <c r="BD397" s="1374"/>
      <c r="BE397" s="1906"/>
      <c r="BF397" s="1794"/>
      <c r="BG397" s="1978"/>
      <c r="BH397" s="1401"/>
      <c r="BI397" s="1556"/>
      <c r="BJ397" s="2003"/>
      <c r="BK397" s="1789"/>
      <c r="BL397" s="1168"/>
      <c r="BM397" s="1428"/>
      <c r="BN397" s="1908"/>
      <c r="BO397" s="1107"/>
      <c r="BP397" s="1161"/>
      <c r="BQ397" s="1107"/>
      <c r="BR397" s="1107"/>
      <c r="BS397" s="1732"/>
      <c r="BT397" s="2869"/>
      <c r="BU397" s="182"/>
      <c r="BV397" s="1107"/>
      <c r="BW397" s="1161"/>
      <c r="BX397" s="1107"/>
      <c r="BY397" s="1107"/>
      <c r="BZ397" s="1735"/>
      <c r="CA397" s="183"/>
      <c r="CB397" s="183"/>
      <c r="CC397" s="1738"/>
      <c r="CD397" s="2868"/>
      <c r="CE397" s="184"/>
    </row>
    <row r="398" spans="1:83" ht="13.5" customHeight="1" x14ac:dyDescent="0.4">
      <c r="A398" s="249"/>
      <c r="B398" s="249"/>
      <c r="C398" s="1979">
        <v>0.75694444444444298</v>
      </c>
      <c r="D398" s="1980"/>
      <c r="E398" s="1973"/>
      <c r="F398" s="1974"/>
      <c r="G398" s="1980"/>
      <c r="H398" s="1973"/>
      <c r="I398" s="1983"/>
      <c r="J398" s="1980"/>
      <c r="K398" s="1974"/>
      <c r="L398" s="1983"/>
      <c r="M398" s="2807"/>
      <c r="N398" s="1986"/>
      <c r="O398" s="2808"/>
      <c r="P398" s="1980"/>
      <c r="Q398" s="1974"/>
      <c r="R398" s="1983"/>
      <c r="S398" s="2807"/>
      <c r="T398" s="2807"/>
      <c r="U398" s="2808"/>
      <c r="V398" s="1984"/>
      <c r="W398" s="1980"/>
      <c r="X398" s="1984"/>
      <c r="Y398" s="2807"/>
      <c r="Z398" s="1986"/>
      <c r="AA398" s="2808"/>
      <c r="AB398" s="2808"/>
      <c r="AC398" s="2808"/>
      <c r="AD398" s="2808"/>
      <c r="AE398" s="1157"/>
      <c r="AF398" s="1124"/>
      <c r="AG398" s="2070"/>
      <c r="AH398" s="1160"/>
      <c r="AI398" s="1159"/>
      <c r="AJ398" s="1904"/>
      <c r="AK398" s="1285"/>
      <c r="AL398" s="1200"/>
      <c r="AM398" s="1969"/>
      <c r="AN398" s="1872"/>
      <c r="AO398" s="1273"/>
      <c r="AP398" s="1761"/>
      <c r="AQ398" s="778"/>
      <c r="AR398" s="2071"/>
      <c r="AS398" s="1640"/>
      <c r="AT398" s="1394"/>
      <c r="AU398" s="1394"/>
      <c r="AV398" s="1786"/>
      <c r="AW398" s="684"/>
      <c r="AX398" s="684"/>
      <c r="AY398" s="783"/>
      <c r="AZ398" s="1802"/>
      <c r="BA398" s="1802"/>
      <c r="BB398" s="1644"/>
      <c r="BC398" s="687"/>
      <c r="BD398" s="967"/>
      <c r="BE398" s="908"/>
      <c r="BF398" s="1794"/>
      <c r="BG398" s="1978"/>
      <c r="BH398" s="1883"/>
      <c r="BI398" s="1556"/>
      <c r="BJ398" s="2003"/>
      <c r="BK398" s="1881"/>
      <c r="BL398" s="1168"/>
      <c r="BM398" s="1428"/>
      <c r="BN398" s="1630"/>
      <c r="BO398" s="1107"/>
      <c r="BP398" s="1107"/>
      <c r="BQ398" s="1107"/>
      <c r="BR398" s="1191"/>
      <c r="BS398" s="182"/>
      <c r="BT398" s="2869"/>
      <c r="BU398" s="1734"/>
      <c r="BV398" s="1107"/>
      <c r="BW398" s="1107"/>
      <c r="BX398" s="1107"/>
      <c r="BY398" s="1191"/>
      <c r="BZ398" s="183"/>
      <c r="CA398" s="183"/>
      <c r="CB398" s="1737"/>
      <c r="CC398" s="184"/>
      <c r="CD398" s="2868"/>
      <c r="CE398" s="1740"/>
    </row>
    <row r="399" spans="1:83" ht="26.85" customHeight="1" x14ac:dyDescent="0.4">
      <c r="A399" s="249"/>
      <c r="B399" s="249"/>
      <c r="C399" s="584">
        <v>0.76041666666666496</v>
      </c>
      <c r="D399" s="1948"/>
      <c r="E399" s="1963"/>
      <c r="F399" s="1964"/>
      <c r="G399" s="1948"/>
      <c r="H399" s="1963"/>
      <c r="I399" s="1951"/>
      <c r="J399" s="1948"/>
      <c r="K399" s="1964"/>
      <c r="L399" s="1951"/>
      <c r="M399" s="1948"/>
      <c r="N399" s="1962"/>
      <c r="O399" s="1948"/>
      <c r="P399" s="1948"/>
      <c r="Q399" s="1964"/>
      <c r="R399" s="1951"/>
      <c r="S399" s="1954"/>
      <c r="T399" s="1948"/>
      <c r="U399" s="1948"/>
      <c r="V399" s="1954"/>
      <c r="W399" s="1948"/>
      <c r="X399" s="1954"/>
      <c r="Y399" s="1948"/>
      <c r="Z399" s="1962"/>
      <c r="AA399" s="1948"/>
      <c r="AB399" s="1948"/>
      <c r="AC399" s="1948"/>
      <c r="AD399" s="1948"/>
      <c r="AE399" s="1385"/>
      <c r="AF399" s="1385" t="s">
        <v>332</v>
      </c>
      <c r="AG399" s="1408"/>
      <c r="AH399" s="1159"/>
      <c r="AI399" s="1160" t="s">
        <v>331</v>
      </c>
      <c r="AJ399" s="1160"/>
      <c r="AK399" s="1285"/>
      <c r="AL399" s="1723" t="s">
        <v>524</v>
      </c>
      <c r="AM399" s="1969"/>
      <c r="AN399" s="1273"/>
      <c r="AO399" s="1273"/>
      <c r="AP399" s="1438"/>
      <c r="AQ399" s="778"/>
      <c r="AR399" s="1723" t="s">
        <v>525</v>
      </c>
      <c r="AS399" s="778"/>
      <c r="AT399" s="1394"/>
      <c r="AU399" s="1394"/>
      <c r="AV399" s="1873"/>
      <c r="AW399" s="1538"/>
      <c r="AX399" s="1331" t="s">
        <v>526</v>
      </c>
      <c r="AY399" s="1752"/>
      <c r="AZ399" s="1802"/>
      <c r="BA399" s="1723" t="s">
        <v>527</v>
      </c>
      <c r="BB399" s="1644"/>
      <c r="BC399" s="687"/>
      <c r="BD399" s="967" t="s">
        <v>379</v>
      </c>
      <c r="BE399" s="967"/>
      <c r="BF399" s="1794"/>
      <c r="BG399" s="1794" t="s">
        <v>379</v>
      </c>
      <c r="BH399" s="1794"/>
      <c r="BI399" s="1556"/>
      <c r="BJ399" s="1870"/>
      <c r="BK399" s="1556"/>
      <c r="BL399" s="1576"/>
      <c r="BM399" s="1169" t="s">
        <v>371</v>
      </c>
      <c r="BN399" s="1960"/>
      <c r="BO399" s="1107"/>
      <c r="BP399" s="1622"/>
      <c r="BQ399" s="1107"/>
      <c r="BR399" s="2072"/>
      <c r="BS399" s="1733"/>
      <c r="BT399" s="2869"/>
      <c r="BU399" s="2073"/>
      <c r="BV399" s="1107"/>
      <c r="BW399" s="1622"/>
      <c r="BX399" s="1107"/>
      <c r="BY399" s="2072"/>
      <c r="BZ399" s="1736"/>
      <c r="CA399" s="183"/>
      <c r="CB399" s="2074"/>
      <c r="CC399" s="1739"/>
      <c r="CD399" s="2868"/>
      <c r="CE399" s="2075"/>
    </row>
    <row r="400" spans="1:83" ht="27.6" customHeight="1" x14ac:dyDescent="0.4">
      <c r="A400" s="249"/>
      <c r="B400" s="249"/>
      <c r="C400" s="584" t="s">
        <v>307</v>
      </c>
      <c r="D400" s="1948"/>
      <c r="E400" s="1963"/>
      <c r="F400" s="1964"/>
      <c r="G400" s="1948"/>
      <c r="H400" s="1963"/>
      <c r="I400" s="1951"/>
      <c r="J400" s="1948"/>
      <c r="K400" s="1964"/>
      <c r="L400" s="1951"/>
      <c r="M400" s="1948"/>
      <c r="N400" s="1962"/>
      <c r="O400" s="1948"/>
      <c r="P400" s="1948"/>
      <c r="Q400" s="1964"/>
      <c r="R400" s="1951"/>
      <c r="S400" s="1954"/>
      <c r="T400" s="1948"/>
      <c r="U400" s="1948"/>
      <c r="V400" s="1954"/>
      <c r="W400" s="1948"/>
      <c r="X400" s="1954"/>
      <c r="Y400" s="1948"/>
      <c r="Z400" s="1962"/>
      <c r="AA400" s="1948"/>
      <c r="AB400" s="1948"/>
      <c r="AC400" s="1948"/>
      <c r="AD400" s="1948"/>
      <c r="AE400" s="1157"/>
      <c r="AF400" s="1385" t="s">
        <v>334</v>
      </c>
      <c r="AG400" s="1157"/>
      <c r="AH400" s="1164"/>
      <c r="AI400" s="1139" t="s">
        <v>366</v>
      </c>
      <c r="AJ400" s="1165"/>
      <c r="AK400" s="1285"/>
      <c r="AL400" s="1200"/>
      <c r="AM400" s="1969"/>
      <c r="AN400" s="1872"/>
      <c r="AO400" s="1421"/>
      <c r="AP400" s="1438"/>
      <c r="AQ400" s="1134"/>
      <c r="AR400" s="1134"/>
      <c r="AS400" s="1640"/>
      <c r="AT400" s="1452"/>
      <c r="AU400" s="1394"/>
      <c r="AV400" s="1873"/>
      <c r="AW400" s="1894"/>
      <c r="AX400" s="684"/>
      <c r="AY400" s="783"/>
      <c r="AZ400" s="1694"/>
      <c r="BA400" s="1802"/>
      <c r="BB400" s="1644"/>
      <c r="BC400" s="1958"/>
      <c r="BD400" s="975"/>
      <c r="BE400" s="965"/>
      <c r="BF400" s="1862"/>
      <c r="BG400" s="1859" t="s">
        <v>522</v>
      </c>
      <c r="BH400" s="2015"/>
      <c r="BI400" s="1556"/>
      <c r="BJ400" s="1556"/>
      <c r="BK400" s="1881"/>
      <c r="BL400" s="1168"/>
      <c r="BM400" s="1562" t="s">
        <v>334</v>
      </c>
      <c r="BN400" s="1960"/>
      <c r="BO400" s="1107"/>
      <c r="BP400" s="1107"/>
      <c r="BQ400" s="1107"/>
      <c r="BR400" s="1614"/>
      <c r="BS400" s="182"/>
      <c r="BT400" s="2869"/>
      <c r="BU400" s="1783"/>
      <c r="BV400" s="1107"/>
      <c r="BW400" s="1107"/>
      <c r="BX400" s="1107"/>
      <c r="BY400" s="1614"/>
      <c r="BZ400" s="183"/>
      <c r="CA400" s="183"/>
      <c r="CB400" s="1784"/>
      <c r="CC400" s="184"/>
      <c r="CD400" s="2802"/>
      <c r="CE400" s="1785"/>
    </row>
    <row r="401" spans="1:83" ht="27.6" customHeight="1" x14ac:dyDescent="0.4">
      <c r="A401" s="249"/>
      <c r="B401" s="249"/>
      <c r="C401" s="584"/>
      <c r="D401" s="1948"/>
      <c r="E401" s="1963"/>
      <c r="F401" s="1964"/>
      <c r="G401" s="1948"/>
      <c r="H401" s="1963"/>
      <c r="I401" s="1951"/>
      <c r="J401" s="1948"/>
      <c r="K401" s="1964"/>
      <c r="L401" s="1951"/>
      <c r="M401" s="1948"/>
      <c r="N401" s="1962"/>
      <c r="O401" s="1948"/>
      <c r="P401" s="1948"/>
      <c r="Q401" s="1964"/>
      <c r="R401" s="1951"/>
      <c r="S401" s="1954"/>
      <c r="T401" s="1948"/>
      <c r="U401" s="1948"/>
      <c r="V401" s="1954"/>
      <c r="W401" s="1948"/>
      <c r="X401" s="1954"/>
      <c r="Y401" s="1948"/>
      <c r="Z401" s="1962"/>
      <c r="AA401" s="1948"/>
      <c r="AB401" s="1948"/>
      <c r="AC401" s="1948"/>
      <c r="AD401" s="1948"/>
      <c r="AE401" s="1157"/>
      <c r="AF401" s="1429"/>
      <c r="AG401" s="1157"/>
      <c r="AH401" s="793"/>
      <c r="AI401" s="793" t="s">
        <v>336</v>
      </c>
      <c r="AJ401" s="793"/>
      <c r="AK401" s="1285"/>
      <c r="AL401" s="1200"/>
      <c r="AM401" s="1969"/>
      <c r="AN401" s="1872"/>
      <c r="AO401" s="1421"/>
      <c r="AP401" s="1438"/>
      <c r="AQ401" s="1134"/>
      <c r="AR401" s="1134"/>
      <c r="AS401" s="1640"/>
      <c r="AT401" s="1452"/>
      <c r="AU401" s="1394"/>
      <c r="AV401" s="1873"/>
      <c r="AW401" s="1894"/>
      <c r="AX401" s="684"/>
      <c r="AY401" s="783"/>
      <c r="AZ401" s="1694"/>
      <c r="BA401" s="1802"/>
      <c r="BB401" s="1644"/>
      <c r="BC401" s="1958"/>
      <c r="BD401" s="975"/>
      <c r="BE401" s="965"/>
      <c r="BF401" s="1862"/>
      <c r="BG401" s="1859" t="s">
        <v>351</v>
      </c>
      <c r="BH401" s="2015"/>
      <c r="BI401" s="1556"/>
      <c r="BJ401" s="1556"/>
      <c r="BK401" s="1881"/>
      <c r="BL401" s="1561"/>
      <c r="BM401" s="1428"/>
      <c r="BN401" s="1960"/>
      <c r="BO401" s="1580"/>
      <c r="BP401" s="1107"/>
      <c r="BQ401" s="1107"/>
      <c r="BR401" s="1614"/>
      <c r="BS401" s="182"/>
      <c r="BT401" s="2869"/>
      <c r="BU401" s="1783"/>
      <c r="BV401" s="1580"/>
      <c r="BW401" s="1107"/>
      <c r="BX401" s="1107"/>
      <c r="BY401" s="1614"/>
      <c r="BZ401" s="183"/>
      <c r="CA401" s="183"/>
      <c r="CB401" s="1784"/>
      <c r="CC401" s="184"/>
      <c r="CD401" s="2802"/>
      <c r="CE401" s="1785"/>
    </row>
    <row r="402" spans="1:83" ht="18" customHeight="1" x14ac:dyDescent="0.4">
      <c r="A402" s="249"/>
      <c r="B402" s="249"/>
      <c r="C402" s="584" t="s">
        <v>307</v>
      </c>
      <c r="D402" s="1948"/>
      <c r="E402" s="1963"/>
      <c r="F402" s="1964"/>
      <c r="G402" s="1948"/>
      <c r="H402" s="1963"/>
      <c r="I402" s="1951"/>
      <c r="J402" s="1948"/>
      <c r="K402" s="1964"/>
      <c r="L402" s="1951"/>
      <c r="M402" s="1948"/>
      <c r="N402" s="1962"/>
      <c r="O402" s="1948"/>
      <c r="P402" s="1948"/>
      <c r="Q402" s="1964"/>
      <c r="R402" s="1951"/>
      <c r="S402" s="1954"/>
      <c r="T402" s="1948"/>
      <c r="U402" s="1948"/>
      <c r="V402" s="1954"/>
      <c r="W402" s="1948"/>
      <c r="X402" s="1954"/>
      <c r="Y402" s="1948"/>
      <c r="Z402" s="1962"/>
      <c r="AA402" s="1948"/>
      <c r="AB402" s="1948"/>
      <c r="AC402" s="1948"/>
      <c r="AD402" s="1948"/>
      <c r="AE402" s="1157"/>
      <c r="AF402" s="1157"/>
      <c r="AG402" s="2070"/>
      <c r="AH402" s="1645"/>
      <c r="AI402" s="1160"/>
      <c r="AJ402" s="1256"/>
      <c r="AK402" s="1285"/>
      <c r="AL402" s="1200"/>
      <c r="AM402" s="1969"/>
      <c r="AN402" s="1872"/>
      <c r="AO402" s="1421"/>
      <c r="AP402" s="1438"/>
      <c r="AQ402" s="1134"/>
      <c r="AR402" s="1134"/>
      <c r="AS402" s="1640"/>
      <c r="AT402" s="1452"/>
      <c r="AU402" s="1394"/>
      <c r="AV402" s="1873"/>
      <c r="AW402" s="1894"/>
      <c r="AX402" s="684"/>
      <c r="AY402" s="783"/>
      <c r="AZ402" s="1694"/>
      <c r="BA402" s="1802"/>
      <c r="BB402" s="1644"/>
      <c r="BC402" s="1958"/>
      <c r="BD402" s="975"/>
      <c r="BE402" s="965"/>
      <c r="BF402" s="1794"/>
      <c r="BG402" s="1794"/>
      <c r="BH402" s="1794"/>
      <c r="BI402" s="1556"/>
      <c r="BJ402" s="1556"/>
      <c r="BK402" s="1881"/>
      <c r="BL402" s="1168"/>
      <c r="BM402" s="1562"/>
      <c r="BN402" s="1960"/>
      <c r="BO402" s="1580"/>
      <c r="BP402" s="1622"/>
      <c r="BQ402" s="1108"/>
      <c r="BR402" s="1614"/>
      <c r="BS402" s="1733"/>
      <c r="BT402" s="2869"/>
      <c r="BU402" s="1783"/>
      <c r="BV402" s="1580"/>
      <c r="BW402" s="1622"/>
      <c r="BX402" s="1108"/>
      <c r="BY402" s="1614"/>
      <c r="BZ402" s="1736"/>
      <c r="CA402" s="1756"/>
      <c r="CB402" s="1784"/>
      <c r="CC402" s="1739"/>
      <c r="CD402" s="2076"/>
      <c r="CE402" s="1785"/>
    </row>
    <row r="403" spans="1:83" ht="29.25" customHeight="1" x14ac:dyDescent="0.4">
      <c r="A403" s="249"/>
      <c r="B403" s="249"/>
      <c r="C403" s="584">
        <v>0.76388888888888795</v>
      </c>
      <c r="D403" s="1948"/>
      <c r="E403" s="1963"/>
      <c r="F403" s="1964"/>
      <c r="G403" s="1948"/>
      <c r="H403" s="1963"/>
      <c r="I403" s="1951"/>
      <c r="J403" s="1948"/>
      <c r="K403" s="1964"/>
      <c r="L403" s="1951"/>
      <c r="M403" s="1948"/>
      <c r="N403" s="1962"/>
      <c r="O403" s="1948"/>
      <c r="P403" s="1948"/>
      <c r="Q403" s="1964"/>
      <c r="R403" s="1951"/>
      <c r="S403" s="1954"/>
      <c r="T403" s="1948"/>
      <c r="U403" s="1948"/>
      <c r="V403" s="1954"/>
      <c r="W403" s="1948"/>
      <c r="X403" s="1954"/>
      <c r="Y403" s="1948"/>
      <c r="Z403" s="1962"/>
      <c r="AA403" s="1948"/>
      <c r="AB403" s="1948"/>
      <c r="AC403" s="1948"/>
      <c r="AD403" s="1948"/>
      <c r="AE403" s="1157"/>
      <c r="AF403" s="2077"/>
      <c r="AG403" s="1528"/>
      <c r="AH403" s="1160"/>
      <c r="AI403" s="1159"/>
      <c r="AJ403" s="1160"/>
      <c r="AK403" s="1285"/>
      <c r="AL403" s="2553" t="s">
        <v>470</v>
      </c>
      <c r="AM403" s="1969"/>
      <c r="AN403" s="1273"/>
      <c r="AO403" s="1273"/>
      <c r="AP403" s="1603"/>
      <c r="AQ403" s="1134"/>
      <c r="AR403" s="1134"/>
      <c r="AS403" s="1640"/>
      <c r="AT403" s="1892"/>
      <c r="AU403" s="1394"/>
      <c r="AV403" s="1873"/>
      <c r="AW403" s="684"/>
      <c r="AX403" s="684"/>
      <c r="AY403" s="783"/>
      <c r="AZ403" s="1802"/>
      <c r="BA403" s="1802"/>
      <c r="BB403" s="1644"/>
      <c r="BC403" s="687"/>
      <c r="BD403" s="1374"/>
      <c r="BE403" s="965"/>
      <c r="BF403" s="1862"/>
      <c r="BG403" s="1859"/>
      <c r="BH403" s="2015"/>
      <c r="BI403" s="1556"/>
      <c r="BJ403" s="1878"/>
      <c r="BK403" s="2078"/>
      <c r="BL403" s="1168"/>
      <c r="BM403" s="1428"/>
      <c r="BN403" s="1960"/>
      <c r="BO403" s="1580"/>
      <c r="BP403" s="1107"/>
      <c r="BQ403" s="1107"/>
      <c r="BR403" s="1191"/>
      <c r="BS403" s="182"/>
      <c r="BT403" s="2869"/>
      <c r="BU403" s="1734"/>
      <c r="BV403" s="1580"/>
      <c r="BW403" s="1107"/>
      <c r="BX403" s="1107"/>
      <c r="BY403" s="1191"/>
      <c r="BZ403" s="183"/>
      <c r="CA403" s="183"/>
      <c r="CB403" s="1737"/>
      <c r="CC403" s="184"/>
      <c r="CD403" s="2802"/>
      <c r="CE403" s="1740"/>
    </row>
    <row r="404" spans="1:83" ht="14.25" customHeight="1" x14ac:dyDescent="0.4">
      <c r="A404" s="249"/>
      <c r="B404" s="249"/>
      <c r="C404" s="584" t="s">
        <v>307</v>
      </c>
      <c r="D404" s="1948"/>
      <c r="E404" s="1963"/>
      <c r="F404" s="1964"/>
      <c r="G404" s="1948"/>
      <c r="H404" s="1963"/>
      <c r="I404" s="1951"/>
      <c r="J404" s="1948"/>
      <c r="K404" s="1964"/>
      <c r="L404" s="1951"/>
      <c r="M404" s="1948"/>
      <c r="N404" s="1962"/>
      <c r="O404" s="1948"/>
      <c r="P404" s="1948"/>
      <c r="Q404" s="1964"/>
      <c r="R404" s="1951"/>
      <c r="S404" s="1954"/>
      <c r="T404" s="1948"/>
      <c r="U404" s="1948"/>
      <c r="V404" s="1954"/>
      <c r="W404" s="1948"/>
      <c r="X404" s="1954"/>
      <c r="Y404" s="1948"/>
      <c r="Z404" s="1962"/>
      <c r="AA404" s="1948"/>
      <c r="AB404" s="1948"/>
      <c r="AC404" s="1948"/>
      <c r="AD404" s="1948"/>
      <c r="AE404" s="1157"/>
      <c r="AF404" s="2077"/>
      <c r="AG404" s="1528"/>
      <c r="AH404" s="1160"/>
      <c r="AI404" s="1159"/>
      <c r="AJ404" s="1160"/>
      <c r="AK404" s="1285"/>
      <c r="AL404" s="1200"/>
      <c r="AM404" s="1969"/>
      <c r="AN404" s="1273"/>
      <c r="AO404" s="1273"/>
      <c r="AP404" s="1603"/>
      <c r="AQ404" s="1134"/>
      <c r="AR404" s="1134"/>
      <c r="AS404" s="1640"/>
      <c r="AT404" s="1892"/>
      <c r="AU404" s="1394"/>
      <c r="AV404" s="1873"/>
      <c r="AW404" s="684"/>
      <c r="AX404" s="684"/>
      <c r="AY404" s="783"/>
      <c r="AZ404" s="1802"/>
      <c r="BA404" s="1802"/>
      <c r="BB404" s="1644"/>
      <c r="BC404" s="664"/>
      <c r="BD404" s="1374"/>
      <c r="BE404" s="965"/>
      <c r="BF404" s="1862"/>
      <c r="BG404" s="1859"/>
      <c r="BH404" s="2015"/>
      <c r="BI404" s="1556"/>
      <c r="BJ404" s="1871"/>
      <c r="BK404" s="2079"/>
      <c r="BL404" s="1561"/>
      <c r="BM404" s="1428"/>
      <c r="BN404" s="1960"/>
      <c r="BO404" s="1580"/>
      <c r="BP404" s="1107"/>
      <c r="BQ404" s="1107"/>
      <c r="BR404" s="1191"/>
      <c r="BS404" s="182"/>
      <c r="BT404" s="2869"/>
      <c r="BU404" s="1734"/>
      <c r="BV404" s="1580"/>
      <c r="BW404" s="1107"/>
      <c r="BX404" s="1107"/>
      <c r="BY404" s="1191"/>
      <c r="BZ404" s="183"/>
      <c r="CA404" s="183"/>
      <c r="CB404" s="1737"/>
      <c r="CC404" s="184"/>
      <c r="CD404" s="2802"/>
      <c r="CE404" s="1740"/>
    </row>
    <row r="405" spans="1:83" ht="26.1" customHeight="1" x14ac:dyDescent="0.4">
      <c r="A405" s="249"/>
      <c r="B405" s="249"/>
      <c r="C405" s="584">
        <v>0.76736111111111005</v>
      </c>
      <c r="D405" s="1948"/>
      <c r="E405" s="1963"/>
      <c r="F405" s="1964"/>
      <c r="G405" s="1948"/>
      <c r="H405" s="1963"/>
      <c r="I405" s="1951"/>
      <c r="J405" s="1948"/>
      <c r="K405" s="1964"/>
      <c r="L405" s="1951"/>
      <c r="M405" s="1948"/>
      <c r="N405" s="1962"/>
      <c r="O405" s="1948"/>
      <c r="P405" s="1948"/>
      <c r="Q405" s="1964"/>
      <c r="R405" s="1951"/>
      <c r="S405" s="1954"/>
      <c r="T405" s="1948"/>
      <c r="U405" s="1948"/>
      <c r="V405" s="1954"/>
      <c r="W405" s="1948"/>
      <c r="X405" s="1954"/>
      <c r="Y405" s="1948"/>
      <c r="Z405" s="1962"/>
      <c r="AA405" s="1948"/>
      <c r="AB405" s="1948"/>
      <c r="AC405" s="1948"/>
      <c r="AD405" s="1948"/>
      <c r="AE405" s="1157"/>
      <c r="AF405" s="1157"/>
      <c r="AG405" s="2080"/>
      <c r="AH405" s="1160"/>
      <c r="AI405" s="1645"/>
      <c r="AJ405" s="1160"/>
      <c r="AK405" s="1285"/>
      <c r="AL405" s="1200"/>
      <c r="AM405" s="1969"/>
      <c r="AN405" s="1273"/>
      <c r="AO405" s="1421"/>
      <c r="AP405" s="1438"/>
      <c r="AQ405" s="778"/>
      <c r="AR405" s="1536" t="s">
        <v>613</v>
      </c>
      <c r="AS405" s="1640"/>
      <c r="AT405" s="1394"/>
      <c r="AU405" s="2081"/>
      <c r="AV405" s="1873"/>
      <c r="AW405" s="1781"/>
      <c r="AX405" s="684"/>
      <c r="AY405" s="783"/>
      <c r="AZ405" s="1802"/>
      <c r="BA405" s="2082"/>
      <c r="BB405" s="1644"/>
      <c r="BC405" s="664"/>
      <c r="BD405" s="967"/>
      <c r="BE405" s="965"/>
      <c r="BF405" s="1794"/>
      <c r="BG405" s="1794"/>
      <c r="BH405" s="1794"/>
      <c r="BI405" s="1556"/>
      <c r="BJ405" s="1878"/>
      <c r="BK405" s="1998"/>
      <c r="BL405" s="1561"/>
      <c r="BM405" s="1428"/>
      <c r="BN405" s="1960"/>
      <c r="BO405" s="1107"/>
      <c r="BP405" s="1107"/>
      <c r="BQ405" s="1107"/>
      <c r="BR405" s="1191"/>
      <c r="BS405" s="182"/>
      <c r="BT405" s="2869"/>
      <c r="BU405" s="1734"/>
      <c r="BV405" s="1107"/>
      <c r="BW405" s="1107"/>
      <c r="BX405" s="1107"/>
      <c r="BY405" s="1191"/>
      <c r="BZ405" s="183"/>
      <c r="CA405" s="183"/>
      <c r="CB405" s="1737"/>
      <c r="CC405" s="184"/>
      <c r="CD405" s="2802"/>
      <c r="CE405" s="1740"/>
    </row>
    <row r="406" spans="1:83" ht="14.25" customHeight="1" x14ac:dyDescent="0.4">
      <c r="A406" s="249"/>
      <c r="B406" s="249"/>
      <c r="C406" s="584" t="s">
        <v>307</v>
      </c>
      <c r="D406" s="1948"/>
      <c r="E406" s="1963"/>
      <c r="F406" s="1964"/>
      <c r="G406" s="1948"/>
      <c r="H406" s="1963"/>
      <c r="I406" s="1951"/>
      <c r="J406" s="1948"/>
      <c r="K406" s="1964"/>
      <c r="L406" s="1951"/>
      <c r="M406" s="1948"/>
      <c r="N406" s="1962"/>
      <c r="O406" s="1948"/>
      <c r="P406" s="1948"/>
      <c r="Q406" s="1964"/>
      <c r="R406" s="1951"/>
      <c r="S406" s="1954"/>
      <c r="T406" s="1948"/>
      <c r="U406" s="1948"/>
      <c r="V406" s="1954"/>
      <c r="W406" s="1948"/>
      <c r="X406" s="1954"/>
      <c r="Y406" s="1948"/>
      <c r="Z406" s="1962"/>
      <c r="AA406" s="1948"/>
      <c r="AB406" s="1948"/>
      <c r="AC406" s="1948"/>
      <c r="AD406" s="1948"/>
      <c r="AE406" s="1157"/>
      <c r="AF406" s="1136"/>
      <c r="AG406" s="1157"/>
      <c r="AH406" s="1160"/>
      <c r="AI406" s="1645"/>
      <c r="AJ406" s="1160"/>
      <c r="AK406" s="1285"/>
      <c r="AL406" s="1200"/>
      <c r="AM406" s="1969"/>
      <c r="AN406" s="1273"/>
      <c r="AO406" s="1273"/>
      <c r="AP406" s="1438"/>
      <c r="AQ406" s="778"/>
      <c r="AR406" s="778"/>
      <c r="AS406" s="1640"/>
      <c r="AT406" s="1394"/>
      <c r="AU406" s="2083"/>
      <c r="AV406" s="1786"/>
      <c r="AW406" s="1781"/>
      <c r="AX406" s="684"/>
      <c r="AY406" s="2084"/>
      <c r="AZ406" s="1802"/>
      <c r="BA406" s="2082"/>
      <c r="BB406" s="1644"/>
      <c r="BC406" s="664"/>
      <c r="BD406" s="967"/>
      <c r="BE406" s="965"/>
      <c r="BF406" s="1794"/>
      <c r="BG406" s="1978"/>
      <c r="BH406" s="1883"/>
      <c r="BI406" s="1556"/>
      <c r="BJ406" s="2085"/>
      <c r="BK406" s="1998"/>
      <c r="BL406" s="1561"/>
      <c r="BM406" s="1428"/>
      <c r="BN406" s="1960"/>
      <c r="BO406" s="1107"/>
      <c r="BP406" s="1107"/>
      <c r="BQ406" s="1107"/>
      <c r="BR406" s="2072"/>
      <c r="BS406" s="182"/>
      <c r="BT406" s="2869"/>
      <c r="BU406" s="2073"/>
      <c r="BV406" s="1107"/>
      <c r="BW406" s="1107"/>
      <c r="BX406" s="1107"/>
      <c r="BY406" s="2072"/>
      <c r="BZ406" s="183"/>
      <c r="CA406" s="183"/>
      <c r="CB406" s="2074"/>
      <c r="CC406" s="184"/>
      <c r="CD406" s="2802"/>
      <c r="CE406" s="2075"/>
    </row>
    <row r="407" spans="1:83" ht="26.85" customHeight="1" x14ac:dyDescent="0.4">
      <c r="A407" s="249"/>
      <c r="B407" s="249"/>
      <c r="C407" s="584">
        <v>0.77083333333333204</v>
      </c>
      <c r="D407" s="1948"/>
      <c r="E407" s="1963"/>
      <c r="F407" s="1964"/>
      <c r="G407" s="1948"/>
      <c r="H407" s="1963"/>
      <c r="I407" s="1951"/>
      <c r="J407" s="1948"/>
      <c r="K407" s="1964"/>
      <c r="L407" s="1951"/>
      <c r="M407" s="1948"/>
      <c r="N407" s="1962"/>
      <c r="O407" s="1948"/>
      <c r="P407" s="1948"/>
      <c r="Q407" s="1964"/>
      <c r="R407" s="1951"/>
      <c r="S407" s="1954"/>
      <c r="T407" s="1948"/>
      <c r="U407" s="1948"/>
      <c r="V407" s="1954"/>
      <c r="W407" s="1948"/>
      <c r="X407" s="1954"/>
      <c r="Y407" s="1948"/>
      <c r="Z407" s="1962"/>
      <c r="AA407" s="1948"/>
      <c r="AB407" s="1948"/>
      <c r="AC407" s="1948"/>
      <c r="AD407" s="1948"/>
      <c r="AE407" s="1385"/>
      <c r="AF407" s="1385" t="s">
        <v>332</v>
      </c>
      <c r="AG407" s="1408"/>
      <c r="AH407" s="1159"/>
      <c r="AI407" s="1160" t="s">
        <v>331</v>
      </c>
      <c r="AJ407" s="1160"/>
      <c r="AK407" s="1285"/>
      <c r="AL407" s="1200"/>
      <c r="AM407" s="1969"/>
      <c r="AN407" s="1872"/>
      <c r="AO407" s="2086"/>
      <c r="AP407" s="1438"/>
      <c r="AQ407" s="778"/>
      <c r="AR407" s="778"/>
      <c r="AS407" s="1640"/>
      <c r="AT407" s="1892"/>
      <c r="AU407" s="1331" t="s">
        <v>529</v>
      </c>
      <c r="AV407" s="1873"/>
      <c r="AW407" s="1781"/>
      <c r="AX407" s="2087" t="s">
        <v>530</v>
      </c>
      <c r="AY407" s="2084"/>
      <c r="AZ407" s="1802"/>
      <c r="BA407" s="1723" t="s">
        <v>531</v>
      </c>
      <c r="BB407" s="1644"/>
      <c r="BC407" s="687"/>
      <c r="BD407" s="967" t="s">
        <v>379</v>
      </c>
      <c r="BE407" s="967"/>
      <c r="BF407" s="1794"/>
      <c r="BG407" s="1794" t="s">
        <v>379</v>
      </c>
      <c r="BH407" s="1794"/>
      <c r="BI407" s="1556"/>
      <c r="BJ407" s="2085" t="s">
        <v>410</v>
      </c>
      <c r="BK407" s="1789"/>
      <c r="BL407" s="1576"/>
      <c r="BM407" s="1169" t="s">
        <v>371</v>
      </c>
      <c r="BN407" s="1168"/>
      <c r="BO407" s="1107"/>
      <c r="BP407" s="1622"/>
      <c r="BQ407" s="1107"/>
      <c r="BR407" s="1191"/>
      <c r="BS407" s="1733"/>
      <c r="BT407" s="2869"/>
      <c r="BU407" s="1734"/>
      <c r="BV407" s="1107"/>
      <c r="BW407" s="1622"/>
      <c r="BX407" s="1107"/>
      <c r="BY407" s="1191"/>
      <c r="BZ407" s="1736"/>
      <c r="CA407" s="183"/>
      <c r="CB407" s="1737"/>
      <c r="CC407" s="1739"/>
      <c r="CD407" s="2802"/>
      <c r="CE407" s="1740"/>
    </row>
    <row r="408" spans="1:83" ht="27.6" customHeight="1" x14ac:dyDescent="0.4">
      <c r="A408" s="249"/>
      <c r="B408" s="249"/>
      <c r="C408" s="584" t="s">
        <v>307</v>
      </c>
      <c r="D408" s="1948"/>
      <c r="E408" s="1963"/>
      <c r="F408" s="1964"/>
      <c r="G408" s="1948"/>
      <c r="H408" s="1963"/>
      <c r="I408" s="1951"/>
      <c r="J408" s="1948"/>
      <c r="K408" s="1964"/>
      <c r="L408" s="1951"/>
      <c r="M408" s="1948"/>
      <c r="N408" s="1962"/>
      <c r="O408" s="1948"/>
      <c r="P408" s="1948"/>
      <c r="Q408" s="1964"/>
      <c r="R408" s="1951"/>
      <c r="S408" s="1954"/>
      <c r="T408" s="1948"/>
      <c r="U408" s="1948"/>
      <c r="V408" s="1954"/>
      <c r="W408" s="1948"/>
      <c r="X408" s="1954"/>
      <c r="Y408" s="1948"/>
      <c r="Z408" s="1962"/>
      <c r="AA408" s="1948"/>
      <c r="AB408" s="1948"/>
      <c r="AC408" s="1948"/>
      <c r="AD408" s="1948"/>
      <c r="AE408" s="1157"/>
      <c r="AF408" s="1157"/>
      <c r="AG408" s="1157"/>
      <c r="AH408" s="1164"/>
      <c r="AI408" s="1139" t="s">
        <v>366</v>
      </c>
      <c r="AJ408" s="1165"/>
      <c r="AK408" s="1285"/>
      <c r="AL408" s="1723" t="s">
        <v>532</v>
      </c>
      <c r="AM408" s="1969"/>
      <c r="AN408" s="1273"/>
      <c r="AO408" s="2086"/>
      <c r="AP408" s="1438"/>
      <c r="AQ408" s="778"/>
      <c r="AR408" s="778"/>
      <c r="AS408" s="1640"/>
      <c r="AT408" s="1892"/>
      <c r="AU408" s="2083"/>
      <c r="AV408" s="1460"/>
      <c r="AW408" s="1781"/>
      <c r="AX408" s="684"/>
      <c r="AY408" s="2084"/>
      <c r="AZ408" s="1802"/>
      <c r="BA408" s="1802"/>
      <c r="BB408" s="1644"/>
      <c r="BC408" s="1958"/>
      <c r="BD408" s="967"/>
      <c r="BE408" s="965"/>
      <c r="BF408" s="1862"/>
      <c r="BG408" s="1859" t="s">
        <v>522</v>
      </c>
      <c r="BH408" s="2015"/>
      <c r="BI408" s="1556"/>
      <c r="BJ408" s="1789" t="s">
        <v>334</v>
      </c>
      <c r="BK408" s="1556"/>
      <c r="BL408" s="1168"/>
      <c r="BM408" s="1562" t="s">
        <v>350</v>
      </c>
      <c r="BN408" s="1960"/>
      <c r="BO408" s="1107"/>
      <c r="BP408" s="1107"/>
      <c r="BQ408" s="1107"/>
      <c r="BR408" s="2072"/>
      <c r="BS408" s="182"/>
      <c r="BT408" s="2869"/>
      <c r="BU408" s="2073"/>
      <c r="BV408" s="1107"/>
      <c r="BW408" s="1107"/>
      <c r="BX408" s="1107"/>
      <c r="BY408" s="2072"/>
      <c r="BZ408" s="183"/>
      <c r="CA408" s="183"/>
      <c r="CB408" s="2074"/>
      <c r="CC408" s="504"/>
      <c r="CD408" s="2871" t="s">
        <v>534</v>
      </c>
      <c r="CE408" s="504"/>
    </row>
    <row r="409" spans="1:83" ht="28.5" customHeight="1" x14ac:dyDescent="0.4">
      <c r="A409" s="249"/>
      <c r="B409" s="249"/>
      <c r="C409" s="584" t="s">
        <v>307</v>
      </c>
      <c r="D409" s="1948"/>
      <c r="E409" s="1963"/>
      <c r="F409" s="1964"/>
      <c r="G409" s="1948"/>
      <c r="H409" s="1963"/>
      <c r="I409" s="1951"/>
      <c r="J409" s="1948"/>
      <c r="K409" s="1964"/>
      <c r="L409" s="1951"/>
      <c r="M409" s="1948"/>
      <c r="N409" s="1962"/>
      <c r="O409" s="1948"/>
      <c r="P409" s="1948"/>
      <c r="Q409" s="1964"/>
      <c r="R409" s="1951"/>
      <c r="S409" s="1954"/>
      <c r="T409" s="1948"/>
      <c r="U409" s="1948"/>
      <c r="V409" s="1954"/>
      <c r="W409" s="1948"/>
      <c r="X409" s="1954"/>
      <c r="Y409" s="1948"/>
      <c r="Z409" s="1962"/>
      <c r="AA409" s="1948"/>
      <c r="AB409" s="1948"/>
      <c r="AC409" s="1948"/>
      <c r="AD409" s="1948"/>
      <c r="AE409" s="1157"/>
      <c r="AF409" s="1157"/>
      <c r="AG409" s="1157"/>
      <c r="AH409" s="1159"/>
      <c r="AI409" s="1159"/>
      <c r="AJ409" s="1159"/>
      <c r="AK409" s="1285"/>
      <c r="AL409" s="1200"/>
      <c r="AM409" s="1969"/>
      <c r="AN409" s="1872"/>
      <c r="AO409" s="2086"/>
      <c r="AP409" s="1761"/>
      <c r="AQ409" s="778"/>
      <c r="AR409" s="778"/>
      <c r="AS409" s="1640"/>
      <c r="AT409" s="1892"/>
      <c r="AU409" s="2083"/>
      <c r="AV409" s="1460"/>
      <c r="AW409" s="1781"/>
      <c r="AX409" s="684"/>
      <c r="AY409" s="2084"/>
      <c r="AZ409" s="1802"/>
      <c r="BA409" s="1802"/>
      <c r="BB409" s="1644"/>
      <c r="BC409" s="664"/>
      <c r="BD409" s="967"/>
      <c r="BE409" s="965"/>
      <c r="BF409" s="1862"/>
      <c r="BG409" s="1859" t="s">
        <v>351</v>
      </c>
      <c r="BH409" s="2015"/>
      <c r="BI409" s="1556"/>
      <c r="BJ409" s="1556"/>
      <c r="BK409" s="2088"/>
      <c r="BL409" s="1561"/>
      <c r="BM409" s="1428"/>
      <c r="BN409" s="1960"/>
      <c r="BO409" s="1107"/>
      <c r="BP409" s="1161"/>
      <c r="BQ409" s="1107"/>
      <c r="BR409" s="1614"/>
      <c r="BS409" s="1732"/>
      <c r="BT409" s="2869"/>
      <c r="BU409" s="1783"/>
      <c r="BV409" s="1107"/>
      <c r="BW409" s="1161"/>
      <c r="BX409" s="1107"/>
      <c r="BY409" s="1614"/>
      <c r="BZ409" s="1735"/>
      <c r="CA409" s="183"/>
      <c r="CB409" s="1784"/>
      <c r="CC409" s="504"/>
      <c r="CD409" s="2871"/>
      <c r="CE409" s="504"/>
    </row>
    <row r="410" spans="1:83" ht="34.35" customHeight="1" x14ac:dyDescent="0.4">
      <c r="A410" s="249"/>
      <c r="B410" s="249"/>
      <c r="C410" s="584" t="s">
        <v>307</v>
      </c>
      <c r="D410" s="1948"/>
      <c r="E410" s="1963"/>
      <c r="F410" s="1964"/>
      <c r="G410" s="1948"/>
      <c r="H410" s="1963"/>
      <c r="I410" s="1951"/>
      <c r="J410" s="1948"/>
      <c r="K410" s="1964"/>
      <c r="L410" s="1951"/>
      <c r="M410" s="1948"/>
      <c r="N410" s="2089"/>
      <c r="O410" s="1948"/>
      <c r="P410" s="1948"/>
      <c r="Q410" s="1964"/>
      <c r="R410" s="1951"/>
      <c r="S410" s="1954"/>
      <c r="T410" s="1948"/>
      <c r="U410" s="1948"/>
      <c r="V410" s="1954"/>
      <c r="W410" s="1948"/>
      <c r="X410" s="1954"/>
      <c r="Y410" s="1948"/>
      <c r="Z410" s="2089"/>
      <c r="AA410" s="1948"/>
      <c r="AB410" s="1948"/>
      <c r="AC410" s="1948"/>
      <c r="AD410" s="1948"/>
      <c r="AE410" s="1157"/>
      <c r="AF410" s="1157"/>
      <c r="AG410" s="1157"/>
      <c r="AH410" s="1159"/>
      <c r="AI410" s="1159"/>
      <c r="AJ410" s="1159"/>
      <c r="AK410" s="1285"/>
      <c r="AL410" s="1200"/>
      <c r="AM410" s="1969"/>
      <c r="AN410" s="1872"/>
      <c r="AO410" s="2086"/>
      <c r="AP410" s="1761"/>
      <c r="AQ410" s="778"/>
      <c r="AR410" s="778"/>
      <c r="AS410" s="1640"/>
      <c r="AT410" s="1892"/>
      <c r="AU410" s="2083"/>
      <c r="AV410" s="1873"/>
      <c r="AW410" s="1781"/>
      <c r="AX410" s="684"/>
      <c r="AY410" s="2084"/>
      <c r="AZ410" s="1802"/>
      <c r="BA410" s="1802"/>
      <c r="BB410" s="1644"/>
      <c r="BC410" s="664"/>
      <c r="BD410" s="967"/>
      <c r="BE410" s="965"/>
      <c r="BF410" s="1794"/>
      <c r="BG410" s="1794"/>
      <c r="BH410" s="1794"/>
      <c r="BI410" s="1542"/>
      <c r="BJ410" s="2090"/>
      <c r="BK410" s="2088"/>
      <c r="BL410" s="1561"/>
      <c r="BM410" s="1428"/>
      <c r="BN410" s="1960"/>
      <c r="BO410" s="1107"/>
      <c r="BP410" s="1161"/>
      <c r="BQ410" s="1107"/>
      <c r="BR410" s="1614"/>
      <c r="BS410" s="1732"/>
      <c r="BT410" s="2869"/>
      <c r="BU410" s="1783"/>
      <c r="BV410" s="1107"/>
      <c r="BW410" s="1161"/>
      <c r="BX410" s="1107"/>
      <c r="BY410" s="1614"/>
      <c r="BZ410" s="1735"/>
      <c r="CA410" s="183"/>
      <c r="CB410" s="1784"/>
      <c r="CC410" s="504"/>
      <c r="CD410" s="2871"/>
      <c r="CE410" s="504"/>
    </row>
    <row r="411" spans="1:83" ht="34.35" customHeight="1" x14ac:dyDescent="0.4">
      <c r="A411" s="249"/>
      <c r="B411" s="249"/>
      <c r="C411" s="584"/>
      <c r="D411" s="1948"/>
      <c r="E411" s="1963"/>
      <c r="F411" s="1964"/>
      <c r="G411" s="1948"/>
      <c r="H411" s="1963"/>
      <c r="I411" s="1951"/>
      <c r="J411" s="1948"/>
      <c r="K411" s="1964"/>
      <c r="L411" s="1951"/>
      <c r="M411" s="1948"/>
      <c r="N411" s="2089"/>
      <c r="O411" s="1948"/>
      <c r="P411" s="1948"/>
      <c r="Q411" s="1964"/>
      <c r="R411" s="1951"/>
      <c r="S411" s="1954"/>
      <c r="T411" s="1948"/>
      <c r="U411" s="1948"/>
      <c r="V411" s="1954"/>
      <c r="W411" s="1948"/>
      <c r="X411" s="1954"/>
      <c r="Y411" s="1948"/>
      <c r="Z411" s="2089"/>
      <c r="AA411" s="1948"/>
      <c r="AB411" s="1948"/>
      <c r="AC411" s="1948"/>
      <c r="AD411" s="1948"/>
      <c r="AE411" s="1157"/>
      <c r="AF411" s="1157"/>
      <c r="AG411" s="1157"/>
      <c r="AH411" s="1159"/>
      <c r="AI411" s="1159"/>
      <c r="AJ411" s="1159"/>
      <c r="AK411" s="1285"/>
      <c r="AL411" s="1200"/>
      <c r="AM411" s="1969"/>
      <c r="AN411" s="1872"/>
      <c r="AO411" s="2086"/>
      <c r="AP411" s="1761"/>
      <c r="AQ411" s="778"/>
      <c r="AR411" s="778"/>
      <c r="AS411" s="1640"/>
      <c r="AT411" s="1892"/>
      <c r="AU411" s="2083"/>
      <c r="AV411" s="1873"/>
      <c r="AW411" s="1781"/>
      <c r="AX411" s="684"/>
      <c r="AY411" s="2084"/>
      <c r="AZ411" s="1802"/>
      <c r="BA411" s="1802"/>
      <c r="BB411" s="1644"/>
      <c r="BC411" s="664"/>
      <c r="BD411" s="967"/>
      <c r="BE411" s="965"/>
      <c r="BF411" s="1862"/>
      <c r="BG411" s="1859"/>
      <c r="BH411" s="2015"/>
      <c r="BI411" s="1542"/>
      <c r="BJ411" s="2090"/>
      <c r="BK411" s="2088"/>
      <c r="BL411" s="1561"/>
      <c r="BM411" s="1428"/>
      <c r="BN411" s="1960"/>
      <c r="BO411" s="1580"/>
      <c r="BP411" s="1161"/>
      <c r="BQ411" s="1107"/>
      <c r="BR411" s="1614"/>
      <c r="BS411" s="1732"/>
      <c r="BT411" s="2869"/>
      <c r="BU411" s="1783"/>
      <c r="BV411" s="1580"/>
      <c r="BW411" s="1161"/>
      <c r="BX411" s="1107"/>
      <c r="BY411" s="1614"/>
      <c r="BZ411" s="1735"/>
      <c r="CA411" s="183"/>
      <c r="CB411" s="1784"/>
      <c r="CC411" s="504"/>
      <c r="CD411" s="2871"/>
      <c r="CE411" s="504"/>
    </row>
    <row r="412" spans="1:83" ht="22.35" customHeight="1" x14ac:dyDescent="0.4">
      <c r="A412" s="249"/>
      <c r="B412" s="249"/>
      <c r="C412" s="584">
        <v>0.77430555555555403</v>
      </c>
      <c r="D412" s="1948"/>
      <c r="E412" s="1963"/>
      <c r="F412" s="1964"/>
      <c r="G412" s="1948"/>
      <c r="H412" s="1963"/>
      <c r="I412" s="1951"/>
      <c r="J412" s="1948"/>
      <c r="K412" s="1964"/>
      <c r="L412" s="1951"/>
      <c r="M412" s="2807"/>
      <c r="N412" s="1986"/>
      <c r="O412" s="2808"/>
      <c r="P412" s="1948"/>
      <c r="Q412" s="1964"/>
      <c r="R412" s="1951"/>
      <c r="S412" s="2807"/>
      <c r="T412" s="2807"/>
      <c r="U412" s="2808"/>
      <c r="V412" s="1954"/>
      <c r="W412" s="1948"/>
      <c r="X412" s="1954"/>
      <c r="Y412" s="2807"/>
      <c r="Z412" s="1986"/>
      <c r="AA412" s="2808"/>
      <c r="AB412" s="2808"/>
      <c r="AC412" s="2808"/>
      <c r="AD412" s="2808"/>
      <c r="AE412" s="1157"/>
      <c r="AF412" s="1136"/>
      <c r="AG412" s="1157"/>
      <c r="AH412" s="1160"/>
      <c r="AI412" s="1645"/>
      <c r="AJ412" s="1160"/>
      <c r="AK412" s="1285"/>
      <c r="AL412" s="1200"/>
      <c r="AM412" s="1969"/>
      <c r="AN412" s="1273"/>
      <c r="AO412" s="2086"/>
      <c r="AP412" s="1438"/>
      <c r="AQ412" s="778"/>
      <c r="AR412" s="778"/>
      <c r="AS412" s="1640"/>
      <c r="AT412" s="1892"/>
      <c r="AU412" s="1210"/>
      <c r="AV412" s="1873"/>
      <c r="AW412" s="684"/>
      <c r="AX412" s="684"/>
      <c r="AY412" s="993"/>
      <c r="AZ412" s="1802"/>
      <c r="BA412" s="2091"/>
      <c r="BB412" s="1644"/>
      <c r="BC412" s="869"/>
      <c r="BD412" s="1374"/>
      <c r="BE412" s="965"/>
      <c r="BF412" s="1862"/>
      <c r="BG412" s="1859"/>
      <c r="BH412" s="2015"/>
      <c r="BI412" s="1556"/>
      <c r="BJ412" s="1878"/>
      <c r="BK412" s="1636"/>
      <c r="BL412" s="1660"/>
      <c r="BM412" s="1428"/>
      <c r="BN412" s="1960"/>
      <c r="BO412" s="1580"/>
      <c r="BP412" s="1107"/>
      <c r="BQ412" s="1107"/>
      <c r="BR412" s="1191"/>
      <c r="BS412" s="182"/>
      <c r="BT412" s="2869"/>
      <c r="BU412" s="1734"/>
      <c r="BV412" s="1580"/>
      <c r="BW412" s="1107"/>
      <c r="BX412" s="1107"/>
      <c r="BY412" s="1191"/>
      <c r="BZ412" s="183"/>
      <c r="CA412" s="183"/>
      <c r="CB412" s="1737"/>
      <c r="CC412" s="504"/>
      <c r="CD412" s="2871"/>
      <c r="CE412" s="504"/>
    </row>
    <row r="413" spans="1:83" ht="13.5" customHeight="1" x14ac:dyDescent="0.4">
      <c r="A413" s="249"/>
      <c r="B413" s="249"/>
      <c r="C413" s="584" t="s">
        <v>307</v>
      </c>
      <c r="D413" s="1948"/>
      <c r="E413" s="1963"/>
      <c r="F413" s="1964"/>
      <c r="G413" s="1948"/>
      <c r="H413" s="1963"/>
      <c r="I413" s="1951"/>
      <c r="J413" s="1948"/>
      <c r="K413" s="1964"/>
      <c r="L413" s="1951"/>
      <c r="M413" s="2807"/>
      <c r="N413" s="1986"/>
      <c r="O413" s="2808"/>
      <c r="P413" s="1948"/>
      <c r="Q413" s="1964"/>
      <c r="R413" s="1951"/>
      <c r="S413" s="2807"/>
      <c r="T413" s="2807"/>
      <c r="U413" s="2808"/>
      <c r="V413" s="1954"/>
      <c r="W413" s="1948"/>
      <c r="X413" s="1954"/>
      <c r="Y413" s="2807"/>
      <c r="Z413" s="1986"/>
      <c r="AA413" s="2808"/>
      <c r="AB413" s="2808"/>
      <c r="AC413" s="2808"/>
      <c r="AD413" s="2808"/>
      <c r="AE413" s="1157"/>
      <c r="AF413" s="1136"/>
      <c r="AG413" s="1157"/>
      <c r="AH413" s="1160"/>
      <c r="AI413" s="1645"/>
      <c r="AJ413" s="1160"/>
      <c r="AK413" s="1285"/>
      <c r="AL413" s="1200"/>
      <c r="AM413" s="1969"/>
      <c r="AN413" s="1273"/>
      <c r="AO413" s="1273"/>
      <c r="AP413" s="1438"/>
      <c r="AQ413" s="778"/>
      <c r="AR413" s="778"/>
      <c r="AS413" s="1640"/>
      <c r="AT413" s="1892"/>
      <c r="AU413" s="1394"/>
      <c r="AV413" s="1873"/>
      <c r="AW413" s="684"/>
      <c r="AX413" s="684"/>
      <c r="AY413" s="993"/>
      <c r="AZ413" s="1802"/>
      <c r="BA413" s="2091"/>
      <c r="BB413" s="1644"/>
      <c r="BC413" s="664"/>
      <c r="BD413" s="967"/>
      <c r="BE413" s="965"/>
      <c r="BF413" s="1794"/>
      <c r="BG413" s="1794"/>
      <c r="BH413" s="1794"/>
      <c r="BI413" s="1556"/>
      <c r="BJ413" s="1878"/>
      <c r="BK413" s="1636"/>
      <c r="BL413" s="1561"/>
      <c r="BM413" s="1428"/>
      <c r="BN413" s="1960"/>
      <c r="BO413" s="1580"/>
      <c r="BP413" s="1107"/>
      <c r="BQ413" s="1107"/>
      <c r="BR413" s="1191"/>
      <c r="BS413" s="182"/>
      <c r="BT413" s="2869"/>
      <c r="BU413" s="1734"/>
      <c r="BV413" s="1580"/>
      <c r="BW413" s="1107"/>
      <c r="BX413" s="1107"/>
      <c r="BY413" s="1191"/>
      <c r="BZ413" s="183"/>
      <c r="CA413" s="183"/>
      <c r="CB413" s="1737"/>
      <c r="CC413" s="504"/>
      <c r="CD413" s="2871"/>
      <c r="CE413" s="504"/>
    </row>
    <row r="414" spans="1:83" ht="13.5" customHeight="1" x14ac:dyDescent="0.4">
      <c r="A414" s="249"/>
      <c r="B414" s="249"/>
      <c r="C414" s="584">
        <v>0.77777777777777601</v>
      </c>
      <c r="D414" s="1948"/>
      <c r="E414" s="1963"/>
      <c r="F414" s="1964"/>
      <c r="G414" s="1948"/>
      <c r="H414" s="1963"/>
      <c r="I414" s="1951"/>
      <c r="J414" s="1948"/>
      <c r="K414" s="1964"/>
      <c r="L414" s="1951"/>
      <c r="M414" s="2092"/>
      <c r="N414" s="2093"/>
      <c r="O414" s="2808"/>
      <c r="P414" s="1948"/>
      <c r="Q414" s="1964"/>
      <c r="R414" s="1951"/>
      <c r="S414" s="2807"/>
      <c r="T414" s="2092"/>
      <c r="U414" s="1953"/>
      <c r="V414" s="1954"/>
      <c r="W414" s="1948"/>
      <c r="X414" s="1954"/>
      <c r="Y414" s="2092"/>
      <c r="Z414" s="2093"/>
      <c r="AA414" s="2808"/>
      <c r="AB414" s="1953"/>
      <c r="AC414" s="1953"/>
      <c r="AD414" s="1953"/>
      <c r="AE414" s="1157"/>
      <c r="AF414" s="1136"/>
      <c r="AG414" s="1157"/>
      <c r="AH414" s="1160"/>
      <c r="AI414" s="1645"/>
      <c r="AJ414" s="1160"/>
      <c r="AK414" s="1285"/>
      <c r="AL414" s="1200"/>
      <c r="AM414" s="1969"/>
      <c r="AN414" s="1273"/>
      <c r="AO414" s="1273"/>
      <c r="AP414" s="1438"/>
      <c r="AQ414" s="778"/>
      <c r="AR414" s="778"/>
      <c r="AS414" s="1640"/>
      <c r="AT414" s="1394"/>
      <c r="AU414" s="1392"/>
      <c r="AV414" s="1873"/>
      <c r="AW414" s="684"/>
      <c r="AX414" s="684"/>
      <c r="AY414" s="783"/>
      <c r="AZ414" s="1802"/>
      <c r="BA414" s="1802"/>
      <c r="BB414" s="1802"/>
      <c r="BC414" s="664"/>
      <c r="BD414" s="967"/>
      <c r="BE414" s="965"/>
      <c r="BF414" s="1862"/>
      <c r="BG414" s="1859"/>
      <c r="BH414" s="2015"/>
      <c r="BI414" s="1556"/>
      <c r="BJ414" s="1878"/>
      <c r="BK414" s="1998"/>
      <c r="BL414" s="1561"/>
      <c r="BM414" s="1428"/>
      <c r="BN414" s="1960"/>
      <c r="BO414" s="1580"/>
      <c r="BP414" s="1107"/>
      <c r="BQ414" s="1107"/>
      <c r="BR414" s="1191"/>
      <c r="BS414" s="182"/>
      <c r="BT414" s="2869"/>
      <c r="BU414" s="1734"/>
      <c r="BV414" s="1580"/>
      <c r="BW414" s="1107"/>
      <c r="BX414" s="1107"/>
      <c r="BY414" s="1191"/>
      <c r="BZ414" s="183"/>
      <c r="CA414" s="183"/>
      <c r="CB414" s="1737"/>
      <c r="CC414" s="504"/>
      <c r="CD414" s="2871"/>
      <c r="CE414" s="504"/>
    </row>
    <row r="415" spans="1:83" ht="26.1" customHeight="1" x14ac:dyDescent="0.4">
      <c r="A415" s="249"/>
      <c r="B415" s="249"/>
      <c r="C415" s="584">
        <v>0.781249999999999</v>
      </c>
      <c r="D415" s="1948"/>
      <c r="E415" s="1963"/>
      <c r="F415" s="1964"/>
      <c r="G415" s="1948"/>
      <c r="H415" s="1963"/>
      <c r="I415" s="1951"/>
      <c r="J415" s="1948"/>
      <c r="K415" s="1964"/>
      <c r="L415" s="1951"/>
      <c r="M415" s="2092"/>
      <c r="N415" s="2093"/>
      <c r="O415" s="2808"/>
      <c r="P415" s="1948"/>
      <c r="Q415" s="1964"/>
      <c r="R415" s="1951"/>
      <c r="S415" s="2807"/>
      <c r="T415" s="2092"/>
      <c r="U415" s="1953"/>
      <c r="V415" s="1954"/>
      <c r="W415" s="1948"/>
      <c r="X415" s="1954"/>
      <c r="Y415" s="2092"/>
      <c r="Z415" s="2093"/>
      <c r="AA415" s="2808"/>
      <c r="AB415" s="1953"/>
      <c r="AC415" s="1953"/>
      <c r="AD415" s="1953"/>
      <c r="AE415" s="1385"/>
      <c r="AF415" s="1385" t="s">
        <v>332</v>
      </c>
      <c r="AG415" s="1408"/>
      <c r="AH415" s="1159"/>
      <c r="AI415" s="1160" t="s">
        <v>331</v>
      </c>
      <c r="AJ415" s="1160"/>
      <c r="AK415" s="1285"/>
      <c r="AL415" s="1200"/>
      <c r="AM415" s="1969"/>
      <c r="AN415" s="1273"/>
      <c r="AO415" s="1273"/>
      <c r="AP415" s="1438"/>
      <c r="AQ415" s="778"/>
      <c r="AR415" s="778"/>
      <c r="AS415" s="1640"/>
      <c r="AT415" s="1394"/>
      <c r="AU415" s="1394"/>
      <c r="AV415" s="1394"/>
      <c r="AW415" s="684"/>
      <c r="AX415" s="1331" t="s">
        <v>535</v>
      </c>
      <c r="AY415" s="783"/>
      <c r="AZ415" s="1802"/>
      <c r="BA415" s="1802"/>
      <c r="BB415" s="1644"/>
      <c r="BC415" s="687"/>
      <c r="BD415" s="967" t="s">
        <v>379</v>
      </c>
      <c r="BE415" s="967"/>
      <c r="BF415" s="1862"/>
      <c r="BG415" s="1896" t="s">
        <v>379</v>
      </c>
      <c r="BH415" s="2015"/>
      <c r="BI415" s="1556"/>
      <c r="BJ415" s="2094" t="s">
        <v>334</v>
      </c>
      <c r="BK415" s="1556"/>
      <c r="BL415" s="1576"/>
      <c r="BM415" s="1169" t="s">
        <v>371</v>
      </c>
      <c r="BN415" s="1168"/>
      <c r="BO415" s="1107"/>
      <c r="BP415" s="1622"/>
      <c r="BQ415" s="1107"/>
      <c r="BR415" s="1107"/>
      <c r="BS415" s="1733"/>
      <c r="BT415" s="2869"/>
      <c r="BU415" s="182"/>
      <c r="BV415" s="1107"/>
      <c r="BW415" s="1622"/>
      <c r="BX415" s="1107"/>
      <c r="BY415" s="1107"/>
      <c r="BZ415" s="1736"/>
      <c r="CA415" s="183"/>
      <c r="CB415" s="183"/>
      <c r="CC415" s="504"/>
      <c r="CD415" s="2871"/>
      <c r="CE415" s="504"/>
    </row>
    <row r="416" spans="1:83" ht="19.350000000000001" customHeight="1" x14ac:dyDescent="0.4">
      <c r="A416" s="249"/>
      <c r="B416" s="249"/>
      <c r="C416" s="584" t="s">
        <v>307</v>
      </c>
      <c r="D416" s="1948"/>
      <c r="E416" s="1963"/>
      <c r="F416" s="1964"/>
      <c r="G416" s="1948"/>
      <c r="H416" s="1963"/>
      <c r="I416" s="1951"/>
      <c r="J416" s="1948"/>
      <c r="K416" s="1964"/>
      <c r="L416" s="1951"/>
      <c r="M416" s="1948"/>
      <c r="N416" s="1962"/>
      <c r="O416" s="1948"/>
      <c r="P416" s="1948"/>
      <c r="Q416" s="1964"/>
      <c r="R416" s="1951"/>
      <c r="S416" s="1954"/>
      <c r="T416" s="1948"/>
      <c r="U416" s="1948"/>
      <c r="V416" s="1954"/>
      <c r="W416" s="1948"/>
      <c r="X416" s="1954"/>
      <c r="Y416" s="1948"/>
      <c r="Z416" s="1962"/>
      <c r="AA416" s="1948"/>
      <c r="AB416" s="1948"/>
      <c r="AC416" s="1948"/>
      <c r="AD416" s="1948"/>
      <c r="AE416" s="1157"/>
      <c r="AF416" s="1429"/>
      <c r="AG416" s="1157"/>
      <c r="AH416" s="1164"/>
      <c r="AI416" s="1139" t="s">
        <v>366</v>
      </c>
      <c r="AJ416" s="1165"/>
      <c r="AK416" s="1285"/>
      <c r="AL416" s="1200"/>
      <c r="AM416" s="1969"/>
      <c r="AN416" s="1872"/>
      <c r="AO416" s="1421"/>
      <c r="AP416" s="1761"/>
      <c r="AQ416" s="778"/>
      <c r="AR416" s="778"/>
      <c r="AS416" s="1640"/>
      <c r="AT416" s="1452"/>
      <c r="AU416" s="1394"/>
      <c r="AV416" s="1460"/>
      <c r="AW416" s="1781"/>
      <c r="AX416" s="684"/>
      <c r="AY416" s="783"/>
      <c r="AZ416" s="1802"/>
      <c r="BA416" s="1802"/>
      <c r="BB416" s="1644"/>
      <c r="BC416" s="687"/>
      <c r="BD416" s="967"/>
      <c r="BE416" s="687"/>
      <c r="BF416" s="1794"/>
      <c r="BG416" s="1862" t="s">
        <v>533</v>
      </c>
      <c r="BH416" s="1794"/>
      <c r="BI416" s="1556"/>
      <c r="BJ416" s="1871"/>
      <c r="BK416" s="1778"/>
      <c r="BL416" s="1168"/>
      <c r="BM416" s="1562" t="s">
        <v>334</v>
      </c>
      <c r="BN416" s="1168"/>
      <c r="BO416" s="1107"/>
      <c r="BP416" s="1107"/>
      <c r="BQ416" s="1107"/>
      <c r="BR416" s="1191"/>
      <c r="BS416" s="182"/>
      <c r="BT416" s="2869"/>
      <c r="BU416" s="1734"/>
      <c r="BV416" s="1107"/>
      <c r="BW416" s="1107"/>
      <c r="BX416" s="1107"/>
      <c r="BY416" s="1191"/>
      <c r="BZ416" s="183"/>
      <c r="CA416" s="183"/>
      <c r="CB416" s="1737"/>
      <c r="CC416" s="504"/>
      <c r="CD416" s="2871"/>
      <c r="CE416" s="504"/>
    </row>
    <row r="417" spans="1:83" ht="21.6" customHeight="1" x14ac:dyDescent="0.4">
      <c r="A417" s="249"/>
      <c r="B417" s="249"/>
      <c r="C417" s="584" t="s">
        <v>307</v>
      </c>
      <c r="D417" s="1948"/>
      <c r="E417" s="1963"/>
      <c r="F417" s="1964"/>
      <c r="G417" s="1948"/>
      <c r="H417" s="1963"/>
      <c r="I417" s="1951"/>
      <c r="J417" s="1948"/>
      <c r="K417" s="1964"/>
      <c r="L417" s="1951"/>
      <c r="M417" s="1948"/>
      <c r="N417" s="1962"/>
      <c r="O417" s="1948"/>
      <c r="P417" s="1948"/>
      <c r="Q417" s="1964"/>
      <c r="R417" s="1951"/>
      <c r="S417" s="1954"/>
      <c r="T417" s="1948"/>
      <c r="U417" s="1948"/>
      <c r="V417" s="1954"/>
      <c r="W417" s="1948"/>
      <c r="X417" s="1954"/>
      <c r="Y417" s="1948"/>
      <c r="Z417" s="1962"/>
      <c r="AA417" s="1948"/>
      <c r="AB417" s="1948"/>
      <c r="AC417" s="1948"/>
      <c r="AD417" s="1948"/>
      <c r="AE417" s="1157"/>
      <c r="AF417" s="1157"/>
      <c r="AG417" s="1157"/>
      <c r="AH417" s="793"/>
      <c r="AI417" s="793" t="s">
        <v>336</v>
      </c>
      <c r="AJ417" s="1430"/>
      <c r="AK417" s="1285"/>
      <c r="AL417" s="1200"/>
      <c r="AM417" s="1969"/>
      <c r="AN417" s="1872"/>
      <c r="AO417" s="1421"/>
      <c r="AP417" s="1761"/>
      <c r="AQ417" s="778"/>
      <c r="AR417" s="778"/>
      <c r="AS417" s="1640"/>
      <c r="AT417" s="1452"/>
      <c r="AU417" s="1394"/>
      <c r="AV417" s="1460"/>
      <c r="AW417" s="1781"/>
      <c r="AX417" s="684"/>
      <c r="AY417" s="783"/>
      <c r="AZ417" s="1802"/>
      <c r="BA417" s="1802"/>
      <c r="BB417" s="1644"/>
      <c r="BC417" s="687"/>
      <c r="BD417" s="967"/>
      <c r="BE417" s="687"/>
      <c r="BF417" s="1862"/>
      <c r="BG417" s="1859" t="s">
        <v>351</v>
      </c>
      <c r="BH417" s="2015"/>
      <c r="BI417" s="1556"/>
      <c r="BJ417" s="1878"/>
      <c r="BK417" s="1881"/>
      <c r="BL417" s="1168"/>
      <c r="BM417" s="1428"/>
      <c r="BN417" s="1168"/>
      <c r="BO417" s="1107"/>
      <c r="BP417" s="1622"/>
      <c r="BQ417" s="2095"/>
      <c r="BR417" s="1614"/>
      <c r="BS417" s="1733"/>
      <c r="BT417" s="2869"/>
      <c r="BU417" s="1783"/>
      <c r="BV417" s="1107"/>
      <c r="BW417" s="1622"/>
      <c r="BX417" s="2095"/>
      <c r="BY417" s="1614"/>
      <c r="BZ417" s="1736"/>
      <c r="CA417" s="183"/>
      <c r="CB417" s="1784"/>
      <c r="CC417" s="504"/>
      <c r="CD417" s="2871"/>
      <c r="CE417" s="504"/>
    </row>
    <row r="418" spans="1:83" ht="27.75" customHeight="1" x14ac:dyDescent="0.4">
      <c r="A418" s="249"/>
      <c r="B418" s="249"/>
      <c r="C418" s="584">
        <v>0.78472222222222099</v>
      </c>
      <c r="D418" s="1948"/>
      <c r="E418" s="1963"/>
      <c r="F418" s="1964"/>
      <c r="G418" s="1948"/>
      <c r="H418" s="1963"/>
      <c r="I418" s="1951"/>
      <c r="J418" s="1948"/>
      <c r="K418" s="1964"/>
      <c r="L418" s="1951"/>
      <c r="M418" s="1948"/>
      <c r="N418" s="1962"/>
      <c r="O418" s="1948"/>
      <c r="P418" s="1948"/>
      <c r="Q418" s="1964"/>
      <c r="R418" s="1951"/>
      <c r="S418" s="1954"/>
      <c r="T418" s="1948"/>
      <c r="U418" s="1948"/>
      <c r="V418" s="1954"/>
      <c r="W418" s="1948"/>
      <c r="X418" s="1954"/>
      <c r="Y418" s="1948"/>
      <c r="Z418" s="1962"/>
      <c r="AA418" s="1948"/>
      <c r="AB418" s="1948"/>
      <c r="AC418" s="1948"/>
      <c r="AD418" s="1948"/>
      <c r="AE418" s="1157"/>
      <c r="AF418" s="1157"/>
      <c r="AG418" s="2070"/>
      <c r="AH418" s="1160"/>
      <c r="AI418" s="1160"/>
      <c r="AJ418" s="1256"/>
      <c r="AK418" s="1285"/>
      <c r="AL418" s="2553" t="s">
        <v>470</v>
      </c>
      <c r="AM418" s="1531"/>
      <c r="AN418" s="1273"/>
      <c r="AO418" s="1273"/>
      <c r="AP418" s="1438"/>
      <c r="AQ418" s="778"/>
      <c r="AR418" s="778"/>
      <c r="AS418" s="1640"/>
      <c r="AT418" s="1394"/>
      <c r="AU418" s="1394"/>
      <c r="AV418" s="2002"/>
      <c r="AW418" s="684"/>
      <c r="AX418" s="684"/>
      <c r="AY418" s="783"/>
      <c r="AZ418" s="1802"/>
      <c r="BA418" s="1802"/>
      <c r="BB418" s="1644"/>
      <c r="BC418" s="687"/>
      <c r="BD418" s="1374"/>
      <c r="BE418" s="908"/>
      <c r="BF418" s="1862"/>
      <c r="BG418" s="1859"/>
      <c r="BH418" s="2015"/>
      <c r="BI418" s="1556"/>
      <c r="BJ418" s="1878"/>
      <c r="BK418" s="2078"/>
      <c r="BL418" s="1168"/>
      <c r="BM418" s="1428"/>
      <c r="BN418" s="1630"/>
      <c r="BO418" s="1107"/>
      <c r="BP418" s="1107"/>
      <c r="BQ418" s="2096"/>
      <c r="BR418" s="1191"/>
      <c r="BS418" s="182"/>
      <c r="BT418" s="2869"/>
      <c r="BU418" s="1734"/>
      <c r="BV418" s="1107"/>
      <c r="BW418" s="1107"/>
      <c r="BX418" s="2096"/>
      <c r="BY418" s="1191"/>
      <c r="BZ418" s="183"/>
      <c r="CA418" s="183"/>
      <c r="CB418" s="1737"/>
      <c r="CC418" s="504"/>
      <c r="CD418" s="2871"/>
      <c r="CE418" s="504"/>
    </row>
    <row r="419" spans="1:83" ht="16.350000000000001" customHeight="1" x14ac:dyDescent="0.4">
      <c r="A419" s="249"/>
      <c r="B419" s="249"/>
      <c r="C419" s="584" t="s">
        <v>307</v>
      </c>
      <c r="D419" s="1948"/>
      <c r="E419" s="1963"/>
      <c r="F419" s="1964"/>
      <c r="G419" s="1948"/>
      <c r="H419" s="1963"/>
      <c r="I419" s="1951"/>
      <c r="J419" s="1948"/>
      <c r="K419" s="1964"/>
      <c r="L419" s="1951"/>
      <c r="M419" s="1948"/>
      <c r="N419" s="1962"/>
      <c r="O419" s="1948"/>
      <c r="P419" s="1948"/>
      <c r="Q419" s="1964"/>
      <c r="R419" s="1951"/>
      <c r="S419" s="1954"/>
      <c r="T419" s="1948"/>
      <c r="U419" s="1948"/>
      <c r="V419" s="1954"/>
      <c r="W419" s="1948"/>
      <c r="X419" s="1954"/>
      <c r="Y419" s="1948"/>
      <c r="Z419" s="1962"/>
      <c r="AA419" s="1948"/>
      <c r="AB419" s="1948"/>
      <c r="AC419" s="1948"/>
      <c r="AD419" s="1948"/>
      <c r="AE419" s="1157"/>
      <c r="AF419" s="1157"/>
      <c r="AG419" s="2070"/>
      <c r="AH419" s="1160"/>
      <c r="AI419" s="1160"/>
      <c r="AJ419" s="1904"/>
      <c r="AK419" s="1285"/>
      <c r="AL419" s="1202"/>
      <c r="AM419" s="1969"/>
      <c r="AN419" s="1273"/>
      <c r="AO419" s="1273"/>
      <c r="AP419" s="1438"/>
      <c r="AQ419" s="778"/>
      <c r="AR419" s="778"/>
      <c r="AS419" s="1640"/>
      <c r="AT419" s="1394"/>
      <c r="AU419" s="1394"/>
      <c r="AV419" s="2002"/>
      <c r="AW419" s="684"/>
      <c r="AX419" s="684"/>
      <c r="AY419" s="783"/>
      <c r="AZ419" s="1802"/>
      <c r="BA419" s="1802"/>
      <c r="BB419" s="1644"/>
      <c r="BC419" s="687"/>
      <c r="BD419" s="1374"/>
      <c r="BE419" s="908"/>
      <c r="BF419" s="1794"/>
      <c r="BG419" s="1978"/>
      <c r="BH419" s="1883"/>
      <c r="BI419" s="1556"/>
      <c r="BJ419" s="1878"/>
      <c r="BK419" s="1881"/>
      <c r="BL419" s="1168"/>
      <c r="BM419" s="1428"/>
      <c r="BN419" s="1630"/>
      <c r="BO419" s="1107"/>
      <c r="BP419" s="1107"/>
      <c r="BQ419" s="1107"/>
      <c r="BR419" s="1614"/>
      <c r="BS419" s="182"/>
      <c r="BT419" s="2869"/>
      <c r="BU419" s="1783"/>
      <c r="BV419" s="1107"/>
      <c r="BW419" s="1107"/>
      <c r="BX419" s="1107"/>
      <c r="BY419" s="1614"/>
      <c r="BZ419" s="183"/>
      <c r="CA419" s="183"/>
      <c r="CB419" s="1784"/>
      <c r="CC419" s="504"/>
      <c r="CD419" s="2871"/>
      <c r="CE419" s="504"/>
    </row>
    <row r="420" spans="1:83" ht="13.5" customHeight="1" x14ac:dyDescent="0.4">
      <c r="A420" s="249"/>
      <c r="B420" s="249"/>
      <c r="C420" s="584" t="s">
        <v>307</v>
      </c>
      <c r="D420" s="1948"/>
      <c r="E420" s="1963"/>
      <c r="F420" s="1964"/>
      <c r="G420" s="1948"/>
      <c r="H420" s="1963"/>
      <c r="I420" s="1951"/>
      <c r="J420" s="1948"/>
      <c r="K420" s="1964"/>
      <c r="L420" s="1951"/>
      <c r="M420" s="1948"/>
      <c r="N420" s="1962"/>
      <c r="O420" s="1948"/>
      <c r="P420" s="1948"/>
      <c r="Q420" s="1964"/>
      <c r="R420" s="1951"/>
      <c r="S420" s="1954"/>
      <c r="T420" s="1948"/>
      <c r="U420" s="1948"/>
      <c r="V420" s="1954"/>
      <c r="W420" s="1948"/>
      <c r="X420" s="1954"/>
      <c r="Y420" s="1948"/>
      <c r="Z420" s="1962"/>
      <c r="AA420" s="1948"/>
      <c r="AB420" s="1948"/>
      <c r="AC420" s="1948"/>
      <c r="AD420" s="1948"/>
      <c r="AE420" s="1157"/>
      <c r="AF420" s="1157"/>
      <c r="AG420" s="2070"/>
      <c r="AH420" s="1160"/>
      <c r="AI420" s="1160"/>
      <c r="AJ420" s="1904"/>
      <c r="AK420" s="1285"/>
      <c r="AL420" s="1272"/>
      <c r="AM420" s="1531"/>
      <c r="AN420" s="1273"/>
      <c r="AO420" s="1273"/>
      <c r="AP420" s="1438"/>
      <c r="AQ420" s="778"/>
      <c r="AR420" s="778"/>
      <c r="AS420" s="1640"/>
      <c r="AT420" s="1394"/>
      <c r="AU420" s="1394"/>
      <c r="AV420" s="1460"/>
      <c r="AW420" s="684"/>
      <c r="AX420" s="684"/>
      <c r="AY420" s="783"/>
      <c r="AZ420" s="1802"/>
      <c r="BA420" s="1802"/>
      <c r="BB420" s="1644"/>
      <c r="BC420" s="687"/>
      <c r="BD420" s="967"/>
      <c r="BE420" s="687"/>
      <c r="BF420" s="1794"/>
      <c r="BG420" s="1978"/>
      <c r="BH420" s="1401"/>
      <c r="BI420" s="1556"/>
      <c r="BJ420" s="1878"/>
      <c r="BK420" s="1789"/>
      <c r="BL420" s="1168"/>
      <c r="BM420" s="1428"/>
      <c r="BN420" s="1168"/>
      <c r="BO420" s="1107"/>
      <c r="BP420" s="1107"/>
      <c r="BQ420" s="1107"/>
      <c r="BR420" s="1191"/>
      <c r="BS420" s="182"/>
      <c r="BT420" s="2869"/>
      <c r="BU420" s="1734"/>
      <c r="BV420" s="1107"/>
      <c r="BW420" s="1107"/>
      <c r="BX420" s="1107"/>
      <c r="BY420" s="1191"/>
      <c r="BZ420" s="183"/>
      <c r="CA420" s="183"/>
      <c r="CB420" s="1737"/>
      <c r="CC420" s="504"/>
      <c r="CD420" s="2871"/>
      <c r="CE420" s="504"/>
    </row>
    <row r="421" spans="1:83" ht="13.5" customHeight="1" x14ac:dyDescent="0.4">
      <c r="A421" s="249"/>
      <c r="B421" s="249"/>
      <c r="C421" s="621">
        <v>0.78819444444444298</v>
      </c>
      <c r="D421" s="1948"/>
      <c r="E421" s="1963"/>
      <c r="F421" s="1964"/>
      <c r="G421" s="1948"/>
      <c r="H421" s="1963"/>
      <c r="I421" s="2097"/>
      <c r="J421" s="1948"/>
      <c r="K421" s="1964"/>
      <c r="L421" s="2097"/>
      <c r="M421" s="1948"/>
      <c r="N421" s="1962"/>
      <c r="O421" s="1948"/>
      <c r="P421" s="1948"/>
      <c r="Q421" s="1964"/>
      <c r="R421" s="2097"/>
      <c r="S421" s="1954"/>
      <c r="T421" s="1948"/>
      <c r="U421" s="1948"/>
      <c r="V421" s="2027"/>
      <c r="W421" s="2024"/>
      <c r="X421" s="2027"/>
      <c r="Y421" s="1948"/>
      <c r="Z421" s="1962"/>
      <c r="AA421" s="1948"/>
      <c r="AB421" s="1962"/>
      <c r="AC421" s="1962"/>
      <c r="AD421" s="1962"/>
      <c r="AE421" s="2098"/>
      <c r="AF421" s="2099"/>
      <c r="AG421" s="2100"/>
      <c r="AH421" s="2101"/>
      <c r="AI421" s="2102"/>
      <c r="AJ421" s="2103"/>
      <c r="AK421" s="1920"/>
      <c r="AL421" s="1920"/>
      <c r="AM421" s="1922"/>
      <c r="AN421" s="1500"/>
      <c r="AO421" s="2104"/>
      <c r="AP421" s="1923"/>
      <c r="AQ421" s="1692"/>
      <c r="AR421" s="1692"/>
      <c r="AS421" s="2030"/>
      <c r="AT421" s="1505"/>
      <c r="AU421" s="1505"/>
      <c r="AV421" s="1927"/>
      <c r="AW421" s="814"/>
      <c r="AX421" s="814"/>
      <c r="AY421" s="1020"/>
      <c r="AZ421" s="1837"/>
      <c r="BA421" s="1837"/>
      <c r="BB421" s="1837"/>
      <c r="BC421" s="1932"/>
      <c r="BD421" s="2105"/>
      <c r="BE421" s="1021"/>
      <c r="BF421" s="1697"/>
      <c r="BG421" s="2106"/>
      <c r="BH421" s="1512"/>
      <c r="BI421" s="1698"/>
      <c r="BJ421" s="2107"/>
      <c r="BK421" s="1840"/>
      <c r="BL421" s="1700"/>
      <c r="BM421" s="2108"/>
      <c r="BN421" s="2109"/>
      <c r="BO421" s="1107"/>
      <c r="BP421" s="1702"/>
      <c r="BQ421" s="1702"/>
      <c r="BR421" s="2110"/>
      <c r="BS421" s="243"/>
      <c r="BT421" s="2870"/>
      <c r="BU421" s="2111"/>
      <c r="BV421" s="1107"/>
      <c r="BW421" s="1702"/>
      <c r="BX421" s="1702"/>
      <c r="BY421" s="2110"/>
      <c r="BZ421" s="245"/>
      <c r="CA421" s="245"/>
      <c r="CB421" s="2112"/>
      <c r="CC421" s="504"/>
      <c r="CD421" s="2872"/>
      <c r="CE421" s="504"/>
    </row>
    <row r="422" spans="1:83" ht="26.1" customHeight="1" x14ac:dyDescent="0.4">
      <c r="A422" s="249"/>
      <c r="B422" s="249"/>
      <c r="C422" s="622">
        <v>0.79166666666666696</v>
      </c>
      <c r="D422" s="2113"/>
      <c r="E422" s="2114"/>
      <c r="F422" s="2115"/>
      <c r="G422" s="2113"/>
      <c r="H422" s="2114"/>
      <c r="I422" s="1951"/>
      <c r="J422" s="2113"/>
      <c r="K422" s="2115"/>
      <c r="L422" s="1951"/>
      <c r="M422" s="2113"/>
      <c r="N422" s="2117"/>
      <c r="O422" s="2113"/>
      <c r="P422" s="2113"/>
      <c r="Q422" s="2115"/>
      <c r="R422" s="1951"/>
      <c r="S422" s="2116"/>
      <c r="T422" s="2113"/>
      <c r="U422" s="2113"/>
      <c r="V422" s="1954"/>
      <c r="W422" s="1948"/>
      <c r="X422" s="1954"/>
      <c r="Y422" s="2113"/>
      <c r="Z422" s="2117"/>
      <c r="AA422" s="2113"/>
      <c r="AB422" s="1948"/>
      <c r="AC422" s="1948"/>
      <c r="AD422" s="1948"/>
      <c r="AE422" s="1385"/>
      <c r="AF422" s="1385" t="s">
        <v>332</v>
      </c>
      <c r="AG422" s="1408"/>
      <c r="AH422" s="1159"/>
      <c r="AI422" s="1160" t="s">
        <v>331</v>
      </c>
      <c r="AJ422" s="1160"/>
      <c r="AK422" s="1765"/>
      <c r="AL422" s="1449"/>
      <c r="AM422" s="1531"/>
      <c r="AN422" s="1273"/>
      <c r="AO422" s="1331" t="s">
        <v>536</v>
      </c>
      <c r="AP422" s="1438"/>
      <c r="AQ422" s="778"/>
      <c r="AR422" s="1331" t="s">
        <v>537</v>
      </c>
      <c r="AS422" s="1640"/>
      <c r="AT422" s="1452"/>
      <c r="AU422" s="2118"/>
      <c r="AV422" s="1394"/>
      <c r="AW422" s="1395"/>
      <c r="AX422" s="1331" t="s">
        <v>538</v>
      </c>
      <c r="AY422" s="1022"/>
      <c r="AZ422" s="1802"/>
      <c r="BA422" s="1802"/>
      <c r="BB422" s="1644"/>
      <c r="BC422" s="687"/>
      <c r="BD422" s="967" t="s">
        <v>379</v>
      </c>
      <c r="BE422" s="687"/>
      <c r="BF422" s="1794"/>
      <c r="BG422" s="1794" t="s">
        <v>379</v>
      </c>
      <c r="BH422" s="1794"/>
      <c r="BI422" s="1556"/>
      <c r="BJ422" s="1556" t="s">
        <v>371</v>
      </c>
      <c r="BK422" s="1789"/>
      <c r="BL422" s="1576"/>
      <c r="BM422" s="1169" t="s">
        <v>350</v>
      </c>
      <c r="BN422" s="1168"/>
      <c r="BO422" s="1097"/>
      <c r="BP422" s="1580"/>
      <c r="BQ422" s="1107"/>
      <c r="BR422" s="1191"/>
      <c r="BS422" s="2119"/>
      <c r="BT422" s="182"/>
      <c r="BU422" s="1734"/>
      <c r="BV422" s="1097"/>
      <c r="BW422" s="1580"/>
      <c r="BX422" s="1107"/>
      <c r="BY422" s="1191"/>
      <c r="BZ422" s="1893"/>
      <c r="CA422" s="2848" t="s">
        <v>499</v>
      </c>
      <c r="CB422" s="1737"/>
      <c r="CC422" s="2120"/>
      <c r="CD422" s="2566" t="s">
        <v>539</v>
      </c>
      <c r="CE422" s="1740"/>
    </row>
    <row r="423" spans="1:83" ht="30" customHeight="1" x14ac:dyDescent="0.4">
      <c r="A423" s="249"/>
      <c r="B423" s="249"/>
      <c r="C423" s="584" t="s">
        <v>307</v>
      </c>
      <c r="D423" s="1948"/>
      <c r="E423" s="1949"/>
      <c r="F423" s="1950"/>
      <c r="G423" s="1948"/>
      <c r="H423" s="1949"/>
      <c r="I423" s="1951"/>
      <c r="J423" s="1948"/>
      <c r="K423" s="1950"/>
      <c r="L423" s="1951"/>
      <c r="M423" s="1948"/>
      <c r="N423" s="1962"/>
      <c r="O423" s="1948"/>
      <c r="P423" s="1948"/>
      <c r="Q423" s="1950"/>
      <c r="R423" s="1951"/>
      <c r="S423" s="1954"/>
      <c r="T423" s="1948"/>
      <c r="U423" s="1948"/>
      <c r="V423" s="1954"/>
      <c r="W423" s="1948"/>
      <c r="X423" s="1954"/>
      <c r="Y423" s="1948"/>
      <c r="Z423" s="1962"/>
      <c r="AA423" s="1948"/>
      <c r="AB423" s="1948"/>
      <c r="AC423" s="1948"/>
      <c r="AD423" s="1948"/>
      <c r="AE423" s="1157"/>
      <c r="AF423" s="1429"/>
      <c r="AG423" s="1157"/>
      <c r="AH423" s="1164"/>
      <c r="AI423" s="1139" t="s">
        <v>366</v>
      </c>
      <c r="AJ423" s="1165"/>
      <c r="AK423" s="1285"/>
      <c r="AL423" s="1285"/>
      <c r="AM423" s="1531"/>
      <c r="AN423" s="1872"/>
      <c r="AO423" s="1723" t="s">
        <v>540</v>
      </c>
      <c r="AP423" s="1603"/>
      <c r="AQ423" s="778"/>
      <c r="AR423" s="778"/>
      <c r="AS423" s="1640"/>
      <c r="AT423" s="1452"/>
      <c r="AU423" s="2118"/>
      <c r="AV423" s="1460"/>
      <c r="AW423" s="1538"/>
      <c r="AX423" s="1395"/>
      <c r="AY423" s="1585"/>
      <c r="AZ423" s="1802"/>
      <c r="BA423" s="1802"/>
      <c r="BB423" s="1802"/>
      <c r="BC423" s="1958"/>
      <c r="BD423" s="1555"/>
      <c r="BE423" s="965"/>
      <c r="BF423" s="1862"/>
      <c r="BG423" s="1859" t="s">
        <v>522</v>
      </c>
      <c r="BH423" s="2015"/>
      <c r="BI423" s="1556"/>
      <c r="BJ423" s="2121" t="s">
        <v>334</v>
      </c>
      <c r="BK423" s="1778"/>
      <c r="BL423" s="1168"/>
      <c r="BM423" s="1428"/>
      <c r="BN423" s="1960"/>
      <c r="BO423" s="1107"/>
      <c r="BP423" s="1107"/>
      <c r="BQ423" s="1107"/>
      <c r="BR423" s="1614"/>
      <c r="BS423" s="182"/>
      <c r="BT423" s="182"/>
      <c r="BU423" s="1783"/>
      <c r="BV423" s="1107"/>
      <c r="BW423" s="1107"/>
      <c r="BX423" s="1107"/>
      <c r="BY423" s="1614"/>
      <c r="BZ423" s="183"/>
      <c r="CA423" s="2846"/>
      <c r="CB423" s="1784"/>
      <c r="CC423" s="184"/>
      <c r="CD423" s="2259"/>
      <c r="CE423" s="1785"/>
    </row>
    <row r="424" spans="1:83" ht="17.100000000000001" customHeight="1" x14ac:dyDescent="0.4">
      <c r="A424" s="249"/>
      <c r="B424" s="249"/>
      <c r="C424" s="584" t="s">
        <v>307</v>
      </c>
      <c r="D424" s="1948"/>
      <c r="E424" s="1949"/>
      <c r="F424" s="1950"/>
      <c r="G424" s="1948"/>
      <c r="H424" s="1949"/>
      <c r="I424" s="1951"/>
      <c r="J424" s="1948"/>
      <c r="K424" s="1950"/>
      <c r="L424" s="1951"/>
      <c r="M424" s="1948"/>
      <c r="N424" s="1962"/>
      <c r="O424" s="1948"/>
      <c r="P424" s="1948"/>
      <c r="Q424" s="1950"/>
      <c r="R424" s="1951"/>
      <c r="S424" s="1954"/>
      <c r="T424" s="1948"/>
      <c r="U424" s="1948"/>
      <c r="V424" s="1954"/>
      <c r="W424" s="1948"/>
      <c r="X424" s="1954"/>
      <c r="Y424" s="1948"/>
      <c r="Z424" s="1962"/>
      <c r="AA424" s="1948"/>
      <c r="AB424" s="1948"/>
      <c r="AC424" s="1948"/>
      <c r="AD424" s="1948"/>
      <c r="AE424" s="1157"/>
      <c r="AF424" s="1157"/>
      <c r="AG424" s="1157"/>
      <c r="AH424" s="1160"/>
      <c r="AI424" s="1159" t="s">
        <v>353</v>
      </c>
      <c r="AJ424" s="1256"/>
      <c r="AK424" s="1285"/>
      <c r="AL424" s="1449"/>
      <c r="AM424" s="1531"/>
      <c r="AN424" s="1450"/>
      <c r="AO424" s="2123"/>
      <c r="AP424" s="1438"/>
      <c r="AQ424" s="778"/>
      <c r="AR424" s="778"/>
      <c r="AS424" s="1640"/>
      <c r="AT424" s="1452"/>
      <c r="AU424" s="2118"/>
      <c r="AV424" s="1460"/>
      <c r="AW424" s="1781"/>
      <c r="AX424" s="1395"/>
      <c r="AY424" s="783"/>
      <c r="AZ424" s="1802"/>
      <c r="BA424" s="1802"/>
      <c r="BB424" s="1644"/>
      <c r="BC424" s="664"/>
      <c r="BD424" s="975"/>
      <c r="BE424" s="965"/>
      <c r="BF424" s="1862"/>
      <c r="BG424" s="1859" t="s">
        <v>351</v>
      </c>
      <c r="BH424" s="2015"/>
      <c r="BI424" s="1556"/>
      <c r="BJ424" s="1556"/>
      <c r="BK424" s="1881"/>
      <c r="BL424" s="1576"/>
      <c r="BM424" s="1428"/>
      <c r="BN424" s="1960"/>
      <c r="BO424" s="1107"/>
      <c r="BP424" s="1107"/>
      <c r="BQ424" s="2124"/>
      <c r="BR424" s="1107"/>
      <c r="BS424" s="182"/>
      <c r="BT424" s="182"/>
      <c r="BU424" s="182"/>
      <c r="BV424" s="1107"/>
      <c r="BW424" s="1107"/>
      <c r="BX424" s="2124"/>
      <c r="BY424" s="1107"/>
      <c r="BZ424" s="183"/>
      <c r="CA424" s="2846"/>
      <c r="CB424" s="183"/>
      <c r="CC424" s="184"/>
      <c r="CD424" s="2259"/>
      <c r="CE424" s="184"/>
    </row>
    <row r="425" spans="1:83" ht="20.100000000000001" customHeight="1" x14ac:dyDescent="0.4">
      <c r="A425" s="249"/>
      <c r="B425" s="249"/>
      <c r="C425" s="584" t="s">
        <v>307</v>
      </c>
      <c r="D425" s="1948"/>
      <c r="E425" s="1949"/>
      <c r="F425" s="1950"/>
      <c r="G425" s="1948"/>
      <c r="H425" s="1949"/>
      <c r="I425" s="1951"/>
      <c r="J425" s="1948"/>
      <c r="K425" s="1950"/>
      <c r="L425" s="1951"/>
      <c r="M425" s="1948"/>
      <c r="N425" s="1962"/>
      <c r="O425" s="1948"/>
      <c r="P425" s="1948"/>
      <c r="Q425" s="1950"/>
      <c r="R425" s="1951"/>
      <c r="S425" s="1954"/>
      <c r="T425" s="1948"/>
      <c r="U425" s="1948"/>
      <c r="V425" s="1954"/>
      <c r="W425" s="1948"/>
      <c r="X425" s="1954"/>
      <c r="Y425" s="1948"/>
      <c r="Z425" s="1962"/>
      <c r="AA425" s="1948"/>
      <c r="AB425" s="1948"/>
      <c r="AC425" s="1948"/>
      <c r="AD425" s="1948"/>
      <c r="AE425" s="1157"/>
      <c r="AF425" s="1157"/>
      <c r="AG425" s="1157"/>
      <c r="AH425" s="1160"/>
      <c r="AI425" s="1160"/>
      <c r="AJ425" s="1256"/>
      <c r="AK425" s="1285"/>
      <c r="AL425" s="1449"/>
      <c r="AM425" s="1531"/>
      <c r="AN425" s="1450"/>
      <c r="AO425" s="2123"/>
      <c r="AP425" s="1438"/>
      <c r="AQ425" s="778"/>
      <c r="AR425" s="778"/>
      <c r="AS425" s="1640"/>
      <c r="AT425" s="1452"/>
      <c r="AU425" s="1394"/>
      <c r="AV425" s="1873"/>
      <c r="AW425" s="1781"/>
      <c r="AX425" s="1395"/>
      <c r="AY425" s="783"/>
      <c r="AZ425" s="1802"/>
      <c r="BA425" s="1802"/>
      <c r="BB425" s="1644"/>
      <c r="BC425" s="664"/>
      <c r="BD425" s="975"/>
      <c r="BE425" s="965"/>
      <c r="BF425" s="1794"/>
      <c r="BG425" s="1978"/>
      <c r="BH425" s="1401"/>
      <c r="BI425" s="1814"/>
      <c r="BJ425" s="1556"/>
      <c r="BK425" s="1881"/>
      <c r="BL425" s="1561"/>
      <c r="BM425" s="1428"/>
      <c r="BN425" s="1960"/>
      <c r="BO425" s="1107"/>
      <c r="BP425" s="1161"/>
      <c r="BQ425" s="2124"/>
      <c r="BR425" s="1107"/>
      <c r="BS425" s="1732"/>
      <c r="BT425" s="182"/>
      <c r="BU425" s="182"/>
      <c r="BV425" s="1107"/>
      <c r="BW425" s="1161"/>
      <c r="BX425" s="2124"/>
      <c r="BY425" s="1107"/>
      <c r="BZ425" s="1735"/>
      <c r="CA425" s="2846"/>
      <c r="CB425" s="183"/>
      <c r="CC425" s="1738"/>
      <c r="CD425" s="2259"/>
      <c r="CE425" s="184"/>
    </row>
    <row r="426" spans="1:83" ht="20.100000000000001" customHeight="1" x14ac:dyDescent="0.4">
      <c r="A426" s="249"/>
      <c r="B426" s="249"/>
      <c r="C426" s="584"/>
      <c r="D426" s="1948"/>
      <c r="E426" s="1949"/>
      <c r="F426" s="1950"/>
      <c r="G426" s="1948"/>
      <c r="H426" s="1949"/>
      <c r="I426" s="1951"/>
      <c r="J426" s="1948"/>
      <c r="K426" s="1950"/>
      <c r="L426" s="1951"/>
      <c r="M426" s="1948"/>
      <c r="N426" s="1962"/>
      <c r="O426" s="1948"/>
      <c r="P426" s="1948"/>
      <c r="Q426" s="1950"/>
      <c r="R426" s="1951"/>
      <c r="S426" s="1954"/>
      <c r="T426" s="1948"/>
      <c r="U426" s="1948"/>
      <c r="V426" s="1954"/>
      <c r="W426" s="1948"/>
      <c r="X426" s="1954"/>
      <c r="Y426" s="1948"/>
      <c r="Z426" s="1962"/>
      <c r="AA426" s="1948"/>
      <c r="AB426" s="1948"/>
      <c r="AC426" s="1948"/>
      <c r="AD426" s="1948"/>
      <c r="AE426" s="1157"/>
      <c r="AF426" s="1157"/>
      <c r="AG426" s="1157"/>
      <c r="AH426" s="1160"/>
      <c r="AI426" s="1160"/>
      <c r="AJ426" s="1256"/>
      <c r="AK426" s="1285"/>
      <c r="AL426" s="1449"/>
      <c r="AM426" s="1531"/>
      <c r="AN426" s="1450"/>
      <c r="AO426" s="2123"/>
      <c r="AP426" s="1438"/>
      <c r="AQ426" s="778"/>
      <c r="AR426" s="778"/>
      <c r="AS426" s="1640"/>
      <c r="AT426" s="1452"/>
      <c r="AU426" s="1394"/>
      <c r="AV426" s="1873"/>
      <c r="AW426" s="1781"/>
      <c r="AX426" s="1395"/>
      <c r="AY426" s="783"/>
      <c r="AZ426" s="1802"/>
      <c r="BA426" s="1802"/>
      <c r="BB426" s="1644"/>
      <c r="BC426" s="664"/>
      <c r="BD426" s="975"/>
      <c r="BE426" s="965"/>
      <c r="BF426" s="1794"/>
      <c r="BG426" s="1978"/>
      <c r="BH426" s="1883"/>
      <c r="BI426" s="1814"/>
      <c r="BJ426" s="1556"/>
      <c r="BK426" s="1881"/>
      <c r="BL426" s="1561"/>
      <c r="BM426" s="1428"/>
      <c r="BN426" s="1960"/>
      <c r="BO426" s="1107"/>
      <c r="BP426" s="1161"/>
      <c r="BQ426" s="2124"/>
      <c r="BR426" s="1107"/>
      <c r="BS426" s="1732"/>
      <c r="BT426" s="182"/>
      <c r="BU426" s="182"/>
      <c r="BV426" s="1107"/>
      <c r="BW426" s="1161"/>
      <c r="BX426" s="2124"/>
      <c r="BY426" s="1107"/>
      <c r="BZ426" s="1735"/>
      <c r="CA426" s="2846"/>
      <c r="CB426" s="183"/>
      <c r="CC426" s="1738"/>
      <c r="CD426" s="2259"/>
      <c r="CE426" s="184"/>
    </row>
    <row r="427" spans="1:83" ht="14.85" customHeight="1" x14ac:dyDescent="0.4">
      <c r="A427" s="249"/>
      <c r="B427" s="249"/>
      <c r="C427" s="584">
        <v>0.79513888888888895</v>
      </c>
      <c r="D427" s="1948"/>
      <c r="E427" s="1949"/>
      <c r="F427" s="1950"/>
      <c r="G427" s="1948"/>
      <c r="H427" s="1949"/>
      <c r="I427" s="1951"/>
      <c r="J427" s="1948"/>
      <c r="K427" s="1950"/>
      <c r="L427" s="1951"/>
      <c r="M427" s="1948"/>
      <c r="N427" s="1962"/>
      <c r="O427" s="1948"/>
      <c r="P427" s="1948"/>
      <c r="Q427" s="1950"/>
      <c r="R427" s="1951"/>
      <c r="S427" s="1954"/>
      <c r="T427" s="1948"/>
      <c r="U427" s="1948"/>
      <c r="V427" s="1954"/>
      <c r="W427" s="1948"/>
      <c r="X427" s="1954"/>
      <c r="Y427" s="1948"/>
      <c r="Z427" s="1962"/>
      <c r="AA427" s="1948"/>
      <c r="AB427" s="1948"/>
      <c r="AC427" s="1948"/>
      <c r="AD427" s="1948"/>
      <c r="AE427" s="1157"/>
      <c r="AF427" s="1157"/>
      <c r="AG427" s="2050"/>
      <c r="AH427" s="1160"/>
      <c r="AI427" s="1160"/>
      <c r="AJ427" s="1256"/>
      <c r="AK427" s="1285"/>
      <c r="AL427" s="1285"/>
      <c r="AM427" s="1531"/>
      <c r="AN427" s="1450"/>
      <c r="AO427" s="2125"/>
      <c r="AP427" s="1438"/>
      <c r="AQ427" s="778"/>
      <c r="AR427" s="778"/>
      <c r="AS427" s="1640"/>
      <c r="AT427" s="1892"/>
      <c r="AU427" s="1394"/>
      <c r="AV427" s="1873"/>
      <c r="AW427" s="684"/>
      <c r="AX427" s="2126"/>
      <c r="AY427" s="783"/>
      <c r="AZ427" s="1802"/>
      <c r="BA427" s="1802"/>
      <c r="BB427" s="1644"/>
      <c r="BC427" s="664"/>
      <c r="BD427" s="967"/>
      <c r="BE427" s="965"/>
      <c r="BF427" s="1794"/>
      <c r="BG427" s="1978"/>
      <c r="BH427" s="1401"/>
      <c r="BI427" s="1556"/>
      <c r="BJ427" s="1556"/>
      <c r="BK427" s="2127"/>
      <c r="BL427" s="1561"/>
      <c r="BM427" s="1428"/>
      <c r="BN427" s="1960"/>
      <c r="BO427" s="1107"/>
      <c r="BP427" s="1161"/>
      <c r="BQ427" s="2124"/>
      <c r="BR427" s="1107"/>
      <c r="BS427" s="1732"/>
      <c r="BT427" s="182"/>
      <c r="BU427" s="182"/>
      <c r="BV427" s="1107"/>
      <c r="BW427" s="1161"/>
      <c r="BX427" s="2124"/>
      <c r="BY427" s="1107"/>
      <c r="BZ427" s="1735"/>
      <c r="CA427" s="2846"/>
      <c r="CB427" s="183"/>
      <c r="CC427" s="1738"/>
      <c r="CD427" s="2259"/>
      <c r="CE427" s="184"/>
    </row>
    <row r="428" spans="1:83" ht="14.85" customHeight="1" x14ac:dyDescent="0.4">
      <c r="A428" s="249"/>
      <c r="B428" s="249"/>
      <c r="C428" s="584">
        <v>0.79861111111111105</v>
      </c>
      <c r="D428" s="1948"/>
      <c r="E428" s="1949"/>
      <c r="F428" s="1950"/>
      <c r="G428" s="1948"/>
      <c r="H428" s="1949"/>
      <c r="I428" s="1951"/>
      <c r="J428" s="1948"/>
      <c r="K428" s="1950"/>
      <c r="L428" s="1951"/>
      <c r="M428" s="1948"/>
      <c r="N428" s="1962"/>
      <c r="O428" s="1948"/>
      <c r="P428" s="1948"/>
      <c r="Q428" s="1950"/>
      <c r="R428" s="1951"/>
      <c r="S428" s="1954"/>
      <c r="T428" s="1948"/>
      <c r="U428" s="1948"/>
      <c r="V428" s="1954"/>
      <c r="W428" s="1948"/>
      <c r="X428" s="1954"/>
      <c r="Y428" s="1948"/>
      <c r="Z428" s="1962"/>
      <c r="AA428" s="1948"/>
      <c r="AB428" s="1948"/>
      <c r="AC428" s="1948"/>
      <c r="AD428" s="1948"/>
      <c r="AE428" s="1157"/>
      <c r="AF428" s="1157"/>
      <c r="AG428" s="2070"/>
      <c r="AH428" s="1160"/>
      <c r="AI428" s="2128"/>
      <c r="AJ428" s="1904"/>
      <c r="AK428" s="1285"/>
      <c r="AL428" s="1449"/>
      <c r="AM428" s="1531"/>
      <c r="AN428" s="1273"/>
      <c r="AO428" s="2125"/>
      <c r="AP428" s="1438"/>
      <c r="AQ428" s="778"/>
      <c r="AR428" s="778"/>
      <c r="AS428" s="1640"/>
      <c r="AT428" s="1394"/>
      <c r="AU428" s="1394"/>
      <c r="AV428" s="1786"/>
      <c r="AW428" s="1772"/>
      <c r="AX428" s="2129"/>
      <c r="AY428" s="783"/>
      <c r="AZ428" s="1802"/>
      <c r="BA428" s="1802"/>
      <c r="BB428" s="1644"/>
      <c r="BC428" s="664"/>
      <c r="BD428" s="967"/>
      <c r="BE428" s="965"/>
      <c r="BF428" s="1794"/>
      <c r="BG428" s="1978"/>
      <c r="BH428" s="1401"/>
      <c r="BI428" s="1556"/>
      <c r="BJ428" s="1556"/>
      <c r="BK428" s="2127"/>
      <c r="BL428" s="1561"/>
      <c r="BM428" s="1428"/>
      <c r="BN428" s="1960"/>
      <c r="BO428" s="1580"/>
      <c r="BP428" s="1580"/>
      <c r="BQ428" s="2130"/>
      <c r="BR428" s="1191"/>
      <c r="BS428" s="2119"/>
      <c r="BT428" s="182"/>
      <c r="BU428" s="1734"/>
      <c r="BV428" s="1580"/>
      <c r="BW428" s="1580"/>
      <c r="BX428" s="2130"/>
      <c r="BY428" s="1191"/>
      <c r="BZ428" s="1893"/>
      <c r="CA428" s="2846"/>
      <c r="CB428" s="1737"/>
      <c r="CC428" s="2120"/>
      <c r="CD428" s="2259"/>
      <c r="CE428" s="1740"/>
    </row>
    <row r="429" spans="1:83" ht="21" customHeight="1" x14ac:dyDescent="0.4">
      <c r="A429" s="249"/>
      <c r="B429" s="249"/>
      <c r="C429" s="584">
        <v>0.80208333333333304</v>
      </c>
      <c r="D429" s="1948"/>
      <c r="E429" s="1949"/>
      <c r="F429" s="1950"/>
      <c r="G429" s="1948"/>
      <c r="H429" s="1949"/>
      <c r="I429" s="1951"/>
      <c r="J429" s="1948"/>
      <c r="K429" s="1950"/>
      <c r="L429" s="1951"/>
      <c r="M429" s="1948"/>
      <c r="N429" s="1962"/>
      <c r="O429" s="1948"/>
      <c r="P429" s="1948"/>
      <c r="Q429" s="1950"/>
      <c r="R429" s="1951"/>
      <c r="S429" s="1954"/>
      <c r="T429" s="1948"/>
      <c r="U429" s="1948"/>
      <c r="V429" s="1954"/>
      <c r="W429" s="1948"/>
      <c r="X429" s="1954"/>
      <c r="Y429" s="1948"/>
      <c r="Z429" s="1962"/>
      <c r="AA429" s="1948"/>
      <c r="AB429" s="1948"/>
      <c r="AC429" s="1948"/>
      <c r="AD429" s="1948"/>
      <c r="AE429" s="1385"/>
      <c r="AF429" s="1385" t="s">
        <v>332</v>
      </c>
      <c r="AG429" s="1408"/>
      <c r="AH429" s="1159"/>
      <c r="AI429" s="1160" t="s">
        <v>331</v>
      </c>
      <c r="AJ429" s="1160"/>
      <c r="AK429" s="2806"/>
      <c r="AL429" s="2131"/>
      <c r="AM429" s="1531"/>
      <c r="AN429" s="1273"/>
      <c r="AO429" s="2132"/>
      <c r="AP429" s="1438"/>
      <c r="AQ429" s="778"/>
      <c r="AR429" s="778"/>
      <c r="AS429" s="1640"/>
      <c r="AT429" s="1394"/>
      <c r="AU429" s="1392"/>
      <c r="AV429" s="1873"/>
      <c r="AW429" s="1894"/>
      <c r="AX429" s="2133"/>
      <c r="AY429" s="870"/>
      <c r="AZ429" s="1802"/>
      <c r="BA429" s="1802"/>
      <c r="BB429" s="1802"/>
      <c r="BC429" s="687"/>
      <c r="BD429" s="1555"/>
      <c r="BE429" s="687"/>
      <c r="BF429" s="1794"/>
      <c r="BG429" s="1978"/>
      <c r="BH429" s="1883"/>
      <c r="BI429" s="1556"/>
      <c r="BJ429" s="1556" t="s">
        <v>371</v>
      </c>
      <c r="BK429" s="2127"/>
      <c r="BL429" s="1576"/>
      <c r="BM429" s="1169" t="s">
        <v>334</v>
      </c>
      <c r="BN429" s="1294"/>
      <c r="BO429" s="2134"/>
      <c r="BP429" s="1577"/>
      <c r="BQ429" s="1107"/>
      <c r="BR429" s="1191"/>
      <c r="BS429" s="2007"/>
      <c r="BT429" s="182"/>
      <c r="BU429" s="1734"/>
      <c r="BV429" s="2134"/>
      <c r="BW429" s="1577"/>
      <c r="BX429" s="1107"/>
      <c r="BY429" s="1191"/>
      <c r="BZ429" s="2008"/>
      <c r="CA429" s="2846"/>
      <c r="CB429" s="1737"/>
      <c r="CC429" s="2009"/>
      <c r="CD429" s="2259"/>
      <c r="CE429" s="1740"/>
    </row>
    <row r="430" spans="1:83" ht="23.85" customHeight="1" x14ac:dyDescent="0.4">
      <c r="A430" s="249"/>
      <c r="B430" s="249"/>
      <c r="C430" s="584" t="s">
        <v>307</v>
      </c>
      <c r="D430" s="1948"/>
      <c r="E430" s="1949"/>
      <c r="F430" s="1950"/>
      <c r="G430" s="1948"/>
      <c r="H430" s="1949"/>
      <c r="I430" s="1951"/>
      <c r="J430" s="1948"/>
      <c r="K430" s="1950"/>
      <c r="L430" s="1951"/>
      <c r="M430" s="1948"/>
      <c r="N430" s="1962"/>
      <c r="O430" s="1948"/>
      <c r="P430" s="1948"/>
      <c r="Q430" s="1950"/>
      <c r="R430" s="1951"/>
      <c r="S430" s="1954"/>
      <c r="T430" s="1948"/>
      <c r="U430" s="1948"/>
      <c r="V430" s="1954"/>
      <c r="W430" s="1948"/>
      <c r="X430" s="1954"/>
      <c r="Y430" s="1948"/>
      <c r="Z430" s="1962"/>
      <c r="AA430" s="1948"/>
      <c r="AB430" s="1948"/>
      <c r="AC430" s="1948"/>
      <c r="AD430" s="1948"/>
      <c r="AE430" s="1157"/>
      <c r="AF430" s="1429"/>
      <c r="AG430" s="1157"/>
      <c r="AH430" s="1164"/>
      <c r="AI430" s="1139" t="s">
        <v>366</v>
      </c>
      <c r="AJ430" s="1165"/>
      <c r="AK430" s="2806"/>
      <c r="AL430" s="1285"/>
      <c r="AM430" s="1531"/>
      <c r="AN430" s="1273"/>
      <c r="AO430" s="2132"/>
      <c r="AP430" s="1438"/>
      <c r="AQ430" s="778"/>
      <c r="AR430" s="778"/>
      <c r="AS430" s="1640"/>
      <c r="AT430" s="1452"/>
      <c r="AU430" s="1394"/>
      <c r="AV430" s="1394"/>
      <c r="AW430" s="1894"/>
      <c r="AX430" s="2133"/>
      <c r="AY430" s="870"/>
      <c r="AZ430" s="1802"/>
      <c r="BA430" s="1802"/>
      <c r="BB430" s="1644"/>
      <c r="BC430" s="687"/>
      <c r="BD430" s="975"/>
      <c r="BE430" s="687"/>
      <c r="BF430" s="1794"/>
      <c r="BG430" s="1862" t="s">
        <v>522</v>
      </c>
      <c r="BH430" s="1794"/>
      <c r="BI430" s="1556"/>
      <c r="BJ430" s="1556" t="s">
        <v>334</v>
      </c>
      <c r="BK430" s="1778"/>
      <c r="BL430" s="1168"/>
      <c r="BM430" s="1428"/>
      <c r="BN430" s="1168"/>
      <c r="BO430" s="1107"/>
      <c r="BP430" s="1107"/>
      <c r="BQ430" s="1107"/>
      <c r="BR430" s="2135"/>
      <c r="BS430" s="182"/>
      <c r="BT430" s="182"/>
      <c r="BU430" s="2136"/>
      <c r="BV430" s="1107"/>
      <c r="BW430" s="1107"/>
      <c r="BX430" s="1107"/>
      <c r="BY430" s="2135"/>
      <c r="BZ430" s="183"/>
      <c r="CA430" s="2846"/>
      <c r="CB430" s="2137"/>
      <c r="CC430" s="184"/>
      <c r="CD430" s="2259"/>
      <c r="CE430" s="2138"/>
    </row>
    <row r="431" spans="1:83" ht="20.85" customHeight="1" x14ac:dyDescent="0.4">
      <c r="A431" s="249"/>
      <c r="B431" s="249"/>
      <c r="C431" s="584" t="s">
        <v>307</v>
      </c>
      <c r="D431" s="1948"/>
      <c r="E431" s="1949"/>
      <c r="F431" s="1950"/>
      <c r="G431" s="1948"/>
      <c r="H431" s="1949"/>
      <c r="I431" s="1951"/>
      <c r="J431" s="1948"/>
      <c r="K431" s="1950"/>
      <c r="L431" s="1951"/>
      <c r="M431" s="1948"/>
      <c r="N431" s="1962"/>
      <c r="O431" s="1948"/>
      <c r="P431" s="1948"/>
      <c r="Q431" s="1950"/>
      <c r="R431" s="1951"/>
      <c r="S431" s="1954"/>
      <c r="T431" s="1948"/>
      <c r="U431" s="1948"/>
      <c r="V431" s="1954"/>
      <c r="W431" s="1948"/>
      <c r="X431" s="1954"/>
      <c r="Y431" s="1948"/>
      <c r="Z431" s="1962"/>
      <c r="AA431" s="1948"/>
      <c r="AB431" s="1948"/>
      <c r="AC431" s="1948"/>
      <c r="AD431" s="1948"/>
      <c r="AE431" s="1157"/>
      <c r="AF431" s="1157"/>
      <c r="AG431" s="1157"/>
      <c r="AH431" s="793"/>
      <c r="AI431" s="793" t="s">
        <v>336</v>
      </c>
      <c r="AJ431" s="1430"/>
      <c r="AK431" s="2139"/>
      <c r="AL431" s="1765"/>
      <c r="AM431" s="1531"/>
      <c r="AN431" s="1273"/>
      <c r="AO431" s="2140"/>
      <c r="AP431" s="1438"/>
      <c r="AQ431" s="778"/>
      <c r="AR431" s="778"/>
      <c r="AS431" s="1640"/>
      <c r="AT431" s="1452"/>
      <c r="AU431" s="1394"/>
      <c r="AV431" s="1394"/>
      <c r="AW431" s="1461"/>
      <c r="AX431" s="1455"/>
      <c r="AY431" s="1395"/>
      <c r="AZ431" s="1802"/>
      <c r="BA431" s="1802"/>
      <c r="BB431" s="1644"/>
      <c r="BC431" s="1958"/>
      <c r="BD431" s="975"/>
      <c r="BE431" s="908"/>
      <c r="BF431" s="1862"/>
      <c r="BG431" s="1859" t="s">
        <v>541</v>
      </c>
      <c r="BH431" s="2015"/>
      <c r="BI431" s="1556"/>
      <c r="BJ431" s="2141"/>
      <c r="BK431" s="2127"/>
      <c r="BL431" s="1576"/>
      <c r="BM431" s="1428"/>
      <c r="BN431" s="1630"/>
      <c r="BO431" s="2134"/>
      <c r="BP431" s="1577"/>
      <c r="BQ431" s="1107"/>
      <c r="BR431" s="2135"/>
      <c r="BS431" s="2007"/>
      <c r="BT431" s="182"/>
      <c r="BU431" s="2136"/>
      <c r="BV431" s="2134"/>
      <c r="BW431" s="1577"/>
      <c r="BX431" s="1107"/>
      <c r="BY431" s="2135"/>
      <c r="BZ431" s="2008"/>
      <c r="CA431" s="2846"/>
      <c r="CB431" s="2137"/>
      <c r="CC431" s="2009"/>
      <c r="CD431" s="2259"/>
      <c r="CE431" s="2138"/>
    </row>
    <row r="432" spans="1:83" ht="19.350000000000001" customHeight="1" x14ac:dyDescent="0.4">
      <c r="A432" s="249"/>
      <c r="B432" s="249"/>
      <c r="C432" s="584" t="s">
        <v>307</v>
      </c>
      <c r="D432" s="1948"/>
      <c r="E432" s="1949"/>
      <c r="F432" s="1950"/>
      <c r="G432" s="1948"/>
      <c r="H432" s="1949"/>
      <c r="I432" s="1951"/>
      <c r="J432" s="1948"/>
      <c r="K432" s="1950"/>
      <c r="L432" s="1951"/>
      <c r="M432" s="1948"/>
      <c r="N432" s="1962"/>
      <c r="O432" s="1948"/>
      <c r="P432" s="1948"/>
      <c r="Q432" s="1950"/>
      <c r="R432" s="1951"/>
      <c r="S432" s="1954"/>
      <c r="T432" s="1948"/>
      <c r="U432" s="1948"/>
      <c r="V432" s="1954"/>
      <c r="W432" s="1948"/>
      <c r="X432" s="1954"/>
      <c r="Y432" s="1948"/>
      <c r="Z432" s="1962"/>
      <c r="AA432" s="1948"/>
      <c r="AB432" s="1948"/>
      <c r="AC432" s="1948"/>
      <c r="AD432" s="1948"/>
      <c r="AE432" s="1157"/>
      <c r="AF432" s="1157"/>
      <c r="AG432" s="1157"/>
      <c r="AH432" s="2000"/>
      <c r="AI432" s="1159" t="s">
        <v>353</v>
      </c>
      <c r="AJ432" s="1904"/>
      <c r="AK432" s="2139"/>
      <c r="AL432" s="1765"/>
      <c r="AM432" s="1531"/>
      <c r="AN432" s="1273"/>
      <c r="AO432" s="2140"/>
      <c r="AP432" s="1438"/>
      <c r="AQ432" s="778"/>
      <c r="AR432" s="778"/>
      <c r="AS432" s="1640"/>
      <c r="AT432" s="1452"/>
      <c r="AU432" s="1394"/>
      <c r="AV432" s="1394"/>
      <c r="AW432" s="1894"/>
      <c r="AX432" s="2142"/>
      <c r="AY432" s="870"/>
      <c r="AZ432" s="1802"/>
      <c r="BA432" s="1802"/>
      <c r="BB432" s="1644"/>
      <c r="BC432" s="1958"/>
      <c r="BD432" s="967"/>
      <c r="BE432" s="965"/>
      <c r="BF432" s="1862"/>
      <c r="BG432" s="1859"/>
      <c r="BH432" s="2015"/>
      <c r="BI432" s="1556"/>
      <c r="BJ432" s="2141"/>
      <c r="BK432" s="2127"/>
      <c r="BL432" s="1576"/>
      <c r="BM432" s="1428"/>
      <c r="BN432" s="1960"/>
      <c r="BO432" s="2134"/>
      <c r="BP432" s="1577"/>
      <c r="BQ432" s="1107"/>
      <c r="BR432" s="2135"/>
      <c r="BS432" s="2007"/>
      <c r="BT432" s="182"/>
      <c r="BU432" s="2136"/>
      <c r="BV432" s="2134"/>
      <c r="BW432" s="1577"/>
      <c r="BX432" s="1107"/>
      <c r="BY432" s="2135"/>
      <c r="BZ432" s="2008"/>
      <c r="CA432" s="2846"/>
      <c r="CB432" s="2137"/>
      <c r="CC432" s="2009"/>
      <c r="CD432" s="2259"/>
      <c r="CE432" s="2138"/>
    </row>
    <row r="433" spans="1:83" ht="27.75" customHeight="1" x14ac:dyDescent="0.4">
      <c r="A433" s="249"/>
      <c r="B433" s="249"/>
      <c r="C433" s="584">
        <v>0.80555555555555503</v>
      </c>
      <c r="D433" s="1948"/>
      <c r="E433" s="1949"/>
      <c r="F433" s="1950"/>
      <c r="G433" s="1948"/>
      <c r="H433" s="1949"/>
      <c r="I433" s="1951"/>
      <c r="J433" s="1948"/>
      <c r="K433" s="1950"/>
      <c r="L433" s="1951"/>
      <c r="M433" s="1948"/>
      <c r="N433" s="1962"/>
      <c r="O433" s="1948"/>
      <c r="P433" s="1948"/>
      <c r="Q433" s="1950"/>
      <c r="R433" s="1951"/>
      <c r="S433" s="1954"/>
      <c r="T433" s="1948"/>
      <c r="U433" s="1948"/>
      <c r="V433" s="1954"/>
      <c r="W433" s="1948"/>
      <c r="X433" s="1954"/>
      <c r="Y433" s="1948"/>
      <c r="Z433" s="1962"/>
      <c r="AA433" s="1948"/>
      <c r="AB433" s="1948"/>
      <c r="AC433" s="1948"/>
      <c r="AD433" s="1948"/>
      <c r="AE433" s="1157"/>
      <c r="AF433" s="2143"/>
      <c r="AG433" s="2050"/>
      <c r="AH433" s="1160"/>
      <c r="AI433" s="2144"/>
      <c r="AJ433" s="1256"/>
      <c r="AK433" s="2139"/>
      <c r="AL433" s="2553" t="s">
        <v>470</v>
      </c>
      <c r="AM433" s="1469"/>
      <c r="AN433" s="1273"/>
      <c r="AO433" s="2145"/>
      <c r="AP433" s="1438"/>
      <c r="AQ433" s="778"/>
      <c r="AR433" s="778"/>
      <c r="AS433" s="1640"/>
      <c r="AT433" s="1394"/>
      <c r="AU433" s="1394"/>
      <c r="AV433" s="1460"/>
      <c r="AW433" s="1395"/>
      <c r="AX433" s="2146"/>
      <c r="AY433" s="1395"/>
      <c r="AZ433" s="1802"/>
      <c r="BA433" s="1802"/>
      <c r="BB433" s="1644"/>
      <c r="BC433" s="1958"/>
      <c r="BD433" s="967"/>
      <c r="BE433" s="965"/>
      <c r="BF433" s="1794"/>
      <c r="BG433" s="1794"/>
      <c r="BH433" s="1794"/>
      <c r="BI433" s="1556"/>
      <c r="BJ433" s="2141"/>
      <c r="BK433" s="1556"/>
      <c r="BL433" s="1576"/>
      <c r="BM433" s="1428"/>
      <c r="BN433" s="1960"/>
      <c r="BO433" s="1107"/>
      <c r="BP433" s="1107"/>
      <c r="BQ433" s="2124"/>
      <c r="BR433" s="1191"/>
      <c r="BS433" s="182"/>
      <c r="BT433" s="182"/>
      <c r="BU433" s="1734"/>
      <c r="BV433" s="1107"/>
      <c r="BW433" s="1107"/>
      <c r="BX433" s="2124"/>
      <c r="BY433" s="1191"/>
      <c r="BZ433" s="183"/>
      <c r="CA433" s="2846"/>
      <c r="CB433" s="1737"/>
      <c r="CC433" s="184"/>
      <c r="CD433" s="2259"/>
      <c r="CE433" s="1740"/>
    </row>
    <row r="434" spans="1:83" ht="14.85" customHeight="1" x14ac:dyDescent="0.4">
      <c r="A434" s="249"/>
      <c r="B434" s="249"/>
      <c r="C434" s="584" t="s">
        <v>307</v>
      </c>
      <c r="D434" s="1948"/>
      <c r="E434" s="1949"/>
      <c r="F434" s="1950"/>
      <c r="G434" s="1948"/>
      <c r="H434" s="1949"/>
      <c r="I434" s="1951"/>
      <c r="J434" s="1948"/>
      <c r="K434" s="1950"/>
      <c r="L434" s="1951"/>
      <c r="M434" s="1948"/>
      <c r="N434" s="1962"/>
      <c r="O434" s="1948"/>
      <c r="P434" s="1948"/>
      <c r="Q434" s="1950"/>
      <c r="R434" s="1951"/>
      <c r="S434" s="1954"/>
      <c r="T434" s="1948"/>
      <c r="U434" s="1948"/>
      <c r="V434" s="1954"/>
      <c r="W434" s="1948"/>
      <c r="X434" s="1954"/>
      <c r="Y434" s="1948"/>
      <c r="Z434" s="1962"/>
      <c r="AA434" s="1948"/>
      <c r="AB434" s="1948"/>
      <c r="AC434" s="1948"/>
      <c r="AD434" s="1948"/>
      <c r="AE434" s="1157"/>
      <c r="AF434" s="2143"/>
      <c r="AG434" s="2050"/>
      <c r="AH434" s="1160"/>
      <c r="AI434" s="1160"/>
      <c r="AJ434" s="1256"/>
      <c r="AK434" s="1285"/>
      <c r="AL434" s="1285"/>
      <c r="AM434" s="1531"/>
      <c r="AN434" s="1273"/>
      <c r="AO434" s="1273"/>
      <c r="AP434" s="1438"/>
      <c r="AQ434" s="778"/>
      <c r="AR434" s="778"/>
      <c r="AS434" s="1640"/>
      <c r="AT434" s="1394"/>
      <c r="AU434" s="1394"/>
      <c r="AV434" s="1460"/>
      <c r="AW434" s="1395"/>
      <c r="AX434" s="2052"/>
      <c r="AY434" s="1022"/>
      <c r="AZ434" s="1802"/>
      <c r="BA434" s="1802"/>
      <c r="BB434" s="1644"/>
      <c r="BC434" s="664"/>
      <c r="BD434" s="967"/>
      <c r="BE434" s="965"/>
      <c r="BF434" s="1862"/>
      <c r="BG434" s="1859"/>
      <c r="BH434" s="2015"/>
      <c r="BI434" s="1556"/>
      <c r="BJ434" s="1814"/>
      <c r="BK434" s="1778"/>
      <c r="BL434" s="1561"/>
      <c r="BM434" s="1428"/>
      <c r="BN434" s="1960"/>
      <c r="BO434" s="2134"/>
      <c r="BP434" s="2147"/>
      <c r="BQ434" s="2148"/>
      <c r="BR434" s="1992"/>
      <c r="BS434" s="2149"/>
      <c r="BT434" s="182"/>
      <c r="BU434" s="1993"/>
      <c r="BV434" s="2134"/>
      <c r="BW434" s="2147"/>
      <c r="BX434" s="2148"/>
      <c r="BY434" s="1992"/>
      <c r="BZ434" s="2150"/>
      <c r="CA434" s="2846"/>
      <c r="CB434" s="1994"/>
      <c r="CC434" s="2151"/>
      <c r="CD434" s="2259"/>
      <c r="CE434" s="1995"/>
    </row>
    <row r="435" spans="1:83" ht="14.85" customHeight="1" x14ac:dyDescent="0.4">
      <c r="A435" s="249"/>
      <c r="B435" s="249"/>
      <c r="C435" s="584">
        <v>0.80902777777777801</v>
      </c>
      <c r="D435" s="1948"/>
      <c r="E435" s="1949"/>
      <c r="F435" s="1950"/>
      <c r="G435" s="1948"/>
      <c r="H435" s="1949"/>
      <c r="I435" s="1951"/>
      <c r="J435" s="1948"/>
      <c r="K435" s="1950"/>
      <c r="L435" s="1951"/>
      <c r="M435" s="1948"/>
      <c r="N435" s="1962"/>
      <c r="O435" s="1948"/>
      <c r="P435" s="1948"/>
      <c r="Q435" s="1950"/>
      <c r="R435" s="1951"/>
      <c r="S435" s="1954"/>
      <c r="T435" s="1948"/>
      <c r="U435" s="1948"/>
      <c r="V435" s="1954"/>
      <c r="W435" s="1948"/>
      <c r="X435" s="1954"/>
      <c r="Y435" s="1948"/>
      <c r="Z435" s="1962"/>
      <c r="AA435" s="1948"/>
      <c r="AB435" s="1948"/>
      <c r="AC435" s="1948"/>
      <c r="AD435" s="1948"/>
      <c r="AE435" s="1157"/>
      <c r="AF435" s="2152"/>
      <c r="AG435" s="2070"/>
      <c r="AH435" s="1160"/>
      <c r="AI435" s="1160"/>
      <c r="AJ435" s="1256"/>
      <c r="AK435" s="1285"/>
      <c r="AL435" s="1285"/>
      <c r="AM435" s="1969"/>
      <c r="AN435" s="1273"/>
      <c r="AO435" s="1273"/>
      <c r="AP435" s="1438"/>
      <c r="AQ435" s="778"/>
      <c r="AR435" s="778"/>
      <c r="AS435" s="1640"/>
      <c r="AT435" s="1394"/>
      <c r="AU435" s="1394"/>
      <c r="AV435" s="2002"/>
      <c r="AW435" s="1395"/>
      <c r="AX435" s="2052"/>
      <c r="AY435" s="1752"/>
      <c r="AZ435" s="1802"/>
      <c r="BA435" s="1802"/>
      <c r="BB435" s="1644"/>
      <c r="BC435" s="664"/>
      <c r="BD435" s="967"/>
      <c r="BE435" s="965"/>
      <c r="BF435" s="1862"/>
      <c r="BG435" s="1859"/>
      <c r="BH435" s="2015"/>
      <c r="BI435" s="1556"/>
      <c r="BJ435" s="1220"/>
      <c r="BK435" s="2153"/>
      <c r="BL435" s="1561"/>
      <c r="BM435" s="1428"/>
      <c r="BN435" s="1960"/>
      <c r="BO435" s="1580"/>
      <c r="BP435" s="1107"/>
      <c r="BQ435" s="1107"/>
      <c r="BR435" s="1191"/>
      <c r="BS435" s="182"/>
      <c r="BT435" s="182"/>
      <c r="BU435" s="1734"/>
      <c r="BV435" s="1580"/>
      <c r="BW435" s="1107"/>
      <c r="BX435" s="1107"/>
      <c r="BY435" s="1191"/>
      <c r="BZ435" s="183"/>
      <c r="CA435" s="2846"/>
      <c r="CB435" s="1737"/>
      <c r="CC435" s="184"/>
      <c r="CD435" s="2259"/>
      <c r="CE435" s="1740"/>
    </row>
    <row r="436" spans="1:83" ht="25.5" customHeight="1" x14ac:dyDescent="0.4">
      <c r="A436" s="249"/>
      <c r="B436" s="249"/>
      <c r="C436" s="584">
        <v>0.8125</v>
      </c>
      <c r="D436" s="1948"/>
      <c r="E436" s="1949"/>
      <c r="F436" s="1950"/>
      <c r="G436" s="1948"/>
      <c r="H436" s="1949"/>
      <c r="I436" s="1951"/>
      <c r="J436" s="1948"/>
      <c r="K436" s="1950"/>
      <c r="L436" s="1951"/>
      <c r="M436" s="1948"/>
      <c r="N436" s="1962"/>
      <c r="O436" s="1948"/>
      <c r="P436" s="1948"/>
      <c r="Q436" s="1950"/>
      <c r="R436" s="1951"/>
      <c r="S436" s="1954"/>
      <c r="T436" s="1948"/>
      <c r="U436" s="1948"/>
      <c r="V436" s="1954"/>
      <c r="W436" s="1948"/>
      <c r="X436" s="1954"/>
      <c r="Y436" s="1948"/>
      <c r="Z436" s="1962"/>
      <c r="AA436" s="1948"/>
      <c r="AB436" s="1948"/>
      <c r="AC436" s="1948"/>
      <c r="AD436" s="1948"/>
      <c r="AE436" s="1385"/>
      <c r="AF436" s="1385" t="s">
        <v>332</v>
      </c>
      <c r="AG436" s="1408"/>
      <c r="AH436" s="1159"/>
      <c r="AI436" s="1160" t="s">
        <v>331</v>
      </c>
      <c r="AJ436" s="1160"/>
      <c r="AK436" s="2806"/>
      <c r="AL436" s="1285"/>
      <c r="AM436" s="1531"/>
      <c r="AN436" s="1872"/>
      <c r="AO436" s="2145"/>
      <c r="AP436" s="1603"/>
      <c r="AQ436" s="778"/>
      <c r="AR436" s="778"/>
      <c r="AS436" s="1640"/>
      <c r="AT436" s="1892"/>
      <c r="AU436" s="2118"/>
      <c r="AV436" s="1460"/>
      <c r="AW436" s="1538"/>
      <c r="AX436" s="2154"/>
      <c r="AY436" s="1022"/>
      <c r="AZ436" s="1802"/>
      <c r="BA436" s="1802"/>
      <c r="BB436" s="1644"/>
      <c r="BC436" s="664"/>
      <c r="BD436" s="1555"/>
      <c r="BE436" s="965"/>
      <c r="BF436" s="1794"/>
      <c r="BG436" s="1862" t="s">
        <v>533</v>
      </c>
      <c r="BH436" s="1794"/>
      <c r="BI436" s="1556"/>
      <c r="BJ436" s="1556" t="s">
        <v>371</v>
      </c>
      <c r="BK436" s="1778"/>
      <c r="BL436" s="1576"/>
      <c r="BM436" s="1169"/>
      <c r="BN436" s="1960"/>
      <c r="BO436" s="2134"/>
      <c r="BP436" s="1577"/>
      <c r="BQ436" s="1107"/>
      <c r="BR436" s="1614"/>
      <c r="BS436" s="2007"/>
      <c r="BT436" s="182"/>
      <c r="BU436" s="1783"/>
      <c r="BV436" s="2134"/>
      <c r="BW436" s="1577"/>
      <c r="BX436" s="1107"/>
      <c r="BY436" s="1614"/>
      <c r="BZ436" s="2008"/>
      <c r="CA436" s="2846"/>
      <c r="CB436" s="1784"/>
      <c r="CC436" s="2009"/>
      <c r="CD436" s="2259"/>
      <c r="CE436" s="1785"/>
    </row>
    <row r="437" spans="1:83" ht="17.850000000000001" customHeight="1" x14ac:dyDescent="0.4">
      <c r="A437" s="249"/>
      <c r="B437" s="249"/>
      <c r="C437" s="584" t="s">
        <v>307</v>
      </c>
      <c r="D437" s="1948"/>
      <c r="E437" s="1949"/>
      <c r="F437" s="1950"/>
      <c r="G437" s="1948"/>
      <c r="H437" s="1949"/>
      <c r="I437" s="1951"/>
      <c r="J437" s="1948"/>
      <c r="K437" s="1950"/>
      <c r="L437" s="1951"/>
      <c r="M437" s="1948"/>
      <c r="N437" s="1962"/>
      <c r="O437" s="1948"/>
      <c r="P437" s="1948"/>
      <c r="Q437" s="1950"/>
      <c r="R437" s="1951"/>
      <c r="S437" s="1954"/>
      <c r="T437" s="1948"/>
      <c r="U437" s="1948"/>
      <c r="V437" s="1954"/>
      <c r="W437" s="1948"/>
      <c r="X437" s="1954"/>
      <c r="Y437" s="1948"/>
      <c r="Z437" s="1962"/>
      <c r="AA437" s="1948"/>
      <c r="AB437" s="1948"/>
      <c r="AC437" s="1948"/>
      <c r="AD437" s="1948"/>
      <c r="AE437" s="1157"/>
      <c r="AF437" s="1429"/>
      <c r="AG437" s="1157"/>
      <c r="AH437" s="1164"/>
      <c r="AI437" s="1139" t="s">
        <v>366</v>
      </c>
      <c r="AJ437" s="1165"/>
      <c r="AK437" s="2806"/>
      <c r="AL437" s="1285"/>
      <c r="AM437" s="1469"/>
      <c r="AN437" s="1273"/>
      <c r="AO437" s="1872"/>
      <c r="AP437" s="1438"/>
      <c r="AQ437" s="778"/>
      <c r="AR437" s="778"/>
      <c r="AS437" s="1640"/>
      <c r="AT437" s="1452"/>
      <c r="AU437" s="1394"/>
      <c r="AV437" s="1394"/>
      <c r="AW437" s="2155"/>
      <c r="AX437" s="2155"/>
      <c r="AY437" s="2156"/>
      <c r="AZ437" s="1802"/>
      <c r="BA437" s="1802"/>
      <c r="BB437" s="1644"/>
      <c r="BC437" s="687"/>
      <c r="BD437" s="975"/>
      <c r="BE437" s="687"/>
      <c r="BF437" s="1794"/>
      <c r="BG437" s="2157" t="s">
        <v>384</v>
      </c>
      <c r="BH437" s="1883"/>
      <c r="BI437" s="1556"/>
      <c r="BJ437" s="2121" t="s">
        <v>334</v>
      </c>
      <c r="BK437" s="1789"/>
      <c r="BL437" s="1168"/>
      <c r="BM437" s="1428" t="s">
        <v>329</v>
      </c>
      <c r="BN437" s="1168"/>
      <c r="BO437" s="1107"/>
      <c r="BP437" s="1107"/>
      <c r="BQ437" s="1107"/>
      <c r="BR437" s="1614"/>
      <c r="BS437" s="182"/>
      <c r="BT437" s="182"/>
      <c r="BU437" s="1783"/>
      <c r="BV437" s="1107"/>
      <c r="BW437" s="1107"/>
      <c r="BX437" s="1107"/>
      <c r="BY437" s="1614"/>
      <c r="BZ437" s="183"/>
      <c r="CA437" s="2846"/>
      <c r="CB437" s="1784"/>
      <c r="CC437" s="184"/>
      <c r="CD437" s="2259"/>
      <c r="CE437" s="1785"/>
    </row>
    <row r="438" spans="1:83" ht="22.35" customHeight="1" x14ac:dyDescent="0.4">
      <c r="A438" s="249"/>
      <c r="B438" s="249"/>
      <c r="C438" s="584" t="s">
        <v>307</v>
      </c>
      <c r="D438" s="1948"/>
      <c r="E438" s="1949"/>
      <c r="F438" s="1950"/>
      <c r="G438" s="1948"/>
      <c r="H438" s="1949"/>
      <c r="I438" s="1951"/>
      <c r="J438" s="1948"/>
      <c r="K438" s="1950"/>
      <c r="L438" s="1951"/>
      <c r="M438" s="1948"/>
      <c r="N438" s="1962"/>
      <c r="O438" s="1948"/>
      <c r="P438" s="1948"/>
      <c r="Q438" s="1950"/>
      <c r="R438" s="1951"/>
      <c r="S438" s="1954"/>
      <c r="T438" s="1948"/>
      <c r="U438" s="1948"/>
      <c r="V438" s="1954"/>
      <c r="W438" s="1948"/>
      <c r="X438" s="1954"/>
      <c r="Y438" s="1948"/>
      <c r="Z438" s="1962"/>
      <c r="AA438" s="1948"/>
      <c r="AB438" s="1948"/>
      <c r="AC438" s="1948"/>
      <c r="AD438" s="1948"/>
      <c r="AE438" s="1157"/>
      <c r="AF438" s="1157"/>
      <c r="AG438" s="1157"/>
      <c r="AH438" s="1160"/>
      <c r="AI438" s="1160" t="s">
        <v>353</v>
      </c>
      <c r="AJ438" s="1160"/>
      <c r="AK438" s="2806"/>
      <c r="AL438" s="1285"/>
      <c r="AM438" s="1469"/>
      <c r="AN438" s="1273"/>
      <c r="AO438" s="1872"/>
      <c r="AP438" s="1438"/>
      <c r="AQ438" s="778"/>
      <c r="AR438" s="778"/>
      <c r="AS438" s="1640"/>
      <c r="AT438" s="1452"/>
      <c r="AU438" s="1394"/>
      <c r="AV438" s="1394"/>
      <c r="AW438" s="2155"/>
      <c r="AX438" s="2158"/>
      <c r="AY438" s="2156"/>
      <c r="AZ438" s="1802"/>
      <c r="BA438" s="1802"/>
      <c r="BB438" s="1644"/>
      <c r="BC438" s="687"/>
      <c r="BD438" s="975"/>
      <c r="BE438" s="687"/>
      <c r="BF438" s="1794"/>
      <c r="BG438" s="1794"/>
      <c r="BH438" s="1794"/>
      <c r="BI438" s="1556"/>
      <c r="BJ438" s="1878"/>
      <c r="BK438" s="2159"/>
      <c r="BL438" s="1168"/>
      <c r="BM438" s="1428"/>
      <c r="BN438" s="1168"/>
      <c r="BO438" s="1107"/>
      <c r="BP438" s="1107"/>
      <c r="BQ438" s="2124"/>
      <c r="BR438" s="1614"/>
      <c r="BS438" s="182"/>
      <c r="BT438" s="182"/>
      <c r="BU438" s="1783"/>
      <c r="BV438" s="1107"/>
      <c r="BW438" s="1107"/>
      <c r="BX438" s="2124"/>
      <c r="BY438" s="1614"/>
      <c r="BZ438" s="183"/>
      <c r="CA438" s="2846"/>
      <c r="CB438" s="1784"/>
      <c r="CC438" s="184"/>
      <c r="CD438" s="2259"/>
      <c r="CE438" s="1785"/>
    </row>
    <row r="439" spans="1:83" ht="16.350000000000001" customHeight="1" x14ac:dyDescent="0.4">
      <c r="A439" s="249"/>
      <c r="B439" s="249"/>
      <c r="C439" s="584" t="s">
        <v>307</v>
      </c>
      <c r="D439" s="1948"/>
      <c r="E439" s="1949"/>
      <c r="F439" s="1950"/>
      <c r="G439" s="1948"/>
      <c r="H439" s="1949"/>
      <c r="I439" s="1951"/>
      <c r="J439" s="1948"/>
      <c r="K439" s="1950"/>
      <c r="L439" s="1951"/>
      <c r="M439" s="1948"/>
      <c r="N439" s="1962"/>
      <c r="O439" s="1948"/>
      <c r="P439" s="1948"/>
      <c r="Q439" s="1950"/>
      <c r="R439" s="1951"/>
      <c r="S439" s="1954"/>
      <c r="T439" s="1948"/>
      <c r="U439" s="1948"/>
      <c r="V439" s="1954"/>
      <c r="W439" s="1948"/>
      <c r="X439" s="1954"/>
      <c r="Y439" s="1948"/>
      <c r="Z439" s="1962"/>
      <c r="AA439" s="1948"/>
      <c r="AB439" s="1948"/>
      <c r="AC439" s="1948"/>
      <c r="AD439" s="1948"/>
      <c r="AE439" s="2160"/>
      <c r="AF439" s="1478"/>
      <c r="AG439" s="1157"/>
      <c r="AH439" s="1160"/>
      <c r="AI439" s="2161"/>
      <c r="AJ439" s="1160"/>
      <c r="AK439" s="2806"/>
      <c r="AL439" s="1285"/>
      <c r="AM439" s="1531"/>
      <c r="AN439" s="1273"/>
      <c r="AO439" s="1872"/>
      <c r="AP439" s="1438"/>
      <c r="AQ439" s="778"/>
      <c r="AR439" s="778"/>
      <c r="AS439" s="1640"/>
      <c r="AT439" s="1452"/>
      <c r="AU439" s="1392"/>
      <c r="AV439" s="1460"/>
      <c r="AW439" s="684"/>
      <c r="AX439" s="2133"/>
      <c r="AY439" s="870"/>
      <c r="AZ439" s="1802"/>
      <c r="BA439" s="1802"/>
      <c r="BB439" s="1802"/>
      <c r="BC439" s="687"/>
      <c r="BD439" s="967"/>
      <c r="BE439" s="687"/>
      <c r="BF439" s="1862"/>
      <c r="BG439" s="1859"/>
      <c r="BH439" s="2015"/>
      <c r="BI439" s="1556"/>
      <c r="BJ439" s="1878"/>
      <c r="BK439" s="2127"/>
      <c r="BL439" s="1168"/>
      <c r="BM439" s="1428"/>
      <c r="BN439" s="1168"/>
      <c r="BO439" s="1107"/>
      <c r="BP439" s="1107"/>
      <c r="BQ439" s="2124"/>
      <c r="BR439" s="1107"/>
      <c r="BS439" s="182"/>
      <c r="BT439" s="182"/>
      <c r="BU439" s="182"/>
      <c r="BV439" s="1107"/>
      <c r="BW439" s="1107"/>
      <c r="BX439" s="2124"/>
      <c r="BY439" s="1107"/>
      <c r="BZ439" s="183"/>
      <c r="CA439" s="2846"/>
      <c r="CB439" s="183"/>
      <c r="CC439" s="184"/>
      <c r="CD439" s="2259"/>
      <c r="CE439" s="184"/>
    </row>
    <row r="440" spans="1:83" ht="14.85" customHeight="1" x14ac:dyDescent="0.4">
      <c r="A440" s="249"/>
      <c r="B440" s="249"/>
      <c r="C440" s="584" t="s">
        <v>307</v>
      </c>
      <c r="D440" s="1948"/>
      <c r="E440" s="1949"/>
      <c r="F440" s="1950"/>
      <c r="G440" s="1948"/>
      <c r="H440" s="1949"/>
      <c r="I440" s="1951"/>
      <c r="J440" s="1948"/>
      <c r="K440" s="1950"/>
      <c r="L440" s="1951"/>
      <c r="M440" s="1948"/>
      <c r="N440" s="1962"/>
      <c r="O440" s="1948"/>
      <c r="P440" s="1948"/>
      <c r="Q440" s="1950"/>
      <c r="R440" s="1951"/>
      <c r="S440" s="1954"/>
      <c r="T440" s="1948"/>
      <c r="U440" s="1948"/>
      <c r="V440" s="1954"/>
      <c r="W440" s="1948"/>
      <c r="X440" s="1954"/>
      <c r="Y440" s="1948"/>
      <c r="Z440" s="1962"/>
      <c r="AA440" s="1948"/>
      <c r="AB440" s="1948"/>
      <c r="AC440" s="1948"/>
      <c r="AD440" s="1948"/>
      <c r="AE440" s="1157"/>
      <c r="AF440" s="1429"/>
      <c r="AG440" s="1157"/>
      <c r="AH440" s="1645"/>
      <c r="AI440" s="1593"/>
      <c r="AJ440" s="1160"/>
      <c r="AK440" s="2806"/>
      <c r="AL440" s="1285"/>
      <c r="AM440" s="1531"/>
      <c r="AN440" s="1722"/>
      <c r="AO440" s="2162"/>
      <c r="AP440" s="1761"/>
      <c r="AQ440" s="778"/>
      <c r="AR440" s="778"/>
      <c r="AS440" s="1640"/>
      <c r="AT440" s="1452"/>
      <c r="AU440" s="1392"/>
      <c r="AV440" s="1873"/>
      <c r="AW440" s="684"/>
      <c r="AX440" s="2133"/>
      <c r="AY440" s="870"/>
      <c r="AZ440" s="1802"/>
      <c r="BA440" s="1802"/>
      <c r="BB440" s="1802"/>
      <c r="BC440" s="687"/>
      <c r="BD440" s="967"/>
      <c r="BE440" s="687"/>
      <c r="BF440" s="1862"/>
      <c r="BG440" s="1859"/>
      <c r="BH440" s="2015"/>
      <c r="BI440" s="1556"/>
      <c r="BJ440" s="1878"/>
      <c r="BK440" s="1998"/>
      <c r="BL440" s="1168"/>
      <c r="BM440" s="1428"/>
      <c r="BN440" s="1168"/>
      <c r="BO440" s="1107"/>
      <c r="BP440" s="1107"/>
      <c r="BQ440" s="2124"/>
      <c r="BR440" s="1107"/>
      <c r="BS440" s="182"/>
      <c r="BT440" s="182"/>
      <c r="BU440" s="182"/>
      <c r="BV440" s="1107"/>
      <c r="BW440" s="1107"/>
      <c r="BX440" s="2124"/>
      <c r="BY440" s="1107"/>
      <c r="BZ440" s="183"/>
      <c r="CA440" s="2846"/>
      <c r="CB440" s="183"/>
      <c r="CC440" s="184"/>
      <c r="CD440" s="2259"/>
      <c r="CE440" s="184"/>
    </row>
    <row r="441" spans="1:83" ht="14.85" customHeight="1" x14ac:dyDescent="0.4">
      <c r="A441" s="249"/>
      <c r="B441" s="249"/>
      <c r="C441" s="584" t="s">
        <v>307</v>
      </c>
      <c r="D441" s="1948"/>
      <c r="E441" s="1949"/>
      <c r="F441" s="1950"/>
      <c r="G441" s="1948"/>
      <c r="H441" s="1949"/>
      <c r="I441" s="1951"/>
      <c r="J441" s="1948"/>
      <c r="K441" s="1950"/>
      <c r="L441" s="1951"/>
      <c r="M441" s="1948"/>
      <c r="N441" s="1962"/>
      <c r="O441" s="1948"/>
      <c r="P441" s="1948"/>
      <c r="Q441" s="1950"/>
      <c r="R441" s="1951"/>
      <c r="S441" s="1954"/>
      <c r="T441" s="1948"/>
      <c r="U441" s="1948"/>
      <c r="V441" s="1954"/>
      <c r="W441" s="1948"/>
      <c r="X441" s="1954"/>
      <c r="Y441" s="1948"/>
      <c r="Z441" s="1962"/>
      <c r="AA441" s="1948"/>
      <c r="AB441" s="1948"/>
      <c r="AC441" s="1948"/>
      <c r="AD441" s="1948"/>
      <c r="AE441" s="1157"/>
      <c r="AF441" s="1429"/>
      <c r="AG441" s="1157"/>
      <c r="AH441" s="1160"/>
      <c r="AI441" s="2161"/>
      <c r="AJ441" s="1160"/>
      <c r="AK441" s="2806"/>
      <c r="AL441" s="1285"/>
      <c r="AM441" s="1531"/>
      <c r="AN441" s="1722"/>
      <c r="AO441" s="2162"/>
      <c r="AP441" s="1761"/>
      <c r="AQ441" s="778"/>
      <c r="AR441" s="778"/>
      <c r="AS441" s="1640"/>
      <c r="AT441" s="1452"/>
      <c r="AU441" s="1392"/>
      <c r="AV441" s="1873"/>
      <c r="AW441" s="684"/>
      <c r="AX441" s="2133"/>
      <c r="AY441" s="870"/>
      <c r="AZ441" s="1802"/>
      <c r="BA441" s="1802"/>
      <c r="BB441" s="1802"/>
      <c r="BC441" s="687"/>
      <c r="BD441" s="967"/>
      <c r="BE441" s="687"/>
      <c r="BF441" s="1794"/>
      <c r="BG441" s="1794"/>
      <c r="BH441" s="1794"/>
      <c r="BI441" s="1556"/>
      <c r="BJ441" s="1878"/>
      <c r="BK441" s="1998"/>
      <c r="BL441" s="1168"/>
      <c r="BM441" s="1428"/>
      <c r="BN441" s="1168"/>
      <c r="BO441" s="1107"/>
      <c r="BP441" s="1107"/>
      <c r="BQ441" s="2124"/>
      <c r="BR441" s="1107"/>
      <c r="BS441" s="182"/>
      <c r="BT441" s="182"/>
      <c r="BU441" s="182"/>
      <c r="BV441" s="1107"/>
      <c r="BW441" s="1107"/>
      <c r="BX441" s="2124"/>
      <c r="BY441" s="1107"/>
      <c r="BZ441" s="183"/>
      <c r="CA441" s="2846"/>
      <c r="CB441" s="183"/>
      <c r="CC441" s="184"/>
      <c r="CD441" s="2259"/>
      <c r="CE441" s="184"/>
    </row>
    <row r="442" spans="1:83" ht="14.85" customHeight="1" x14ac:dyDescent="0.4">
      <c r="A442" s="249"/>
      <c r="B442" s="249"/>
      <c r="C442" s="584" t="s">
        <v>307</v>
      </c>
      <c r="D442" s="1948"/>
      <c r="E442" s="1949"/>
      <c r="F442" s="1950"/>
      <c r="G442" s="1948"/>
      <c r="H442" s="1949"/>
      <c r="I442" s="1951"/>
      <c r="J442" s="1948"/>
      <c r="K442" s="1950"/>
      <c r="L442" s="1951"/>
      <c r="M442" s="1948"/>
      <c r="N442" s="1962"/>
      <c r="O442" s="1948"/>
      <c r="P442" s="1948"/>
      <c r="Q442" s="1950"/>
      <c r="R442" s="1951"/>
      <c r="S442" s="1954"/>
      <c r="T442" s="1948"/>
      <c r="U442" s="1948"/>
      <c r="V442" s="1954"/>
      <c r="W442" s="1948"/>
      <c r="X442" s="1954"/>
      <c r="Y442" s="1948"/>
      <c r="Z442" s="1962"/>
      <c r="AA442" s="1948"/>
      <c r="AB442" s="1948"/>
      <c r="AC442" s="1948"/>
      <c r="AD442" s="1948"/>
      <c r="AE442" s="1157"/>
      <c r="AF442" s="1429"/>
      <c r="AG442" s="1157"/>
      <c r="AH442" s="1160"/>
      <c r="AI442" s="2161"/>
      <c r="AJ442" s="1160"/>
      <c r="AK442" s="2806"/>
      <c r="AL442" s="1285"/>
      <c r="AM442" s="1531"/>
      <c r="AN442" s="1722"/>
      <c r="AO442" s="2162"/>
      <c r="AP442" s="1761"/>
      <c r="AQ442" s="778"/>
      <c r="AR442" s="778"/>
      <c r="AS442" s="1640"/>
      <c r="AT442" s="1452"/>
      <c r="AU442" s="1392"/>
      <c r="AV442" s="1873"/>
      <c r="AW442" s="684"/>
      <c r="AX442" s="2133"/>
      <c r="AY442" s="870"/>
      <c r="AZ442" s="1802"/>
      <c r="BA442" s="1802"/>
      <c r="BB442" s="1802"/>
      <c r="BC442" s="1958"/>
      <c r="BD442" s="967"/>
      <c r="BE442" s="908"/>
      <c r="BF442" s="1862"/>
      <c r="BG442" s="1859"/>
      <c r="BH442" s="2015"/>
      <c r="BI442" s="1556"/>
      <c r="BJ442" s="1878"/>
      <c r="BK442" s="1998"/>
      <c r="BL442" s="1576"/>
      <c r="BM442" s="1428"/>
      <c r="BN442" s="1630"/>
      <c r="BO442" s="1107"/>
      <c r="BP442" s="1107"/>
      <c r="BQ442" s="2124"/>
      <c r="BR442" s="1107"/>
      <c r="BS442" s="182"/>
      <c r="BT442" s="182"/>
      <c r="BU442" s="182"/>
      <c r="BV442" s="1107"/>
      <c r="BW442" s="1107"/>
      <c r="BX442" s="2124"/>
      <c r="BY442" s="1107"/>
      <c r="BZ442" s="183"/>
      <c r="CA442" s="2846"/>
      <c r="CB442" s="183"/>
      <c r="CC442" s="184"/>
      <c r="CD442" s="2259"/>
      <c r="CE442" s="184"/>
    </row>
    <row r="443" spans="1:83" ht="21.6" customHeight="1" x14ac:dyDescent="0.4">
      <c r="A443" s="249"/>
      <c r="B443" s="249"/>
      <c r="C443" s="584">
        <v>0.81597222222222199</v>
      </c>
      <c r="D443" s="1948"/>
      <c r="E443" s="1949"/>
      <c r="F443" s="1950"/>
      <c r="G443" s="1948"/>
      <c r="H443" s="1949"/>
      <c r="I443" s="1951"/>
      <c r="J443" s="1948"/>
      <c r="K443" s="1950"/>
      <c r="L443" s="1951"/>
      <c r="M443" s="1948"/>
      <c r="N443" s="1962"/>
      <c r="O443" s="1948"/>
      <c r="P443" s="1948"/>
      <c r="Q443" s="1950"/>
      <c r="R443" s="1951"/>
      <c r="S443" s="1954"/>
      <c r="T443" s="1948"/>
      <c r="U443" s="1948"/>
      <c r="V443" s="1954"/>
      <c r="W443" s="1948"/>
      <c r="X443" s="1954"/>
      <c r="Y443" s="1948"/>
      <c r="Z443" s="1962"/>
      <c r="AA443" s="1948"/>
      <c r="AB443" s="1948"/>
      <c r="AC443" s="1948"/>
      <c r="AD443" s="1948"/>
      <c r="AE443" s="1157"/>
      <c r="AF443" s="2163"/>
      <c r="AG443" s="2070"/>
      <c r="AH443" s="1160"/>
      <c r="AI443" s="2161"/>
      <c r="AJ443" s="1160"/>
      <c r="AK443" s="1285"/>
      <c r="AL443" s="1285"/>
      <c r="AM443" s="1969"/>
      <c r="AN443" s="1722"/>
      <c r="AO443" s="1722"/>
      <c r="AP443" s="1722"/>
      <c r="AQ443" s="778"/>
      <c r="AR443" s="778"/>
      <c r="AS443" s="1640"/>
      <c r="AT443" s="1394"/>
      <c r="AU443" s="1392"/>
      <c r="AV443" s="1873"/>
      <c r="AW443" s="1682"/>
      <c r="AX443" s="2164"/>
      <c r="AY443" s="783"/>
      <c r="AZ443" s="1802"/>
      <c r="BA443" s="1280"/>
      <c r="BB443" s="1644"/>
      <c r="BC443" s="687"/>
      <c r="BD443" s="1374"/>
      <c r="BE443" s="687"/>
      <c r="BF443" s="1862"/>
      <c r="BG443" s="1859"/>
      <c r="BH443" s="2015"/>
      <c r="BI443" s="1556"/>
      <c r="BJ443" s="2165"/>
      <c r="BK443" s="1543"/>
      <c r="BL443" s="1168"/>
      <c r="BM443" s="1428"/>
      <c r="BN443" s="1168"/>
      <c r="BO443" s="2134"/>
      <c r="BP443" s="1577"/>
      <c r="BQ443" s="2124"/>
      <c r="BR443" s="2072"/>
      <c r="BS443" s="2007"/>
      <c r="BT443" s="182"/>
      <c r="BU443" s="2073"/>
      <c r="BV443" s="2134"/>
      <c r="BW443" s="1577"/>
      <c r="BX443" s="2124"/>
      <c r="BY443" s="2072"/>
      <c r="BZ443" s="2008"/>
      <c r="CA443" s="2846"/>
      <c r="CB443" s="2074"/>
      <c r="CC443" s="2009"/>
      <c r="CD443" s="2259"/>
      <c r="CE443" s="2075"/>
    </row>
    <row r="444" spans="1:83" ht="14.85" customHeight="1" x14ac:dyDescent="0.4">
      <c r="A444" s="249"/>
      <c r="B444" s="249"/>
      <c r="C444" s="584" t="s">
        <v>307</v>
      </c>
      <c r="D444" s="1948"/>
      <c r="E444" s="1949"/>
      <c r="F444" s="1950"/>
      <c r="G444" s="1948"/>
      <c r="H444" s="1949"/>
      <c r="I444" s="1951"/>
      <c r="J444" s="1948"/>
      <c r="K444" s="1950"/>
      <c r="L444" s="1951"/>
      <c r="M444" s="1948"/>
      <c r="N444" s="1962"/>
      <c r="O444" s="1948"/>
      <c r="P444" s="1948"/>
      <c r="Q444" s="1950"/>
      <c r="R444" s="1951"/>
      <c r="S444" s="1954"/>
      <c r="T444" s="1948"/>
      <c r="U444" s="1948"/>
      <c r="V444" s="1954"/>
      <c r="W444" s="1948"/>
      <c r="X444" s="1954"/>
      <c r="Y444" s="1948"/>
      <c r="Z444" s="1962"/>
      <c r="AA444" s="1948"/>
      <c r="AB444" s="1962"/>
      <c r="AC444" s="1962"/>
      <c r="AD444" s="1962"/>
      <c r="AE444" s="1036"/>
      <c r="AF444" s="2163"/>
      <c r="AG444" s="2166"/>
      <c r="AH444" s="2000"/>
      <c r="AI444" s="2161"/>
      <c r="AJ444" s="1594"/>
      <c r="AK444" s="1285"/>
      <c r="AL444" s="1285"/>
      <c r="AM444" s="1969"/>
      <c r="AN444" s="1722"/>
      <c r="AO444" s="1722"/>
      <c r="AP444" s="1722"/>
      <c r="AQ444" s="778"/>
      <c r="AR444" s="778"/>
      <c r="AS444" s="1640"/>
      <c r="AT444" s="1394"/>
      <c r="AU444" s="1392"/>
      <c r="AV444" s="1873"/>
      <c r="AW444" s="1682"/>
      <c r="AX444" s="2164"/>
      <c r="AY444" s="783"/>
      <c r="AZ444" s="1802"/>
      <c r="BA444" s="1280"/>
      <c r="BB444" s="1644"/>
      <c r="BC444" s="869"/>
      <c r="BD444" s="2167"/>
      <c r="BE444" s="687"/>
      <c r="BF444" s="1794"/>
      <c r="BG444" s="1794"/>
      <c r="BH444" s="1794"/>
      <c r="BI444" s="1542"/>
      <c r="BJ444" s="2168"/>
      <c r="BK444" s="1543"/>
      <c r="BL444" s="1660"/>
      <c r="BM444" s="1428"/>
      <c r="BN444" s="1168"/>
      <c r="BO444" s="1107"/>
      <c r="BP444" s="1107"/>
      <c r="BQ444" s="1107"/>
      <c r="BR444" s="2072"/>
      <c r="BS444" s="182"/>
      <c r="BT444" s="182"/>
      <c r="BU444" s="2073"/>
      <c r="BV444" s="1107"/>
      <c r="BW444" s="1107"/>
      <c r="BX444" s="1107"/>
      <c r="BY444" s="2072"/>
      <c r="BZ444" s="183"/>
      <c r="CA444" s="2846"/>
      <c r="CB444" s="2074"/>
      <c r="CC444" s="184"/>
      <c r="CD444" s="2259"/>
      <c r="CE444" s="2075"/>
    </row>
    <row r="445" spans="1:83" ht="22.35" customHeight="1" x14ac:dyDescent="0.4">
      <c r="A445" s="249"/>
      <c r="B445" s="249"/>
      <c r="C445" s="584" t="s">
        <v>307</v>
      </c>
      <c r="D445" s="1948"/>
      <c r="E445" s="1949"/>
      <c r="F445" s="1950"/>
      <c r="G445" s="1948"/>
      <c r="H445" s="1949"/>
      <c r="I445" s="1951"/>
      <c r="J445" s="1948"/>
      <c r="K445" s="1950"/>
      <c r="L445" s="1951"/>
      <c r="M445" s="1948"/>
      <c r="N445" s="1962"/>
      <c r="O445" s="1948"/>
      <c r="P445" s="1948"/>
      <c r="Q445" s="1950"/>
      <c r="R445" s="1951"/>
      <c r="S445" s="1954"/>
      <c r="T445" s="1948"/>
      <c r="U445" s="1948"/>
      <c r="V445" s="1954"/>
      <c r="W445" s="1948"/>
      <c r="X445" s="1954"/>
      <c r="Y445" s="1948"/>
      <c r="Z445" s="1962"/>
      <c r="AA445" s="1948"/>
      <c r="AB445" s="1962"/>
      <c r="AC445" s="1962"/>
      <c r="AD445" s="1962"/>
      <c r="AE445" s="2169"/>
      <c r="AF445" s="2170"/>
      <c r="AG445" s="2166"/>
      <c r="AH445" s="1592"/>
      <c r="AI445" s="1593"/>
      <c r="AJ445" s="1594"/>
      <c r="AK445" s="1285"/>
      <c r="AL445" s="1285"/>
      <c r="AM445" s="1969"/>
      <c r="AN445" s="2171"/>
      <c r="AO445" s="1596"/>
      <c r="AP445" s="1438"/>
      <c r="AQ445" s="778"/>
      <c r="AR445" s="778"/>
      <c r="AS445" s="1640"/>
      <c r="AT445" s="1394"/>
      <c r="AU445" s="1394"/>
      <c r="AV445" s="1786"/>
      <c r="AW445" s="1682"/>
      <c r="AX445" s="2164"/>
      <c r="AY445" s="783"/>
      <c r="AZ445" s="1802"/>
      <c r="BA445" s="1802"/>
      <c r="BB445" s="1644"/>
      <c r="BC445" s="1399"/>
      <c r="BD445" s="2167"/>
      <c r="BE445" s="908"/>
      <c r="BF445" s="1862"/>
      <c r="BG445" s="1859"/>
      <c r="BH445" s="2015"/>
      <c r="BI445" s="1773"/>
      <c r="BJ445" s="2168"/>
      <c r="BK445" s="1587"/>
      <c r="BL445" s="1294"/>
      <c r="BM445" s="1428"/>
      <c r="BN445" s="1630"/>
      <c r="BO445" s="1107"/>
      <c r="BP445" s="1107"/>
      <c r="BQ445" s="1107"/>
      <c r="BR445" s="2072"/>
      <c r="BS445" s="182"/>
      <c r="BT445" s="182"/>
      <c r="BU445" s="2073"/>
      <c r="BV445" s="1107"/>
      <c r="BW445" s="1107"/>
      <c r="BX445" s="1107"/>
      <c r="BY445" s="2072"/>
      <c r="BZ445" s="183"/>
      <c r="CA445" s="2846"/>
      <c r="CB445" s="2074"/>
      <c r="CC445" s="184"/>
      <c r="CD445" s="2259"/>
      <c r="CE445" s="2075"/>
    </row>
    <row r="446" spans="1:83" ht="23.85" customHeight="1" x14ac:dyDescent="0.4">
      <c r="A446" s="249"/>
      <c r="B446" s="249"/>
      <c r="C446" s="584" t="s">
        <v>307</v>
      </c>
      <c r="D446" s="1948"/>
      <c r="E446" s="1949"/>
      <c r="F446" s="1950"/>
      <c r="G446" s="1948"/>
      <c r="H446" s="1949"/>
      <c r="I446" s="1951"/>
      <c r="J446" s="1948"/>
      <c r="K446" s="1950"/>
      <c r="L446" s="1951"/>
      <c r="M446" s="1948"/>
      <c r="N446" s="1962"/>
      <c r="O446" s="1948"/>
      <c r="P446" s="1948"/>
      <c r="Q446" s="1950"/>
      <c r="R446" s="1951"/>
      <c r="S446" s="1954"/>
      <c r="T446" s="1948"/>
      <c r="U446" s="1948"/>
      <c r="V446" s="1954"/>
      <c r="W446" s="1948"/>
      <c r="X446" s="1954"/>
      <c r="Y446" s="1948"/>
      <c r="Z446" s="1962"/>
      <c r="AA446" s="1948"/>
      <c r="AB446" s="1962"/>
      <c r="AC446" s="1962"/>
      <c r="AD446" s="1962"/>
      <c r="AE446" s="2169"/>
      <c r="AF446" s="2170"/>
      <c r="AG446" s="2166"/>
      <c r="AH446" s="1592"/>
      <c r="AI446" s="1593"/>
      <c r="AJ446" s="1594"/>
      <c r="AK446" s="1285"/>
      <c r="AL446" s="1285"/>
      <c r="AM446" s="1969"/>
      <c r="AN446" s="2171"/>
      <c r="AO446" s="1596"/>
      <c r="AP446" s="1438"/>
      <c r="AQ446" s="778"/>
      <c r="AR446" s="778"/>
      <c r="AS446" s="1640"/>
      <c r="AT446" s="1394"/>
      <c r="AU446" s="1394"/>
      <c r="AV446" s="1786"/>
      <c r="AW446" s="1682"/>
      <c r="AX446" s="2164"/>
      <c r="AY446" s="783"/>
      <c r="AZ446" s="1802"/>
      <c r="BA446" s="1802"/>
      <c r="BB446" s="1644"/>
      <c r="BC446" s="2172"/>
      <c r="BD446" s="2167"/>
      <c r="BE446" s="1527"/>
      <c r="BF446" s="1862"/>
      <c r="BG446" s="1896"/>
      <c r="BH446" s="2015"/>
      <c r="BI446" s="2173"/>
      <c r="BJ446" s="2168"/>
      <c r="BK446" s="2174"/>
      <c r="BL446" s="1561"/>
      <c r="BM446" s="1428"/>
      <c r="BN446" s="1960"/>
      <c r="BO446" s="1107"/>
      <c r="BP446" s="1107"/>
      <c r="BQ446" s="1107"/>
      <c r="BR446" s="2072"/>
      <c r="BS446" s="182"/>
      <c r="BT446" s="182"/>
      <c r="BU446" s="2073"/>
      <c r="BV446" s="1107"/>
      <c r="BW446" s="1107"/>
      <c r="BX446" s="1107"/>
      <c r="BY446" s="2072"/>
      <c r="BZ446" s="183"/>
      <c r="CA446" s="2846"/>
      <c r="CB446" s="2074"/>
      <c r="CC446" s="184"/>
      <c r="CD446" s="2259"/>
      <c r="CE446" s="2075"/>
    </row>
    <row r="447" spans="1:83" ht="14.85" customHeight="1" x14ac:dyDescent="0.4">
      <c r="A447" s="249"/>
      <c r="B447" s="249"/>
      <c r="C447" s="584" t="s">
        <v>307</v>
      </c>
      <c r="D447" s="1948"/>
      <c r="E447" s="1949"/>
      <c r="F447" s="1950"/>
      <c r="G447" s="1948"/>
      <c r="H447" s="1949"/>
      <c r="I447" s="1951"/>
      <c r="J447" s="1948"/>
      <c r="K447" s="1950"/>
      <c r="L447" s="1951"/>
      <c r="M447" s="1948"/>
      <c r="N447" s="1962"/>
      <c r="O447" s="1948"/>
      <c r="P447" s="1948"/>
      <c r="Q447" s="1950"/>
      <c r="R447" s="1951"/>
      <c r="S447" s="1954"/>
      <c r="T447" s="1948"/>
      <c r="U447" s="1948"/>
      <c r="V447" s="1954"/>
      <c r="W447" s="1948"/>
      <c r="X447" s="1954"/>
      <c r="Y447" s="1948"/>
      <c r="Z447" s="1962"/>
      <c r="AA447" s="1948"/>
      <c r="AB447" s="1962"/>
      <c r="AC447" s="1962"/>
      <c r="AD447" s="1962"/>
      <c r="AE447" s="2169"/>
      <c r="AF447" s="2170"/>
      <c r="AG447" s="2166"/>
      <c r="AH447" s="1592"/>
      <c r="AI447" s="1593"/>
      <c r="AJ447" s="1594"/>
      <c r="AK447" s="1285"/>
      <c r="AL447" s="1285"/>
      <c r="AM447" s="1969"/>
      <c r="AN447" s="2171"/>
      <c r="AO447" s="1596"/>
      <c r="AP447" s="1438"/>
      <c r="AQ447" s="778"/>
      <c r="AR447" s="778"/>
      <c r="AS447" s="1640"/>
      <c r="AT447" s="1394"/>
      <c r="AU447" s="1394"/>
      <c r="AV447" s="1786"/>
      <c r="AW447" s="1682"/>
      <c r="AX447" s="2164"/>
      <c r="AY447" s="783"/>
      <c r="AZ447" s="1802"/>
      <c r="BA447" s="1802"/>
      <c r="BB447" s="1644"/>
      <c r="BC447" s="664"/>
      <c r="BD447" s="967"/>
      <c r="BE447" s="965"/>
      <c r="BF447" s="1794"/>
      <c r="BG447" s="1862"/>
      <c r="BH447" s="1794"/>
      <c r="BI447" s="1773"/>
      <c r="BJ447" s="2168"/>
      <c r="BK447" s="1587"/>
      <c r="BL447" s="1561"/>
      <c r="BM447" s="1428"/>
      <c r="BN447" s="1960"/>
      <c r="BO447" s="1107"/>
      <c r="BP447" s="1107"/>
      <c r="BQ447" s="1107"/>
      <c r="BR447" s="2072"/>
      <c r="BS447" s="182"/>
      <c r="BT447" s="182"/>
      <c r="BU447" s="2073"/>
      <c r="BV447" s="1107"/>
      <c r="BW447" s="1107"/>
      <c r="BX447" s="1107"/>
      <c r="BY447" s="2072"/>
      <c r="BZ447" s="183"/>
      <c r="CA447" s="2846"/>
      <c r="CB447" s="2074"/>
      <c r="CC447" s="184"/>
      <c r="CD447" s="2259"/>
      <c r="CE447" s="2075"/>
    </row>
    <row r="448" spans="1:83" ht="21" customHeight="1" x14ac:dyDescent="0.4">
      <c r="A448" s="249"/>
      <c r="B448" s="249"/>
      <c r="C448" s="584">
        <v>0.81944444444444398</v>
      </c>
      <c r="D448" s="1948"/>
      <c r="E448" s="1949"/>
      <c r="F448" s="1950"/>
      <c r="G448" s="1948"/>
      <c r="H448" s="1949"/>
      <c r="I448" s="1951"/>
      <c r="J448" s="1948"/>
      <c r="K448" s="1950"/>
      <c r="L448" s="1951"/>
      <c r="M448" s="1948"/>
      <c r="N448" s="1962"/>
      <c r="O448" s="1948"/>
      <c r="P448" s="1948"/>
      <c r="Q448" s="1950"/>
      <c r="R448" s="1951"/>
      <c r="S448" s="1954"/>
      <c r="T448" s="1948"/>
      <c r="U448" s="1948"/>
      <c r="V448" s="1954"/>
      <c r="W448" s="1948"/>
      <c r="X448" s="1954"/>
      <c r="Y448" s="1948"/>
      <c r="Z448" s="1962"/>
      <c r="AA448" s="1948"/>
      <c r="AB448" s="1962"/>
      <c r="AC448" s="1962"/>
      <c r="AD448" s="1962"/>
      <c r="AE448" s="2169"/>
      <c r="AF448" s="1124"/>
      <c r="AG448" s="2166"/>
      <c r="AH448" s="1645"/>
      <c r="AI448" s="1593"/>
      <c r="AJ448" s="1904"/>
      <c r="AK448" s="2806"/>
      <c r="AL448" s="1272"/>
      <c r="AM448" s="1969"/>
      <c r="AN448" s="1273"/>
      <c r="AO448" s="1273"/>
      <c r="AP448" s="2060"/>
      <c r="AQ448" s="778"/>
      <c r="AR448" s="778"/>
      <c r="AS448" s="1640"/>
      <c r="AT448" s="1394"/>
      <c r="AU448" s="1394"/>
      <c r="AV448" s="1394"/>
      <c r="AW448" s="684"/>
      <c r="AX448" s="2129"/>
      <c r="AY448" s="783"/>
      <c r="AZ448" s="1802"/>
      <c r="BA448" s="2091"/>
      <c r="BB448" s="1802"/>
      <c r="BC448" s="664"/>
      <c r="BD448" s="967"/>
      <c r="BE448" s="965"/>
      <c r="BF448" s="1862"/>
      <c r="BG448" s="1859"/>
      <c r="BH448" s="2015"/>
      <c r="BI448" s="1556"/>
      <c r="BJ448" s="2165"/>
      <c r="BK448" s="1543"/>
      <c r="BL448" s="1561"/>
      <c r="BM448" s="1428"/>
      <c r="BN448" s="1960"/>
      <c r="BO448" s="1107"/>
      <c r="BP448" s="1108"/>
      <c r="BQ448" s="1579"/>
      <c r="BR448" s="1614"/>
      <c r="BS448" s="1754"/>
      <c r="BT448" s="1733"/>
      <c r="BU448" s="1783"/>
      <c r="BV448" s="1107"/>
      <c r="BW448" s="1108"/>
      <c r="BX448" s="1579"/>
      <c r="BY448" s="1614"/>
      <c r="BZ448" s="1756"/>
      <c r="CA448" s="2846"/>
      <c r="CB448" s="1784"/>
      <c r="CC448" s="1758"/>
      <c r="CD448" s="2259"/>
      <c r="CE448" s="1785"/>
    </row>
    <row r="449" spans="1:83" ht="14.85" customHeight="1" x14ac:dyDescent="0.4">
      <c r="A449" s="249"/>
      <c r="B449" s="249"/>
      <c r="C449" s="584" t="s">
        <v>307</v>
      </c>
      <c r="D449" s="1948"/>
      <c r="E449" s="1949"/>
      <c r="F449" s="1950"/>
      <c r="G449" s="1948"/>
      <c r="H449" s="1949"/>
      <c r="I449" s="1951"/>
      <c r="J449" s="1948"/>
      <c r="K449" s="1950"/>
      <c r="L449" s="1951"/>
      <c r="M449" s="1948"/>
      <c r="N449" s="1962"/>
      <c r="O449" s="1948"/>
      <c r="P449" s="1948"/>
      <c r="Q449" s="1950"/>
      <c r="R449" s="1951"/>
      <c r="S449" s="1954"/>
      <c r="T449" s="1948"/>
      <c r="U449" s="1948"/>
      <c r="V449" s="1954"/>
      <c r="W449" s="1948"/>
      <c r="X449" s="1954"/>
      <c r="Y449" s="1948"/>
      <c r="Z449" s="1962"/>
      <c r="AA449" s="1948"/>
      <c r="AB449" s="1948"/>
      <c r="AC449" s="1948"/>
      <c r="AD449" s="1948"/>
      <c r="AE449" s="1124"/>
      <c r="AF449" s="1157"/>
      <c r="AG449" s="2175"/>
      <c r="AH449" s="1160"/>
      <c r="AI449" s="2161"/>
      <c r="AJ449" s="1160"/>
      <c r="AK449" s="1285"/>
      <c r="AL449" s="1449"/>
      <c r="AM449" s="1285"/>
      <c r="AN449" s="1273"/>
      <c r="AO449" s="1273"/>
      <c r="AP449" s="2060"/>
      <c r="AQ449" s="778"/>
      <c r="AR449" s="778"/>
      <c r="AS449" s="1640"/>
      <c r="AT449" s="1394"/>
      <c r="AU449" s="1394"/>
      <c r="AV449" s="1394"/>
      <c r="AW449" s="684"/>
      <c r="AX449" s="684"/>
      <c r="AY449" s="783"/>
      <c r="AZ449" s="1802"/>
      <c r="BA449" s="2091"/>
      <c r="BB449" s="1802"/>
      <c r="BC449" s="664"/>
      <c r="BD449" s="967"/>
      <c r="BE449" s="965"/>
      <c r="BF449" s="1862"/>
      <c r="BG449" s="1859"/>
      <c r="BH449" s="2015"/>
      <c r="BI449" s="1556"/>
      <c r="BJ449" s="2165"/>
      <c r="BK449" s="1587"/>
      <c r="BL449" s="1561"/>
      <c r="BM449" s="1428"/>
      <c r="BN449" s="1960"/>
      <c r="BO449" s="1107"/>
      <c r="BP449" s="1108"/>
      <c r="BQ449" s="1579"/>
      <c r="BR449" s="1614"/>
      <c r="BS449" s="1754"/>
      <c r="BT449" s="1733"/>
      <c r="BU449" s="1783"/>
      <c r="BV449" s="1107"/>
      <c r="BW449" s="1108"/>
      <c r="BX449" s="1579"/>
      <c r="BY449" s="1614"/>
      <c r="BZ449" s="1756"/>
      <c r="CA449" s="2846"/>
      <c r="CB449" s="1784"/>
      <c r="CC449" s="1758"/>
      <c r="CD449" s="2259"/>
      <c r="CE449" s="1785"/>
    </row>
    <row r="450" spans="1:83" ht="14.85" customHeight="1" x14ac:dyDescent="0.4">
      <c r="A450" s="249"/>
      <c r="B450" s="249"/>
      <c r="C450" s="584" t="s">
        <v>307</v>
      </c>
      <c r="D450" s="1948"/>
      <c r="E450" s="1949"/>
      <c r="F450" s="1950"/>
      <c r="G450" s="1948"/>
      <c r="H450" s="1949"/>
      <c r="I450" s="1951"/>
      <c r="J450" s="1948"/>
      <c r="K450" s="1950"/>
      <c r="L450" s="1951"/>
      <c r="M450" s="1948"/>
      <c r="N450" s="1962"/>
      <c r="O450" s="1948"/>
      <c r="P450" s="1948"/>
      <c r="Q450" s="1950"/>
      <c r="R450" s="1951"/>
      <c r="S450" s="1954"/>
      <c r="T450" s="1948"/>
      <c r="U450" s="1948"/>
      <c r="V450" s="1954"/>
      <c r="W450" s="1948"/>
      <c r="X450" s="1954"/>
      <c r="Y450" s="1948"/>
      <c r="Z450" s="1962"/>
      <c r="AA450" s="1948"/>
      <c r="AB450" s="1948"/>
      <c r="AC450" s="1948"/>
      <c r="AD450" s="1948"/>
      <c r="AE450" s="2160"/>
      <c r="AF450" s="1124"/>
      <c r="AG450" s="2050"/>
      <c r="AH450" s="1601"/>
      <c r="AI450" s="1593"/>
      <c r="AJ450" s="1256"/>
      <c r="AK450" s="1200"/>
      <c r="AL450" s="1272"/>
      <c r="AM450" s="1531"/>
      <c r="AN450" s="1273"/>
      <c r="AO450" s="1273"/>
      <c r="AP450" s="2060"/>
      <c r="AQ450" s="778"/>
      <c r="AR450" s="778"/>
      <c r="AS450" s="1640"/>
      <c r="AT450" s="1394"/>
      <c r="AU450" s="1394"/>
      <c r="AV450" s="1394"/>
      <c r="AW450" s="684"/>
      <c r="AX450" s="684"/>
      <c r="AY450" s="783"/>
      <c r="AZ450" s="1802"/>
      <c r="BA450" s="2091"/>
      <c r="BB450" s="1802"/>
      <c r="BC450" s="687"/>
      <c r="BD450" s="967"/>
      <c r="BE450" s="687"/>
      <c r="BF450" s="1794"/>
      <c r="BG450" s="1978"/>
      <c r="BH450" s="1883"/>
      <c r="BI450" s="1556"/>
      <c r="BJ450" s="2176"/>
      <c r="BK450" s="1543"/>
      <c r="BL450" s="1168"/>
      <c r="BM450" s="1428"/>
      <c r="BN450" s="1168"/>
      <c r="BO450" s="1107"/>
      <c r="BP450" s="1108"/>
      <c r="BQ450" s="1579"/>
      <c r="BR450" s="1614"/>
      <c r="BS450" s="1754"/>
      <c r="BT450" s="1733"/>
      <c r="BU450" s="1783"/>
      <c r="BV450" s="1107"/>
      <c r="BW450" s="1108"/>
      <c r="BX450" s="1579"/>
      <c r="BY450" s="1614"/>
      <c r="BZ450" s="1756"/>
      <c r="CA450" s="2846"/>
      <c r="CB450" s="1784"/>
      <c r="CC450" s="1758"/>
      <c r="CD450" s="2259"/>
      <c r="CE450" s="1785"/>
    </row>
    <row r="451" spans="1:83" ht="23.25" customHeight="1" x14ac:dyDescent="0.4">
      <c r="A451" s="249"/>
      <c r="B451" s="249"/>
      <c r="C451" s="584">
        <v>0.82291666666666596</v>
      </c>
      <c r="D451" s="1948"/>
      <c r="E451" s="1949"/>
      <c r="F451" s="1950"/>
      <c r="G451" s="1948"/>
      <c r="H451" s="1949"/>
      <c r="I451" s="1951"/>
      <c r="J451" s="1948"/>
      <c r="K451" s="1950"/>
      <c r="L451" s="1951"/>
      <c r="M451" s="1948"/>
      <c r="N451" s="1962"/>
      <c r="O451" s="1948"/>
      <c r="P451" s="1948"/>
      <c r="Q451" s="1950"/>
      <c r="R451" s="1951"/>
      <c r="S451" s="1954"/>
      <c r="T451" s="1948"/>
      <c r="U451" s="1948"/>
      <c r="V451" s="1954"/>
      <c r="W451" s="1948"/>
      <c r="X451" s="1954"/>
      <c r="Y451" s="1948"/>
      <c r="Z451" s="1962"/>
      <c r="AA451" s="1948"/>
      <c r="AB451" s="1948"/>
      <c r="AC451" s="1948"/>
      <c r="AD451" s="1948"/>
      <c r="AE451" s="1385"/>
      <c r="AF451" s="1385" t="s">
        <v>332</v>
      </c>
      <c r="AG451" s="1408"/>
      <c r="AH451" s="1159"/>
      <c r="AI451" s="1160" t="s">
        <v>331</v>
      </c>
      <c r="AJ451" s="1160"/>
      <c r="AK451" s="1285"/>
      <c r="AL451" s="1285"/>
      <c r="AM451" s="1531"/>
      <c r="AN451" s="2171"/>
      <c r="AO451" s="1596"/>
      <c r="AP451" s="1438"/>
      <c r="AQ451" s="778"/>
      <c r="AR451" s="778"/>
      <c r="AS451" s="1640"/>
      <c r="AT451" s="1394"/>
      <c r="AU451" s="1394"/>
      <c r="AV451" s="1786"/>
      <c r="AW451" s="2155"/>
      <c r="AX451" s="2177"/>
      <c r="AY451" s="2155"/>
      <c r="AZ451" s="1802"/>
      <c r="BA451" s="2091"/>
      <c r="BB451" s="1802"/>
      <c r="BC451" s="2172"/>
      <c r="BD451" s="2167"/>
      <c r="BE451" s="2172"/>
      <c r="BF451" s="1794"/>
      <c r="BG451" s="2157" t="s">
        <v>533</v>
      </c>
      <c r="BH451" s="1401"/>
      <c r="BI451" s="2173"/>
      <c r="BJ451" s="1556" t="s">
        <v>371</v>
      </c>
      <c r="BK451" s="2178"/>
      <c r="BL451" s="1576"/>
      <c r="BM451" s="1169"/>
      <c r="BN451" s="2179"/>
      <c r="BO451" s="2134"/>
      <c r="BP451" s="1577"/>
      <c r="BQ451" s="1107"/>
      <c r="BR451" s="1614"/>
      <c r="BS451" s="2007"/>
      <c r="BT451" s="1733"/>
      <c r="BU451" s="1783"/>
      <c r="BV451" s="2134"/>
      <c r="BW451" s="1577"/>
      <c r="BX451" s="1107"/>
      <c r="BY451" s="1614"/>
      <c r="BZ451" s="2008"/>
      <c r="CA451" s="2846"/>
      <c r="CB451" s="1784"/>
      <c r="CC451" s="2009"/>
      <c r="CD451" s="2259"/>
      <c r="CE451" s="1785"/>
    </row>
    <row r="452" spans="1:83" ht="21" customHeight="1" x14ac:dyDescent="0.4">
      <c r="A452" s="249"/>
      <c r="B452" s="249"/>
      <c r="C452" s="584" t="s">
        <v>307</v>
      </c>
      <c r="D452" s="1948"/>
      <c r="E452" s="1949"/>
      <c r="F452" s="1950"/>
      <c r="G452" s="1948"/>
      <c r="H452" s="1949"/>
      <c r="I452" s="1951"/>
      <c r="J452" s="1948"/>
      <c r="K452" s="1950"/>
      <c r="L452" s="1951"/>
      <c r="M452" s="1948"/>
      <c r="N452" s="1962"/>
      <c r="O452" s="1948"/>
      <c r="P452" s="1948"/>
      <c r="Q452" s="1950"/>
      <c r="R452" s="1951"/>
      <c r="S452" s="1954"/>
      <c r="T452" s="1948"/>
      <c r="U452" s="1948"/>
      <c r="V452" s="1954"/>
      <c r="W452" s="1948"/>
      <c r="X452" s="1954"/>
      <c r="Y452" s="1948"/>
      <c r="Z452" s="1962"/>
      <c r="AA452" s="1948"/>
      <c r="AB452" s="1948"/>
      <c r="AC452" s="1948"/>
      <c r="AD452" s="1948"/>
      <c r="AE452" s="1157"/>
      <c r="AF452" s="1429"/>
      <c r="AG452" s="1157"/>
      <c r="AH452" s="1164"/>
      <c r="AI452" s="1139" t="s">
        <v>366</v>
      </c>
      <c r="AJ452" s="1165"/>
      <c r="AK452" s="2806"/>
      <c r="AL452" s="1202"/>
      <c r="AM452" s="1469"/>
      <c r="AN452" s="2171"/>
      <c r="AO452" s="1596"/>
      <c r="AP452" s="1438"/>
      <c r="AQ452" s="778"/>
      <c r="AR452" s="778"/>
      <c r="AS452" s="1640"/>
      <c r="AT452" s="1394"/>
      <c r="AU452" s="1394"/>
      <c r="AV452" s="1394"/>
      <c r="AW452" s="1781"/>
      <c r="AX452" s="684"/>
      <c r="AY452" s="738"/>
      <c r="AZ452" s="1802"/>
      <c r="BA452" s="2091"/>
      <c r="BB452" s="1802"/>
      <c r="BC452" s="2172"/>
      <c r="BD452" s="2167"/>
      <c r="BE452" s="1527"/>
      <c r="BF452" s="1794"/>
      <c r="BG452" s="2157" t="s">
        <v>384</v>
      </c>
      <c r="BH452" s="1401"/>
      <c r="BI452" s="2176"/>
      <c r="BJ452" s="1556" t="s">
        <v>334</v>
      </c>
      <c r="BK452" s="1636"/>
      <c r="BL452" s="1168"/>
      <c r="BM452" s="1428" t="s">
        <v>334</v>
      </c>
      <c r="BN452" s="1630"/>
      <c r="BO452" s="1107"/>
      <c r="BP452" s="1107"/>
      <c r="BQ452" s="1107"/>
      <c r="BR452" s="1614"/>
      <c r="BS452" s="182"/>
      <c r="BT452" s="182"/>
      <c r="BU452" s="1783"/>
      <c r="BV452" s="1107"/>
      <c r="BW452" s="1107"/>
      <c r="BX452" s="1107"/>
      <c r="BY452" s="1614"/>
      <c r="BZ452" s="183"/>
      <c r="CA452" s="2846"/>
      <c r="CB452" s="1784"/>
      <c r="CC452" s="184"/>
      <c r="CD452" s="2259"/>
      <c r="CE452" s="1785"/>
    </row>
    <row r="453" spans="1:83" ht="18" customHeight="1" x14ac:dyDescent="0.4">
      <c r="A453" s="249"/>
      <c r="B453" s="249"/>
      <c r="C453" s="584" t="s">
        <v>307</v>
      </c>
      <c r="D453" s="1948"/>
      <c r="E453" s="1949"/>
      <c r="F453" s="1950"/>
      <c r="G453" s="1948"/>
      <c r="H453" s="1949"/>
      <c r="I453" s="1951"/>
      <c r="J453" s="1948"/>
      <c r="K453" s="1950"/>
      <c r="L453" s="1951"/>
      <c r="M453" s="1948"/>
      <c r="N453" s="1962"/>
      <c r="O453" s="1948"/>
      <c r="P453" s="1948"/>
      <c r="Q453" s="1950"/>
      <c r="R453" s="1951"/>
      <c r="S453" s="1954"/>
      <c r="T453" s="1948"/>
      <c r="U453" s="1948"/>
      <c r="V453" s="1954"/>
      <c r="W453" s="1948"/>
      <c r="X453" s="1954"/>
      <c r="Y453" s="1948"/>
      <c r="Z453" s="1962"/>
      <c r="AA453" s="1948"/>
      <c r="AB453" s="1948"/>
      <c r="AC453" s="1948"/>
      <c r="AD453" s="1948"/>
      <c r="AE453" s="1157"/>
      <c r="AF453" s="1157"/>
      <c r="AG453" s="2050"/>
      <c r="AH453" s="1430"/>
      <c r="AI453" s="1430" t="s">
        <v>336</v>
      </c>
      <c r="AJ453" s="1430"/>
      <c r="AK453" s="2180"/>
      <c r="AL453" s="1202"/>
      <c r="AM453" s="1469"/>
      <c r="AN453" s="2171"/>
      <c r="AO453" s="1596"/>
      <c r="AP453" s="1438"/>
      <c r="AQ453" s="778"/>
      <c r="AR453" s="778"/>
      <c r="AS453" s="1640"/>
      <c r="AT453" s="1452"/>
      <c r="AU453" s="1394"/>
      <c r="AV453" s="1394"/>
      <c r="AW453" s="1781"/>
      <c r="AX453" s="1395"/>
      <c r="AY453" s="738"/>
      <c r="AZ453" s="1802"/>
      <c r="BA453" s="1802"/>
      <c r="BB453" s="1644"/>
      <c r="BC453" s="687"/>
      <c r="BD453" s="967"/>
      <c r="BE453" s="687"/>
      <c r="BF453" s="1794"/>
      <c r="BG453" s="1794"/>
      <c r="BH453" s="1794"/>
      <c r="BI453" s="2181"/>
      <c r="BJ453" s="2181"/>
      <c r="BK453" s="1636"/>
      <c r="BL453" s="1168"/>
      <c r="BM453" s="2182"/>
      <c r="BN453" s="1168"/>
      <c r="BO453" s="1107"/>
      <c r="BP453" s="1107"/>
      <c r="BQ453" s="1195"/>
      <c r="BR453" s="1614"/>
      <c r="BS453" s="182"/>
      <c r="BT453" s="182"/>
      <c r="BU453" s="1783"/>
      <c r="BV453" s="1107"/>
      <c r="BW453" s="1107"/>
      <c r="BX453" s="1195"/>
      <c r="BY453" s="1614"/>
      <c r="BZ453" s="183"/>
      <c r="CA453" s="2846"/>
      <c r="CB453" s="1784"/>
      <c r="CC453" s="184"/>
      <c r="CD453" s="2259"/>
      <c r="CE453" s="1785"/>
    </row>
    <row r="454" spans="1:83" ht="14.85" customHeight="1" x14ac:dyDescent="0.4">
      <c r="A454" s="249"/>
      <c r="B454" s="249"/>
      <c r="C454" s="584" t="s">
        <v>307</v>
      </c>
      <c r="D454" s="1948"/>
      <c r="E454" s="1949"/>
      <c r="F454" s="1950"/>
      <c r="G454" s="1948"/>
      <c r="H454" s="1949"/>
      <c r="I454" s="1951"/>
      <c r="J454" s="1948"/>
      <c r="K454" s="1950"/>
      <c r="L454" s="1951"/>
      <c r="M454" s="1948"/>
      <c r="N454" s="1962"/>
      <c r="O454" s="1948"/>
      <c r="P454" s="1948"/>
      <c r="Q454" s="1950"/>
      <c r="R454" s="1951"/>
      <c r="S454" s="1954"/>
      <c r="T454" s="1948"/>
      <c r="U454" s="1948"/>
      <c r="V454" s="1954"/>
      <c r="W454" s="1948"/>
      <c r="X454" s="1954"/>
      <c r="Y454" s="1948"/>
      <c r="Z454" s="1962"/>
      <c r="AA454" s="1948"/>
      <c r="AB454" s="1948"/>
      <c r="AC454" s="1948"/>
      <c r="AD454" s="1948"/>
      <c r="AE454" s="1157"/>
      <c r="AF454" s="1157"/>
      <c r="AG454" s="2050"/>
      <c r="AH454" s="2000"/>
      <c r="AI454" s="1159" t="s">
        <v>353</v>
      </c>
      <c r="AJ454" s="1256"/>
      <c r="AK454" s="2180"/>
      <c r="AL454" s="1202"/>
      <c r="AM454" s="1469"/>
      <c r="AN454" s="2171"/>
      <c r="AO454" s="1596"/>
      <c r="AP454" s="1438"/>
      <c r="AQ454" s="778"/>
      <c r="AR454" s="778"/>
      <c r="AS454" s="1640"/>
      <c r="AT454" s="1452"/>
      <c r="AU454" s="1394"/>
      <c r="AV454" s="1394"/>
      <c r="AW454" s="1781"/>
      <c r="AX454" s="684"/>
      <c r="AY454" s="738"/>
      <c r="AZ454" s="1802"/>
      <c r="BA454" s="1802"/>
      <c r="BB454" s="1644"/>
      <c r="BC454" s="1958"/>
      <c r="BD454" s="967"/>
      <c r="BE454" s="908"/>
      <c r="BF454" s="1862"/>
      <c r="BG454" s="1859"/>
      <c r="BH454" s="2015"/>
      <c r="BI454" s="2181"/>
      <c r="BJ454" s="2181"/>
      <c r="BK454" s="1636"/>
      <c r="BL454" s="1576"/>
      <c r="BM454" s="2183"/>
      <c r="BN454" s="1630"/>
      <c r="BO454" s="1107"/>
      <c r="BP454" s="1107"/>
      <c r="BQ454" s="1195"/>
      <c r="BR454" s="1614"/>
      <c r="BS454" s="182"/>
      <c r="BT454" s="182"/>
      <c r="BU454" s="1783"/>
      <c r="BV454" s="1107"/>
      <c r="BW454" s="1107"/>
      <c r="BX454" s="1195"/>
      <c r="BY454" s="1614"/>
      <c r="BZ454" s="183"/>
      <c r="CA454" s="2846"/>
      <c r="CB454" s="1784"/>
      <c r="CC454" s="184"/>
      <c r="CD454" s="2259"/>
      <c r="CE454" s="1785"/>
    </row>
    <row r="455" spans="1:83" ht="24" customHeight="1" x14ac:dyDescent="0.4">
      <c r="A455" s="249"/>
      <c r="B455" s="249"/>
      <c r="C455" s="584">
        <v>0.82638888888888895</v>
      </c>
      <c r="D455" s="1948"/>
      <c r="E455" s="1949"/>
      <c r="F455" s="1950"/>
      <c r="G455" s="1948"/>
      <c r="H455" s="1949"/>
      <c r="I455" s="1951"/>
      <c r="J455" s="1948"/>
      <c r="K455" s="1950"/>
      <c r="L455" s="1951"/>
      <c r="M455" s="1948"/>
      <c r="N455" s="1962"/>
      <c r="O455" s="1948"/>
      <c r="P455" s="1948"/>
      <c r="Q455" s="1950"/>
      <c r="R455" s="1951"/>
      <c r="S455" s="1954"/>
      <c r="T455" s="1948"/>
      <c r="U455" s="1948"/>
      <c r="V455" s="1954"/>
      <c r="W455" s="1948"/>
      <c r="X455" s="1954"/>
      <c r="Y455" s="1948"/>
      <c r="Z455" s="1962"/>
      <c r="AA455" s="1948"/>
      <c r="AB455" s="1948"/>
      <c r="AC455" s="1948"/>
      <c r="AD455" s="1948"/>
      <c r="AE455" s="1157"/>
      <c r="AF455" s="1157"/>
      <c r="AG455" s="2050"/>
      <c r="AH455" s="1160"/>
      <c r="AI455" s="2144"/>
      <c r="AJ455" s="1256"/>
      <c r="AK455" s="1200"/>
      <c r="AL455" s="2553" t="s">
        <v>470</v>
      </c>
      <c r="AM455" s="1531"/>
      <c r="AN455" s="2171"/>
      <c r="AO455" s="1596"/>
      <c r="AP455" s="1438"/>
      <c r="AQ455" s="778"/>
      <c r="AR455" s="778"/>
      <c r="AS455" s="1640"/>
      <c r="AT455" s="1394"/>
      <c r="AU455" s="2184"/>
      <c r="AV455" s="1460"/>
      <c r="AW455" s="684"/>
      <c r="AX455" s="684"/>
      <c r="AY455" s="783"/>
      <c r="AZ455" s="1802"/>
      <c r="BA455" s="1802"/>
      <c r="BB455" s="1644"/>
      <c r="BC455" s="687"/>
      <c r="BD455" s="967"/>
      <c r="BE455" s="687"/>
      <c r="BF455" s="1862"/>
      <c r="BG455" s="1859"/>
      <c r="BH455" s="2015"/>
      <c r="BI455" s="1556"/>
      <c r="BJ455" s="2165"/>
      <c r="BK455" s="2185"/>
      <c r="BL455" s="1168"/>
      <c r="BM455" s="2182"/>
      <c r="BN455" s="1168"/>
      <c r="BO455" s="1577"/>
      <c r="BP455" s="1577"/>
      <c r="BQ455" s="1107"/>
      <c r="BR455" s="1992"/>
      <c r="BS455" s="2007"/>
      <c r="BT455" s="182"/>
      <c r="BU455" s="1993"/>
      <c r="BV455" s="1577"/>
      <c r="BW455" s="1577"/>
      <c r="BX455" s="1107"/>
      <c r="BY455" s="1992"/>
      <c r="BZ455" s="2008"/>
      <c r="CA455" s="2846"/>
      <c r="CB455" s="1994"/>
      <c r="CC455" s="2009"/>
      <c r="CD455" s="2259"/>
      <c r="CE455" s="1995"/>
    </row>
    <row r="456" spans="1:83" ht="14.85" customHeight="1" x14ac:dyDescent="0.4">
      <c r="A456" s="249"/>
      <c r="B456" s="249"/>
      <c r="C456" s="584" t="s">
        <v>307</v>
      </c>
      <c r="D456" s="1948"/>
      <c r="E456" s="1949"/>
      <c r="F456" s="1950"/>
      <c r="G456" s="1948"/>
      <c r="H456" s="1949"/>
      <c r="I456" s="1951"/>
      <c r="J456" s="1948"/>
      <c r="K456" s="1950"/>
      <c r="L456" s="1951"/>
      <c r="M456" s="1948"/>
      <c r="N456" s="1962"/>
      <c r="O456" s="1948"/>
      <c r="P456" s="1948"/>
      <c r="Q456" s="1950"/>
      <c r="R456" s="1951"/>
      <c r="S456" s="1954"/>
      <c r="T456" s="1948"/>
      <c r="U456" s="1948"/>
      <c r="V456" s="1954"/>
      <c r="W456" s="1948"/>
      <c r="X456" s="1954"/>
      <c r="Y456" s="1948"/>
      <c r="Z456" s="1962"/>
      <c r="AA456" s="1948"/>
      <c r="AB456" s="1948"/>
      <c r="AC456" s="1948"/>
      <c r="AD456" s="1948"/>
      <c r="AE456" s="1157"/>
      <c r="AF456" s="1157"/>
      <c r="AG456" s="2050"/>
      <c r="AH456" s="1160"/>
      <c r="AI456" s="2144"/>
      <c r="AJ456" s="1256"/>
      <c r="AK456" s="1200"/>
      <c r="AL456" s="1200"/>
      <c r="AM456" s="1531"/>
      <c r="AN456" s="2171"/>
      <c r="AO456" s="1596"/>
      <c r="AP456" s="1438"/>
      <c r="AQ456" s="778"/>
      <c r="AR456" s="778"/>
      <c r="AS456" s="1640"/>
      <c r="AT456" s="1394"/>
      <c r="AU456" s="2184"/>
      <c r="AV456" s="1460"/>
      <c r="AW456" s="684"/>
      <c r="AX456" s="684"/>
      <c r="AY456" s="783"/>
      <c r="AZ456" s="1802"/>
      <c r="BA456" s="1802"/>
      <c r="BB456" s="1644"/>
      <c r="BC456" s="687"/>
      <c r="BD456" s="967"/>
      <c r="BE456" s="687"/>
      <c r="BF456" s="1794"/>
      <c r="BG456" s="1978"/>
      <c r="BH456" s="1401"/>
      <c r="BI456" s="1556"/>
      <c r="BJ456" s="1556"/>
      <c r="BK456" s="2185"/>
      <c r="BL456" s="1168"/>
      <c r="BM456" s="1169"/>
      <c r="BN456" s="1168"/>
      <c r="BO456" s="1107"/>
      <c r="BP456" s="1107"/>
      <c r="BQ456" s="1195"/>
      <c r="BR456" s="1614"/>
      <c r="BS456" s="182"/>
      <c r="BT456" s="182"/>
      <c r="BU456" s="1783"/>
      <c r="BV456" s="1107"/>
      <c r="BW456" s="1107"/>
      <c r="BX456" s="1195"/>
      <c r="BY456" s="1614"/>
      <c r="BZ456" s="183"/>
      <c r="CA456" s="2846"/>
      <c r="CB456" s="1784"/>
      <c r="CC456" s="184"/>
      <c r="CD456" s="2259"/>
      <c r="CE456" s="1785"/>
    </row>
    <row r="457" spans="1:83" ht="14.85" customHeight="1" x14ac:dyDescent="0.4">
      <c r="A457" s="249"/>
      <c r="B457" s="249"/>
      <c r="C457" s="584" t="s">
        <v>307</v>
      </c>
      <c r="D457" s="1948"/>
      <c r="E457" s="1949"/>
      <c r="F457" s="1950"/>
      <c r="G457" s="1948"/>
      <c r="H457" s="1949"/>
      <c r="I457" s="1951"/>
      <c r="J457" s="1948"/>
      <c r="K457" s="1950"/>
      <c r="L457" s="1951"/>
      <c r="M457" s="1948"/>
      <c r="N457" s="1962"/>
      <c r="O457" s="1948"/>
      <c r="P457" s="1948"/>
      <c r="Q457" s="1950"/>
      <c r="R457" s="1951"/>
      <c r="S457" s="1954"/>
      <c r="T457" s="1948"/>
      <c r="U457" s="1948"/>
      <c r="V457" s="1954"/>
      <c r="W457" s="1948"/>
      <c r="X457" s="1954"/>
      <c r="Y457" s="1948"/>
      <c r="Z457" s="1962"/>
      <c r="AA457" s="1948"/>
      <c r="AB457" s="1948"/>
      <c r="AC457" s="1948"/>
      <c r="AD457" s="1948"/>
      <c r="AE457" s="1157"/>
      <c r="AF457" s="1157"/>
      <c r="AG457" s="2050"/>
      <c r="AH457" s="1160"/>
      <c r="AI457" s="1160"/>
      <c r="AJ457" s="1256"/>
      <c r="AK457" s="1200"/>
      <c r="AL457" s="1200"/>
      <c r="AM457" s="1531"/>
      <c r="AN457" s="2171"/>
      <c r="AO457" s="1596"/>
      <c r="AP457" s="1438"/>
      <c r="AQ457" s="778"/>
      <c r="AR457" s="778"/>
      <c r="AS457" s="1640"/>
      <c r="AT457" s="1394"/>
      <c r="AU457" s="2184"/>
      <c r="AV457" s="1460"/>
      <c r="AW457" s="684"/>
      <c r="AX457" s="684"/>
      <c r="AY457" s="783"/>
      <c r="AZ457" s="1802"/>
      <c r="BA457" s="1280"/>
      <c r="BB457" s="1644"/>
      <c r="BC457" s="1958"/>
      <c r="BD457" s="967"/>
      <c r="BE457" s="908"/>
      <c r="BF457" s="1794"/>
      <c r="BG457" s="1978"/>
      <c r="BH457" s="1883"/>
      <c r="BI457" s="2186"/>
      <c r="BJ457" s="2165"/>
      <c r="BK457" s="1587"/>
      <c r="BL457" s="1576"/>
      <c r="BM457" s="1169"/>
      <c r="BN457" s="1630"/>
      <c r="BO457" s="1107"/>
      <c r="BP457" s="1107"/>
      <c r="BQ457" s="1195"/>
      <c r="BR457" s="1614"/>
      <c r="BS457" s="182"/>
      <c r="BT457" s="182"/>
      <c r="BU457" s="1783"/>
      <c r="BV457" s="1107"/>
      <c r="BW457" s="1107"/>
      <c r="BX457" s="1195"/>
      <c r="BY457" s="1614"/>
      <c r="BZ457" s="183"/>
      <c r="CA457" s="2846"/>
      <c r="CB457" s="1784"/>
      <c r="CC457" s="184"/>
      <c r="CD457" s="2259"/>
      <c r="CE457" s="1785"/>
    </row>
    <row r="458" spans="1:83" ht="14.85" customHeight="1" x14ac:dyDescent="0.4">
      <c r="A458" s="249"/>
      <c r="B458" s="249"/>
      <c r="C458" s="621">
        <v>0.82986111111111105</v>
      </c>
      <c r="D458" s="1948"/>
      <c r="E458" s="1949"/>
      <c r="F458" s="1950"/>
      <c r="G458" s="1948"/>
      <c r="H458" s="1949"/>
      <c r="I458" s="1951"/>
      <c r="J458" s="1948"/>
      <c r="K458" s="1950"/>
      <c r="L458" s="1951"/>
      <c r="M458" s="1948"/>
      <c r="N458" s="1962"/>
      <c r="O458" s="1948"/>
      <c r="P458" s="1948"/>
      <c r="Q458" s="1950"/>
      <c r="R458" s="1951"/>
      <c r="S458" s="1954"/>
      <c r="T458" s="1948"/>
      <c r="U458" s="1948"/>
      <c r="V458" s="1954"/>
      <c r="W458" s="1948"/>
      <c r="X458" s="1954"/>
      <c r="Y458" s="1948"/>
      <c r="Z458" s="1962"/>
      <c r="AA458" s="1948"/>
      <c r="AB458" s="1948"/>
      <c r="AC458" s="1948"/>
      <c r="AD458" s="1948"/>
      <c r="AE458" s="1157"/>
      <c r="AF458" s="1157"/>
      <c r="AG458" s="2050"/>
      <c r="AH458" s="1160"/>
      <c r="AI458" s="1160"/>
      <c r="AJ458" s="1256"/>
      <c r="AK458" s="1285"/>
      <c r="AL458" s="1285"/>
      <c r="AM458" s="1531"/>
      <c r="AN458" s="2171"/>
      <c r="AO458" s="1596"/>
      <c r="AP458" s="1438"/>
      <c r="AQ458" s="778"/>
      <c r="AR458" s="778"/>
      <c r="AS458" s="1640"/>
      <c r="AT458" s="1394"/>
      <c r="AU458" s="1394"/>
      <c r="AV458" s="1460"/>
      <c r="AW458" s="1395"/>
      <c r="AX458" s="2155"/>
      <c r="AY458" s="1752"/>
      <c r="AZ458" s="1802"/>
      <c r="BA458" s="1802"/>
      <c r="BB458" s="1644"/>
      <c r="BC458" s="687"/>
      <c r="BD458" s="967"/>
      <c r="BE458" s="687"/>
      <c r="BF458" s="1794"/>
      <c r="BG458" s="1978"/>
      <c r="BH458" s="1401"/>
      <c r="BI458" s="2186"/>
      <c r="BJ458" s="1556"/>
      <c r="BK458" s="1587"/>
      <c r="BL458" s="1168"/>
      <c r="BM458" s="1169"/>
      <c r="BN458" s="1168"/>
      <c r="BO458" s="1107"/>
      <c r="BP458" s="1107"/>
      <c r="BQ458" s="1107"/>
      <c r="BR458" s="1614"/>
      <c r="BS458" s="182"/>
      <c r="BT458" s="182"/>
      <c r="BU458" s="1783"/>
      <c r="BV458" s="1107"/>
      <c r="BW458" s="1107"/>
      <c r="BX458" s="1107"/>
      <c r="BY458" s="1614"/>
      <c r="BZ458" s="183"/>
      <c r="CA458" s="2846"/>
      <c r="CB458" s="1784"/>
      <c r="CC458" s="184"/>
      <c r="CD458" s="2259"/>
      <c r="CE458" s="1785"/>
    </row>
    <row r="459" spans="1:83" ht="14.85" customHeight="1" x14ac:dyDescent="0.4">
      <c r="A459" s="249"/>
      <c r="B459" s="249"/>
      <c r="C459" s="621" t="s">
        <v>542</v>
      </c>
      <c r="D459" s="2024"/>
      <c r="E459" s="2025"/>
      <c r="F459" s="2026"/>
      <c r="G459" s="2024"/>
      <c r="H459" s="2025"/>
      <c r="I459" s="2097"/>
      <c r="J459" s="2024"/>
      <c r="K459" s="2026"/>
      <c r="L459" s="2097"/>
      <c r="M459" s="2024"/>
      <c r="N459" s="2028"/>
      <c r="O459" s="2024"/>
      <c r="P459" s="2024"/>
      <c r="Q459" s="2026"/>
      <c r="R459" s="2097"/>
      <c r="S459" s="2027"/>
      <c r="T459" s="2024"/>
      <c r="U459" s="2024"/>
      <c r="V459" s="2027"/>
      <c r="W459" s="2024"/>
      <c r="X459" s="2027"/>
      <c r="Y459" s="2024"/>
      <c r="Z459" s="2028"/>
      <c r="AA459" s="2024"/>
      <c r="AB459" s="2024"/>
      <c r="AC459" s="2024"/>
      <c r="AD459" s="2024"/>
      <c r="AE459" s="2187"/>
      <c r="AF459" s="2187"/>
      <c r="AG459" s="2188"/>
      <c r="AH459" s="1687"/>
      <c r="AI459" s="1687"/>
      <c r="AJ459" s="1919"/>
      <c r="AK459" s="1688"/>
      <c r="AL459" s="1688"/>
      <c r="AM459" s="1922"/>
      <c r="AN459" s="2189"/>
      <c r="AO459" s="2190"/>
      <c r="AP459" s="1923"/>
      <c r="AQ459" s="1692"/>
      <c r="AR459" s="1692"/>
      <c r="AS459" s="2030"/>
      <c r="AT459" s="1505"/>
      <c r="AU459" s="2191"/>
      <c r="AV459" s="1927"/>
      <c r="AW459" s="2192"/>
      <c r="AX459" s="943"/>
      <c r="AY459" s="2193"/>
      <c r="AZ459" s="1837"/>
      <c r="BA459" s="1837"/>
      <c r="BB459" s="1931"/>
      <c r="BC459" s="2194"/>
      <c r="BD459" s="2105"/>
      <c r="BE459" s="1021"/>
      <c r="BF459" s="1697"/>
      <c r="BG459" s="2106"/>
      <c r="BH459" s="1512"/>
      <c r="BI459" s="2195"/>
      <c r="BJ459" s="1698"/>
      <c r="BK459" s="2196"/>
      <c r="BL459" s="2197"/>
      <c r="BM459" s="2198"/>
      <c r="BN459" s="2109"/>
      <c r="BO459" s="1702"/>
      <c r="BP459" s="1702"/>
      <c r="BQ459" s="1702"/>
      <c r="BR459" s="1941"/>
      <c r="BS459" s="243"/>
      <c r="BT459" s="243"/>
      <c r="BU459" s="1943"/>
      <c r="BV459" s="1702"/>
      <c r="BW459" s="1702"/>
      <c r="BX459" s="1702"/>
      <c r="BY459" s="1941"/>
      <c r="BZ459" s="245"/>
      <c r="CA459" s="2846"/>
      <c r="CB459" s="1945"/>
      <c r="CC459" s="1841"/>
      <c r="CD459" s="2565"/>
      <c r="CE459" s="1947"/>
    </row>
    <row r="460" spans="1:83" ht="20.100000000000001" customHeight="1" x14ac:dyDescent="0.4">
      <c r="A460" s="249"/>
      <c r="B460" s="249"/>
      <c r="C460" s="622">
        <v>0.83333333333333304</v>
      </c>
      <c r="D460" s="1948"/>
      <c r="E460" s="1949"/>
      <c r="F460" s="1950"/>
      <c r="G460" s="1948"/>
      <c r="H460" s="1949"/>
      <c r="I460" s="1951"/>
      <c r="J460" s="1948"/>
      <c r="K460" s="1950"/>
      <c r="L460" s="1951"/>
      <c r="M460" s="1948"/>
      <c r="N460" s="1962"/>
      <c r="O460" s="1948"/>
      <c r="P460" s="1948"/>
      <c r="Q460" s="1950"/>
      <c r="R460" s="1951"/>
      <c r="S460" s="1954"/>
      <c r="T460" s="1948"/>
      <c r="U460" s="1948"/>
      <c r="V460" s="1954"/>
      <c r="W460" s="1948"/>
      <c r="X460" s="1954"/>
      <c r="Y460" s="1948"/>
      <c r="Z460" s="1962"/>
      <c r="AA460" s="1948"/>
      <c r="AB460" s="1948"/>
      <c r="AC460" s="1948"/>
      <c r="AD460" s="1948"/>
      <c r="AE460" s="1385"/>
      <c r="AF460" s="1385" t="s">
        <v>332</v>
      </c>
      <c r="AG460" s="1408"/>
      <c r="AH460" s="1159"/>
      <c r="AI460" s="1160" t="s">
        <v>331</v>
      </c>
      <c r="AJ460" s="1160"/>
      <c r="AK460" s="2199"/>
      <c r="AL460" s="1285" t="s">
        <v>350</v>
      </c>
      <c r="AM460" s="2200"/>
      <c r="AN460" s="2171"/>
      <c r="AO460" s="2201"/>
      <c r="AP460" s="1438"/>
      <c r="AQ460" s="779"/>
      <c r="AR460" s="2202"/>
      <c r="AS460" s="2203"/>
      <c r="AT460" s="1394"/>
      <c r="AU460" s="2204"/>
      <c r="AV460" s="1394"/>
      <c r="AW460" s="1572"/>
      <c r="AX460" s="2205"/>
      <c r="AY460" s="1022"/>
      <c r="AZ460" s="1802"/>
      <c r="BA460" s="2206"/>
      <c r="BB460" s="1644"/>
      <c r="BC460" s="829"/>
      <c r="BD460" s="1374"/>
      <c r="BE460" s="687"/>
      <c r="BF460" s="1794"/>
      <c r="BG460" s="2157" t="s">
        <v>533</v>
      </c>
      <c r="BH460" s="1883"/>
      <c r="BI460" s="1556"/>
      <c r="BJ460" s="2848" t="s">
        <v>544</v>
      </c>
      <c r="BK460" s="1671"/>
      <c r="BL460" s="1576"/>
      <c r="BM460" s="1169" t="s">
        <v>350</v>
      </c>
      <c r="BN460" s="1168"/>
      <c r="BO460" s="1097"/>
      <c r="BP460" s="1097"/>
      <c r="BQ460" s="2207"/>
      <c r="BR460" s="1992"/>
      <c r="BS460" s="2208"/>
      <c r="BT460" s="2209"/>
      <c r="BU460" s="1993"/>
      <c r="BV460" s="1097"/>
      <c r="BW460" s="1097"/>
      <c r="BX460" s="2207"/>
      <c r="BY460" s="1992"/>
      <c r="BZ460" s="2210"/>
      <c r="CA460" s="2846"/>
      <c r="CB460" s="1994"/>
      <c r="CC460" s="2211"/>
      <c r="CD460" s="2259"/>
      <c r="CE460" s="1995"/>
    </row>
    <row r="461" spans="1:83" ht="20.85" customHeight="1" x14ac:dyDescent="0.4">
      <c r="A461" s="249"/>
      <c r="B461" s="249"/>
      <c r="C461" s="584" t="s">
        <v>307</v>
      </c>
      <c r="D461" s="1948"/>
      <c r="E461" s="1949"/>
      <c r="F461" s="1950"/>
      <c r="G461" s="1948"/>
      <c r="H461" s="1949"/>
      <c r="I461" s="1951"/>
      <c r="J461" s="1948"/>
      <c r="K461" s="1950"/>
      <c r="L461" s="1951"/>
      <c r="M461" s="1948"/>
      <c r="N461" s="1962"/>
      <c r="O461" s="1948"/>
      <c r="P461" s="1948"/>
      <c r="Q461" s="1950"/>
      <c r="R461" s="1951"/>
      <c r="S461" s="1954"/>
      <c r="T461" s="1948"/>
      <c r="U461" s="1948"/>
      <c r="V461" s="1954"/>
      <c r="W461" s="1948"/>
      <c r="X461" s="1954"/>
      <c r="Y461" s="1948"/>
      <c r="Z461" s="1962"/>
      <c r="AA461" s="1948"/>
      <c r="AB461" s="1948"/>
      <c r="AC461" s="1948"/>
      <c r="AD461" s="1948"/>
      <c r="AE461" s="1157"/>
      <c r="AF461" s="1429"/>
      <c r="AG461" s="1157"/>
      <c r="AH461" s="1164"/>
      <c r="AI461" s="1139" t="s">
        <v>366</v>
      </c>
      <c r="AJ461" s="1165"/>
      <c r="AK461" s="2199"/>
      <c r="AL461" s="1272"/>
      <c r="AM461" s="2200"/>
      <c r="AN461" s="2171"/>
      <c r="AO461" s="2212"/>
      <c r="AP461" s="1438"/>
      <c r="AQ461" s="778"/>
      <c r="AR461" s="2202"/>
      <c r="AS461" s="778"/>
      <c r="AT461" s="2213"/>
      <c r="AU461" s="2204"/>
      <c r="AV461" s="1613"/>
      <c r="AW461" s="1395"/>
      <c r="AX461" s="2205"/>
      <c r="AY461" s="1585"/>
      <c r="AZ461" s="1802"/>
      <c r="BA461" s="2214"/>
      <c r="BB461" s="1644"/>
      <c r="BC461" s="687"/>
      <c r="BD461" s="1374"/>
      <c r="BE461" s="687"/>
      <c r="BF461" s="1794"/>
      <c r="BG461" s="2157" t="s">
        <v>384</v>
      </c>
      <c r="BH461" s="1401"/>
      <c r="BI461" s="1670"/>
      <c r="BJ461" s="2846"/>
      <c r="BK461" s="1671"/>
      <c r="BL461" s="2215"/>
      <c r="BM461" s="1562"/>
      <c r="BN461" s="2215"/>
      <c r="BO461" s="1107"/>
      <c r="BP461" s="1577"/>
      <c r="BQ461" s="1622"/>
      <c r="BR461" s="1992"/>
      <c r="BS461" s="2007"/>
      <c r="BT461" s="1733"/>
      <c r="BU461" s="1993"/>
      <c r="BV461" s="1107"/>
      <c r="BW461" s="1577"/>
      <c r="BX461" s="1622"/>
      <c r="BY461" s="1992"/>
      <c r="BZ461" s="2008"/>
      <c r="CA461" s="2846"/>
      <c r="CB461" s="1994"/>
      <c r="CC461" s="2009"/>
      <c r="CD461" s="2259"/>
      <c r="CE461" s="1995"/>
    </row>
    <row r="462" spans="1:83" ht="18" customHeight="1" x14ac:dyDescent="0.4">
      <c r="A462" s="249"/>
      <c r="B462" s="249"/>
      <c r="C462" s="584" t="s">
        <v>307</v>
      </c>
      <c r="D462" s="1948"/>
      <c r="E462" s="1949"/>
      <c r="F462" s="1950"/>
      <c r="G462" s="1948"/>
      <c r="H462" s="1949"/>
      <c r="I462" s="1951"/>
      <c r="J462" s="1948"/>
      <c r="K462" s="1950"/>
      <c r="L462" s="1951"/>
      <c r="M462" s="1948"/>
      <c r="N462" s="1962"/>
      <c r="O462" s="1948"/>
      <c r="P462" s="1948"/>
      <c r="Q462" s="1950"/>
      <c r="R462" s="1951"/>
      <c r="S462" s="1954"/>
      <c r="T462" s="1948"/>
      <c r="U462" s="1948"/>
      <c r="V462" s="1954"/>
      <c r="W462" s="1948"/>
      <c r="X462" s="1954"/>
      <c r="Y462" s="1948"/>
      <c r="Z462" s="1962"/>
      <c r="AA462" s="1948"/>
      <c r="AB462" s="1948"/>
      <c r="AC462" s="1948"/>
      <c r="AD462" s="1948"/>
      <c r="AE462" s="1157"/>
      <c r="AF462" s="1157"/>
      <c r="AG462" s="1157"/>
      <c r="AH462" s="1159"/>
      <c r="AI462" s="1139" t="s">
        <v>447</v>
      </c>
      <c r="AJ462" s="1159"/>
      <c r="AK462" s="1765"/>
      <c r="AL462" s="1449"/>
      <c r="AM462" s="1283"/>
      <c r="AN462" s="2171"/>
      <c r="AO462" s="2212"/>
      <c r="AP462" s="1438"/>
      <c r="AQ462" s="2216"/>
      <c r="AR462" s="2217"/>
      <c r="AS462" s="1640"/>
      <c r="AT462" s="2213"/>
      <c r="AU462" s="2184"/>
      <c r="AV462" s="1613"/>
      <c r="AW462" s="1395"/>
      <c r="AX462" s="2154"/>
      <c r="AY462" s="1585"/>
      <c r="AZ462" s="1802"/>
      <c r="BA462" s="2214"/>
      <c r="BB462" s="1644"/>
      <c r="BC462" s="687"/>
      <c r="BD462" s="2167"/>
      <c r="BE462" s="687"/>
      <c r="BF462" s="1794"/>
      <c r="BG462" s="2157"/>
      <c r="BH462" s="1401"/>
      <c r="BI462" s="1670"/>
      <c r="BJ462" s="2846"/>
      <c r="BK462" s="1671"/>
      <c r="BL462" s="1168"/>
      <c r="BM462" s="2182"/>
      <c r="BN462" s="1168"/>
      <c r="BO462" s="1577"/>
      <c r="BP462" s="1577"/>
      <c r="BQ462" s="2095"/>
      <c r="BR462" s="1992"/>
      <c r="BS462" s="2007"/>
      <c r="BT462" s="1733"/>
      <c r="BU462" s="1993"/>
      <c r="BV462" s="1577"/>
      <c r="BW462" s="1577"/>
      <c r="BX462" s="2095"/>
      <c r="BY462" s="1992"/>
      <c r="BZ462" s="2008"/>
      <c r="CA462" s="2846"/>
      <c r="CB462" s="1994"/>
      <c r="CC462" s="2009"/>
      <c r="CD462" s="2259"/>
      <c r="CE462" s="1995"/>
    </row>
    <row r="463" spans="1:83" ht="16.350000000000001" customHeight="1" x14ac:dyDescent="0.4">
      <c r="A463" s="249"/>
      <c r="B463" s="249"/>
      <c r="C463" s="584" t="s">
        <v>307</v>
      </c>
      <c r="D463" s="1948"/>
      <c r="E463" s="1949"/>
      <c r="F463" s="1950"/>
      <c r="G463" s="1948"/>
      <c r="H463" s="1949"/>
      <c r="I463" s="1951"/>
      <c r="J463" s="1948"/>
      <c r="K463" s="1950"/>
      <c r="L463" s="1951"/>
      <c r="M463" s="1948"/>
      <c r="N463" s="1962"/>
      <c r="O463" s="1948"/>
      <c r="P463" s="1948"/>
      <c r="Q463" s="1950"/>
      <c r="R463" s="1951"/>
      <c r="S463" s="1954"/>
      <c r="T463" s="1948"/>
      <c r="U463" s="1948"/>
      <c r="V463" s="1954"/>
      <c r="W463" s="1948"/>
      <c r="X463" s="1954"/>
      <c r="Y463" s="1948"/>
      <c r="Z463" s="1962"/>
      <c r="AA463" s="1948"/>
      <c r="AB463" s="1948"/>
      <c r="AC463" s="1948"/>
      <c r="AD463" s="1948"/>
      <c r="AE463" s="2160"/>
      <c r="AF463" s="1478"/>
      <c r="AG463" s="1157"/>
      <c r="AH463" s="2218"/>
      <c r="AI463" s="1569" t="s">
        <v>353</v>
      </c>
      <c r="AJ463" s="1256"/>
      <c r="AK463" s="1765"/>
      <c r="AL463" s="1449"/>
      <c r="AM463" s="1283"/>
      <c r="AN463" s="1450"/>
      <c r="AO463" s="2212"/>
      <c r="AP463" s="1273"/>
      <c r="AQ463" s="778"/>
      <c r="AR463" s="2216"/>
      <c r="AS463" s="1640"/>
      <c r="AT463" s="1394"/>
      <c r="AU463" s="2219"/>
      <c r="AV463" s="1460"/>
      <c r="AW463" s="1395"/>
      <c r="AX463" s="2220"/>
      <c r="AY463" s="1395"/>
      <c r="AZ463" s="1802"/>
      <c r="BA463" s="2214"/>
      <c r="BB463" s="1644"/>
      <c r="BC463" s="1958"/>
      <c r="BD463" s="2167"/>
      <c r="BE463" s="908"/>
      <c r="BF463" s="1794"/>
      <c r="BG463" s="1794"/>
      <c r="BH463" s="1794"/>
      <c r="BI463" s="1773"/>
      <c r="BJ463" s="2846"/>
      <c r="BK463" s="1671"/>
      <c r="BL463" s="1576"/>
      <c r="BM463" s="2221"/>
      <c r="BN463" s="1630"/>
      <c r="BO463" s="1577"/>
      <c r="BP463" s="1107"/>
      <c r="BQ463" s="1195"/>
      <c r="BR463" s="1992"/>
      <c r="BS463" s="182"/>
      <c r="BT463" s="182"/>
      <c r="BU463" s="1993"/>
      <c r="BV463" s="1577"/>
      <c r="BW463" s="1107"/>
      <c r="BX463" s="1195"/>
      <c r="BY463" s="1992"/>
      <c r="BZ463" s="183"/>
      <c r="CA463" s="2846"/>
      <c r="CB463" s="1994"/>
      <c r="CC463" s="184"/>
      <c r="CD463" s="2259"/>
      <c r="CE463" s="1995"/>
    </row>
    <row r="464" spans="1:83" ht="24.6" customHeight="1" x14ac:dyDescent="0.4">
      <c r="A464" s="249"/>
      <c r="B464" s="249"/>
      <c r="C464" s="584" t="s">
        <v>307</v>
      </c>
      <c r="D464" s="1948"/>
      <c r="E464" s="1949"/>
      <c r="F464" s="1950"/>
      <c r="G464" s="1948"/>
      <c r="H464" s="1949"/>
      <c r="I464" s="1951"/>
      <c r="J464" s="1948"/>
      <c r="K464" s="1950"/>
      <c r="L464" s="1951"/>
      <c r="M464" s="1948"/>
      <c r="N464" s="1962"/>
      <c r="O464" s="1948"/>
      <c r="P464" s="1948"/>
      <c r="Q464" s="1950"/>
      <c r="R464" s="1951"/>
      <c r="S464" s="1954"/>
      <c r="T464" s="1948"/>
      <c r="U464" s="1948"/>
      <c r="V464" s="1954"/>
      <c r="W464" s="1948"/>
      <c r="X464" s="1954"/>
      <c r="Y464" s="1948"/>
      <c r="Z464" s="1962"/>
      <c r="AA464" s="1948"/>
      <c r="AB464" s="1948"/>
      <c r="AC464" s="1948"/>
      <c r="AD464" s="1948"/>
      <c r="AE464" s="2222"/>
      <c r="AF464" s="1478"/>
      <c r="AG464" s="2223"/>
      <c r="AH464" s="1160"/>
      <c r="AI464" s="2224"/>
      <c r="AJ464" s="1160"/>
      <c r="AK464" s="1765"/>
      <c r="AL464" s="1663"/>
      <c r="AM464" s="1469"/>
      <c r="AN464" s="1450"/>
      <c r="AO464" s="2212"/>
      <c r="AP464" s="1619"/>
      <c r="AQ464" s="778"/>
      <c r="AR464" s="778"/>
      <c r="AS464" s="1640"/>
      <c r="AT464" s="1394"/>
      <c r="AU464" s="2219"/>
      <c r="AV464" s="1460"/>
      <c r="AW464" s="1395"/>
      <c r="AX464" s="2154"/>
      <c r="AY464" s="1395"/>
      <c r="AZ464" s="1802"/>
      <c r="BA464" s="2214"/>
      <c r="BB464" s="1644"/>
      <c r="BC464" s="1958"/>
      <c r="BD464" s="1374"/>
      <c r="BE464" s="965"/>
      <c r="BF464" s="1794"/>
      <c r="BG464" s="1978"/>
      <c r="BH464" s="1883"/>
      <c r="BI464" s="1773"/>
      <c r="BJ464" s="2846"/>
      <c r="BK464" s="1671"/>
      <c r="BL464" s="1576"/>
      <c r="BM464" s="2221"/>
      <c r="BN464" s="1960"/>
      <c r="BO464" s="1577"/>
      <c r="BP464" s="1578"/>
      <c r="BQ464" s="1195"/>
      <c r="BR464" s="1614"/>
      <c r="BS464" s="1810"/>
      <c r="BT464" s="182"/>
      <c r="BU464" s="1783"/>
      <c r="BV464" s="1577"/>
      <c r="BW464" s="1578"/>
      <c r="BX464" s="1195"/>
      <c r="BY464" s="1614"/>
      <c r="BZ464" s="1811"/>
      <c r="CA464" s="2846"/>
      <c r="CB464" s="1784"/>
      <c r="CC464" s="1812"/>
      <c r="CD464" s="2259"/>
      <c r="CE464" s="1785"/>
    </row>
    <row r="465" spans="1:83" ht="14.85" customHeight="1" x14ac:dyDescent="0.4">
      <c r="A465" s="249"/>
      <c r="B465" s="249"/>
      <c r="C465" s="584" t="s">
        <v>307</v>
      </c>
      <c r="D465" s="1948"/>
      <c r="E465" s="1949"/>
      <c r="F465" s="1950"/>
      <c r="G465" s="1948"/>
      <c r="H465" s="1949"/>
      <c r="I465" s="1951"/>
      <c r="J465" s="1948"/>
      <c r="K465" s="1950"/>
      <c r="L465" s="1951"/>
      <c r="M465" s="1948"/>
      <c r="N465" s="1962"/>
      <c r="O465" s="1948"/>
      <c r="P465" s="1948"/>
      <c r="Q465" s="1950"/>
      <c r="R465" s="1951"/>
      <c r="S465" s="1954"/>
      <c r="T465" s="1948"/>
      <c r="U465" s="1948"/>
      <c r="V465" s="1954"/>
      <c r="W465" s="1948"/>
      <c r="X465" s="1954"/>
      <c r="Y465" s="1948"/>
      <c r="Z465" s="1962"/>
      <c r="AA465" s="1948"/>
      <c r="AB465" s="1948"/>
      <c r="AC465" s="1948"/>
      <c r="AD465" s="1948"/>
      <c r="AE465" s="2225"/>
      <c r="AF465" s="1478"/>
      <c r="AG465" s="2050"/>
      <c r="AH465" s="1160"/>
      <c r="AI465" s="2161"/>
      <c r="AJ465" s="1160"/>
      <c r="AK465" s="1765"/>
      <c r="AL465" s="1663"/>
      <c r="AM465" s="1469"/>
      <c r="AN465" s="1450"/>
      <c r="AO465" s="2212"/>
      <c r="AP465" s="1619"/>
      <c r="AQ465" s="778"/>
      <c r="AR465" s="778"/>
      <c r="AS465" s="1640"/>
      <c r="AT465" s="1394"/>
      <c r="AU465" s="2219"/>
      <c r="AV465" s="1460"/>
      <c r="AW465" s="1395"/>
      <c r="AX465" s="2226"/>
      <c r="AY465" s="1022"/>
      <c r="AZ465" s="1802"/>
      <c r="BA465" s="2214"/>
      <c r="BB465" s="1644"/>
      <c r="BC465" s="664"/>
      <c r="BD465" s="967"/>
      <c r="BE465" s="965"/>
      <c r="BF465" s="1794"/>
      <c r="BG465" s="2157"/>
      <c r="BH465" s="1401"/>
      <c r="BI465" s="1773"/>
      <c r="BJ465" s="2846"/>
      <c r="BK465" s="1671"/>
      <c r="BL465" s="1561"/>
      <c r="BM465" s="2182"/>
      <c r="BN465" s="1960"/>
      <c r="BO465" s="1107"/>
      <c r="BP465" s="1107"/>
      <c r="BQ465" s="1195"/>
      <c r="BR465" s="1614"/>
      <c r="BS465" s="182"/>
      <c r="BT465" s="182"/>
      <c r="BU465" s="1783"/>
      <c r="BV465" s="1107"/>
      <c r="BW465" s="1107"/>
      <c r="BX465" s="1195"/>
      <c r="BY465" s="1614"/>
      <c r="BZ465" s="183"/>
      <c r="CA465" s="2846"/>
      <c r="CB465" s="1784"/>
      <c r="CC465" s="184"/>
      <c r="CD465" s="2259"/>
      <c r="CE465" s="1785"/>
    </row>
    <row r="466" spans="1:83" ht="14.85" customHeight="1" x14ac:dyDescent="0.4">
      <c r="A466" s="249"/>
      <c r="B466" s="249"/>
      <c r="C466" s="584" t="s">
        <v>307</v>
      </c>
      <c r="D466" s="1948"/>
      <c r="E466" s="1949"/>
      <c r="F466" s="1950"/>
      <c r="G466" s="1948"/>
      <c r="H466" s="1949"/>
      <c r="I466" s="1951"/>
      <c r="J466" s="1948"/>
      <c r="K466" s="1950"/>
      <c r="L466" s="1951"/>
      <c r="M466" s="1948"/>
      <c r="N466" s="1962"/>
      <c r="O466" s="1948"/>
      <c r="P466" s="1948"/>
      <c r="Q466" s="1950"/>
      <c r="R466" s="1951"/>
      <c r="S466" s="1954"/>
      <c r="T466" s="1948"/>
      <c r="U466" s="1948"/>
      <c r="V466" s="1954"/>
      <c r="W466" s="1948"/>
      <c r="X466" s="1954"/>
      <c r="Y466" s="1948"/>
      <c r="Z466" s="1962"/>
      <c r="AA466" s="1948"/>
      <c r="AB466" s="1948"/>
      <c r="AC466" s="1948"/>
      <c r="AD466" s="1948"/>
      <c r="AE466" s="2225"/>
      <c r="AF466" s="1478"/>
      <c r="AG466" s="2050"/>
      <c r="AH466" s="1160"/>
      <c r="AI466" s="2161"/>
      <c r="AJ466" s="1160"/>
      <c r="AK466" s="1765"/>
      <c r="AL466" s="1663"/>
      <c r="AM466" s="1469"/>
      <c r="AN466" s="1450"/>
      <c r="AO466" s="2212"/>
      <c r="AP466" s="1619"/>
      <c r="AQ466" s="778"/>
      <c r="AR466" s="778"/>
      <c r="AS466" s="1640"/>
      <c r="AT466" s="1394"/>
      <c r="AU466" s="2219"/>
      <c r="AV466" s="1460"/>
      <c r="AW466" s="1395"/>
      <c r="AX466" s="2226"/>
      <c r="AY466" s="2227"/>
      <c r="AZ466" s="1802"/>
      <c r="BA466" s="2214"/>
      <c r="BB466" s="1644"/>
      <c r="BC466" s="664"/>
      <c r="BD466" s="967"/>
      <c r="BE466" s="965"/>
      <c r="BF466" s="1794"/>
      <c r="BG466" s="2157"/>
      <c r="BH466" s="1401"/>
      <c r="BI466" s="1773"/>
      <c r="BJ466" s="2846"/>
      <c r="BK466" s="1671"/>
      <c r="BL466" s="1561"/>
      <c r="BM466" s="1428"/>
      <c r="BN466" s="1960"/>
      <c r="BO466" s="1107"/>
      <c r="BP466" s="1107"/>
      <c r="BQ466" s="1195"/>
      <c r="BR466" s="1614"/>
      <c r="BS466" s="182"/>
      <c r="BT466" s="182"/>
      <c r="BU466" s="1783"/>
      <c r="BV466" s="1107"/>
      <c r="BW466" s="1107"/>
      <c r="BX466" s="1195"/>
      <c r="BY466" s="1614"/>
      <c r="BZ466" s="183"/>
      <c r="CA466" s="2846"/>
      <c r="CB466" s="1784"/>
      <c r="CC466" s="184"/>
      <c r="CD466" s="2259"/>
      <c r="CE466" s="1785"/>
    </row>
    <row r="467" spans="1:83" ht="14.85" customHeight="1" x14ac:dyDescent="0.4">
      <c r="A467" s="249"/>
      <c r="B467" s="249"/>
      <c r="C467" s="584">
        <v>0.83680555555555503</v>
      </c>
      <c r="D467" s="1948"/>
      <c r="E467" s="1949"/>
      <c r="F467" s="1950"/>
      <c r="G467" s="1948"/>
      <c r="H467" s="1949"/>
      <c r="I467" s="1951"/>
      <c r="J467" s="1948"/>
      <c r="K467" s="1950"/>
      <c r="L467" s="1951"/>
      <c r="M467" s="1948"/>
      <c r="N467" s="1962"/>
      <c r="O467" s="1948"/>
      <c r="P467" s="1948"/>
      <c r="Q467" s="1950"/>
      <c r="R467" s="1951"/>
      <c r="S467" s="1954"/>
      <c r="T467" s="1948"/>
      <c r="U467" s="1948"/>
      <c r="V467" s="1954"/>
      <c r="W467" s="1948"/>
      <c r="X467" s="1954"/>
      <c r="Y467" s="1948"/>
      <c r="Z467" s="1962"/>
      <c r="AA467" s="1948"/>
      <c r="AB467" s="1948"/>
      <c r="AC467" s="1948"/>
      <c r="AD467" s="1948"/>
      <c r="AE467" s="1157"/>
      <c r="AF467" s="1429"/>
      <c r="AG467" s="2050"/>
      <c r="AH467" s="1160"/>
      <c r="AI467" s="2161"/>
      <c r="AJ467" s="1256"/>
      <c r="AK467" s="1200"/>
      <c r="AL467" s="1285"/>
      <c r="AM467" s="1531"/>
      <c r="AN467" s="1273"/>
      <c r="AO467" s="2212"/>
      <c r="AP467" s="2228"/>
      <c r="AQ467" s="778"/>
      <c r="AR467" s="778"/>
      <c r="AS467" s="1640"/>
      <c r="AT467" s="1394"/>
      <c r="AU467" s="2229"/>
      <c r="AV467" s="1460"/>
      <c r="AW467" s="1395"/>
      <c r="AX467" s="2154"/>
      <c r="AY467" s="2227"/>
      <c r="AZ467" s="1802"/>
      <c r="BA467" s="2214"/>
      <c r="BB467" s="1802"/>
      <c r="BC467" s="687"/>
      <c r="BD467" s="1374"/>
      <c r="BE467" s="965"/>
      <c r="BF467" s="1794"/>
      <c r="BG467" s="1794"/>
      <c r="BH467" s="1794"/>
      <c r="BI467" s="1542"/>
      <c r="BJ467" s="2846"/>
      <c r="BK467" s="1671"/>
      <c r="BL467" s="1168"/>
      <c r="BM467" s="1431"/>
      <c r="BN467" s="1960"/>
      <c r="BO467" s="1107"/>
      <c r="BP467" s="1107"/>
      <c r="BQ467" s="1195"/>
      <c r="BR467" s="1614"/>
      <c r="BS467" s="182"/>
      <c r="BT467" s="182"/>
      <c r="BU467" s="1783"/>
      <c r="BV467" s="1107"/>
      <c r="BW467" s="1107"/>
      <c r="BX467" s="1195"/>
      <c r="BY467" s="1614"/>
      <c r="BZ467" s="183"/>
      <c r="CA467" s="2846"/>
      <c r="CB467" s="1784"/>
      <c r="CC467" s="184"/>
      <c r="CD467" s="2259"/>
      <c r="CE467" s="1785"/>
    </row>
    <row r="468" spans="1:83" ht="14.85" customHeight="1" x14ac:dyDescent="0.4">
      <c r="A468" s="249"/>
      <c r="B468" s="249"/>
      <c r="C468" s="584" t="s">
        <v>307</v>
      </c>
      <c r="D468" s="1948"/>
      <c r="E468" s="1949"/>
      <c r="F468" s="1950"/>
      <c r="G468" s="1948"/>
      <c r="H468" s="1949"/>
      <c r="I468" s="1951"/>
      <c r="J468" s="1948"/>
      <c r="K468" s="1950"/>
      <c r="L468" s="1951"/>
      <c r="M468" s="1948"/>
      <c r="N468" s="1962"/>
      <c r="O468" s="1948"/>
      <c r="P468" s="1948"/>
      <c r="Q468" s="1950"/>
      <c r="R468" s="1951"/>
      <c r="S468" s="1954"/>
      <c r="T468" s="1948"/>
      <c r="U468" s="1948"/>
      <c r="V468" s="1954"/>
      <c r="W468" s="1948"/>
      <c r="X468" s="1954"/>
      <c r="Y468" s="1948"/>
      <c r="Z468" s="1962"/>
      <c r="AA468" s="1948"/>
      <c r="AB468" s="1948"/>
      <c r="AC468" s="1948"/>
      <c r="AD468" s="1948"/>
      <c r="AE468" s="1157"/>
      <c r="AF468" s="1429"/>
      <c r="AG468" s="2050"/>
      <c r="AH468" s="1160"/>
      <c r="AI468" s="2161"/>
      <c r="AJ468" s="1256"/>
      <c r="AK468" s="1285"/>
      <c r="AL468" s="1285"/>
      <c r="AM468" s="1531"/>
      <c r="AN468" s="1273"/>
      <c r="AO468" s="2212"/>
      <c r="AP468" s="2228"/>
      <c r="AQ468" s="778"/>
      <c r="AR468" s="778"/>
      <c r="AS468" s="1640"/>
      <c r="AT468" s="1394"/>
      <c r="AU468" s="2229"/>
      <c r="AV468" s="1460"/>
      <c r="AW468" s="1395"/>
      <c r="AX468" s="1395"/>
      <c r="AY468" s="1022"/>
      <c r="AZ468" s="1696"/>
      <c r="BA468" s="2214"/>
      <c r="BB468" s="1644"/>
      <c r="BC468" s="664"/>
      <c r="BD468" s="967"/>
      <c r="BE468" s="965"/>
      <c r="BF468" s="1794"/>
      <c r="BG468" s="1978"/>
      <c r="BH468" s="1883"/>
      <c r="BI468" s="2186"/>
      <c r="BJ468" s="2846"/>
      <c r="BK468" s="1587"/>
      <c r="BL468" s="1561"/>
      <c r="BM468" s="1428"/>
      <c r="BN468" s="1960"/>
      <c r="BO468" s="1107"/>
      <c r="BP468" s="1107"/>
      <c r="BQ468" s="2124"/>
      <c r="BR468" s="1614"/>
      <c r="BS468" s="182"/>
      <c r="BT468" s="182"/>
      <c r="BU468" s="1783"/>
      <c r="BV468" s="1107"/>
      <c r="BW468" s="1107"/>
      <c r="BX468" s="2124"/>
      <c r="BY468" s="1614"/>
      <c r="BZ468" s="183"/>
      <c r="CA468" s="2846"/>
      <c r="CB468" s="1784"/>
      <c r="CC468" s="184"/>
      <c r="CD468" s="2259"/>
      <c r="CE468" s="1785"/>
    </row>
    <row r="469" spans="1:83" ht="14.85" customHeight="1" x14ac:dyDescent="0.4">
      <c r="A469" s="249"/>
      <c r="B469" s="249"/>
      <c r="C469" s="584" t="s">
        <v>307</v>
      </c>
      <c r="D469" s="1948"/>
      <c r="E469" s="1949"/>
      <c r="F469" s="1950"/>
      <c r="G469" s="1948"/>
      <c r="H469" s="1949"/>
      <c r="I469" s="1951"/>
      <c r="J469" s="1948"/>
      <c r="K469" s="1950"/>
      <c r="L469" s="1951"/>
      <c r="M469" s="1948"/>
      <c r="N469" s="1962"/>
      <c r="O469" s="1948"/>
      <c r="P469" s="1948"/>
      <c r="Q469" s="1950"/>
      <c r="R469" s="1951"/>
      <c r="S469" s="1954"/>
      <c r="T469" s="1948"/>
      <c r="U469" s="1948"/>
      <c r="V469" s="1954"/>
      <c r="W469" s="1948"/>
      <c r="X469" s="1954"/>
      <c r="Y469" s="1948"/>
      <c r="Z469" s="1962"/>
      <c r="AA469" s="1948"/>
      <c r="AB469" s="1948"/>
      <c r="AC469" s="1948"/>
      <c r="AD469" s="1948"/>
      <c r="AE469" s="1157"/>
      <c r="AF469" s="1429"/>
      <c r="AG469" s="2050"/>
      <c r="AH469" s="1160"/>
      <c r="AI469" s="2161"/>
      <c r="AJ469" s="1256"/>
      <c r="AK469" s="1285"/>
      <c r="AL469" s="1285"/>
      <c r="AM469" s="1531"/>
      <c r="AN469" s="1273"/>
      <c r="AO469" s="2212"/>
      <c r="AP469" s="2228"/>
      <c r="AQ469" s="778"/>
      <c r="AR469" s="778"/>
      <c r="AS469" s="1640"/>
      <c r="AT469" s="1394"/>
      <c r="AU469" s="2229"/>
      <c r="AV469" s="1460"/>
      <c r="AW469" s="1395"/>
      <c r="AX469" s="1395"/>
      <c r="AY469" s="1022"/>
      <c r="AZ469" s="1696"/>
      <c r="BA469" s="2214"/>
      <c r="BB469" s="1644"/>
      <c r="BC469" s="664"/>
      <c r="BD469" s="967"/>
      <c r="BE469" s="965"/>
      <c r="BF469" s="1794"/>
      <c r="BG469" s="2157"/>
      <c r="BH469" s="1401"/>
      <c r="BI469" s="2186"/>
      <c r="BJ469" s="2846"/>
      <c r="BK469" s="1587"/>
      <c r="BL469" s="1561"/>
      <c r="BM469" s="1428"/>
      <c r="BN469" s="1960"/>
      <c r="BO469" s="1107"/>
      <c r="BP469" s="1107"/>
      <c r="BQ469" s="2124"/>
      <c r="BR469" s="1614"/>
      <c r="BS469" s="182"/>
      <c r="BT469" s="182"/>
      <c r="BU469" s="1783"/>
      <c r="BV469" s="1107"/>
      <c r="BW469" s="1107"/>
      <c r="BX469" s="2124"/>
      <c r="BY469" s="1614"/>
      <c r="BZ469" s="183"/>
      <c r="CA469" s="2846"/>
      <c r="CB469" s="1784"/>
      <c r="CC469" s="184"/>
      <c r="CD469" s="2259"/>
      <c r="CE469" s="1785"/>
    </row>
    <row r="470" spans="1:83" ht="14.85" customHeight="1" x14ac:dyDescent="0.4">
      <c r="A470" s="249"/>
      <c r="B470" s="249"/>
      <c r="C470" s="584">
        <v>0.84027777777777701</v>
      </c>
      <c r="D470" s="1948"/>
      <c r="E470" s="1949"/>
      <c r="F470" s="1950"/>
      <c r="G470" s="1948"/>
      <c r="H470" s="1949"/>
      <c r="I470" s="1951"/>
      <c r="J470" s="1948"/>
      <c r="K470" s="1950"/>
      <c r="L470" s="1951"/>
      <c r="M470" s="1948"/>
      <c r="N470" s="1962"/>
      <c r="O470" s="1948"/>
      <c r="P470" s="1948"/>
      <c r="Q470" s="1950"/>
      <c r="R470" s="1951"/>
      <c r="S470" s="1954"/>
      <c r="T470" s="1948"/>
      <c r="U470" s="1948"/>
      <c r="V470" s="1954"/>
      <c r="W470" s="1948"/>
      <c r="X470" s="1954"/>
      <c r="Y470" s="1948"/>
      <c r="Z470" s="1962"/>
      <c r="AA470" s="1948"/>
      <c r="AB470" s="1948"/>
      <c r="AC470" s="1948"/>
      <c r="AD470" s="1948"/>
      <c r="AE470" s="1136"/>
      <c r="AF470" s="1429"/>
      <c r="AG470" s="2080"/>
      <c r="AH470" s="1645"/>
      <c r="AI470" s="2230"/>
      <c r="AJ470" s="2231"/>
      <c r="AK470" s="1200"/>
      <c r="AL470" s="2232"/>
      <c r="AM470" s="1285"/>
      <c r="AN470" s="1421"/>
      <c r="AO470" s="2212"/>
      <c r="AP470" s="1273"/>
      <c r="AQ470" s="778"/>
      <c r="AR470" s="2217"/>
      <c r="AS470" s="1640"/>
      <c r="AT470" s="2233"/>
      <c r="AU470" s="1627"/>
      <c r="AV470" s="1537"/>
      <c r="AW470" s="1538"/>
      <c r="AX470" s="2154"/>
      <c r="AY470" s="1022"/>
      <c r="AZ470" s="1802"/>
      <c r="BA470" s="2214"/>
      <c r="BB470" s="1644"/>
      <c r="BC470" s="687"/>
      <c r="BD470" s="967"/>
      <c r="BE470" s="687"/>
      <c r="BF470" s="1794"/>
      <c r="BG470" s="2157"/>
      <c r="BH470" s="1401"/>
      <c r="BI470" s="2234"/>
      <c r="BJ470" s="2846"/>
      <c r="BK470" s="1636"/>
      <c r="BL470" s="1168"/>
      <c r="BM470" s="1428"/>
      <c r="BN470" s="1168"/>
      <c r="BO470" s="1107"/>
      <c r="BP470" s="1107"/>
      <c r="BQ470" s="2124"/>
      <c r="BR470" s="2072"/>
      <c r="BS470" s="182"/>
      <c r="BT470" s="182"/>
      <c r="BU470" s="2073"/>
      <c r="BV470" s="1107"/>
      <c r="BW470" s="1107"/>
      <c r="BX470" s="2124"/>
      <c r="BY470" s="2072"/>
      <c r="BZ470" s="183"/>
      <c r="CA470" s="2846"/>
      <c r="CB470" s="2074"/>
      <c r="CC470" s="184"/>
      <c r="CD470" s="2259"/>
      <c r="CE470" s="2075"/>
    </row>
    <row r="471" spans="1:83" ht="14.85" customHeight="1" x14ac:dyDescent="0.4">
      <c r="A471" s="249"/>
      <c r="B471" s="249"/>
      <c r="C471" s="584" t="s">
        <v>307</v>
      </c>
      <c r="D471" s="1948"/>
      <c r="E471" s="1949"/>
      <c r="F471" s="1950"/>
      <c r="G471" s="1948"/>
      <c r="H471" s="1949"/>
      <c r="I471" s="1951"/>
      <c r="J471" s="1948"/>
      <c r="K471" s="1950"/>
      <c r="L471" s="1951"/>
      <c r="M471" s="1948"/>
      <c r="N471" s="1962"/>
      <c r="O471" s="1948"/>
      <c r="P471" s="1948"/>
      <c r="Q471" s="1950"/>
      <c r="R471" s="1951"/>
      <c r="S471" s="1954"/>
      <c r="T471" s="1948"/>
      <c r="U471" s="1948"/>
      <c r="V471" s="1954"/>
      <c r="W471" s="1948"/>
      <c r="X471" s="1954"/>
      <c r="Y471" s="1948"/>
      <c r="Z471" s="1962"/>
      <c r="AA471" s="1948"/>
      <c r="AB471" s="1948"/>
      <c r="AC471" s="1948"/>
      <c r="AD471" s="1948"/>
      <c r="AE471" s="1136"/>
      <c r="AF471" s="1429"/>
      <c r="AG471" s="2080"/>
      <c r="AH471" s="1645"/>
      <c r="AI471" s="2230"/>
      <c r="AJ471" s="2231"/>
      <c r="AK471" s="1200"/>
      <c r="AL471" s="2232"/>
      <c r="AM471" s="1285"/>
      <c r="AN471" s="1421"/>
      <c r="AO471" s="2212"/>
      <c r="AP471" s="1273"/>
      <c r="AQ471" s="778"/>
      <c r="AR471" s="2217"/>
      <c r="AS471" s="1640"/>
      <c r="AT471" s="1667"/>
      <c r="AU471" s="1627"/>
      <c r="AV471" s="1411"/>
      <c r="AW471" s="683"/>
      <c r="AX471" s="2154"/>
      <c r="AY471" s="1572"/>
      <c r="AZ471" s="1802"/>
      <c r="BA471" s="2214"/>
      <c r="BB471" s="1644"/>
      <c r="BC471" s="687"/>
      <c r="BD471" s="967"/>
      <c r="BE471" s="687"/>
      <c r="BF471" s="1794"/>
      <c r="BG471" s="1794"/>
      <c r="BH471" s="1794"/>
      <c r="BI471" s="2234"/>
      <c r="BJ471" s="2846"/>
      <c r="BK471" s="1636"/>
      <c r="BL471" s="1168"/>
      <c r="BM471" s="1428"/>
      <c r="BN471" s="1168"/>
      <c r="BO471" s="1107"/>
      <c r="BP471" s="1161"/>
      <c r="BQ471" s="1195"/>
      <c r="BR471" s="2072"/>
      <c r="BS471" s="1732"/>
      <c r="BT471" s="182"/>
      <c r="BU471" s="2073"/>
      <c r="BV471" s="1107"/>
      <c r="BW471" s="1161"/>
      <c r="BX471" s="1195"/>
      <c r="BY471" s="2072"/>
      <c r="BZ471" s="1735"/>
      <c r="CA471" s="2846"/>
      <c r="CB471" s="2074"/>
      <c r="CC471" s="1738"/>
      <c r="CD471" s="2259"/>
      <c r="CE471" s="2075"/>
    </row>
    <row r="472" spans="1:83" ht="22.35" customHeight="1" x14ac:dyDescent="0.4">
      <c r="A472" s="249"/>
      <c r="B472" s="249"/>
      <c r="C472" s="584">
        <v>0.84375</v>
      </c>
      <c r="D472" s="1948"/>
      <c r="E472" s="1949"/>
      <c r="F472" s="1950"/>
      <c r="G472" s="1948"/>
      <c r="H472" s="1949"/>
      <c r="I472" s="1951"/>
      <c r="J472" s="1948"/>
      <c r="K472" s="1950"/>
      <c r="L472" s="1951"/>
      <c r="M472" s="1948"/>
      <c r="N472" s="1962"/>
      <c r="O472" s="1948"/>
      <c r="P472" s="1948"/>
      <c r="Q472" s="1950"/>
      <c r="R472" s="1951"/>
      <c r="S472" s="1954"/>
      <c r="T472" s="1948"/>
      <c r="U472" s="1948"/>
      <c r="V472" s="1954"/>
      <c r="W472" s="1948"/>
      <c r="X472" s="1954"/>
      <c r="Y472" s="1948"/>
      <c r="Z472" s="1962"/>
      <c r="AA472" s="1948"/>
      <c r="AB472" s="1948"/>
      <c r="AC472" s="1948"/>
      <c r="AD472" s="1948"/>
      <c r="AE472" s="1385"/>
      <c r="AF472" s="1385" t="s">
        <v>332</v>
      </c>
      <c r="AG472" s="1408"/>
      <c r="AH472" s="1159"/>
      <c r="AI472" s="1160" t="s">
        <v>331</v>
      </c>
      <c r="AJ472" s="1160"/>
      <c r="AK472" s="2199"/>
      <c r="AL472" s="1285"/>
      <c r="AM472" s="2200"/>
      <c r="AN472" s="1273"/>
      <c r="AO472" s="2212"/>
      <c r="AP472" s="1438"/>
      <c r="AQ472" s="778"/>
      <c r="AR472" s="2217"/>
      <c r="AS472" s="1640"/>
      <c r="AT472" s="1956"/>
      <c r="AU472" s="1627"/>
      <c r="AV472" s="1537"/>
      <c r="AW472" s="683"/>
      <c r="AX472" s="2235"/>
      <c r="AY472" s="1572"/>
      <c r="AZ472" s="1802"/>
      <c r="BA472" s="2214"/>
      <c r="BB472" s="1644"/>
      <c r="BC472" s="974"/>
      <c r="BD472" s="1555"/>
      <c r="BE472" s="687"/>
      <c r="BF472" s="1794"/>
      <c r="BG472" s="2157" t="s">
        <v>533</v>
      </c>
      <c r="BH472" s="1883"/>
      <c r="BI472" s="1556"/>
      <c r="BJ472" s="2846"/>
      <c r="BK472" s="1636"/>
      <c r="BL472" s="1168"/>
      <c r="BM472" s="1428" t="s">
        <v>334</v>
      </c>
      <c r="BN472" s="1168"/>
      <c r="BO472" s="1107"/>
      <c r="BP472" s="1404"/>
      <c r="BQ472" s="1107"/>
      <c r="BR472" s="1779"/>
      <c r="BS472" s="2236"/>
      <c r="BT472" s="182"/>
      <c r="BU472" s="2236"/>
      <c r="BV472" s="1107"/>
      <c r="BW472" s="1404"/>
      <c r="BX472" s="1107"/>
      <c r="BY472" s="1779"/>
      <c r="BZ472" s="2237"/>
      <c r="CA472" s="2846"/>
      <c r="CB472" s="2237"/>
      <c r="CC472" s="2238"/>
      <c r="CD472" s="2259"/>
      <c r="CE472" s="2238"/>
    </row>
    <row r="473" spans="1:83" ht="17.100000000000001" customHeight="1" x14ac:dyDescent="0.4">
      <c r="A473" s="249"/>
      <c r="B473" s="249"/>
      <c r="C473" s="584" t="s">
        <v>307</v>
      </c>
      <c r="D473" s="1948"/>
      <c r="E473" s="1949"/>
      <c r="F473" s="1950"/>
      <c r="G473" s="1948"/>
      <c r="H473" s="1949"/>
      <c r="I473" s="1951"/>
      <c r="J473" s="1948"/>
      <c r="K473" s="1950"/>
      <c r="L473" s="1951"/>
      <c r="M473" s="1948"/>
      <c r="N473" s="1962"/>
      <c r="O473" s="1948"/>
      <c r="P473" s="1948"/>
      <c r="Q473" s="1950"/>
      <c r="R473" s="1951"/>
      <c r="S473" s="1954"/>
      <c r="T473" s="1948"/>
      <c r="U473" s="1948"/>
      <c r="V473" s="1954"/>
      <c r="W473" s="1948"/>
      <c r="X473" s="1954"/>
      <c r="Y473" s="1948"/>
      <c r="Z473" s="1962"/>
      <c r="AA473" s="1948"/>
      <c r="AB473" s="1948"/>
      <c r="AC473" s="1948"/>
      <c r="AD473" s="1948"/>
      <c r="AE473" s="1157"/>
      <c r="AF473" s="1429"/>
      <c r="AG473" s="1157"/>
      <c r="AH473" s="1164"/>
      <c r="AI473" s="1139" t="s">
        <v>366</v>
      </c>
      <c r="AJ473" s="1165"/>
      <c r="AK473" s="1200"/>
      <c r="AL473" s="2239"/>
      <c r="AM473" s="1285"/>
      <c r="AN473" s="1421"/>
      <c r="AO473" s="2212"/>
      <c r="AP473" s="1273"/>
      <c r="AQ473" s="778"/>
      <c r="AR473" s="778"/>
      <c r="AS473" s="1640"/>
      <c r="AT473" s="1411"/>
      <c r="AU473" s="2240"/>
      <c r="AV473" s="1411"/>
      <c r="AW473" s="1572"/>
      <c r="AX473" s="2220"/>
      <c r="AY473" s="1395"/>
      <c r="AZ473" s="1696"/>
      <c r="BA473" s="2214"/>
      <c r="BB473" s="1802"/>
      <c r="BC473" s="687"/>
      <c r="BD473" s="2241"/>
      <c r="BE473" s="687"/>
      <c r="BF473" s="1794"/>
      <c r="BG473" s="2157" t="s">
        <v>384</v>
      </c>
      <c r="BH473" s="1401"/>
      <c r="BI473" s="2176"/>
      <c r="BJ473" s="2846"/>
      <c r="BK473" s="1636"/>
      <c r="BL473" s="2215"/>
      <c r="BM473" s="1428"/>
      <c r="BN473" s="1168"/>
      <c r="BO473" s="2134"/>
      <c r="BP473" s="1577"/>
      <c r="BQ473" s="1107"/>
      <c r="BR473" s="1614"/>
      <c r="BS473" s="2007"/>
      <c r="BT473" s="182"/>
      <c r="BU473" s="1783"/>
      <c r="BV473" s="2134"/>
      <c r="BW473" s="1577"/>
      <c r="BX473" s="1107"/>
      <c r="BY473" s="1614"/>
      <c r="BZ473" s="2008"/>
      <c r="CA473" s="2846"/>
      <c r="CB473" s="1784"/>
      <c r="CC473" s="2009"/>
      <c r="CD473" s="2259"/>
      <c r="CE473" s="1785"/>
    </row>
    <row r="474" spans="1:83" ht="14.85" customHeight="1" x14ac:dyDescent="0.4">
      <c r="A474" s="249"/>
      <c r="B474" s="249"/>
      <c r="C474" s="584" t="s">
        <v>307</v>
      </c>
      <c r="D474" s="1948"/>
      <c r="E474" s="1949"/>
      <c r="F474" s="1950"/>
      <c r="G474" s="1948"/>
      <c r="H474" s="1949"/>
      <c r="I474" s="1951"/>
      <c r="J474" s="1948"/>
      <c r="K474" s="1950"/>
      <c r="L474" s="1951"/>
      <c r="M474" s="1948"/>
      <c r="N474" s="1962"/>
      <c r="O474" s="1948"/>
      <c r="P474" s="1948"/>
      <c r="Q474" s="1950"/>
      <c r="R474" s="1951"/>
      <c r="S474" s="1954"/>
      <c r="T474" s="1948"/>
      <c r="U474" s="1948"/>
      <c r="V474" s="1954"/>
      <c r="W474" s="1948"/>
      <c r="X474" s="1954"/>
      <c r="Y474" s="1948"/>
      <c r="Z474" s="1962"/>
      <c r="AA474" s="1948"/>
      <c r="AB474" s="1948"/>
      <c r="AC474" s="1948"/>
      <c r="AD474" s="1948"/>
      <c r="AE474" s="1157"/>
      <c r="AF474" s="1157"/>
      <c r="AG474" s="1157"/>
      <c r="AH474" s="1430"/>
      <c r="AI474" s="1430" t="s">
        <v>336</v>
      </c>
      <c r="AJ474" s="1430"/>
      <c r="AK474" s="1200"/>
      <c r="AL474" s="2239" t="s">
        <v>350</v>
      </c>
      <c r="AM474" s="1285"/>
      <c r="AN474" s="1421"/>
      <c r="AO474" s="2212"/>
      <c r="AP474" s="1273"/>
      <c r="AQ474" s="778"/>
      <c r="AR474" s="778"/>
      <c r="AS474" s="1640"/>
      <c r="AT474" s="1210"/>
      <c r="AU474" s="1627"/>
      <c r="AV474" s="1210"/>
      <c r="AW474" s="1395"/>
      <c r="AX474" s="2154"/>
      <c r="AY474" s="1395"/>
      <c r="AZ474" s="1696"/>
      <c r="BA474" s="2214"/>
      <c r="BB474" s="1802"/>
      <c r="BC474" s="974"/>
      <c r="BD474" s="2242"/>
      <c r="BE474" s="908"/>
      <c r="BF474" s="1794"/>
      <c r="BG474" s="2157"/>
      <c r="BH474" s="1401"/>
      <c r="BI474" s="2234"/>
      <c r="BJ474" s="2846"/>
      <c r="BK474" s="1636"/>
      <c r="BL474" s="1576"/>
      <c r="BM474" s="2243"/>
      <c r="BN474" s="1630"/>
      <c r="BO474" s="1107"/>
      <c r="BP474" s="1107"/>
      <c r="BQ474" s="1107"/>
      <c r="BR474" s="1614"/>
      <c r="BS474" s="182"/>
      <c r="BT474" s="182"/>
      <c r="BU474" s="1783"/>
      <c r="BV474" s="1107"/>
      <c r="BW474" s="1107"/>
      <c r="BX474" s="1107"/>
      <c r="BY474" s="1614"/>
      <c r="BZ474" s="183"/>
      <c r="CA474" s="2846"/>
      <c r="CB474" s="1784"/>
      <c r="CC474" s="184"/>
      <c r="CD474" s="2259"/>
      <c r="CE474" s="1785"/>
    </row>
    <row r="475" spans="1:83" ht="19.350000000000001" customHeight="1" x14ac:dyDescent="0.4">
      <c r="A475" s="249"/>
      <c r="B475" s="249"/>
      <c r="C475" s="584" t="s">
        <v>307</v>
      </c>
      <c r="D475" s="1948"/>
      <c r="E475" s="1949"/>
      <c r="F475" s="1950"/>
      <c r="G475" s="1948"/>
      <c r="H475" s="1949"/>
      <c r="I475" s="1951"/>
      <c r="J475" s="1948"/>
      <c r="K475" s="1950"/>
      <c r="L475" s="1951"/>
      <c r="M475" s="1948"/>
      <c r="N475" s="1962"/>
      <c r="O475" s="1948"/>
      <c r="P475" s="1948"/>
      <c r="Q475" s="1950"/>
      <c r="R475" s="1951"/>
      <c r="S475" s="1954"/>
      <c r="T475" s="1948"/>
      <c r="U475" s="1948"/>
      <c r="V475" s="1954"/>
      <c r="W475" s="1948"/>
      <c r="X475" s="1954"/>
      <c r="Y475" s="1948"/>
      <c r="Z475" s="1962"/>
      <c r="AA475" s="1948"/>
      <c r="AB475" s="1948"/>
      <c r="AC475" s="1948"/>
      <c r="AD475" s="1948"/>
      <c r="AE475" s="1157"/>
      <c r="AF475" s="1429"/>
      <c r="AG475" s="1157"/>
      <c r="AH475" s="1160"/>
      <c r="AI475" s="1569" t="s">
        <v>353</v>
      </c>
      <c r="AJ475" s="1256"/>
      <c r="AK475" s="1200"/>
      <c r="AL475" s="2239"/>
      <c r="AM475" s="1285"/>
      <c r="AN475" s="1421"/>
      <c r="AO475" s="2212"/>
      <c r="AP475" s="1273"/>
      <c r="AQ475" s="778"/>
      <c r="AR475" s="778"/>
      <c r="AS475" s="1640"/>
      <c r="AT475" s="1667"/>
      <c r="AU475" s="1210"/>
      <c r="AV475" s="1668"/>
      <c r="AW475" s="683"/>
      <c r="AX475" s="2154"/>
      <c r="AY475" s="1585"/>
      <c r="AZ475" s="1696"/>
      <c r="BA475" s="2214"/>
      <c r="BB475" s="1802"/>
      <c r="BC475" s="974"/>
      <c r="BD475" s="1374"/>
      <c r="BE475" s="687"/>
      <c r="BF475" s="1794"/>
      <c r="BG475" s="1794"/>
      <c r="BH475" s="1794"/>
      <c r="BI475" s="2234"/>
      <c r="BJ475" s="2846"/>
      <c r="BK475" s="1636"/>
      <c r="BL475" s="1168"/>
      <c r="BM475" s="2182"/>
      <c r="BN475" s="1168"/>
      <c r="BO475" s="1107"/>
      <c r="BP475" s="1107"/>
      <c r="BQ475" s="2244"/>
      <c r="BR475" s="1614"/>
      <c r="BS475" s="182"/>
      <c r="BT475" s="2245"/>
      <c r="BU475" s="1783"/>
      <c r="BV475" s="1107"/>
      <c r="BW475" s="1107"/>
      <c r="BX475" s="2244"/>
      <c r="BY475" s="1614"/>
      <c r="BZ475" s="183"/>
      <c r="CA475" s="2846"/>
      <c r="CB475" s="1784"/>
      <c r="CC475" s="184"/>
      <c r="CD475" s="2259"/>
      <c r="CE475" s="1785"/>
    </row>
    <row r="476" spans="1:83" ht="14.85" customHeight="1" x14ac:dyDescent="0.4">
      <c r="A476" s="249"/>
      <c r="B476" s="249"/>
      <c r="C476" s="584" t="s">
        <v>307</v>
      </c>
      <c r="D476" s="1948"/>
      <c r="E476" s="1949"/>
      <c r="F476" s="1950"/>
      <c r="G476" s="1948"/>
      <c r="H476" s="1949"/>
      <c r="I476" s="1951"/>
      <c r="J476" s="1948"/>
      <c r="K476" s="1950"/>
      <c r="L476" s="1951"/>
      <c r="M476" s="1948"/>
      <c r="N476" s="1962"/>
      <c r="O476" s="1948"/>
      <c r="P476" s="1948"/>
      <c r="Q476" s="1950"/>
      <c r="R476" s="1951"/>
      <c r="S476" s="1954"/>
      <c r="T476" s="1948"/>
      <c r="U476" s="1948"/>
      <c r="V476" s="1954"/>
      <c r="W476" s="1948"/>
      <c r="X476" s="1954"/>
      <c r="Y476" s="1948"/>
      <c r="Z476" s="1962"/>
      <c r="AA476" s="1948"/>
      <c r="AB476" s="1948"/>
      <c r="AC476" s="1948"/>
      <c r="AD476" s="1948"/>
      <c r="AE476" s="1157"/>
      <c r="AF476" s="1429"/>
      <c r="AG476" s="1157"/>
      <c r="AH476" s="1160"/>
      <c r="AI476" s="2144" t="s">
        <v>447</v>
      </c>
      <c r="AJ476" s="1256"/>
      <c r="AK476" s="1200"/>
      <c r="AL476" s="2239"/>
      <c r="AM476" s="1285"/>
      <c r="AN476" s="1421"/>
      <c r="AO476" s="2212"/>
      <c r="AP476" s="1273"/>
      <c r="AQ476" s="778"/>
      <c r="AR476" s="778"/>
      <c r="AS476" s="1640"/>
      <c r="AT476" s="1667"/>
      <c r="AU476" s="1210"/>
      <c r="AV476" s="1668"/>
      <c r="AW476" s="683"/>
      <c r="AX476" s="2177"/>
      <c r="AY476" s="1585"/>
      <c r="AZ476" s="1696"/>
      <c r="BA476" s="2214"/>
      <c r="BB476" s="1802"/>
      <c r="BC476" s="687"/>
      <c r="BD476" s="967"/>
      <c r="BE476" s="687"/>
      <c r="BF476" s="1794"/>
      <c r="BG476" s="1978"/>
      <c r="BH476" s="1883"/>
      <c r="BI476" s="2234"/>
      <c r="BJ476" s="2846"/>
      <c r="BK476" s="1636"/>
      <c r="BL476" s="1168"/>
      <c r="BM476" s="2243"/>
      <c r="BN476" s="1168"/>
      <c r="BO476" s="1107"/>
      <c r="BP476" s="1107"/>
      <c r="BQ476" s="2244"/>
      <c r="BR476" s="1614"/>
      <c r="BS476" s="182"/>
      <c r="BT476" s="2245"/>
      <c r="BU476" s="1783"/>
      <c r="BV476" s="1107"/>
      <c r="BW476" s="1107"/>
      <c r="BX476" s="2244"/>
      <c r="BY476" s="1614"/>
      <c r="BZ476" s="183"/>
      <c r="CA476" s="2846"/>
      <c r="CB476" s="1784"/>
      <c r="CC476" s="184"/>
      <c r="CD476" s="2259"/>
      <c r="CE476" s="1785"/>
    </row>
    <row r="477" spans="1:83" ht="13.35" customHeight="1" x14ac:dyDescent="0.4">
      <c r="A477" s="249"/>
      <c r="B477" s="249"/>
      <c r="C477" s="584" t="s">
        <v>307</v>
      </c>
      <c r="D477" s="1948"/>
      <c r="E477" s="1949"/>
      <c r="F477" s="1950"/>
      <c r="G477" s="1948"/>
      <c r="H477" s="1949"/>
      <c r="I477" s="1951"/>
      <c r="J477" s="1948"/>
      <c r="K477" s="1950"/>
      <c r="L477" s="1951"/>
      <c r="M477" s="1948"/>
      <c r="N477" s="1962"/>
      <c r="O477" s="1948"/>
      <c r="P477" s="1948"/>
      <c r="Q477" s="1950"/>
      <c r="R477" s="1951"/>
      <c r="S477" s="1954"/>
      <c r="T477" s="1948"/>
      <c r="U477" s="1948"/>
      <c r="V477" s="1954"/>
      <c r="W477" s="1948"/>
      <c r="X477" s="1954"/>
      <c r="Y477" s="1948"/>
      <c r="Z477" s="1962"/>
      <c r="AA477" s="1948"/>
      <c r="AB477" s="1948"/>
      <c r="AC477" s="1948"/>
      <c r="AD477" s="1948"/>
      <c r="AE477" s="1157"/>
      <c r="AF477" s="1429"/>
      <c r="AG477" s="1157"/>
      <c r="AH477" s="1160"/>
      <c r="AI477" s="2224"/>
      <c r="AJ477" s="1256"/>
      <c r="AK477" s="1200"/>
      <c r="AL477" s="2239"/>
      <c r="AM477" s="1285"/>
      <c r="AN477" s="1421"/>
      <c r="AO477" s="2212"/>
      <c r="AP477" s="1273"/>
      <c r="AQ477" s="778"/>
      <c r="AR477" s="778"/>
      <c r="AS477" s="1640"/>
      <c r="AT477" s="1667"/>
      <c r="AU477" s="1210"/>
      <c r="AV477" s="1668"/>
      <c r="AW477" s="683"/>
      <c r="AX477" s="2154"/>
      <c r="AY477" s="1585"/>
      <c r="AZ477" s="1696"/>
      <c r="BA477" s="2214"/>
      <c r="BB477" s="1802"/>
      <c r="BC477" s="687"/>
      <c r="BD477" s="967"/>
      <c r="BE477" s="687"/>
      <c r="BF477" s="1794"/>
      <c r="BG477" s="2157"/>
      <c r="BH477" s="1401"/>
      <c r="BI477" s="2234"/>
      <c r="BJ477" s="2846"/>
      <c r="BK477" s="1636"/>
      <c r="BL477" s="1168"/>
      <c r="BM477" s="1431"/>
      <c r="BN477" s="1168"/>
      <c r="BO477" s="1107"/>
      <c r="BP477" s="1107"/>
      <c r="BQ477" s="2244"/>
      <c r="BR477" s="1614"/>
      <c r="BS477" s="182"/>
      <c r="BT477" s="2245"/>
      <c r="BU477" s="1783"/>
      <c r="BV477" s="1107"/>
      <c r="BW477" s="1107"/>
      <c r="BX477" s="2244"/>
      <c r="BY477" s="1614"/>
      <c r="BZ477" s="183"/>
      <c r="CA477" s="2846"/>
      <c r="CB477" s="1784"/>
      <c r="CC477" s="184"/>
      <c r="CD477" s="2259"/>
      <c r="CE477" s="1785"/>
    </row>
    <row r="478" spans="1:83" ht="26.85" customHeight="1" x14ac:dyDescent="0.4">
      <c r="A478" s="249"/>
      <c r="B478" s="249"/>
      <c r="C478" s="584">
        <v>0.84722222222222199</v>
      </c>
      <c r="D478" s="1948"/>
      <c r="E478" s="1949"/>
      <c r="F478" s="1950"/>
      <c r="G478" s="1948"/>
      <c r="H478" s="1949"/>
      <c r="I478" s="1951"/>
      <c r="J478" s="1948"/>
      <c r="K478" s="1950"/>
      <c r="L478" s="1951"/>
      <c r="M478" s="1948"/>
      <c r="N478" s="1962"/>
      <c r="O478" s="1948"/>
      <c r="P478" s="1948"/>
      <c r="Q478" s="1950"/>
      <c r="R478" s="1951"/>
      <c r="S478" s="1954"/>
      <c r="T478" s="1948"/>
      <c r="U478" s="1948"/>
      <c r="V478" s="1954"/>
      <c r="W478" s="1948"/>
      <c r="X478" s="1954"/>
      <c r="Y478" s="1948"/>
      <c r="Z478" s="1962"/>
      <c r="AA478" s="1948"/>
      <c r="AB478" s="1948"/>
      <c r="AC478" s="1948"/>
      <c r="AD478" s="1948"/>
      <c r="AE478" s="2160"/>
      <c r="AF478" s="1478"/>
      <c r="AG478" s="1157"/>
      <c r="AH478" s="1160"/>
      <c r="AI478" s="2246"/>
      <c r="AJ478" s="1160"/>
      <c r="AK478" s="1285"/>
      <c r="AL478" s="2553" t="s">
        <v>470</v>
      </c>
      <c r="AM478" s="1531"/>
      <c r="AN478" s="1421"/>
      <c r="AO478" s="2212"/>
      <c r="AP478" s="1273"/>
      <c r="AQ478" s="778"/>
      <c r="AR478" s="2247"/>
      <c r="AS478" s="1640"/>
      <c r="AT478" s="1667"/>
      <c r="AU478" s="2248"/>
      <c r="AV478" s="1668"/>
      <c r="AW478" s="683"/>
      <c r="AX478" s="2177"/>
      <c r="AY478" s="1585"/>
      <c r="AZ478" s="1802"/>
      <c r="BA478" s="2214"/>
      <c r="BB478" s="1644"/>
      <c r="BC478" s="1958"/>
      <c r="BD478" s="1374"/>
      <c r="BE478" s="908"/>
      <c r="BF478" s="1794"/>
      <c r="BG478" s="2157"/>
      <c r="BH478" s="1401"/>
      <c r="BI478" s="1773"/>
      <c r="BJ478" s="2846"/>
      <c r="BK478" s="1543"/>
      <c r="BL478" s="1576"/>
      <c r="BM478" s="2249"/>
      <c r="BN478" s="1630"/>
      <c r="BO478" s="1577"/>
      <c r="BP478" s="1107"/>
      <c r="BQ478" s="2250"/>
      <c r="BR478" s="1107"/>
      <c r="BS478" s="182"/>
      <c r="BT478" s="2251"/>
      <c r="BU478" s="182"/>
      <c r="BV478" s="1577"/>
      <c r="BW478" s="1107"/>
      <c r="BX478" s="2250"/>
      <c r="BY478" s="1107"/>
      <c r="BZ478" s="183"/>
      <c r="CA478" s="2846"/>
      <c r="CB478" s="183"/>
      <c r="CC478" s="184"/>
      <c r="CD478" s="2259"/>
      <c r="CE478" s="184"/>
    </row>
    <row r="479" spans="1:83" ht="29.85" customHeight="1" x14ac:dyDescent="0.4">
      <c r="A479" s="249"/>
      <c r="B479" s="249"/>
      <c r="C479" s="584">
        <v>0.85069444444444398</v>
      </c>
      <c r="D479" s="1948"/>
      <c r="E479" s="1949"/>
      <c r="F479" s="1950"/>
      <c r="G479" s="1948"/>
      <c r="H479" s="1949"/>
      <c r="I479" s="1951"/>
      <c r="J479" s="1948"/>
      <c r="K479" s="1950"/>
      <c r="L479" s="1951"/>
      <c r="M479" s="1948"/>
      <c r="N479" s="1962"/>
      <c r="O479" s="1948"/>
      <c r="P479" s="1948"/>
      <c r="Q479" s="1950"/>
      <c r="R479" s="1951"/>
      <c r="S479" s="1954"/>
      <c r="T479" s="1948"/>
      <c r="U479" s="1948"/>
      <c r="V479" s="1954"/>
      <c r="W479" s="1948"/>
      <c r="X479" s="1954"/>
      <c r="Y479" s="1948"/>
      <c r="Z479" s="1962"/>
      <c r="AA479" s="1948"/>
      <c r="AB479" s="1948"/>
      <c r="AC479" s="1948"/>
      <c r="AD479" s="1948"/>
      <c r="AE479" s="2252"/>
      <c r="AF479" s="2152" t="s">
        <v>543</v>
      </c>
      <c r="AG479" s="2050"/>
      <c r="AH479" s="1160"/>
      <c r="AI479" s="1436"/>
      <c r="AJ479" s="1160"/>
      <c r="AK479" s="1200"/>
      <c r="AL479" s="2239"/>
      <c r="AM479" s="1531"/>
      <c r="AN479" s="1722"/>
      <c r="AO479" s="2212"/>
      <c r="AP479" s="1722"/>
      <c r="AQ479" s="778"/>
      <c r="AR479" s="2217"/>
      <c r="AS479" s="1640"/>
      <c r="AT479" s="1411"/>
      <c r="AU479" s="1627"/>
      <c r="AV479" s="1411"/>
      <c r="AW479" s="1572"/>
      <c r="AX479" s="2253"/>
      <c r="AY479" s="1572"/>
      <c r="AZ479" s="1573"/>
      <c r="BA479" s="2214"/>
      <c r="BB479" s="1573"/>
      <c r="BC479" s="687"/>
      <c r="BD479" s="1374"/>
      <c r="BE479" s="687"/>
      <c r="BF479" s="1794"/>
      <c r="BG479" s="1794"/>
      <c r="BH479" s="1794"/>
      <c r="BI479" s="1556"/>
      <c r="BJ479" s="2846"/>
      <c r="BK479" s="1636"/>
      <c r="BL479" s="1168"/>
      <c r="BM479" s="2182"/>
      <c r="BN479" s="1168"/>
      <c r="BO479" s="2134"/>
      <c r="BP479" s="1107"/>
      <c r="BQ479" s="2250"/>
      <c r="BR479" s="1107"/>
      <c r="BS479" s="182"/>
      <c r="BT479" s="2251"/>
      <c r="BU479" s="182"/>
      <c r="BV479" s="2134"/>
      <c r="BW479" s="1107"/>
      <c r="BX479" s="2250"/>
      <c r="BY479" s="1107"/>
      <c r="BZ479" s="183"/>
      <c r="CA479" s="2846"/>
      <c r="CB479" s="183"/>
      <c r="CC479" s="184"/>
      <c r="CD479" s="2259"/>
      <c r="CE479" s="184"/>
    </row>
    <row r="480" spans="1:83" ht="20.100000000000001" customHeight="1" x14ac:dyDescent="0.4">
      <c r="A480" s="249"/>
      <c r="B480" s="249"/>
      <c r="C480" s="584" t="s">
        <v>307</v>
      </c>
      <c r="D480" s="1948"/>
      <c r="E480" s="1949"/>
      <c r="F480" s="1950"/>
      <c r="G480" s="1948"/>
      <c r="H480" s="1949"/>
      <c r="I480" s="1951"/>
      <c r="J480" s="1948"/>
      <c r="K480" s="1950"/>
      <c r="L480" s="1951"/>
      <c r="M480" s="1948"/>
      <c r="N480" s="1962"/>
      <c r="O480" s="1948"/>
      <c r="P480" s="1948"/>
      <c r="Q480" s="1950"/>
      <c r="R480" s="1951"/>
      <c r="S480" s="1954"/>
      <c r="T480" s="1948"/>
      <c r="U480" s="1948"/>
      <c r="V480" s="1954"/>
      <c r="W480" s="1948"/>
      <c r="X480" s="1954"/>
      <c r="Y480" s="1948"/>
      <c r="Z480" s="1962"/>
      <c r="AA480" s="1948"/>
      <c r="AB480" s="1948"/>
      <c r="AC480" s="1948"/>
      <c r="AD480" s="1948"/>
      <c r="AE480" s="2252"/>
      <c r="AF480" s="2152"/>
      <c r="AG480" s="2050"/>
      <c r="AH480" s="1594"/>
      <c r="AI480" s="2128"/>
      <c r="AJ480" s="1256"/>
      <c r="AK480" s="2254"/>
      <c r="AL480" s="2239"/>
      <c r="AM480" s="1469"/>
      <c r="AN480" s="1421"/>
      <c r="AO480" s="2212"/>
      <c r="AP480" s="1273"/>
      <c r="AQ480" s="778"/>
      <c r="AR480" s="2255"/>
      <c r="AS480" s="1640"/>
      <c r="AT480" s="1674"/>
      <c r="AU480" s="1627"/>
      <c r="AV480" s="1411"/>
      <c r="AW480" s="1252"/>
      <c r="AX480" s="2177"/>
      <c r="AY480" s="1572"/>
      <c r="AZ480" s="1598"/>
      <c r="BA480" s="2214"/>
      <c r="BB480" s="1573"/>
      <c r="BC480" s="1958"/>
      <c r="BD480" s="1374"/>
      <c r="BE480" s="908"/>
      <c r="BF480" s="1794"/>
      <c r="BG480" s="1978"/>
      <c r="BH480" s="1883"/>
      <c r="BI480" s="1556"/>
      <c r="BJ480" s="1774"/>
      <c r="BK480" s="1557"/>
      <c r="BL480" s="1576"/>
      <c r="BM480" s="1428"/>
      <c r="BN480" s="1630"/>
      <c r="BO480" s="1107"/>
      <c r="BP480" s="1107"/>
      <c r="BQ480" s="1195"/>
      <c r="BR480" s="1107"/>
      <c r="BS480" s="182"/>
      <c r="BT480" s="182"/>
      <c r="BU480" s="182"/>
      <c r="BV480" s="1107"/>
      <c r="BW480" s="1107"/>
      <c r="BX480" s="1195"/>
      <c r="BY480" s="1107"/>
      <c r="BZ480" s="183"/>
      <c r="CA480" s="2846"/>
      <c r="CB480" s="183"/>
      <c r="CC480" s="184"/>
      <c r="CD480" s="2567"/>
      <c r="CE480" s="184"/>
    </row>
    <row r="481" spans="1:83" ht="26.1" customHeight="1" x14ac:dyDescent="0.4">
      <c r="A481" s="249"/>
      <c r="B481" s="249"/>
      <c r="C481" s="584">
        <v>0.85416666666666663</v>
      </c>
      <c r="D481" s="1948"/>
      <c r="E481" s="1949"/>
      <c r="F481" s="1950"/>
      <c r="G481" s="1948"/>
      <c r="H481" s="1949"/>
      <c r="I481" s="1951"/>
      <c r="J481" s="1948"/>
      <c r="K481" s="1950"/>
      <c r="L481" s="1951"/>
      <c r="M481" s="1948"/>
      <c r="N481" s="1962"/>
      <c r="O481" s="1948"/>
      <c r="P481" s="1948"/>
      <c r="Q481" s="1950"/>
      <c r="R481" s="1951"/>
      <c r="S481" s="1954"/>
      <c r="T481" s="1948"/>
      <c r="U481" s="1948"/>
      <c r="V481" s="1954"/>
      <c r="W481" s="1948"/>
      <c r="X481" s="1954"/>
      <c r="Y481" s="1948"/>
      <c r="Z481" s="1962"/>
      <c r="AA481" s="1948"/>
      <c r="AB481" s="1948"/>
      <c r="AC481" s="1948"/>
      <c r="AD481" s="1948"/>
      <c r="AE481" s="1157"/>
      <c r="AF481" s="1385" t="s">
        <v>356</v>
      </c>
      <c r="AG481" s="1157"/>
      <c r="AH481" s="1645"/>
      <c r="AI481" s="2846" t="s">
        <v>544</v>
      </c>
      <c r="AJ481" s="1618"/>
      <c r="AK481" s="2199"/>
      <c r="AL481" s="1285" t="s">
        <v>350</v>
      </c>
      <c r="AM481" s="2200"/>
      <c r="AN481" s="1722"/>
      <c r="AO481" s="2212"/>
      <c r="AP481" s="1438"/>
      <c r="AQ481" s="778"/>
      <c r="AR481" s="2217"/>
      <c r="AS481" s="1640"/>
      <c r="AT481" s="1210"/>
      <c r="AU481" s="1641"/>
      <c r="AV481" s="1537"/>
      <c r="AW481" s="1395"/>
      <c r="AX481" s="2840" t="s">
        <v>544</v>
      </c>
      <c r="AY481" s="1022"/>
      <c r="AZ481" s="1280"/>
      <c r="BA481" s="2214"/>
      <c r="BB481" s="1609"/>
      <c r="BC481" s="687"/>
      <c r="BD481" s="2256"/>
      <c r="BE481" s="908"/>
      <c r="BF481" s="1794"/>
      <c r="BG481" s="2157" t="s">
        <v>533</v>
      </c>
      <c r="BH481" s="1401"/>
      <c r="BI481" s="1556"/>
      <c r="BJ481" s="1789" t="s">
        <v>366</v>
      </c>
      <c r="BK481" s="1543"/>
      <c r="BL481" s="1168"/>
      <c r="BM481" s="1403"/>
      <c r="BN481" s="1630"/>
      <c r="BO481" s="2134"/>
      <c r="BP481" s="1577"/>
      <c r="BQ481" s="1107"/>
      <c r="BR481" s="1107"/>
      <c r="BS481" s="2007"/>
      <c r="BT481" s="182"/>
      <c r="BU481" s="182"/>
      <c r="BV481" s="2134"/>
      <c r="BW481" s="1577"/>
      <c r="BX481" s="1107"/>
      <c r="BY481" s="1107"/>
      <c r="BZ481" s="2008"/>
      <c r="CA481" s="2567" t="s">
        <v>545</v>
      </c>
      <c r="CB481" s="183"/>
      <c r="CC481" s="2009"/>
      <c r="CD481" s="184"/>
      <c r="CE481" s="184"/>
    </row>
    <row r="482" spans="1:83" ht="17.850000000000001" customHeight="1" x14ac:dyDescent="0.4">
      <c r="A482" s="249"/>
      <c r="B482" s="249"/>
      <c r="C482" s="584" t="s">
        <v>307</v>
      </c>
      <c r="D482" s="1948"/>
      <c r="E482" s="1949"/>
      <c r="F482" s="1950"/>
      <c r="G482" s="1948"/>
      <c r="H482" s="1949"/>
      <c r="I482" s="1951"/>
      <c r="J482" s="1948"/>
      <c r="K482" s="1950"/>
      <c r="L482" s="1951"/>
      <c r="M482" s="1948"/>
      <c r="N482" s="1962"/>
      <c r="O482" s="1948"/>
      <c r="P482" s="1948"/>
      <c r="Q482" s="1950"/>
      <c r="R482" s="1951"/>
      <c r="S482" s="1954"/>
      <c r="T482" s="1948"/>
      <c r="U482" s="1948"/>
      <c r="V482" s="1954"/>
      <c r="W482" s="1948"/>
      <c r="X482" s="1954"/>
      <c r="Y482" s="1948"/>
      <c r="Z482" s="1962"/>
      <c r="AA482" s="1948"/>
      <c r="AB482" s="1948"/>
      <c r="AC482" s="1948"/>
      <c r="AD482" s="1948"/>
      <c r="AE482" s="2257"/>
      <c r="AF482" s="2258" t="s">
        <v>546</v>
      </c>
      <c r="AG482" s="2257"/>
      <c r="AH482" s="1159"/>
      <c r="AI482" s="2846"/>
      <c r="AJ482" s="1159"/>
      <c r="AK482" s="1285"/>
      <c r="AL482" s="1420"/>
      <c r="AM482" s="1531"/>
      <c r="AN482" s="1273"/>
      <c r="AO482" s="2212"/>
      <c r="AP482" s="1438"/>
      <c r="AQ482" s="778"/>
      <c r="AR482" s="2217"/>
      <c r="AS482" s="1640"/>
      <c r="AT482" s="1210"/>
      <c r="AU482" s="1627"/>
      <c r="AV482" s="1537"/>
      <c r="AW482" s="1395"/>
      <c r="AX482" s="2840"/>
      <c r="AY482" s="1022"/>
      <c r="AZ482" s="1280"/>
      <c r="BA482" s="2214"/>
      <c r="BB482" s="1609"/>
      <c r="BC482" s="687"/>
      <c r="BD482" s="967" t="s">
        <v>447</v>
      </c>
      <c r="BE482" s="908"/>
      <c r="BF482" s="1794"/>
      <c r="BG482" s="2157" t="s">
        <v>384</v>
      </c>
      <c r="BH482" s="1401"/>
      <c r="BI482" s="2176"/>
      <c r="BJ482" s="1871" t="s">
        <v>334</v>
      </c>
      <c r="BK482" s="1587"/>
      <c r="BL482" s="2215"/>
      <c r="BM482" s="1562"/>
      <c r="BN482" s="1630"/>
      <c r="BO482" s="1107"/>
      <c r="BP482" s="1107"/>
      <c r="BQ482" s="1107"/>
      <c r="BR482" s="1107"/>
      <c r="BS482" s="182"/>
      <c r="BT482" s="182"/>
      <c r="BU482" s="182"/>
      <c r="BV482" s="1107"/>
      <c r="BW482" s="1107"/>
      <c r="BX482" s="1107"/>
      <c r="BY482" s="1107"/>
      <c r="BZ482" s="183"/>
      <c r="CA482" s="2259"/>
      <c r="CB482" s="183"/>
      <c r="CC482" s="184"/>
      <c r="CD482" s="2122"/>
      <c r="CE482" s="184"/>
    </row>
    <row r="483" spans="1:83" ht="17.850000000000001" customHeight="1" x14ac:dyDescent="0.4">
      <c r="A483" s="249"/>
      <c r="B483" s="249"/>
      <c r="C483" s="584"/>
      <c r="D483" s="1948"/>
      <c r="E483" s="1949"/>
      <c r="F483" s="1950"/>
      <c r="G483" s="1948"/>
      <c r="H483" s="1949"/>
      <c r="I483" s="1951"/>
      <c r="J483" s="1948"/>
      <c r="K483" s="1950"/>
      <c r="L483" s="1951"/>
      <c r="M483" s="1948"/>
      <c r="N483" s="1962"/>
      <c r="O483" s="1948"/>
      <c r="P483" s="1948"/>
      <c r="Q483" s="1950"/>
      <c r="R483" s="1951"/>
      <c r="S483" s="1954"/>
      <c r="T483" s="1948"/>
      <c r="U483" s="1948"/>
      <c r="V483" s="1954"/>
      <c r="W483" s="1948"/>
      <c r="X483" s="1954"/>
      <c r="Y483" s="1948"/>
      <c r="Z483" s="1962"/>
      <c r="AA483" s="1948"/>
      <c r="AB483" s="1948"/>
      <c r="AC483" s="1948"/>
      <c r="AD483" s="1948"/>
      <c r="AE483" s="1169"/>
      <c r="AF483" s="1169" t="s">
        <v>547</v>
      </c>
      <c r="AG483" s="1169"/>
      <c r="AH483" s="2260"/>
      <c r="AI483" s="2846"/>
      <c r="AJ483" s="1159"/>
      <c r="AK483" s="1285"/>
      <c r="AL483" s="1449"/>
      <c r="AM483" s="1531"/>
      <c r="AN483" s="1273"/>
      <c r="AO483" s="2212"/>
      <c r="AP483" s="1438"/>
      <c r="AQ483" s="778"/>
      <c r="AR483" s="2217"/>
      <c r="AS483" s="1640"/>
      <c r="AT483" s="1210"/>
      <c r="AU483" s="1627"/>
      <c r="AV483" s="1537"/>
      <c r="AW483" s="1395"/>
      <c r="AX483" s="2840"/>
      <c r="AY483" s="1022"/>
      <c r="AZ483" s="1280"/>
      <c r="BA483" s="2214"/>
      <c r="BB483" s="1609"/>
      <c r="BC483" s="664"/>
      <c r="BD483" s="1374"/>
      <c r="BE483" s="908"/>
      <c r="BF483" s="1794"/>
      <c r="BG483" s="1794" t="s">
        <v>353</v>
      </c>
      <c r="BH483" s="1794"/>
      <c r="BI483" s="1556"/>
      <c r="BJ483" s="1774"/>
      <c r="BK483" s="1587"/>
      <c r="BL483" s="1168"/>
      <c r="BM483" s="1753"/>
      <c r="BN483" s="1630"/>
      <c r="BO483" s="1107"/>
      <c r="BP483" s="1107"/>
      <c r="BQ483" s="1195"/>
      <c r="BR483" s="1107"/>
      <c r="BS483" s="182"/>
      <c r="BT483" s="182"/>
      <c r="BU483" s="182"/>
      <c r="BV483" s="1107"/>
      <c r="BW483" s="1107"/>
      <c r="BX483" s="1195"/>
      <c r="BY483" s="1107"/>
      <c r="BZ483" s="183"/>
      <c r="CA483" s="2259"/>
      <c r="CB483" s="183"/>
      <c r="CC483" s="184"/>
      <c r="CD483" s="2122"/>
      <c r="CE483" s="184"/>
    </row>
    <row r="484" spans="1:83" ht="18.600000000000001" customHeight="1" x14ac:dyDescent="0.4">
      <c r="A484" s="249"/>
      <c r="B484" s="249"/>
      <c r="C484" s="584" t="s">
        <v>307</v>
      </c>
      <c r="D484" s="1948"/>
      <c r="E484" s="1949"/>
      <c r="F484" s="1950"/>
      <c r="G484" s="1948"/>
      <c r="H484" s="1949"/>
      <c r="I484" s="1951"/>
      <c r="J484" s="1948"/>
      <c r="K484" s="1950"/>
      <c r="L484" s="1951"/>
      <c r="M484" s="1948"/>
      <c r="N484" s="1962"/>
      <c r="O484" s="1948"/>
      <c r="P484" s="1948"/>
      <c r="Q484" s="1950"/>
      <c r="R484" s="1951"/>
      <c r="S484" s="1954"/>
      <c r="T484" s="1948"/>
      <c r="U484" s="1948"/>
      <c r="V484" s="1954"/>
      <c r="W484" s="1948"/>
      <c r="X484" s="1954"/>
      <c r="Y484" s="1948"/>
      <c r="Z484" s="1962"/>
      <c r="AA484" s="1948"/>
      <c r="AB484" s="1948"/>
      <c r="AC484" s="1948"/>
      <c r="AD484" s="1948"/>
      <c r="AE484" s="1169"/>
      <c r="AF484" s="1169"/>
      <c r="AG484" s="1169"/>
      <c r="AH484" s="1594"/>
      <c r="AI484" s="2846"/>
      <c r="AJ484" s="1256"/>
      <c r="AK484" s="1285"/>
      <c r="AL484" s="1449"/>
      <c r="AM484" s="1531"/>
      <c r="AN484" s="1273"/>
      <c r="AO484" s="2212"/>
      <c r="AP484" s="1438"/>
      <c r="AQ484" s="778"/>
      <c r="AR484" s="2261"/>
      <c r="AS484" s="1640"/>
      <c r="AT484" s="1210"/>
      <c r="AU484" s="1627"/>
      <c r="AV484" s="1537"/>
      <c r="AW484" s="684"/>
      <c r="AX484" s="2840"/>
      <c r="AY484" s="684"/>
      <c r="AZ484" s="1280"/>
      <c r="BA484" s="2214"/>
      <c r="BB484" s="1609"/>
      <c r="BC484" s="664"/>
      <c r="BD484" s="1374"/>
      <c r="BE484" s="687"/>
      <c r="BF484" s="1794"/>
      <c r="BG484" s="1978"/>
      <c r="BH484" s="1883"/>
      <c r="BI484" s="1556"/>
      <c r="BJ484" s="1774"/>
      <c r="BK484" s="1587"/>
      <c r="BL484" s="1168"/>
      <c r="BM484" s="2262"/>
      <c r="BN484" s="1168"/>
      <c r="BO484" s="1107"/>
      <c r="BP484" s="1108"/>
      <c r="BQ484" s="1579"/>
      <c r="BR484" s="1107"/>
      <c r="BS484" s="1754"/>
      <c r="BT484" s="1733"/>
      <c r="BU484" s="182"/>
      <c r="BV484" s="1107"/>
      <c r="BW484" s="1108"/>
      <c r="BX484" s="1579"/>
      <c r="BY484" s="1107"/>
      <c r="BZ484" s="1756"/>
      <c r="CA484" s="2259"/>
      <c r="CB484" s="183"/>
      <c r="CC484" s="1758"/>
      <c r="CD484" s="2122"/>
      <c r="CE484" s="184"/>
    </row>
    <row r="485" spans="1:83" ht="23.1" customHeight="1" x14ac:dyDescent="0.4">
      <c r="A485" s="249"/>
      <c r="B485" s="249"/>
      <c r="C485" s="584" t="s">
        <v>404</v>
      </c>
      <c r="D485" s="1948"/>
      <c r="E485" s="1949"/>
      <c r="F485" s="1950"/>
      <c r="G485" s="1948"/>
      <c r="H485" s="1949"/>
      <c r="I485" s="1951"/>
      <c r="J485" s="1948"/>
      <c r="K485" s="1950"/>
      <c r="L485" s="1951"/>
      <c r="M485" s="1948"/>
      <c r="N485" s="1962"/>
      <c r="O485" s="1948"/>
      <c r="P485" s="1948"/>
      <c r="Q485" s="1950"/>
      <c r="R485" s="1951"/>
      <c r="S485" s="1954"/>
      <c r="T485" s="1948"/>
      <c r="U485" s="1948"/>
      <c r="V485" s="1954"/>
      <c r="W485" s="1948"/>
      <c r="X485" s="1954"/>
      <c r="Y485" s="1948"/>
      <c r="Z485" s="1962"/>
      <c r="AA485" s="1948"/>
      <c r="AB485" s="1948"/>
      <c r="AC485" s="1948"/>
      <c r="AD485" s="1948"/>
      <c r="AE485" s="1169"/>
      <c r="AF485" s="1169" t="s">
        <v>614</v>
      </c>
      <c r="AG485" s="1169"/>
      <c r="AH485" s="1594"/>
      <c r="AI485" s="2846"/>
      <c r="AJ485" s="1256"/>
      <c r="AK485" s="1285"/>
      <c r="AL485" s="2239"/>
      <c r="AM485" s="1531"/>
      <c r="AN485" s="1273"/>
      <c r="AO485" s="2212"/>
      <c r="AP485" s="1438"/>
      <c r="AQ485" s="778"/>
      <c r="AR485" s="2217"/>
      <c r="AS485" s="1640"/>
      <c r="AT485" s="1210"/>
      <c r="AU485" s="2248"/>
      <c r="AV485" s="1537"/>
      <c r="AW485" s="1772"/>
      <c r="AX485" s="2840"/>
      <c r="AY485" s="684"/>
      <c r="AZ485" s="1280"/>
      <c r="BA485" s="2214"/>
      <c r="BB485" s="1609"/>
      <c r="BC485" s="664"/>
      <c r="BD485" s="2167"/>
      <c r="BE485" s="908"/>
      <c r="BF485" s="1794"/>
      <c r="BG485" s="2157"/>
      <c r="BH485" s="1401"/>
      <c r="BI485" s="1556"/>
      <c r="BJ485" s="1774"/>
      <c r="BK485" s="1587"/>
      <c r="BL485" s="1576"/>
      <c r="BM485" s="1431"/>
      <c r="BN485" s="1630"/>
      <c r="BO485" s="1107"/>
      <c r="BP485" s="1107"/>
      <c r="BQ485" s="1195"/>
      <c r="BR485" s="1614"/>
      <c r="BS485" s="182"/>
      <c r="BT485" s="182"/>
      <c r="BU485" s="1783"/>
      <c r="BV485" s="1107"/>
      <c r="BW485" s="1107"/>
      <c r="BX485" s="1195"/>
      <c r="BY485" s="1614"/>
      <c r="BZ485" s="183"/>
      <c r="CA485" s="2259"/>
      <c r="CB485" s="1784"/>
      <c r="CC485" s="184"/>
      <c r="CD485" s="2122"/>
      <c r="CE485" s="1785"/>
    </row>
    <row r="486" spans="1:83" ht="23.1" customHeight="1" x14ac:dyDescent="0.4">
      <c r="A486" s="249"/>
      <c r="B486" s="249"/>
      <c r="C486" s="584" t="s">
        <v>307</v>
      </c>
      <c r="D486" s="1948"/>
      <c r="E486" s="1949"/>
      <c r="F486" s="1950"/>
      <c r="G486" s="1948"/>
      <c r="H486" s="1949"/>
      <c r="I486" s="1951"/>
      <c r="J486" s="1948"/>
      <c r="K486" s="1950"/>
      <c r="L486" s="1951"/>
      <c r="M486" s="1948"/>
      <c r="N486" s="1962"/>
      <c r="O486" s="1948"/>
      <c r="P486" s="1948"/>
      <c r="Q486" s="1950"/>
      <c r="R486" s="1951"/>
      <c r="S486" s="1954"/>
      <c r="T486" s="1948"/>
      <c r="U486" s="1948"/>
      <c r="V486" s="1954"/>
      <c r="W486" s="1948"/>
      <c r="X486" s="1954"/>
      <c r="Y486" s="1948"/>
      <c r="Z486" s="1962"/>
      <c r="AA486" s="1948"/>
      <c r="AB486" s="1948"/>
      <c r="AC486" s="1948"/>
      <c r="AD486" s="1948"/>
      <c r="AE486" s="2252"/>
      <c r="AF486" s="1158" t="s">
        <v>549</v>
      </c>
      <c r="AG486" s="2050"/>
      <c r="AH486" s="1594"/>
      <c r="AI486" s="2846"/>
      <c r="AJ486" s="1256"/>
      <c r="AK486" s="1285"/>
      <c r="AL486" s="2239"/>
      <c r="AM486" s="1531"/>
      <c r="AN486" s="1273"/>
      <c r="AO486" s="2212"/>
      <c r="AP486" s="1438"/>
      <c r="AQ486" s="778"/>
      <c r="AR486" s="2247"/>
      <c r="AS486" s="1640"/>
      <c r="AT486" s="1210"/>
      <c r="AU486" s="1627"/>
      <c r="AV486" s="1537"/>
      <c r="AW486" s="1772"/>
      <c r="AX486" s="2840"/>
      <c r="AY486" s="684"/>
      <c r="AZ486" s="1280"/>
      <c r="BA486" s="2214"/>
      <c r="BB486" s="1609"/>
      <c r="BC486" s="664"/>
      <c r="BD486" s="1374"/>
      <c r="BE486" s="908"/>
      <c r="BF486" s="1794"/>
      <c r="BG486" s="2157"/>
      <c r="BH486" s="1401"/>
      <c r="BI486" s="1556"/>
      <c r="BJ486" s="1774"/>
      <c r="BK486" s="1587"/>
      <c r="BL486" s="1576"/>
      <c r="BM486" s="2262"/>
      <c r="BN486" s="1630"/>
      <c r="BO486" s="1107"/>
      <c r="BP486" s="1107"/>
      <c r="BQ486" s="1195"/>
      <c r="BR486" s="1614"/>
      <c r="BS486" s="182"/>
      <c r="BT486" s="182"/>
      <c r="BU486" s="1783"/>
      <c r="BV486" s="1107"/>
      <c r="BW486" s="1107"/>
      <c r="BX486" s="1195"/>
      <c r="BY486" s="1614"/>
      <c r="BZ486" s="183"/>
      <c r="CA486" s="2259"/>
      <c r="CB486" s="1784"/>
      <c r="CC486" s="184"/>
      <c r="CD486" s="2122"/>
      <c r="CE486" s="1785"/>
    </row>
    <row r="487" spans="1:83" ht="15" customHeight="1" x14ac:dyDescent="0.4">
      <c r="A487" s="249"/>
      <c r="B487" s="249"/>
      <c r="C487" s="584" t="s">
        <v>307</v>
      </c>
      <c r="D487" s="1948"/>
      <c r="E487" s="1949"/>
      <c r="F487" s="1950"/>
      <c r="G487" s="1948"/>
      <c r="H487" s="1949"/>
      <c r="I487" s="1951"/>
      <c r="J487" s="1948"/>
      <c r="K487" s="1950"/>
      <c r="L487" s="1951"/>
      <c r="M487" s="1948"/>
      <c r="N487" s="1962"/>
      <c r="O487" s="1948"/>
      <c r="P487" s="1948"/>
      <c r="Q487" s="1950"/>
      <c r="R487" s="1951"/>
      <c r="S487" s="1954"/>
      <c r="T487" s="1948"/>
      <c r="U487" s="1948"/>
      <c r="V487" s="1954"/>
      <c r="W487" s="1948"/>
      <c r="X487" s="1954"/>
      <c r="Y487" s="1948"/>
      <c r="Z487" s="1962"/>
      <c r="AA487" s="1948"/>
      <c r="AB487" s="1948"/>
      <c r="AC487" s="1948"/>
      <c r="AD487" s="1948"/>
      <c r="AE487" s="1157"/>
      <c r="AF487" s="1429"/>
      <c r="AG487" s="1157"/>
      <c r="AH487" s="1160"/>
      <c r="AI487" s="2846"/>
      <c r="AJ487" s="1160"/>
      <c r="AK487" s="1285"/>
      <c r="AL487" s="2131"/>
      <c r="AM487" s="1285"/>
      <c r="AN487" s="1273"/>
      <c r="AO487" s="2212"/>
      <c r="AP487" s="1273"/>
      <c r="AQ487" s="778"/>
      <c r="AR487" s="2247"/>
      <c r="AS487" s="1640"/>
      <c r="AT487" s="2233"/>
      <c r="AU487" s="1627"/>
      <c r="AV487" s="1210"/>
      <c r="AW487" s="684"/>
      <c r="AX487" s="2840"/>
      <c r="AY487" s="684"/>
      <c r="AZ487" s="1553"/>
      <c r="BA487" s="2214"/>
      <c r="BB487" s="1280"/>
      <c r="BC487" s="687"/>
      <c r="BD487" s="967"/>
      <c r="BE487" s="687"/>
      <c r="BF487" s="1794"/>
      <c r="BG487" s="1794"/>
      <c r="BH487" s="1794"/>
      <c r="BI487" s="1542"/>
      <c r="BJ487" s="1774"/>
      <c r="BK487" s="1543"/>
      <c r="BL487" s="1168"/>
      <c r="BM487" s="2243"/>
      <c r="BN487" s="1168"/>
      <c r="BO487" s="1107"/>
      <c r="BP487" s="1107"/>
      <c r="BQ487" s="1195"/>
      <c r="BR487" s="1614"/>
      <c r="BS487" s="182"/>
      <c r="BT487" s="182"/>
      <c r="BU487" s="1783"/>
      <c r="BV487" s="1107"/>
      <c r="BW487" s="1107"/>
      <c r="BX487" s="1195"/>
      <c r="BY487" s="1614"/>
      <c r="BZ487" s="183"/>
      <c r="CA487" s="2259"/>
      <c r="CB487" s="1784"/>
      <c r="CC487" s="184"/>
      <c r="CD487" s="2122"/>
      <c r="CE487" s="1785"/>
    </row>
    <row r="488" spans="1:83" ht="15" customHeight="1" x14ac:dyDescent="0.4">
      <c r="A488" s="249"/>
      <c r="B488" s="249"/>
      <c r="C488" s="584">
        <v>0.85763888888888895</v>
      </c>
      <c r="D488" s="1948"/>
      <c r="E488" s="1949"/>
      <c r="F488" s="1950"/>
      <c r="G488" s="1948"/>
      <c r="H488" s="1949"/>
      <c r="I488" s="1951"/>
      <c r="J488" s="1948"/>
      <c r="K488" s="1950"/>
      <c r="L488" s="1951"/>
      <c r="M488" s="1948"/>
      <c r="N488" s="1962"/>
      <c r="O488" s="1948"/>
      <c r="P488" s="1948"/>
      <c r="Q488" s="1950"/>
      <c r="R488" s="1951"/>
      <c r="S488" s="1954"/>
      <c r="T488" s="1948"/>
      <c r="U488" s="1948"/>
      <c r="V488" s="1954"/>
      <c r="W488" s="1948"/>
      <c r="X488" s="1954"/>
      <c r="Y488" s="1948"/>
      <c r="Z488" s="1962"/>
      <c r="AA488" s="1948"/>
      <c r="AB488" s="1962"/>
      <c r="AC488" s="1962"/>
      <c r="AD488" s="1962"/>
      <c r="AE488" s="1036"/>
      <c r="AF488" s="2263"/>
      <c r="AG488" s="1157"/>
      <c r="AH488" s="1160"/>
      <c r="AI488" s="2846"/>
      <c r="AJ488" s="1160"/>
      <c r="AK488" s="1765"/>
      <c r="AL488" s="2264"/>
      <c r="AM488" s="1285"/>
      <c r="AN488" s="1273"/>
      <c r="AO488" s="2212"/>
      <c r="AP488" s="1273"/>
      <c r="AQ488" s="778"/>
      <c r="AR488" s="2247"/>
      <c r="AS488" s="1640"/>
      <c r="AT488" s="2233"/>
      <c r="AU488" s="1627"/>
      <c r="AV488" s="1210"/>
      <c r="AW488" s="684"/>
      <c r="AX488" s="2840"/>
      <c r="AY488" s="684"/>
      <c r="AZ488" s="1553"/>
      <c r="BA488" s="2214"/>
      <c r="BB488" s="1280"/>
      <c r="BC488" s="687"/>
      <c r="BD488" s="967"/>
      <c r="BE488" s="687"/>
      <c r="BF488" s="1794"/>
      <c r="BG488" s="1978"/>
      <c r="BH488" s="1883"/>
      <c r="BI488" s="1542"/>
      <c r="BJ488" s="1774"/>
      <c r="BK488" s="1543"/>
      <c r="BL488" s="1168"/>
      <c r="BM488" s="1431"/>
      <c r="BN488" s="1168"/>
      <c r="BO488" s="1107"/>
      <c r="BP488" s="1580"/>
      <c r="BQ488" s="1195"/>
      <c r="BR488" s="1614"/>
      <c r="BS488" s="2119"/>
      <c r="BT488" s="182"/>
      <c r="BU488" s="1783"/>
      <c r="BV488" s="1107"/>
      <c r="BW488" s="1580"/>
      <c r="BX488" s="1195"/>
      <c r="BY488" s="1614"/>
      <c r="BZ488" s="1893"/>
      <c r="CA488" s="2259"/>
      <c r="CB488" s="1784"/>
      <c r="CC488" s="2120"/>
      <c r="CD488" s="2122"/>
      <c r="CE488" s="1785"/>
    </row>
    <row r="489" spans="1:83" ht="13.5" customHeight="1" x14ac:dyDescent="0.4">
      <c r="A489" s="249"/>
      <c r="B489" s="249"/>
      <c r="C489" s="584" t="s">
        <v>307</v>
      </c>
      <c r="D489" s="1948"/>
      <c r="E489" s="1949"/>
      <c r="F489" s="1950"/>
      <c r="G489" s="1948"/>
      <c r="H489" s="1949"/>
      <c r="I489" s="1951"/>
      <c r="J489" s="1948"/>
      <c r="K489" s="1950"/>
      <c r="L489" s="1951"/>
      <c r="M489" s="1948"/>
      <c r="N489" s="1962"/>
      <c r="O489" s="1948"/>
      <c r="P489" s="1948"/>
      <c r="Q489" s="1950"/>
      <c r="R489" s="1951"/>
      <c r="S489" s="1954"/>
      <c r="T489" s="1948"/>
      <c r="U489" s="1948"/>
      <c r="V489" s="1954"/>
      <c r="W489" s="1948"/>
      <c r="X489" s="1954"/>
      <c r="Y489" s="1948"/>
      <c r="Z489" s="1962"/>
      <c r="AA489" s="1948"/>
      <c r="AB489" s="1962"/>
      <c r="AC489" s="1962"/>
      <c r="AD489" s="1962"/>
      <c r="AE489" s="1036"/>
      <c r="AF489" s="2263"/>
      <c r="AG489" s="1157"/>
      <c r="AH489" s="1160"/>
      <c r="AI489" s="2846"/>
      <c r="AJ489" s="1160"/>
      <c r="AK489" s="1765"/>
      <c r="AL489" s="2265"/>
      <c r="AM489" s="1285"/>
      <c r="AN489" s="1273"/>
      <c r="AO489" s="2212"/>
      <c r="AP489" s="1273"/>
      <c r="AQ489" s="778"/>
      <c r="AR489" s="2247"/>
      <c r="AS489" s="1640"/>
      <c r="AT489" s="2233"/>
      <c r="AU489" s="1627"/>
      <c r="AV489" s="1210"/>
      <c r="AW489" s="684"/>
      <c r="AX489" s="2840"/>
      <c r="AY489" s="684"/>
      <c r="AZ489" s="1553"/>
      <c r="BA489" s="2214"/>
      <c r="BB489" s="1280"/>
      <c r="BC489" s="687"/>
      <c r="BD489" s="967"/>
      <c r="BE489" s="687"/>
      <c r="BF489" s="1794"/>
      <c r="BG489" s="2157"/>
      <c r="BH489" s="1401"/>
      <c r="BI489" s="1542"/>
      <c r="BJ489" s="1774"/>
      <c r="BK489" s="1543"/>
      <c r="BL489" s="1168"/>
      <c r="BM489" s="1428"/>
      <c r="BN489" s="1168"/>
      <c r="BO489" s="1107"/>
      <c r="BP489" s="1580"/>
      <c r="BQ489" s="2244"/>
      <c r="BR489" s="1614"/>
      <c r="BS489" s="2119"/>
      <c r="BT489" s="182"/>
      <c r="BU489" s="1783"/>
      <c r="BV489" s="1107"/>
      <c r="BW489" s="1580"/>
      <c r="BX489" s="2244"/>
      <c r="BY489" s="1614"/>
      <c r="BZ489" s="1893"/>
      <c r="CA489" s="2259"/>
      <c r="CB489" s="1784"/>
      <c r="CC489" s="2120"/>
      <c r="CD489" s="2122"/>
      <c r="CE489" s="1785"/>
    </row>
    <row r="490" spans="1:83" ht="15" customHeight="1" x14ac:dyDescent="0.4">
      <c r="A490" s="249"/>
      <c r="B490" s="249"/>
      <c r="C490" s="584" t="s">
        <v>307</v>
      </c>
      <c r="D490" s="1948"/>
      <c r="E490" s="1949"/>
      <c r="F490" s="1950"/>
      <c r="G490" s="1948"/>
      <c r="H490" s="1949"/>
      <c r="I490" s="1951"/>
      <c r="J490" s="1948"/>
      <c r="K490" s="1950"/>
      <c r="L490" s="1951"/>
      <c r="M490" s="1948"/>
      <c r="N490" s="1962"/>
      <c r="O490" s="1948"/>
      <c r="P490" s="1948"/>
      <c r="Q490" s="1950"/>
      <c r="R490" s="1951"/>
      <c r="S490" s="1954"/>
      <c r="T490" s="1948"/>
      <c r="U490" s="1948"/>
      <c r="V490" s="1954"/>
      <c r="W490" s="1948"/>
      <c r="X490" s="1954"/>
      <c r="Y490" s="1948"/>
      <c r="Z490" s="1962"/>
      <c r="AA490" s="1948"/>
      <c r="AB490" s="1962"/>
      <c r="AC490" s="1962"/>
      <c r="AD490" s="1962"/>
      <c r="AE490" s="1036"/>
      <c r="AF490" s="2263"/>
      <c r="AG490" s="2050"/>
      <c r="AH490" s="1160"/>
      <c r="AI490" s="2846"/>
      <c r="AJ490" s="1160"/>
      <c r="AK490" s="1765"/>
      <c r="AL490" s="2265"/>
      <c r="AM490" s="1285"/>
      <c r="AN490" s="1273"/>
      <c r="AO490" s="2212"/>
      <c r="AP490" s="1273"/>
      <c r="AQ490" s="778"/>
      <c r="AR490" s="2247"/>
      <c r="AS490" s="1640"/>
      <c r="AT490" s="2233"/>
      <c r="AU490" s="1627"/>
      <c r="AV490" s="1210"/>
      <c r="AW490" s="684"/>
      <c r="AX490" s="2840"/>
      <c r="AY490" s="684"/>
      <c r="AZ490" s="1553"/>
      <c r="BA490" s="2214"/>
      <c r="BB490" s="1280"/>
      <c r="BC490" s="687"/>
      <c r="BD490" s="967"/>
      <c r="BE490" s="687"/>
      <c r="BF490" s="1794"/>
      <c r="BG490" s="2157"/>
      <c r="BH490" s="1401"/>
      <c r="BI490" s="1542"/>
      <c r="BJ490" s="1774"/>
      <c r="BK490" s="1543"/>
      <c r="BL490" s="1168"/>
      <c r="BM490" s="1428"/>
      <c r="BN490" s="1168"/>
      <c r="BO490" s="1107"/>
      <c r="BP490" s="1580"/>
      <c r="BQ490" s="2244"/>
      <c r="BR490" s="1614"/>
      <c r="BS490" s="2119"/>
      <c r="BT490" s="182"/>
      <c r="BU490" s="1783"/>
      <c r="BV490" s="1107"/>
      <c r="BW490" s="1580"/>
      <c r="BX490" s="2244"/>
      <c r="BY490" s="1614"/>
      <c r="BZ490" s="1893"/>
      <c r="CA490" s="2259"/>
      <c r="CB490" s="1784"/>
      <c r="CC490" s="2120"/>
      <c r="CD490" s="2122"/>
      <c r="CE490" s="1785"/>
    </row>
    <row r="491" spans="1:83" ht="21.6" customHeight="1" x14ac:dyDescent="0.4">
      <c r="A491" s="249"/>
      <c r="B491" s="249"/>
      <c r="C491" s="584">
        <v>0.86111111111111105</v>
      </c>
      <c r="D491" s="1948"/>
      <c r="E491" s="1949"/>
      <c r="F491" s="1950"/>
      <c r="G491" s="1948"/>
      <c r="H491" s="1949"/>
      <c r="I491" s="1951"/>
      <c r="J491" s="1948"/>
      <c r="K491" s="1950"/>
      <c r="L491" s="1951"/>
      <c r="M491" s="1948"/>
      <c r="N491" s="1962"/>
      <c r="O491" s="1948"/>
      <c r="P491" s="1948"/>
      <c r="Q491" s="1950"/>
      <c r="R491" s="1951"/>
      <c r="S491" s="1954"/>
      <c r="T491" s="1948"/>
      <c r="U491" s="1948"/>
      <c r="V491" s="1954"/>
      <c r="W491" s="1948"/>
      <c r="X491" s="1954"/>
      <c r="Y491" s="1948"/>
      <c r="Z491" s="1962"/>
      <c r="AA491" s="1948"/>
      <c r="AB491" s="1948"/>
      <c r="AC491" s="1948"/>
      <c r="AD491" s="1948"/>
      <c r="AE491" s="1157"/>
      <c r="AF491" s="2266"/>
      <c r="AG491" s="1385"/>
      <c r="AH491" s="1160"/>
      <c r="AI491" s="2846"/>
      <c r="AJ491" s="1160"/>
      <c r="AK491" s="1765"/>
      <c r="AL491" s="2265"/>
      <c r="AM491" s="1531"/>
      <c r="AN491" s="1273"/>
      <c r="AO491" s="2212"/>
      <c r="AP491" s="1273"/>
      <c r="AQ491" s="778"/>
      <c r="AR491" s="2247"/>
      <c r="AS491" s="1640"/>
      <c r="AT491" s="1210"/>
      <c r="AU491" s="1627"/>
      <c r="AV491" s="1210"/>
      <c r="AW491" s="684"/>
      <c r="AX491" s="2840"/>
      <c r="AY491" s="684"/>
      <c r="AZ491" s="1280"/>
      <c r="BA491" s="2214"/>
      <c r="BB491" s="1280"/>
      <c r="BC491" s="687"/>
      <c r="BD491" s="967"/>
      <c r="BE491" s="687"/>
      <c r="BF491" s="1794"/>
      <c r="BG491" s="1794"/>
      <c r="BH491" s="1794"/>
      <c r="BI491" s="1556"/>
      <c r="BJ491" s="1789"/>
      <c r="BK491" s="1543"/>
      <c r="BL491" s="1168"/>
      <c r="BM491" s="2267"/>
      <c r="BN491" s="1168"/>
      <c r="BO491" s="1107"/>
      <c r="BP491" s="1580"/>
      <c r="BQ491" s="1579"/>
      <c r="BR491" s="1614"/>
      <c r="BS491" s="2119"/>
      <c r="BT491" s="182"/>
      <c r="BU491" s="1783"/>
      <c r="BV491" s="1107"/>
      <c r="BW491" s="1580"/>
      <c r="BX491" s="1579"/>
      <c r="BY491" s="1614"/>
      <c r="BZ491" s="1893"/>
      <c r="CA491" s="2259"/>
      <c r="CB491" s="1784"/>
      <c r="CC491" s="2120"/>
      <c r="CD491" s="2122"/>
      <c r="CE491" s="1785"/>
    </row>
    <row r="492" spans="1:83" ht="22.5" customHeight="1" x14ac:dyDescent="0.4">
      <c r="A492" s="249"/>
      <c r="B492" s="249"/>
      <c r="C492" s="584">
        <v>0.86458333333333304</v>
      </c>
      <c r="D492" s="1948"/>
      <c r="E492" s="1949"/>
      <c r="F492" s="1950"/>
      <c r="G492" s="1948"/>
      <c r="H492" s="1949"/>
      <c r="I492" s="1951"/>
      <c r="J492" s="1948"/>
      <c r="K492" s="1950"/>
      <c r="L492" s="1951"/>
      <c r="M492" s="1948"/>
      <c r="N492" s="1962"/>
      <c r="O492" s="1948"/>
      <c r="P492" s="1948"/>
      <c r="Q492" s="1950"/>
      <c r="R492" s="1951"/>
      <c r="S492" s="1954"/>
      <c r="T492" s="1948"/>
      <c r="U492" s="1948"/>
      <c r="V492" s="1954"/>
      <c r="W492" s="1948"/>
      <c r="X492" s="1954"/>
      <c r="Y492" s="1948"/>
      <c r="Z492" s="1962"/>
      <c r="AA492" s="1948"/>
      <c r="AB492" s="1948"/>
      <c r="AC492" s="1948"/>
      <c r="AD492" s="1948"/>
      <c r="AE492" s="1157"/>
      <c r="AF492" s="1385" t="s">
        <v>356</v>
      </c>
      <c r="AG492" s="1157"/>
      <c r="AH492" s="1160"/>
      <c r="AI492" s="2846"/>
      <c r="AJ492" s="1160"/>
      <c r="AK492" s="2806"/>
      <c r="AL492" s="1530"/>
      <c r="AM492" s="1531"/>
      <c r="AN492" s="1273"/>
      <c r="AO492" s="2212"/>
      <c r="AP492" s="1273"/>
      <c r="AQ492" s="778"/>
      <c r="AR492" s="2247"/>
      <c r="AS492" s="1640"/>
      <c r="AT492" s="2268"/>
      <c r="AU492" s="2269"/>
      <c r="AV492" s="1537"/>
      <c r="AW492" s="1607"/>
      <c r="AX492" s="2840"/>
      <c r="AY492" s="1022"/>
      <c r="AZ492" s="1280"/>
      <c r="BA492" s="2214"/>
      <c r="BB492" s="1280"/>
      <c r="BC492" s="1430"/>
      <c r="BD492" s="1430" t="s">
        <v>336</v>
      </c>
      <c r="BE492" s="1430"/>
      <c r="BF492" s="1794"/>
      <c r="BG492" s="2157" t="s">
        <v>533</v>
      </c>
      <c r="BH492" s="1883"/>
      <c r="BI492" s="2176"/>
      <c r="BJ492" s="1871" t="s">
        <v>366</v>
      </c>
      <c r="BK492" s="1543"/>
      <c r="BL492" s="1168"/>
      <c r="BM492" s="1403"/>
      <c r="BN492" s="1168"/>
      <c r="BO492" s="1107"/>
      <c r="BP492" s="1404"/>
      <c r="BQ492" s="1107"/>
      <c r="BR492" s="1779"/>
      <c r="BS492" s="2236"/>
      <c r="BT492" s="1733"/>
      <c r="BU492" s="2236"/>
      <c r="BV492" s="1107"/>
      <c r="BW492" s="1404"/>
      <c r="BX492" s="1107"/>
      <c r="BY492" s="1779"/>
      <c r="BZ492" s="2237"/>
      <c r="CA492" s="183"/>
      <c r="CB492" s="2237"/>
      <c r="CC492" s="2238"/>
      <c r="CD492" s="184"/>
      <c r="CE492" s="2238"/>
    </row>
    <row r="493" spans="1:83" ht="23.1" customHeight="1" x14ac:dyDescent="0.4">
      <c r="A493" s="249"/>
      <c r="B493" s="249"/>
      <c r="C493" s="584" t="s">
        <v>307</v>
      </c>
      <c r="D493" s="1948"/>
      <c r="E493" s="1949"/>
      <c r="F493" s="1950"/>
      <c r="G493" s="1948"/>
      <c r="H493" s="1949"/>
      <c r="I493" s="1951"/>
      <c r="J493" s="1948"/>
      <c r="K493" s="1950"/>
      <c r="L493" s="1951"/>
      <c r="M493" s="1948"/>
      <c r="N493" s="1962"/>
      <c r="O493" s="1948"/>
      <c r="P493" s="1948"/>
      <c r="Q493" s="1950"/>
      <c r="R493" s="1951"/>
      <c r="S493" s="1954"/>
      <c r="T493" s="1948"/>
      <c r="U493" s="1948"/>
      <c r="V493" s="1954"/>
      <c r="W493" s="1948"/>
      <c r="X493" s="1954"/>
      <c r="Y493" s="1948"/>
      <c r="Z493" s="1962"/>
      <c r="AA493" s="1948"/>
      <c r="AB493" s="1948"/>
      <c r="AC493" s="1948"/>
      <c r="AD493" s="1948"/>
      <c r="AE493" s="1967"/>
      <c r="AF493" s="1385"/>
      <c r="AG493" s="1624"/>
      <c r="AH493" s="1160"/>
      <c r="AI493" s="2846"/>
      <c r="AJ493" s="1160"/>
      <c r="AK493" s="1200"/>
      <c r="AL493" s="2131"/>
      <c r="AM493" s="1969"/>
      <c r="AN493" s="1273"/>
      <c r="AO493" s="2212"/>
      <c r="AP493" s="1273"/>
      <c r="AQ493" s="778"/>
      <c r="AR493" s="2247"/>
      <c r="AS493" s="1640"/>
      <c r="AT493" s="1210"/>
      <c r="AU493" s="2269"/>
      <c r="AV493" s="1210"/>
      <c r="AW493" s="1395"/>
      <c r="AX493" s="2840"/>
      <c r="AY493" s="1395"/>
      <c r="AZ493" s="1280"/>
      <c r="BA493" s="2214"/>
      <c r="BB493" s="1280"/>
      <c r="BC493" s="687"/>
      <c r="BD493" s="2270" t="s">
        <v>447</v>
      </c>
      <c r="BE493" s="687"/>
      <c r="BF493" s="1794"/>
      <c r="BG493" s="2157" t="s">
        <v>384</v>
      </c>
      <c r="BH493" s="1401"/>
      <c r="BI493" s="1556"/>
      <c r="BJ493" s="1871" t="s">
        <v>334</v>
      </c>
      <c r="BK493" s="1543"/>
      <c r="BL493" s="2215"/>
      <c r="BM493" s="1562" t="s">
        <v>334</v>
      </c>
      <c r="BN493" s="1168"/>
      <c r="BO493" s="1107"/>
      <c r="BP493" s="1580"/>
      <c r="BQ493" s="1622"/>
      <c r="BR493" s="1614"/>
      <c r="BS493" s="2119"/>
      <c r="BT493" s="182"/>
      <c r="BU493" s="1783"/>
      <c r="BV493" s="1107"/>
      <c r="BW493" s="1580"/>
      <c r="BX493" s="1622"/>
      <c r="BY493" s="1614"/>
      <c r="BZ493" s="1893"/>
      <c r="CA493" s="1736"/>
      <c r="CB493" s="1784"/>
      <c r="CC493" s="2120"/>
      <c r="CD493" s="1739"/>
      <c r="CE493" s="1785"/>
    </row>
    <row r="494" spans="1:83" ht="21.6" customHeight="1" x14ac:dyDescent="0.4">
      <c r="A494" s="249"/>
      <c r="B494" s="249"/>
      <c r="C494" s="584" t="s">
        <v>307</v>
      </c>
      <c r="D494" s="1948"/>
      <c r="E494" s="1949"/>
      <c r="F494" s="1950"/>
      <c r="G494" s="1948"/>
      <c r="H494" s="1949"/>
      <c r="I494" s="1951"/>
      <c r="J494" s="1948"/>
      <c r="K494" s="1950"/>
      <c r="L494" s="1951"/>
      <c r="M494" s="1948"/>
      <c r="N494" s="1962"/>
      <c r="O494" s="1948"/>
      <c r="P494" s="1948"/>
      <c r="Q494" s="1950"/>
      <c r="R494" s="1951"/>
      <c r="S494" s="1954"/>
      <c r="T494" s="1948"/>
      <c r="U494" s="1948"/>
      <c r="V494" s="1954"/>
      <c r="W494" s="1948"/>
      <c r="X494" s="1954"/>
      <c r="Y494" s="1948"/>
      <c r="Z494" s="1962"/>
      <c r="AA494" s="1948"/>
      <c r="AB494" s="1948"/>
      <c r="AC494" s="1948"/>
      <c r="AD494" s="1948"/>
      <c r="AE494" s="1385"/>
      <c r="AF494" s="2271"/>
      <c r="AG494" s="1385"/>
      <c r="AH494" s="1160"/>
      <c r="AI494" s="2846"/>
      <c r="AJ494" s="1160"/>
      <c r="AK494" s="2806"/>
      <c r="AL494" s="2131"/>
      <c r="AM494" s="1531"/>
      <c r="AN494" s="1273"/>
      <c r="AO494" s="2212"/>
      <c r="AP494" s="1273"/>
      <c r="AQ494" s="778"/>
      <c r="AR494" s="2272"/>
      <c r="AS494" s="1640"/>
      <c r="AT494" s="1210"/>
      <c r="AU494" s="2269"/>
      <c r="AV494" s="1210"/>
      <c r="AW494" s="1395"/>
      <c r="AX494" s="2840"/>
      <c r="AY494" s="1395"/>
      <c r="AZ494" s="1280"/>
      <c r="BA494" s="2214"/>
      <c r="BB494" s="1280"/>
      <c r="BC494" s="687"/>
      <c r="BD494" s="2270"/>
      <c r="BE494" s="687"/>
      <c r="BF494" s="1794"/>
      <c r="BG494" s="1978" t="s">
        <v>410</v>
      </c>
      <c r="BH494" s="1401"/>
      <c r="BI494" s="2273"/>
      <c r="BJ494" s="2274"/>
      <c r="BK494" s="2273"/>
      <c r="BL494" s="1168"/>
      <c r="BM494" s="2243"/>
      <c r="BN494" s="1168"/>
      <c r="BO494" s="1107"/>
      <c r="BP494" s="1580"/>
      <c r="BQ494" s="2130"/>
      <c r="BR494" s="1614"/>
      <c r="BS494" s="2119"/>
      <c r="BT494" s="182"/>
      <c r="BU494" s="1783"/>
      <c r="BV494" s="1107"/>
      <c r="BW494" s="1580"/>
      <c r="BX494" s="2130"/>
      <c r="BY494" s="1614"/>
      <c r="BZ494" s="1893"/>
      <c r="CA494" s="1893"/>
      <c r="CB494" s="1784"/>
      <c r="CC494" s="2120"/>
      <c r="CD494" s="2120"/>
      <c r="CE494" s="1785"/>
    </row>
    <row r="495" spans="1:83" ht="20.85" customHeight="1" x14ac:dyDescent="0.4">
      <c r="A495" s="249"/>
      <c r="B495" s="249"/>
      <c r="C495" s="584">
        <v>0.86805555555555503</v>
      </c>
      <c r="D495" s="1948"/>
      <c r="E495" s="1949"/>
      <c r="F495" s="1950"/>
      <c r="G495" s="1948"/>
      <c r="H495" s="1949"/>
      <c r="I495" s="1951"/>
      <c r="J495" s="1948"/>
      <c r="K495" s="1950"/>
      <c r="L495" s="1951"/>
      <c r="M495" s="1948"/>
      <c r="N495" s="1962"/>
      <c r="O495" s="1948"/>
      <c r="P495" s="1948"/>
      <c r="Q495" s="1950"/>
      <c r="R495" s="1951"/>
      <c r="S495" s="1954"/>
      <c r="T495" s="1948"/>
      <c r="U495" s="1948"/>
      <c r="V495" s="1954"/>
      <c r="W495" s="1948"/>
      <c r="X495" s="1954"/>
      <c r="Y495" s="1948"/>
      <c r="Z495" s="1962"/>
      <c r="AA495" s="1948"/>
      <c r="AB495" s="1948"/>
      <c r="AC495" s="1948"/>
      <c r="AD495" s="1948"/>
      <c r="AE495" s="1385"/>
      <c r="AF495" s="2271"/>
      <c r="AG495" s="1385"/>
      <c r="AH495" s="1160"/>
      <c r="AI495" s="2846"/>
      <c r="AJ495" s="1160"/>
      <c r="AK495" s="1200"/>
      <c r="AL495" s="2553" t="s">
        <v>470</v>
      </c>
      <c r="AM495" s="1285"/>
      <c r="AN495" s="1273"/>
      <c r="AO495" s="2212"/>
      <c r="AP495" s="1273"/>
      <c r="AQ495" s="1134"/>
      <c r="AR495" s="2272"/>
      <c r="AS495" s="778"/>
      <c r="AT495" s="1210"/>
      <c r="AU495" s="2269"/>
      <c r="AV495" s="1210"/>
      <c r="AW495" s="1395"/>
      <c r="AX495" s="2840"/>
      <c r="AY495" s="1395"/>
      <c r="AZ495" s="1280"/>
      <c r="BA495" s="2214"/>
      <c r="BB495" s="1280"/>
      <c r="BC495" s="687"/>
      <c r="BD495" s="1374"/>
      <c r="BE495" s="687"/>
      <c r="BF495" s="1794"/>
      <c r="BG495" s="1794"/>
      <c r="BH495" s="1794"/>
      <c r="BI495" s="2273"/>
      <c r="BJ495" s="2276" t="s">
        <v>550</v>
      </c>
      <c r="BK495" s="2273"/>
      <c r="BL495" s="1168"/>
      <c r="BM495" s="2878" t="s">
        <v>551</v>
      </c>
      <c r="BN495" s="1168"/>
      <c r="BO495" s="1107"/>
      <c r="BP495" s="1107"/>
      <c r="BQ495" s="2277"/>
      <c r="BR495" s="1614"/>
      <c r="BS495" s="182"/>
      <c r="BT495" s="182"/>
      <c r="BU495" s="1783"/>
      <c r="BV495" s="1107"/>
      <c r="BW495" s="1107"/>
      <c r="BX495" s="2277"/>
      <c r="BY495" s="1614"/>
      <c r="BZ495" s="183"/>
      <c r="CA495" s="2059"/>
      <c r="CB495" s="1784"/>
      <c r="CC495" s="184"/>
      <c r="CD495" s="2278"/>
      <c r="CE495" s="1785"/>
    </row>
    <row r="496" spans="1:83" ht="26.25" customHeight="1" x14ac:dyDescent="0.4">
      <c r="A496" s="249"/>
      <c r="B496" s="249"/>
      <c r="C496" s="802">
        <v>0.87152777777777701</v>
      </c>
      <c r="D496" s="2024"/>
      <c r="E496" s="2025"/>
      <c r="F496" s="2026"/>
      <c r="G496" s="2024"/>
      <c r="H496" s="2025"/>
      <c r="I496" s="2097"/>
      <c r="J496" s="2024"/>
      <c r="K496" s="2026"/>
      <c r="L496" s="2097"/>
      <c r="M496" s="2024"/>
      <c r="N496" s="2028"/>
      <c r="O496" s="2024"/>
      <c r="P496" s="2024"/>
      <c r="Q496" s="2026"/>
      <c r="R496" s="2097"/>
      <c r="S496" s="2027"/>
      <c r="T496" s="2024"/>
      <c r="U496" s="2024"/>
      <c r="V496" s="2027"/>
      <c r="W496" s="2024"/>
      <c r="X496" s="2027"/>
      <c r="Y496" s="2024"/>
      <c r="Z496" s="2028"/>
      <c r="AA496" s="2024"/>
      <c r="AB496" s="2024"/>
      <c r="AC496" s="2024"/>
      <c r="AD496" s="2024"/>
      <c r="AE496" s="1686"/>
      <c r="AF496" s="2279"/>
      <c r="AG496" s="1686"/>
      <c r="AH496" s="1160"/>
      <c r="AI496" s="2847"/>
      <c r="AJ496" s="1160"/>
      <c r="AK496" s="1920"/>
      <c r="AL496" s="2275"/>
      <c r="AM496" s="1688"/>
      <c r="AN496" s="1500"/>
      <c r="AO496" s="2280"/>
      <c r="AP496" s="2281"/>
      <c r="AQ496" s="1834"/>
      <c r="AR496" s="2282"/>
      <c r="AS496" s="1692"/>
      <c r="AT496" s="1505"/>
      <c r="AU496" s="2283"/>
      <c r="AV496" s="1394"/>
      <c r="AW496" s="1395"/>
      <c r="AX496" s="2857"/>
      <c r="AY496" s="1395"/>
      <c r="AZ496" s="2284"/>
      <c r="BA496" s="2285"/>
      <c r="BB496" s="2286"/>
      <c r="BC496" s="687"/>
      <c r="BD496" s="2287"/>
      <c r="BE496" s="687"/>
      <c r="BF496" s="1697"/>
      <c r="BG496" s="2106"/>
      <c r="BH496" s="2288"/>
      <c r="BI496" s="2289"/>
      <c r="BJ496" s="2290"/>
      <c r="BK496" s="2289"/>
      <c r="BL496" s="1168"/>
      <c r="BM496" s="2878"/>
      <c r="BN496" s="1168"/>
      <c r="BO496" s="1702"/>
      <c r="BP496" s="1702"/>
      <c r="BQ496" s="1703"/>
      <c r="BR496" s="1941"/>
      <c r="BS496" s="243"/>
      <c r="BT496" s="243"/>
      <c r="BU496" s="1943"/>
      <c r="BV496" s="1702"/>
      <c r="BW496" s="1702"/>
      <c r="BX496" s="1703"/>
      <c r="BY496" s="1941"/>
      <c r="BZ496" s="245"/>
      <c r="CA496" s="245"/>
      <c r="CB496" s="1945"/>
      <c r="CC496" s="1841"/>
      <c r="CD496" s="1841"/>
      <c r="CE496" s="1947"/>
    </row>
    <row r="497" spans="1:83" ht="34.5" customHeight="1" x14ac:dyDescent="0.4">
      <c r="A497" s="249"/>
      <c r="B497" s="249"/>
      <c r="C497" s="578">
        <v>0.875</v>
      </c>
      <c r="D497" s="1948"/>
      <c r="E497" s="1949"/>
      <c r="F497" s="1950"/>
      <c r="G497" s="1948"/>
      <c r="H497" s="1949"/>
      <c r="I497" s="1951"/>
      <c r="J497" s="1948"/>
      <c r="K497" s="1950"/>
      <c r="L497" s="1951"/>
      <c r="M497" s="1948"/>
      <c r="N497" s="1962"/>
      <c r="O497" s="1948"/>
      <c r="P497" s="1948"/>
      <c r="Q497" s="1950"/>
      <c r="R497" s="1951"/>
      <c r="S497" s="1954"/>
      <c r="T497" s="1948"/>
      <c r="U497" s="1948"/>
      <c r="V497" s="1954"/>
      <c r="W497" s="1948"/>
      <c r="X497" s="1954"/>
      <c r="Y497" s="1948"/>
      <c r="Z497" s="1962"/>
      <c r="AA497" s="1948"/>
      <c r="AB497" s="1948"/>
      <c r="AC497" s="1948"/>
      <c r="AD497" s="1948"/>
      <c r="AE497" s="1967"/>
      <c r="AF497" s="2848" t="s">
        <v>544</v>
      </c>
      <c r="AG497" s="1624"/>
      <c r="AH497" s="1159"/>
      <c r="AI497" s="1139" t="s">
        <v>356</v>
      </c>
      <c r="AJ497" s="1160"/>
      <c r="AK497" s="2806"/>
      <c r="AL497" s="2873" t="s">
        <v>552</v>
      </c>
      <c r="AM497" s="1531"/>
      <c r="AN497" s="1273"/>
      <c r="AO497" s="1273"/>
      <c r="AP497" s="1273"/>
      <c r="AQ497" s="2291"/>
      <c r="AR497" s="2247"/>
      <c r="AS497" s="778"/>
      <c r="AT497" s="1210"/>
      <c r="AU497" s="2861" t="s">
        <v>341</v>
      </c>
      <c r="AV497" s="1537"/>
      <c r="AW497" s="2292"/>
      <c r="AX497" s="2809" t="s">
        <v>553</v>
      </c>
      <c r="AY497" s="2292"/>
      <c r="AZ497" s="1280"/>
      <c r="BA497" s="2867" t="s">
        <v>544</v>
      </c>
      <c r="BB497" s="1280"/>
      <c r="BC497" s="829"/>
      <c r="BD497" s="2853" t="s">
        <v>555</v>
      </c>
      <c r="BE497" s="829"/>
      <c r="BF497" s="1794"/>
      <c r="BG497" s="2157" t="s">
        <v>533</v>
      </c>
      <c r="BH497" s="1883"/>
      <c r="BI497" s="1556"/>
      <c r="BJ497" s="1430" t="s">
        <v>615</v>
      </c>
      <c r="BK497" s="2153"/>
      <c r="BL497" s="2293"/>
      <c r="BM497" s="2294" t="s">
        <v>554</v>
      </c>
      <c r="BN497" s="2293"/>
      <c r="BO497" s="1107"/>
      <c r="BP497" s="1580"/>
      <c r="BQ497" s="1642"/>
      <c r="BR497" s="1614"/>
      <c r="BS497" s="2119"/>
      <c r="BT497" s="182" t="s">
        <v>278</v>
      </c>
      <c r="BU497" s="1783"/>
      <c r="BV497" s="1107"/>
      <c r="BW497" s="1580"/>
      <c r="BX497" s="1642"/>
      <c r="BY497" s="1614"/>
      <c r="BZ497" s="1893"/>
      <c r="CA497" s="2210" t="s">
        <v>278</v>
      </c>
      <c r="CB497" s="1784"/>
      <c r="CC497" s="2120"/>
      <c r="CD497" s="2211"/>
      <c r="CE497" s="1785"/>
    </row>
    <row r="498" spans="1:83" ht="20.100000000000001" customHeight="1" x14ac:dyDescent="0.4">
      <c r="A498" s="249"/>
      <c r="B498" s="249"/>
      <c r="C498" s="584" t="s">
        <v>307</v>
      </c>
      <c r="D498" s="1948"/>
      <c r="E498" s="1949"/>
      <c r="F498" s="1950"/>
      <c r="G498" s="1948"/>
      <c r="H498" s="1949"/>
      <c r="I498" s="1951"/>
      <c r="J498" s="1948"/>
      <c r="K498" s="1950"/>
      <c r="L498" s="1951"/>
      <c r="M498" s="1948"/>
      <c r="N498" s="1962"/>
      <c r="O498" s="1948"/>
      <c r="P498" s="1948"/>
      <c r="Q498" s="1950"/>
      <c r="R498" s="1951"/>
      <c r="S498" s="1954"/>
      <c r="T498" s="1948"/>
      <c r="U498" s="1948"/>
      <c r="V498" s="1954"/>
      <c r="W498" s="1948"/>
      <c r="X498" s="1954"/>
      <c r="Y498" s="1948"/>
      <c r="Z498" s="1962"/>
      <c r="AA498" s="1948"/>
      <c r="AB498" s="1948"/>
      <c r="AC498" s="1948"/>
      <c r="AD498" s="1948"/>
      <c r="AE498" s="1967"/>
      <c r="AF498" s="2846"/>
      <c r="AG498" s="1624"/>
      <c r="AH498" s="1160"/>
      <c r="AI498" s="1139" t="s">
        <v>366</v>
      </c>
      <c r="AJ498" s="1160"/>
      <c r="AK498" s="1200"/>
      <c r="AL498" s="2856"/>
      <c r="AM498" s="1969"/>
      <c r="AN498" s="1273"/>
      <c r="AO498" s="2132"/>
      <c r="AP498" s="1273"/>
      <c r="AQ498" s="2291"/>
      <c r="AR498" s="2247"/>
      <c r="AS498" s="778"/>
      <c r="AT498" s="1210"/>
      <c r="AU498" s="2862"/>
      <c r="AV498" s="1537"/>
      <c r="AW498" s="684"/>
      <c r="AX498" s="2809" t="s">
        <v>616</v>
      </c>
      <c r="AY498" s="684"/>
      <c r="AZ498" s="1280"/>
      <c r="BA498" s="2868"/>
      <c r="BB498" s="1280"/>
      <c r="BC498" s="687"/>
      <c r="BD498" s="2853"/>
      <c r="BE498" s="687"/>
      <c r="BF498" s="1794"/>
      <c r="BG498" s="2157" t="s">
        <v>541</v>
      </c>
      <c r="BH498" s="1401"/>
      <c r="BI498" s="1556"/>
      <c r="BJ498" s="1789" t="s">
        <v>353</v>
      </c>
      <c r="BK498" s="2153"/>
      <c r="BL498" s="1168"/>
      <c r="BM498" s="2295" t="s">
        <v>371</v>
      </c>
      <c r="BN498" s="1168"/>
      <c r="BO498" s="1107"/>
      <c r="BP498" s="1580"/>
      <c r="BQ498" s="1642"/>
      <c r="BR498" s="1614"/>
      <c r="BS498" s="2119"/>
      <c r="BT498" s="182" t="s">
        <v>310</v>
      </c>
      <c r="BU498" s="182"/>
      <c r="BV498" s="1107"/>
      <c r="BW498" s="1580"/>
      <c r="BX498" s="1642"/>
      <c r="BY498" s="1614"/>
      <c r="BZ498" s="2008"/>
      <c r="CA498" s="183" t="s">
        <v>310</v>
      </c>
      <c r="CB498" s="1784"/>
      <c r="CC498" s="2009"/>
      <c r="CD498" s="184"/>
      <c r="CE498" s="1785"/>
    </row>
    <row r="499" spans="1:83" ht="19.350000000000001" customHeight="1" x14ac:dyDescent="0.4">
      <c r="A499" s="249"/>
      <c r="B499" s="249"/>
      <c r="C499" s="584" t="s">
        <v>307</v>
      </c>
      <c r="D499" s="1948"/>
      <c r="E499" s="1949"/>
      <c r="F499" s="1950"/>
      <c r="G499" s="1948"/>
      <c r="H499" s="1949"/>
      <c r="I499" s="1951"/>
      <c r="J499" s="1948"/>
      <c r="K499" s="1950"/>
      <c r="L499" s="1951"/>
      <c r="M499" s="1948"/>
      <c r="N499" s="1962"/>
      <c r="O499" s="1948"/>
      <c r="P499" s="1948"/>
      <c r="Q499" s="1950"/>
      <c r="R499" s="1951"/>
      <c r="S499" s="1954"/>
      <c r="T499" s="1948"/>
      <c r="U499" s="1948"/>
      <c r="V499" s="1954"/>
      <c r="W499" s="1948"/>
      <c r="X499" s="1954"/>
      <c r="Y499" s="1948"/>
      <c r="Z499" s="1962"/>
      <c r="AA499" s="1948"/>
      <c r="AB499" s="1948"/>
      <c r="AC499" s="1948"/>
      <c r="AD499" s="1948"/>
      <c r="AE499" s="1385"/>
      <c r="AF499" s="2846"/>
      <c r="AG499" s="1385"/>
      <c r="AH499" s="1160"/>
      <c r="AI499" s="1159" t="s">
        <v>334</v>
      </c>
      <c r="AJ499" s="1160"/>
      <c r="AK499" s="1200"/>
      <c r="AL499" s="2856"/>
      <c r="AM499" s="1969"/>
      <c r="AN499" s="1273"/>
      <c r="AO499" s="2132"/>
      <c r="AP499" s="1273"/>
      <c r="AQ499" s="2291"/>
      <c r="AR499" s="2247"/>
      <c r="AS499" s="778"/>
      <c r="AT499" s="1210"/>
      <c r="AU499" s="2862"/>
      <c r="AV499" s="1210"/>
      <c r="AW499" s="684"/>
      <c r="AX499" s="2809"/>
      <c r="AY499" s="684"/>
      <c r="AZ499" s="1280"/>
      <c r="BA499" s="2868"/>
      <c r="BB499" s="1280"/>
      <c r="BC499" s="687"/>
      <c r="BD499" s="2853"/>
      <c r="BE499" s="687"/>
      <c r="BF499" s="1794"/>
      <c r="BG499" s="2157"/>
      <c r="BH499" s="1883"/>
      <c r="BI499" s="1556"/>
      <c r="BJ499" s="1789" t="s">
        <v>350</v>
      </c>
      <c r="BK499" s="2296"/>
      <c r="BL499" s="1168"/>
      <c r="BM499" s="178"/>
      <c r="BN499" s="1168"/>
      <c r="BO499" s="1107"/>
      <c r="BP499" s="1580"/>
      <c r="BQ499" s="1642"/>
      <c r="BR499" s="1614"/>
      <c r="BS499" s="2119"/>
      <c r="BT499" s="182"/>
      <c r="BU499" s="1783"/>
      <c r="BV499" s="1107"/>
      <c r="BW499" s="1580"/>
      <c r="BX499" s="1642"/>
      <c r="BY499" s="1614"/>
      <c r="BZ499" s="1893"/>
      <c r="CA499" s="2259"/>
      <c r="CB499" s="1784"/>
      <c r="CC499" s="2120"/>
      <c r="CD499" s="2122"/>
      <c r="CE499" s="1785"/>
    </row>
    <row r="500" spans="1:83" ht="26.85" customHeight="1" x14ac:dyDescent="0.4">
      <c r="A500" s="249"/>
      <c r="B500" s="249"/>
      <c r="C500" s="584" t="s">
        <v>307</v>
      </c>
      <c r="D500" s="1948"/>
      <c r="E500" s="1949"/>
      <c r="F500" s="1950"/>
      <c r="G500" s="1948"/>
      <c r="H500" s="1949"/>
      <c r="I500" s="1951"/>
      <c r="J500" s="1948"/>
      <c r="K500" s="1950"/>
      <c r="L500" s="1951"/>
      <c r="M500" s="1948"/>
      <c r="N500" s="1962"/>
      <c r="O500" s="1948"/>
      <c r="P500" s="1948"/>
      <c r="Q500" s="1950"/>
      <c r="R500" s="1951"/>
      <c r="S500" s="1954"/>
      <c r="T500" s="1948"/>
      <c r="U500" s="1948"/>
      <c r="V500" s="1954"/>
      <c r="W500" s="1948"/>
      <c r="X500" s="1954"/>
      <c r="Y500" s="1948"/>
      <c r="Z500" s="1962"/>
      <c r="AA500" s="1948"/>
      <c r="AB500" s="1948"/>
      <c r="AC500" s="1948"/>
      <c r="AD500" s="1948"/>
      <c r="AE500" s="1408"/>
      <c r="AF500" s="2846"/>
      <c r="AG500" s="1591"/>
      <c r="AH500" s="1160"/>
      <c r="AI500" s="2297"/>
      <c r="AJ500" s="1160"/>
      <c r="AK500" s="1200"/>
      <c r="AL500" s="2856"/>
      <c r="AM500" s="1969"/>
      <c r="AN500" s="1273"/>
      <c r="AO500" s="1273"/>
      <c r="AP500" s="1273"/>
      <c r="AQ500" s="2291"/>
      <c r="AR500" s="2247"/>
      <c r="AS500" s="778"/>
      <c r="AT500" s="1411"/>
      <c r="AU500" s="2862"/>
      <c r="AV500" s="1537"/>
      <c r="AW500" s="684"/>
      <c r="AX500" s="2809"/>
      <c r="AY500" s="684"/>
      <c r="AZ500" s="1280"/>
      <c r="BA500" s="2868"/>
      <c r="BB500" s="1280"/>
      <c r="BC500" s="687"/>
      <c r="BD500" s="2853"/>
      <c r="BE500" s="687"/>
      <c r="BF500" s="1794"/>
      <c r="BG500" s="2157"/>
      <c r="BH500" s="1401"/>
      <c r="BI500" s="1556"/>
      <c r="BJ500" s="2085"/>
      <c r="BK500" s="2153"/>
      <c r="BL500" s="1168"/>
      <c r="BM500" s="178"/>
      <c r="BN500" s="1168"/>
      <c r="BO500" s="1107"/>
      <c r="BP500" s="1580"/>
      <c r="BQ500" s="1642"/>
      <c r="BR500" s="1614"/>
      <c r="BS500" s="2119"/>
      <c r="BT500" s="182"/>
      <c r="BU500" s="1783"/>
      <c r="BV500" s="1107"/>
      <c r="BW500" s="1580"/>
      <c r="BX500" s="1642"/>
      <c r="BY500" s="1614"/>
      <c r="BZ500" s="1893"/>
      <c r="CA500" s="2259"/>
      <c r="CB500" s="1784"/>
      <c r="CC500" s="2120"/>
      <c r="CD500" s="2122"/>
      <c r="CE500" s="1785"/>
    </row>
    <row r="501" spans="1:83" ht="14.85" customHeight="1" x14ac:dyDescent="0.4">
      <c r="A501" s="249"/>
      <c r="B501" s="249"/>
      <c r="C501" s="584" t="s">
        <v>307</v>
      </c>
      <c r="D501" s="1948"/>
      <c r="E501" s="1949"/>
      <c r="F501" s="1950"/>
      <c r="G501" s="1948"/>
      <c r="H501" s="1949"/>
      <c r="I501" s="1951"/>
      <c r="J501" s="1948"/>
      <c r="K501" s="1950"/>
      <c r="L501" s="1951"/>
      <c r="M501" s="1948"/>
      <c r="N501" s="1962"/>
      <c r="O501" s="1948"/>
      <c r="P501" s="1948"/>
      <c r="Q501" s="1950"/>
      <c r="R501" s="1951"/>
      <c r="S501" s="1954"/>
      <c r="T501" s="1948"/>
      <c r="U501" s="1948"/>
      <c r="V501" s="1954"/>
      <c r="W501" s="1948"/>
      <c r="X501" s="1954"/>
      <c r="Y501" s="1948"/>
      <c r="Z501" s="1962"/>
      <c r="AA501" s="1948"/>
      <c r="AB501" s="1948"/>
      <c r="AC501" s="1948"/>
      <c r="AD501" s="1948"/>
      <c r="AE501" s="1408"/>
      <c r="AF501" s="2846"/>
      <c r="AG501" s="1591"/>
      <c r="AH501" s="1160"/>
      <c r="AI501" s="2297"/>
      <c r="AJ501" s="1160"/>
      <c r="AK501" s="1200"/>
      <c r="AL501" s="2856"/>
      <c r="AM501" s="1969"/>
      <c r="AN501" s="1273"/>
      <c r="AO501" s="1273"/>
      <c r="AP501" s="1273"/>
      <c r="AQ501" s="2291"/>
      <c r="AR501" s="2247"/>
      <c r="AS501" s="778"/>
      <c r="AT501" s="1411"/>
      <c r="AU501" s="2862"/>
      <c r="AV501" s="1537"/>
      <c r="AW501" s="684"/>
      <c r="AX501" s="2809"/>
      <c r="AY501" s="684"/>
      <c r="AZ501" s="1280"/>
      <c r="BA501" s="2868"/>
      <c r="BB501" s="1280"/>
      <c r="BC501" s="687"/>
      <c r="BD501" s="2853"/>
      <c r="BE501" s="687"/>
      <c r="BF501" s="1870"/>
      <c r="BG501" s="1870" t="s">
        <v>557</v>
      </c>
      <c r="BH501" s="1870"/>
      <c r="BI501" s="1870"/>
      <c r="BJ501" s="1870" t="s">
        <v>558</v>
      </c>
      <c r="BK501" s="1870"/>
      <c r="BL501" s="1168"/>
      <c r="BM501" s="178"/>
      <c r="BN501" s="1168"/>
      <c r="BO501" s="1107"/>
      <c r="BP501" s="1580"/>
      <c r="BQ501" s="1642"/>
      <c r="BR501" s="1614"/>
      <c r="BS501" s="2119"/>
      <c r="BT501" s="182"/>
      <c r="BU501" s="1783"/>
      <c r="BV501" s="1107"/>
      <c r="BW501" s="1580"/>
      <c r="BX501" s="1642"/>
      <c r="BY501" s="1614"/>
      <c r="BZ501" s="1893"/>
      <c r="CA501" s="2259"/>
      <c r="CB501" s="1784"/>
      <c r="CC501" s="2120"/>
      <c r="CD501" s="2122"/>
      <c r="CE501" s="1785"/>
    </row>
    <row r="502" spans="1:83" ht="14.85" customHeight="1" x14ac:dyDescent="0.4">
      <c r="A502" s="249"/>
      <c r="B502" s="249"/>
      <c r="C502" s="584"/>
      <c r="D502" s="1948"/>
      <c r="E502" s="1949"/>
      <c r="F502" s="1950"/>
      <c r="G502" s="1948"/>
      <c r="H502" s="1949"/>
      <c r="I502" s="1951"/>
      <c r="J502" s="1948"/>
      <c r="K502" s="1950"/>
      <c r="L502" s="1951"/>
      <c r="M502" s="1948"/>
      <c r="N502" s="1962"/>
      <c r="O502" s="1948"/>
      <c r="P502" s="1948"/>
      <c r="Q502" s="1950"/>
      <c r="R502" s="1951"/>
      <c r="S502" s="1954"/>
      <c r="T502" s="1948"/>
      <c r="U502" s="1948"/>
      <c r="V502" s="1954"/>
      <c r="W502" s="1948"/>
      <c r="X502" s="1954"/>
      <c r="Y502" s="1948"/>
      <c r="Z502" s="1962"/>
      <c r="AA502" s="1948"/>
      <c r="AB502" s="1948"/>
      <c r="AC502" s="1948"/>
      <c r="AD502" s="1948"/>
      <c r="AE502" s="1408"/>
      <c r="AF502" s="2846"/>
      <c r="AG502" s="1591"/>
      <c r="AH502" s="1160"/>
      <c r="AI502" s="2297"/>
      <c r="AJ502" s="1160"/>
      <c r="AK502" s="1200"/>
      <c r="AL502" s="2856"/>
      <c r="AM502" s="1969"/>
      <c r="AN502" s="1273"/>
      <c r="AO502" s="1273"/>
      <c r="AP502" s="1273"/>
      <c r="AQ502" s="2291"/>
      <c r="AR502" s="2247"/>
      <c r="AS502" s="778"/>
      <c r="AT502" s="1411"/>
      <c r="AU502" s="2862"/>
      <c r="AV502" s="1537"/>
      <c r="AW502" s="684"/>
      <c r="AX502" s="2809"/>
      <c r="AY502" s="684"/>
      <c r="AZ502" s="1280"/>
      <c r="BA502" s="2868"/>
      <c r="BB502" s="1280"/>
      <c r="BC502" s="687"/>
      <c r="BD502" s="2853"/>
      <c r="BE502" s="687"/>
      <c r="BF502" s="1794"/>
      <c r="BG502" s="2157"/>
      <c r="BH502" s="1883"/>
      <c r="BI502" s="1556"/>
      <c r="BJ502" s="2298"/>
      <c r="BK502" s="1556"/>
      <c r="BL502" s="1168"/>
      <c r="BM502" s="486"/>
      <c r="BN502" s="1168"/>
      <c r="BO502" s="1107"/>
      <c r="BP502" s="1580"/>
      <c r="BQ502" s="1642"/>
      <c r="BR502" s="1614"/>
      <c r="BS502" s="2119"/>
      <c r="BT502" s="182"/>
      <c r="BU502" s="1783"/>
      <c r="BV502" s="1107"/>
      <c r="BW502" s="1580"/>
      <c r="BX502" s="1642"/>
      <c r="BY502" s="1614"/>
      <c r="BZ502" s="1893"/>
      <c r="CA502" s="2259"/>
      <c r="CB502" s="1784"/>
      <c r="CC502" s="2120"/>
      <c r="CD502" s="2122"/>
      <c r="CE502" s="1785"/>
    </row>
    <row r="503" spans="1:83" ht="18" customHeight="1" x14ac:dyDescent="0.4">
      <c r="A503" s="249"/>
      <c r="B503" s="249"/>
      <c r="C503" s="584">
        <v>0.87847222222222199</v>
      </c>
      <c r="D503" s="1948"/>
      <c r="E503" s="1949"/>
      <c r="F503" s="1950"/>
      <c r="G503" s="1948"/>
      <c r="H503" s="1949"/>
      <c r="I503" s="1951"/>
      <c r="J503" s="1948"/>
      <c r="K503" s="1950"/>
      <c r="L503" s="1951"/>
      <c r="M503" s="1948"/>
      <c r="N503" s="1962"/>
      <c r="O503" s="1948"/>
      <c r="P503" s="1948"/>
      <c r="Q503" s="1950"/>
      <c r="R503" s="1951"/>
      <c r="S503" s="1954"/>
      <c r="T503" s="1948"/>
      <c r="U503" s="1948"/>
      <c r="V503" s="1954"/>
      <c r="W503" s="1948"/>
      <c r="X503" s="1954"/>
      <c r="Y503" s="1948"/>
      <c r="Z503" s="1962"/>
      <c r="AA503" s="1948"/>
      <c r="AB503" s="1948"/>
      <c r="AC503" s="1948"/>
      <c r="AD503" s="1948"/>
      <c r="AE503" s="1385"/>
      <c r="AF503" s="2846"/>
      <c r="AG503" s="1385"/>
      <c r="AH503" s="1160"/>
      <c r="AI503" s="2297"/>
      <c r="AJ503" s="1160"/>
      <c r="AK503" s="2806"/>
      <c r="AL503" s="2856"/>
      <c r="AM503" s="1285"/>
      <c r="AN503" s="1273"/>
      <c r="AO503" s="2060"/>
      <c r="AP503" s="1273"/>
      <c r="AQ503" s="778"/>
      <c r="AR503" s="2247"/>
      <c r="AS503" s="778"/>
      <c r="AT503" s="1392"/>
      <c r="AU503" s="2862"/>
      <c r="AV503" s="1394"/>
      <c r="AW503" s="684"/>
      <c r="AX503" s="2809"/>
      <c r="AY503" s="684"/>
      <c r="AZ503" s="1280"/>
      <c r="BA503" s="2868"/>
      <c r="BB503" s="1280"/>
      <c r="BC503" s="687"/>
      <c r="BD503" s="2853"/>
      <c r="BE503" s="687"/>
      <c r="BF503" s="1794"/>
      <c r="BG503" s="2157"/>
      <c r="BH503" s="1401"/>
      <c r="BI503" s="1556"/>
      <c r="BJ503" s="2298"/>
      <c r="BK503" s="1556"/>
      <c r="BL503" s="1168"/>
      <c r="BM503" s="486"/>
      <c r="BN503" s="1168"/>
      <c r="BO503" s="1107"/>
      <c r="BP503" s="1580"/>
      <c r="BQ503" s="1642"/>
      <c r="BR503" s="1614"/>
      <c r="BS503" s="2119"/>
      <c r="BT503" s="182"/>
      <c r="BU503" s="1783"/>
      <c r="BV503" s="1107"/>
      <c r="BW503" s="1580"/>
      <c r="BX503" s="1642"/>
      <c r="BY503" s="1614"/>
      <c r="BZ503" s="1893"/>
      <c r="CA503" s="2259"/>
      <c r="CB503" s="1784"/>
      <c r="CC503" s="2120"/>
      <c r="CD503" s="2122"/>
      <c r="CE503" s="1785"/>
    </row>
    <row r="504" spans="1:83" ht="14.85" customHeight="1" x14ac:dyDescent="0.4">
      <c r="A504" s="249"/>
      <c r="B504" s="249"/>
      <c r="C504" s="584">
        <v>0.88194444444444398</v>
      </c>
      <c r="D504" s="1948"/>
      <c r="E504" s="1949"/>
      <c r="F504" s="1950"/>
      <c r="G504" s="1948"/>
      <c r="H504" s="1949"/>
      <c r="I504" s="1951"/>
      <c r="J504" s="1948"/>
      <c r="K504" s="1950"/>
      <c r="L504" s="1951"/>
      <c r="M504" s="1948"/>
      <c r="N504" s="1962"/>
      <c r="O504" s="1948"/>
      <c r="P504" s="1948"/>
      <c r="Q504" s="1950"/>
      <c r="R504" s="1951"/>
      <c r="S504" s="1954"/>
      <c r="T504" s="1948"/>
      <c r="U504" s="1948"/>
      <c r="V504" s="1954"/>
      <c r="W504" s="1948"/>
      <c r="X504" s="1954"/>
      <c r="Y504" s="1948"/>
      <c r="Z504" s="1962"/>
      <c r="AA504" s="1948"/>
      <c r="AB504" s="1948"/>
      <c r="AC504" s="1948"/>
      <c r="AD504" s="1948"/>
      <c r="AE504" s="1591"/>
      <c r="AF504" s="2846"/>
      <c r="AG504" s="1624"/>
      <c r="AH504" s="1594"/>
      <c r="AI504" s="2161"/>
      <c r="AJ504" s="1256"/>
      <c r="AK504" s="2806"/>
      <c r="AL504" s="2856"/>
      <c r="AM504" s="1531"/>
      <c r="AN504" s="1273"/>
      <c r="AO504" s="2060"/>
      <c r="AP504" s="1273"/>
      <c r="AQ504" s="778"/>
      <c r="AR504" s="2299"/>
      <c r="AS504" s="778"/>
      <c r="AT504" s="1452"/>
      <c r="AU504" s="1823"/>
      <c r="AV504" s="1394"/>
      <c r="AW504" s="684"/>
      <c r="AX504" s="2809"/>
      <c r="AY504" s="684"/>
      <c r="AZ504" s="1280"/>
      <c r="BA504" s="2868"/>
      <c r="BB504" s="1280"/>
      <c r="BC504" s="974"/>
      <c r="BD504" s="2853"/>
      <c r="BE504" s="908"/>
      <c r="BF504" s="1794"/>
      <c r="BG504" s="2157"/>
      <c r="BH504" s="1883"/>
      <c r="BI504" s="1773"/>
      <c r="BJ504" s="2298"/>
      <c r="BK504" s="1670"/>
      <c r="BL504" s="1168"/>
      <c r="BM504" s="486"/>
      <c r="BN504" s="1630"/>
      <c r="BO504" s="1107"/>
      <c r="BP504" s="1580"/>
      <c r="BQ504" s="1642"/>
      <c r="BR504" s="1614"/>
      <c r="BS504" s="2119"/>
      <c r="BT504" s="182"/>
      <c r="BU504" s="1783"/>
      <c r="BV504" s="1107"/>
      <c r="BW504" s="1580"/>
      <c r="BX504" s="1642"/>
      <c r="BY504" s="1614"/>
      <c r="BZ504" s="1893"/>
      <c r="CA504" s="2259"/>
      <c r="CB504" s="1784"/>
      <c r="CC504" s="2120"/>
      <c r="CD504" s="2122"/>
      <c r="CE504" s="1785"/>
    </row>
    <row r="505" spans="1:83" ht="23.25" customHeight="1" x14ac:dyDescent="0.4">
      <c r="A505" s="249"/>
      <c r="B505" s="249"/>
      <c r="C505" s="584">
        <v>0.88541666666666596</v>
      </c>
      <c r="D505" s="1948"/>
      <c r="E505" s="1949"/>
      <c r="F505" s="1950"/>
      <c r="G505" s="1948"/>
      <c r="H505" s="1949"/>
      <c r="I505" s="1951"/>
      <c r="J505" s="1948"/>
      <c r="K505" s="1950"/>
      <c r="L505" s="1951"/>
      <c r="M505" s="1948"/>
      <c r="N505" s="1962"/>
      <c r="O505" s="1948"/>
      <c r="P505" s="1948"/>
      <c r="Q505" s="1950"/>
      <c r="R505" s="1951"/>
      <c r="S505" s="1954"/>
      <c r="T505" s="1948"/>
      <c r="U505" s="1948"/>
      <c r="V505" s="1954"/>
      <c r="W505" s="1948"/>
      <c r="X505" s="1954"/>
      <c r="Y505" s="1948"/>
      <c r="Z505" s="1962"/>
      <c r="AA505" s="1948"/>
      <c r="AB505" s="1948"/>
      <c r="AC505" s="1948"/>
      <c r="AD505" s="1948"/>
      <c r="AE505" s="1385"/>
      <c r="AF505" s="2846"/>
      <c r="AG505" s="1385"/>
      <c r="AH505" s="1159"/>
      <c r="AI505" s="1160" t="s">
        <v>356</v>
      </c>
      <c r="AJ505" s="1160"/>
      <c r="AK505" s="1285"/>
      <c r="AL505" s="2856"/>
      <c r="AM505" s="1285"/>
      <c r="AN505" s="2300"/>
      <c r="AO505" s="2874" t="s">
        <v>341</v>
      </c>
      <c r="AP505" s="1273"/>
      <c r="AQ505" s="2291"/>
      <c r="AR505" s="2875" t="s">
        <v>341</v>
      </c>
      <c r="AS505" s="778"/>
      <c r="AT505" s="1392"/>
      <c r="AU505" s="1884"/>
      <c r="AV505" s="1394"/>
      <c r="AW505" s="684"/>
      <c r="AX505" s="2809"/>
      <c r="AY505" s="684"/>
      <c r="AZ505" s="2301"/>
      <c r="BA505" s="2868"/>
      <c r="BB505" s="1280"/>
      <c r="BC505" s="687"/>
      <c r="BD505" s="2853"/>
      <c r="BE505" s="687"/>
      <c r="BF505" s="1794"/>
      <c r="BG505" s="2157"/>
      <c r="BH505" s="1401"/>
      <c r="BI505" s="1556"/>
      <c r="BJ505" s="1789" t="s">
        <v>371</v>
      </c>
      <c r="BK505" s="2296"/>
      <c r="BL505" s="1168"/>
      <c r="BM505" s="2802"/>
      <c r="BN505" s="1168"/>
      <c r="BO505" s="1107"/>
      <c r="BP505" s="1580"/>
      <c r="BQ505" s="1642"/>
      <c r="BR505" s="1614"/>
      <c r="BS505" s="2119"/>
      <c r="BT505" s="182" t="s">
        <v>271</v>
      </c>
      <c r="BU505" s="1783"/>
      <c r="BV505" s="1107"/>
      <c r="BW505" s="1580"/>
      <c r="BX505" s="1642"/>
      <c r="BY505" s="1614"/>
      <c r="BZ505" s="1893"/>
      <c r="CA505" s="183" t="s">
        <v>271</v>
      </c>
      <c r="CB505" s="1784"/>
      <c r="CC505" s="2120"/>
      <c r="CD505" s="184"/>
      <c r="CE505" s="1785"/>
    </row>
    <row r="506" spans="1:83" ht="17.850000000000001" customHeight="1" x14ac:dyDescent="0.4">
      <c r="A506" s="249"/>
      <c r="B506" s="249"/>
      <c r="C506" s="584" t="s">
        <v>307</v>
      </c>
      <c r="D506" s="1948"/>
      <c r="E506" s="1949"/>
      <c r="F506" s="1950"/>
      <c r="G506" s="1948"/>
      <c r="H506" s="1949"/>
      <c r="I506" s="1951"/>
      <c r="J506" s="1948"/>
      <c r="K506" s="1950"/>
      <c r="L506" s="1951"/>
      <c r="M506" s="1948"/>
      <c r="N506" s="1962"/>
      <c r="O506" s="1948"/>
      <c r="P506" s="1948"/>
      <c r="Q506" s="1950"/>
      <c r="R506" s="1951"/>
      <c r="S506" s="1954"/>
      <c r="T506" s="1948"/>
      <c r="U506" s="1948"/>
      <c r="V506" s="1954"/>
      <c r="W506" s="1948"/>
      <c r="X506" s="1954"/>
      <c r="Y506" s="1948"/>
      <c r="Z506" s="1962"/>
      <c r="AA506" s="1948"/>
      <c r="AB506" s="1948"/>
      <c r="AC506" s="1948"/>
      <c r="AD506" s="1948"/>
      <c r="AE506" s="1385"/>
      <c r="AF506" s="2846"/>
      <c r="AG506" s="1385"/>
      <c r="AH506" s="1160"/>
      <c r="AI506" s="1139" t="s">
        <v>366</v>
      </c>
      <c r="AJ506" s="1160"/>
      <c r="AK506" s="1285"/>
      <c r="AL506" s="275"/>
      <c r="AM506" s="1285"/>
      <c r="AN506" s="1273"/>
      <c r="AO506" s="2874"/>
      <c r="AP506" s="1273"/>
      <c r="AQ506" s="2291"/>
      <c r="AR506" s="2875"/>
      <c r="AS506" s="778"/>
      <c r="AT506" s="1392"/>
      <c r="AU506" s="2302"/>
      <c r="AV506" s="1394"/>
      <c r="AW506" s="1875"/>
      <c r="AX506" s="2809"/>
      <c r="AY506" s="684"/>
      <c r="AZ506" s="1868"/>
      <c r="BA506" s="2868"/>
      <c r="BB506" s="1802"/>
      <c r="BC506" s="687"/>
      <c r="BD506" s="2853"/>
      <c r="BE506" s="687"/>
      <c r="BF506" s="1794"/>
      <c r="BG506" s="2157" t="s">
        <v>533</v>
      </c>
      <c r="BH506" s="1883"/>
      <c r="BI506" s="1556"/>
      <c r="BJ506" s="1556" t="s">
        <v>334</v>
      </c>
      <c r="BK506" s="1670"/>
      <c r="BL506" s="1168"/>
      <c r="BM506" s="2802"/>
      <c r="BN506" s="1168"/>
      <c r="BO506" s="1107"/>
      <c r="BP506" s="1580"/>
      <c r="BQ506" s="1642"/>
      <c r="BR506" s="1614"/>
      <c r="BS506" s="2119"/>
      <c r="BT506" s="182" t="s">
        <v>310</v>
      </c>
      <c r="BU506" s="182"/>
      <c r="BV506" s="1107"/>
      <c r="BW506" s="1580"/>
      <c r="BX506" s="1642"/>
      <c r="BY506" s="1614"/>
      <c r="BZ506" s="2008"/>
      <c r="CA506" s="183" t="s">
        <v>310</v>
      </c>
      <c r="CB506" s="1784"/>
      <c r="CC506" s="2009"/>
      <c r="CD506" s="184"/>
      <c r="CE506" s="1785"/>
    </row>
    <row r="507" spans="1:83" ht="25.35" customHeight="1" x14ac:dyDescent="0.4">
      <c r="A507" s="249"/>
      <c r="B507" s="249"/>
      <c r="C507" s="584" t="s">
        <v>307</v>
      </c>
      <c r="D507" s="1948"/>
      <c r="E507" s="1949"/>
      <c r="F507" s="1950"/>
      <c r="G507" s="1948"/>
      <c r="H507" s="1949"/>
      <c r="I507" s="1951"/>
      <c r="J507" s="1948"/>
      <c r="K507" s="1950"/>
      <c r="L507" s="1951"/>
      <c r="M507" s="1948"/>
      <c r="N507" s="1962"/>
      <c r="O507" s="1948"/>
      <c r="P507" s="1948"/>
      <c r="Q507" s="1950"/>
      <c r="R507" s="1951"/>
      <c r="S507" s="1954"/>
      <c r="T507" s="1948"/>
      <c r="U507" s="1948"/>
      <c r="V507" s="1954"/>
      <c r="W507" s="1948"/>
      <c r="X507" s="1954"/>
      <c r="Y507" s="1948"/>
      <c r="Z507" s="1962"/>
      <c r="AA507" s="1948"/>
      <c r="AB507" s="1948"/>
      <c r="AC507" s="1948"/>
      <c r="AD507" s="1948"/>
      <c r="AE507" s="1385"/>
      <c r="AF507" s="2846"/>
      <c r="AG507" s="1385"/>
      <c r="AH507" s="1594"/>
      <c r="AI507" s="1139" t="s">
        <v>334</v>
      </c>
      <c r="AJ507" s="1256"/>
      <c r="AK507" s="1285"/>
      <c r="AL507" s="275"/>
      <c r="AM507" s="1285"/>
      <c r="AN507" s="2300"/>
      <c r="AO507" s="2874"/>
      <c r="AP507" s="1273"/>
      <c r="AQ507" s="2291"/>
      <c r="AR507" s="2875"/>
      <c r="AS507" s="778"/>
      <c r="AT507" s="1392"/>
      <c r="AU507" s="2302"/>
      <c r="AV507" s="1394"/>
      <c r="AW507" s="1875"/>
      <c r="AX507" s="2809"/>
      <c r="AY507" s="684"/>
      <c r="AZ507" s="1868"/>
      <c r="BA507" s="2868"/>
      <c r="BB507" s="1802"/>
      <c r="BC507" s="687"/>
      <c r="BD507" s="2853"/>
      <c r="BE507" s="687"/>
      <c r="BF507" s="1794"/>
      <c r="BG507" s="2157" t="s">
        <v>541</v>
      </c>
      <c r="BH507" s="1401"/>
      <c r="BI507" s="1773"/>
      <c r="BJ507" s="2298"/>
      <c r="BK507" s="2296"/>
      <c r="BL507" s="1168"/>
      <c r="BM507" s="2303"/>
      <c r="BN507" s="1630"/>
      <c r="BO507" s="1107"/>
      <c r="BP507" s="1580"/>
      <c r="BQ507" s="1642"/>
      <c r="BR507" s="1614"/>
      <c r="BS507" s="2119"/>
      <c r="BT507" s="182"/>
      <c r="BU507" s="1783"/>
      <c r="BV507" s="1107"/>
      <c r="BW507" s="1580"/>
      <c r="BX507" s="1642"/>
      <c r="BY507" s="1614"/>
      <c r="BZ507" s="1893"/>
      <c r="CA507" s="183"/>
      <c r="CB507" s="1784"/>
      <c r="CC507" s="2120"/>
      <c r="CD507" s="184"/>
      <c r="CE507" s="1785"/>
    </row>
    <row r="508" spans="1:83" ht="28.35" customHeight="1" x14ac:dyDescent="0.4">
      <c r="A508" s="249"/>
      <c r="B508" s="249"/>
      <c r="C508" s="584" t="s">
        <v>307</v>
      </c>
      <c r="D508" s="1948"/>
      <c r="E508" s="1949"/>
      <c r="F508" s="1950"/>
      <c r="G508" s="1948"/>
      <c r="H508" s="1949"/>
      <c r="I508" s="1951"/>
      <c r="J508" s="1948"/>
      <c r="K508" s="1950"/>
      <c r="L508" s="1951"/>
      <c r="M508" s="1948"/>
      <c r="N508" s="1962"/>
      <c r="O508" s="1948"/>
      <c r="P508" s="1948"/>
      <c r="Q508" s="1950"/>
      <c r="R508" s="1951"/>
      <c r="S508" s="1954"/>
      <c r="T508" s="1948"/>
      <c r="U508" s="1948"/>
      <c r="V508" s="1954"/>
      <c r="W508" s="1948"/>
      <c r="X508" s="1954"/>
      <c r="Y508" s="1948"/>
      <c r="Z508" s="1962"/>
      <c r="AA508" s="1948"/>
      <c r="AB508" s="1948"/>
      <c r="AC508" s="1948"/>
      <c r="AD508" s="1948"/>
      <c r="AE508" s="1591"/>
      <c r="AF508" s="2846"/>
      <c r="AG508" s="1624"/>
      <c r="AH508" s="793"/>
      <c r="AI508" s="793" t="s">
        <v>336</v>
      </c>
      <c r="AJ508" s="793"/>
      <c r="AK508" s="1285"/>
      <c r="AL508" s="275"/>
      <c r="AM508" s="1285"/>
      <c r="AN508" s="2300"/>
      <c r="AO508" s="2874"/>
      <c r="AP508" s="1273"/>
      <c r="AQ508" s="2291"/>
      <c r="AR508" s="2875"/>
      <c r="AS508" s="778"/>
      <c r="AT508" s="1392"/>
      <c r="AU508" s="1763"/>
      <c r="AV508" s="1394"/>
      <c r="AW508" s="1875"/>
      <c r="AX508" s="2809"/>
      <c r="AY508" s="684"/>
      <c r="AZ508" s="1868"/>
      <c r="BA508" s="2868"/>
      <c r="BB508" s="1802"/>
      <c r="BC508" s="974"/>
      <c r="BD508" s="2853"/>
      <c r="BE508" s="908"/>
      <c r="BF508" s="1794"/>
      <c r="BG508" s="2157"/>
      <c r="BH508" s="1401"/>
      <c r="BI508" s="1773"/>
      <c r="BJ508" s="2298"/>
      <c r="BK508" s="2296"/>
      <c r="BL508" s="1168"/>
      <c r="BM508" s="2304"/>
      <c r="BN508" s="1630"/>
      <c r="BO508" s="1107"/>
      <c r="BP508" s="1580"/>
      <c r="BQ508" s="1642"/>
      <c r="BR508" s="1614"/>
      <c r="BS508" s="2119"/>
      <c r="BT508" s="182"/>
      <c r="BU508" s="1783"/>
      <c r="BV508" s="1107"/>
      <c r="BW508" s="1580"/>
      <c r="BX508" s="1642"/>
      <c r="BY508" s="1614"/>
      <c r="BZ508" s="1893"/>
      <c r="CA508" s="183"/>
      <c r="CB508" s="1784"/>
      <c r="CC508" s="2120"/>
      <c r="CD508" s="184"/>
      <c r="CE508" s="1785"/>
    </row>
    <row r="509" spans="1:83" ht="26.25" customHeight="1" x14ac:dyDescent="0.4">
      <c r="A509" s="249"/>
      <c r="B509" s="249"/>
      <c r="C509" s="584">
        <v>0.88888888888888795</v>
      </c>
      <c r="D509" s="1948"/>
      <c r="E509" s="1949"/>
      <c r="F509" s="1950"/>
      <c r="G509" s="1948"/>
      <c r="H509" s="1949"/>
      <c r="I509" s="1951"/>
      <c r="J509" s="1948"/>
      <c r="K509" s="1950"/>
      <c r="L509" s="1951"/>
      <c r="M509" s="1948"/>
      <c r="N509" s="1962"/>
      <c r="O509" s="1948"/>
      <c r="P509" s="1948"/>
      <c r="Q509" s="1950"/>
      <c r="R509" s="1951"/>
      <c r="S509" s="1954"/>
      <c r="T509" s="1948"/>
      <c r="U509" s="1948"/>
      <c r="V509" s="1954"/>
      <c r="W509" s="1948"/>
      <c r="X509" s="1954"/>
      <c r="Y509" s="1948"/>
      <c r="Z509" s="1962"/>
      <c r="AA509" s="1948"/>
      <c r="AB509" s="1948"/>
      <c r="AC509" s="1948"/>
      <c r="AD509" s="1948"/>
      <c r="AE509" s="1591"/>
      <c r="AF509" s="2846"/>
      <c r="AG509" s="1624"/>
      <c r="AH509" s="1594"/>
      <c r="AI509" s="1160"/>
      <c r="AJ509" s="1256"/>
      <c r="AK509" s="1200"/>
      <c r="AL509" s="2553" t="s">
        <v>470</v>
      </c>
      <c r="AM509" s="1285"/>
      <c r="AN509" s="1273"/>
      <c r="AO509" s="2874"/>
      <c r="AP509" s="1273"/>
      <c r="AQ509" s="778"/>
      <c r="AR509" s="2875"/>
      <c r="AS509" s="778"/>
      <c r="AT509" s="1392"/>
      <c r="AU509" s="1763"/>
      <c r="AV509" s="1394"/>
      <c r="AW509" s="1875"/>
      <c r="AX509" s="2221"/>
      <c r="AY509" s="684"/>
      <c r="AZ509" s="1868"/>
      <c r="BA509" s="2868"/>
      <c r="BB509" s="1802"/>
      <c r="BC509" s="974"/>
      <c r="BD509" s="2853"/>
      <c r="BE509" s="908"/>
      <c r="BF509" s="1794"/>
      <c r="BG509" s="2157"/>
      <c r="BH509" s="1883"/>
      <c r="BI509" s="1773"/>
      <c r="BJ509" s="2298"/>
      <c r="BK509" s="2305"/>
      <c r="BL509" s="1168"/>
      <c r="BM509" s="2303"/>
      <c r="BN509" s="1630"/>
      <c r="BO509" s="1107"/>
      <c r="BP509" s="1580"/>
      <c r="BQ509" s="1642"/>
      <c r="BR509" s="1614"/>
      <c r="BS509" s="2119"/>
      <c r="BT509" s="182"/>
      <c r="BU509" s="1783"/>
      <c r="BV509" s="1107"/>
      <c r="BW509" s="1580"/>
      <c r="BX509" s="1642"/>
      <c r="BY509" s="1614"/>
      <c r="BZ509" s="1893"/>
      <c r="CA509" s="183"/>
      <c r="CB509" s="1784"/>
      <c r="CC509" s="2120"/>
      <c r="CD509" s="184"/>
      <c r="CE509" s="1785"/>
    </row>
    <row r="510" spans="1:83" ht="18.75" customHeight="1" x14ac:dyDescent="0.4">
      <c r="A510" s="249"/>
      <c r="B510" s="249"/>
      <c r="C510" s="584">
        <v>0.89236111111111105</v>
      </c>
      <c r="D510" s="1948"/>
      <c r="E510" s="1949"/>
      <c r="F510" s="1950"/>
      <c r="G510" s="1948"/>
      <c r="H510" s="1949"/>
      <c r="I510" s="1951"/>
      <c r="J510" s="1948"/>
      <c r="K510" s="1950"/>
      <c r="L510" s="1951"/>
      <c r="M510" s="1948"/>
      <c r="N510" s="1962"/>
      <c r="O510" s="1948"/>
      <c r="P510" s="1948"/>
      <c r="Q510" s="1950"/>
      <c r="R510" s="1951"/>
      <c r="S510" s="1954"/>
      <c r="T510" s="1948"/>
      <c r="U510" s="1948"/>
      <c r="V510" s="1954"/>
      <c r="W510" s="1948"/>
      <c r="X510" s="1954"/>
      <c r="Y510" s="1948"/>
      <c r="Z510" s="1962"/>
      <c r="AA510" s="1948"/>
      <c r="AB510" s="1948"/>
      <c r="AC510" s="1948"/>
      <c r="AD510" s="1948"/>
      <c r="AE510" s="1591"/>
      <c r="AF510" s="2846"/>
      <c r="AG510" s="1624"/>
      <c r="AH510" s="1594"/>
      <c r="AI510" s="1160"/>
      <c r="AJ510" s="1256"/>
      <c r="AK510" s="1285"/>
      <c r="AL510" s="275"/>
      <c r="AM510" s="1285"/>
      <c r="AN510" s="1273"/>
      <c r="AO510" s="2874"/>
      <c r="AP510" s="1438"/>
      <c r="AQ510" s="778"/>
      <c r="AR510" s="2875"/>
      <c r="AS510" s="1640"/>
      <c r="AT510" s="1392"/>
      <c r="AU510" s="1763"/>
      <c r="AV510" s="1394"/>
      <c r="AW510" s="684"/>
      <c r="AX510" s="2306"/>
      <c r="AY510" s="684"/>
      <c r="AZ510" s="1868"/>
      <c r="BA510" s="2868"/>
      <c r="BB510" s="1802"/>
      <c r="BC510" s="974"/>
      <c r="BD510" s="2853"/>
      <c r="BE510" s="908"/>
      <c r="BF510" s="1794"/>
      <c r="BG510" s="2157"/>
      <c r="BH510" s="1401"/>
      <c r="BI510" s="1556"/>
      <c r="BJ510" s="2298"/>
      <c r="BK510" s="2296"/>
      <c r="BL510" s="1168"/>
      <c r="BM510" s="2803" t="s">
        <v>555</v>
      </c>
      <c r="BN510" s="1630"/>
      <c r="BO510" s="1107"/>
      <c r="BP510" s="1580"/>
      <c r="BQ510" s="1642"/>
      <c r="BR510" s="1614"/>
      <c r="BS510" s="2119"/>
      <c r="BT510" s="182"/>
      <c r="BU510" s="1783"/>
      <c r="BV510" s="1107"/>
      <c r="BW510" s="1580"/>
      <c r="BX510" s="1642"/>
      <c r="BY510" s="1614"/>
      <c r="BZ510" s="1893"/>
      <c r="CA510" s="183"/>
      <c r="CB510" s="1784"/>
      <c r="CC510" s="2120"/>
      <c r="CD510" s="184"/>
      <c r="CE510" s="1785"/>
    </row>
    <row r="511" spans="1:83" ht="14.85" customHeight="1" x14ac:dyDescent="0.4">
      <c r="A511" s="249"/>
      <c r="B511" s="249"/>
      <c r="C511" s="584" t="s">
        <v>307</v>
      </c>
      <c r="D511" s="1948"/>
      <c r="E511" s="1949"/>
      <c r="F511" s="1950"/>
      <c r="G511" s="1948"/>
      <c r="H511" s="1949"/>
      <c r="I511" s="1951"/>
      <c r="J511" s="1948"/>
      <c r="K511" s="1950"/>
      <c r="L511" s="1951"/>
      <c r="M511" s="1948"/>
      <c r="N511" s="1962"/>
      <c r="O511" s="1948"/>
      <c r="P511" s="1948"/>
      <c r="Q511" s="1950"/>
      <c r="R511" s="1951"/>
      <c r="S511" s="1954"/>
      <c r="T511" s="1948"/>
      <c r="U511" s="1948"/>
      <c r="V511" s="1954"/>
      <c r="W511" s="1948"/>
      <c r="X511" s="1954"/>
      <c r="Y511" s="1948"/>
      <c r="Z511" s="1962"/>
      <c r="AA511" s="1948"/>
      <c r="AB511" s="1948"/>
      <c r="AC511" s="1948"/>
      <c r="AD511" s="1948"/>
      <c r="AE511" s="1591"/>
      <c r="AF511" s="2846"/>
      <c r="AG511" s="1624"/>
      <c r="AH511" s="1594"/>
      <c r="AI511" s="1160"/>
      <c r="AJ511" s="1256"/>
      <c r="AK511" s="1285"/>
      <c r="AL511" s="275"/>
      <c r="AM511" s="1285"/>
      <c r="AN511" s="1273"/>
      <c r="AO511" s="2874"/>
      <c r="AP511" s="1438"/>
      <c r="AQ511" s="1409"/>
      <c r="AR511" s="2875"/>
      <c r="AS511" s="1640"/>
      <c r="AT511" s="1392"/>
      <c r="AU511" s="1763"/>
      <c r="AV511" s="1394"/>
      <c r="AW511" s="684"/>
      <c r="AX511" s="2306"/>
      <c r="AY511" s="684"/>
      <c r="AZ511" s="1868"/>
      <c r="BA511" s="2868"/>
      <c r="BB511" s="1802"/>
      <c r="BC511" s="974"/>
      <c r="BD511" s="2853"/>
      <c r="BE511" s="908"/>
      <c r="BF511" s="1794"/>
      <c r="BG511" s="2157"/>
      <c r="BH511" s="1401"/>
      <c r="BI511" s="1556"/>
      <c r="BJ511" s="2298"/>
      <c r="BK511" s="2296"/>
      <c r="BL511" s="1168"/>
      <c r="BM511" s="2307"/>
      <c r="BN511" s="1630"/>
      <c r="BO511" s="1107"/>
      <c r="BP511" s="1580"/>
      <c r="BQ511" s="1642"/>
      <c r="BR511" s="1614"/>
      <c r="BS511" s="2119"/>
      <c r="BT511" s="182"/>
      <c r="BU511" s="1783"/>
      <c r="BV511" s="1107"/>
      <c r="BW511" s="1580"/>
      <c r="BX511" s="1642"/>
      <c r="BY511" s="1614"/>
      <c r="BZ511" s="1893"/>
      <c r="CA511" s="183"/>
      <c r="CB511" s="1784"/>
      <c r="CC511" s="2120"/>
      <c r="CD511" s="184"/>
      <c r="CE511" s="1785"/>
    </row>
    <row r="512" spans="1:83" ht="21.6" customHeight="1" x14ac:dyDescent="0.4">
      <c r="A512" s="249"/>
      <c r="B512" s="249"/>
      <c r="C512" s="584">
        <v>0.89583333333333304</v>
      </c>
      <c r="D512" s="1948"/>
      <c r="E512" s="1949"/>
      <c r="F512" s="1950"/>
      <c r="G512" s="1948"/>
      <c r="H512" s="1949"/>
      <c r="I512" s="1951"/>
      <c r="J512" s="1948"/>
      <c r="K512" s="1950"/>
      <c r="L512" s="1951"/>
      <c r="M512" s="1948"/>
      <c r="N512" s="1962"/>
      <c r="O512" s="1948"/>
      <c r="P512" s="1948"/>
      <c r="Q512" s="1950"/>
      <c r="R512" s="1951"/>
      <c r="S512" s="1954"/>
      <c r="T512" s="1948"/>
      <c r="U512" s="1948"/>
      <c r="V512" s="1954"/>
      <c r="W512" s="1948"/>
      <c r="X512" s="1954"/>
      <c r="Y512" s="1948"/>
      <c r="Z512" s="1962"/>
      <c r="AA512" s="1948"/>
      <c r="AB512" s="1948"/>
      <c r="AC512" s="1948"/>
      <c r="AD512" s="1948"/>
      <c r="AE512" s="1385"/>
      <c r="AF512" s="2846"/>
      <c r="AG512" s="1385"/>
      <c r="AH512" s="1159"/>
      <c r="AI512" s="1160" t="s">
        <v>356</v>
      </c>
      <c r="AJ512" s="1160"/>
      <c r="AK512" s="1285"/>
      <c r="AL512" s="275"/>
      <c r="AM512" s="1285"/>
      <c r="AN512" s="1421"/>
      <c r="AO512" s="2308"/>
      <c r="AP512" s="2309"/>
      <c r="AQ512" s="1134"/>
      <c r="AR512" s="2247"/>
      <c r="AS512" s="778"/>
      <c r="AT512" s="1392"/>
      <c r="AU512" s="2302"/>
      <c r="AV512" s="1394"/>
      <c r="AW512" s="684"/>
      <c r="AX512" s="2221"/>
      <c r="AY512" s="684"/>
      <c r="AZ512" s="1694"/>
      <c r="BA512" s="2310"/>
      <c r="BB512" s="1694"/>
      <c r="BC512" s="687"/>
      <c r="BD512" s="1555" t="s">
        <v>533</v>
      </c>
      <c r="BE512" s="687"/>
      <c r="BF512" s="1794"/>
      <c r="BG512" s="2846" t="s">
        <v>341</v>
      </c>
      <c r="BH512" s="2311"/>
      <c r="BI512" s="1556"/>
      <c r="BJ512" s="1789" t="s">
        <v>371</v>
      </c>
      <c r="BK512" s="2153"/>
      <c r="BL512" s="1168"/>
      <c r="BM512" s="2869"/>
      <c r="BN512" s="1168"/>
      <c r="BO512" s="1107"/>
      <c r="BP512" s="1107"/>
      <c r="BQ512" s="1642"/>
      <c r="BR512" s="1614"/>
      <c r="BS512" s="182"/>
      <c r="BT512" s="182" t="s">
        <v>271</v>
      </c>
      <c r="BU512" s="1783"/>
      <c r="BV512" s="1107"/>
      <c r="BW512" s="1107"/>
      <c r="BX512" s="1642"/>
      <c r="BY512" s="1614"/>
      <c r="BZ512" s="183"/>
      <c r="CA512" s="183" t="s">
        <v>271</v>
      </c>
      <c r="CB512" s="1784"/>
      <c r="CC512" s="184"/>
      <c r="CD512" s="184"/>
      <c r="CE512" s="1785"/>
    </row>
    <row r="513" spans="1:83" ht="21.6" customHeight="1" x14ac:dyDescent="0.4">
      <c r="A513" s="249"/>
      <c r="B513" s="249"/>
      <c r="C513" s="584" t="s">
        <v>307</v>
      </c>
      <c r="D513" s="1948"/>
      <c r="E513" s="1949"/>
      <c r="F513" s="1950"/>
      <c r="G513" s="1948"/>
      <c r="H513" s="1949"/>
      <c r="I513" s="1951"/>
      <c r="J513" s="1948"/>
      <c r="K513" s="1950"/>
      <c r="L513" s="1951"/>
      <c r="M513" s="1948"/>
      <c r="N513" s="1962"/>
      <c r="O513" s="1948"/>
      <c r="P513" s="1948"/>
      <c r="Q513" s="1950"/>
      <c r="R513" s="1951"/>
      <c r="S513" s="1954"/>
      <c r="T513" s="1948"/>
      <c r="U513" s="1948"/>
      <c r="V513" s="1954"/>
      <c r="W513" s="1948"/>
      <c r="X513" s="1954"/>
      <c r="Y513" s="1948"/>
      <c r="Z513" s="1962"/>
      <c r="AA513" s="1948"/>
      <c r="AB513" s="1948"/>
      <c r="AC513" s="1948"/>
      <c r="AD513" s="1948"/>
      <c r="AE513" s="1157"/>
      <c r="AF513" s="2312"/>
      <c r="AG513" s="1157"/>
      <c r="AH513" s="1160"/>
      <c r="AI513" s="1160" t="s">
        <v>366</v>
      </c>
      <c r="AJ513" s="1160"/>
      <c r="AK513" s="1283"/>
      <c r="AL513" s="275"/>
      <c r="AM513" s="1285"/>
      <c r="AN513" s="2300"/>
      <c r="AO513" s="2308"/>
      <c r="AP513" s="1273"/>
      <c r="AQ513" s="2313"/>
      <c r="AR513" s="2247"/>
      <c r="AS513" s="778"/>
      <c r="AT513" s="1392"/>
      <c r="AU513" s="2302"/>
      <c r="AV513" s="1394"/>
      <c r="AW513" s="684"/>
      <c r="AX513" s="1428"/>
      <c r="AY513" s="684"/>
      <c r="AZ513" s="1868"/>
      <c r="BA513" s="2314"/>
      <c r="BB513" s="1802"/>
      <c r="BC513" s="687"/>
      <c r="BD513" s="1555" t="s">
        <v>384</v>
      </c>
      <c r="BE513" s="687"/>
      <c r="BF513" s="1794"/>
      <c r="BG513" s="2846"/>
      <c r="BH513" s="1401"/>
      <c r="BI513" s="1556"/>
      <c r="BJ513" s="1556" t="s">
        <v>334</v>
      </c>
      <c r="BK513" s="2153"/>
      <c r="BL513" s="1168"/>
      <c r="BM513" s="2869"/>
      <c r="BN513" s="1168"/>
      <c r="BO513" s="1107"/>
      <c r="BP513" s="1107"/>
      <c r="BQ513" s="1642"/>
      <c r="BR513" s="1614"/>
      <c r="BS513" s="2119"/>
      <c r="BT513" s="182" t="s">
        <v>310</v>
      </c>
      <c r="BU513" s="182"/>
      <c r="BV513" s="1107"/>
      <c r="BW513" s="1107"/>
      <c r="BX513" s="1642"/>
      <c r="BY513" s="1614"/>
      <c r="BZ513" s="2008"/>
      <c r="CA513" s="183" t="s">
        <v>310</v>
      </c>
      <c r="CB513" s="1784"/>
      <c r="CC513" s="2009"/>
      <c r="CD513" s="184"/>
      <c r="CE513" s="1785"/>
    </row>
    <row r="514" spans="1:83" ht="21.6" customHeight="1" x14ac:dyDescent="0.4">
      <c r="A514" s="249"/>
      <c r="B514" s="249"/>
      <c r="C514" s="584"/>
      <c r="D514" s="1948"/>
      <c r="E514" s="1949"/>
      <c r="F514" s="1950"/>
      <c r="G514" s="1948"/>
      <c r="H514" s="1949"/>
      <c r="I514" s="1951"/>
      <c r="J514" s="1948"/>
      <c r="K514" s="1950"/>
      <c r="L514" s="1951"/>
      <c r="M514" s="1948"/>
      <c r="N514" s="1962"/>
      <c r="O514" s="1948"/>
      <c r="P514" s="1948"/>
      <c r="Q514" s="1950"/>
      <c r="R514" s="1951"/>
      <c r="S514" s="1954"/>
      <c r="T514" s="1948"/>
      <c r="U514" s="1948"/>
      <c r="V514" s="1954"/>
      <c r="W514" s="1948"/>
      <c r="X514" s="1954"/>
      <c r="Y514" s="1948"/>
      <c r="Z514" s="1962"/>
      <c r="AA514" s="1948"/>
      <c r="AB514" s="1948"/>
      <c r="AC514" s="1948"/>
      <c r="AD514" s="1948"/>
      <c r="AE514" s="1157"/>
      <c r="AF514" s="2312"/>
      <c r="AG514" s="1157"/>
      <c r="AH514" s="2343"/>
      <c r="AI514" s="2257" t="s">
        <v>617</v>
      </c>
      <c r="AJ514" s="2344"/>
      <c r="AK514" s="1283"/>
      <c r="AL514" s="275"/>
      <c r="AM514" s="1285"/>
      <c r="AN514" s="2300"/>
      <c r="AO514" s="1872"/>
      <c r="AP514" s="1273"/>
      <c r="AQ514" s="2313"/>
      <c r="AR514" s="2247"/>
      <c r="AS514" s="778"/>
      <c r="AT514" s="1392"/>
      <c r="AU514" s="2302"/>
      <c r="AV514" s="1394"/>
      <c r="AW514" s="684"/>
      <c r="AX514" s="1403"/>
      <c r="AY514" s="684"/>
      <c r="AZ514" s="1868"/>
      <c r="BA514" s="2314"/>
      <c r="BB514" s="1802"/>
      <c r="BC514" s="687"/>
      <c r="BD514" s="1555"/>
      <c r="BE514" s="687"/>
      <c r="BF514" s="1794"/>
      <c r="BG514" s="2846"/>
      <c r="BH514" s="1430"/>
      <c r="BI514" s="1430"/>
      <c r="BJ514" s="1430" t="s">
        <v>559</v>
      </c>
      <c r="BK514" s="1430"/>
      <c r="BL514" s="1168"/>
      <c r="BM514" s="2869"/>
      <c r="BN514" s="1168"/>
      <c r="BO514" s="1107"/>
      <c r="BP514" s="1107"/>
      <c r="BQ514" s="1642"/>
      <c r="BR514" s="1614"/>
      <c r="BS514" s="182"/>
      <c r="BT514" s="182"/>
      <c r="BU514" s="1783"/>
      <c r="BV514" s="1107"/>
      <c r="BW514" s="1107"/>
      <c r="BX514" s="1642"/>
      <c r="BY514" s="1614"/>
      <c r="BZ514" s="183"/>
      <c r="CA514" s="183"/>
      <c r="CB514" s="1784"/>
      <c r="CC514" s="184"/>
      <c r="CD514" s="184"/>
      <c r="CE514" s="1785"/>
    </row>
    <row r="515" spans="1:83" ht="21.6" customHeight="1" x14ac:dyDescent="0.4">
      <c r="A515" s="249"/>
      <c r="B515" s="249"/>
      <c r="C515" s="584" t="s">
        <v>307</v>
      </c>
      <c r="D515" s="1948"/>
      <c r="E515" s="1949"/>
      <c r="F515" s="1950"/>
      <c r="G515" s="1948"/>
      <c r="H515" s="1949"/>
      <c r="I515" s="1951"/>
      <c r="J515" s="1948"/>
      <c r="K515" s="1950"/>
      <c r="L515" s="1951"/>
      <c r="M515" s="1948"/>
      <c r="N515" s="1962"/>
      <c r="O515" s="1948"/>
      <c r="P515" s="1948"/>
      <c r="Q515" s="1950"/>
      <c r="R515" s="1951"/>
      <c r="S515" s="1954"/>
      <c r="T515" s="1948"/>
      <c r="U515" s="1948"/>
      <c r="V515" s="1954"/>
      <c r="W515" s="1948"/>
      <c r="X515" s="1954"/>
      <c r="Y515" s="1948"/>
      <c r="Z515" s="1962"/>
      <c r="AA515" s="1948"/>
      <c r="AB515" s="1948"/>
      <c r="AC515" s="1948"/>
      <c r="AD515" s="1948"/>
      <c r="AE515" s="1157"/>
      <c r="AF515" s="2312"/>
      <c r="AG515" s="1157"/>
      <c r="AH515" s="1160"/>
      <c r="AI515" s="1160"/>
      <c r="AJ515" s="1160"/>
      <c r="AK515" s="1283"/>
      <c r="AL515" s="275"/>
      <c r="AM515" s="1285"/>
      <c r="AN515" s="2300"/>
      <c r="AO515" s="2060"/>
      <c r="AP515" s="1273"/>
      <c r="AQ515" s="778"/>
      <c r="AR515" s="2247"/>
      <c r="AS515" s="778"/>
      <c r="AT515" s="1394"/>
      <c r="AU515" s="2302"/>
      <c r="AV515" s="1394"/>
      <c r="AW515" s="1772"/>
      <c r="AX515" s="2221"/>
      <c r="AY515" s="2315"/>
      <c r="AZ515" s="1868"/>
      <c r="BA515" s="2314"/>
      <c r="BB515" s="1802"/>
      <c r="BC515" s="687"/>
      <c r="BD515" s="1555"/>
      <c r="BE515" s="687"/>
      <c r="BF515" s="1794"/>
      <c r="BG515" s="2846"/>
      <c r="BH515" s="1401"/>
      <c r="BI515" s="1556"/>
      <c r="BJ515" s="2316"/>
      <c r="BK515" s="1778"/>
      <c r="BL515" s="1168"/>
      <c r="BM515" s="2869"/>
      <c r="BN515" s="1168"/>
      <c r="BO515" s="1107"/>
      <c r="BP515" s="1107"/>
      <c r="BQ515" s="1642"/>
      <c r="BR515" s="1614"/>
      <c r="BS515" s="182"/>
      <c r="BT515" s="182"/>
      <c r="BU515" s="1783"/>
      <c r="BV515" s="1107"/>
      <c r="BW515" s="1107"/>
      <c r="BX515" s="1642"/>
      <c r="BY515" s="1614"/>
      <c r="BZ515" s="183"/>
      <c r="CA515" s="183"/>
      <c r="CB515" s="1784"/>
      <c r="CC515" s="184"/>
      <c r="CD515" s="184"/>
      <c r="CE515" s="1785"/>
    </row>
    <row r="516" spans="1:83" ht="21" customHeight="1" x14ac:dyDescent="0.4">
      <c r="A516" s="249"/>
      <c r="B516" s="249"/>
      <c r="C516" s="584">
        <v>0.89930555555555503</v>
      </c>
      <c r="D516" s="1948"/>
      <c r="E516" s="1949"/>
      <c r="F516" s="1950"/>
      <c r="G516" s="1948"/>
      <c r="H516" s="1949"/>
      <c r="I516" s="1951"/>
      <c r="J516" s="1948"/>
      <c r="K516" s="1950"/>
      <c r="L516" s="1951"/>
      <c r="M516" s="1948"/>
      <c r="N516" s="1962"/>
      <c r="O516" s="1948"/>
      <c r="P516" s="1948"/>
      <c r="Q516" s="1950"/>
      <c r="R516" s="1951"/>
      <c r="S516" s="1954"/>
      <c r="T516" s="1948"/>
      <c r="U516" s="1948"/>
      <c r="V516" s="1954"/>
      <c r="W516" s="1948"/>
      <c r="X516" s="1954"/>
      <c r="Y516" s="1948"/>
      <c r="Z516" s="1962"/>
      <c r="AA516" s="1948"/>
      <c r="AB516" s="1948"/>
      <c r="AC516" s="1948"/>
      <c r="AD516" s="1948"/>
      <c r="AE516" s="1157"/>
      <c r="AF516" s="2312"/>
      <c r="AG516" s="1157"/>
      <c r="AH516" s="1594"/>
      <c r="AI516" s="1645"/>
      <c r="AJ516" s="1256"/>
      <c r="AK516" s="2317"/>
      <c r="AL516" s="2318"/>
      <c r="AM516" s="1531"/>
      <c r="AN516" s="1625"/>
      <c r="AO516" s="2319"/>
      <c r="AP516" s="1438"/>
      <c r="AQ516" s="2320"/>
      <c r="AR516" s="2247"/>
      <c r="AS516" s="1640"/>
      <c r="AT516" s="1597"/>
      <c r="AU516" s="2321"/>
      <c r="AV516" s="1537"/>
      <c r="AW516" s="2322"/>
      <c r="AX516" s="2221"/>
      <c r="AY516" s="1022"/>
      <c r="AZ516" s="2323"/>
      <c r="BA516" s="2324"/>
      <c r="BB516" s="1609"/>
      <c r="BC516" s="2325"/>
      <c r="BD516" s="2326"/>
      <c r="BE516" s="908"/>
      <c r="BF516" s="1794"/>
      <c r="BG516" s="2846"/>
      <c r="BH516" s="1883"/>
      <c r="BI516" s="1871"/>
      <c r="BJ516" s="2316"/>
      <c r="BK516" s="1778"/>
      <c r="BL516" s="2327"/>
      <c r="BM516" s="2869"/>
      <c r="BN516" s="1630"/>
      <c r="BO516" s="1107"/>
      <c r="BP516" s="1107"/>
      <c r="BQ516" s="1642"/>
      <c r="BR516" s="1614"/>
      <c r="BS516" s="182"/>
      <c r="BT516" s="182"/>
      <c r="BU516" s="1783"/>
      <c r="BV516" s="1107"/>
      <c r="BW516" s="1107"/>
      <c r="BX516" s="1642"/>
      <c r="BY516" s="1614"/>
      <c r="BZ516" s="183"/>
      <c r="CA516" s="183"/>
      <c r="CB516" s="1784"/>
      <c r="CC516" s="184"/>
      <c r="CD516" s="184"/>
      <c r="CE516" s="1785"/>
    </row>
    <row r="517" spans="1:83" ht="20.85" customHeight="1" x14ac:dyDescent="0.4">
      <c r="A517" s="249"/>
      <c r="B517" s="249"/>
      <c r="C517" s="584">
        <v>0.90277777777777701</v>
      </c>
      <c r="D517" s="1948"/>
      <c r="E517" s="1949"/>
      <c r="F517" s="1950"/>
      <c r="G517" s="1948"/>
      <c r="H517" s="1949"/>
      <c r="I517" s="1951"/>
      <c r="J517" s="1948"/>
      <c r="K517" s="1950"/>
      <c r="L517" s="1951"/>
      <c r="M517" s="1948"/>
      <c r="N517" s="1962"/>
      <c r="O517" s="1948"/>
      <c r="P517" s="1948"/>
      <c r="Q517" s="1950"/>
      <c r="R517" s="1951"/>
      <c r="S517" s="1954"/>
      <c r="T517" s="1948"/>
      <c r="U517" s="1948"/>
      <c r="V517" s="1954"/>
      <c r="W517" s="1948"/>
      <c r="X517" s="1954"/>
      <c r="Y517" s="1948"/>
      <c r="Z517" s="1962"/>
      <c r="AA517" s="1948"/>
      <c r="AB517" s="1948"/>
      <c r="AC517" s="1948"/>
      <c r="AD517" s="1948"/>
      <c r="AE517" s="1157"/>
      <c r="AF517" s="2312"/>
      <c r="AG517" s="1157"/>
      <c r="AH517" s="1594"/>
      <c r="AI517" s="1160"/>
      <c r="AJ517" s="1160"/>
      <c r="AK517" s="1285"/>
      <c r="AL517" s="2328"/>
      <c r="AM517" s="1285"/>
      <c r="AN517" s="1273"/>
      <c r="AO517" s="2212"/>
      <c r="AP517" s="1273"/>
      <c r="AQ517" s="778"/>
      <c r="AR517" s="2247"/>
      <c r="AS517" s="778"/>
      <c r="AT517" s="1208"/>
      <c r="AU517" s="1884"/>
      <c r="AV517" s="1210"/>
      <c r="AW517" s="2329"/>
      <c r="AX517" s="2330"/>
      <c r="AY517" s="684"/>
      <c r="AZ517" s="1868"/>
      <c r="BA517" s="2331"/>
      <c r="BB517" s="1802"/>
      <c r="BC517" s="1958"/>
      <c r="BD517" s="2332"/>
      <c r="BE517" s="908"/>
      <c r="BF517" s="1794"/>
      <c r="BG517" s="2846"/>
      <c r="BH517" s="1401"/>
      <c r="BI517" s="1773"/>
      <c r="BJ517" s="1774"/>
      <c r="BK517" s="2296"/>
      <c r="BL517" s="1576"/>
      <c r="BM517" s="2869"/>
      <c r="BN517" s="1630"/>
      <c r="BO517" s="1107"/>
      <c r="BP517" s="1107"/>
      <c r="BQ517" s="1642"/>
      <c r="BR517" s="1614"/>
      <c r="BS517" s="182"/>
      <c r="BT517" s="182"/>
      <c r="BU517" s="1783"/>
      <c r="BV517" s="1107"/>
      <c r="BW517" s="1107"/>
      <c r="BX517" s="1642"/>
      <c r="BY517" s="1614"/>
      <c r="BZ517" s="183"/>
      <c r="CA517" s="183"/>
      <c r="CB517" s="1784"/>
      <c r="CC517" s="184"/>
      <c r="CD517" s="184"/>
      <c r="CE517" s="1785"/>
    </row>
    <row r="518" spans="1:83" ht="21" customHeight="1" x14ac:dyDescent="0.4">
      <c r="A518" s="249"/>
      <c r="B518" s="249"/>
      <c r="C518" s="584" t="s">
        <v>307</v>
      </c>
      <c r="D518" s="1948"/>
      <c r="E518" s="1949"/>
      <c r="F518" s="1950"/>
      <c r="G518" s="1948"/>
      <c r="H518" s="1949"/>
      <c r="I518" s="1951"/>
      <c r="J518" s="1948"/>
      <c r="K518" s="1950"/>
      <c r="L518" s="1951"/>
      <c r="M518" s="1948"/>
      <c r="N518" s="1962"/>
      <c r="O518" s="1948"/>
      <c r="P518" s="1948"/>
      <c r="Q518" s="1950"/>
      <c r="R518" s="1951"/>
      <c r="S518" s="1954"/>
      <c r="T518" s="1948"/>
      <c r="U518" s="1948"/>
      <c r="V518" s="1954"/>
      <c r="W518" s="1948"/>
      <c r="X518" s="1954"/>
      <c r="Y518" s="1948"/>
      <c r="Z518" s="1962"/>
      <c r="AA518" s="1948"/>
      <c r="AB518" s="1948"/>
      <c r="AC518" s="1948"/>
      <c r="AD518" s="1948"/>
      <c r="AE518" s="1157"/>
      <c r="AF518" s="2312"/>
      <c r="AG518" s="1157"/>
      <c r="AH518" s="1594"/>
      <c r="AI518" s="1645"/>
      <c r="AJ518" s="1256"/>
      <c r="AK518" s="1200"/>
      <c r="AL518" s="275"/>
      <c r="AM518" s="1285"/>
      <c r="AN518" s="1273"/>
      <c r="AO518" s="2212"/>
      <c r="AP518" s="1273"/>
      <c r="AQ518" s="778"/>
      <c r="AR518" s="2247"/>
      <c r="AS518" s="778"/>
      <c r="AT518" s="1208"/>
      <c r="AU518" s="1884"/>
      <c r="AV518" s="1210"/>
      <c r="AW518" s="2329"/>
      <c r="AX518" s="1431"/>
      <c r="AY518" s="684"/>
      <c r="AZ518" s="1868"/>
      <c r="BA518" s="2333"/>
      <c r="BB518" s="1802"/>
      <c r="BC518" s="1958"/>
      <c r="BD518" s="2332"/>
      <c r="BE518" s="908"/>
      <c r="BF518" s="1794"/>
      <c r="BG518" s="2846"/>
      <c r="BH518" s="1401"/>
      <c r="BI518" s="1773"/>
      <c r="BJ518" s="1773"/>
      <c r="BK518" s="1556"/>
      <c r="BL518" s="1576"/>
      <c r="BM518" s="2869"/>
      <c r="BN518" s="1630"/>
      <c r="BO518" s="1107"/>
      <c r="BP518" s="1107"/>
      <c r="BQ518" s="1642"/>
      <c r="BR518" s="1614"/>
      <c r="BS518" s="182"/>
      <c r="BT518" s="182"/>
      <c r="BU518" s="1783"/>
      <c r="BV518" s="1107"/>
      <c r="BW518" s="1107"/>
      <c r="BX518" s="1642"/>
      <c r="BY518" s="1614"/>
      <c r="BZ518" s="183"/>
      <c r="CA518" s="183"/>
      <c r="CB518" s="1784"/>
      <c r="CC518" s="184"/>
      <c r="CD518" s="184"/>
      <c r="CE518" s="1785"/>
    </row>
    <row r="519" spans="1:83" ht="33" customHeight="1" x14ac:dyDescent="0.4">
      <c r="A519" s="249"/>
      <c r="B519" s="249"/>
      <c r="C519" s="584">
        <v>0.906249999999999</v>
      </c>
      <c r="D519" s="1948"/>
      <c r="E519" s="1949"/>
      <c r="F519" s="1950"/>
      <c r="G519" s="1948"/>
      <c r="H519" s="1949"/>
      <c r="I519" s="1951"/>
      <c r="J519" s="1948"/>
      <c r="K519" s="1950"/>
      <c r="L519" s="1951"/>
      <c r="M519" s="1948"/>
      <c r="N519" s="1962"/>
      <c r="O519" s="1948"/>
      <c r="P519" s="1948"/>
      <c r="Q519" s="1950"/>
      <c r="R519" s="1951"/>
      <c r="S519" s="1954"/>
      <c r="T519" s="1948"/>
      <c r="U519" s="1948"/>
      <c r="V519" s="1954"/>
      <c r="W519" s="1948"/>
      <c r="X519" s="1954"/>
      <c r="Y519" s="1948"/>
      <c r="Z519" s="1962"/>
      <c r="AA519" s="1948"/>
      <c r="AB519" s="1948"/>
      <c r="AC519" s="1948"/>
      <c r="AD519" s="1948"/>
      <c r="AE519" s="2334"/>
      <c r="AF519" s="2335" t="s">
        <v>618</v>
      </c>
      <c r="AG519" s="2336"/>
      <c r="AH519" s="1159"/>
      <c r="AI519" s="1160" t="s">
        <v>356</v>
      </c>
      <c r="AJ519" s="1160"/>
      <c r="AK519" s="1283"/>
      <c r="AL519" s="1283"/>
      <c r="AM519" s="1285"/>
      <c r="AN519" s="1273"/>
      <c r="AO519" s="1107" t="s">
        <v>376</v>
      </c>
      <c r="AP519" s="1273"/>
      <c r="AQ519" s="778"/>
      <c r="AR519" s="2247"/>
      <c r="AS519" s="778"/>
      <c r="AT519" s="1208"/>
      <c r="AU519" s="1884"/>
      <c r="AV519" s="1210"/>
      <c r="AW519" s="2329"/>
      <c r="AX519" s="1403"/>
      <c r="AY519" s="684"/>
      <c r="AZ519" s="1868"/>
      <c r="BA519" s="2337"/>
      <c r="BB519" s="1802"/>
      <c r="BC519" s="687"/>
      <c r="BD519" s="975" t="s">
        <v>533</v>
      </c>
      <c r="BE519" s="687"/>
      <c r="BF519" s="1794"/>
      <c r="BG519" s="2157"/>
      <c r="BH519" s="1883"/>
      <c r="BI519" s="1556"/>
      <c r="BJ519" s="1556" t="s">
        <v>447</v>
      </c>
      <c r="BK519" s="1871"/>
      <c r="BL519" s="1168"/>
      <c r="BM519" s="1430" t="s">
        <v>562</v>
      </c>
      <c r="BN519" s="1168"/>
      <c r="BO519" s="1107"/>
      <c r="BP519" s="1107"/>
      <c r="BQ519" s="1642"/>
      <c r="BR519" s="1107"/>
      <c r="BS519" s="2119"/>
      <c r="BT519" s="182"/>
      <c r="BU519" s="182"/>
      <c r="BV519" s="1107"/>
      <c r="BW519" s="1107"/>
      <c r="BX519" s="1642"/>
      <c r="BY519" s="1107"/>
      <c r="BZ519" s="2008"/>
      <c r="CA519" s="183"/>
      <c r="CB519" s="1784"/>
      <c r="CC519" s="2009"/>
      <c r="CD519" s="184"/>
      <c r="CE519" s="1785"/>
    </row>
    <row r="520" spans="1:83" ht="16.350000000000001" customHeight="1" x14ac:dyDescent="0.4">
      <c r="A520" s="249"/>
      <c r="B520" s="249"/>
      <c r="C520" s="584" t="s">
        <v>307</v>
      </c>
      <c r="D520" s="1948"/>
      <c r="E520" s="1949"/>
      <c r="F520" s="1950"/>
      <c r="G520" s="1948"/>
      <c r="H520" s="1949"/>
      <c r="I520" s="1951"/>
      <c r="J520" s="1948"/>
      <c r="K520" s="1950"/>
      <c r="L520" s="1951"/>
      <c r="M520" s="1948"/>
      <c r="N520" s="1962"/>
      <c r="O520" s="1948"/>
      <c r="P520" s="1948"/>
      <c r="Q520" s="1950"/>
      <c r="R520" s="1951"/>
      <c r="S520" s="1954"/>
      <c r="T520" s="1948"/>
      <c r="U520" s="1948"/>
      <c r="V520" s="1954"/>
      <c r="W520" s="1948"/>
      <c r="X520" s="1954"/>
      <c r="Y520" s="1948"/>
      <c r="Z520" s="1962"/>
      <c r="AA520" s="1948"/>
      <c r="AB520" s="1948"/>
      <c r="AC520" s="1948"/>
      <c r="AD520" s="1948"/>
      <c r="AE520" s="1591"/>
      <c r="AF520" s="1657"/>
      <c r="AG520" s="1385"/>
      <c r="AH520" s="1160"/>
      <c r="AI520" s="1160" t="s">
        <v>366</v>
      </c>
      <c r="AJ520" s="1160"/>
      <c r="AK520" s="1283"/>
      <c r="AL520" s="1283"/>
      <c r="AM520" s="1285"/>
      <c r="AN520" s="1273"/>
      <c r="AO520" s="1273"/>
      <c r="AP520" s="1273"/>
      <c r="AQ520" s="778"/>
      <c r="AR520" s="778"/>
      <c r="AS520" s="778"/>
      <c r="AT520" s="1208"/>
      <c r="AU520" s="1210"/>
      <c r="AV520" s="1210"/>
      <c r="AW520" s="2329"/>
      <c r="AX520" s="1428"/>
      <c r="AY520" s="684"/>
      <c r="AZ520" s="1868"/>
      <c r="BA520" s="1280"/>
      <c r="BB520" s="1802"/>
      <c r="BC520" s="687"/>
      <c r="BD520" s="2339" t="s">
        <v>384</v>
      </c>
      <c r="BE520" s="687"/>
      <c r="BF520" s="1794"/>
      <c r="BG520" s="2157"/>
      <c r="BH520" s="1401"/>
      <c r="BI520" s="1556"/>
      <c r="BJ520" s="1556" t="s">
        <v>350</v>
      </c>
      <c r="BK520" s="2153"/>
      <c r="BL520" s="1168"/>
      <c r="BM520" s="2338" t="s">
        <v>350</v>
      </c>
      <c r="BN520" s="1168"/>
      <c r="BO520" s="1107"/>
      <c r="BP520" s="1107"/>
      <c r="BQ520" s="1642"/>
      <c r="BR520" s="1107"/>
      <c r="BS520" s="182"/>
      <c r="BT520" s="182"/>
      <c r="BU520" s="182"/>
      <c r="BV520" s="1107"/>
      <c r="BW520" s="1107"/>
      <c r="BX520" s="1642"/>
      <c r="BY520" s="1107"/>
      <c r="BZ520" s="183"/>
      <c r="CA520" s="183"/>
      <c r="CB520" s="183"/>
      <c r="CC520" s="184"/>
      <c r="CD520" s="184"/>
      <c r="CE520" s="184"/>
    </row>
    <row r="521" spans="1:83" ht="18.600000000000001" customHeight="1" x14ac:dyDescent="0.4">
      <c r="A521" s="249"/>
      <c r="B521" s="249"/>
      <c r="C521" s="584" t="s">
        <v>307</v>
      </c>
      <c r="D521" s="1948"/>
      <c r="E521" s="1949"/>
      <c r="F521" s="1950"/>
      <c r="G521" s="1948"/>
      <c r="H521" s="1949"/>
      <c r="I521" s="1951"/>
      <c r="J521" s="1948"/>
      <c r="K521" s="1950"/>
      <c r="L521" s="1951"/>
      <c r="M521" s="1948"/>
      <c r="N521" s="1962"/>
      <c r="O521" s="1948"/>
      <c r="P521" s="1948"/>
      <c r="Q521" s="1950"/>
      <c r="R521" s="1951"/>
      <c r="S521" s="1954"/>
      <c r="T521" s="1948"/>
      <c r="U521" s="1948"/>
      <c r="V521" s="1954"/>
      <c r="W521" s="1948"/>
      <c r="X521" s="1954"/>
      <c r="Y521" s="1948"/>
      <c r="Z521" s="1962"/>
      <c r="AA521" s="1948"/>
      <c r="AB521" s="1948"/>
      <c r="AC521" s="1948"/>
      <c r="AD521" s="1948"/>
      <c r="AE521" s="1385"/>
      <c r="AF521" s="2340"/>
      <c r="AG521" s="1624"/>
      <c r="AH521" s="793"/>
      <c r="AI521" s="793" t="s">
        <v>336</v>
      </c>
      <c r="AJ521" s="793"/>
      <c r="AK521" s="1283"/>
      <c r="AL521" s="1283"/>
      <c r="AM521" s="1285"/>
      <c r="AN521" s="1273"/>
      <c r="AO521" s="1872"/>
      <c r="AP521" s="1273"/>
      <c r="AQ521" s="779"/>
      <c r="AR521" s="2217"/>
      <c r="AS521" s="1409"/>
      <c r="AT521" s="1208"/>
      <c r="AU521" s="1724"/>
      <c r="AV521" s="1210"/>
      <c r="AW521" s="2329"/>
      <c r="AX521" s="1428"/>
      <c r="AY521" s="684"/>
      <c r="AZ521" s="1868"/>
      <c r="BA521" s="1280"/>
      <c r="BB521" s="1802"/>
      <c r="BC521" s="1958"/>
      <c r="BD521" s="2339"/>
      <c r="BE521" s="908"/>
      <c r="BF521" s="1794"/>
      <c r="BG521" s="2157"/>
      <c r="BH521" s="1401"/>
      <c r="BI521" s="1556"/>
      <c r="BJ521" s="1789"/>
      <c r="BK521" s="2296"/>
      <c r="BL521" s="2341"/>
      <c r="BM521" s="2215"/>
      <c r="BN521" s="2342"/>
      <c r="BO521" s="1107"/>
      <c r="BP521" s="1107"/>
      <c r="BQ521" s="1642"/>
      <c r="BR521" s="1107"/>
      <c r="BS521" s="182"/>
      <c r="BT521" s="182"/>
      <c r="BU521" s="182"/>
      <c r="BV521" s="1107"/>
      <c r="BW521" s="1107"/>
      <c r="BX521" s="1642"/>
      <c r="BY521" s="1107"/>
      <c r="BZ521" s="183"/>
      <c r="CA521" s="183"/>
      <c r="CB521" s="183"/>
      <c r="CC521" s="184"/>
      <c r="CD521" s="184"/>
      <c r="CE521" s="184"/>
    </row>
    <row r="522" spans="1:83" ht="14.85" customHeight="1" x14ac:dyDescent="0.4">
      <c r="A522" s="249"/>
      <c r="B522" s="249"/>
      <c r="C522" s="584" t="s">
        <v>307</v>
      </c>
      <c r="D522" s="1948"/>
      <c r="E522" s="1949"/>
      <c r="F522" s="1950"/>
      <c r="G522" s="1948"/>
      <c r="H522" s="1949"/>
      <c r="I522" s="1951"/>
      <c r="J522" s="1948"/>
      <c r="K522" s="1950"/>
      <c r="L522" s="1951"/>
      <c r="M522" s="1948"/>
      <c r="N522" s="1962"/>
      <c r="O522" s="1948"/>
      <c r="P522" s="1948"/>
      <c r="Q522" s="1950"/>
      <c r="R522" s="1951"/>
      <c r="S522" s="1954"/>
      <c r="T522" s="1948"/>
      <c r="U522" s="1948"/>
      <c r="V522" s="1954"/>
      <c r="W522" s="1948"/>
      <c r="X522" s="1954"/>
      <c r="Y522" s="1948"/>
      <c r="Z522" s="1962"/>
      <c r="AA522" s="1948"/>
      <c r="AB522" s="1948"/>
      <c r="AC522" s="1948"/>
      <c r="AD522" s="1948"/>
      <c r="AE522" s="1591"/>
      <c r="AF522" s="2340"/>
      <c r="AG522" s="1624"/>
      <c r="AH522" s="1594"/>
      <c r="AI522" s="1160"/>
      <c r="AJ522" s="1160"/>
      <c r="AK522" s="1200"/>
      <c r="AL522" s="1285"/>
      <c r="AM522" s="1285"/>
      <c r="AN522" s="1273"/>
      <c r="AO522" s="2212"/>
      <c r="AP522" s="1273"/>
      <c r="AQ522" s="779"/>
      <c r="AR522" s="2217"/>
      <c r="AS522" s="1409"/>
      <c r="AT522" s="1208"/>
      <c r="AU522" s="1724"/>
      <c r="AV522" s="1210"/>
      <c r="AW522" s="2329"/>
      <c r="AX522" s="1121"/>
      <c r="AY522" s="684"/>
      <c r="AZ522" s="1868"/>
      <c r="BA522" s="1258"/>
      <c r="BB522" s="1802"/>
      <c r="BC522" s="1958"/>
      <c r="BD522" s="967"/>
      <c r="BE522" s="908"/>
      <c r="BF522" s="1794"/>
      <c r="BG522" s="2157"/>
      <c r="BH522" s="1401"/>
      <c r="BI522" s="1670"/>
      <c r="BJ522" s="1773"/>
      <c r="BK522" s="1871"/>
      <c r="BL522" s="1576"/>
      <c r="BM522" s="1168"/>
      <c r="BN522" s="1630"/>
      <c r="BO522" s="1107"/>
      <c r="BP522" s="1107"/>
      <c r="BQ522" s="1642"/>
      <c r="BR522" s="1107"/>
      <c r="BS522" s="182"/>
      <c r="BT522" s="182"/>
      <c r="BU522" s="182"/>
      <c r="BV522" s="1107"/>
      <c r="BW522" s="1107"/>
      <c r="BX522" s="1642"/>
      <c r="BY522" s="1107"/>
      <c r="BZ522" s="183"/>
      <c r="CA522" s="183"/>
      <c r="CB522" s="183"/>
      <c r="CC522" s="184"/>
      <c r="CD522" s="184"/>
      <c r="CE522" s="184"/>
    </row>
    <row r="523" spans="1:83" ht="21" customHeight="1" x14ac:dyDescent="0.4">
      <c r="A523" s="249"/>
      <c r="B523" s="249"/>
      <c r="C523" s="584">
        <v>0.90972222222222199</v>
      </c>
      <c r="D523" s="1948"/>
      <c r="E523" s="1949"/>
      <c r="F523" s="1950"/>
      <c r="G523" s="1948"/>
      <c r="H523" s="1949"/>
      <c r="I523" s="1951"/>
      <c r="J523" s="1948"/>
      <c r="K523" s="1950"/>
      <c r="L523" s="1951"/>
      <c r="M523" s="1948"/>
      <c r="N523" s="1962"/>
      <c r="O523" s="1948"/>
      <c r="P523" s="1948"/>
      <c r="Q523" s="1950"/>
      <c r="R523" s="1951"/>
      <c r="S523" s="1954"/>
      <c r="T523" s="1948"/>
      <c r="U523" s="1948"/>
      <c r="V523" s="1954"/>
      <c r="W523" s="1948"/>
      <c r="X523" s="1954"/>
      <c r="Y523" s="1948"/>
      <c r="Z523" s="1962"/>
      <c r="AA523" s="1948"/>
      <c r="AB523" s="1948"/>
      <c r="AC523" s="1948"/>
      <c r="AD523" s="1948"/>
      <c r="AE523" s="1169"/>
      <c r="AF523" s="1169" t="s">
        <v>564</v>
      </c>
      <c r="AG523" s="1169"/>
      <c r="AH523" s="1594"/>
      <c r="AI523" s="1160"/>
      <c r="AJ523" s="1256"/>
      <c r="AK523" s="1200"/>
      <c r="AL523" s="2553" t="s">
        <v>470</v>
      </c>
      <c r="AM523" s="1285"/>
      <c r="AN523" s="1273"/>
      <c r="AO523" s="1273"/>
      <c r="AP523" s="2345"/>
      <c r="AQ523" s="779"/>
      <c r="AR523" s="2346"/>
      <c r="AS523" s="1409"/>
      <c r="AT523" s="1665"/>
      <c r="AU523" s="1884"/>
      <c r="AV523" s="1665"/>
      <c r="AW523" s="1772"/>
      <c r="AX523" s="1403"/>
      <c r="AY523" s="2315"/>
      <c r="AZ523" s="1868"/>
      <c r="BA523" s="2347" t="s">
        <v>565</v>
      </c>
      <c r="BB523" s="1802"/>
      <c r="BC523" s="687"/>
      <c r="BD523" s="1259"/>
      <c r="BE523" s="908"/>
      <c r="BF523" s="1794"/>
      <c r="BG523" s="2157"/>
      <c r="BH523" s="1883"/>
      <c r="BI523" s="2348"/>
      <c r="BJ523" s="2349" t="s">
        <v>566</v>
      </c>
      <c r="BK523" s="2350"/>
      <c r="BL523" s="1576"/>
      <c r="BM523" s="2351" t="s">
        <v>563</v>
      </c>
      <c r="BN523" s="1630"/>
      <c r="BO523" s="1107"/>
      <c r="BP523" s="1404"/>
      <c r="BQ523" s="1107"/>
      <c r="BR523" s="1779"/>
      <c r="BS523" s="2236"/>
      <c r="BT523" s="182"/>
      <c r="BU523" s="2236"/>
      <c r="BV523" s="1107"/>
      <c r="BW523" s="1404"/>
      <c r="BX523" s="1107"/>
      <c r="BY523" s="1779"/>
      <c r="BZ523" s="2237"/>
      <c r="CA523" s="183"/>
      <c r="CB523" s="2237"/>
      <c r="CC523" s="2238"/>
      <c r="CD523" s="184"/>
      <c r="CE523" s="2238"/>
    </row>
    <row r="524" spans="1:83" ht="21.6" customHeight="1" x14ac:dyDescent="0.4">
      <c r="A524" s="249"/>
      <c r="B524" s="249"/>
      <c r="C524" s="584" t="s">
        <v>307</v>
      </c>
      <c r="D524" s="1948"/>
      <c r="E524" s="1949"/>
      <c r="F524" s="1950"/>
      <c r="G524" s="1948"/>
      <c r="H524" s="1949"/>
      <c r="I524" s="1951"/>
      <c r="J524" s="1948"/>
      <c r="K524" s="1950"/>
      <c r="L524" s="1951"/>
      <c r="M524" s="1948"/>
      <c r="N524" s="1962"/>
      <c r="O524" s="1948"/>
      <c r="P524" s="1948"/>
      <c r="Q524" s="1950"/>
      <c r="R524" s="1951"/>
      <c r="S524" s="1954"/>
      <c r="T524" s="1948"/>
      <c r="U524" s="1948"/>
      <c r="V524" s="1954"/>
      <c r="W524" s="1948"/>
      <c r="X524" s="1954"/>
      <c r="Y524" s="1948"/>
      <c r="Z524" s="1962"/>
      <c r="AA524" s="1948"/>
      <c r="AB524" s="1948"/>
      <c r="AC524" s="1948"/>
      <c r="AD524" s="1948"/>
      <c r="AE524" s="1591"/>
      <c r="AF524" s="1967"/>
      <c r="AG524" s="1624"/>
      <c r="AH524" s="1594"/>
      <c r="AI524" s="1160"/>
      <c r="AJ524" s="1256"/>
      <c r="AK524" s="1200"/>
      <c r="AL524" s="1283"/>
      <c r="AM524" s="1285"/>
      <c r="AN524" s="1273"/>
      <c r="AO524" s="1273"/>
      <c r="AP524" s="2345"/>
      <c r="AQ524" s="778"/>
      <c r="AR524" s="778"/>
      <c r="AS524" s="1409"/>
      <c r="AT524" s="1392"/>
      <c r="AU524" s="1724"/>
      <c r="AV524" s="1394"/>
      <c r="AW524" s="2329"/>
      <c r="AX524" s="1428"/>
      <c r="AY524" s="684"/>
      <c r="AZ524" s="1868"/>
      <c r="BA524" s="1280"/>
      <c r="BB524" s="1802"/>
      <c r="BC524" s="687"/>
      <c r="BD524" s="967"/>
      <c r="BE524" s="908"/>
      <c r="BF524" s="1794"/>
      <c r="BG524" s="2157"/>
      <c r="BH524" s="1401"/>
      <c r="BI524" s="1773"/>
      <c r="BJ524" s="2127"/>
      <c r="BK524" s="1871"/>
      <c r="BL524" s="1576"/>
      <c r="BM524" s="1168"/>
      <c r="BN524" s="1630"/>
      <c r="BO524" s="1107"/>
      <c r="BP524" s="1642"/>
      <c r="BQ524" s="1107"/>
      <c r="BR524" s="1642"/>
      <c r="BS524" s="182"/>
      <c r="BT524" s="182"/>
      <c r="BU524" s="182"/>
      <c r="BV524" s="1107"/>
      <c r="BW524" s="1642"/>
      <c r="BX524" s="1107"/>
      <c r="BY524" s="1642"/>
      <c r="BZ524" s="183"/>
      <c r="CA524" s="183"/>
      <c r="CB524" s="183"/>
      <c r="CC524" s="184"/>
      <c r="CD524" s="184"/>
      <c r="CE524" s="184"/>
    </row>
    <row r="525" spans="1:83" ht="24.6" customHeight="1" x14ac:dyDescent="0.4">
      <c r="A525" s="249"/>
      <c r="B525" s="249"/>
      <c r="C525" s="584" t="s">
        <v>307</v>
      </c>
      <c r="D525" s="1948"/>
      <c r="E525" s="1949"/>
      <c r="F525" s="1950"/>
      <c r="G525" s="1948"/>
      <c r="H525" s="1949"/>
      <c r="I525" s="1951"/>
      <c r="J525" s="1948"/>
      <c r="K525" s="1950"/>
      <c r="L525" s="1951"/>
      <c r="M525" s="1948"/>
      <c r="N525" s="1962"/>
      <c r="O525" s="1948"/>
      <c r="P525" s="1948"/>
      <c r="Q525" s="1950"/>
      <c r="R525" s="1951"/>
      <c r="S525" s="1954"/>
      <c r="T525" s="1948"/>
      <c r="U525" s="1948"/>
      <c r="V525" s="1954"/>
      <c r="W525" s="1948"/>
      <c r="X525" s="1954"/>
      <c r="Y525" s="1948"/>
      <c r="Z525" s="1962"/>
      <c r="AA525" s="1948"/>
      <c r="AB525" s="1948"/>
      <c r="AC525" s="1948"/>
      <c r="AD525" s="1948"/>
      <c r="AE525" s="1591"/>
      <c r="AF525" s="1967"/>
      <c r="AG525" s="1385"/>
      <c r="AH525" s="1160"/>
      <c r="AI525" s="1160"/>
      <c r="AJ525" s="1160"/>
      <c r="AK525" s="1283"/>
      <c r="AL525" s="1283"/>
      <c r="AM525" s="1283"/>
      <c r="AN525" s="1273"/>
      <c r="AO525" s="1273"/>
      <c r="AP525" s="1619"/>
      <c r="AQ525" s="778"/>
      <c r="AR525" s="778"/>
      <c r="AS525" s="778"/>
      <c r="AT525" s="1392"/>
      <c r="AU525" s="1210"/>
      <c r="AV525" s="1394"/>
      <c r="AW525" s="684"/>
      <c r="AX525" s="1169"/>
      <c r="AY525" s="684"/>
      <c r="AZ525" s="1868"/>
      <c r="BA525" s="1214"/>
      <c r="BB525" s="1802"/>
      <c r="BC525" s="687"/>
      <c r="BD525" s="967"/>
      <c r="BE525" s="687"/>
      <c r="BF525" s="1794"/>
      <c r="BG525" s="2157"/>
      <c r="BH525" s="1883"/>
      <c r="BI525" s="1556"/>
      <c r="BJ525" s="1556"/>
      <c r="BK525" s="1556"/>
      <c r="BL525" s="1168"/>
      <c r="BM525" s="1168"/>
      <c r="BN525" s="1168"/>
      <c r="BO525" s="1107"/>
      <c r="BP525" s="1107"/>
      <c r="BQ525" s="1161"/>
      <c r="BR525" s="1107"/>
      <c r="BS525" s="182"/>
      <c r="BT525" s="1732"/>
      <c r="BU525" s="182"/>
      <c r="BV525" s="1107"/>
      <c r="BW525" s="1107"/>
      <c r="BX525" s="1161"/>
      <c r="BY525" s="1107"/>
      <c r="BZ525" s="183"/>
      <c r="CA525" s="1735"/>
      <c r="CB525" s="183"/>
      <c r="CC525" s="184"/>
      <c r="CD525" s="1738"/>
      <c r="CE525" s="184"/>
    </row>
    <row r="526" spans="1:83" ht="24.6" customHeight="1" x14ac:dyDescent="0.4">
      <c r="A526" s="249"/>
      <c r="B526" s="249"/>
      <c r="C526" s="621">
        <v>0.91319444444444398</v>
      </c>
      <c r="D526" s="1948"/>
      <c r="E526" s="1949"/>
      <c r="F526" s="1950"/>
      <c r="G526" s="1948"/>
      <c r="H526" s="1949"/>
      <c r="I526" s="1951"/>
      <c r="J526" s="1948"/>
      <c r="K526" s="1950"/>
      <c r="L526" s="1951"/>
      <c r="M526" s="1948"/>
      <c r="N526" s="1962"/>
      <c r="O526" s="1948"/>
      <c r="P526" s="1948"/>
      <c r="Q526" s="1950"/>
      <c r="R526" s="1951"/>
      <c r="S526" s="1954"/>
      <c r="T526" s="1948"/>
      <c r="U526" s="1948"/>
      <c r="V526" s="1954"/>
      <c r="W526" s="1948"/>
      <c r="X526" s="1954"/>
      <c r="Y526" s="1948"/>
      <c r="Z526" s="1962"/>
      <c r="AA526" s="1948"/>
      <c r="AB526" s="1948"/>
      <c r="AC526" s="1948"/>
      <c r="AD526" s="1948"/>
      <c r="AE526" s="1591"/>
      <c r="AF526" s="1967"/>
      <c r="AG526" s="1385"/>
      <c r="AH526" s="1160"/>
      <c r="AI526" s="1160"/>
      <c r="AJ526" s="1160"/>
      <c r="AK526" s="1283"/>
      <c r="AL526" s="1283"/>
      <c r="AM526" s="1283"/>
      <c r="AN526" s="1273"/>
      <c r="AO526" s="1273"/>
      <c r="AP526" s="1619"/>
      <c r="AQ526" s="778"/>
      <c r="AR526" s="778"/>
      <c r="AS526" s="778"/>
      <c r="AT526" s="1392"/>
      <c r="AU526" s="1210"/>
      <c r="AV526" s="1394"/>
      <c r="AW526" s="684"/>
      <c r="AX526" s="2809" t="s">
        <v>567</v>
      </c>
      <c r="AY526" s="684"/>
      <c r="AZ526" s="1868"/>
      <c r="BA526" s="2352"/>
      <c r="BB526" s="1802"/>
      <c r="BC526" s="687"/>
      <c r="BD526" s="967"/>
      <c r="BE526" s="687"/>
      <c r="BF526" s="1794"/>
      <c r="BG526" s="2157"/>
      <c r="BH526" s="1401"/>
      <c r="BI526" s="1543"/>
      <c r="BJ526" s="1543"/>
      <c r="BK526" s="1543"/>
      <c r="BL526" s="1168"/>
      <c r="BM526" s="1168"/>
      <c r="BN526" s="1168"/>
      <c r="BO526" s="1107"/>
      <c r="BP526" s="1107"/>
      <c r="BQ526" s="1161"/>
      <c r="BR526" s="1107"/>
      <c r="BS526" s="182"/>
      <c r="BT526" s="1732"/>
      <c r="BU526" s="182"/>
      <c r="BV526" s="1107"/>
      <c r="BW526" s="1107"/>
      <c r="BX526" s="1161"/>
      <c r="BY526" s="1107"/>
      <c r="BZ526" s="183"/>
      <c r="CA526" s="1735"/>
      <c r="CB526" s="183"/>
      <c r="CC526" s="184"/>
      <c r="CD526" s="1738"/>
      <c r="CE526" s="184"/>
    </row>
    <row r="527" spans="1:83" ht="14.85" customHeight="1" x14ac:dyDescent="0.4">
      <c r="A527" s="249"/>
      <c r="B527" s="249"/>
      <c r="C527" s="2353" t="s">
        <v>542</v>
      </c>
      <c r="D527" s="2354"/>
      <c r="E527" s="2025"/>
      <c r="F527" s="2026"/>
      <c r="G527" s="2024"/>
      <c r="H527" s="2025"/>
      <c r="I527" s="2097"/>
      <c r="J527" s="2024"/>
      <c r="K527" s="2026"/>
      <c r="L527" s="2097"/>
      <c r="M527" s="2024"/>
      <c r="N527" s="2028"/>
      <c r="O527" s="2024"/>
      <c r="P527" s="2024"/>
      <c r="Q527" s="2026"/>
      <c r="R527" s="2097"/>
      <c r="S527" s="2027"/>
      <c r="T527" s="2024"/>
      <c r="U527" s="2024"/>
      <c r="V527" s="2027"/>
      <c r="W527" s="2024"/>
      <c r="X527" s="2027"/>
      <c r="Y527" s="2024"/>
      <c r="Z527" s="2028"/>
      <c r="AA527" s="2024"/>
      <c r="AB527" s="2024"/>
      <c r="AC527" s="2024"/>
      <c r="AD527" s="2024"/>
      <c r="AE527" s="1493"/>
      <c r="AF527" s="2355"/>
      <c r="AG527" s="1686"/>
      <c r="AH527" s="1687"/>
      <c r="AI527" s="1687"/>
      <c r="AJ527" s="1687"/>
      <c r="AK527" s="1688"/>
      <c r="AL527" s="1920"/>
      <c r="AM527" s="1688"/>
      <c r="AN527" s="1500"/>
      <c r="AO527" s="2356"/>
      <c r="AP527" s="1500"/>
      <c r="AQ527" s="1692"/>
      <c r="AR527" s="1835"/>
      <c r="AS527" s="1692"/>
      <c r="AT527" s="1503"/>
      <c r="AU527" s="1693"/>
      <c r="AV527" s="1505"/>
      <c r="AW527" s="814"/>
      <c r="AX527" s="2198"/>
      <c r="AY527" s="814"/>
      <c r="AZ527" s="1929"/>
      <c r="BA527" s="2357"/>
      <c r="BB527" s="1837"/>
      <c r="BC527" s="1932"/>
      <c r="BD527" s="2105"/>
      <c r="BE527" s="1932"/>
      <c r="BF527" s="2358"/>
      <c r="BG527" s="2358"/>
      <c r="BH527" s="2358"/>
      <c r="BI527" s="1699"/>
      <c r="BJ527" s="1699"/>
      <c r="BK527" s="1699"/>
      <c r="BL527" s="1700"/>
      <c r="BM527" s="1700"/>
      <c r="BN527" s="1700"/>
      <c r="BO527" s="1702"/>
      <c r="BP527" s="1702"/>
      <c r="BQ527" s="1702"/>
      <c r="BR527" s="1702"/>
      <c r="BS527" s="243"/>
      <c r="BT527" s="243"/>
      <c r="BU527" s="243"/>
      <c r="BV527" s="1702"/>
      <c r="BW527" s="1702"/>
      <c r="BX527" s="1702"/>
      <c r="BY527" s="1702"/>
      <c r="BZ527" s="245"/>
      <c r="CA527" s="245"/>
      <c r="CB527" s="245"/>
      <c r="CC527" s="1841"/>
      <c r="CD527" s="1841"/>
      <c r="CE527" s="1841"/>
    </row>
    <row r="528" spans="1:83" ht="14.85" customHeight="1" x14ac:dyDescent="0.4">
      <c r="A528" s="249"/>
      <c r="B528" s="249"/>
      <c r="C528" s="622">
        <v>0.91666666666666663</v>
      </c>
      <c r="D528" s="249"/>
      <c r="E528" s="4"/>
      <c r="F528" s="2359"/>
      <c r="G528" s="249"/>
      <c r="H528" s="4"/>
      <c r="I528" s="3"/>
      <c r="J528" s="249"/>
      <c r="K528" s="2359"/>
      <c r="L528" s="3"/>
      <c r="M528" s="249"/>
      <c r="N528" s="249"/>
      <c r="O528" s="2360"/>
      <c r="P528" s="249"/>
      <c r="Q528" s="2359"/>
      <c r="R528" s="3"/>
      <c r="S528" s="8"/>
      <c r="T528" s="249"/>
      <c r="U528" s="249"/>
      <c r="V528" s="8"/>
      <c r="W528" s="249"/>
      <c r="X528" s="8"/>
      <c r="Y528" s="249"/>
      <c r="Z528" s="249"/>
      <c r="AA528" s="2360"/>
      <c r="AB528" s="249"/>
      <c r="AC528" s="249"/>
      <c r="AD528" s="249"/>
      <c r="AE528" s="2361"/>
      <c r="AF528" s="2362"/>
      <c r="AG528" s="2361"/>
      <c r="AH528" s="2361"/>
      <c r="AI528" s="2362"/>
      <c r="AJ528" s="2361"/>
      <c r="AK528" s="249"/>
      <c r="AL528" s="249"/>
      <c r="AM528" s="4"/>
      <c r="AN528" s="249"/>
      <c r="AO528" s="249"/>
      <c r="AP528" s="4"/>
      <c r="AQ528" s="249"/>
      <c r="AR528" s="249"/>
      <c r="AS528" s="4"/>
      <c r="AT528" s="249"/>
      <c r="AU528" s="249"/>
      <c r="AV528" s="4"/>
      <c r="AW528" s="249"/>
      <c r="AX528" s="249"/>
      <c r="AY528" s="4"/>
      <c r="AZ528" s="10"/>
      <c r="BA528" s="10"/>
      <c r="BB528" s="10"/>
      <c r="BC528" s="10"/>
      <c r="BD528" s="10"/>
      <c r="BE528" s="10"/>
      <c r="BF528" s="249"/>
      <c r="BG528" s="249"/>
      <c r="BH528" s="4"/>
      <c r="BI528" s="249"/>
      <c r="BJ528" s="249"/>
      <c r="BK528" s="4"/>
      <c r="BL528" s="10"/>
      <c r="BM528" s="10"/>
      <c r="BN528" s="10"/>
      <c r="BO528" s="10"/>
      <c r="BP528" s="10"/>
      <c r="BQ528" s="10"/>
      <c r="BR528" s="10"/>
      <c r="BS528" s="2208"/>
      <c r="BT528" s="182" t="s">
        <v>271</v>
      </c>
      <c r="BU528" s="1783"/>
      <c r="BV528" s="10"/>
      <c r="BW528" s="10"/>
      <c r="BX528" s="10"/>
      <c r="BY528" s="10"/>
      <c r="BZ528" s="1893"/>
      <c r="CA528" s="183" t="s">
        <v>271</v>
      </c>
      <c r="CB528" s="1784"/>
      <c r="CC528" s="2120"/>
      <c r="CD528" s="184"/>
      <c r="CE528" s="1785"/>
    </row>
    <row r="529" spans="1:83" ht="27" customHeight="1" x14ac:dyDescent="0.4">
      <c r="A529" s="249"/>
      <c r="B529" s="249"/>
      <c r="C529" s="584" t="s">
        <v>307</v>
      </c>
      <c r="D529" s="249"/>
      <c r="E529" s="4"/>
      <c r="F529" s="2359"/>
      <c r="G529" s="249"/>
      <c r="H529" s="4"/>
      <c r="I529" s="3"/>
      <c r="J529" s="249"/>
      <c r="K529" s="2359"/>
      <c r="L529" s="3"/>
      <c r="M529" s="249"/>
      <c r="N529" s="249"/>
      <c r="O529" s="2360"/>
      <c r="P529" s="249"/>
      <c r="Q529" s="2359"/>
      <c r="R529" s="3"/>
      <c r="S529" s="8"/>
      <c r="T529" s="249"/>
      <c r="U529" s="249"/>
      <c r="V529" s="8"/>
      <c r="W529" s="249"/>
      <c r="X529" s="8"/>
      <c r="Y529" s="249"/>
      <c r="Z529" s="249"/>
      <c r="AA529" s="2360"/>
      <c r="AB529" s="249"/>
      <c r="AC529" s="249"/>
      <c r="AD529" s="249"/>
      <c r="AE529" s="2361"/>
      <c r="AF529" s="2362"/>
      <c r="AG529" s="2361"/>
      <c r="AH529" s="2363"/>
      <c r="AI529" s="2364"/>
      <c r="AJ529" s="2361"/>
      <c r="AK529" s="249"/>
      <c r="AL529" s="249"/>
      <c r="AM529" s="4"/>
      <c r="AN529" s="249"/>
      <c r="AO529" s="249"/>
      <c r="AP529" s="4"/>
      <c r="AQ529" s="249"/>
      <c r="AR529" s="249"/>
      <c r="AS529" s="4"/>
      <c r="AT529" s="249"/>
      <c r="AU529" s="249"/>
      <c r="AV529" s="4"/>
      <c r="AW529" s="249"/>
      <c r="AX529" s="249"/>
      <c r="AY529" s="4"/>
      <c r="AZ529" s="10"/>
      <c r="BA529" s="10"/>
      <c r="BB529" s="10"/>
      <c r="BC529" s="10"/>
      <c r="BD529" s="10"/>
      <c r="BE529" s="10"/>
      <c r="BF529" s="249"/>
      <c r="BG529" s="249"/>
      <c r="BH529" s="4"/>
      <c r="BI529" s="249"/>
      <c r="BJ529" s="249"/>
      <c r="BK529" s="4"/>
      <c r="BL529" s="10"/>
      <c r="BM529" s="10"/>
      <c r="BN529" s="10"/>
      <c r="BO529" s="10"/>
      <c r="BP529" s="10"/>
      <c r="BQ529" s="10"/>
      <c r="BR529" s="10"/>
      <c r="BS529" s="182"/>
      <c r="BT529" s="182" t="s">
        <v>310</v>
      </c>
      <c r="BU529" s="182"/>
      <c r="BV529" s="10"/>
      <c r="BW529" s="10"/>
      <c r="BX529" s="10"/>
      <c r="BY529" s="10"/>
      <c r="BZ529" s="2008"/>
      <c r="CA529" s="183" t="s">
        <v>310</v>
      </c>
      <c r="CB529" s="1784"/>
      <c r="CC529" s="2009"/>
      <c r="CD529" s="184"/>
      <c r="CE529" s="1785"/>
    </row>
    <row r="530" spans="1:83" ht="14.85" customHeight="1" x14ac:dyDescent="0.4">
      <c r="A530" s="249"/>
      <c r="B530" s="249"/>
      <c r="C530" s="584">
        <v>0.92013888888888884</v>
      </c>
      <c r="D530" s="249"/>
      <c r="E530" s="4"/>
      <c r="F530" s="2359"/>
      <c r="G530" s="249"/>
      <c r="H530" s="4"/>
      <c r="I530" s="3"/>
      <c r="J530" s="249"/>
      <c r="K530" s="2359"/>
      <c r="L530" s="3"/>
      <c r="M530" s="249"/>
      <c r="N530" s="249"/>
      <c r="O530" s="2360"/>
      <c r="P530" s="249"/>
      <c r="Q530" s="2359"/>
      <c r="R530" s="3"/>
      <c r="S530" s="8"/>
      <c r="T530" s="249"/>
      <c r="U530" s="249"/>
      <c r="V530" s="8"/>
      <c r="W530" s="249"/>
      <c r="X530" s="8"/>
      <c r="Y530" s="249"/>
      <c r="Z530" s="249"/>
      <c r="AA530" s="2360"/>
      <c r="AB530" s="249"/>
      <c r="AC530" s="249"/>
      <c r="AD530" s="249"/>
      <c r="AE530" s="2361"/>
      <c r="AF530" s="2362"/>
      <c r="AG530" s="2361"/>
      <c r="AH530" s="2363"/>
      <c r="AI530" s="2364"/>
      <c r="AJ530" s="2361"/>
      <c r="AK530" s="249"/>
      <c r="AL530" s="249"/>
      <c r="AM530" s="4"/>
      <c r="AN530" s="249"/>
      <c r="AO530" s="249"/>
      <c r="AP530" s="4"/>
      <c r="AQ530" s="249"/>
      <c r="AR530" s="249"/>
      <c r="AS530" s="4"/>
      <c r="AT530" s="249"/>
      <c r="AU530" s="249"/>
      <c r="AV530" s="4"/>
      <c r="AW530" s="249"/>
      <c r="AX530" s="249"/>
      <c r="AY530" s="4"/>
      <c r="AZ530" s="10"/>
      <c r="BA530" s="10"/>
      <c r="BB530" s="10"/>
      <c r="BC530" s="10"/>
      <c r="BD530" s="10"/>
      <c r="BE530" s="10"/>
      <c r="BF530" s="249"/>
      <c r="BG530" s="249"/>
      <c r="BH530" s="4"/>
      <c r="BI530" s="249"/>
      <c r="BJ530" s="249"/>
      <c r="BK530" s="4"/>
      <c r="BL530" s="10"/>
      <c r="BM530" s="10"/>
      <c r="BN530" s="10"/>
      <c r="BO530" s="10"/>
      <c r="BP530" s="10"/>
      <c r="BQ530" s="10"/>
      <c r="BR530" s="10"/>
      <c r="BS530" s="182"/>
      <c r="BT530" s="182"/>
      <c r="BU530" s="1783"/>
      <c r="BV530" s="10"/>
      <c r="BW530" s="10"/>
      <c r="BX530" s="10"/>
      <c r="BY530" s="10"/>
      <c r="BZ530" s="1893"/>
      <c r="CA530" s="183"/>
      <c r="CB530" s="1784"/>
      <c r="CC530" s="2120"/>
      <c r="CD530" s="184"/>
      <c r="CE530" s="1785"/>
    </row>
    <row r="531" spans="1:83" ht="14.85" customHeight="1" x14ac:dyDescent="0.4">
      <c r="A531" s="249"/>
      <c r="B531" s="249"/>
      <c r="C531" s="584" t="s">
        <v>307</v>
      </c>
      <c r="D531" s="249"/>
      <c r="E531" s="4"/>
      <c r="F531" s="2359"/>
      <c r="G531" s="249"/>
      <c r="H531" s="4"/>
      <c r="I531" s="3"/>
      <c r="J531" s="249"/>
      <c r="K531" s="2359"/>
      <c r="L531" s="3"/>
      <c r="M531" s="249"/>
      <c r="N531" s="249"/>
      <c r="O531" s="2360"/>
      <c r="P531" s="249"/>
      <c r="Q531" s="2359"/>
      <c r="R531" s="3"/>
      <c r="S531" s="8"/>
      <c r="T531" s="249"/>
      <c r="U531" s="249"/>
      <c r="V531" s="8"/>
      <c r="W531" s="249"/>
      <c r="X531" s="8"/>
      <c r="Y531" s="249"/>
      <c r="Z531" s="249"/>
      <c r="AA531" s="2360"/>
      <c r="AB531" s="249"/>
      <c r="AC531" s="249"/>
      <c r="AD531" s="249"/>
      <c r="AE531" s="2361"/>
      <c r="AF531" s="2362"/>
      <c r="AG531" s="2361"/>
      <c r="AH531" s="2363"/>
      <c r="AI531" s="2364"/>
      <c r="AJ531" s="2361"/>
      <c r="AK531" s="249"/>
      <c r="AL531" s="249"/>
      <c r="AM531" s="4"/>
      <c r="AN531" s="249"/>
      <c r="AO531" s="249"/>
      <c r="AP531" s="4"/>
      <c r="AQ531" s="249"/>
      <c r="AR531" s="249"/>
      <c r="AS531" s="4"/>
      <c r="AT531" s="249"/>
      <c r="AU531" s="249"/>
      <c r="AV531" s="4"/>
      <c r="AW531" s="249"/>
      <c r="AX531" s="249"/>
      <c r="AY531" s="4"/>
      <c r="AZ531" s="10"/>
      <c r="BA531" s="10"/>
      <c r="BB531" s="10"/>
      <c r="BC531" s="10"/>
      <c r="BD531" s="10"/>
      <c r="BE531" s="10"/>
      <c r="BF531" s="249"/>
      <c r="BG531" s="249"/>
      <c r="BH531" s="4"/>
      <c r="BI531" s="249"/>
      <c r="BJ531" s="249"/>
      <c r="BK531" s="4"/>
      <c r="BL531" s="10"/>
      <c r="BM531" s="10"/>
      <c r="BN531" s="10"/>
      <c r="BO531" s="10"/>
      <c r="BP531" s="10"/>
      <c r="BQ531" s="10"/>
      <c r="BR531" s="10"/>
      <c r="BS531" s="182"/>
      <c r="BT531" s="182"/>
      <c r="BU531" s="1783"/>
      <c r="BV531" s="10"/>
      <c r="BW531" s="10"/>
      <c r="BX531" s="10"/>
      <c r="BY531" s="10"/>
      <c r="BZ531" s="1893"/>
      <c r="CA531" s="183"/>
      <c r="CB531" s="1784"/>
      <c r="CC531" s="2120"/>
      <c r="CD531" s="184"/>
      <c r="CE531" s="1785"/>
    </row>
    <row r="532" spans="1:83" ht="14.85" customHeight="1" x14ac:dyDescent="0.4">
      <c r="A532" s="249"/>
      <c r="B532" s="249"/>
      <c r="C532" s="584">
        <v>0.92361111111111116</v>
      </c>
      <c r="D532" s="249"/>
      <c r="E532" s="4"/>
      <c r="F532" s="2359"/>
      <c r="G532" s="249"/>
      <c r="H532" s="4"/>
      <c r="I532" s="3"/>
      <c r="J532" s="249"/>
      <c r="K532" s="2359"/>
      <c r="L532" s="3"/>
      <c r="M532" s="249"/>
      <c r="N532" s="249"/>
      <c r="O532" s="2360"/>
      <c r="P532" s="249"/>
      <c r="Q532" s="2359"/>
      <c r="R532" s="3"/>
      <c r="S532" s="8"/>
      <c r="T532" s="249"/>
      <c r="U532" s="249"/>
      <c r="V532" s="8"/>
      <c r="W532" s="249"/>
      <c r="X532" s="8"/>
      <c r="Y532" s="249"/>
      <c r="Z532" s="249"/>
      <c r="AA532" s="2360"/>
      <c r="AB532" s="249"/>
      <c r="AC532" s="249"/>
      <c r="AD532" s="249"/>
      <c r="AE532" s="2361"/>
      <c r="AF532" s="2362"/>
      <c r="AG532" s="2361"/>
      <c r="AH532" s="2363"/>
      <c r="AI532" s="2364"/>
      <c r="AJ532" s="2361"/>
      <c r="AK532" s="249"/>
      <c r="AL532" s="249"/>
      <c r="AM532" s="4"/>
      <c r="AN532" s="249"/>
      <c r="AO532" s="249"/>
      <c r="AP532" s="4"/>
      <c r="AQ532" s="249"/>
      <c r="AR532" s="249"/>
      <c r="AS532" s="4"/>
      <c r="AT532" s="249"/>
      <c r="AU532" s="249"/>
      <c r="AV532" s="4"/>
      <c r="AW532" s="249"/>
      <c r="AX532" s="249"/>
      <c r="AY532" s="4"/>
      <c r="AZ532" s="10"/>
      <c r="BA532" s="10"/>
      <c r="BB532" s="10"/>
      <c r="BC532" s="10"/>
      <c r="BD532" s="10"/>
      <c r="BE532" s="10"/>
      <c r="BF532" s="249"/>
      <c r="BG532" s="249"/>
      <c r="BH532" s="4"/>
      <c r="BI532" s="249"/>
      <c r="BJ532" s="249"/>
      <c r="BK532" s="4"/>
      <c r="BL532" s="10"/>
      <c r="BM532" s="10"/>
      <c r="BN532" s="10"/>
      <c r="BO532" s="10"/>
      <c r="BP532" s="10"/>
      <c r="BQ532" s="10"/>
      <c r="BR532" s="10"/>
      <c r="BS532" s="182"/>
      <c r="BT532" s="182" t="s">
        <v>271</v>
      </c>
      <c r="BU532" s="1783"/>
      <c r="BV532" s="10"/>
      <c r="BW532" s="10"/>
      <c r="BX532" s="10"/>
      <c r="BY532" s="10"/>
      <c r="BZ532" s="1893"/>
      <c r="CA532" s="183" t="s">
        <v>271</v>
      </c>
      <c r="CB532" s="1784"/>
      <c r="CC532" s="2120"/>
      <c r="CD532" s="184"/>
      <c r="CE532" s="1785"/>
    </row>
    <row r="533" spans="1:83" ht="14.85" customHeight="1" x14ac:dyDescent="0.4">
      <c r="A533" s="249"/>
      <c r="B533" s="249"/>
      <c r="C533" s="584" t="s">
        <v>307</v>
      </c>
      <c r="D533" s="249"/>
      <c r="E533" s="4"/>
      <c r="F533" s="2359"/>
      <c r="G533" s="249"/>
      <c r="H533" s="4"/>
      <c r="I533" s="3"/>
      <c r="J533" s="249"/>
      <c r="K533" s="2359"/>
      <c r="L533" s="3"/>
      <c r="M533" s="249"/>
      <c r="N533" s="249"/>
      <c r="O533" s="2360"/>
      <c r="P533" s="249"/>
      <c r="Q533" s="2359"/>
      <c r="R533" s="3"/>
      <c r="S533" s="8"/>
      <c r="T533" s="249"/>
      <c r="U533" s="249"/>
      <c r="V533" s="8"/>
      <c r="W533" s="249"/>
      <c r="X533" s="8"/>
      <c r="Y533" s="249"/>
      <c r="Z533" s="249"/>
      <c r="AA533" s="2360"/>
      <c r="AB533" s="249"/>
      <c r="AC533" s="249"/>
      <c r="AD533" s="249"/>
      <c r="AE533" s="2361"/>
      <c r="AF533" s="2362"/>
      <c r="AG533" s="2361"/>
      <c r="AH533" s="2363"/>
      <c r="AI533" s="2364"/>
      <c r="AJ533" s="2361"/>
      <c r="AK533" s="249"/>
      <c r="AL533" s="249"/>
      <c r="AM533" s="4"/>
      <c r="AN533" s="249"/>
      <c r="AO533" s="249"/>
      <c r="AP533" s="4"/>
      <c r="AQ533" s="249"/>
      <c r="AR533" s="249"/>
      <c r="AS533" s="4"/>
      <c r="AT533" s="249"/>
      <c r="AU533" s="249"/>
      <c r="AV533" s="4"/>
      <c r="AW533" s="249"/>
      <c r="AX533" s="249"/>
      <c r="AY533" s="4"/>
      <c r="AZ533" s="10"/>
      <c r="BA533" s="10"/>
      <c r="BB533" s="10"/>
      <c r="BC533" s="10"/>
      <c r="BD533" s="10"/>
      <c r="BE533" s="10"/>
      <c r="BF533" s="249"/>
      <c r="BG533" s="249"/>
      <c r="BH533" s="4"/>
      <c r="BI533" s="249"/>
      <c r="BJ533" s="249"/>
      <c r="BK533" s="4"/>
      <c r="BL533" s="10"/>
      <c r="BM533" s="10"/>
      <c r="BN533" s="10"/>
      <c r="BO533" s="10"/>
      <c r="BP533" s="10"/>
      <c r="BQ533" s="10"/>
      <c r="BR533" s="10"/>
      <c r="BS533" s="182"/>
      <c r="BT533" s="182"/>
      <c r="BU533" s="1783"/>
      <c r="BV533" s="10"/>
      <c r="BW533" s="10"/>
      <c r="BX533" s="10"/>
      <c r="BY533" s="10"/>
      <c r="BZ533" s="1893"/>
      <c r="CA533" s="183"/>
      <c r="CB533" s="1784"/>
      <c r="CC533" s="2120"/>
      <c r="CD533" s="184"/>
      <c r="CE533" s="1785"/>
    </row>
    <row r="534" spans="1:83" ht="14.85" customHeight="1" x14ac:dyDescent="0.4">
      <c r="A534" s="249"/>
      <c r="B534" s="249"/>
      <c r="C534" s="584">
        <v>0.92708333333333337</v>
      </c>
      <c r="D534" s="249"/>
      <c r="E534" s="4"/>
      <c r="F534" s="2359"/>
      <c r="G534" s="249"/>
      <c r="H534" s="4"/>
      <c r="I534" s="3"/>
      <c r="J534" s="249"/>
      <c r="K534" s="2359"/>
      <c r="L534" s="3"/>
      <c r="M534" s="249"/>
      <c r="N534" s="249"/>
      <c r="O534" s="2360"/>
      <c r="P534" s="249"/>
      <c r="Q534" s="2359"/>
      <c r="R534" s="3"/>
      <c r="S534" s="8"/>
      <c r="T534" s="249"/>
      <c r="U534" s="249"/>
      <c r="V534" s="8"/>
      <c r="W534" s="249"/>
      <c r="X534" s="8"/>
      <c r="Y534" s="249"/>
      <c r="Z534" s="249"/>
      <c r="AA534" s="2360"/>
      <c r="AB534" s="249"/>
      <c r="AC534" s="249"/>
      <c r="AD534" s="249"/>
      <c r="AE534" s="2361"/>
      <c r="AF534" s="2362"/>
      <c r="AG534" s="2361"/>
      <c r="AH534" s="2363"/>
      <c r="AI534" s="2364"/>
      <c r="AJ534" s="2361"/>
      <c r="AK534" s="249"/>
      <c r="AL534" s="249"/>
      <c r="AM534" s="4"/>
      <c r="AN534" s="249"/>
      <c r="AO534" s="249"/>
      <c r="AP534" s="4"/>
      <c r="AQ534" s="249"/>
      <c r="AR534" s="249"/>
      <c r="AS534" s="4"/>
      <c r="AT534" s="249"/>
      <c r="AU534" s="249"/>
      <c r="AV534" s="4"/>
      <c r="AW534" s="249"/>
      <c r="AX534" s="249"/>
      <c r="AY534" s="4"/>
      <c r="AZ534" s="10"/>
      <c r="BA534" s="10"/>
      <c r="BB534" s="10"/>
      <c r="BC534" s="10"/>
      <c r="BD534" s="10"/>
      <c r="BE534" s="10"/>
      <c r="BF534" s="249"/>
      <c r="BG534" s="249"/>
      <c r="BH534" s="4"/>
      <c r="BI534" s="249"/>
      <c r="BJ534" s="249"/>
      <c r="BK534" s="4"/>
      <c r="BL534" s="10"/>
      <c r="BM534" s="10"/>
      <c r="BN534" s="10"/>
      <c r="BO534" s="10"/>
      <c r="BP534" s="10"/>
      <c r="BQ534" s="10"/>
      <c r="BR534" s="10"/>
      <c r="BS534" s="182"/>
      <c r="BT534" s="182" t="s">
        <v>310</v>
      </c>
      <c r="BU534" s="182"/>
      <c r="BV534" s="10"/>
      <c r="BW534" s="10"/>
      <c r="BX534" s="10"/>
      <c r="BY534" s="10"/>
      <c r="BZ534" s="2008"/>
      <c r="CA534" s="183" t="s">
        <v>310</v>
      </c>
      <c r="CB534" s="1784"/>
      <c r="CC534" s="2009"/>
      <c r="CD534" s="184"/>
      <c r="CE534" s="1785"/>
    </row>
    <row r="535" spans="1:83" ht="14.85" customHeight="1" x14ac:dyDescent="0.4">
      <c r="A535" s="249"/>
      <c r="B535" s="249"/>
      <c r="C535" s="584" t="s">
        <v>307</v>
      </c>
      <c r="D535" s="249"/>
      <c r="E535" s="4"/>
      <c r="F535" s="2359"/>
      <c r="G535" s="249"/>
      <c r="H535" s="4"/>
      <c r="I535" s="3"/>
      <c r="J535" s="249"/>
      <c r="K535" s="2359"/>
      <c r="L535" s="3"/>
      <c r="M535" s="249"/>
      <c r="N535" s="249"/>
      <c r="O535" s="2360"/>
      <c r="P535" s="249"/>
      <c r="Q535" s="2359"/>
      <c r="R535" s="3"/>
      <c r="S535" s="8"/>
      <c r="T535" s="249"/>
      <c r="U535" s="249"/>
      <c r="V535" s="8"/>
      <c r="W535" s="249"/>
      <c r="X535" s="8"/>
      <c r="Y535" s="249"/>
      <c r="Z535" s="249"/>
      <c r="AA535" s="2360"/>
      <c r="AB535" s="249"/>
      <c r="AC535" s="249"/>
      <c r="AD535" s="249"/>
      <c r="AE535" s="2361"/>
      <c r="AF535" s="2362"/>
      <c r="AG535" s="2361"/>
      <c r="AH535" s="2363"/>
      <c r="AI535" s="2364"/>
      <c r="AJ535" s="2361"/>
      <c r="AK535" s="249"/>
      <c r="AL535" s="249"/>
      <c r="AM535" s="4"/>
      <c r="AN535" s="249"/>
      <c r="AO535" s="249"/>
      <c r="AP535" s="4"/>
      <c r="AQ535" s="249"/>
      <c r="AR535" s="249"/>
      <c r="AS535" s="4"/>
      <c r="AT535" s="249"/>
      <c r="AU535" s="249"/>
      <c r="AV535" s="4"/>
      <c r="AW535" s="249"/>
      <c r="AX535" s="249"/>
      <c r="AY535" s="4"/>
      <c r="AZ535" s="10"/>
      <c r="BA535" s="10"/>
      <c r="BB535" s="10"/>
      <c r="BC535" s="10"/>
      <c r="BD535" s="10"/>
      <c r="BE535" s="10"/>
      <c r="BF535" s="249"/>
      <c r="BG535" s="249"/>
      <c r="BH535" s="4"/>
      <c r="BI535" s="249"/>
      <c r="BJ535" s="249"/>
      <c r="BK535" s="4"/>
      <c r="BL535" s="10"/>
      <c r="BM535" s="10"/>
      <c r="BN535" s="10"/>
      <c r="BO535" s="10"/>
      <c r="BP535" s="10"/>
      <c r="BQ535" s="10"/>
      <c r="BR535" s="10"/>
      <c r="BS535" s="182"/>
      <c r="BT535" s="182"/>
      <c r="BU535" s="1783"/>
      <c r="BV535" s="10"/>
      <c r="BW535" s="10"/>
      <c r="BX535" s="10"/>
      <c r="BY535" s="10"/>
      <c r="BZ535" s="1893"/>
      <c r="CA535" s="183"/>
      <c r="CB535" s="1784"/>
      <c r="CC535" s="2120"/>
      <c r="CD535" s="184"/>
      <c r="CE535" s="1785"/>
    </row>
    <row r="536" spans="1:83" ht="14.85" customHeight="1" x14ac:dyDescent="0.4">
      <c r="A536" s="249"/>
      <c r="B536" s="249"/>
      <c r="C536" s="584">
        <v>0.93055555555555558</v>
      </c>
      <c r="D536" s="249"/>
      <c r="E536" s="4"/>
      <c r="F536" s="2359"/>
      <c r="G536" s="249"/>
      <c r="H536" s="4"/>
      <c r="I536" s="3"/>
      <c r="J536" s="249"/>
      <c r="K536" s="2359"/>
      <c r="L536" s="3"/>
      <c r="M536" s="249"/>
      <c r="N536" s="249"/>
      <c r="O536" s="2360"/>
      <c r="P536" s="249"/>
      <c r="Q536" s="2359"/>
      <c r="R536" s="3"/>
      <c r="S536" s="8"/>
      <c r="T536" s="249"/>
      <c r="U536" s="249"/>
      <c r="V536" s="8"/>
      <c r="W536" s="249"/>
      <c r="X536" s="8"/>
      <c r="Y536" s="249"/>
      <c r="Z536" s="249"/>
      <c r="AA536" s="2360"/>
      <c r="AB536" s="249"/>
      <c r="AC536" s="249"/>
      <c r="AD536" s="249"/>
      <c r="AE536" s="2361"/>
      <c r="AF536" s="2362"/>
      <c r="AG536" s="2361"/>
      <c r="AH536" s="2363"/>
      <c r="AI536" s="2364"/>
      <c r="AJ536" s="2361"/>
      <c r="AK536" s="249"/>
      <c r="AL536" s="249"/>
      <c r="AM536" s="4"/>
      <c r="AN536" s="249"/>
      <c r="AO536" s="249"/>
      <c r="AP536" s="4"/>
      <c r="AQ536" s="249"/>
      <c r="AR536" s="249"/>
      <c r="AS536" s="4"/>
      <c r="AT536" s="249"/>
      <c r="AU536" s="249"/>
      <c r="AV536" s="4"/>
      <c r="AW536" s="249"/>
      <c r="AX536" s="249"/>
      <c r="AY536" s="4"/>
      <c r="AZ536" s="10"/>
      <c r="BA536" s="10"/>
      <c r="BB536" s="10"/>
      <c r="BC536" s="10"/>
      <c r="BD536" s="10"/>
      <c r="BE536" s="10"/>
      <c r="BF536" s="249"/>
      <c r="BG536" s="249"/>
      <c r="BH536" s="4"/>
      <c r="BI536" s="249"/>
      <c r="BJ536" s="249"/>
      <c r="BK536" s="4"/>
      <c r="BL536" s="10"/>
      <c r="BM536" s="10"/>
      <c r="BN536" s="10"/>
      <c r="BO536" s="10"/>
      <c r="BP536" s="10"/>
      <c r="BQ536" s="10"/>
      <c r="BR536" s="10"/>
      <c r="BS536" s="182"/>
      <c r="BT536" s="182"/>
      <c r="BU536" s="1783"/>
      <c r="BV536" s="10"/>
      <c r="BW536" s="10"/>
      <c r="BX536" s="10"/>
      <c r="BY536" s="10"/>
      <c r="BZ536" s="1893"/>
      <c r="CA536" s="183"/>
      <c r="CB536" s="1784"/>
      <c r="CC536" s="2120"/>
      <c r="CD536" s="184"/>
      <c r="CE536" s="1785"/>
    </row>
    <row r="537" spans="1:83" ht="14.85" customHeight="1" x14ac:dyDescent="0.4">
      <c r="A537" s="249"/>
      <c r="B537" s="249"/>
      <c r="C537" s="584" t="s">
        <v>307</v>
      </c>
      <c r="D537" s="249"/>
      <c r="E537" s="4"/>
      <c r="F537" s="2359"/>
      <c r="G537" s="249"/>
      <c r="H537" s="4"/>
      <c r="I537" s="3"/>
      <c r="J537" s="249"/>
      <c r="K537" s="2359"/>
      <c r="L537" s="3"/>
      <c r="M537" s="249"/>
      <c r="N537" s="249"/>
      <c r="O537" s="2360"/>
      <c r="P537" s="249"/>
      <c r="Q537" s="2359"/>
      <c r="R537" s="3"/>
      <c r="S537" s="8"/>
      <c r="T537" s="249"/>
      <c r="U537" s="249"/>
      <c r="V537" s="8"/>
      <c r="W537" s="249"/>
      <c r="X537" s="8"/>
      <c r="Y537" s="249"/>
      <c r="Z537" s="249"/>
      <c r="AA537" s="2360"/>
      <c r="AB537" s="249"/>
      <c r="AC537" s="249"/>
      <c r="AD537" s="249"/>
      <c r="AE537" s="2361"/>
      <c r="AF537" s="2362"/>
      <c r="AG537" s="2361"/>
      <c r="AH537" s="2363"/>
      <c r="AI537" s="2364"/>
      <c r="AJ537" s="2361"/>
      <c r="AK537" s="249"/>
      <c r="AL537" s="249"/>
      <c r="AM537" s="4"/>
      <c r="AN537" s="249"/>
      <c r="AO537" s="249"/>
      <c r="AP537" s="4"/>
      <c r="AQ537" s="249"/>
      <c r="AR537" s="249"/>
      <c r="AS537" s="4"/>
      <c r="AT537" s="249"/>
      <c r="AU537" s="249"/>
      <c r="AV537" s="4"/>
      <c r="AW537" s="249"/>
      <c r="AX537" s="249"/>
      <c r="AY537" s="4"/>
      <c r="AZ537" s="10"/>
      <c r="BA537" s="10"/>
      <c r="BB537" s="10"/>
      <c r="BC537" s="10"/>
      <c r="BD537" s="10"/>
      <c r="BE537" s="10"/>
      <c r="BF537" s="249"/>
      <c r="BG537" s="249"/>
      <c r="BH537" s="4"/>
      <c r="BI537" s="249"/>
      <c r="BJ537" s="249"/>
      <c r="BK537" s="4"/>
      <c r="BL537" s="10"/>
      <c r="BM537" s="10"/>
      <c r="BN537" s="10"/>
      <c r="BO537" s="10"/>
      <c r="BP537" s="10"/>
      <c r="BQ537" s="10"/>
      <c r="BR537" s="10"/>
      <c r="BS537" s="182"/>
      <c r="BT537" s="182"/>
      <c r="BU537" s="1783"/>
      <c r="BV537" s="10"/>
      <c r="BW537" s="10"/>
      <c r="BX537" s="10"/>
      <c r="BY537" s="10"/>
      <c r="BZ537" s="1893"/>
      <c r="CA537" s="183"/>
      <c r="CB537" s="1784"/>
      <c r="CC537" s="2120"/>
      <c r="CD537" s="184"/>
      <c r="CE537" s="1785"/>
    </row>
    <row r="538" spans="1:83" ht="14.85" customHeight="1" x14ac:dyDescent="0.4">
      <c r="A538" s="249"/>
      <c r="B538" s="249"/>
      <c r="C538" s="584">
        <v>0.93402777777777779</v>
      </c>
      <c r="D538" s="249"/>
      <c r="E538" s="4"/>
      <c r="F538" s="2359"/>
      <c r="G538" s="249"/>
      <c r="H538" s="4"/>
      <c r="I538" s="3"/>
      <c r="J538" s="249"/>
      <c r="K538" s="2359"/>
      <c r="L538" s="3"/>
      <c r="M538" s="249"/>
      <c r="N538" s="249"/>
      <c r="O538" s="2360"/>
      <c r="P538" s="249"/>
      <c r="Q538" s="2359"/>
      <c r="R538" s="3"/>
      <c r="S538" s="8"/>
      <c r="T538" s="249"/>
      <c r="U538" s="249"/>
      <c r="V538" s="8"/>
      <c r="W538" s="249"/>
      <c r="X538" s="8"/>
      <c r="Y538" s="249"/>
      <c r="Z538" s="249"/>
      <c r="AA538" s="2360"/>
      <c r="AB538" s="249"/>
      <c r="AC538" s="249"/>
      <c r="AD538" s="249"/>
      <c r="AE538" s="2361"/>
      <c r="AF538" s="2362"/>
      <c r="AG538" s="2361"/>
      <c r="AH538" s="2363"/>
      <c r="AI538" s="2364"/>
      <c r="AJ538" s="2361"/>
      <c r="AK538" s="249"/>
      <c r="AL538" s="249"/>
      <c r="AM538" s="4"/>
      <c r="AN538" s="249"/>
      <c r="AO538" s="249"/>
      <c r="AP538" s="4"/>
      <c r="AQ538" s="249"/>
      <c r="AR538" s="249"/>
      <c r="AS538" s="4"/>
      <c r="AT538" s="249"/>
      <c r="AU538" s="249"/>
      <c r="AV538" s="4"/>
      <c r="AW538" s="249"/>
      <c r="AX538" s="249"/>
      <c r="AY538" s="4"/>
      <c r="AZ538" s="10"/>
      <c r="BA538" s="10"/>
      <c r="BB538" s="10"/>
      <c r="BC538" s="10"/>
      <c r="BD538" s="10"/>
      <c r="BE538" s="10"/>
      <c r="BF538" s="249"/>
      <c r="BG538" s="249"/>
      <c r="BH538" s="4"/>
      <c r="BI538" s="249"/>
      <c r="BJ538" s="249"/>
      <c r="BK538" s="4"/>
      <c r="BL538" s="10"/>
      <c r="BM538" s="10"/>
      <c r="BN538" s="10"/>
      <c r="BO538" s="10"/>
      <c r="BP538" s="10"/>
      <c r="BQ538" s="10"/>
      <c r="BR538" s="10"/>
      <c r="BS538" s="182"/>
      <c r="BT538" s="182"/>
      <c r="BU538" s="1783"/>
      <c r="BV538" s="10"/>
      <c r="BW538" s="10"/>
      <c r="BX538" s="10"/>
      <c r="BY538" s="10"/>
      <c r="BZ538" s="1893"/>
      <c r="CA538" s="183"/>
      <c r="CB538" s="1784"/>
      <c r="CC538" s="2120"/>
      <c r="CD538" s="184"/>
      <c r="CE538" s="1785"/>
    </row>
    <row r="539" spans="1:83" ht="14.85" customHeight="1" x14ac:dyDescent="0.4">
      <c r="A539" s="249"/>
      <c r="B539" s="249"/>
      <c r="C539" s="584" t="s">
        <v>307</v>
      </c>
      <c r="D539" s="249"/>
      <c r="E539" s="4"/>
      <c r="F539" s="2359"/>
      <c r="G539" s="249"/>
      <c r="H539" s="4"/>
      <c r="I539" s="3"/>
      <c r="J539" s="249"/>
      <c r="K539" s="2359"/>
      <c r="L539" s="3"/>
      <c r="M539" s="249"/>
      <c r="N539" s="249"/>
      <c r="O539" s="2360"/>
      <c r="P539" s="249"/>
      <c r="Q539" s="2359"/>
      <c r="R539" s="3"/>
      <c r="S539" s="8"/>
      <c r="T539" s="249"/>
      <c r="U539" s="249"/>
      <c r="V539" s="8"/>
      <c r="W539" s="249"/>
      <c r="X539" s="8"/>
      <c r="Y539" s="249"/>
      <c r="Z539" s="249"/>
      <c r="AA539" s="2360"/>
      <c r="AB539" s="249"/>
      <c r="AC539" s="249"/>
      <c r="AD539" s="249"/>
      <c r="AE539" s="2361"/>
      <c r="AF539" s="2362"/>
      <c r="AG539" s="2361"/>
      <c r="AH539" s="2363"/>
      <c r="AI539" s="2364"/>
      <c r="AJ539" s="2361"/>
      <c r="AK539" s="249"/>
      <c r="AL539" s="249"/>
      <c r="AM539" s="4"/>
      <c r="AN539" s="249"/>
      <c r="AO539" s="249"/>
      <c r="AP539" s="4"/>
      <c r="AQ539" s="249"/>
      <c r="AR539" s="249"/>
      <c r="AS539" s="4"/>
      <c r="AT539" s="249"/>
      <c r="AU539" s="249"/>
      <c r="AV539" s="4"/>
      <c r="AW539" s="249"/>
      <c r="AX539" s="249"/>
      <c r="AY539" s="4"/>
      <c r="AZ539" s="10"/>
      <c r="BA539" s="10"/>
      <c r="BB539" s="10"/>
      <c r="BC539" s="10"/>
      <c r="BD539" s="10"/>
      <c r="BE539" s="10"/>
      <c r="BF539" s="249"/>
      <c r="BG539" s="249"/>
      <c r="BH539" s="4"/>
      <c r="BI539" s="249"/>
      <c r="BJ539" s="249"/>
      <c r="BK539" s="4"/>
      <c r="BL539" s="10"/>
      <c r="BM539" s="10"/>
      <c r="BN539" s="10"/>
      <c r="BO539" s="10"/>
      <c r="BP539" s="10"/>
      <c r="BQ539" s="10"/>
      <c r="BR539" s="10"/>
      <c r="BS539" s="182"/>
      <c r="BT539" s="182"/>
      <c r="BU539" s="1783"/>
      <c r="BV539" s="10"/>
      <c r="BW539" s="10"/>
      <c r="BX539" s="10"/>
      <c r="BY539" s="10"/>
      <c r="BZ539" s="1893"/>
      <c r="CA539" s="183"/>
      <c r="CB539" s="1784"/>
      <c r="CC539" s="2120"/>
      <c r="CD539" s="184"/>
      <c r="CE539" s="1785"/>
    </row>
    <row r="540" spans="1:83" ht="14.85" customHeight="1" x14ac:dyDescent="0.4">
      <c r="A540" s="249"/>
      <c r="B540" s="249"/>
      <c r="C540" s="584">
        <v>0.9375</v>
      </c>
      <c r="D540" s="249"/>
      <c r="E540" s="4"/>
      <c r="F540" s="2359"/>
      <c r="G540" s="249"/>
      <c r="H540" s="4"/>
      <c r="I540" s="3"/>
      <c r="J540" s="249"/>
      <c r="K540" s="2359"/>
      <c r="L540" s="3"/>
      <c r="M540" s="249"/>
      <c r="N540" s="249"/>
      <c r="O540" s="2360"/>
      <c r="P540" s="249"/>
      <c r="Q540" s="2359"/>
      <c r="R540" s="3"/>
      <c r="S540" s="8"/>
      <c r="T540" s="249"/>
      <c r="U540" s="249"/>
      <c r="V540" s="8"/>
      <c r="W540" s="249"/>
      <c r="X540" s="8"/>
      <c r="Y540" s="249"/>
      <c r="Z540" s="249"/>
      <c r="AA540" s="2360"/>
      <c r="AB540" s="249"/>
      <c r="AC540" s="249"/>
      <c r="AD540" s="249"/>
      <c r="AE540" s="2361"/>
      <c r="AF540" s="2362"/>
      <c r="AG540" s="2361"/>
      <c r="AH540" s="2363"/>
      <c r="AI540" s="2364"/>
      <c r="AJ540" s="2361"/>
      <c r="AK540" s="249"/>
      <c r="AL540" s="249"/>
      <c r="AM540" s="4"/>
      <c r="AN540" s="249"/>
      <c r="AO540" s="249"/>
      <c r="AP540" s="4"/>
      <c r="AQ540" s="249"/>
      <c r="AR540" s="249"/>
      <c r="AS540" s="4"/>
      <c r="AT540" s="249"/>
      <c r="AU540" s="249"/>
      <c r="AV540" s="4"/>
      <c r="AW540" s="249"/>
      <c r="AX540" s="249"/>
      <c r="AY540" s="4"/>
      <c r="AZ540" s="10"/>
      <c r="BA540" s="10"/>
      <c r="BB540" s="10"/>
      <c r="BC540" s="10"/>
      <c r="BD540" s="10"/>
      <c r="BE540" s="10"/>
      <c r="BF540" s="249"/>
      <c r="BG540" s="249"/>
      <c r="BH540" s="4"/>
      <c r="BI540" s="249"/>
      <c r="BJ540" s="249"/>
      <c r="BK540" s="4"/>
      <c r="BL540" s="10"/>
      <c r="BM540" s="10"/>
      <c r="BN540" s="10"/>
      <c r="BO540" s="10"/>
      <c r="BP540" s="10"/>
      <c r="BQ540" s="10"/>
      <c r="BR540" s="10"/>
      <c r="BS540" s="182"/>
      <c r="BT540" s="182"/>
      <c r="BU540" s="1783"/>
      <c r="BV540" s="10"/>
      <c r="BW540" s="10"/>
      <c r="BX540" s="10"/>
      <c r="BY540" s="10"/>
      <c r="BZ540" s="183"/>
      <c r="CA540" s="183"/>
      <c r="CB540" s="1784"/>
      <c r="CC540" s="184"/>
      <c r="CD540" s="184"/>
      <c r="CE540" s="1785"/>
    </row>
    <row r="541" spans="1:83" ht="14.85" customHeight="1" x14ac:dyDescent="0.4">
      <c r="A541" s="249"/>
      <c r="B541" s="249"/>
      <c r="C541" s="584" t="s">
        <v>307</v>
      </c>
      <c r="D541" s="249"/>
      <c r="E541" s="4"/>
      <c r="F541" s="2359"/>
      <c r="G541" s="249"/>
      <c r="H541" s="4"/>
      <c r="I541" s="3"/>
      <c r="J541" s="249"/>
      <c r="K541" s="2359"/>
      <c r="L541" s="3"/>
      <c r="M541" s="249"/>
      <c r="N541" s="249"/>
      <c r="O541" s="2360"/>
      <c r="P541" s="249"/>
      <c r="Q541" s="2359"/>
      <c r="R541" s="3"/>
      <c r="S541" s="8"/>
      <c r="T541" s="249"/>
      <c r="U541" s="249"/>
      <c r="V541" s="8"/>
      <c r="W541" s="249"/>
      <c r="X541" s="8"/>
      <c r="Y541" s="249"/>
      <c r="Z541" s="249"/>
      <c r="AA541" s="2360"/>
      <c r="AB541" s="249"/>
      <c r="AC541" s="249"/>
      <c r="AD541" s="249"/>
      <c r="AE541" s="2361"/>
      <c r="AF541" s="2362"/>
      <c r="AG541" s="2361"/>
      <c r="AH541" s="2363"/>
      <c r="AI541" s="2364"/>
      <c r="AJ541" s="2361"/>
      <c r="AK541" s="249"/>
      <c r="AL541" s="249"/>
      <c r="AM541" s="4"/>
      <c r="AN541" s="249"/>
      <c r="AO541" s="249"/>
      <c r="AP541" s="4"/>
      <c r="AQ541" s="249"/>
      <c r="AR541" s="249"/>
      <c r="AS541" s="4"/>
      <c r="AT541" s="249"/>
      <c r="AU541" s="249"/>
      <c r="AV541" s="4"/>
      <c r="AW541" s="249"/>
      <c r="AX541" s="249"/>
      <c r="AY541" s="4"/>
      <c r="AZ541" s="10"/>
      <c r="BA541" s="10"/>
      <c r="BB541" s="10"/>
      <c r="BC541" s="10"/>
      <c r="BD541" s="10"/>
      <c r="BE541" s="10"/>
      <c r="BF541" s="249"/>
      <c r="BG541" s="249"/>
      <c r="BH541" s="4"/>
      <c r="BI541" s="249"/>
      <c r="BJ541" s="249"/>
      <c r="BK541" s="4"/>
      <c r="BL541" s="10"/>
      <c r="BM541" s="10"/>
      <c r="BN541" s="10"/>
      <c r="BO541" s="10"/>
      <c r="BP541" s="10"/>
      <c r="BQ541" s="10"/>
      <c r="BR541" s="10"/>
      <c r="BS541" s="182"/>
      <c r="BT541" s="182"/>
      <c r="BU541" s="1783"/>
      <c r="BV541" s="10"/>
      <c r="BW541" s="10"/>
      <c r="BX541" s="10"/>
      <c r="BY541" s="10"/>
      <c r="BZ541" s="183"/>
      <c r="CA541" s="183"/>
      <c r="CB541" s="1784"/>
      <c r="CC541" s="184"/>
      <c r="CD541" s="184"/>
      <c r="CE541" s="1785"/>
    </row>
    <row r="542" spans="1:83" ht="14.85" customHeight="1" x14ac:dyDescent="0.4">
      <c r="A542" s="249"/>
      <c r="B542" s="249"/>
      <c r="C542" s="584">
        <v>0.94097222222222221</v>
      </c>
      <c r="D542" s="249"/>
      <c r="E542" s="4"/>
      <c r="F542" s="2359"/>
      <c r="G542" s="249"/>
      <c r="H542" s="4"/>
      <c r="I542" s="3"/>
      <c r="J542" s="249"/>
      <c r="K542" s="2359"/>
      <c r="L542" s="3"/>
      <c r="M542" s="249"/>
      <c r="N542" s="249"/>
      <c r="O542" s="2360"/>
      <c r="P542" s="249"/>
      <c r="Q542" s="2359"/>
      <c r="R542" s="3"/>
      <c r="S542" s="8"/>
      <c r="T542" s="249"/>
      <c r="U542" s="249"/>
      <c r="V542" s="8"/>
      <c r="W542" s="249"/>
      <c r="X542" s="8"/>
      <c r="Y542" s="249"/>
      <c r="Z542" s="249"/>
      <c r="AA542" s="2360"/>
      <c r="AB542" s="249"/>
      <c r="AC542" s="249"/>
      <c r="AD542" s="249"/>
      <c r="AE542" s="2361"/>
      <c r="AF542" s="2362"/>
      <c r="AG542" s="2361"/>
      <c r="AH542" s="2363"/>
      <c r="AI542" s="2364"/>
      <c r="AJ542" s="2361"/>
      <c r="AK542" s="249"/>
      <c r="AL542" s="249"/>
      <c r="AM542" s="4"/>
      <c r="AN542" s="249"/>
      <c r="AO542" s="249"/>
      <c r="AP542" s="4"/>
      <c r="AQ542" s="249"/>
      <c r="AR542" s="249"/>
      <c r="AS542" s="4"/>
      <c r="AT542" s="249"/>
      <c r="AU542" s="249"/>
      <c r="AV542" s="4"/>
      <c r="AW542" s="249"/>
      <c r="AX542" s="249"/>
      <c r="AY542" s="4"/>
      <c r="AZ542" s="10"/>
      <c r="BA542" s="10"/>
      <c r="BB542" s="10"/>
      <c r="BC542" s="10"/>
      <c r="BD542" s="10"/>
      <c r="BE542" s="10"/>
      <c r="BF542" s="249"/>
      <c r="BG542" s="249"/>
      <c r="BH542" s="4"/>
      <c r="BI542" s="249"/>
      <c r="BJ542" s="249"/>
      <c r="BK542" s="4"/>
      <c r="BL542" s="10"/>
      <c r="BM542" s="10"/>
      <c r="BN542" s="10"/>
      <c r="BO542" s="10"/>
      <c r="BP542" s="10"/>
      <c r="BQ542" s="10"/>
      <c r="BR542" s="10"/>
      <c r="BS542" s="182"/>
      <c r="BT542" s="182"/>
      <c r="BU542" s="1783"/>
      <c r="BV542" s="10"/>
      <c r="BW542" s="10"/>
      <c r="BX542" s="10"/>
      <c r="BY542" s="10"/>
      <c r="BZ542" s="183"/>
      <c r="CA542" s="183"/>
      <c r="CB542" s="1784"/>
      <c r="CC542" s="184"/>
      <c r="CD542" s="184"/>
      <c r="CE542" s="1785"/>
    </row>
    <row r="543" spans="1:83" ht="14.85" customHeight="1" x14ac:dyDescent="0.4">
      <c r="A543" s="249"/>
      <c r="B543" s="249"/>
      <c r="C543" s="584" t="s">
        <v>307</v>
      </c>
      <c r="D543" s="249"/>
      <c r="E543" s="4"/>
      <c r="F543" s="2359"/>
      <c r="G543" s="249"/>
      <c r="H543" s="4"/>
      <c r="I543" s="3"/>
      <c r="J543" s="249"/>
      <c r="K543" s="2359"/>
      <c r="L543" s="3"/>
      <c r="M543" s="249"/>
      <c r="N543" s="249"/>
      <c r="O543" s="2360"/>
      <c r="P543" s="249"/>
      <c r="Q543" s="2359"/>
      <c r="R543" s="3"/>
      <c r="S543" s="8"/>
      <c r="T543" s="249"/>
      <c r="U543" s="249"/>
      <c r="V543" s="8"/>
      <c r="W543" s="249"/>
      <c r="X543" s="8"/>
      <c r="Y543" s="249"/>
      <c r="Z543" s="249"/>
      <c r="AA543" s="2360"/>
      <c r="AB543" s="249"/>
      <c r="AC543" s="249"/>
      <c r="AD543" s="249"/>
      <c r="AE543" s="2361"/>
      <c r="AF543" s="2362"/>
      <c r="AG543" s="2361"/>
      <c r="AH543" s="2363"/>
      <c r="AI543" s="2364"/>
      <c r="AJ543" s="2361"/>
      <c r="AK543" s="249"/>
      <c r="AL543" s="249"/>
      <c r="AM543" s="4"/>
      <c r="AN543" s="249"/>
      <c r="AO543" s="249"/>
      <c r="AP543" s="4"/>
      <c r="AQ543" s="249"/>
      <c r="AR543" s="249"/>
      <c r="AS543" s="4"/>
      <c r="AT543" s="249"/>
      <c r="AU543" s="249"/>
      <c r="AV543" s="4"/>
      <c r="AW543" s="249"/>
      <c r="AX543" s="249"/>
      <c r="AY543" s="4"/>
      <c r="AZ543" s="10"/>
      <c r="BA543" s="10"/>
      <c r="BB543" s="10"/>
      <c r="BC543" s="10"/>
      <c r="BD543" s="10"/>
      <c r="BE543" s="10"/>
      <c r="BF543" s="249"/>
      <c r="BG543" s="249"/>
      <c r="BH543" s="4"/>
      <c r="BI543" s="249"/>
      <c r="BJ543" s="249"/>
      <c r="BK543" s="4"/>
      <c r="BL543" s="10"/>
      <c r="BM543" s="10"/>
      <c r="BN543" s="10"/>
      <c r="BO543" s="10"/>
      <c r="BP543" s="10"/>
      <c r="BQ543" s="10"/>
      <c r="BR543" s="10"/>
      <c r="BS543" s="182"/>
      <c r="BT543" s="182"/>
      <c r="BU543" s="1783"/>
      <c r="BV543" s="10"/>
      <c r="BW543" s="10"/>
      <c r="BX543" s="10"/>
      <c r="BY543" s="10"/>
      <c r="BZ543" s="183"/>
      <c r="CA543" s="183"/>
      <c r="CB543" s="1784"/>
      <c r="CC543" s="184"/>
      <c r="CD543" s="184"/>
      <c r="CE543" s="1785"/>
    </row>
    <row r="544" spans="1:83" ht="14.85" customHeight="1" x14ac:dyDescent="0.4">
      <c r="A544" s="249"/>
      <c r="B544" s="249"/>
      <c r="C544" s="584">
        <v>0.94444444444444442</v>
      </c>
      <c r="D544" s="249"/>
      <c r="E544" s="4"/>
      <c r="F544" s="2359"/>
      <c r="G544" s="249"/>
      <c r="H544" s="4"/>
      <c r="I544" s="3"/>
      <c r="J544" s="249"/>
      <c r="K544" s="2359"/>
      <c r="L544" s="3"/>
      <c r="M544" s="249"/>
      <c r="N544" s="249"/>
      <c r="O544" s="2360"/>
      <c r="P544" s="249"/>
      <c r="Q544" s="2359"/>
      <c r="R544" s="3"/>
      <c r="S544" s="8"/>
      <c r="T544" s="249"/>
      <c r="U544" s="249"/>
      <c r="V544" s="8"/>
      <c r="W544" s="249"/>
      <c r="X544" s="8"/>
      <c r="Y544" s="249"/>
      <c r="Z544" s="249"/>
      <c r="AA544" s="2360"/>
      <c r="AB544" s="249"/>
      <c r="AC544" s="249"/>
      <c r="AD544" s="249"/>
      <c r="AE544" s="2361"/>
      <c r="AF544" s="2362"/>
      <c r="AG544" s="2361"/>
      <c r="AH544" s="2363"/>
      <c r="AI544" s="2364"/>
      <c r="AJ544" s="2361"/>
      <c r="AK544" s="249"/>
      <c r="AL544" s="249"/>
      <c r="AM544" s="4"/>
      <c r="AN544" s="249"/>
      <c r="AO544" s="249"/>
      <c r="AP544" s="4"/>
      <c r="AQ544" s="249"/>
      <c r="AR544" s="249"/>
      <c r="AS544" s="4"/>
      <c r="AT544" s="249"/>
      <c r="AU544" s="249"/>
      <c r="AV544" s="4"/>
      <c r="AW544" s="249"/>
      <c r="AX544" s="249"/>
      <c r="AY544" s="4"/>
      <c r="AZ544" s="10"/>
      <c r="BA544" s="10"/>
      <c r="BB544" s="10"/>
      <c r="BC544" s="10"/>
      <c r="BD544" s="10"/>
      <c r="BE544" s="10"/>
      <c r="BF544" s="249"/>
      <c r="BG544" s="249"/>
      <c r="BH544" s="4"/>
      <c r="BI544" s="249"/>
      <c r="BJ544" s="249"/>
      <c r="BK544" s="4"/>
      <c r="BL544" s="10"/>
      <c r="BM544" s="10"/>
      <c r="BN544" s="10"/>
      <c r="BO544" s="10"/>
      <c r="BP544" s="10"/>
      <c r="BQ544" s="10"/>
      <c r="BR544" s="10"/>
      <c r="BS544" s="182"/>
      <c r="BT544" s="182"/>
      <c r="BU544" s="1783"/>
      <c r="BV544" s="10"/>
      <c r="BW544" s="10"/>
      <c r="BX544" s="10"/>
      <c r="BY544" s="10"/>
      <c r="BZ544" s="183"/>
      <c r="CA544" s="183"/>
      <c r="CB544" s="1784"/>
      <c r="CC544" s="184"/>
      <c r="CD544" s="184"/>
      <c r="CE544" s="1785"/>
    </row>
    <row r="545" spans="1:83" ht="14.85" customHeight="1" x14ac:dyDescent="0.4">
      <c r="A545" s="249"/>
      <c r="B545" s="249"/>
      <c r="C545" s="584" t="s">
        <v>307</v>
      </c>
      <c r="D545" s="249"/>
      <c r="E545" s="4"/>
      <c r="F545" s="2359"/>
      <c r="G545" s="249"/>
      <c r="H545" s="4"/>
      <c r="I545" s="3"/>
      <c r="J545" s="249"/>
      <c r="K545" s="2359"/>
      <c r="L545" s="3"/>
      <c r="M545" s="249"/>
      <c r="N545" s="249"/>
      <c r="O545" s="2360"/>
      <c r="P545" s="249"/>
      <c r="Q545" s="2359"/>
      <c r="R545" s="3"/>
      <c r="S545" s="8"/>
      <c r="T545" s="249"/>
      <c r="U545" s="249"/>
      <c r="V545" s="8"/>
      <c r="W545" s="249"/>
      <c r="X545" s="8"/>
      <c r="Y545" s="249"/>
      <c r="Z545" s="249"/>
      <c r="AA545" s="2360"/>
      <c r="AB545" s="249"/>
      <c r="AC545" s="249"/>
      <c r="AD545" s="249"/>
      <c r="AE545" s="2361"/>
      <c r="AF545" s="2362"/>
      <c r="AG545" s="2361"/>
      <c r="AH545" s="2363"/>
      <c r="AI545" s="2364"/>
      <c r="AJ545" s="2361"/>
      <c r="AK545" s="249"/>
      <c r="AL545" s="249"/>
      <c r="AM545" s="4"/>
      <c r="AN545" s="249"/>
      <c r="AO545" s="249"/>
      <c r="AP545" s="4"/>
      <c r="AQ545" s="249"/>
      <c r="AR545" s="249"/>
      <c r="AS545" s="4"/>
      <c r="AT545" s="249"/>
      <c r="AU545" s="249"/>
      <c r="AV545" s="4"/>
      <c r="AW545" s="249"/>
      <c r="AX545" s="249"/>
      <c r="AY545" s="4"/>
      <c r="AZ545" s="10"/>
      <c r="BA545" s="10"/>
      <c r="BB545" s="10"/>
      <c r="BC545" s="10"/>
      <c r="BD545" s="10"/>
      <c r="BE545" s="10"/>
      <c r="BF545" s="249"/>
      <c r="BG545" s="249"/>
      <c r="BH545" s="4"/>
      <c r="BI545" s="249"/>
      <c r="BJ545" s="249"/>
      <c r="BK545" s="4"/>
      <c r="BL545" s="10"/>
      <c r="BM545" s="10"/>
      <c r="BN545" s="10"/>
      <c r="BO545" s="10"/>
      <c r="BP545" s="10"/>
      <c r="BQ545" s="10"/>
      <c r="BR545" s="10"/>
      <c r="BS545" s="182"/>
      <c r="BT545" s="182"/>
      <c r="BU545" s="1783"/>
      <c r="BV545" s="10"/>
      <c r="BW545" s="10"/>
      <c r="BX545" s="10"/>
      <c r="BY545" s="10"/>
      <c r="BZ545" s="183"/>
      <c r="CA545" s="183"/>
      <c r="CB545" s="1784"/>
      <c r="CC545" s="184"/>
      <c r="CD545" s="184"/>
      <c r="CE545" s="1785"/>
    </row>
    <row r="546" spans="1:83" ht="27" customHeight="1" x14ac:dyDescent="0.4">
      <c r="A546" s="249"/>
      <c r="B546" s="249"/>
      <c r="C546" s="584">
        <v>0.94791666666666663</v>
      </c>
      <c r="D546" s="249"/>
      <c r="E546" s="4"/>
      <c r="F546" s="2359"/>
      <c r="G546" s="249"/>
      <c r="H546" s="4"/>
      <c r="I546" s="3"/>
      <c r="J546" s="249"/>
      <c r="K546" s="2359"/>
      <c r="L546" s="3"/>
      <c r="M546" s="249"/>
      <c r="N546" s="249"/>
      <c r="O546" s="2360"/>
      <c r="P546" s="249"/>
      <c r="Q546" s="2359"/>
      <c r="R546" s="3"/>
      <c r="S546" s="8"/>
      <c r="T546" s="249"/>
      <c r="U546" s="249"/>
      <c r="V546" s="8"/>
      <c r="W546" s="249"/>
      <c r="X546" s="8"/>
      <c r="Y546" s="249"/>
      <c r="Z546" s="249"/>
      <c r="AA546" s="2360"/>
      <c r="AB546" s="249"/>
      <c r="AC546" s="249"/>
      <c r="AD546" s="249"/>
      <c r="AE546" s="2361"/>
      <c r="AF546" s="2362"/>
      <c r="AG546" s="2361"/>
      <c r="AH546" s="2363"/>
      <c r="AI546" s="2364"/>
      <c r="AJ546" s="2361"/>
      <c r="AK546" s="249"/>
      <c r="AL546" s="249"/>
      <c r="AM546" s="4"/>
      <c r="AN546" s="249"/>
      <c r="AO546" s="249"/>
      <c r="AP546" s="4"/>
      <c r="AQ546" s="249"/>
      <c r="AR546" s="249"/>
      <c r="AS546" s="4"/>
      <c r="AT546" s="249"/>
      <c r="AU546" s="249"/>
      <c r="AV546" s="4"/>
      <c r="AW546" s="249"/>
      <c r="AX546" s="249"/>
      <c r="AY546" s="4"/>
      <c r="AZ546" s="10"/>
      <c r="BA546" s="10"/>
      <c r="BB546" s="10"/>
      <c r="BC546" s="10"/>
      <c r="BD546" s="10"/>
      <c r="BE546" s="10"/>
      <c r="BF546" s="249"/>
      <c r="BG546" s="249"/>
      <c r="BH546" s="4"/>
      <c r="BI546" s="249"/>
      <c r="BJ546" s="249"/>
      <c r="BK546" s="4"/>
      <c r="BL546" s="10"/>
      <c r="BM546" s="10"/>
      <c r="BN546" s="10"/>
      <c r="BO546" s="10"/>
      <c r="BP546" s="10"/>
      <c r="BQ546" s="10"/>
      <c r="BR546" s="10"/>
      <c r="BS546" s="182"/>
      <c r="BT546" s="2365" t="s">
        <v>568</v>
      </c>
      <c r="BU546" s="1783"/>
      <c r="BV546" s="10"/>
      <c r="BW546" s="10"/>
      <c r="BX546" s="10"/>
      <c r="BY546" s="10"/>
      <c r="BZ546" s="183"/>
      <c r="CA546" s="592" t="s">
        <v>430</v>
      </c>
      <c r="CB546" s="183"/>
      <c r="CC546" s="184"/>
      <c r="CD546" s="2366"/>
      <c r="CE546" s="184"/>
    </row>
    <row r="547" spans="1:83" ht="30" customHeight="1" x14ac:dyDescent="0.4">
      <c r="A547" s="249"/>
      <c r="B547" s="249"/>
      <c r="C547" s="584" t="s">
        <v>307</v>
      </c>
      <c r="D547" s="249"/>
      <c r="E547" s="4"/>
      <c r="F547" s="2359"/>
      <c r="G547" s="249"/>
      <c r="H547" s="4"/>
      <c r="I547" s="3"/>
      <c r="J547" s="249"/>
      <c r="K547" s="2359"/>
      <c r="L547" s="3"/>
      <c r="M547" s="249"/>
      <c r="N547" s="249"/>
      <c r="O547" s="2360"/>
      <c r="P547" s="249"/>
      <c r="Q547" s="2359"/>
      <c r="R547" s="3"/>
      <c r="S547" s="8"/>
      <c r="T547" s="249"/>
      <c r="U547" s="249"/>
      <c r="V547" s="8"/>
      <c r="W547" s="249"/>
      <c r="X547" s="8"/>
      <c r="Y547" s="249"/>
      <c r="Z547" s="249"/>
      <c r="AA547" s="2360"/>
      <c r="AB547" s="249"/>
      <c r="AC547" s="249"/>
      <c r="AD547" s="249"/>
      <c r="AE547" s="2361"/>
      <c r="AF547" s="2362"/>
      <c r="AG547" s="2361"/>
      <c r="AH547" s="2363"/>
      <c r="AI547" s="2364"/>
      <c r="AJ547" s="2361"/>
      <c r="AK547" s="249"/>
      <c r="AL547" s="249"/>
      <c r="AM547" s="4"/>
      <c r="AN547" s="249"/>
      <c r="AO547" s="249"/>
      <c r="AP547" s="4"/>
      <c r="AQ547" s="249"/>
      <c r="AR547" s="249"/>
      <c r="AS547" s="4"/>
      <c r="AT547" s="249"/>
      <c r="AU547" s="249"/>
      <c r="AV547" s="4"/>
      <c r="AW547" s="249"/>
      <c r="AX547" s="249"/>
      <c r="AY547" s="4"/>
      <c r="AZ547" s="10"/>
      <c r="BA547" s="10"/>
      <c r="BB547" s="10"/>
      <c r="BC547" s="10"/>
      <c r="BD547" s="10"/>
      <c r="BE547" s="10"/>
      <c r="BF547" s="249"/>
      <c r="BG547" s="249"/>
      <c r="BH547" s="4"/>
      <c r="BI547" s="249"/>
      <c r="BJ547" s="249"/>
      <c r="BK547" s="4"/>
      <c r="BL547" s="10"/>
      <c r="BM547" s="10"/>
      <c r="BN547" s="10"/>
      <c r="BO547" s="10"/>
      <c r="BP547" s="10"/>
      <c r="BQ547" s="10"/>
      <c r="BR547" s="10"/>
      <c r="BS547" s="2367"/>
      <c r="BT547" s="2367" t="s">
        <v>569</v>
      </c>
      <c r="BU547" s="2367"/>
      <c r="BV547" s="10"/>
      <c r="BW547" s="10"/>
      <c r="BX547" s="10"/>
      <c r="BY547" s="10"/>
      <c r="BZ547" s="2367"/>
      <c r="CA547" s="2367" t="s">
        <v>569</v>
      </c>
      <c r="CB547" s="2367"/>
      <c r="CC547" s="2368"/>
      <c r="CD547" s="2368"/>
      <c r="CE547" s="2368"/>
    </row>
    <row r="548" spans="1:83" ht="28.35" customHeight="1" x14ac:dyDescent="0.4">
      <c r="A548" s="249"/>
      <c r="B548" s="249"/>
      <c r="C548" s="584">
        <v>0.95138888888888884</v>
      </c>
      <c r="D548" s="249"/>
      <c r="E548" s="4"/>
      <c r="F548" s="2359"/>
      <c r="G548" s="249"/>
      <c r="H548" s="4"/>
      <c r="I548" s="3"/>
      <c r="J548" s="249"/>
      <c r="K548" s="2359"/>
      <c r="L548" s="3"/>
      <c r="M548" s="249"/>
      <c r="N548" s="249"/>
      <c r="O548" s="2360"/>
      <c r="P548" s="249"/>
      <c r="Q548" s="2359"/>
      <c r="R548" s="3"/>
      <c r="S548" s="8"/>
      <c r="T548" s="249"/>
      <c r="U548" s="249"/>
      <c r="V548" s="8"/>
      <c r="W548" s="249"/>
      <c r="X548" s="8"/>
      <c r="Y548" s="249"/>
      <c r="Z548" s="249"/>
      <c r="AA548" s="2360"/>
      <c r="AB548" s="249"/>
      <c r="AC548" s="249"/>
      <c r="AD548" s="249"/>
      <c r="AE548" s="2361"/>
      <c r="AF548" s="2362"/>
      <c r="AG548" s="2361"/>
      <c r="AH548" s="2363"/>
      <c r="AI548" s="2364"/>
      <c r="AJ548" s="2361"/>
      <c r="AK548" s="249"/>
      <c r="AL548" s="249"/>
      <c r="AM548" s="4"/>
      <c r="AN548" s="249"/>
      <c r="AO548" s="249"/>
      <c r="AP548" s="4"/>
      <c r="AQ548" s="249"/>
      <c r="AR548" s="249"/>
      <c r="AS548" s="4"/>
      <c r="AT548" s="249"/>
      <c r="AU548" s="249"/>
      <c r="AV548" s="4"/>
      <c r="AW548" s="249"/>
      <c r="AX548" s="249"/>
      <c r="AY548" s="4"/>
      <c r="AZ548" s="10"/>
      <c r="BA548" s="10"/>
      <c r="BB548" s="10"/>
      <c r="BC548" s="10"/>
      <c r="BD548" s="10"/>
      <c r="BE548" s="10"/>
      <c r="BF548" s="249"/>
      <c r="BG548" s="249"/>
      <c r="BH548" s="4"/>
      <c r="BI548" s="249"/>
      <c r="BJ548" s="249"/>
      <c r="BK548" s="4"/>
      <c r="BL548" s="10"/>
      <c r="BM548" s="10"/>
      <c r="BN548" s="10"/>
      <c r="BO548" s="10"/>
      <c r="BP548" s="10"/>
      <c r="BQ548" s="10"/>
      <c r="BR548" s="10"/>
      <c r="BS548" s="2369"/>
      <c r="BT548" s="2370"/>
      <c r="BU548" s="2369"/>
      <c r="BV548" s="10"/>
      <c r="BW548" s="10"/>
      <c r="BX548" s="10"/>
      <c r="BY548" s="10"/>
      <c r="BZ548" s="2692"/>
      <c r="CA548" s="2693" t="s">
        <v>570</v>
      </c>
      <c r="CB548" s="2692"/>
      <c r="CC548" s="2238"/>
      <c r="CD548" s="2690" t="s">
        <v>571</v>
      </c>
      <c r="CE548" s="2238"/>
    </row>
    <row r="549" spans="1:83" ht="29.85" customHeight="1" x14ac:dyDescent="0.4">
      <c r="A549" s="249"/>
      <c r="B549" s="249"/>
      <c r="C549" s="584" t="s">
        <v>307</v>
      </c>
      <c r="D549" s="249"/>
      <c r="E549" s="4"/>
      <c r="F549" s="2359"/>
      <c r="G549" s="249"/>
      <c r="H549" s="4"/>
      <c r="I549" s="3"/>
      <c r="J549" s="249"/>
      <c r="K549" s="2359"/>
      <c r="L549" s="3"/>
      <c r="M549" s="249"/>
      <c r="N549" s="249"/>
      <c r="O549" s="2360"/>
      <c r="P549" s="249"/>
      <c r="Q549" s="2359"/>
      <c r="R549" s="3"/>
      <c r="S549" s="8"/>
      <c r="T549" s="249"/>
      <c r="U549" s="249"/>
      <c r="V549" s="8"/>
      <c r="W549" s="249"/>
      <c r="X549" s="8"/>
      <c r="Y549" s="249"/>
      <c r="Z549" s="249"/>
      <c r="AA549" s="2360"/>
      <c r="AB549" s="249"/>
      <c r="AC549" s="249"/>
      <c r="AD549" s="249"/>
      <c r="AE549" s="2361"/>
      <c r="AF549" s="2362"/>
      <c r="AG549" s="2361"/>
      <c r="AH549" s="2363"/>
      <c r="AI549" s="2364"/>
      <c r="AJ549" s="2361"/>
      <c r="AK549" s="249"/>
      <c r="AL549" s="249"/>
      <c r="AM549" s="4"/>
      <c r="AN549" s="249"/>
      <c r="AO549" s="249"/>
      <c r="AP549" s="4"/>
      <c r="AQ549" s="249"/>
      <c r="AR549" s="249"/>
      <c r="AS549" s="4"/>
      <c r="AT549" s="249"/>
      <c r="AU549" s="249"/>
      <c r="AV549" s="4"/>
      <c r="AW549" s="249"/>
      <c r="AX549" s="249"/>
      <c r="AY549" s="4"/>
      <c r="AZ549" s="10"/>
      <c r="BA549" s="10"/>
      <c r="BB549" s="10"/>
      <c r="BC549" s="10"/>
      <c r="BD549" s="10"/>
      <c r="BE549" s="10"/>
      <c r="BF549" s="249"/>
      <c r="BG549" s="249"/>
      <c r="BH549" s="4"/>
      <c r="BI549" s="249"/>
      <c r="BJ549" s="249"/>
      <c r="BK549" s="4"/>
      <c r="BL549" s="10"/>
      <c r="BM549" s="10"/>
      <c r="BN549" s="10"/>
      <c r="BO549" s="10"/>
      <c r="BP549" s="10"/>
      <c r="BQ549" s="10"/>
      <c r="BR549" s="10"/>
      <c r="BS549" s="2370"/>
      <c r="BT549" s="2370"/>
      <c r="BU549" s="2370"/>
      <c r="BV549" s="10"/>
      <c r="BW549" s="10"/>
      <c r="BX549" s="10"/>
      <c r="BY549" s="10"/>
      <c r="BZ549" s="183"/>
      <c r="CA549" s="183"/>
      <c r="CB549" s="183"/>
      <c r="CC549" s="184"/>
      <c r="CD549" s="2691" t="s">
        <v>572</v>
      </c>
      <c r="CE549" s="184"/>
    </row>
    <row r="550" spans="1:83" ht="14.85" customHeight="1" x14ac:dyDescent="0.4">
      <c r="A550" s="249"/>
      <c r="B550" s="249"/>
      <c r="C550" s="621">
        <v>0.95486111111111116</v>
      </c>
      <c r="D550" s="249"/>
      <c r="E550" s="4"/>
      <c r="F550" s="2359"/>
      <c r="G550" s="249"/>
      <c r="H550" s="4"/>
      <c r="I550" s="3"/>
      <c r="J550" s="249"/>
      <c r="K550" s="2359"/>
      <c r="L550" s="3"/>
      <c r="M550" s="249"/>
      <c r="N550" s="249"/>
      <c r="O550" s="2360"/>
      <c r="P550" s="249"/>
      <c r="Q550" s="2359"/>
      <c r="R550" s="3"/>
      <c r="S550" s="8"/>
      <c r="T550" s="249"/>
      <c r="U550" s="249"/>
      <c r="V550" s="8"/>
      <c r="W550" s="249"/>
      <c r="X550" s="8"/>
      <c r="Y550" s="249"/>
      <c r="Z550" s="249"/>
      <c r="AA550" s="2360"/>
      <c r="AB550" s="249"/>
      <c r="AC550" s="249"/>
      <c r="AD550" s="249"/>
      <c r="AE550" s="2361"/>
      <c r="AF550" s="2362"/>
      <c r="AG550" s="2361"/>
      <c r="AH550" s="2363"/>
      <c r="AI550" s="2364"/>
      <c r="AJ550" s="2361"/>
      <c r="AK550" s="249"/>
      <c r="AL550" s="249"/>
      <c r="AM550" s="4"/>
      <c r="AN550" s="249"/>
      <c r="AO550" s="249"/>
      <c r="AP550" s="4"/>
      <c r="AQ550" s="249"/>
      <c r="AR550" s="249"/>
      <c r="AS550" s="4"/>
      <c r="AT550" s="249"/>
      <c r="AU550" s="249"/>
      <c r="AV550" s="4"/>
      <c r="AW550" s="249"/>
      <c r="AX550" s="249"/>
      <c r="AY550" s="4"/>
      <c r="AZ550" s="10"/>
      <c r="BA550" s="10"/>
      <c r="BB550" s="10"/>
      <c r="BC550" s="10"/>
      <c r="BD550" s="10"/>
      <c r="BE550" s="10"/>
      <c r="BF550" s="249"/>
      <c r="BG550" s="249"/>
      <c r="BH550" s="4"/>
      <c r="BI550" s="249"/>
      <c r="BJ550" s="249"/>
      <c r="BK550" s="4"/>
      <c r="BL550" s="10"/>
      <c r="BM550" s="10"/>
      <c r="BN550" s="10"/>
      <c r="BO550" s="10"/>
      <c r="BP550" s="10"/>
      <c r="BQ550" s="10"/>
      <c r="BR550" s="10"/>
      <c r="BS550" s="2370"/>
      <c r="BT550" s="2371"/>
      <c r="BU550" s="2370"/>
      <c r="BV550" s="10"/>
      <c r="BW550" s="10"/>
      <c r="BX550" s="10"/>
      <c r="BY550" s="10"/>
      <c r="BZ550" s="183"/>
      <c r="CA550" s="183"/>
      <c r="CB550" s="183"/>
      <c r="CC550" s="2368"/>
      <c r="CD550" s="2368"/>
      <c r="CE550" s="2368"/>
    </row>
    <row r="551" spans="1:83" ht="14.85" customHeight="1" x14ac:dyDescent="0.4">
      <c r="A551" s="249"/>
      <c r="B551" s="249"/>
      <c r="C551" s="2372" t="s">
        <v>542</v>
      </c>
      <c r="D551" s="249"/>
      <c r="E551" s="4"/>
      <c r="F551" s="2359"/>
      <c r="G551" s="249"/>
      <c r="H551" s="4"/>
      <c r="I551" s="3"/>
      <c r="J551" s="249"/>
      <c r="K551" s="2359"/>
      <c r="L551" s="3"/>
      <c r="M551" s="249"/>
      <c r="N551" s="249"/>
      <c r="O551" s="2360"/>
      <c r="P551" s="249"/>
      <c r="Q551" s="2359"/>
      <c r="R551" s="3"/>
      <c r="S551" s="8"/>
      <c r="T551" s="249"/>
      <c r="U551" s="249"/>
      <c r="V551" s="8"/>
      <c r="W551" s="249"/>
      <c r="X551" s="8"/>
      <c r="Y551" s="249"/>
      <c r="Z551" s="249"/>
      <c r="AA551" s="2360"/>
      <c r="AB551" s="249"/>
      <c r="AC551" s="249"/>
      <c r="AD551" s="249"/>
      <c r="AE551" s="2361"/>
      <c r="AF551" s="2362"/>
      <c r="AG551" s="2361"/>
      <c r="AH551" s="2363"/>
      <c r="AI551" s="2364"/>
      <c r="AJ551" s="2361"/>
      <c r="AK551" s="249"/>
      <c r="AL551" s="249"/>
      <c r="AM551" s="4"/>
      <c r="AN551" s="249"/>
      <c r="AO551" s="249"/>
      <c r="AP551" s="4"/>
      <c r="AQ551" s="249"/>
      <c r="AR551" s="249"/>
      <c r="AS551" s="4"/>
      <c r="AT551" s="249"/>
      <c r="AU551" s="249"/>
      <c r="AV551" s="4"/>
      <c r="AW551" s="249"/>
      <c r="AX551" s="249"/>
      <c r="AY551" s="4"/>
      <c r="AZ551" s="10"/>
      <c r="BA551" s="10"/>
      <c r="BB551" s="10"/>
      <c r="BC551" s="10"/>
      <c r="BD551" s="10"/>
      <c r="BE551" s="10"/>
      <c r="BF551" s="249"/>
      <c r="BG551" s="249"/>
      <c r="BH551" s="4"/>
      <c r="BI551" s="249"/>
      <c r="BJ551" s="249"/>
      <c r="BK551" s="4"/>
      <c r="BL551" s="10"/>
      <c r="BM551" s="10"/>
      <c r="BN551" s="10"/>
      <c r="BO551" s="10"/>
      <c r="BP551" s="10"/>
      <c r="BQ551" s="10"/>
      <c r="BR551" s="10"/>
      <c r="BS551" s="2373"/>
      <c r="BT551" s="2373"/>
      <c r="BU551" s="2373"/>
      <c r="BV551" s="2689"/>
      <c r="BW551" s="2689"/>
      <c r="BX551" s="2689"/>
      <c r="BY551" s="2689"/>
      <c r="BZ551" s="245"/>
      <c r="CA551" s="245"/>
      <c r="CB551" s="245"/>
      <c r="CC551" s="1841"/>
      <c r="CD551" s="1841"/>
      <c r="CE551" s="1841"/>
    </row>
    <row r="552" spans="1:83" ht="14.85" customHeight="1" x14ac:dyDescent="0.4">
      <c r="A552" s="249"/>
      <c r="B552" s="249"/>
      <c r="C552" s="2374">
        <v>0.95833333333333337</v>
      </c>
      <c r="D552" s="249"/>
      <c r="E552" s="4"/>
      <c r="F552" s="2359"/>
      <c r="G552" s="249"/>
      <c r="H552" s="4"/>
      <c r="I552" s="3"/>
      <c r="J552" s="249"/>
      <c r="K552" s="2359"/>
      <c r="L552" s="3"/>
      <c r="M552" s="249"/>
      <c r="N552" s="249"/>
      <c r="O552" s="2360"/>
      <c r="P552" s="249"/>
      <c r="Q552" s="2359"/>
      <c r="R552" s="3"/>
      <c r="S552" s="8"/>
      <c r="T552" s="249"/>
      <c r="U552" s="249"/>
      <c r="V552" s="8"/>
      <c r="W552" s="249"/>
      <c r="X552" s="8"/>
      <c r="Y552" s="249"/>
      <c r="Z552" s="249"/>
      <c r="AA552" s="2360"/>
      <c r="AB552" s="249"/>
      <c r="AC552" s="249"/>
      <c r="AD552" s="249"/>
      <c r="AE552" s="2361"/>
      <c r="AF552" s="2362"/>
      <c r="AG552" s="2361"/>
      <c r="AH552" s="2363"/>
      <c r="AI552" s="2364"/>
      <c r="AJ552" s="2361"/>
      <c r="AK552" s="249"/>
      <c r="AL552" s="249"/>
      <c r="AM552" s="4"/>
      <c r="AN552" s="249"/>
      <c r="AO552" s="249"/>
      <c r="AP552" s="4"/>
      <c r="AQ552" s="249"/>
      <c r="AR552" s="249"/>
      <c r="AS552" s="4"/>
      <c r="AT552" s="249"/>
      <c r="AU552" s="249"/>
      <c r="AV552" s="4"/>
      <c r="AW552" s="249"/>
      <c r="AX552" s="249"/>
      <c r="AY552" s="4"/>
      <c r="AZ552" s="10"/>
      <c r="BA552" s="10"/>
      <c r="BB552" s="10"/>
      <c r="BC552" s="10"/>
      <c r="BD552" s="10"/>
      <c r="BE552" s="10"/>
      <c r="BF552" s="249"/>
      <c r="BG552" s="249"/>
      <c r="BH552" s="4"/>
      <c r="BI552" s="249"/>
      <c r="BJ552" s="249"/>
      <c r="BK552" s="4"/>
      <c r="BL552" s="10"/>
      <c r="BM552" s="10"/>
      <c r="BN552" s="10"/>
      <c r="BO552" s="10"/>
      <c r="BP552" s="10"/>
      <c r="BQ552" s="10"/>
      <c r="BR552" s="10"/>
      <c r="BS552" s="12"/>
      <c r="BT552" s="12"/>
      <c r="BU552" s="12"/>
      <c r="BV552" s="10"/>
      <c r="BW552" s="10"/>
      <c r="BX552" s="10"/>
      <c r="BY552" s="10"/>
      <c r="BZ552" s="12"/>
      <c r="CA552" s="12"/>
      <c r="CB552" s="12"/>
      <c r="CC552" s="12"/>
      <c r="CD552" s="12"/>
      <c r="CE552" s="12"/>
    </row>
  </sheetData>
  <sheetProtection sheet="1" objects="1" scenarios="1"/>
  <mergeCells count="50">
    <mergeCell ref="AI481:AI496"/>
    <mergeCell ref="AX481:AX496"/>
    <mergeCell ref="BM495:BM496"/>
    <mergeCell ref="AF497:AF512"/>
    <mergeCell ref="AL497:AL505"/>
    <mergeCell ref="AU497:AU503"/>
    <mergeCell ref="BA497:BA511"/>
    <mergeCell ref="BD497:BD511"/>
    <mergeCell ref="AO505:AO511"/>
    <mergeCell ref="AR505:AR511"/>
    <mergeCell ref="BG512:BG518"/>
    <mergeCell ref="BM512:BM518"/>
    <mergeCell ref="BM336:BM337"/>
    <mergeCell ref="AO338:AO362"/>
    <mergeCell ref="CD363:CD399"/>
    <mergeCell ref="BG376:BG383"/>
    <mergeCell ref="BT376:BT421"/>
    <mergeCell ref="CD408:CD421"/>
    <mergeCell ref="BD304:BD337"/>
    <mergeCell ref="BA304:BA337"/>
    <mergeCell ref="AU319:AU354"/>
    <mergeCell ref="CA422:CA480"/>
    <mergeCell ref="BJ460:BJ479"/>
    <mergeCell ref="Z266:Z302"/>
    <mergeCell ref="AC266:AC302"/>
    <mergeCell ref="BM270:BM271"/>
    <mergeCell ref="AU274:AU275"/>
    <mergeCell ref="AX274:AX275"/>
    <mergeCell ref="AF277:AF303"/>
    <mergeCell ref="AR277:AR314"/>
    <mergeCell ref="AX277:AX303"/>
    <mergeCell ref="BG277:BG303"/>
    <mergeCell ref="BJ277:BJ303"/>
    <mergeCell ref="AK278:AK280"/>
    <mergeCell ref="AO286:AO293"/>
    <mergeCell ref="AL298:AL337"/>
    <mergeCell ref="AI304:AI337"/>
    <mergeCell ref="E154:E182"/>
    <mergeCell ref="T173:T180"/>
    <mergeCell ref="W226:W235"/>
    <mergeCell ref="N259:N291"/>
    <mergeCell ref="Q266:Q302"/>
    <mergeCell ref="T266:T302"/>
    <mergeCell ref="W266:W302"/>
    <mergeCell ref="Q146:Q153"/>
    <mergeCell ref="A2:C5"/>
    <mergeCell ref="H26:H27"/>
    <mergeCell ref="CA26:CA27"/>
    <mergeCell ref="N88:N89"/>
    <mergeCell ref="E106:E111"/>
  </mergeCells>
  <phoneticPr fontId="4"/>
  <conditionalFormatting sqref="AL487:AL488">
    <cfRule type="dataBar" priority="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{F48E50C2-78AE-4C7C-B634-A8158053DD1E}</x14:id>
        </ext>
      </extLst>
    </cfRule>
  </conditionalFormatting>
  <conditionalFormatting sqref="AL492">
    <cfRule type="dataBar" priority="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{70B381AB-B69E-475E-99B8-F782DD309C6B}</x14:id>
        </ext>
      </extLst>
    </cfRule>
  </conditionalFormatting>
  <conditionalFormatting sqref="AM515 AK515">
    <cfRule type="dataBar" priority="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{75C4109F-E915-441A-9E0A-F56B7178D7A1}</x14:id>
        </ext>
      </extLst>
    </cfRule>
  </conditionalFormatting>
  <conditionalFormatting sqref="AN481">
    <cfRule type="dataBar" priority="4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{1E0015A9-195A-48E4-929F-52521C1436B7}</x14:id>
        </ext>
      </extLst>
    </cfRule>
  </conditionalFormatting>
  <conditionalFormatting sqref="AT472">
    <cfRule type="dataBar" priority="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{7AE03B90-374E-456A-99EB-8761AFFACFA8}</x14:id>
        </ext>
      </extLst>
    </cfRule>
  </conditionalFormatting>
  <conditionalFormatting sqref="AT492">
    <cfRule type="dataBar" priority="3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{E1E04D08-A8AB-487A-A405-4FA34E8227DC}</x14:id>
        </ext>
      </extLst>
    </cfRule>
  </conditionalFormatting>
  <conditionalFormatting sqref="AU472">
    <cfRule type="dataBar" priority="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{27469B3E-315F-4608-8449-95E027DE932D}</x14:id>
        </ext>
      </extLst>
    </cfRule>
  </conditionalFormatting>
  <conditionalFormatting sqref="AU492">
    <cfRule type="dataBar" priority="3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{7F6AFEFB-412D-49B1-ACBF-F13B1361DE93}</x14:id>
        </ext>
      </extLst>
    </cfRule>
  </conditionalFormatting>
  <conditionalFormatting sqref="AW492">
    <cfRule type="dataBar" priority="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{C3648958-1822-4446-83FF-AFD4C049B787}</x14:id>
        </ext>
      </extLst>
    </cfRule>
  </conditionalFormatting>
  <conditionalFormatting sqref="AW494">
    <cfRule type="dataBar" priority="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{F5723125-CE35-467F-A2EB-4FAF51A628B6}</x14:id>
        </ext>
      </extLst>
    </cfRule>
  </conditionalFormatting>
  <conditionalFormatting sqref="AW495 AW497 AW493">
    <cfRule type="dataBar" priority="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{0DB164E9-16D5-44E7-B9E5-4E49D67E26EE}</x14:id>
        </ext>
      </extLst>
    </cfRule>
  </conditionalFormatting>
  <conditionalFormatting sqref="AW496">
    <cfRule type="dataBar" priority="4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{3F22C2C3-0B04-4FE2-B833-652B576F1570}</x14:id>
        </ext>
      </extLst>
    </cfRule>
  </conditionalFormatting>
  <conditionalFormatting sqref="AW468:AX469">
    <cfRule type="dataBar" priority="4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{D99B4636-1EF1-4685-95C4-A1FCD65EECF0}</x14:id>
        </ext>
      </extLst>
    </cfRule>
  </conditionalFormatting>
  <conditionalFormatting sqref="AX516">
    <cfRule type="dataBar" priority="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{9201ABE1-5B4B-4176-AAD0-7B3D0A038DFF}</x14:id>
        </ext>
      </extLst>
    </cfRule>
  </conditionalFormatting>
  <conditionalFormatting sqref="BA516">
    <cfRule type="dataBar" priority="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{9F2C6934-B5BD-45E0-83DE-3A78CC9AD142}</x14:id>
        </ext>
      </extLst>
    </cfRule>
  </conditionalFormatting>
  <conditionalFormatting sqref="BI523">
    <cfRule type="dataBar" priority="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{F17AC7E9-246B-4F3D-898A-A1477403132C}</x14:id>
        </ext>
      </extLst>
    </cfRule>
  </conditionalFormatting>
  <conditionalFormatting sqref="BJ523">
    <cfRule type="dataBar" priority="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{6475EC02-D68A-4532-9AA9-1BBCE289C74A}</x14:id>
        </ext>
      </extLst>
    </cfRule>
  </conditionalFormatting>
  <conditionalFormatting sqref="BQ484">
    <cfRule type="dataBar" priority="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{FBA751AC-4F44-4F16-BDE4-1C2F2DC018C7}</x14:id>
        </ext>
      </extLst>
    </cfRule>
    <cfRule type="dataBar" priority="3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{77289153-9976-48BE-ACA8-40ABEFFAD62C}</x14:id>
        </ext>
      </extLst>
    </cfRule>
  </conditionalFormatting>
  <conditionalFormatting sqref="BQ486">
    <cfRule type="dataBar" priority="3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{45683EE3-C59B-45F3-A5A5-5ABA520C7DF8}</x14:id>
        </ext>
      </extLst>
    </cfRule>
    <cfRule type="dataBar" priority="2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{8D793FFC-B7B0-48E7-8AA8-093260FBF134}</x14:id>
        </ext>
      </extLst>
    </cfRule>
    <cfRule type="dataBar" priority="3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{7D909298-63DA-42BD-89DA-6DFF860D3A39}</x14:id>
        </ext>
      </extLst>
    </cfRule>
  </conditionalFormatting>
  <conditionalFormatting sqref="BQ487:BQ488">
    <cfRule type="dataBar" priority="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{3B4C7D57-6263-4004-AC58-FB5E2B80E9EA}</x14:id>
        </ext>
      </extLst>
    </cfRule>
  </conditionalFormatting>
  <conditionalFormatting sqref="BT484">
    <cfRule type="dataBar" priority="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{2DCAA569-A0DF-4BA3-83E4-3D3AA5D41200}</x14:id>
        </ext>
      </extLst>
    </cfRule>
    <cfRule type="dataBar" priority="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{787E75F7-836F-4051-B19E-FBA1B54D4EB2}</x14:id>
        </ext>
      </extLst>
    </cfRule>
  </conditionalFormatting>
  <conditionalFormatting sqref="BT486">
    <cfRule type="dataBar" priority="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{D74B6456-B924-47B1-AF37-11545889A21C}</x14:id>
        </ext>
      </extLst>
    </cfRule>
    <cfRule type="dataBar" priority="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{D4AA79C9-11AB-417C-ACF5-9ACCFA54B1A1}</x14:id>
        </ext>
      </extLst>
    </cfRule>
    <cfRule type="dataBar" priority="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{DAB1A9D6-5583-49FB-A745-9A97F738EDC2}</x14:id>
        </ext>
      </extLst>
    </cfRule>
  </conditionalFormatting>
  <conditionalFormatting sqref="BT487:BT488">
    <cfRule type="dataBar" priority="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{B059CF6B-97E1-4CD0-8A7A-FE70766723B6}</x14:id>
        </ext>
      </extLst>
    </cfRule>
  </conditionalFormatting>
  <conditionalFormatting sqref="BT491">
    <cfRule type="dataBar" priority="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{D7048C70-908A-4054-A3B7-58B64779520F}</x14:id>
        </ext>
      </extLst>
    </cfRule>
    <cfRule type="dataBar" priority="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{B8873DA3-D9E5-4719-8BA9-58D4EF62AF0F}</x14:id>
        </ext>
      </extLst>
    </cfRule>
  </conditionalFormatting>
  <conditionalFormatting sqref="BT492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{F7D9E0E5-0292-4E40-8400-8167C5083D49}</x14:id>
        </ext>
      </extLst>
    </cfRule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{0115FA02-0B60-4FD8-8E00-2E23A3D9207A}</x14:id>
        </ext>
      </extLst>
    </cfRule>
  </conditionalFormatting>
  <conditionalFormatting sqref="BT493">
    <cfRule type="dataBar" priority="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{C0BD67FC-4E70-4CF3-8468-D53AF26FC2B4}</x14:id>
        </ext>
      </extLst>
    </cfRule>
    <cfRule type="dataBar" priority="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{B8F59AAB-2283-4740-BF03-082CCE6227F4}</x14:id>
        </ext>
      </extLst>
    </cfRule>
    <cfRule type="dataBar" priority="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{0EE0AA3D-6D72-4DEB-B410-7D7B8E64FB7B}</x14:id>
        </ext>
      </extLst>
    </cfRule>
  </conditionalFormatting>
  <conditionalFormatting sqref="BT494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{9587A560-8BA7-4DAE-A948-3F562ED8B962}</x14:id>
        </ext>
      </extLst>
    </cfRule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{D655ECE8-8678-4578-9663-0617D9D860A3}</x14:id>
        </ext>
      </extLst>
    </cfRule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{66A3A895-9AFB-4C17-9F3D-4EDFBBE5E1A5}</x14:id>
        </ext>
      </extLst>
    </cfRule>
  </conditionalFormatting>
  <conditionalFormatting sqref="BT494:BT496">
    <cfRule type="dataBar" priority="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{84703946-9A75-449C-874E-DE096BDD82BF}</x14:id>
        </ext>
      </extLst>
    </cfRule>
  </conditionalFormatting>
  <conditionalFormatting sqref="BX484">
    <cfRule type="dataBar" priority="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{BC2D8487-2976-4603-9099-A0DEB15F154B}</x14:id>
        </ext>
      </extLst>
    </cfRule>
    <cfRule type="dataBar" priority="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{139B09E4-C6B5-484D-B1D3-68A3ABB72EEC}</x14:id>
        </ext>
      </extLst>
    </cfRule>
  </conditionalFormatting>
  <conditionalFormatting sqref="BX486">
    <cfRule type="dataBar" priority="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{1E5FE0AE-2EFB-4584-8473-1E567068DCD9}</x14:id>
        </ext>
      </extLst>
    </cfRule>
    <cfRule type="dataBar" priority="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{8BBA8696-744B-48CC-98B4-A9D0693723AF}</x14:id>
        </ext>
      </extLst>
    </cfRule>
    <cfRule type="dataBar" priority="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{C25F0EF7-4299-4DA6-B3E7-09F1D99CCE71}</x14:id>
        </ext>
      </extLst>
    </cfRule>
  </conditionalFormatting>
  <conditionalFormatting sqref="BX487:BX488">
    <cfRule type="dataBar" priority="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{5D3C7511-4C1E-47EA-AEAB-693FF0E6F2FD}</x14:id>
        </ext>
      </extLst>
    </cfRule>
  </conditionalFormatting>
  <hyperlinks>
    <hyperlink ref="C6" location="'Routine Board'!AC236" display="13A" xr:uid="{0D437D7F-03B4-45B8-A778-0E1374709AF8}"/>
    <hyperlink ref="C7" location="'Routine Board'!AF236" display="13B" xr:uid="{220B124A-22BD-401C-8F68-9BA46E044344}"/>
    <hyperlink ref="C8" location="'Routine Board'!AI236" display="13C" xr:uid="{B0638086-82D8-48CE-9DF2-6993F42C714D}"/>
    <hyperlink ref="C9" location="'Routine Board'!AL236" display="13D" xr:uid="{7A663177-CEBA-4AFF-9F48-8CC98530A497}"/>
    <hyperlink ref="C10" location="'Routine Board'!AO236" display="13E" xr:uid="{289FE621-17C3-4743-A5BA-3536CF76521A}"/>
    <hyperlink ref="C11" location="'Routine Board'!AR236" display="13F" xr:uid="{B8C5632E-C966-4A05-B49F-DCA3C2ECA705}"/>
    <hyperlink ref="C12" location="'Routine Board'!AU236" display="13G" xr:uid="{2C063907-3857-4A7B-BBB8-8E1DAE44A4CE}"/>
    <hyperlink ref="C13" location="'Routine Board'!AX236" display="13H" xr:uid="{8514E057-BC11-4037-9468-F197A7CAC7D6}"/>
    <hyperlink ref="C14" location="'Routine Board'!BA236" display="13I" xr:uid="{C85CF4C9-B9EF-40EE-858F-82106411640D}"/>
    <hyperlink ref="C15" location="'Routine Board'!BD236" display="13J" xr:uid="{9ED38BE2-A485-4F4B-91E0-0C1D7C070196}"/>
    <hyperlink ref="C16" location="'Routine Board'!BG236" display="13K" xr:uid="{B7B878D8-5221-4731-B33B-D96FCC031040}"/>
    <hyperlink ref="C17" location="'Routine Board'!BJ236" display="13L" xr:uid="{E42E20AC-0E03-45A6-BE04-178DD2F43392}"/>
    <hyperlink ref="C20" location="'Routine Board'!CA285" display="14C" xr:uid="{7DDEBB33-713F-4E4A-9208-6ADF203573C8}"/>
    <hyperlink ref="C18" location="'Routine Board'!BQ285" display="14A" xr:uid="{6AF58218-DA17-4AC2-AD07-FCF5E819EDFA}"/>
    <hyperlink ref="C19" location="'Routine Board'!BX285" display="14B" xr:uid="{8E53FC74-BF6A-4CFB-9160-9B470E5579B5}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48E50C2-78AE-4C7C-B634-A8158053DD1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AL487:AL488</xm:sqref>
        </x14:conditionalFormatting>
        <x14:conditionalFormatting xmlns:xm="http://schemas.microsoft.com/office/excel/2006/main">
          <x14:cfRule type="dataBar" id="{70B381AB-B69E-475E-99B8-F782DD309C6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AL492</xm:sqref>
        </x14:conditionalFormatting>
        <x14:conditionalFormatting xmlns:xm="http://schemas.microsoft.com/office/excel/2006/main">
          <x14:cfRule type="dataBar" id="{75C4109F-E915-441A-9E0A-F56B7178D7A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AM515 AK515</xm:sqref>
        </x14:conditionalFormatting>
        <x14:conditionalFormatting xmlns:xm="http://schemas.microsoft.com/office/excel/2006/main">
          <x14:cfRule type="dataBar" id="{1E0015A9-195A-48E4-929F-52521C1436B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AN481</xm:sqref>
        </x14:conditionalFormatting>
        <x14:conditionalFormatting xmlns:xm="http://schemas.microsoft.com/office/excel/2006/main">
          <x14:cfRule type="dataBar" id="{7AE03B90-374E-456A-99EB-8761AFFACFA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AT472</xm:sqref>
        </x14:conditionalFormatting>
        <x14:conditionalFormatting xmlns:xm="http://schemas.microsoft.com/office/excel/2006/main">
          <x14:cfRule type="dataBar" id="{E1E04D08-A8AB-487A-A405-4FA34E8227D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AT492</xm:sqref>
        </x14:conditionalFormatting>
        <x14:conditionalFormatting xmlns:xm="http://schemas.microsoft.com/office/excel/2006/main">
          <x14:cfRule type="dataBar" id="{27469B3E-315F-4608-8449-95E027DE932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AU472</xm:sqref>
        </x14:conditionalFormatting>
        <x14:conditionalFormatting xmlns:xm="http://schemas.microsoft.com/office/excel/2006/main">
          <x14:cfRule type="dataBar" id="{7F6AFEFB-412D-49B1-ACBF-F13B1361DE9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AU492</xm:sqref>
        </x14:conditionalFormatting>
        <x14:conditionalFormatting xmlns:xm="http://schemas.microsoft.com/office/excel/2006/main">
          <x14:cfRule type="dataBar" id="{C3648958-1822-4446-83FF-AFD4C049B78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AW492</xm:sqref>
        </x14:conditionalFormatting>
        <x14:conditionalFormatting xmlns:xm="http://schemas.microsoft.com/office/excel/2006/main">
          <x14:cfRule type="dataBar" id="{F5723125-CE35-467F-A2EB-4FAF51A628B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AW494</xm:sqref>
        </x14:conditionalFormatting>
        <x14:conditionalFormatting xmlns:xm="http://schemas.microsoft.com/office/excel/2006/main">
          <x14:cfRule type="dataBar" id="{0DB164E9-16D5-44E7-B9E5-4E49D67E26E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AW495 AW497 AW493</xm:sqref>
        </x14:conditionalFormatting>
        <x14:conditionalFormatting xmlns:xm="http://schemas.microsoft.com/office/excel/2006/main">
          <x14:cfRule type="dataBar" id="{3F22C2C3-0B04-4FE2-B833-652B576F157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AW496</xm:sqref>
        </x14:conditionalFormatting>
        <x14:conditionalFormatting xmlns:xm="http://schemas.microsoft.com/office/excel/2006/main">
          <x14:cfRule type="dataBar" id="{D99B4636-1EF1-4685-95C4-A1FCD65EECF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AW468:AX469</xm:sqref>
        </x14:conditionalFormatting>
        <x14:conditionalFormatting xmlns:xm="http://schemas.microsoft.com/office/excel/2006/main">
          <x14:cfRule type="dataBar" id="{9201ABE1-5B4B-4176-AAD0-7B3D0A038DF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AX516</xm:sqref>
        </x14:conditionalFormatting>
        <x14:conditionalFormatting xmlns:xm="http://schemas.microsoft.com/office/excel/2006/main">
          <x14:cfRule type="dataBar" id="{9F2C6934-B5BD-45E0-83DE-3A78CC9AD14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BA516</xm:sqref>
        </x14:conditionalFormatting>
        <x14:conditionalFormatting xmlns:xm="http://schemas.microsoft.com/office/excel/2006/main">
          <x14:cfRule type="dataBar" id="{F17AC7E9-246B-4F3D-898A-A1477403132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BI523</xm:sqref>
        </x14:conditionalFormatting>
        <x14:conditionalFormatting xmlns:xm="http://schemas.microsoft.com/office/excel/2006/main">
          <x14:cfRule type="dataBar" id="{6475EC02-D68A-4532-9AA9-1BBCE289C74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BJ523</xm:sqref>
        </x14:conditionalFormatting>
        <x14:conditionalFormatting xmlns:xm="http://schemas.microsoft.com/office/excel/2006/main">
          <x14:cfRule type="dataBar" id="{FBA751AC-4F44-4F16-BDE4-1C2F2DC018C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7289153-9976-48BE-ACA8-40ABEFFAD62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BQ484</xm:sqref>
        </x14:conditionalFormatting>
        <x14:conditionalFormatting xmlns:xm="http://schemas.microsoft.com/office/excel/2006/main">
          <x14:cfRule type="dataBar" id="{45683EE3-C59B-45F3-A5A5-5ABA520C7DF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D793FFC-B7B0-48E7-8AA8-093260FBF13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D909298-63DA-42BD-89DA-6DFF860D3A3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BQ486</xm:sqref>
        </x14:conditionalFormatting>
        <x14:conditionalFormatting xmlns:xm="http://schemas.microsoft.com/office/excel/2006/main">
          <x14:cfRule type="dataBar" id="{3B4C7D57-6263-4004-AC58-FB5E2B80E9E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BQ487:BQ488</xm:sqref>
        </x14:conditionalFormatting>
        <x14:conditionalFormatting xmlns:xm="http://schemas.microsoft.com/office/excel/2006/main">
          <x14:cfRule type="dataBar" id="{2DCAA569-A0DF-4BA3-83E4-3D3AA5D4120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87E75F7-836F-4051-B19E-FBA1B54D4EB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BT484</xm:sqref>
        </x14:conditionalFormatting>
        <x14:conditionalFormatting xmlns:xm="http://schemas.microsoft.com/office/excel/2006/main">
          <x14:cfRule type="dataBar" id="{D74B6456-B924-47B1-AF37-11545889A21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4AA79C9-11AB-417C-ACF5-9ACCFA54B1A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AB1A9D6-5583-49FB-A745-9A97F738EDC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BT486</xm:sqref>
        </x14:conditionalFormatting>
        <x14:conditionalFormatting xmlns:xm="http://schemas.microsoft.com/office/excel/2006/main">
          <x14:cfRule type="dataBar" id="{B059CF6B-97E1-4CD0-8A7A-FE70766723B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BT487:BT488</xm:sqref>
        </x14:conditionalFormatting>
        <x14:conditionalFormatting xmlns:xm="http://schemas.microsoft.com/office/excel/2006/main">
          <x14:cfRule type="dataBar" id="{D7048C70-908A-4054-A3B7-58B64779520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B8873DA3-D9E5-4719-8BA9-58D4EF62AF0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BT491</xm:sqref>
        </x14:conditionalFormatting>
        <x14:conditionalFormatting xmlns:xm="http://schemas.microsoft.com/office/excel/2006/main">
          <x14:cfRule type="dataBar" id="{F7D9E0E5-0292-4E40-8400-8167C5083D4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115FA02-0B60-4FD8-8E00-2E23A3D9207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BT492</xm:sqref>
        </x14:conditionalFormatting>
        <x14:conditionalFormatting xmlns:xm="http://schemas.microsoft.com/office/excel/2006/main">
          <x14:cfRule type="dataBar" id="{C0BD67FC-4E70-4CF3-8468-D53AF26FC2B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B8F59AAB-2283-4740-BF03-082CCE6227F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EE0AA3D-6D72-4DEB-B410-7D7B8E64FB7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BT493</xm:sqref>
        </x14:conditionalFormatting>
        <x14:conditionalFormatting xmlns:xm="http://schemas.microsoft.com/office/excel/2006/main">
          <x14:cfRule type="dataBar" id="{9587A560-8BA7-4DAE-A948-3F562ED8B96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655ECE8-8678-4578-9663-0617D9D860A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6A3A895-9AFB-4C17-9F3D-4EDFBBE5E1A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BT494</xm:sqref>
        </x14:conditionalFormatting>
        <x14:conditionalFormatting xmlns:xm="http://schemas.microsoft.com/office/excel/2006/main">
          <x14:cfRule type="dataBar" id="{84703946-9A75-449C-874E-DE096BDD82B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BT494:BT496</xm:sqref>
        </x14:conditionalFormatting>
        <x14:conditionalFormatting xmlns:xm="http://schemas.microsoft.com/office/excel/2006/main">
          <x14:cfRule type="dataBar" id="{BC2D8487-2976-4603-9099-A0DEB15F154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39B09E4-C6B5-484D-B1D3-68A3ABB72EE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BX484</xm:sqref>
        </x14:conditionalFormatting>
        <x14:conditionalFormatting xmlns:xm="http://schemas.microsoft.com/office/excel/2006/main">
          <x14:cfRule type="dataBar" id="{1E5FE0AE-2EFB-4584-8473-1E567068DCD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BBA8696-744B-48CC-98B4-A9D0693723A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25F0EF7-4299-4DA6-B3E7-09F1D99CCE7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BX486</xm:sqref>
        </x14:conditionalFormatting>
        <x14:conditionalFormatting xmlns:xm="http://schemas.microsoft.com/office/excel/2006/main">
          <x14:cfRule type="dataBar" id="{5D3C7511-4C1E-47EA-AEAB-693FF0E6F2F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BX487:BX488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D98083-A1CE-45A8-8E1A-69C771F30B63}">
  <sheetPr>
    <tabColor rgb="FF00B0F0"/>
  </sheetPr>
  <dimension ref="A1:L203"/>
  <sheetViews>
    <sheetView showGridLines="0" zoomScale="85" zoomScaleNormal="85" workbookViewId="0">
      <selection activeCell="C1" sqref="C1:D1"/>
    </sheetView>
  </sheetViews>
  <sheetFormatPr defaultColWidth="8.625" defaultRowHeight="18.75" x14ac:dyDescent="0.4"/>
  <cols>
    <col min="1" max="1" width="7.125" style="2470" customWidth="1"/>
    <col min="2" max="2" width="11.125" style="2470" customWidth="1"/>
    <col min="3" max="5" width="8.625" style="2470"/>
    <col min="6" max="6" width="10.25" style="2470" bestFit="1" customWidth="1"/>
    <col min="7" max="16384" width="8.625" style="2470"/>
  </cols>
  <sheetData>
    <row r="1" spans="1:12" ht="30" x14ac:dyDescent="0.4">
      <c r="A1" s="2879" t="s">
        <v>619</v>
      </c>
      <c r="B1" s="2880"/>
      <c r="C1" s="2881">
        <v>45776</v>
      </c>
      <c r="D1" s="2882"/>
      <c r="E1" s="2469"/>
      <c r="F1" s="2469"/>
      <c r="G1" s="2469"/>
    </row>
    <row r="2" spans="1:12" ht="24.75" thickBot="1" x14ac:dyDescent="0.45">
      <c r="A2" s="2472"/>
      <c r="G2" s="2473"/>
    </row>
    <row r="3" spans="1:12" ht="36" thickBot="1" x14ac:dyDescent="0.45">
      <c r="A3" s="2883" t="s">
        <v>620</v>
      </c>
      <c r="B3" s="2884"/>
      <c r="C3" s="2884"/>
      <c r="D3" s="2884"/>
      <c r="E3" s="2884"/>
      <c r="F3" s="2884"/>
      <c r="G3" s="2885"/>
    </row>
    <row r="4" spans="1:12" ht="33.75" customHeight="1" x14ac:dyDescent="0.4">
      <c r="A4" s="2474"/>
      <c r="B4" s="2475"/>
      <c r="C4" s="2471"/>
      <c r="G4" s="2476"/>
    </row>
    <row r="5" spans="1:12" ht="33.75" customHeight="1" thickBot="1" x14ac:dyDescent="0.45">
      <c r="A5" s="2477"/>
      <c r="B5" s="2475"/>
      <c r="C5" s="2471"/>
      <c r="G5" s="2476"/>
    </row>
    <row r="6" spans="1:12" s="2478" customFormat="1" ht="19.5" thickBot="1" x14ac:dyDescent="0.45">
      <c r="A6" s="2479"/>
      <c r="B6" s="2573" t="s">
        <v>621</v>
      </c>
      <c r="G6" s="2480"/>
    </row>
    <row r="7" spans="1:12" s="2478" customFormat="1" ht="19.5" thickBot="1" x14ac:dyDescent="0.45">
      <c r="B7" s="2574" t="s">
        <v>622</v>
      </c>
      <c r="C7" s="2478" t="s">
        <v>623</v>
      </c>
      <c r="G7" s="2480"/>
    </row>
    <row r="8" spans="1:12" ht="19.5" thickBot="1" x14ac:dyDescent="0.45">
      <c r="B8" s="2487" t="s">
        <v>624</v>
      </c>
      <c r="C8" s="2478"/>
      <c r="F8" s="2695" t="s">
        <v>625</v>
      </c>
      <c r="G8" s="2482"/>
      <c r="K8" s="2483"/>
      <c r="L8" s="2484"/>
    </row>
    <row r="9" spans="1:12" x14ac:dyDescent="0.4">
      <c r="B9" s="2487" t="s">
        <v>626</v>
      </c>
      <c r="C9" s="2478"/>
      <c r="F9" s="2696" t="s">
        <v>627</v>
      </c>
      <c r="G9" s="2482"/>
      <c r="K9" s="2485"/>
      <c r="L9" s="2486"/>
    </row>
    <row r="10" spans="1:12" x14ac:dyDescent="0.4">
      <c r="B10" s="2487" t="s">
        <v>628</v>
      </c>
      <c r="C10" s="2478"/>
      <c r="F10" s="2697" t="s">
        <v>629</v>
      </c>
      <c r="G10" s="2482"/>
    </row>
    <row r="11" spans="1:12" x14ac:dyDescent="0.4">
      <c r="B11" s="2575" t="s">
        <v>630</v>
      </c>
      <c r="C11" s="2478"/>
      <c r="F11" s="2698" t="s">
        <v>631</v>
      </c>
      <c r="G11" s="2482"/>
      <c r="L11" s="2488"/>
    </row>
    <row r="12" spans="1:12" ht="19.5" thickBot="1" x14ac:dyDescent="0.45">
      <c r="B12" s="2487" t="s">
        <v>632</v>
      </c>
      <c r="C12" s="2478"/>
      <c r="F12" s="2699" t="s">
        <v>633</v>
      </c>
      <c r="G12" s="2482"/>
      <c r="K12" s="2483"/>
      <c r="L12" s="2475"/>
    </row>
    <row r="13" spans="1:12" x14ac:dyDescent="0.4">
      <c r="B13" s="2487" t="s">
        <v>634</v>
      </c>
      <c r="C13" s="2478"/>
      <c r="G13" s="2482"/>
      <c r="K13" s="2483"/>
      <c r="L13" s="2475"/>
    </row>
    <row r="14" spans="1:12" x14ac:dyDescent="0.4">
      <c r="B14" s="2487" t="s">
        <v>635</v>
      </c>
      <c r="C14" s="2478"/>
      <c r="G14" s="2482"/>
    </row>
    <row r="15" spans="1:12" x14ac:dyDescent="0.4">
      <c r="B15" s="2487" t="s">
        <v>636</v>
      </c>
      <c r="C15" s="2478"/>
      <c r="G15" s="2482"/>
    </row>
    <row r="16" spans="1:12" x14ac:dyDescent="0.4">
      <c r="B16" s="2487" t="s">
        <v>637</v>
      </c>
      <c r="C16" s="2478"/>
      <c r="G16" s="2482"/>
    </row>
    <row r="17" spans="2:7" x14ac:dyDescent="0.4">
      <c r="B17" s="2575" t="s">
        <v>638</v>
      </c>
      <c r="C17" s="2478"/>
      <c r="G17" s="2482"/>
    </row>
    <row r="18" spans="2:7" x14ac:dyDescent="0.4">
      <c r="B18" s="2487" t="s">
        <v>639</v>
      </c>
      <c r="C18" s="2478"/>
      <c r="G18" s="2482"/>
    </row>
    <row r="19" spans="2:7" x14ac:dyDescent="0.4">
      <c r="B19" s="2575" t="s">
        <v>640</v>
      </c>
      <c r="C19" s="2478"/>
      <c r="G19" s="2482"/>
    </row>
    <row r="20" spans="2:7" x14ac:dyDescent="0.4">
      <c r="B20" s="2487" t="s">
        <v>641</v>
      </c>
      <c r="C20" s="2478"/>
      <c r="G20" s="2482"/>
    </row>
    <row r="21" spans="2:7" x14ac:dyDescent="0.4">
      <c r="B21" s="2487" t="s">
        <v>642</v>
      </c>
      <c r="C21" s="2478"/>
      <c r="G21" s="2482"/>
    </row>
    <row r="22" spans="2:7" x14ac:dyDescent="0.4">
      <c r="B22" s="2487" t="s">
        <v>643</v>
      </c>
      <c r="C22" s="2478"/>
      <c r="G22" s="2482"/>
    </row>
    <row r="23" spans="2:7" x14ac:dyDescent="0.4">
      <c r="B23" s="2575" t="s">
        <v>644</v>
      </c>
      <c r="C23" s="2478"/>
      <c r="G23" s="2482"/>
    </row>
    <row r="24" spans="2:7" x14ac:dyDescent="0.4">
      <c r="B24" s="2487" t="s">
        <v>645</v>
      </c>
      <c r="C24" s="2478"/>
      <c r="G24" s="2482"/>
    </row>
    <row r="25" spans="2:7" x14ac:dyDescent="0.4">
      <c r="B25" s="2487" t="s">
        <v>646</v>
      </c>
      <c r="C25" s="2478"/>
      <c r="G25" s="2482"/>
    </row>
    <row r="26" spans="2:7" x14ac:dyDescent="0.4">
      <c r="B26" s="2575" t="s">
        <v>647</v>
      </c>
      <c r="C26" s="2478"/>
      <c r="G26" s="2482"/>
    </row>
    <row r="27" spans="2:7" x14ac:dyDescent="0.4">
      <c r="B27" s="2487" t="s">
        <v>648</v>
      </c>
      <c r="C27" s="2478"/>
      <c r="G27" s="2482"/>
    </row>
    <row r="28" spans="2:7" x14ac:dyDescent="0.4">
      <c r="B28" s="2487" t="s">
        <v>649</v>
      </c>
      <c r="C28" s="2478"/>
      <c r="G28" s="2482"/>
    </row>
    <row r="29" spans="2:7" x14ac:dyDescent="0.4">
      <c r="B29" s="2575" t="s">
        <v>650</v>
      </c>
      <c r="C29" s="2478"/>
      <c r="G29" s="2482"/>
    </row>
    <row r="30" spans="2:7" x14ac:dyDescent="0.4">
      <c r="B30" s="2487" t="s">
        <v>651</v>
      </c>
      <c r="C30" s="2478"/>
      <c r="G30" s="2476"/>
    </row>
    <row r="31" spans="2:7" x14ac:dyDescent="0.4">
      <c r="B31" s="2487" t="s">
        <v>652</v>
      </c>
      <c r="C31" s="2478"/>
      <c r="G31" s="2476"/>
    </row>
    <row r="32" spans="2:7" x14ac:dyDescent="0.4">
      <c r="B32" s="2487" t="s">
        <v>653</v>
      </c>
      <c r="C32" s="2478"/>
      <c r="G32" s="2476"/>
    </row>
    <row r="33" spans="2:7" x14ac:dyDescent="0.4">
      <c r="B33" s="2575" t="s">
        <v>654</v>
      </c>
      <c r="C33" s="2478"/>
      <c r="G33" s="2476"/>
    </row>
    <row r="34" spans="2:7" x14ac:dyDescent="0.4">
      <c r="B34" s="2487" t="s">
        <v>655</v>
      </c>
      <c r="C34" s="2478"/>
      <c r="G34" s="2476"/>
    </row>
    <row r="35" spans="2:7" x14ac:dyDescent="0.4">
      <c r="B35" s="2575" t="s">
        <v>656</v>
      </c>
      <c r="C35" s="2478"/>
      <c r="G35" s="2476"/>
    </row>
    <row r="36" spans="2:7" x14ac:dyDescent="0.4">
      <c r="B36" s="2487" t="s">
        <v>657</v>
      </c>
      <c r="C36" s="2478"/>
      <c r="G36" s="2476"/>
    </row>
    <row r="37" spans="2:7" x14ac:dyDescent="0.4">
      <c r="B37" s="2487" t="s">
        <v>658</v>
      </c>
      <c r="C37" s="2478"/>
      <c r="G37" s="2476"/>
    </row>
    <row r="38" spans="2:7" x14ac:dyDescent="0.4">
      <c r="B38" s="2575" t="s">
        <v>587</v>
      </c>
      <c r="C38" s="2478"/>
      <c r="G38" s="2476"/>
    </row>
    <row r="39" spans="2:7" x14ac:dyDescent="0.4">
      <c r="B39" s="2575" t="s">
        <v>659</v>
      </c>
      <c r="C39" s="2478"/>
      <c r="G39" s="2476"/>
    </row>
    <row r="40" spans="2:7" x14ac:dyDescent="0.4">
      <c r="B40" s="2487" t="s">
        <v>660</v>
      </c>
      <c r="C40" s="2478"/>
      <c r="G40" s="2476"/>
    </row>
    <row r="41" spans="2:7" x14ac:dyDescent="0.4">
      <c r="B41" s="2575" t="s">
        <v>661</v>
      </c>
      <c r="C41" s="2478"/>
      <c r="G41" s="2476"/>
    </row>
    <row r="42" spans="2:7" x14ac:dyDescent="0.4">
      <c r="B42" s="2487" t="s">
        <v>662</v>
      </c>
      <c r="C42" s="2478"/>
      <c r="G42" s="2476"/>
    </row>
    <row r="43" spans="2:7" x14ac:dyDescent="0.4">
      <c r="B43" s="2487" t="s">
        <v>663</v>
      </c>
      <c r="C43" s="2478"/>
      <c r="G43" s="2476"/>
    </row>
    <row r="44" spans="2:7" x14ac:dyDescent="0.4">
      <c r="B44" s="2487" t="s">
        <v>664</v>
      </c>
      <c r="C44" s="2478"/>
      <c r="G44" s="2476"/>
    </row>
    <row r="45" spans="2:7" x14ac:dyDescent="0.4">
      <c r="B45" s="2575" t="s">
        <v>665</v>
      </c>
      <c r="C45" s="2478"/>
      <c r="G45" s="2476"/>
    </row>
    <row r="46" spans="2:7" x14ac:dyDescent="0.4">
      <c r="B46" s="2487" t="s">
        <v>666</v>
      </c>
      <c r="C46" s="2478"/>
      <c r="G46" s="2476"/>
    </row>
    <row r="47" spans="2:7" x14ac:dyDescent="0.4">
      <c r="B47" s="2487" t="s">
        <v>667</v>
      </c>
      <c r="C47" s="2478"/>
      <c r="G47" s="2476"/>
    </row>
    <row r="48" spans="2:7" x14ac:dyDescent="0.4">
      <c r="B48" s="2487" t="s">
        <v>668</v>
      </c>
      <c r="C48" s="2478"/>
      <c r="G48" s="2476"/>
    </row>
    <row r="49" spans="2:7" x14ac:dyDescent="0.4">
      <c r="B49" s="2487" t="s">
        <v>669</v>
      </c>
      <c r="C49" s="2478"/>
      <c r="G49" s="2476"/>
    </row>
    <row r="50" spans="2:7" x14ac:dyDescent="0.4">
      <c r="B50" s="2487" t="s">
        <v>670</v>
      </c>
      <c r="C50" s="2478"/>
      <c r="G50" s="2476"/>
    </row>
    <row r="51" spans="2:7" x14ac:dyDescent="0.4">
      <c r="B51" s="2575" t="s">
        <v>671</v>
      </c>
      <c r="C51" s="2478"/>
      <c r="G51" s="2476"/>
    </row>
    <row r="52" spans="2:7" x14ac:dyDescent="0.4">
      <c r="B52" s="2487" t="s">
        <v>672</v>
      </c>
      <c r="C52" s="2478"/>
      <c r="G52" s="2476"/>
    </row>
    <row r="53" spans="2:7" x14ac:dyDescent="0.4">
      <c r="B53" s="2487" t="s">
        <v>673</v>
      </c>
      <c r="C53" s="2478"/>
      <c r="G53" s="2476"/>
    </row>
    <row r="54" spans="2:7" x14ac:dyDescent="0.4">
      <c r="B54" s="2487" t="s">
        <v>674</v>
      </c>
      <c r="C54" s="2478"/>
      <c r="G54" s="2476"/>
    </row>
    <row r="55" spans="2:7" x14ac:dyDescent="0.4">
      <c r="B55" s="2487" t="s">
        <v>675</v>
      </c>
      <c r="C55" s="2478"/>
      <c r="G55" s="2476"/>
    </row>
    <row r="56" spans="2:7" x14ac:dyDescent="0.4">
      <c r="B56" s="2575" t="s">
        <v>676</v>
      </c>
      <c r="C56" s="2478"/>
      <c r="G56" s="2476"/>
    </row>
    <row r="57" spans="2:7" x14ac:dyDescent="0.4">
      <c r="B57" s="2575" t="s">
        <v>677</v>
      </c>
      <c r="C57" s="2478"/>
      <c r="G57" s="2476"/>
    </row>
    <row r="58" spans="2:7" x14ac:dyDescent="0.4">
      <c r="B58" s="2487" t="s">
        <v>678</v>
      </c>
      <c r="C58" s="2478"/>
      <c r="G58" s="2476"/>
    </row>
    <row r="59" spans="2:7" x14ac:dyDescent="0.4">
      <c r="B59" s="2487" t="s">
        <v>679</v>
      </c>
      <c r="C59" s="2478"/>
      <c r="G59" s="2476"/>
    </row>
    <row r="60" spans="2:7" x14ac:dyDescent="0.4">
      <c r="B60" s="2487" t="s">
        <v>680</v>
      </c>
      <c r="C60" s="2478"/>
      <c r="G60" s="2476"/>
    </row>
    <row r="61" spans="2:7" x14ac:dyDescent="0.4">
      <c r="B61" s="2487" t="s">
        <v>681</v>
      </c>
      <c r="C61" s="2478"/>
      <c r="G61" s="2476"/>
    </row>
    <row r="62" spans="2:7" x14ac:dyDescent="0.4">
      <c r="B62" s="2487" t="s">
        <v>682</v>
      </c>
      <c r="C62" s="2478"/>
      <c r="G62" s="2476"/>
    </row>
    <row r="63" spans="2:7" x14ac:dyDescent="0.4">
      <c r="B63" s="2575" t="s">
        <v>683</v>
      </c>
      <c r="C63" s="2478"/>
      <c r="G63" s="2476"/>
    </row>
    <row r="64" spans="2:7" x14ac:dyDescent="0.4">
      <c r="B64" s="2575" t="s">
        <v>684</v>
      </c>
      <c r="C64" s="2478"/>
      <c r="G64" s="2476"/>
    </row>
    <row r="65" spans="2:7" x14ac:dyDescent="0.4">
      <c r="B65" s="2487" t="s">
        <v>685</v>
      </c>
      <c r="C65" s="2478"/>
      <c r="G65" s="2476"/>
    </row>
    <row r="66" spans="2:7" x14ac:dyDescent="0.4">
      <c r="B66" s="2487" t="s">
        <v>686</v>
      </c>
      <c r="C66" s="2478"/>
      <c r="G66" s="2476"/>
    </row>
    <row r="67" spans="2:7" x14ac:dyDescent="0.4">
      <c r="B67" s="2575" t="s">
        <v>687</v>
      </c>
      <c r="C67" s="2478"/>
      <c r="G67" s="2476"/>
    </row>
    <row r="68" spans="2:7" x14ac:dyDescent="0.4">
      <c r="B68" s="2487" t="s">
        <v>688</v>
      </c>
      <c r="C68" s="2478"/>
      <c r="G68" s="2476"/>
    </row>
    <row r="69" spans="2:7" x14ac:dyDescent="0.4">
      <c r="B69" s="2487" t="s">
        <v>689</v>
      </c>
      <c r="C69" s="2478"/>
      <c r="G69" s="2476"/>
    </row>
    <row r="70" spans="2:7" x14ac:dyDescent="0.4">
      <c r="B70" s="2575" t="s">
        <v>690</v>
      </c>
      <c r="C70" s="2478"/>
      <c r="G70" s="2476"/>
    </row>
    <row r="71" spans="2:7" x14ac:dyDescent="0.4">
      <c r="B71" s="2487" t="s">
        <v>691</v>
      </c>
      <c r="C71" s="2478"/>
      <c r="G71" s="2476"/>
    </row>
    <row r="72" spans="2:7" x14ac:dyDescent="0.4">
      <c r="B72" s="2487" t="s">
        <v>693</v>
      </c>
      <c r="C72" s="2478"/>
      <c r="G72" s="2476"/>
    </row>
    <row r="73" spans="2:7" x14ac:dyDescent="0.4">
      <c r="B73" s="2487" t="s">
        <v>694</v>
      </c>
      <c r="C73" s="2478"/>
      <c r="G73" s="2476"/>
    </row>
    <row r="74" spans="2:7" x14ac:dyDescent="0.4">
      <c r="B74" s="2575" t="s">
        <v>695</v>
      </c>
      <c r="C74" s="2478"/>
      <c r="G74" s="2476"/>
    </row>
    <row r="75" spans="2:7" x14ac:dyDescent="0.4">
      <c r="B75" s="2487" t="s">
        <v>692</v>
      </c>
      <c r="C75" s="2478"/>
      <c r="G75" s="2476"/>
    </row>
    <row r="76" spans="2:7" x14ac:dyDescent="0.4">
      <c r="B76" s="2575" t="s">
        <v>696</v>
      </c>
      <c r="C76" s="2478"/>
      <c r="G76" s="2476"/>
    </row>
    <row r="77" spans="2:7" x14ac:dyDescent="0.4">
      <c r="B77" s="2575" t="s">
        <v>697</v>
      </c>
      <c r="C77" s="2478"/>
      <c r="G77" s="2476"/>
    </row>
    <row r="78" spans="2:7" x14ac:dyDescent="0.4">
      <c r="B78" s="2575" t="s">
        <v>698</v>
      </c>
      <c r="C78" s="2478"/>
      <c r="G78" s="2476"/>
    </row>
    <row r="79" spans="2:7" x14ac:dyDescent="0.4">
      <c r="B79" s="2487" t="s">
        <v>699</v>
      </c>
      <c r="C79" s="2478"/>
      <c r="G79" s="2476"/>
    </row>
    <row r="80" spans="2:7" x14ac:dyDescent="0.4">
      <c r="B80" s="2487" t="s">
        <v>700</v>
      </c>
      <c r="C80" s="2478"/>
      <c r="G80" s="2476"/>
    </row>
    <row r="81" spans="2:7" x14ac:dyDescent="0.4">
      <c r="B81" s="2575" t="s">
        <v>701</v>
      </c>
      <c r="C81" s="2478"/>
      <c r="G81" s="2476"/>
    </row>
    <row r="82" spans="2:7" x14ac:dyDescent="0.4">
      <c r="B82" s="2487" t="s">
        <v>702</v>
      </c>
      <c r="C82" s="2478"/>
      <c r="G82" s="2476"/>
    </row>
    <row r="83" spans="2:7" x14ac:dyDescent="0.4">
      <c r="B83" s="2575" t="s">
        <v>703</v>
      </c>
      <c r="C83" s="2478"/>
      <c r="G83" s="2476"/>
    </row>
    <row r="84" spans="2:7" x14ac:dyDescent="0.4">
      <c r="B84" s="2487" t="s">
        <v>704</v>
      </c>
      <c r="C84" s="2478"/>
      <c r="G84" s="2476"/>
    </row>
    <row r="85" spans="2:7" x14ac:dyDescent="0.4">
      <c r="B85" s="2487" t="s">
        <v>705</v>
      </c>
      <c r="C85" s="2478"/>
      <c r="G85" s="2476"/>
    </row>
    <row r="86" spans="2:7" x14ac:dyDescent="0.4">
      <c r="B86" s="2575" t="s">
        <v>706</v>
      </c>
      <c r="C86" s="2478"/>
      <c r="G86" s="2476"/>
    </row>
    <row r="87" spans="2:7" x14ac:dyDescent="0.4">
      <c r="B87" s="2487" t="s">
        <v>707</v>
      </c>
      <c r="C87" s="2478"/>
      <c r="G87" s="2476"/>
    </row>
    <row r="88" spans="2:7" x14ac:dyDescent="0.4">
      <c r="B88" s="2487" t="s">
        <v>708</v>
      </c>
      <c r="C88" s="2478"/>
      <c r="G88" s="2476"/>
    </row>
    <row r="89" spans="2:7" x14ac:dyDescent="0.4">
      <c r="B89" s="2575" t="s">
        <v>709</v>
      </c>
      <c r="C89" s="2478"/>
      <c r="G89" s="2476"/>
    </row>
    <row r="90" spans="2:7" x14ac:dyDescent="0.4">
      <c r="B90" s="2487" t="s">
        <v>710</v>
      </c>
      <c r="C90" s="2478"/>
      <c r="G90" s="2476"/>
    </row>
    <row r="91" spans="2:7" x14ac:dyDescent="0.4">
      <c r="B91" s="2487" t="s">
        <v>711</v>
      </c>
      <c r="C91" s="2478"/>
      <c r="G91" s="2476"/>
    </row>
    <row r="92" spans="2:7" x14ac:dyDescent="0.4">
      <c r="B92" s="2487" t="s">
        <v>712</v>
      </c>
      <c r="C92" s="2478"/>
      <c r="G92" s="2476"/>
    </row>
    <row r="93" spans="2:7" x14ac:dyDescent="0.4">
      <c r="B93" s="2575" t="s">
        <v>713</v>
      </c>
      <c r="C93" s="2478"/>
      <c r="G93" s="2476"/>
    </row>
    <row r="94" spans="2:7" x14ac:dyDescent="0.4">
      <c r="B94" s="2487" t="s">
        <v>714</v>
      </c>
      <c r="C94" s="2478"/>
      <c r="G94" s="2476"/>
    </row>
    <row r="95" spans="2:7" x14ac:dyDescent="0.4">
      <c r="B95" s="2487" t="s">
        <v>715</v>
      </c>
      <c r="C95" s="2478"/>
      <c r="G95" s="2476"/>
    </row>
    <row r="96" spans="2:7" x14ac:dyDescent="0.4">
      <c r="B96" s="2575" t="s">
        <v>716</v>
      </c>
      <c r="C96" s="2478"/>
      <c r="G96" s="2476"/>
    </row>
    <row r="97" spans="2:7" x14ac:dyDescent="0.4">
      <c r="B97" s="2487" t="s">
        <v>717</v>
      </c>
      <c r="C97" s="2478"/>
      <c r="G97" s="2476"/>
    </row>
    <row r="98" spans="2:7" x14ac:dyDescent="0.4">
      <c r="B98" s="2487" t="s">
        <v>718</v>
      </c>
      <c r="C98" s="2478"/>
      <c r="G98" s="2476"/>
    </row>
    <row r="99" spans="2:7" x14ac:dyDescent="0.4">
      <c r="B99" s="2575" t="s">
        <v>719</v>
      </c>
      <c r="C99" s="2478"/>
      <c r="G99" s="2476"/>
    </row>
    <row r="100" spans="2:7" x14ac:dyDescent="0.4">
      <c r="B100" s="2487" t="s">
        <v>720</v>
      </c>
      <c r="C100" s="2478"/>
      <c r="G100" s="2476"/>
    </row>
    <row r="101" spans="2:7" x14ac:dyDescent="0.4">
      <c r="B101" s="2487" t="s">
        <v>721</v>
      </c>
      <c r="C101" s="2478"/>
      <c r="G101" s="2476"/>
    </row>
    <row r="102" spans="2:7" x14ac:dyDescent="0.4">
      <c r="B102" s="2487" t="s">
        <v>722</v>
      </c>
      <c r="C102" s="2478"/>
      <c r="G102" s="2476"/>
    </row>
    <row r="103" spans="2:7" x14ac:dyDescent="0.4">
      <c r="B103" s="2487" t="s">
        <v>723</v>
      </c>
      <c r="C103" s="2478"/>
      <c r="G103" s="2476"/>
    </row>
    <row r="104" spans="2:7" x14ac:dyDescent="0.4">
      <c r="B104" s="2487" t="s">
        <v>724</v>
      </c>
      <c r="C104" s="2478"/>
      <c r="G104" s="2476"/>
    </row>
    <row r="105" spans="2:7" x14ac:dyDescent="0.4">
      <c r="B105" s="2487" t="s">
        <v>725</v>
      </c>
      <c r="C105" s="2478"/>
      <c r="G105" s="2476"/>
    </row>
    <row r="106" spans="2:7" x14ac:dyDescent="0.4">
      <c r="B106" s="2575" t="s">
        <v>726</v>
      </c>
      <c r="C106" s="2478"/>
      <c r="G106" s="2476"/>
    </row>
    <row r="107" spans="2:7" x14ac:dyDescent="0.4">
      <c r="B107" s="2487" t="s">
        <v>727</v>
      </c>
      <c r="C107" s="2478"/>
      <c r="G107" s="2476"/>
    </row>
    <row r="108" spans="2:7" x14ac:dyDescent="0.4">
      <c r="B108" s="2487" t="s">
        <v>728</v>
      </c>
      <c r="C108" s="2478"/>
      <c r="G108" s="2476"/>
    </row>
    <row r="109" spans="2:7" x14ac:dyDescent="0.4">
      <c r="B109" s="2575" t="s">
        <v>729</v>
      </c>
      <c r="C109" s="2478"/>
      <c r="G109" s="2476"/>
    </row>
    <row r="110" spans="2:7" x14ac:dyDescent="0.4">
      <c r="B110" s="2487" t="s">
        <v>730</v>
      </c>
      <c r="C110" s="2478"/>
      <c r="G110" s="2476"/>
    </row>
    <row r="111" spans="2:7" x14ac:dyDescent="0.4">
      <c r="B111" s="2487" t="s">
        <v>731</v>
      </c>
      <c r="C111" s="2478"/>
      <c r="G111" s="2476"/>
    </row>
    <row r="112" spans="2:7" x14ac:dyDescent="0.4">
      <c r="B112" s="2575" t="s">
        <v>732</v>
      </c>
      <c r="C112" s="2478"/>
      <c r="G112" s="2476"/>
    </row>
    <row r="113" spans="2:7" x14ac:dyDescent="0.4">
      <c r="B113" s="2487" t="s">
        <v>733</v>
      </c>
      <c r="C113" s="2478"/>
      <c r="G113" s="2476"/>
    </row>
    <row r="114" spans="2:7" x14ac:dyDescent="0.4">
      <c r="B114" s="2487" t="s">
        <v>734</v>
      </c>
      <c r="C114" s="2478"/>
      <c r="G114" s="2476"/>
    </row>
    <row r="115" spans="2:7" x14ac:dyDescent="0.4">
      <c r="B115" s="2575" t="s">
        <v>735</v>
      </c>
      <c r="C115" s="2478"/>
      <c r="G115" s="2476"/>
    </row>
    <row r="116" spans="2:7" x14ac:dyDescent="0.4">
      <c r="B116" s="2487" t="s">
        <v>736</v>
      </c>
      <c r="C116" s="2478"/>
      <c r="G116" s="2476"/>
    </row>
    <row r="117" spans="2:7" x14ac:dyDescent="0.4">
      <c r="B117" s="2487" t="s">
        <v>737</v>
      </c>
      <c r="C117" s="2478"/>
      <c r="G117" s="2476"/>
    </row>
    <row r="118" spans="2:7" x14ac:dyDescent="0.4">
      <c r="B118" s="2575" t="s">
        <v>738</v>
      </c>
      <c r="C118" s="2478"/>
      <c r="G118" s="2476"/>
    </row>
    <row r="119" spans="2:7" x14ac:dyDescent="0.4">
      <c r="B119" s="2487" t="s">
        <v>739</v>
      </c>
      <c r="C119" s="2478"/>
      <c r="G119" s="2476"/>
    </row>
    <row r="120" spans="2:7" x14ac:dyDescent="0.4">
      <c r="B120" s="2487" t="s">
        <v>740</v>
      </c>
      <c r="C120" s="2478"/>
      <c r="G120" s="2476"/>
    </row>
    <row r="121" spans="2:7" x14ac:dyDescent="0.4">
      <c r="B121" s="2487" t="s">
        <v>741</v>
      </c>
      <c r="C121" s="2478"/>
      <c r="G121" s="2476"/>
    </row>
    <row r="122" spans="2:7" x14ac:dyDescent="0.4">
      <c r="B122" s="2487" t="s">
        <v>742</v>
      </c>
      <c r="C122" s="2478"/>
      <c r="G122" s="2476"/>
    </row>
    <row r="123" spans="2:7" x14ac:dyDescent="0.4">
      <c r="B123" s="2487" t="s">
        <v>743</v>
      </c>
      <c r="C123" s="2478"/>
      <c r="G123" s="2476"/>
    </row>
    <row r="124" spans="2:7" x14ac:dyDescent="0.4">
      <c r="B124" s="2487" t="s">
        <v>744</v>
      </c>
      <c r="C124" s="2478"/>
      <c r="G124" s="2476"/>
    </row>
    <row r="125" spans="2:7" x14ac:dyDescent="0.4">
      <c r="B125" s="2487" t="s">
        <v>745</v>
      </c>
      <c r="C125" s="2478"/>
      <c r="G125" s="2476"/>
    </row>
    <row r="126" spans="2:7" x14ac:dyDescent="0.4">
      <c r="B126" s="2487" t="s">
        <v>746</v>
      </c>
      <c r="C126" s="2478"/>
      <c r="G126" s="2476"/>
    </row>
    <row r="127" spans="2:7" x14ac:dyDescent="0.4">
      <c r="B127" s="2487" t="s">
        <v>747</v>
      </c>
      <c r="C127" s="2478"/>
      <c r="G127" s="2476"/>
    </row>
    <row r="128" spans="2:7" x14ac:dyDescent="0.4">
      <c r="B128" s="2575" t="s">
        <v>216</v>
      </c>
      <c r="C128" s="2478"/>
      <c r="G128" s="2476"/>
    </row>
    <row r="129" spans="2:7" x14ac:dyDescent="0.4">
      <c r="B129" s="2575" t="s">
        <v>748</v>
      </c>
      <c r="C129" s="2478"/>
      <c r="G129" s="2476"/>
    </row>
    <row r="130" spans="2:7" x14ac:dyDescent="0.4">
      <c r="B130" s="2487" t="s">
        <v>749</v>
      </c>
      <c r="C130" s="2478"/>
      <c r="G130" s="2476"/>
    </row>
    <row r="131" spans="2:7" x14ac:dyDescent="0.4">
      <c r="B131" s="2575" t="s">
        <v>750</v>
      </c>
      <c r="C131" s="2478"/>
      <c r="G131" s="2476"/>
    </row>
    <row r="132" spans="2:7" x14ac:dyDescent="0.4">
      <c r="B132" s="2487" t="s">
        <v>751</v>
      </c>
      <c r="C132" s="2478"/>
      <c r="G132" s="2476"/>
    </row>
    <row r="133" spans="2:7" x14ac:dyDescent="0.4">
      <c r="B133" s="2487" t="s">
        <v>752</v>
      </c>
      <c r="C133" s="2478"/>
      <c r="G133" s="2476"/>
    </row>
    <row r="134" spans="2:7" x14ac:dyDescent="0.4">
      <c r="B134" s="2487" t="s">
        <v>753</v>
      </c>
      <c r="C134" s="2478"/>
      <c r="G134" s="2476"/>
    </row>
    <row r="135" spans="2:7" x14ac:dyDescent="0.4">
      <c r="B135" s="2575" t="s">
        <v>754</v>
      </c>
      <c r="C135" s="2478"/>
      <c r="G135" s="2476"/>
    </row>
    <row r="136" spans="2:7" x14ac:dyDescent="0.4">
      <c r="B136" s="2487" t="s">
        <v>755</v>
      </c>
      <c r="C136" s="2478"/>
      <c r="G136" s="2476"/>
    </row>
    <row r="137" spans="2:7" x14ac:dyDescent="0.4">
      <c r="B137" s="2487" t="s">
        <v>756</v>
      </c>
      <c r="C137" s="2478"/>
      <c r="G137" s="2476"/>
    </row>
    <row r="138" spans="2:7" x14ac:dyDescent="0.4">
      <c r="B138" s="2487" t="s">
        <v>757</v>
      </c>
      <c r="C138" s="2478"/>
      <c r="G138" s="2476"/>
    </row>
    <row r="139" spans="2:7" x14ac:dyDescent="0.4">
      <c r="B139" s="2487" t="s">
        <v>758</v>
      </c>
      <c r="C139" s="2478"/>
      <c r="G139" s="2476"/>
    </row>
    <row r="140" spans="2:7" x14ac:dyDescent="0.4">
      <c r="B140" s="2487" t="s">
        <v>759</v>
      </c>
      <c r="C140" s="2478"/>
      <c r="G140" s="2476"/>
    </row>
    <row r="141" spans="2:7" x14ac:dyDescent="0.4">
      <c r="B141" s="2575" t="s">
        <v>170</v>
      </c>
      <c r="C141" s="2478"/>
      <c r="G141" s="2476"/>
    </row>
    <row r="142" spans="2:7" x14ac:dyDescent="0.4">
      <c r="B142" s="2575" t="s">
        <v>760</v>
      </c>
      <c r="C142" s="2478"/>
      <c r="G142" s="2476"/>
    </row>
    <row r="143" spans="2:7" x14ac:dyDescent="0.4">
      <c r="B143" s="2487" t="s">
        <v>761</v>
      </c>
      <c r="C143" s="2478"/>
      <c r="G143" s="2476"/>
    </row>
    <row r="144" spans="2:7" x14ac:dyDescent="0.4">
      <c r="B144" s="2487" t="s">
        <v>762</v>
      </c>
      <c r="C144" s="2478"/>
      <c r="G144" s="2476"/>
    </row>
    <row r="145" spans="2:7" x14ac:dyDescent="0.4">
      <c r="B145" s="2576" t="s">
        <v>299</v>
      </c>
      <c r="C145" s="2478"/>
      <c r="G145" s="2476"/>
    </row>
    <row r="146" spans="2:7" x14ac:dyDescent="0.4">
      <c r="B146" s="2576" t="s">
        <v>301</v>
      </c>
      <c r="C146" s="2478"/>
      <c r="G146" s="2476"/>
    </row>
    <row r="147" spans="2:7" x14ac:dyDescent="0.4">
      <c r="B147" s="2576" t="s">
        <v>763</v>
      </c>
      <c r="C147" s="2478"/>
      <c r="G147" s="2476"/>
    </row>
    <row r="148" spans="2:7" x14ac:dyDescent="0.4">
      <c r="B148" s="2489" t="s">
        <v>114</v>
      </c>
      <c r="C148" s="2478"/>
      <c r="G148" s="2476"/>
    </row>
    <row r="149" spans="2:7" x14ac:dyDescent="0.4">
      <c r="B149" s="2489" t="s">
        <v>123</v>
      </c>
      <c r="C149" s="2478"/>
      <c r="G149" s="2476"/>
    </row>
    <row r="150" spans="2:7" x14ac:dyDescent="0.4">
      <c r="B150" s="2489" t="s">
        <v>137</v>
      </c>
      <c r="C150" s="2478"/>
      <c r="G150" s="2476"/>
    </row>
    <row r="151" spans="2:7" x14ac:dyDescent="0.4">
      <c r="B151" s="2489" t="s">
        <v>150</v>
      </c>
      <c r="C151" s="2478"/>
      <c r="G151" s="2476"/>
    </row>
    <row r="152" spans="2:7" x14ac:dyDescent="0.4">
      <c r="B152" s="2489" t="s">
        <v>162</v>
      </c>
      <c r="C152" s="2478"/>
      <c r="G152" s="2476"/>
    </row>
    <row r="153" spans="2:7" x14ac:dyDescent="0.4">
      <c r="B153" s="2489" t="s">
        <v>174</v>
      </c>
      <c r="C153" s="2478"/>
      <c r="G153" s="2476"/>
    </row>
    <row r="154" spans="2:7" x14ac:dyDescent="0.4">
      <c r="B154" s="2489" t="s">
        <v>186</v>
      </c>
      <c r="C154" s="2478"/>
      <c r="G154" s="2476"/>
    </row>
    <row r="155" spans="2:7" x14ac:dyDescent="0.4">
      <c r="B155" s="2489" t="s">
        <v>197</v>
      </c>
      <c r="C155" s="2478"/>
      <c r="G155" s="2476"/>
    </row>
    <row r="156" spans="2:7" x14ac:dyDescent="0.4">
      <c r="B156" s="2489" t="s">
        <v>208</v>
      </c>
      <c r="C156" s="2478"/>
      <c r="G156" s="2476"/>
    </row>
    <row r="157" spans="2:7" x14ac:dyDescent="0.4">
      <c r="B157" s="2489" t="s">
        <v>147</v>
      </c>
      <c r="C157" s="2478"/>
      <c r="G157" s="2476"/>
    </row>
    <row r="158" spans="2:7" x14ac:dyDescent="0.4">
      <c r="B158" s="2489" t="s">
        <v>223</v>
      </c>
      <c r="C158" s="2478"/>
      <c r="G158" s="2476"/>
    </row>
    <row r="159" spans="2:7" x14ac:dyDescent="0.4">
      <c r="B159" s="2489" t="s">
        <v>231</v>
      </c>
      <c r="C159" s="2478"/>
      <c r="G159" s="2476"/>
    </row>
    <row r="160" spans="2:7" x14ac:dyDescent="0.4">
      <c r="B160" s="2489" t="s">
        <v>240</v>
      </c>
      <c r="C160" s="2478"/>
      <c r="G160" s="2476"/>
    </row>
    <row r="161" spans="1:7" x14ac:dyDescent="0.4">
      <c r="B161" s="2489" t="s">
        <v>246</v>
      </c>
      <c r="C161" s="2478"/>
      <c r="G161" s="2476"/>
    </row>
    <row r="162" spans="1:7" x14ac:dyDescent="0.4">
      <c r="B162" s="2489" t="s">
        <v>250</v>
      </c>
      <c r="C162" s="2478"/>
      <c r="G162" s="2476"/>
    </row>
    <row r="163" spans="1:7" x14ac:dyDescent="0.4">
      <c r="B163" s="2489" t="s">
        <v>255</v>
      </c>
      <c r="C163" s="2478"/>
      <c r="G163" s="2476"/>
    </row>
    <row r="164" spans="1:7" x14ac:dyDescent="0.4">
      <c r="B164" s="2489" t="s">
        <v>262</v>
      </c>
      <c r="C164" s="2478"/>
      <c r="G164" s="2476"/>
    </row>
    <row r="165" spans="1:7" x14ac:dyDescent="0.4">
      <c r="B165" s="2489" t="s">
        <v>274</v>
      </c>
      <c r="C165" s="2478"/>
      <c r="G165" s="2476"/>
    </row>
    <row r="166" spans="1:7" x14ac:dyDescent="0.4">
      <c r="B166" s="2489" t="s">
        <v>281</v>
      </c>
      <c r="C166" s="2478"/>
      <c r="G166" s="2476"/>
    </row>
    <row r="167" spans="1:7" x14ac:dyDescent="0.4">
      <c r="B167" s="2489" t="s">
        <v>289</v>
      </c>
      <c r="C167" s="2478"/>
      <c r="G167" s="2476"/>
    </row>
    <row r="168" spans="1:7" x14ac:dyDescent="0.4">
      <c r="B168" s="2489" t="s">
        <v>295</v>
      </c>
      <c r="C168" s="2478"/>
      <c r="G168" s="2476"/>
    </row>
    <row r="169" spans="1:7" ht="19.5" thickBot="1" x14ac:dyDescent="0.45">
      <c r="B169" s="2490" t="s">
        <v>298</v>
      </c>
      <c r="C169" s="2478"/>
      <c r="G169" s="2476"/>
    </row>
    <row r="170" spans="1:7" x14ac:dyDescent="0.4">
      <c r="A170" s="2481"/>
      <c r="G170" s="2476"/>
    </row>
    <row r="171" spans="1:7" x14ac:dyDescent="0.4">
      <c r="A171" s="2481"/>
      <c r="G171" s="2476"/>
    </row>
    <row r="172" spans="1:7" x14ac:dyDescent="0.4">
      <c r="A172" s="2481"/>
      <c r="G172" s="2476"/>
    </row>
    <row r="173" spans="1:7" x14ac:dyDescent="0.4">
      <c r="A173" s="2481"/>
      <c r="G173" s="2476"/>
    </row>
    <row r="174" spans="1:7" x14ac:dyDescent="0.4">
      <c r="A174" s="2481"/>
      <c r="G174" s="2476"/>
    </row>
    <row r="175" spans="1:7" x14ac:dyDescent="0.4">
      <c r="A175" s="2481"/>
      <c r="G175" s="2476"/>
    </row>
    <row r="176" spans="1:7" x14ac:dyDescent="0.4">
      <c r="A176" s="2481"/>
      <c r="G176" s="2476"/>
    </row>
    <row r="177" spans="1:7" x14ac:dyDescent="0.4">
      <c r="A177" s="2481"/>
      <c r="G177" s="2476"/>
    </row>
    <row r="178" spans="1:7" x14ac:dyDescent="0.4">
      <c r="A178" s="2481"/>
      <c r="G178" s="2476"/>
    </row>
    <row r="179" spans="1:7" x14ac:dyDescent="0.4">
      <c r="A179" s="2481"/>
      <c r="G179" s="2476"/>
    </row>
    <row r="180" spans="1:7" x14ac:dyDescent="0.4">
      <c r="A180" s="2481"/>
      <c r="G180" s="2476"/>
    </row>
    <row r="181" spans="1:7" x14ac:dyDescent="0.4">
      <c r="A181" s="2481"/>
      <c r="G181" s="2476"/>
    </row>
    <row r="182" spans="1:7" x14ac:dyDescent="0.4">
      <c r="A182" s="2481"/>
      <c r="G182" s="2476"/>
    </row>
    <row r="183" spans="1:7" x14ac:dyDescent="0.4">
      <c r="A183" s="2481"/>
      <c r="G183" s="2476"/>
    </row>
    <row r="184" spans="1:7" x14ac:dyDescent="0.4">
      <c r="A184" s="2481"/>
      <c r="G184" s="2476"/>
    </row>
    <row r="185" spans="1:7" x14ac:dyDescent="0.4">
      <c r="A185" s="2481"/>
      <c r="G185" s="2476"/>
    </row>
    <row r="186" spans="1:7" x14ac:dyDescent="0.4">
      <c r="A186" s="2481"/>
      <c r="G186" s="2476"/>
    </row>
    <row r="187" spans="1:7" x14ac:dyDescent="0.4">
      <c r="A187" s="2481"/>
      <c r="G187" s="2476"/>
    </row>
    <row r="188" spans="1:7" x14ac:dyDescent="0.4">
      <c r="A188" s="2481"/>
      <c r="G188" s="2476"/>
    </row>
    <row r="189" spans="1:7" x14ac:dyDescent="0.4">
      <c r="A189" s="2481"/>
      <c r="G189" s="2476"/>
    </row>
    <row r="190" spans="1:7" x14ac:dyDescent="0.4">
      <c r="A190" s="2481"/>
      <c r="G190" s="2476"/>
    </row>
    <row r="191" spans="1:7" x14ac:dyDescent="0.4">
      <c r="A191" s="2481"/>
      <c r="G191" s="2476"/>
    </row>
    <row r="192" spans="1:7" x14ac:dyDescent="0.4">
      <c r="A192" s="2481"/>
      <c r="G192" s="2476"/>
    </row>
    <row r="193" spans="1:7" x14ac:dyDescent="0.4">
      <c r="A193" s="2481"/>
      <c r="G193" s="2476"/>
    </row>
    <row r="194" spans="1:7" x14ac:dyDescent="0.4">
      <c r="A194" s="2481"/>
      <c r="G194" s="2476"/>
    </row>
    <row r="195" spans="1:7" x14ac:dyDescent="0.4">
      <c r="A195" s="2481"/>
      <c r="G195" s="2476"/>
    </row>
    <row r="196" spans="1:7" x14ac:dyDescent="0.4">
      <c r="A196" s="2481"/>
      <c r="G196" s="2476"/>
    </row>
    <row r="197" spans="1:7" x14ac:dyDescent="0.4">
      <c r="A197" s="2481"/>
      <c r="G197" s="2476"/>
    </row>
    <row r="198" spans="1:7" x14ac:dyDescent="0.4">
      <c r="A198" s="2481"/>
      <c r="G198" s="2476"/>
    </row>
    <row r="199" spans="1:7" x14ac:dyDescent="0.4">
      <c r="A199" s="2481"/>
      <c r="G199" s="2476"/>
    </row>
    <row r="200" spans="1:7" x14ac:dyDescent="0.4">
      <c r="A200" s="2481"/>
      <c r="G200" s="2476"/>
    </row>
    <row r="201" spans="1:7" x14ac:dyDescent="0.4">
      <c r="A201" s="2481"/>
      <c r="G201" s="2476"/>
    </row>
    <row r="202" spans="1:7" ht="19.5" thickBot="1" x14ac:dyDescent="0.45">
      <c r="A202" s="2491"/>
      <c r="C202" s="2473"/>
      <c r="D202" s="2473"/>
      <c r="E202" s="2473"/>
      <c r="F202" s="2473"/>
      <c r="G202" s="2492"/>
    </row>
    <row r="203" spans="1:7" ht="19.5" thickBot="1" x14ac:dyDescent="0.45">
      <c r="B203" s="2473"/>
    </row>
  </sheetData>
  <autoFilter ref="B6:B170" xr:uid="{04DE17FB-3854-4306-97FE-800C81FFA0D3}"/>
  <mergeCells count="3">
    <mergeCell ref="A1:B1"/>
    <mergeCell ref="C1:D1"/>
    <mergeCell ref="A3:G3"/>
  </mergeCells>
  <phoneticPr fontId="4"/>
  <conditionalFormatting sqref="B151:B167">
    <cfRule type="duplicateValues" dxfId="65" priority="194"/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979F7-9B5E-4E30-991B-359F10F4E80A}">
  <sheetPr>
    <tabColor theme="7" tint="0.39994506668294322"/>
  </sheetPr>
  <dimension ref="A1:U770"/>
  <sheetViews>
    <sheetView zoomScale="70" zoomScaleNormal="70" workbookViewId="0">
      <pane xSplit="6" ySplit="1" topLeftCell="G49" activePane="bottomRight" state="frozen"/>
      <selection pane="topRight" activeCell="G1" sqref="G1"/>
      <selection pane="bottomLeft" activeCell="A2" sqref="A2"/>
      <selection pane="bottomRight" activeCell="D78" sqref="D78"/>
    </sheetView>
  </sheetViews>
  <sheetFormatPr defaultColWidth="8.625" defaultRowHeight="19.5" x14ac:dyDescent="0.4"/>
  <cols>
    <col min="1" max="1" width="7.625" style="2394" customWidth="1"/>
    <col min="2" max="2" width="7.625" style="2378" customWidth="1"/>
    <col min="3" max="3" width="7.625" style="2379" customWidth="1"/>
    <col min="4" max="4" width="23.625" style="2404" customWidth="1"/>
    <col min="5" max="5" width="23.625" style="2412" customWidth="1"/>
    <col min="6" max="6" width="8.125" style="2379" customWidth="1"/>
    <col min="7" max="7" width="17" style="2446" customWidth="1"/>
    <col min="8" max="8" width="9.125" style="2446" customWidth="1"/>
    <col min="9" max="9" width="7.625" style="2791" customWidth="1"/>
    <col min="10" max="12" width="18.625" style="2791" hidden="1" customWidth="1"/>
    <col min="13" max="13" width="31.125" style="2791" customWidth="1"/>
    <col min="14" max="14" width="31.125" style="2397" customWidth="1"/>
    <col min="15" max="15" width="31.125" style="2404" customWidth="1"/>
    <col min="16" max="16" width="24.125" style="2386" customWidth="1"/>
    <col min="17" max="16384" width="8.625" style="2386"/>
  </cols>
  <sheetData>
    <row r="1" spans="1:21" ht="27" customHeight="1" x14ac:dyDescent="0.4">
      <c r="A1" s="2377" t="s">
        <v>764</v>
      </c>
      <c r="B1" s="2378" t="s">
        <v>765</v>
      </c>
      <c r="C1" s="2379" t="s">
        <v>766</v>
      </c>
      <c r="D1" s="2378" t="s">
        <v>767</v>
      </c>
      <c r="E1" s="2380" t="s">
        <v>768</v>
      </c>
      <c r="F1" s="2379" t="s">
        <v>769</v>
      </c>
      <c r="G1" s="2381" t="s">
        <v>770</v>
      </c>
      <c r="H1" s="2381" t="s">
        <v>771</v>
      </c>
      <c r="I1" s="2789" t="s">
        <v>772</v>
      </c>
      <c r="J1" s="2382" t="s">
        <v>773</v>
      </c>
      <c r="K1" s="2382" t="s">
        <v>774</v>
      </c>
      <c r="L1" s="2383" t="s">
        <v>775</v>
      </c>
      <c r="M1" s="2382" t="s">
        <v>774</v>
      </c>
      <c r="N1" s="2384" t="s">
        <v>776</v>
      </c>
      <c r="O1" s="2385" t="s">
        <v>777</v>
      </c>
      <c r="P1" s="2379" t="s">
        <v>778</v>
      </c>
      <c r="U1" s="2386" t="s">
        <v>779</v>
      </c>
    </row>
    <row r="2" spans="1:21" ht="22.35" customHeight="1" x14ac:dyDescent="0.4">
      <c r="A2" s="2387" t="s">
        <v>780</v>
      </c>
      <c r="B2" s="2388" t="s">
        <v>622</v>
      </c>
      <c r="C2" s="2389">
        <v>2</v>
      </c>
      <c r="D2" s="2388" t="s">
        <v>781</v>
      </c>
      <c r="E2" s="2390" t="s">
        <v>782</v>
      </c>
      <c r="F2" s="2389"/>
      <c r="G2" s="2788" t="str">
        <f>IFERROR(HYPERLINK("https://logistics.amazon.co.jp/internal/operations/execution/itineraries?operationView=true&amp;provider=ALL_DRIVERS&amp;serviceAreaId="&amp;VLOOKUP($B2,'DS ID'!B:D,2,FALSE),$G$1),"")</f>
        <v>CORTEX ver2</v>
      </c>
      <c r="H2" s="2788" t="str">
        <f>IFERROR(HYPERLINK("https://logistics.amazon.co.jp/internal/capacity/rosterview?serviceAreaId="&amp;VLOOKUP($B2,'DS ID'!B:D,2,FALSE),$H$1),"")</f>
        <v>Roster</v>
      </c>
      <c r="I2" s="2788" t="str">
        <f>IFERROR(HYPERLINK("https://logistics.amazon.co.jp/internal/scheduling/dsps?serviceAreaId="&amp;VLOOKUP($B2,'DS ID'!B:D,2,FALSE),$I$1),"")</f>
        <v>SUI</v>
      </c>
      <c r="J2" s="2886"/>
      <c r="K2" s="2887" t="s">
        <v>783</v>
      </c>
      <c r="L2" s="2889"/>
      <c r="M2" s="2892" t="s">
        <v>784</v>
      </c>
      <c r="N2" s="2391" t="s">
        <v>785</v>
      </c>
      <c r="O2" s="2392"/>
      <c r="P2" s="2393"/>
    </row>
    <row r="3" spans="1:21" ht="22.35" customHeight="1" x14ac:dyDescent="0.4">
      <c r="A3" s="2387" t="s">
        <v>780</v>
      </c>
      <c r="B3" s="2394" t="s">
        <v>786</v>
      </c>
      <c r="C3" s="2379">
        <v>2</v>
      </c>
      <c r="D3" s="2388" t="s">
        <v>787</v>
      </c>
      <c r="E3" s="2390" t="s">
        <v>788</v>
      </c>
      <c r="F3" s="2389" t="s">
        <v>789</v>
      </c>
      <c r="G3" s="2788" t="str">
        <f>IFERROR(HYPERLINK("https://logistics.amazon.co.jp/internal/operations/execution/itineraries?operationView=true&amp;provider=ALL_DRIVERS&amp;serviceAreaId="&amp;VLOOKUP($B3,'DS ID'!B:D,2,FALSE),$G$1),"")</f>
        <v>CORTEX ver2</v>
      </c>
      <c r="H3" s="2788" t="str">
        <f>IFERROR(HYPERLINK("https://logistics.amazon.co.jp/internal/capacity/rosterview?serviceAreaId="&amp;VLOOKUP($B3,'DS ID'!B:D,2,FALSE),$H$1),"")</f>
        <v>Roster</v>
      </c>
      <c r="I3" s="2788" t="str">
        <f>IFERROR(HYPERLINK("https://logistics.amazon.co.jp/internal/scheduling/dsps?serviceAreaId="&amp;VLOOKUP($B3,'DS ID'!B:D,2,FALSE),$I$1),"")</f>
        <v>SUI</v>
      </c>
      <c r="J3" s="2886"/>
      <c r="K3" s="2888"/>
      <c r="L3" s="2890"/>
      <c r="M3" s="2892"/>
      <c r="N3" s="2391" t="s">
        <v>785</v>
      </c>
      <c r="O3" s="2395"/>
      <c r="P3" s="2393"/>
    </row>
    <row r="4" spans="1:21" ht="22.35" customHeight="1" x14ac:dyDescent="0.4">
      <c r="A4" s="2387" t="s">
        <v>622</v>
      </c>
      <c r="B4" s="2388" t="s">
        <v>626</v>
      </c>
      <c r="C4" s="2379">
        <v>2</v>
      </c>
      <c r="D4" s="2388" t="s">
        <v>787</v>
      </c>
      <c r="E4" s="2390" t="s">
        <v>790</v>
      </c>
      <c r="F4" s="2389" t="s">
        <v>785</v>
      </c>
      <c r="G4" s="2788" t="str">
        <f>IFERROR(HYPERLINK("https://logistics.amazon.co.jp/internal/operations/execution/itineraries?operationView=true&amp;provider=ALL_DRIVERS&amp;serviceAreaId="&amp;VLOOKUP($B4,'DS ID'!B:D,2,FALSE),$G$1),"")</f>
        <v>CORTEX ver2</v>
      </c>
      <c r="H4" s="2788" t="str">
        <f>IFERROR(HYPERLINK("https://logistics.amazon.co.jp/internal/capacity/rosterview?serviceAreaId="&amp;VLOOKUP($B4,'DS ID'!B:D,2,FALSE),$H$1),"")</f>
        <v>Roster</v>
      </c>
      <c r="I4" s="2788" t="str">
        <f>IFERROR(HYPERLINK("https://logistics.amazon.co.jp/internal/scheduling/dsps?serviceAreaId="&amp;VLOOKUP($B4,'DS ID'!B:D,2,FALSE),$I$1),"")</f>
        <v>SUI</v>
      </c>
      <c r="J4" s="2886"/>
      <c r="K4" s="2888"/>
      <c r="L4" s="2890"/>
      <c r="M4" s="2892"/>
      <c r="N4" s="2391" t="s">
        <v>785</v>
      </c>
      <c r="O4" s="2395"/>
      <c r="P4" s="2393"/>
    </row>
    <row r="5" spans="1:21" ht="22.35" customHeight="1" x14ac:dyDescent="0.4">
      <c r="A5" s="2387" t="s">
        <v>622</v>
      </c>
      <c r="B5" s="2394" t="s">
        <v>628</v>
      </c>
      <c r="C5" s="2379">
        <v>2</v>
      </c>
      <c r="D5" s="2388" t="s">
        <v>787</v>
      </c>
      <c r="E5" s="2396" t="s">
        <v>791</v>
      </c>
      <c r="F5" s="2389" t="s">
        <v>792</v>
      </c>
      <c r="G5" s="2788" t="str">
        <f>IFERROR(HYPERLINK("https://logistics.amazon.co.jp/internal/operations/execution/itineraries?operationView=true&amp;provider=ALL_DRIVERS&amp;serviceAreaId="&amp;VLOOKUP($B5,'DS ID'!B:D,2,FALSE),$G$1),"")</f>
        <v>CORTEX ver2</v>
      </c>
      <c r="H5" s="2788" t="str">
        <f>IFERROR(HYPERLINK("https://logistics.amazon.co.jp/internal/capacity/rosterview?serviceAreaId="&amp;VLOOKUP($B5,'DS ID'!B:D,2,FALSE),$H$1),"")</f>
        <v>Roster</v>
      </c>
      <c r="I5" s="2788" t="str">
        <f>IFERROR(HYPERLINK("https://logistics.amazon.co.jp/internal/scheduling/dsps?serviceAreaId="&amp;VLOOKUP($B5,'DS ID'!B:D,2,FALSE),$I$1),"")</f>
        <v>SUI</v>
      </c>
      <c r="J5" s="2886"/>
      <c r="K5" s="2888"/>
      <c r="L5" s="2891"/>
      <c r="M5" s="2892"/>
      <c r="N5" s="2397" t="s">
        <v>785</v>
      </c>
      <c r="O5" s="2398"/>
      <c r="P5" s="2393"/>
    </row>
    <row r="6" spans="1:21" ht="22.35" customHeight="1" x14ac:dyDescent="0.4">
      <c r="A6" s="2399" t="s">
        <v>793</v>
      </c>
      <c r="B6" s="2394" t="s">
        <v>793</v>
      </c>
      <c r="C6" s="2379">
        <v>1</v>
      </c>
      <c r="D6" s="2394" t="s">
        <v>781</v>
      </c>
      <c r="E6" s="2396" t="s">
        <v>794</v>
      </c>
      <c r="G6" s="2788" t="str">
        <f>IFERROR(HYPERLINK("https://logistics.amazon.co.jp/internal/operations/execution/itineraries?operationView=true&amp;provider=ALL_DRIVERS&amp;serviceAreaId="&amp;VLOOKUP($B6,'DS ID'!B:D,2,FALSE),$G$1),"")</f>
        <v>CORTEX ver2</v>
      </c>
      <c r="H6" s="2788" t="str">
        <f>IFERROR(HYPERLINK("https://logistics.amazon.co.jp/internal/capacity/rosterview?serviceAreaId="&amp;VLOOKUP($B6,'DS ID'!B:D,2,FALSE),$H$1),"")</f>
        <v>Roster</v>
      </c>
      <c r="I6" s="2788" t="str">
        <f>IFERROR(HYPERLINK("https://logistics.amazon.co.jp/internal/scheduling/dsps?serviceAreaId="&amp;VLOOKUP($B6,'DS ID'!B:D,2,FALSE),$I$1),"")</f>
        <v>SUI</v>
      </c>
      <c r="J6" s="2780"/>
      <c r="K6" s="2400"/>
      <c r="L6" s="2893"/>
      <c r="M6" s="2895" t="s">
        <v>784</v>
      </c>
      <c r="N6" s="2397" t="s">
        <v>785</v>
      </c>
      <c r="O6" s="2401"/>
      <c r="P6" s="2393"/>
    </row>
    <row r="7" spans="1:21" ht="22.35" customHeight="1" x14ac:dyDescent="0.4">
      <c r="A7" s="2399" t="s">
        <v>793</v>
      </c>
      <c r="B7" s="2394" t="s">
        <v>795</v>
      </c>
      <c r="C7" s="2379">
        <v>1</v>
      </c>
      <c r="D7" s="2394" t="s">
        <v>796</v>
      </c>
      <c r="E7" s="2396" t="s">
        <v>797</v>
      </c>
      <c r="F7" s="2379" t="s">
        <v>798</v>
      </c>
      <c r="G7" s="2788" t="str">
        <f>IFERROR(HYPERLINK("https://logistics.amazon.co.jp/internal/operations/execution/itineraries?operationView=true&amp;provider=ALL_DRIVERS&amp;serviceAreaId="&amp;VLOOKUP($B7,'DS ID'!B:D,2,FALSE),$G$1),"")</f>
        <v>CORTEX ver2</v>
      </c>
      <c r="H7" s="2788" t="str">
        <f>IFERROR(HYPERLINK("https://logistics.amazon.co.jp/internal/capacity/rosterview?serviceAreaId="&amp;VLOOKUP($B7,'DS ID'!B:D,2,FALSE),$H$1),"")</f>
        <v>Roster</v>
      </c>
      <c r="I7" s="2788" t="str">
        <f>IFERROR(HYPERLINK("https://logistics.amazon.co.jp/internal/scheduling/dsps?serviceAreaId="&amp;VLOOKUP($B7,'DS ID'!B:D,2,FALSE),$I$1),"")</f>
        <v>SUI</v>
      </c>
      <c r="J7" s="2780"/>
      <c r="K7" s="2400"/>
      <c r="L7" s="2894"/>
      <c r="M7" s="2896"/>
      <c r="N7" s="2397" t="s">
        <v>785</v>
      </c>
      <c r="O7" s="2401"/>
      <c r="P7" s="2393"/>
    </row>
    <row r="8" spans="1:21" ht="22.35" customHeight="1" x14ac:dyDescent="0.4">
      <c r="A8" s="2399" t="s">
        <v>793</v>
      </c>
      <c r="B8" s="2394" t="s">
        <v>799</v>
      </c>
      <c r="C8" s="2379">
        <v>1</v>
      </c>
      <c r="D8" s="2394" t="s">
        <v>796</v>
      </c>
      <c r="E8" s="2396" t="s">
        <v>800</v>
      </c>
      <c r="F8" s="2379" t="s">
        <v>801</v>
      </c>
      <c r="G8" s="2788" t="str">
        <f>IFERROR(HYPERLINK("https://logistics.amazon.co.jp/internal/operations/execution/itineraries?operationView=true&amp;provider=ALL_DRIVERS&amp;serviceAreaId="&amp;VLOOKUP($B8,'DS ID'!B:D,2,FALSE),$G$1),"")</f>
        <v>CORTEX ver2</v>
      </c>
      <c r="H8" s="2788" t="str">
        <f>IFERROR(HYPERLINK("https://logistics.amazon.co.jp/internal/capacity/rosterview?serviceAreaId="&amp;VLOOKUP($B8,'DS ID'!B:D,2,FALSE),$H$1),"")</f>
        <v>Roster</v>
      </c>
      <c r="I8" s="2788" t="str">
        <f>IFERROR(HYPERLINK("https://logistics.amazon.co.jp/internal/scheduling/dsps?serviceAreaId="&amp;VLOOKUP($B8,'DS ID'!B:D,2,FALSE),$I$1),"")</f>
        <v>SUI</v>
      </c>
      <c r="J8" s="2780"/>
      <c r="K8" s="2400"/>
      <c r="L8" s="2894"/>
      <c r="M8" s="2896"/>
      <c r="N8" s="2397" t="s">
        <v>785</v>
      </c>
      <c r="O8" s="2401"/>
      <c r="P8" s="2393"/>
    </row>
    <row r="9" spans="1:21" ht="22.35" customHeight="1" x14ac:dyDescent="0.4">
      <c r="A9" s="2399" t="s">
        <v>793</v>
      </c>
      <c r="B9" s="2394" t="s">
        <v>802</v>
      </c>
      <c r="C9" s="2379">
        <v>1</v>
      </c>
      <c r="D9" s="2394" t="s">
        <v>796</v>
      </c>
      <c r="E9" s="2396" t="s">
        <v>803</v>
      </c>
      <c r="F9" s="2379" t="s">
        <v>804</v>
      </c>
      <c r="G9" s="2788" t="str">
        <f>IFERROR(HYPERLINK("https://logistics.amazon.co.jp/internal/operations/execution/itineraries?operationView=true&amp;provider=ALL_DRIVERS&amp;serviceAreaId="&amp;VLOOKUP($B9,'DS ID'!B:D,2,FALSE),$G$1),"")</f>
        <v>CORTEX ver2</v>
      </c>
      <c r="H9" s="2788" t="str">
        <f>IFERROR(HYPERLINK("https://logistics.amazon.co.jp/internal/capacity/rosterview?serviceAreaId="&amp;VLOOKUP($B9,'DS ID'!B:D,2,FALSE),$H$1),"")</f>
        <v>Roster</v>
      </c>
      <c r="I9" s="2788" t="str">
        <f>IFERROR(HYPERLINK("https://logistics.amazon.co.jp/internal/scheduling/dsps?serviceAreaId="&amp;VLOOKUP($B9,'DS ID'!B:D,2,FALSE),$I$1),"")</f>
        <v>SUI</v>
      </c>
      <c r="J9" s="2780"/>
      <c r="K9" s="2400"/>
      <c r="L9" s="2894"/>
      <c r="M9" s="2896"/>
      <c r="N9" s="2397" t="s">
        <v>785</v>
      </c>
      <c r="O9" s="2401"/>
      <c r="P9" s="2393"/>
    </row>
    <row r="10" spans="1:21" ht="22.35" customHeight="1" x14ac:dyDescent="0.4">
      <c r="A10" s="2399" t="s">
        <v>793</v>
      </c>
      <c r="B10" s="2394" t="s">
        <v>805</v>
      </c>
      <c r="C10" s="2379">
        <v>1</v>
      </c>
      <c r="D10" s="2394" t="s">
        <v>796</v>
      </c>
      <c r="E10" s="2396" t="s">
        <v>806</v>
      </c>
      <c r="F10" s="2379" t="s">
        <v>807</v>
      </c>
      <c r="G10" s="2788" t="str">
        <f>IFERROR(HYPERLINK("https://logistics.amazon.co.jp/internal/operations/execution/itineraries?operationView=true&amp;provider=ALL_DRIVERS&amp;serviceAreaId="&amp;VLOOKUP($B10,'DS ID'!B:D,2,FALSE),$G$1),"")</f>
        <v>CORTEX ver2</v>
      </c>
      <c r="H10" s="2788" t="str">
        <f>IFERROR(HYPERLINK("https://logistics.amazon.co.jp/internal/capacity/rosterview?serviceAreaId="&amp;VLOOKUP($B10,'DS ID'!B:D,2,FALSE),$H$1),"")</f>
        <v>Roster</v>
      </c>
      <c r="I10" s="2788" t="str">
        <f>IFERROR(HYPERLINK("https://logistics.amazon.co.jp/internal/scheduling/dsps?serviceAreaId="&amp;VLOOKUP($B10,'DS ID'!B:D,2,FALSE),$I$1),"")</f>
        <v>SUI</v>
      </c>
      <c r="J10" s="2780"/>
      <c r="K10" s="2400"/>
      <c r="L10" s="2894"/>
      <c r="M10" s="2896"/>
      <c r="N10" s="2397" t="s">
        <v>785</v>
      </c>
      <c r="O10" s="2401"/>
      <c r="P10" s="2393"/>
    </row>
    <row r="11" spans="1:21" ht="22.35" customHeight="1" x14ac:dyDescent="0.4">
      <c r="A11" s="2399" t="s">
        <v>793</v>
      </c>
      <c r="B11" s="2394" t="s">
        <v>808</v>
      </c>
      <c r="C11" s="2379">
        <v>1</v>
      </c>
      <c r="D11" s="2394" t="s">
        <v>809</v>
      </c>
      <c r="E11" s="2396" t="s">
        <v>810</v>
      </c>
      <c r="F11" s="2379" t="s">
        <v>811</v>
      </c>
      <c r="G11" s="2788" t="str">
        <f>IFERROR(HYPERLINK("https://logistics.amazon.co.jp/internal/operations/execution/itineraries?operationView=true&amp;provider=ALL_DRIVERS&amp;serviceAreaId="&amp;VLOOKUP($B11,'DS ID'!B:D,2,FALSE),$G$1),"")</f>
        <v>CORTEX ver2</v>
      </c>
      <c r="H11" s="2788" t="str">
        <f>IFERROR(HYPERLINK("https://logistics.amazon.co.jp/internal/capacity/rosterview?serviceAreaId="&amp;VLOOKUP($B11,'DS ID'!B:D,2,FALSE),$H$1),"")</f>
        <v>Roster</v>
      </c>
      <c r="I11" s="2788" t="str">
        <f>IFERROR(HYPERLINK("https://logistics.amazon.co.jp/internal/scheduling/dsps?serviceAreaId="&amp;VLOOKUP($B11,'DS ID'!B:D,2,FALSE),$I$1),"")</f>
        <v>SUI</v>
      </c>
      <c r="J11" s="2780"/>
      <c r="K11" s="2400"/>
      <c r="L11" s="2787"/>
      <c r="M11" s="2897"/>
      <c r="N11" s="2397" t="s">
        <v>785</v>
      </c>
      <c r="O11" s="2401"/>
      <c r="P11" s="2393"/>
    </row>
    <row r="12" spans="1:21" ht="22.35" customHeight="1" x14ac:dyDescent="0.4">
      <c r="A12" s="2399" t="s">
        <v>638</v>
      </c>
      <c r="B12" s="2394" t="s">
        <v>638</v>
      </c>
      <c r="C12" s="2379">
        <v>2</v>
      </c>
      <c r="D12" s="2394" t="s">
        <v>812</v>
      </c>
      <c r="E12" s="2394" t="s">
        <v>812</v>
      </c>
      <c r="G12" s="2788" t="str">
        <f>IFERROR(HYPERLINK("https://logistics.amazon.co.jp/internal/operations/execution/itineraries?operationView=true&amp;provider=ALL_DRIVERS&amp;serviceAreaId="&amp;VLOOKUP($B12,'DS ID'!B:D,2,FALSE),$G$1),"")</f>
        <v>CORTEX ver2</v>
      </c>
      <c r="H12" s="2788" t="str">
        <f>IFERROR(HYPERLINK("https://logistics.amazon.co.jp/internal/capacity/rosterview?serviceAreaId="&amp;VLOOKUP($B12,'DS ID'!B:D,2,FALSE),$H$1),"")</f>
        <v>Roster</v>
      </c>
      <c r="I12" s="2788" t="str">
        <f>IFERROR(HYPERLINK("https://logistics.amazon.co.jp/internal/scheduling/dsps?serviceAreaId="&amp;VLOOKUP($B12,'DS ID'!B:D,2,FALSE),$I$1),"")</f>
        <v>SUI</v>
      </c>
      <c r="J12" s="2780"/>
      <c r="K12" s="2400"/>
      <c r="L12" s="2787"/>
      <c r="M12" s="2896" t="s">
        <v>784</v>
      </c>
      <c r="N12" s="2397" t="s">
        <v>785</v>
      </c>
      <c r="O12" s="2401"/>
      <c r="P12" s="2393"/>
    </row>
    <row r="13" spans="1:21" ht="22.35" customHeight="1" x14ac:dyDescent="0.4">
      <c r="A13" s="2399" t="s">
        <v>638</v>
      </c>
      <c r="B13" s="2394" t="s">
        <v>639</v>
      </c>
      <c r="C13" s="2379">
        <v>2</v>
      </c>
      <c r="D13" s="2394" t="s">
        <v>812</v>
      </c>
      <c r="E13" s="2394" t="s">
        <v>813</v>
      </c>
      <c r="G13" s="2788" t="str">
        <f>IFERROR(HYPERLINK("https://logistics.amazon.co.jp/internal/operations/execution/itineraries?operationView=true&amp;provider=ALL_DRIVERS&amp;serviceAreaId="&amp;VLOOKUP($B13,'DS ID'!B:D,2,FALSE),$G$1),"")</f>
        <v>CORTEX ver2</v>
      </c>
      <c r="H13" s="2788" t="str">
        <f>IFERROR(HYPERLINK("https://logistics.amazon.co.jp/internal/capacity/rosterview?serviceAreaId="&amp;VLOOKUP($B13,'DS ID'!B:D,2,FALSE),$H$1),"")</f>
        <v>Roster</v>
      </c>
      <c r="I13" s="2788" t="str">
        <f>IFERROR(HYPERLINK("https://logistics.amazon.co.jp/internal/scheduling/dsps?serviceAreaId="&amp;VLOOKUP($B13,'DS ID'!B:D,2,FALSE),$I$1),"")</f>
        <v>SUI</v>
      </c>
      <c r="J13" s="2780"/>
      <c r="K13" s="2400"/>
      <c r="L13" s="2787"/>
      <c r="M13" s="2897"/>
      <c r="N13" s="2397" t="s">
        <v>785</v>
      </c>
      <c r="O13" s="2401"/>
      <c r="P13" s="2393"/>
    </row>
    <row r="14" spans="1:21" ht="22.35" customHeight="1" x14ac:dyDescent="0.4">
      <c r="A14" s="2399" t="s">
        <v>814</v>
      </c>
      <c r="B14" s="2394" t="s">
        <v>814</v>
      </c>
      <c r="C14" s="2379">
        <v>2</v>
      </c>
      <c r="D14" s="2394" t="s">
        <v>781</v>
      </c>
      <c r="E14" s="2396" t="s">
        <v>815</v>
      </c>
      <c r="G14" s="2788" t="str">
        <f>IFERROR(HYPERLINK("https://logistics.amazon.co.jp/internal/operations/execution/itineraries?operationView=true&amp;provider=ALL_DRIVERS&amp;serviceAreaId="&amp;VLOOKUP($B14,'DS ID'!B:D,2,FALSE),$G$1),"")</f>
        <v>CORTEX ver2</v>
      </c>
      <c r="H14" s="2788" t="str">
        <f>IFERROR(HYPERLINK("https://logistics.amazon.co.jp/internal/capacity/rosterview?serviceAreaId="&amp;VLOOKUP($B14,'DS ID'!B:D,2,FALSE),$H$1),"")</f>
        <v>Roster</v>
      </c>
      <c r="I14" s="2788" t="str">
        <f>IFERROR(HYPERLINK("https://logistics.amazon.co.jp/internal/scheduling/dsps?serviceAreaId="&amp;VLOOKUP($B14,'DS ID'!B:D,2,FALSE),$I$1),"")</f>
        <v>SUI</v>
      </c>
      <c r="J14" s="2780"/>
      <c r="K14" s="2400"/>
      <c r="L14" s="2787"/>
      <c r="M14" s="2895" t="s">
        <v>783</v>
      </c>
      <c r="N14" s="2397" t="s">
        <v>785</v>
      </c>
      <c r="O14" s="2401"/>
      <c r="P14" s="2393"/>
    </row>
    <row r="15" spans="1:21" ht="22.35" customHeight="1" x14ac:dyDescent="0.4">
      <c r="A15" s="2399" t="s">
        <v>814</v>
      </c>
      <c r="B15" s="2394" t="s">
        <v>816</v>
      </c>
      <c r="C15" s="2379">
        <v>2</v>
      </c>
      <c r="D15" s="2394" t="s">
        <v>817</v>
      </c>
      <c r="E15" s="2396" t="s">
        <v>818</v>
      </c>
      <c r="F15" s="2379" t="s">
        <v>801</v>
      </c>
      <c r="G15" s="2788" t="str">
        <f>IFERROR(HYPERLINK("https://logistics.amazon.co.jp/internal/operations/execution/itineraries?operationView=true&amp;provider=ALL_DRIVERS&amp;serviceAreaId="&amp;VLOOKUP($B15,'DS ID'!B:D,2,FALSE),$G$1),"")</f>
        <v>CORTEX ver2</v>
      </c>
      <c r="H15" s="2788" t="str">
        <f>IFERROR(HYPERLINK("https://logistics.amazon.co.jp/internal/capacity/rosterview?serviceAreaId="&amp;VLOOKUP($B15,'DS ID'!B:D,2,FALSE),$H$1),"")</f>
        <v>Roster</v>
      </c>
      <c r="I15" s="2788" t="str">
        <f>IFERROR(HYPERLINK("https://logistics.amazon.co.jp/internal/scheduling/dsps?serviceAreaId="&amp;VLOOKUP($B15,'DS ID'!B:D,2,FALSE),$I$1),"")</f>
        <v>SUI</v>
      </c>
      <c r="J15" s="2780"/>
      <c r="K15" s="2400"/>
      <c r="L15" s="2787"/>
      <c r="M15" s="2896"/>
      <c r="N15" s="2397" t="s">
        <v>785</v>
      </c>
      <c r="O15" s="2401"/>
      <c r="P15" s="2393"/>
    </row>
    <row r="16" spans="1:21" ht="22.35" customHeight="1" x14ac:dyDescent="0.4">
      <c r="A16" s="2399" t="s">
        <v>814</v>
      </c>
      <c r="B16" s="2394" t="s">
        <v>642</v>
      </c>
      <c r="C16" s="2379">
        <v>2</v>
      </c>
      <c r="D16" s="2394" t="s">
        <v>819</v>
      </c>
      <c r="E16" s="2396" t="s">
        <v>819</v>
      </c>
      <c r="F16" s="2379" t="s">
        <v>820</v>
      </c>
      <c r="G16" s="2788" t="str">
        <f>IFERROR(HYPERLINK("https://logistics.amazon.co.jp/internal/operations/execution/itineraries?operationView=true&amp;provider=ALL_DRIVERS&amp;serviceAreaId="&amp;VLOOKUP($B16,'DS ID'!B:D,2,FALSE),$G$1),"")</f>
        <v>CORTEX ver2</v>
      </c>
      <c r="H16" s="2788" t="str">
        <f>IFERROR(HYPERLINK("https://logistics.amazon.co.jp/internal/capacity/rosterview?serviceAreaId="&amp;VLOOKUP($B16,'DS ID'!B:D,2,FALSE),$H$1),"")</f>
        <v>Roster</v>
      </c>
      <c r="I16" s="2788" t="str">
        <f>IFERROR(HYPERLINK("https://logistics.amazon.co.jp/internal/scheduling/dsps?serviceAreaId="&amp;VLOOKUP($B16,'DS ID'!B:D,2,FALSE),$I$1),"")</f>
        <v>SUI</v>
      </c>
      <c r="J16" s="2780"/>
      <c r="K16" s="2400"/>
      <c r="L16" s="2787"/>
      <c r="M16" s="2896"/>
      <c r="N16" s="2397" t="s">
        <v>785</v>
      </c>
      <c r="O16" s="2401"/>
      <c r="P16" s="2393"/>
    </row>
    <row r="17" spans="1:18" ht="24" customHeight="1" x14ac:dyDescent="0.4">
      <c r="A17" s="2399" t="s">
        <v>814</v>
      </c>
      <c r="B17" s="2394" t="s">
        <v>821</v>
      </c>
      <c r="C17" s="2379">
        <v>2</v>
      </c>
      <c r="D17" s="2388" t="s">
        <v>787</v>
      </c>
      <c r="E17" s="2390" t="s">
        <v>822</v>
      </c>
      <c r="F17" s="2389" t="s">
        <v>823</v>
      </c>
      <c r="G17" s="2788" t="str">
        <f>IFERROR(HYPERLINK("https://logistics.amazon.co.jp/internal/operations/execution/itineraries?operationView=true&amp;provider=ALL_DRIVERS&amp;serviceAreaId="&amp;VLOOKUP($B17,'DS ID'!B:D,2,FALSE),$G$1),"")</f>
        <v>CORTEX ver2</v>
      </c>
      <c r="H17" s="2788" t="str">
        <f>IFERROR(HYPERLINK("https://logistics.amazon.co.jp/internal/capacity/rosterview?serviceAreaId="&amp;VLOOKUP($B17,'DS ID'!B:D,2,FALSE),$H$1),"")</f>
        <v>Roster</v>
      </c>
      <c r="I17" s="2788" t="str">
        <f>IFERROR(HYPERLINK("https://logistics.amazon.co.jp/internal/scheduling/dsps?serviceAreaId="&amp;VLOOKUP($B17,'DS ID'!B:D,2,FALSE),$I$1),"")</f>
        <v>SUI</v>
      </c>
      <c r="J17" s="2780"/>
      <c r="K17" s="2400"/>
      <c r="L17" s="2787"/>
      <c r="M17" s="2897"/>
      <c r="N17" s="2397" t="s">
        <v>785</v>
      </c>
      <c r="O17" s="2401"/>
      <c r="P17" s="2393"/>
    </row>
    <row r="18" spans="1:18" ht="22.35" customHeight="1" x14ac:dyDescent="0.4">
      <c r="A18" s="2399" t="s">
        <v>824</v>
      </c>
      <c r="B18" s="2394" t="s">
        <v>824</v>
      </c>
      <c r="C18" s="2379">
        <v>8</v>
      </c>
      <c r="D18" s="2394" t="s">
        <v>825</v>
      </c>
      <c r="E18" s="2396" t="s">
        <v>825</v>
      </c>
      <c r="G18" s="2788" t="str">
        <f>IFERROR(HYPERLINK("https://logistics.amazon.co.jp/internal/operations/execution/itineraries?operationView=true&amp;provider=ALL_DRIVERS&amp;serviceAreaId="&amp;VLOOKUP($B18,'DS ID'!B:D,2,FALSE),$G$1),"")</f>
        <v>CORTEX ver2</v>
      </c>
      <c r="H18" s="2788" t="str">
        <f>IFERROR(HYPERLINK("https://logistics.amazon.co.jp/internal/capacity/rosterview?serviceAreaId="&amp;VLOOKUP($B18,'DS ID'!B:D,2,FALSE),$H$1),"")</f>
        <v>Roster</v>
      </c>
      <c r="I18" s="2788" t="str">
        <f>IFERROR(HYPERLINK("https://logistics.amazon.co.jp/internal/scheduling/dsps?serviceAreaId="&amp;VLOOKUP($B18,'DS ID'!B:D,2,FALSE),$I$1),"")</f>
        <v>SUI</v>
      </c>
      <c r="J18" s="2780"/>
      <c r="K18" s="2400"/>
      <c r="L18" s="2787"/>
      <c r="M18" s="2895" t="s">
        <v>784</v>
      </c>
      <c r="N18" s="2397" t="s">
        <v>785</v>
      </c>
      <c r="O18" s="2401"/>
      <c r="P18" s="2393"/>
    </row>
    <row r="19" spans="1:18" ht="22.35" customHeight="1" x14ac:dyDescent="0.4">
      <c r="A19" s="2399" t="s">
        <v>826</v>
      </c>
      <c r="B19" s="2394" t="s">
        <v>827</v>
      </c>
      <c r="C19" s="2379">
        <v>8</v>
      </c>
      <c r="D19" s="2394" t="s">
        <v>825</v>
      </c>
      <c r="E19" s="2396" t="s">
        <v>828</v>
      </c>
      <c r="F19" s="2379" t="s">
        <v>829</v>
      </c>
      <c r="G19" s="2788" t="str">
        <f>IFERROR(HYPERLINK("https://logistics.amazon.co.jp/internal/operations/execution/itineraries?operationView=true&amp;provider=ALL_DRIVERS&amp;serviceAreaId="&amp;VLOOKUP($B19,'DS ID'!B:D,2,FALSE),$G$1),"")</f>
        <v>CORTEX ver2</v>
      </c>
      <c r="H19" s="2788" t="str">
        <f>IFERROR(HYPERLINK("https://logistics.amazon.co.jp/internal/capacity/rosterview?serviceAreaId="&amp;VLOOKUP($B19,'DS ID'!B:D,2,FALSE),$H$1),"")</f>
        <v>Roster</v>
      </c>
      <c r="I19" s="2788" t="str">
        <f>IFERROR(HYPERLINK("https://logistics.amazon.co.jp/internal/scheduling/dsps?serviceAreaId="&amp;VLOOKUP($B19,'DS ID'!B:D,2,FALSE),$I$1),"")</f>
        <v>SUI</v>
      </c>
      <c r="J19" s="2780"/>
      <c r="K19" s="2400"/>
      <c r="L19" s="2787"/>
      <c r="M19" s="2896"/>
      <c r="N19" s="2397" t="s">
        <v>785</v>
      </c>
      <c r="O19" s="2401"/>
      <c r="P19" s="2393"/>
    </row>
    <row r="20" spans="1:18" ht="22.35" customHeight="1" x14ac:dyDescent="0.4">
      <c r="A20" s="2399" t="s">
        <v>824</v>
      </c>
      <c r="B20" s="2394" t="s">
        <v>830</v>
      </c>
      <c r="C20" s="2379">
        <v>8</v>
      </c>
      <c r="D20" s="2394" t="s">
        <v>831</v>
      </c>
      <c r="E20" s="2396" t="s">
        <v>831</v>
      </c>
      <c r="F20" s="2379" t="s">
        <v>832</v>
      </c>
      <c r="G20" s="2788" t="str">
        <f>IFERROR(HYPERLINK("https://logistics.amazon.co.jp/internal/operations/execution/itineraries?operationView=true&amp;provider=ALL_DRIVERS&amp;serviceAreaId="&amp;VLOOKUP($B20,'DS ID'!B:D,2,FALSE),$G$1),"")</f>
        <v>CORTEX ver2</v>
      </c>
      <c r="H20" s="2788" t="str">
        <f>IFERROR(HYPERLINK("https://logistics.amazon.co.jp/internal/capacity/rosterview?serviceAreaId="&amp;VLOOKUP($B20,'DS ID'!B:D,2,FALSE),$H$1),"")</f>
        <v>Roster</v>
      </c>
      <c r="I20" s="2788" t="str">
        <f>IFERROR(HYPERLINK("https://logistics.amazon.co.jp/internal/scheduling/dsps?serviceAreaId="&amp;VLOOKUP($B20,'DS ID'!B:D,2,FALSE),$I$1),"")</f>
        <v>SUI</v>
      </c>
      <c r="J20" s="2780"/>
      <c r="K20" s="2400"/>
      <c r="L20" s="2787"/>
      <c r="M20" s="2897"/>
      <c r="N20" s="2397" t="s">
        <v>785</v>
      </c>
      <c r="O20" s="2401"/>
      <c r="P20" s="2393"/>
    </row>
    <row r="21" spans="1:18" ht="22.35" customHeight="1" x14ac:dyDescent="0.4">
      <c r="A21" s="2387" t="s">
        <v>647</v>
      </c>
      <c r="B21" s="2388" t="s">
        <v>647</v>
      </c>
      <c r="C21" s="2389">
        <v>8</v>
      </c>
      <c r="D21" s="2388" t="s">
        <v>833</v>
      </c>
      <c r="E21" s="2390" t="s">
        <v>834</v>
      </c>
      <c r="F21" s="2389"/>
      <c r="G21" s="2788" t="str">
        <f>IFERROR(HYPERLINK("https://logistics.amazon.co.jp/internal/operations/execution/itineraries?operationView=true&amp;provider=ALL_DRIVERS&amp;serviceAreaId="&amp;VLOOKUP($B21,'DS ID'!B:D,2,FALSE),$G$1),"")</f>
        <v>CORTEX ver2</v>
      </c>
      <c r="H21" s="2788" t="str">
        <f>IFERROR(HYPERLINK("https://logistics.amazon.co.jp/internal/capacity/rosterview?serviceAreaId="&amp;VLOOKUP($B21,'DS ID'!B:D,2,FALSE),$H$1),"")</f>
        <v>Roster</v>
      </c>
      <c r="I21" s="2788" t="str">
        <f>IFERROR(HYPERLINK("https://logistics.amazon.co.jp/internal/scheduling/dsps?serviceAreaId="&amp;VLOOKUP($B21,'DS ID'!B:D,2,FALSE),$I$1),"")</f>
        <v>SUI</v>
      </c>
      <c r="J21" s="2898" t="s">
        <v>835</v>
      </c>
      <c r="K21" s="2400"/>
      <c r="L21" s="2893"/>
      <c r="M21" s="2895" t="s">
        <v>784</v>
      </c>
      <c r="N21" s="2391" t="s">
        <v>785</v>
      </c>
      <c r="O21" s="2395"/>
      <c r="P21" s="2393"/>
    </row>
    <row r="22" spans="1:18" ht="22.35" customHeight="1" x14ac:dyDescent="0.4">
      <c r="A22" s="2387" t="s">
        <v>647</v>
      </c>
      <c r="B22" s="2388" t="s">
        <v>648</v>
      </c>
      <c r="C22" s="2379">
        <v>8</v>
      </c>
      <c r="D22" s="2388" t="s">
        <v>833</v>
      </c>
      <c r="E22" s="2390" t="s">
        <v>836</v>
      </c>
      <c r="F22" s="2389" t="s">
        <v>785</v>
      </c>
      <c r="G22" s="2788" t="str">
        <f>IFERROR(HYPERLINK("https://logistics.amazon.co.jp/internal/operations/execution/itineraries?operationView=true&amp;provider=ALL_DRIVERS&amp;serviceAreaId="&amp;VLOOKUP($B22,'DS ID'!B:D,2,FALSE),$G$1),"")</f>
        <v>CORTEX ver2</v>
      </c>
      <c r="H22" s="2788" t="str">
        <f>IFERROR(HYPERLINK("https://logistics.amazon.co.jp/internal/capacity/rosterview?serviceAreaId="&amp;VLOOKUP($B22,'DS ID'!B:D,2,FALSE),$H$1),"")</f>
        <v>Roster</v>
      </c>
      <c r="I22" s="2788" t="str">
        <f>IFERROR(HYPERLINK("https://logistics.amazon.co.jp/internal/scheduling/dsps?serviceAreaId="&amp;VLOOKUP($B22,'DS ID'!B:D,2,FALSE),$I$1),"")</f>
        <v>SUI</v>
      </c>
      <c r="J22" s="2898"/>
      <c r="K22" s="2400"/>
      <c r="L22" s="2894"/>
      <c r="M22" s="2896"/>
      <c r="N22" s="2391" t="s">
        <v>785</v>
      </c>
      <c r="O22" s="2398"/>
      <c r="P22" s="2393"/>
      <c r="R22" s="2402"/>
    </row>
    <row r="23" spans="1:18" ht="22.35" customHeight="1" x14ac:dyDescent="0.4">
      <c r="A23" s="2387" t="s">
        <v>837</v>
      </c>
      <c r="B23" s="2388" t="s">
        <v>838</v>
      </c>
      <c r="C23" s="2379">
        <v>8</v>
      </c>
      <c r="D23" s="2388" t="s">
        <v>839</v>
      </c>
      <c r="E23" s="2390" t="s">
        <v>840</v>
      </c>
      <c r="F23" s="2389" t="s">
        <v>801</v>
      </c>
      <c r="G23" s="2788" t="str">
        <f>IFERROR(HYPERLINK("https://logistics.amazon.co.jp/internal/operations/execution/itineraries?operationView=true&amp;provider=ALL_DRIVERS&amp;serviceAreaId="&amp;VLOOKUP($B23,'DS ID'!B:D,2,FALSE),$G$1),"")</f>
        <v>CORTEX ver2</v>
      </c>
      <c r="H23" s="2788" t="str">
        <f>IFERROR(HYPERLINK("https://logistics.amazon.co.jp/internal/capacity/rosterview?serviceAreaId="&amp;VLOOKUP($B23,'DS ID'!B:D,2,FALSE),$H$1),"")</f>
        <v>Roster</v>
      </c>
      <c r="I23" s="2788" t="str">
        <f>IFERROR(HYPERLINK("https://logistics.amazon.co.jp/internal/scheduling/dsps?serviceAreaId="&amp;VLOOKUP($B23,'DS ID'!B:D,2,FALSE),$I$1),"")</f>
        <v>SUI</v>
      </c>
      <c r="J23" s="2780"/>
      <c r="K23" s="2782"/>
      <c r="L23" s="2899"/>
      <c r="M23" s="2897"/>
      <c r="N23" s="2391" t="s">
        <v>785</v>
      </c>
      <c r="O23" s="2401"/>
      <c r="P23" s="2393"/>
      <c r="R23" s="2402"/>
    </row>
    <row r="24" spans="1:18" ht="19.5" customHeight="1" x14ac:dyDescent="0.4">
      <c r="A24" s="2387" t="s">
        <v>650</v>
      </c>
      <c r="B24" s="2378" t="s">
        <v>650</v>
      </c>
      <c r="C24" s="2379">
        <v>8</v>
      </c>
      <c r="D24" s="2388" t="s">
        <v>833</v>
      </c>
      <c r="E24" s="2390" t="s">
        <v>841</v>
      </c>
      <c r="F24" s="2389"/>
      <c r="G24" s="2788" t="str">
        <f>IFERROR(HYPERLINK("https://logistics.amazon.co.jp/internal/operations/execution/itineraries?operationView=true&amp;provider=ALL_DRIVERS&amp;serviceAreaId="&amp;VLOOKUP($B24,'DS ID'!B:D,2,FALSE),$G$1),"")</f>
        <v>CORTEX ver2</v>
      </c>
      <c r="H24" s="2788" t="str">
        <f>IFERROR(HYPERLINK("https://logistics.amazon.co.jp/internal/capacity/rosterview?serviceAreaId="&amp;VLOOKUP($B24,'DS ID'!B:D,2,FALSE),$H$1),"")</f>
        <v>Roster</v>
      </c>
      <c r="I24" s="2788" t="str">
        <f>IFERROR(HYPERLINK("https://logistics.amazon.co.jp/internal/scheduling/dsps?serviceAreaId="&amp;VLOOKUP($B24,'DS ID'!B:D,2,FALSE),$I$1),"")</f>
        <v>SUI</v>
      </c>
      <c r="J24" s="2886" t="s">
        <v>835</v>
      </c>
      <c r="K24" s="2782"/>
      <c r="L24" s="2893"/>
      <c r="M24" s="2895" t="s">
        <v>784</v>
      </c>
      <c r="N24" s="2391" t="s">
        <v>785</v>
      </c>
      <c r="O24" s="2395"/>
      <c r="P24" s="2393"/>
    </row>
    <row r="25" spans="1:18" ht="22.35" customHeight="1" x14ac:dyDescent="0.4">
      <c r="A25" s="2387" t="s">
        <v>650</v>
      </c>
      <c r="B25" s="2388" t="s">
        <v>651</v>
      </c>
      <c r="C25" s="2379">
        <v>8</v>
      </c>
      <c r="D25" s="2388" t="s">
        <v>833</v>
      </c>
      <c r="E25" s="2390" t="s">
        <v>842</v>
      </c>
      <c r="F25" s="2389" t="s">
        <v>843</v>
      </c>
      <c r="G25" s="2788" t="str">
        <f>IFERROR(HYPERLINK("https://logistics.amazon.co.jp/internal/operations/execution/itineraries?operationView=true&amp;provider=ALL_DRIVERS&amp;serviceAreaId="&amp;VLOOKUP($B25,'DS ID'!B:D,2,FALSE),$G$1),"")</f>
        <v>CORTEX ver2</v>
      </c>
      <c r="H25" s="2788" t="str">
        <f>IFERROR(HYPERLINK("https://logistics.amazon.co.jp/internal/capacity/rosterview?serviceAreaId="&amp;VLOOKUP($B25,'DS ID'!B:D,2,FALSE),$H$1),"")</f>
        <v>Roster</v>
      </c>
      <c r="I25" s="2788" t="str">
        <f>IFERROR(HYPERLINK("https://logistics.amazon.co.jp/internal/scheduling/dsps?serviceAreaId="&amp;VLOOKUP($B25,'DS ID'!B:D,2,FALSE),$I$1),"")</f>
        <v>SUI</v>
      </c>
      <c r="J25" s="2886"/>
      <c r="K25" s="2783"/>
      <c r="L25" s="2894"/>
      <c r="M25" s="2896"/>
      <c r="N25" s="2391" t="s">
        <v>785</v>
      </c>
      <c r="O25" s="2395"/>
      <c r="P25" s="2393"/>
    </row>
    <row r="26" spans="1:18" ht="22.35" customHeight="1" x14ac:dyDescent="0.4">
      <c r="A26" s="2387" t="s">
        <v>650</v>
      </c>
      <c r="B26" s="2388" t="s">
        <v>652</v>
      </c>
      <c r="C26" s="2379">
        <v>8</v>
      </c>
      <c r="D26" s="2388" t="s">
        <v>833</v>
      </c>
      <c r="E26" s="2390" t="s">
        <v>841</v>
      </c>
      <c r="F26" s="2389" t="s">
        <v>844</v>
      </c>
      <c r="G26" s="2788" t="str">
        <f>IFERROR(HYPERLINK("https://logistics.amazon.co.jp/internal/operations/execution/itineraries?operationView=true&amp;provider=ALL_DRIVERS&amp;serviceAreaId="&amp;VLOOKUP($B26,'DS ID'!B:D,2,FALSE),$G$1),"")</f>
        <v>CORTEX ver2</v>
      </c>
      <c r="H26" s="2788" t="str">
        <f>IFERROR(HYPERLINK("https://logistics.amazon.co.jp/internal/capacity/rosterview?serviceAreaId="&amp;VLOOKUP($B26,'DS ID'!B:D,2,FALSE),$H$1),"")</f>
        <v>Roster</v>
      </c>
      <c r="I26" s="2788" t="str">
        <f>IFERROR(HYPERLINK("https://logistics.amazon.co.jp/internal/scheduling/dsps?serviceAreaId="&amp;VLOOKUP($B26,'DS ID'!B:D,2,FALSE),$I$1),"")</f>
        <v>SUI</v>
      </c>
      <c r="J26" s="2886"/>
      <c r="K26" s="2783"/>
      <c r="L26" s="2894"/>
      <c r="M26" s="2896"/>
      <c r="N26" s="2403" t="s">
        <v>785</v>
      </c>
      <c r="O26" s="2395"/>
      <c r="P26" s="2393"/>
    </row>
    <row r="27" spans="1:18" ht="22.35" customHeight="1" x14ac:dyDescent="0.4">
      <c r="A27" s="2387" t="s">
        <v>650</v>
      </c>
      <c r="B27" s="2388" t="s">
        <v>653</v>
      </c>
      <c r="C27" s="2379">
        <v>8</v>
      </c>
      <c r="D27" s="2388" t="s">
        <v>833</v>
      </c>
      <c r="E27" s="2396" t="s">
        <v>845</v>
      </c>
      <c r="F27" s="2379" t="s">
        <v>792</v>
      </c>
      <c r="G27" s="2788" t="str">
        <f>IFERROR(HYPERLINK("https://logistics.amazon.co.jp/internal/operations/execution/itineraries?operationView=true&amp;provider=ALL_DRIVERS&amp;serviceAreaId="&amp;VLOOKUP($B27,'DS ID'!B:D,2,FALSE),$G$1),"")</f>
        <v>CORTEX ver2</v>
      </c>
      <c r="H27" s="2788" t="str">
        <f>IFERROR(HYPERLINK("https://logistics.amazon.co.jp/internal/capacity/rosterview?serviceAreaId="&amp;VLOOKUP($B27,'DS ID'!B:D,2,FALSE),$H$1),"")</f>
        <v>Roster</v>
      </c>
      <c r="I27" s="2788" t="str">
        <f>IFERROR(HYPERLINK("https://logistics.amazon.co.jp/internal/scheduling/dsps?serviceAreaId="&amp;VLOOKUP($B27,'DS ID'!B:D,2,FALSE),$I$1),"")</f>
        <v>SUI</v>
      </c>
      <c r="J27" s="2886"/>
      <c r="K27" s="2784"/>
      <c r="L27" s="2899"/>
      <c r="M27" s="2897"/>
      <c r="N27" s="2397" t="s">
        <v>785</v>
      </c>
      <c r="O27" s="2398"/>
      <c r="P27" s="2393"/>
    </row>
    <row r="28" spans="1:18" ht="22.35" customHeight="1" x14ac:dyDescent="0.4">
      <c r="A28" s="2387" t="s">
        <v>654</v>
      </c>
      <c r="B28" s="2388" t="s">
        <v>654</v>
      </c>
      <c r="C28" s="2389">
        <v>9</v>
      </c>
      <c r="D28" s="2388" t="s">
        <v>833</v>
      </c>
      <c r="E28" s="2390" t="s">
        <v>846</v>
      </c>
      <c r="F28" s="2389"/>
      <c r="G28" s="2788" t="str">
        <f>IFERROR(HYPERLINK("https://logistics.amazon.co.jp/internal/operations/execution/itineraries?operationView=true&amp;provider=ALL_DRIVERS&amp;serviceAreaId="&amp;VLOOKUP($B28,'DS ID'!B:D,2,FALSE),$G$1),"")</f>
        <v>CORTEX ver2</v>
      </c>
      <c r="H28" s="2788" t="str">
        <f>IFERROR(HYPERLINK("https://logistics.amazon.co.jp/internal/capacity/rosterview?serviceAreaId="&amp;VLOOKUP($B28,'DS ID'!B:D,2,FALSE),$H$1),"")</f>
        <v>Roster</v>
      </c>
      <c r="I28" s="2788" t="str">
        <f>IFERROR(HYPERLINK("https://logistics.amazon.co.jp/internal/scheduling/dsps?serviceAreaId="&amp;VLOOKUP($B28,'DS ID'!B:D,2,FALSE),$I$1),"")</f>
        <v>SUI</v>
      </c>
      <c r="J28" s="2886" t="s">
        <v>835</v>
      </c>
      <c r="K28" s="2782"/>
      <c r="L28" s="2893"/>
      <c r="M28" s="2893" t="s">
        <v>783</v>
      </c>
      <c r="N28" s="2403" t="s">
        <v>785</v>
      </c>
      <c r="O28" s="2398"/>
      <c r="P28" s="2393"/>
    </row>
    <row r="29" spans="1:18" x14ac:dyDescent="0.4">
      <c r="A29" s="2387" t="s">
        <v>654</v>
      </c>
      <c r="B29" s="2388" t="s">
        <v>655</v>
      </c>
      <c r="C29" s="2389">
        <v>9</v>
      </c>
      <c r="D29" s="2388" t="s">
        <v>833</v>
      </c>
      <c r="E29" s="2390" t="s">
        <v>846</v>
      </c>
      <c r="F29" s="2389" t="s">
        <v>847</v>
      </c>
      <c r="G29" s="2788" t="str">
        <f>IFERROR(HYPERLINK("https://logistics.amazon.co.jp/internal/operations/execution/itineraries?operationView=true&amp;provider=ALL_DRIVERS&amp;serviceAreaId="&amp;VLOOKUP($B29,'DS ID'!B:D,2,FALSE),$G$1),"")</f>
        <v>CORTEX ver2</v>
      </c>
      <c r="H29" s="2788" t="str">
        <f>IFERROR(HYPERLINK("https://logistics.amazon.co.jp/internal/capacity/rosterview?serviceAreaId="&amp;VLOOKUP($B29,'DS ID'!B:D,2,FALSE),$H$1),"")</f>
        <v>Roster</v>
      </c>
      <c r="I29" s="2788" t="str">
        <f>IFERROR(HYPERLINK("https://logistics.amazon.co.jp/internal/scheduling/dsps?serviceAreaId="&amp;VLOOKUP($B29,'DS ID'!B:D,2,FALSE),$I$1),"")</f>
        <v>SUI</v>
      </c>
      <c r="J29" s="2886"/>
      <c r="K29" s="2783"/>
      <c r="L29" s="2894"/>
      <c r="M29" s="2894"/>
      <c r="N29" s="2403" t="s">
        <v>785</v>
      </c>
      <c r="O29" s="2398"/>
      <c r="P29" s="2393"/>
    </row>
    <row r="30" spans="1:18" ht="20.100000000000001" customHeight="1" x14ac:dyDescent="0.4">
      <c r="A30" s="2377" t="s">
        <v>656</v>
      </c>
      <c r="B30" s="2388" t="s">
        <v>656</v>
      </c>
      <c r="C30" s="2389">
        <v>8</v>
      </c>
      <c r="D30" s="2388" t="s">
        <v>833</v>
      </c>
      <c r="E30" s="2390" t="s">
        <v>848</v>
      </c>
      <c r="F30" s="2389"/>
      <c r="G30" s="2788" t="str">
        <f>IFERROR(HYPERLINK("https://logistics.amazon.co.jp/internal/operations/execution/itineraries?operationView=true&amp;provider=ALL_DRIVERS&amp;serviceAreaId="&amp;VLOOKUP($B30,'DS ID'!B:D,2,FALSE),$G$1),"")</f>
        <v>CORTEX ver2</v>
      </c>
      <c r="H30" s="2788" t="str">
        <f>IFERROR(HYPERLINK("https://logistics.amazon.co.jp/internal/capacity/rosterview?serviceAreaId="&amp;VLOOKUP($B30,'DS ID'!B:D,2,FALSE),$H$1),"")</f>
        <v>Roster</v>
      </c>
      <c r="I30" s="2788" t="str">
        <f>IFERROR(HYPERLINK("https://logistics.amazon.co.jp/internal/scheduling/dsps?serviceAreaId="&amp;VLOOKUP($B30,'DS ID'!B:D,2,FALSE),$I$1),"")</f>
        <v>SUI</v>
      </c>
      <c r="J30" s="2886" t="s">
        <v>835</v>
      </c>
      <c r="K30" s="2782"/>
      <c r="L30" s="2893"/>
      <c r="M30" s="2895" t="s">
        <v>783</v>
      </c>
      <c r="N30" s="2391" t="s">
        <v>785</v>
      </c>
      <c r="O30" s="2398"/>
      <c r="P30" s="2393"/>
    </row>
    <row r="31" spans="1:18" ht="22.35" customHeight="1" x14ac:dyDescent="0.4">
      <c r="A31" s="2377" t="s">
        <v>656</v>
      </c>
      <c r="B31" s="2388" t="s">
        <v>657</v>
      </c>
      <c r="C31" s="2379">
        <v>8</v>
      </c>
      <c r="D31" s="2388" t="s">
        <v>833</v>
      </c>
      <c r="E31" s="2390" t="s">
        <v>849</v>
      </c>
      <c r="F31" s="2389" t="s">
        <v>820</v>
      </c>
      <c r="G31" s="2788" t="str">
        <f>IFERROR(HYPERLINK("https://logistics.amazon.co.jp/internal/operations/execution/itineraries?operationView=true&amp;provider=ALL_DRIVERS&amp;serviceAreaId="&amp;VLOOKUP($B31,'DS ID'!B:D,2,FALSE),$G$1),"")</f>
        <v>CORTEX ver2</v>
      </c>
      <c r="H31" s="2788" t="str">
        <f>IFERROR(HYPERLINK("https://logistics.amazon.co.jp/internal/capacity/rosterview?serviceAreaId="&amp;VLOOKUP($B31,'DS ID'!B:D,2,FALSE),$H$1),"")</f>
        <v>Roster</v>
      </c>
      <c r="I31" s="2788" t="str">
        <f>IFERROR(HYPERLINK("https://logistics.amazon.co.jp/internal/scheduling/dsps?serviceAreaId="&amp;VLOOKUP($B31,'DS ID'!B:D,2,FALSE),$I$1),"")</f>
        <v>SUI</v>
      </c>
      <c r="J31" s="2886"/>
      <c r="K31" s="2783"/>
      <c r="L31" s="2894"/>
      <c r="M31" s="2896"/>
      <c r="N31" s="2391" t="s">
        <v>785</v>
      </c>
      <c r="O31" s="2398"/>
      <c r="P31" s="2393"/>
    </row>
    <row r="32" spans="1:18" ht="22.35" customHeight="1" x14ac:dyDescent="0.4">
      <c r="A32" s="2377" t="s">
        <v>656</v>
      </c>
      <c r="B32" s="2388" t="s">
        <v>850</v>
      </c>
      <c r="C32" s="2379">
        <v>8</v>
      </c>
      <c r="D32" s="2388" t="s">
        <v>839</v>
      </c>
      <c r="E32" s="2390" t="s">
        <v>851</v>
      </c>
      <c r="F32" s="2389" t="s">
        <v>807</v>
      </c>
      <c r="G32" s="2788" t="str">
        <f>IFERROR(HYPERLINK("https://logistics.amazon.co.jp/internal/operations/execution/itineraries?operationView=true&amp;provider=ALL_DRIVERS&amp;serviceAreaId="&amp;VLOOKUP($B32,'DS ID'!B:D,2,FALSE),$G$1),"")</f>
        <v>CORTEX ver2</v>
      </c>
      <c r="H32" s="2788" t="str">
        <f>IFERROR(HYPERLINK("https://logistics.amazon.co.jp/internal/capacity/rosterview?serviceAreaId="&amp;VLOOKUP($B32,'DS ID'!B:D,2,FALSE),$H$1),"")</f>
        <v>Roster</v>
      </c>
      <c r="I32" s="2788" t="str">
        <f>IFERROR(HYPERLINK("https://logistics.amazon.co.jp/internal/scheduling/dsps?serviceAreaId="&amp;VLOOKUP($B32,'DS ID'!B:D,2,FALSE),$I$1),"")</f>
        <v>SUI</v>
      </c>
      <c r="J32" s="2886"/>
      <c r="K32" s="2784"/>
      <c r="L32" s="2894"/>
      <c r="M32" s="2896"/>
      <c r="N32" s="2391" t="s">
        <v>785</v>
      </c>
      <c r="O32" s="2398"/>
      <c r="P32" s="2393"/>
    </row>
    <row r="33" spans="1:16" ht="22.35" customHeight="1" x14ac:dyDescent="0.4">
      <c r="A33" s="2377" t="s">
        <v>587</v>
      </c>
      <c r="B33" s="2388" t="s">
        <v>587</v>
      </c>
      <c r="C33" s="2389">
        <v>10</v>
      </c>
      <c r="D33" s="2388" t="s">
        <v>833</v>
      </c>
      <c r="E33" s="2390" t="s">
        <v>852</v>
      </c>
      <c r="F33" s="2389"/>
      <c r="G33" s="2788" t="str">
        <f>IFERROR(HYPERLINK("https://logistics.amazon.co.jp/internal/operations/execution/itineraries?operationView=true&amp;provider=ALL_DRIVERS&amp;serviceAreaId="&amp;VLOOKUP($B33,'DS ID'!B:D,2,FALSE),$G$1),"")</f>
        <v>CORTEX ver2</v>
      </c>
      <c r="H33" s="2788" t="str">
        <f>IFERROR(HYPERLINK("https://logistics.amazon.co.jp/internal/capacity/rosterview?serviceAreaId="&amp;VLOOKUP($B33,'DS ID'!B:D,2,FALSE),$H$1),"")</f>
        <v>Roster</v>
      </c>
      <c r="I33" s="2788" t="str">
        <f>IFERROR(HYPERLINK("https://logistics.amazon.co.jp/internal/scheduling/dsps?serviceAreaId="&amp;VLOOKUP($B33,'DS ID'!B:D,2,FALSE),$I$1),"")</f>
        <v>SUI</v>
      </c>
      <c r="J33" s="2780" t="s">
        <v>835</v>
      </c>
      <c r="K33" s="2779"/>
      <c r="L33" s="2788"/>
      <c r="M33" s="2794" t="s">
        <v>784</v>
      </c>
      <c r="N33" s="2391" t="s">
        <v>785</v>
      </c>
      <c r="O33" s="2398"/>
      <c r="P33" s="2393"/>
    </row>
    <row r="34" spans="1:16" ht="21" customHeight="1" x14ac:dyDescent="0.4">
      <c r="A34" s="2399" t="s">
        <v>659</v>
      </c>
      <c r="B34" s="2394" t="s">
        <v>659</v>
      </c>
      <c r="C34" s="2379">
        <v>4</v>
      </c>
      <c r="D34" s="2394" t="s">
        <v>833</v>
      </c>
      <c r="E34" s="2396" t="s">
        <v>846</v>
      </c>
      <c r="G34" s="2788" t="str">
        <f>IFERROR(HYPERLINK("https://logistics.amazon.co.jp/internal/operations/execution/itineraries?operationView=true&amp;provider=ALL_DRIVERS&amp;serviceAreaId="&amp;VLOOKUP($B34,'DS ID'!B:D,2,FALSE),$G$1),"")</f>
        <v>CORTEX ver2</v>
      </c>
      <c r="H34" s="2788" t="str">
        <f>IFERROR(HYPERLINK("https://logistics.amazon.co.jp/internal/capacity/rosterview?serviceAreaId="&amp;VLOOKUP($B34,'DS ID'!B:D,2,FALSE),$H$1),"")</f>
        <v>Roster</v>
      </c>
      <c r="I34" s="2788" t="str">
        <f>IFERROR(HYPERLINK("https://logistics.amazon.co.jp/internal/scheduling/dsps?serviceAreaId="&amp;VLOOKUP($B34,'DS ID'!B:D,2,FALSE),$I$1),"")</f>
        <v>SUI</v>
      </c>
      <c r="J34" s="2886" t="s">
        <v>835</v>
      </c>
      <c r="K34" s="2779"/>
      <c r="L34" s="2899"/>
      <c r="M34" s="2897" t="s">
        <v>783</v>
      </c>
      <c r="N34" s="2397" t="s">
        <v>785</v>
      </c>
      <c r="O34" s="2398"/>
      <c r="P34" s="2393"/>
    </row>
    <row r="35" spans="1:16" x14ac:dyDescent="0.4">
      <c r="A35" s="2377" t="s">
        <v>659</v>
      </c>
      <c r="B35" s="2388" t="s">
        <v>660</v>
      </c>
      <c r="C35" s="2389">
        <v>4</v>
      </c>
      <c r="D35" s="2404" t="s">
        <v>833</v>
      </c>
      <c r="E35" s="2390" t="s">
        <v>853</v>
      </c>
      <c r="F35" s="2379" t="s">
        <v>847</v>
      </c>
      <c r="G35" s="2788" t="str">
        <f>IFERROR(HYPERLINK("https://logistics.amazon.co.jp/internal/operations/execution/itineraries?operationView=true&amp;provider=ALL_DRIVERS&amp;serviceAreaId="&amp;VLOOKUP($B35,'DS ID'!B:D,2,FALSE),$G$1),"")</f>
        <v>CORTEX ver2</v>
      </c>
      <c r="H35" s="2788" t="str">
        <f>IFERROR(HYPERLINK("https://logistics.amazon.co.jp/internal/capacity/rosterview?serviceAreaId="&amp;VLOOKUP($B35,'DS ID'!B:D,2,FALSE),$H$1),"")</f>
        <v>Roster</v>
      </c>
      <c r="I35" s="2788" t="str">
        <f>IFERROR(HYPERLINK("https://logistics.amazon.co.jp/internal/scheduling/dsps?serviceAreaId="&amp;VLOOKUP($B35,'DS ID'!B:D,2,FALSE),$I$1),"")</f>
        <v>SUI</v>
      </c>
      <c r="J35" s="2886"/>
      <c r="K35" s="2781"/>
      <c r="L35" s="2900"/>
      <c r="M35" s="2901"/>
      <c r="N35" s="2405" t="s">
        <v>785</v>
      </c>
      <c r="O35" s="2398"/>
      <c r="P35" s="2393"/>
    </row>
    <row r="36" spans="1:16" ht="20.100000000000001" customHeight="1" x14ac:dyDescent="0.4">
      <c r="A36" s="2377" t="s">
        <v>661</v>
      </c>
      <c r="B36" s="2388" t="s">
        <v>661</v>
      </c>
      <c r="C36" s="2389">
        <v>7</v>
      </c>
      <c r="D36" s="2388" t="s">
        <v>833</v>
      </c>
      <c r="E36" s="2390" t="s">
        <v>854</v>
      </c>
      <c r="F36" s="2389"/>
      <c r="G36" s="2788" t="str">
        <f>IFERROR(HYPERLINK("https://logistics.amazon.co.jp/internal/operations/execution/itineraries?operationView=true&amp;provider=ALL_DRIVERS&amp;serviceAreaId="&amp;VLOOKUP($B36,'DS ID'!B:D,2,FALSE),$G$1),"")</f>
        <v>CORTEX ver2</v>
      </c>
      <c r="H36" s="2788" t="str">
        <f>IFERROR(HYPERLINK("https://logistics.amazon.co.jp/internal/capacity/rosterview?serviceAreaId="&amp;VLOOKUP($B36,'DS ID'!B:D,2,FALSE),$H$1),"")</f>
        <v>Roster</v>
      </c>
      <c r="I36" s="2788" t="str">
        <f>IFERROR(HYPERLINK("https://logistics.amazon.co.jp/internal/scheduling/dsps?serviceAreaId="&amp;VLOOKUP($B36,'DS ID'!B:D,2,FALSE),$I$1),"")</f>
        <v>SUI</v>
      </c>
      <c r="J36" s="301"/>
      <c r="K36" s="2902" t="s">
        <v>784</v>
      </c>
      <c r="L36" s="2893"/>
      <c r="M36" s="2895" t="s">
        <v>784</v>
      </c>
      <c r="N36" s="2391" t="s">
        <v>785</v>
      </c>
      <c r="O36" s="2398"/>
      <c r="P36" s="2393"/>
    </row>
    <row r="37" spans="1:16" ht="20.100000000000001" customHeight="1" x14ac:dyDescent="0.4">
      <c r="A37" s="2377" t="s">
        <v>661</v>
      </c>
      <c r="B37" s="2388" t="s">
        <v>662</v>
      </c>
      <c r="C37" s="2389">
        <v>7</v>
      </c>
      <c r="D37" s="2388" t="s">
        <v>833</v>
      </c>
      <c r="E37" s="2390" t="s">
        <v>855</v>
      </c>
      <c r="F37" s="2389" t="s">
        <v>820</v>
      </c>
      <c r="G37" s="2788" t="str">
        <f>IFERROR(HYPERLINK("https://logistics.amazon.co.jp/internal/operations/execution/itineraries?operationView=true&amp;provider=ALL_DRIVERS&amp;serviceAreaId="&amp;VLOOKUP($B37,'DS ID'!B:D,2,FALSE),$G$1),"")</f>
        <v>CORTEX ver2</v>
      </c>
      <c r="H37" s="2788" t="str">
        <f>IFERROR(HYPERLINK("https://logistics.amazon.co.jp/internal/capacity/rosterview?serviceAreaId="&amp;VLOOKUP($B37,'DS ID'!B:D,2,FALSE),$H$1),"")</f>
        <v>Roster</v>
      </c>
      <c r="I37" s="2788" t="str">
        <f>IFERROR(HYPERLINK("https://logistics.amazon.co.jp/internal/scheduling/dsps?serviceAreaId="&amp;VLOOKUP($B37,'DS ID'!B:D,2,FALSE),$I$1),"")</f>
        <v>SUI</v>
      </c>
      <c r="J37" s="301"/>
      <c r="K37" s="2903"/>
      <c r="L37" s="2894"/>
      <c r="M37" s="2896"/>
      <c r="N37" s="2391" t="s">
        <v>785</v>
      </c>
      <c r="O37" s="2401"/>
      <c r="P37" s="2393"/>
    </row>
    <row r="38" spans="1:16" ht="22.35" customHeight="1" x14ac:dyDescent="0.4">
      <c r="A38" s="2377" t="s">
        <v>661</v>
      </c>
      <c r="B38" s="2388" t="s">
        <v>663</v>
      </c>
      <c r="C38" s="2389">
        <v>7</v>
      </c>
      <c r="D38" s="2388" t="s">
        <v>833</v>
      </c>
      <c r="E38" s="2396" t="s">
        <v>854</v>
      </c>
      <c r="F38" s="2379" t="s">
        <v>856</v>
      </c>
      <c r="G38" s="2788" t="str">
        <f>IFERROR(HYPERLINK("https://logistics.amazon.co.jp/internal/operations/execution/itineraries?operationView=true&amp;provider=ALL_DRIVERS&amp;serviceAreaId="&amp;VLOOKUP($B38,'DS ID'!B:D,2,FALSE),$G$1),"")</f>
        <v>CORTEX ver2</v>
      </c>
      <c r="H38" s="2788" t="str">
        <f>IFERROR(HYPERLINK("https://logistics.amazon.co.jp/internal/capacity/rosterview?serviceAreaId="&amp;VLOOKUP($B38,'DS ID'!B:D,2,FALSE),$H$1),"")</f>
        <v>Roster</v>
      </c>
      <c r="I38" s="2788" t="str">
        <f>IFERROR(HYPERLINK("https://logistics.amazon.co.jp/internal/scheduling/dsps?serviceAreaId="&amp;VLOOKUP($B38,'DS ID'!B:D,2,FALSE),$I$1),"")</f>
        <v>SUI</v>
      </c>
      <c r="J38" s="301"/>
      <c r="K38" s="2904"/>
      <c r="L38" s="2894"/>
      <c r="M38" s="2896"/>
      <c r="N38" s="2391" t="s">
        <v>785</v>
      </c>
      <c r="O38" s="2406"/>
      <c r="P38" s="2393"/>
    </row>
    <row r="39" spans="1:16" ht="22.35" customHeight="1" x14ac:dyDescent="0.4">
      <c r="A39" s="2377" t="s">
        <v>661</v>
      </c>
      <c r="B39" s="2388" t="s">
        <v>857</v>
      </c>
      <c r="C39" s="2389">
        <v>7</v>
      </c>
      <c r="D39" s="2388" t="s">
        <v>833</v>
      </c>
      <c r="E39" s="2396" t="s">
        <v>858</v>
      </c>
      <c r="F39" s="2379" t="s">
        <v>847</v>
      </c>
      <c r="G39" s="2788" t="str">
        <f>IFERROR(HYPERLINK("https://logistics.amazon.co.jp/internal/operations/execution/itineraries?operationView=true&amp;provider=ALL_DRIVERS&amp;serviceAreaId="&amp;VLOOKUP($B39,'DS ID'!B:D,2,FALSE),$G$1),"")</f>
        <v>CORTEX ver2</v>
      </c>
      <c r="H39" s="2788" t="str">
        <f>IFERROR(HYPERLINK("https://logistics.amazon.co.jp/internal/capacity/rosterview?serviceAreaId="&amp;VLOOKUP($B39,'DS ID'!B:D,2,FALSE),$H$1),"")</f>
        <v>Roster</v>
      </c>
      <c r="I39" s="2788" t="str">
        <f>IFERROR(HYPERLINK("https://logistics.amazon.co.jp/internal/scheduling/dsps?serviceAreaId="&amp;VLOOKUP($B39,'DS ID'!B:D,2,FALSE),$I$1),"")</f>
        <v>SUI</v>
      </c>
      <c r="J39" s="301"/>
      <c r="K39" s="2783"/>
      <c r="L39" s="2899"/>
      <c r="M39" s="2897"/>
      <c r="N39" s="2391" t="s">
        <v>785</v>
      </c>
      <c r="O39" s="2395"/>
      <c r="P39" s="2393"/>
    </row>
    <row r="40" spans="1:16" ht="22.35" customHeight="1" x14ac:dyDescent="0.4">
      <c r="A40" s="2399" t="s">
        <v>665</v>
      </c>
      <c r="B40" s="2394" t="s">
        <v>665</v>
      </c>
      <c r="C40" s="2379">
        <v>10</v>
      </c>
      <c r="D40" s="2394" t="s">
        <v>833</v>
      </c>
      <c r="E40" s="2396" t="s">
        <v>859</v>
      </c>
      <c r="G40" s="2788" t="str">
        <f>IFERROR(HYPERLINK("https://logistics.amazon.co.jp/internal/operations/execution/itineraries?operationView=true&amp;provider=ALL_DRIVERS&amp;serviceAreaId="&amp;VLOOKUP($B40,'DS ID'!B:D,2,FALSE),$G$1),"")</f>
        <v>CORTEX ver2</v>
      </c>
      <c r="H40" s="2788" t="str">
        <f>IFERROR(HYPERLINK("https://logistics.amazon.co.jp/internal/capacity/rosterview?serviceAreaId="&amp;VLOOKUP($B40,'DS ID'!B:D,2,FALSE),$H$1),"")</f>
        <v>Roster</v>
      </c>
      <c r="I40" s="2788" t="str">
        <f>IFERROR(HYPERLINK("https://logistics.amazon.co.jp/internal/scheduling/dsps?serviceAreaId="&amp;VLOOKUP($B40,'DS ID'!B:D,2,FALSE),$I$1),"")</f>
        <v>SUI</v>
      </c>
      <c r="J40" s="2886" t="s">
        <v>860</v>
      </c>
      <c r="K40" s="2782"/>
      <c r="L40" s="2893"/>
      <c r="M40" s="2895" t="s">
        <v>861</v>
      </c>
      <c r="N40" s="2397" t="s">
        <v>785</v>
      </c>
      <c r="O40" s="2401"/>
      <c r="P40" s="2393"/>
    </row>
    <row r="41" spans="1:16" ht="22.35" customHeight="1" x14ac:dyDescent="0.4">
      <c r="A41" s="2399" t="s">
        <v>665</v>
      </c>
      <c r="B41" s="2394" t="s">
        <v>666</v>
      </c>
      <c r="C41" s="2379">
        <v>10</v>
      </c>
      <c r="D41" s="2394" t="s">
        <v>833</v>
      </c>
      <c r="E41" s="2396" t="s">
        <v>862</v>
      </c>
      <c r="F41" s="2379" t="s">
        <v>847</v>
      </c>
      <c r="G41" s="2788" t="str">
        <f>IFERROR(HYPERLINK("https://logistics.amazon.co.jp/internal/operations/execution/itineraries?operationView=true&amp;provider=ALL_DRIVERS&amp;serviceAreaId="&amp;VLOOKUP($B41,'DS ID'!B:D,2,FALSE),$G$1),"")</f>
        <v>CORTEX ver2</v>
      </c>
      <c r="H41" s="2788" t="str">
        <f>IFERROR(HYPERLINK("https://logistics.amazon.co.jp/internal/capacity/rosterview?serviceAreaId="&amp;VLOOKUP($B41,'DS ID'!B:D,2,FALSE),$H$1),"")</f>
        <v>Roster</v>
      </c>
      <c r="I41" s="2788" t="str">
        <f>IFERROR(HYPERLINK("https://logistics.amazon.co.jp/internal/scheduling/dsps?serviceAreaId="&amp;VLOOKUP($B41,'DS ID'!B:D,2,FALSE),$I$1),"")</f>
        <v>SUI</v>
      </c>
      <c r="J41" s="2886"/>
      <c r="K41" s="2783"/>
      <c r="L41" s="2894"/>
      <c r="M41" s="2896"/>
      <c r="N41" s="2397" t="s">
        <v>785</v>
      </c>
      <c r="O41" s="2398"/>
      <c r="P41" s="2393"/>
    </row>
    <row r="42" spans="1:16" ht="22.35" customHeight="1" x14ac:dyDescent="0.4">
      <c r="A42" s="2399" t="s">
        <v>665</v>
      </c>
      <c r="B42" s="2394" t="s">
        <v>667</v>
      </c>
      <c r="C42" s="2379">
        <v>10</v>
      </c>
      <c r="D42" s="2394" t="s">
        <v>833</v>
      </c>
      <c r="E42" s="2396" t="s">
        <v>863</v>
      </c>
      <c r="F42" s="2379" t="s">
        <v>844</v>
      </c>
      <c r="G42" s="2788" t="str">
        <f>IFERROR(HYPERLINK("https://logistics.amazon.co.jp/internal/operations/execution/itineraries?operationView=true&amp;provider=ALL_DRIVERS&amp;serviceAreaId="&amp;VLOOKUP($B42,'DS ID'!B:D,2,FALSE),$G$1),"")</f>
        <v>CORTEX ver2</v>
      </c>
      <c r="H42" s="2788" t="str">
        <f>IFERROR(HYPERLINK("https://logistics.amazon.co.jp/internal/capacity/rosterview?serviceAreaId="&amp;VLOOKUP($B42,'DS ID'!B:D,2,FALSE),$H$1),"")</f>
        <v>Roster</v>
      </c>
      <c r="I42" s="2788" t="str">
        <f>IFERROR(HYPERLINK("https://logistics.amazon.co.jp/internal/scheduling/dsps?serviceAreaId="&amp;VLOOKUP($B42,'DS ID'!B:D,2,FALSE),$I$1),"")</f>
        <v>SUI</v>
      </c>
      <c r="J42" s="2886"/>
      <c r="K42" s="2783"/>
      <c r="L42" s="2894"/>
      <c r="M42" s="2896"/>
      <c r="N42" s="2397" t="s">
        <v>785</v>
      </c>
      <c r="O42" s="2398"/>
      <c r="P42" s="2393"/>
    </row>
    <row r="43" spans="1:16" ht="22.35" customHeight="1" x14ac:dyDescent="0.4">
      <c r="A43" s="2399" t="s">
        <v>665</v>
      </c>
      <c r="B43" s="2394" t="s">
        <v>668</v>
      </c>
      <c r="C43" s="2379">
        <v>10</v>
      </c>
      <c r="D43" s="2394" t="s">
        <v>833</v>
      </c>
      <c r="E43" s="2396" t="s">
        <v>864</v>
      </c>
      <c r="F43" s="2379" t="s">
        <v>820</v>
      </c>
      <c r="G43" s="2788" t="str">
        <f>IFERROR(HYPERLINK("https://logistics.amazon.co.jp/internal/operations/execution/itineraries?operationView=true&amp;provider=ALL_DRIVERS&amp;serviceAreaId="&amp;VLOOKUP($B43,'DS ID'!B:D,2,FALSE),$G$1),"")</f>
        <v>CORTEX ver2</v>
      </c>
      <c r="H43" s="2788" t="str">
        <f>IFERROR(HYPERLINK("https://logistics.amazon.co.jp/internal/capacity/rosterview?serviceAreaId="&amp;VLOOKUP($B43,'DS ID'!B:D,2,FALSE),$H$1),"")</f>
        <v>Roster</v>
      </c>
      <c r="I43" s="2788" t="str">
        <f>IFERROR(HYPERLINK("https://logistics.amazon.co.jp/internal/scheduling/dsps?serviceAreaId="&amp;VLOOKUP($B43,'DS ID'!B:D,2,FALSE),$I$1),"")</f>
        <v>SUI</v>
      </c>
      <c r="J43" s="2886"/>
      <c r="K43" s="2783"/>
      <c r="L43" s="2894"/>
      <c r="M43" s="2896"/>
      <c r="N43" s="2397" t="s">
        <v>785</v>
      </c>
      <c r="O43" s="2398"/>
      <c r="P43" s="2393"/>
    </row>
    <row r="44" spans="1:16" ht="22.35" customHeight="1" x14ac:dyDescent="0.4">
      <c r="A44" s="2399" t="s">
        <v>665</v>
      </c>
      <c r="B44" s="2394" t="s">
        <v>669</v>
      </c>
      <c r="C44" s="2379">
        <v>10</v>
      </c>
      <c r="D44" s="2394" t="s">
        <v>833</v>
      </c>
      <c r="E44" s="2396" t="s">
        <v>865</v>
      </c>
      <c r="F44" s="2379" t="s">
        <v>856</v>
      </c>
      <c r="G44" s="2788" t="str">
        <f>IFERROR(HYPERLINK("https://logistics.amazon.co.jp/internal/operations/execution/itineraries?operationView=true&amp;provider=ALL_DRIVERS&amp;serviceAreaId="&amp;VLOOKUP($B44,'DS ID'!B:D,2,FALSE),$G$1),"")</f>
        <v>CORTEX ver2</v>
      </c>
      <c r="H44" s="2788" t="str">
        <f>IFERROR(HYPERLINK("https://logistics.amazon.co.jp/internal/capacity/rosterview?serviceAreaId="&amp;VLOOKUP($B44,'DS ID'!B:D,2,FALSE),$H$1),"")</f>
        <v>Roster</v>
      </c>
      <c r="I44" s="2788" t="str">
        <f>IFERROR(HYPERLINK("https://logistics.amazon.co.jp/internal/scheduling/dsps?serviceAreaId="&amp;VLOOKUP($B44,'DS ID'!B:D,2,FALSE),$I$1),"")</f>
        <v>SUI</v>
      </c>
      <c r="J44" s="2886"/>
      <c r="K44" s="2783"/>
      <c r="L44" s="2894"/>
      <c r="M44" s="2896"/>
      <c r="N44" s="2397" t="s">
        <v>785</v>
      </c>
      <c r="O44" s="2398"/>
      <c r="P44" s="2393"/>
    </row>
    <row r="45" spans="1:16" ht="22.35" customHeight="1" x14ac:dyDescent="0.4">
      <c r="A45" s="2399" t="s">
        <v>665</v>
      </c>
      <c r="B45" s="2394" t="s">
        <v>670</v>
      </c>
      <c r="C45" s="2379">
        <v>10</v>
      </c>
      <c r="D45" s="2394" t="s">
        <v>833</v>
      </c>
      <c r="E45" s="2396" t="s">
        <v>866</v>
      </c>
      <c r="F45" s="2379" t="s">
        <v>867</v>
      </c>
      <c r="G45" s="2788" t="str">
        <f>IFERROR(HYPERLINK("https://logistics.amazon.co.jp/internal/operations/execution/itineraries?operationView=true&amp;provider=ALL_DRIVERS&amp;serviceAreaId="&amp;VLOOKUP($B45,'DS ID'!B:D,2,FALSE),$G$1),"")</f>
        <v>CORTEX ver2</v>
      </c>
      <c r="H45" s="2788" t="str">
        <f>IFERROR(HYPERLINK("https://logistics.amazon.co.jp/internal/capacity/rosterview?serviceAreaId="&amp;VLOOKUP($B45,'DS ID'!B:D,2,FALSE),$H$1),"")</f>
        <v>Roster</v>
      </c>
      <c r="I45" s="2788" t="str">
        <f>IFERROR(HYPERLINK("https://logistics.amazon.co.jp/internal/scheduling/dsps?serviceAreaId="&amp;VLOOKUP($B45,'DS ID'!B:D,2,FALSE),$I$1),"")</f>
        <v>SUI</v>
      </c>
      <c r="J45" s="2886"/>
      <c r="K45" s="2784"/>
      <c r="L45" s="2894"/>
      <c r="M45" s="2897"/>
      <c r="N45" s="2397" t="s">
        <v>785</v>
      </c>
      <c r="O45" s="2398"/>
      <c r="P45" s="2393"/>
    </row>
    <row r="46" spans="1:16" ht="22.35" customHeight="1" x14ac:dyDescent="0.4">
      <c r="A46" s="2394" t="s">
        <v>671</v>
      </c>
      <c r="B46" s="2378" t="s">
        <v>671</v>
      </c>
      <c r="C46" s="2379">
        <v>4</v>
      </c>
      <c r="D46" s="2388" t="s">
        <v>833</v>
      </c>
      <c r="E46" s="2396" t="s">
        <v>846</v>
      </c>
      <c r="G46" s="2788" t="str">
        <f>IFERROR(HYPERLINK("https://logistics.amazon.co.jp/internal/operations/execution/itineraries?operationView=true&amp;provider=ALL_DRIVERS&amp;serviceAreaId="&amp;VLOOKUP($B46,'DS ID'!B:D,2,FALSE),$G$1),"")</f>
        <v>CORTEX ver2</v>
      </c>
      <c r="H46" s="2788" t="str">
        <f>IFERROR(HYPERLINK("https://logistics.amazon.co.jp/internal/capacity/rosterview?serviceAreaId="&amp;VLOOKUP($B46,'DS ID'!B:D,2,FALSE),$H$1),"")</f>
        <v>Roster</v>
      </c>
      <c r="I46" s="2788" t="str">
        <f>IFERROR(HYPERLINK("https://logistics.amazon.co.jp/internal/scheduling/dsps?serviceAreaId="&amp;VLOOKUP($B46,'DS ID'!B:D,2,FALSE),$I$1),"")</f>
        <v>SUI</v>
      </c>
      <c r="J46" s="2886" t="s">
        <v>835</v>
      </c>
      <c r="K46" s="2782"/>
      <c r="L46" s="2893"/>
      <c r="M46" s="2893" t="s">
        <v>784</v>
      </c>
      <c r="N46" s="2391" t="s">
        <v>785</v>
      </c>
      <c r="O46" s="2398"/>
      <c r="P46" s="2393"/>
    </row>
    <row r="47" spans="1:16" ht="22.35" customHeight="1" x14ac:dyDescent="0.4">
      <c r="A47" s="2394" t="s">
        <v>671</v>
      </c>
      <c r="B47" s="2378" t="s">
        <v>672</v>
      </c>
      <c r="C47" s="2389">
        <v>4</v>
      </c>
      <c r="D47" s="2388" t="s">
        <v>833</v>
      </c>
      <c r="E47" s="2396" t="s">
        <v>868</v>
      </c>
      <c r="F47" s="2379" t="s">
        <v>847</v>
      </c>
      <c r="G47" s="2788" t="str">
        <f>IFERROR(HYPERLINK("https://logistics.amazon.co.jp/internal/operations/execution/itineraries?operationView=true&amp;provider=ALL_DRIVERS&amp;serviceAreaId="&amp;VLOOKUP($B47,'DS ID'!B:D,2,FALSE),$G$1),"")</f>
        <v>CORTEX ver2</v>
      </c>
      <c r="H47" s="2788" t="str">
        <f>IFERROR(HYPERLINK("https://logistics.amazon.co.jp/internal/capacity/rosterview?serviceAreaId="&amp;VLOOKUP($B47,'DS ID'!B:D,2,FALSE),$H$1),"")</f>
        <v>Roster</v>
      </c>
      <c r="I47" s="2788" t="str">
        <f>IFERROR(HYPERLINK("https://logistics.amazon.co.jp/internal/scheduling/dsps?serviceAreaId="&amp;VLOOKUP($B47,'DS ID'!B:D,2,FALSE),$I$1),"")</f>
        <v>SUI</v>
      </c>
      <c r="J47" s="2886"/>
      <c r="K47" s="2783"/>
      <c r="L47" s="2894"/>
      <c r="M47" s="2894"/>
      <c r="N47" s="2391" t="s">
        <v>785</v>
      </c>
      <c r="O47" s="2401"/>
      <c r="P47" s="2393"/>
    </row>
    <row r="48" spans="1:16" ht="22.35" customHeight="1" x14ac:dyDescent="0.4">
      <c r="A48" s="2394" t="s">
        <v>671</v>
      </c>
      <c r="B48" s="2378" t="s">
        <v>673</v>
      </c>
      <c r="C48" s="2389">
        <v>4</v>
      </c>
      <c r="D48" s="2388" t="s">
        <v>833</v>
      </c>
      <c r="E48" s="2396" t="s">
        <v>868</v>
      </c>
      <c r="F48" s="2379" t="s">
        <v>844</v>
      </c>
      <c r="G48" s="2788" t="str">
        <f>IFERROR(HYPERLINK("https://logistics.amazon.co.jp/internal/operations/execution/itineraries?operationView=true&amp;provider=ALL_DRIVERS&amp;serviceAreaId="&amp;VLOOKUP($B48,'DS ID'!B:D,2,FALSE),$G$1),"")</f>
        <v>CORTEX ver2</v>
      </c>
      <c r="H48" s="2788" t="str">
        <f>IFERROR(HYPERLINK("https://logistics.amazon.co.jp/internal/capacity/rosterview?serviceAreaId="&amp;VLOOKUP($B48,'DS ID'!B:D,2,FALSE),$H$1),"")</f>
        <v>Roster</v>
      </c>
      <c r="I48" s="2788" t="str">
        <f>IFERROR(HYPERLINK("https://logistics.amazon.co.jp/internal/scheduling/dsps?serviceAreaId="&amp;VLOOKUP($B48,'DS ID'!B:D,2,FALSE),$I$1),"")</f>
        <v>SUI</v>
      </c>
      <c r="J48" s="2886"/>
      <c r="K48" s="2783"/>
      <c r="L48" s="2894"/>
      <c r="M48" s="2894"/>
      <c r="N48" s="2391" t="s">
        <v>785</v>
      </c>
      <c r="O48" s="2401"/>
      <c r="P48" s="2393"/>
    </row>
    <row r="49" spans="1:16" ht="22.35" customHeight="1" x14ac:dyDescent="0.4">
      <c r="A49" s="2394" t="s">
        <v>671</v>
      </c>
      <c r="B49" s="2378" t="s">
        <v>674</v>
      </c>
      <c r="C49" s="2389">
        <v>4</v>
      </c>
      <c r="D49" s="2388" t="s">
        <v>833</v>
      </c>
      <c r="E49" s="2396" t="s">
        <v>846</v>
      </c>
      <c r="F49" s="2379" t="s">
        <v>820</v>
      </c>
      <c r="G49" s="2788" t="str">
        <f>IFERROR(HYPERLINK("https://logistics.amazon.co.jp/internal/operations/execution/itineraries?operationView=true&amp;provider=ALL_DRIVERS&amp;serviceAreaId="&amp;VLOOKUP($B49,'DS ID'!B:D,2,FALSE),$G$1),"")</f>
        <v>CORTEX ver2</v>
      </c>
      <c r="H49" s="2788" t="str">
        <f>IFERROR(HYPERLINK("https://logistics.amazon.co.jp/internal/capacity/rosterview?serviceAreaId="&amp;VLOOKUP($B49,'DS ID'!B:D,2,FALSE),$H$1),"")</f>
        <v>Roster</v>
      </c>
      <c r="I49" s="2788" t="str">
        <f>IFERROR(HYPERLINK("https://logistics.amazon.co.jp/internal/scheduling/dsps?serviceAreaId="&amp;VLOOKUP($B49,'DS ID'!B:D,2,FALSE),$I$1),"")</f>
        <v>SUI</v>
      </c>
      <c r="J49" s="2886"/>
      <c r="K49" s="2783"/>
      <c r="L49" s="2894"/>
      <c r="M49" s="2894"/>
      <c r="N49" s="2391" t="s">
        <v>785</v>
      </c>
      <c r="O49" s="2401"/>
      <c r="P49" s="2393"/>
    </row>
    <row r="50" spans="1:16" ht="22.35" customHeight="1" x14ac:dyDescent="0.4">
      <c r="A50" s="2394" t="s">
        <v>671</v>
      </c>
      <c r="B50" s="2378" t="s">
        <v>675</v>
      </c>
      <c r="C50" s="2389">
        <v>4</v>
      </c>
      <c r="D50" s="2388" t="s">
        <v>833</v>
      </c>
      <c r="E50" s="2396" t="s">
        <v>846</v>
      </c>
      <c r="F50" s="2379" t="s">
        <v>856</v>
      </c>
      <c r="G50" s="2788" t="str">
        <f>IFERROR(HYPERLINK("https://logistics.amazon.co.jp/internal/operations/execution/itineraries?operationView=true&amp;provider=ALL_DRIVERS&amp;serviceAreaId="&amp;VLOOKUP($B50,'DS ID'!B:D,2,FALSE),$G$1),"")</f>
        <v>CORTEX ver2</v>
      </c>
      <c r="H50" s="2788" t="str">
        <f>IFERROR(HYPERLINK("https://logistics.amazon.co.jp/internal/capacity/rosterview?serviceAreaId="&amp;VLOOKUP($B50,'DS ID'!B:D,2,FALSE),$H$1),"")</f>
        <v>Roster</v>
      </c>
      <c r="I50" s="2788" t="str">
        <f>IFERROR(HYPERLINK("https://logistics.amazon.co.jp/internal/scheduling/dsps?serviceAreaId="&amp;VLOOKUP($B50,'DS ID'!B:D,2,FALSE),$I$1),"")</f>
        <v>SUI</v>
      </c>
      <c r="J50" s="2886"/>
      <c r="K50" s="2784"/>
      <c r="L50" s="2899"/>
      <c r="M50" s="2899"/>
      <c r="N50" s="2391" t="s">
        <v>785</v>
      </c>
      <c r="O50" s="2401"/>
      <c r="P50" s="2393"/>
    </row>
    <row r="51" spans="1:16" ht="22.35" customHeight="1" x14ac:dyDescent="0.4">
      <c r="A51" s="2407" t="s">
        <v>676</v>
      </c>
      <c r="B51" s="2388" t="s">
        <v>676</v>
      </c>
      <c r="C51" s="2389">
        <v>6</v>
      </c>
      <c r="D51" s="2388" t="s">
        <v>869</v>
      </c>
      <c r="E51" s="2390" t="s">
        <v>869</v>
      </c>
      <c r="F51" s="2389"/>
      <c r="G51" s="2788" t="str">
        <f>IFERROR(HYPERLINK("https://logistics.amazon.co.jp/internal/operations/execution/itineraries?operationView=true&amp;provider=ALL_DRIVERS&amp;serviceAreaId="&amp;VLOOKUP($B51,'DS ID'!B:D,2,FALSE),$G$1),"")</f>
        <v>CORTEX ver2</v>
      </c>
      <c r="H51" s="2788" t="str">
        <f>IFERROR(HYPERLINK("https://logistics.amazon.co.jp/internal/capacity/rosterview?serviceAreaId="&amp;VLOOKUP($B51,'DS ID'!B:D,2,FALSE),$H$1),"")</f>
        <v>Roster</v>
      </c>
      <c r="I51" s="2788" t="str">
        <f>IFERROR(HYPERLINK("https://logistics.amazon.co.jp/internal/scheduling/dsps?serviceAreaId="&amp;VLOOKUP($B51,'DS ID'!B:D,2,FALSE),$I$1),"")</f>
        <v>SUI</v>
      </c>
      <c r="J51" s="2780" t="s">
        <v>870</v>
      </c>
      <c r="K51" s="2782"/>
      <c r="L51" s="2408"/>
      <c r="M51" s="2792" t="s">
        <v>784</v>
      </c>
      <c r="N51" s="2391" t="s">
        <v>785</v>
      </c>
      <c r="O51" s="2401"/>
      <c r="P51" s="2393"/>
    </row>
    <row r="52" spans="1:16" ht="22.35" customHeight="1" x14ac:dyDescent="0.4">
      <c r="A52" s="2407" t="s">
        <v>871</v>
      </c>
      <c r="B52" s="2388" t="s">
        <v>871</v>
      </c>
      <c r="C52" s="2389">
        <v>6</v>
      </c>
      <c r="D52" s="2388" t="s">
        <v>869</v>
      </c>
      <c r="E52" s="2390" t="s">
        <v>872</v>
      </c>
      <c r="F52" s="2389"/>
      <c r="G52" s="2788" t="str">
        <f>IFERROR(HYPERLINK("https://logistics.amazon.co.jp/internal/operations/execution/itineraries?operationView=true&amp;provider=ALL_DRIVERS&amp;serviceAreaId="&amp;VLOOKUP($B52,'DS ID'!B:D,2,FALSE),$G$1),"")</f>
        <v>CORTEX ver2</v>
      </c>
      <c r="H52" s="2788" t="str">
        <f>IFERROR(HYPERLINK("https://logistics.amazon.co.jp/internal/capacity/rosterview?serviceAreaId="&amp;VLOOKUP($B52,'DS ID'!B:D,2,FALSE),$H$1),"")</f>
        <v>Roster</v>
      </c>
      <c r="I52" s="2788" t="str">
        <f>IFERROR(HYPERLINK("https://logistics.amazon.co.jp/internal/scheduling/dsps?serviceAreaId="&amp;VLOOKUP($B52,'DS ID'!B:D,2,FALSE),$I$1),"")</f>
        <v>SUI</v>
      </c>
      <c r="J52" s="2886" t="s">
        <v>835</v>
      </c>
      <c r="K52" s="2782"/>
      <c r="L52" s="2893"/>
      <c r="M52" s="2895" t="s">
        <v>873</v>
      </c>
      <c r="N52" s="2391" t="s">
        <v>785</v>
      </c>
      <c r="O52" s="2401"/>
      <c r="P52" s="2393"/>
    </row>
    <row r="53" spans="1:16" ht="22.35" customHeight="1" x14ac:dyDescent="0.4">
      <c r="A53" s="2407" t="s">
        <v>677</v>
      </c>
      <c r="B53" s="2388" t="s">
        <v>874</v>
      </c>
      <c r="C53" s="2389">
        <v>6</v>
      </c>
      <c r="D53" s="2388" t="s">
        <v>875</v>
      </c>
      <c r="E53" s="2390" t="s">
        <v>875</v>
      </c>
      <c r="F53" s="2389" t="s">
        <v>843</v>
      </c>
      <c r="G53" s="2788" t="str">
        <f>IFERROR(HYPERLINK("https://logistics.amazon.co.jp/internal/operations/execution/itineraries?operationView=true&amp;provider=ALL_DRIVERS&amp;serviceAreaId="&amp;VLOOKUP($B53,'DS ID'!B:D,2,FALSE),$G$1),"")</f>
        <v>CORTEX ver2</v>
      </c>
      <c r="H53" s="2788" t="str">
        <f>IFERROR(HYPERLINK("https://logistics.amazon.co.jp/internal/capacity/rosterview?serviceAreaId="&amp;VLOOKUP($B53,'DS ID'!B:D,2,FALSE),$H$1),"")</f>
        <v>Roster</v>
      </c>
      <c r="I53" s="2788" t="str">
        <f>IFERROR(HYPERLINK("https://logistics.amazon.co.jp/internal/scheduling/dsps?serviceAreaId="&amp;VLOOKUP($B53,'DS ID'!B:D,2,FALSE),$I$1),"")</f>
        <v>SUI</v>
      </c>
      <c r="J53" s="2886"/>
      <c r="K53" s="2783"/>
      <c r="L53" s="2894"/>
      <c r="M53" s="2896"/>
      <c r="N53" s="2391" t="s">
        <v>785</v>
      </c>
      <c r="O53" s="2401"/>
      <c r="P53" s="2393"/>
    </row>
    <row r="54" spans="1:16" ht="22.35" customHeight="1" x14ac:dyDescent="0.4">
      <c r="A54" s="2407" t="s">
        <v>677</v>
      </c>
      <c r="B54" s="2388" t="s">
        <v>679</v>
      </c>
      <c r="C54" s="2389">
        <v>6</v>
      </c>
      <c r="D54" s="2388" t="s">
        <v>869</v>
      </c>
      <c r="E54" s="2390" t="s">
        <v>876</v>
      </c>
      <c r="F54" s="2389" t="s">
        <v>801</v>
      </c>
      <c r="G54" s="2788" t="str">
        <f>IFERROR(HYPERLINK("https://logistics.amazon.co.jp/internal/operations/execution/itineraries?operationView=true&amp;provider=ALL_DRIVERS&amp;serviceAreaId="&amp;VLOOKUP($B54,'DS ID'!B:D,2,FALSE),$G$1),"")</f>
        <v>CORTEX ver2</v>
      </c>
      <c r="H54" s="2788" t="str">
        <f>IFERROR(HYPERLINK("https://logistics.amazon.co.jp/internal/capacity/rosterview?serviceAreaId="&amp;VLOOKUP($B54,'DS ID'!B:D,2,FALSE),$H$1),"")</f>
        <v>Roster</v>
      </c>
      <c r="I54" s="2788" t="str">
        <f>IFERROR(HYPERLINK("https://logistics.amazon.co.jp/internal/scheduling/dsps?serviceAreaId="&amp;VLOOKUP($B54,'DS ID'!B:D,2,FALSE),$I$1),"")</f>
        <v>SUI</v>
      </c>
      <c r="J54" s="2886"/>
      <c r="K54" s="2783"/>
      <c r="L54" s="2894"/>
      <c r="M54" s="2896"/>
      <c r="N54" s="2391" t="s">
        <v>785</v>
      </c>
      <c r="O54" s="2401"/>
      <c r="P54" s="2393"/>
    </row>
    <row r="55" spans="1:16" ht="22.35" customHeight="1" x14ac:dyDescent="0.4">
      <c r="A55" s="2407" t="s">
        <v>677</v>
      </c>
      <c r="B55" s="2388" t="s">
        <v>680</v>
      </c>
      <c r="C55" s="2389">
        <v>6</v>
      </c>
      <c r="D55" s="2388" t="s">
        <v>869</v>
      </c>
      <c r="E55" s="2390" t="s">
        <v>877</v>
      </c>
      <c r="F55" s="2389" t="s">
        <v>804</v>
      </c>
      <c r="G55" s="2788" t="str">
        <f>IFERROR(HYPERLINK("https://logistics.amazon.co.jp/internal/operations/execution/itineraries?operationView=true&amp;provider=ALL_DRIVERS&amp;serviceAreaId="&amp;VLOOKUP($B55,'DS ID'!B:D,2,FALSE),$G$1),"")</f>
        <v>CORTEX ver2</v>
      </c>
      <c r="H55" s="2788" t="str">
        <f>IFERROR(HYPERLINK("https://logistics.amazon.co.jp/internal/capacity/rosterview?serviceAreaId="&amp;VLOOKUP($B55,'DS ID'!B:D,2,FALSE),$H$1),"")</f>
        <v>Roster</v>
      </c>
      <c r="I55" s="2788" t="str">
        <f>IFERROR(HYPERLINK("https://logistics.amazon.co.jp/internal/scheduling/dsps?serviceAreaId="&amp;VLOOKUP($B55,'DS ID'!B:D,2,FALSE),$I$1),"")</f>
        <v>SUI</v>
      </c>
      <c r="J55" s="2886"/>
      <c r="K55" s="2783"/>
      <c r="L55" s="2894"/>
      <c r="M55" s="2896"/>
      <c r="N55" s="2391" t="s">
        <v>785</v>
      </c>
      <c r="O55" s="2401"/>
      <c r="P55" s="2393"/>
    </row>
    <row r="56" spans="1:16" ht="22.35" customHeight="1" x14ac:dyDescent="0.4">
      <c r="A56" s="2407" t="s">
        <v>677</v>
      </c>
      <c r="B56" s="2388" t="s">
        <v>681</v>
      </c>
      <c r="C56" s="2389">
        <v>6</v>
      </c>
      <c r="D56" s="2388" t="s">
        <v>869</v>
      </c>
      <c r="E56" s="2396" t="s">
        <v>878</v>
      </c>
      <c r="F56" s="2379" t="s">
        <v>798</v>
      </c>
      <c r="G56" s="2788" t="str">
        <f>IFERROR(HYPERLINK("https://logistics.amazon.co.jp/internal/operations/execution/itineraries?operationView=true&amp;provider=ALL_DRIVERS&amp;serviceAreaId="&amp;VLOOKUP($B56,'DS ID'!B:D,2,FALSE),$G$1),"")</f>
        <v>CORTEX ver2</v>
      </c>
      <c r="H56" s="2788" t="str">
        <f>IFERROR(HYPERLINK("https://logistics.amazon.co.jp/internal/capacity/rosterview?serviceAreaId="&amp;VLOOKUP($B56,'DS ID'!B:D,2,FALSE),$H$1),"")</f>
        <v>Roster</v>
      </c>
      <c r="I56" s="2788" t="str">
        <f>IFERROR(HYPERLINK("https://logistics.amazon.co.jp/internal/scheduling/dsps?serviceAreaId="&amp;VLOOKUP($B56,'DS ID'!B:D,2,FALSE),$I$1),"")</f>
        <v>SUI</v>
      </c>
      <c r="J56" s="2886"/>
      <c r="K56" s="2784"/>
      <c r="L56" s="2894"/>
      <c r="M56" s="2896"/>
      <c r="N56" s="2391" t="s">
        <v>785</v>
      </c>
      <c r="O56" s="2401"/>
      <c r="P56" s="2393"/>
    </row>
    <row r="57" spans="1:16" ht="22.35" customHeight="1" x14ac:dyDescent="0.4">
      <c r="A57" s="2407" t="s">
        <v>871</v>
      </c>
      <c r="B57" s="2388" t="s">
        <v>879</v>
      </c>
      <c r="C57" s="2389">
        <v>6</v>
      </c>
      <c r="D57" s="2388" t="s">
        <v>875</v>
      </c>
      <c r="E57" s="2396" t="s">
        <v>875</v>
      </c>
      <c r="F57" s="2379" t="s">
        <v>811</v>
      </c>
      <c r="G57" s="2788" t="str">
        <f>IFERROR(HYPERLINK("https://logistics.amazon.co.jp/internal/operations/execution/itineraries?operationView=true&amp;provider=ALL_DRIVERS&amp;serviceAreaId="&amp;VLOOKUP($B57,'DS ID'!B:D,2,FALSE),$G$1),"")</f>
        <v>CORTEX ver2</v>
      </c>
      <c r="H57" s="2788" t="str">
        <f>IFERROR(HYPERLINK("https://logistics.amazon.co.jp/internal/capacity/rosterview?serviceAreaId="&amp;VLOOKUP($B57,'DS ID'!B:D,2,FALSE),$H$1),"")</f>
        <v>Roster</v>
      </c>
      <c r="I57" s="2788" t="str">
        <f>IFERROR(HYPERLINK("https://logistics.amazon.co.jp/internal/scheduling/dsps?serviceAreaId="&amp;VLOOKUP($B57,'DS ID'!B:D,2,FALSE),$I$1),"")</f>
        <v>SUI</v>
      </c>
      <c r="J57" s="2780"/>
      <c r="K57" s="2784"/>
      <c r="L57" s="2899"/>
      <c r="M57" s="2897"/>
      <c r="N57" s="2391" t="s">
        <v>785</v>
      </c>
      <c r="O57" s="2401"/>
      <c r="P57" s="2393"/>
    </row>
    <row r="58" spans="1:16" ht="22.35" customHeight="1" x14ac:dyDescent="0.4">
      <c r="A58" s="2399" t="s">
        <v>683</v>
      </c>
      <c r="B58" s="2394" t="s">
        <v>683</v>
      </c>
      <c r="C58" s="2379">
        <v>6</v>
      </c>
      <c r="D58" s="2394" t="s">
        <v>880</v>
      </c>
      <c r="E58" s="2396" t="s">
        <v>880</v>
      </c>
      <c r="G58" s="2788" t="str">
        <f>IFERROR(HYPERLINK("https://logistics.amazon.co.jp/internal/operations/execution/itineraries?operationView=true&amp;provider=ALL_DRIVERS&amp;serviceAreaId="&amp;VLOOKUP($B58,'DS ID'!B:D,2,FALSE),$G$1),"")</f>
        <v>CORTEX ver2</v>
      </c>
      <c r="H58" s="2788" t="str">
        <f>IFERROR(HYPERLINK("https://logistics.amazon.co.jp/internal/capacity/rosterview?serviceAreaId="&amp;VLOOKUP($B58,'DS ID'!B:D,2,FALSE),$H$1),"")</f>
        <v>Roster</v>
      </c>
      <c r="I58" s="2788" t="str">
        <f>IFERROR(HYPERLINK("https://logistics.amazon.co.jp/internal/scheduling/dsps?serviceAreaId="&amp;VLOOKUP($B58,'DS ID'!B:D,2,FALSE),$I$1),"")</f>
        <v>SUI</v>
      </c>
      <c r="J58" s="2780" t="s">
        <v>835</v>
      </c>
      <c r="K58" s="2400"/>
      <c r="L58" s="2400"/>
      <c r="M58" s="2400" t="s">
        <v>784</v>
      </c>
      <c r="N58" s="2397" t="s">
        <v>785</v>
      </c>
      <c r="O58" s="2398"/>
      <c r="P58" s="2393"/>
    </row>
    <row r="59" spans="1:16" ht="22.35" customHeight="1" x14ac:dyDescent="0.4">
      <c r="A59" s="2399" t="s">
        <v>282</v>
      </c>
      <c r="B59" s="2394" t="s">
        <v>282</v>
      </c>
      <c r="C59" s="2379">
        <v>6</v>
      </c>
      <c r="D59" s="2394" t="s">
        <v>881</v>
      </c>
      <c r="E59" s="2396" t="s">
        <v>881</v>
      </c>
      <c r="G59" s="2788" t="str">
        <f>IFERROR(HYPERLINK("https://logistics.amazon.co.jp/internal/operations/execution/itineraries?operationView=true&amp;provider=ALL_DRIVERS&amp;serviceAreaId="&amp;VLOOKUP($B59,'DS ID'!B:D,2,FALSE),$G$1),"")</f>
        <v>CORTEX ver2</v>
      </c>
      <c r="H59" s="2788" t="str">
        <f>IFERROR(HYPERLINK("https://logistics.amazon.co.jp/internal/capacity/rosterview?serviceAreaId="&amp;VLOOKUP($B59,'DS ID'!B:D,2,FALSE),$H$1),"")</f>
        <v>Roster</v>
      </c>
      <c r="I59" s="2788" t="str">
        <f>IFERROR(HYPERLINK("https://logistics.amazon.co.jp/internal/scheduling/dsps?serviceAreaId="&amp;VLOOKUP($B59,'DS ID'!B:D,2,FALSE),$I$1),"")</f>
        <v>SUI</v>
      </c>
      <c r="J59" s="2780" t="s">
        <v>835</v>
      </c>
      <c r="K59" s="2400"/>
      <c r="L59" s="2400"/>
      <c r="M59" s="2895" t="s">
        <v>783</v>
      </c>
      <c r="N59" s="2397" t="s">
        <v>785</v>
      </c>
      <c r="O59" s="2398"/>
      <c r="P59" s="2393"/>
    </row>
    <row r="60" spans="1:16" ht="22.35" customHeight="1" x14ac:dyDescent="0.4">
      <c r="A60" s="2399" t="s">
        <v>282</v>
      </c>
      <c r="B60" s="2394" t="s">
        <v>882</v>
      </c>
      <c r="C60" s="2389">
        <v>6</v>
      </c>
      <c r="D60" s="2394" t="s">
        <v>881</v>
      </c>
      <c r="E60" s="2394" t="s">
        <v>883</v>
      </c>
      <c r="G60" s="2788" t="str">
        <f>IFERROR(HYPERLINK("https://logistics.amazon.co.jp/internal/operations/execution/itineraries?operationView=true&amp;provider=ALL_DRIVERS&amp;serviceAreaId="&amp;VLOOKUP($B60,'DS ID'!B:D,2,FALSE),$G$1),"")</f>
        <v>CORTEX ver2</v>
      </c>
      <c r="H60" s="2788" t="str">
        <f>IFERROR(HYPERLINK("https://logistics.amazon.co.jp/internal/capacity/rosterview?serviceAreaId="&amp;VLOOKUP($B60,'DS ID'!B:D,2,FALSE),$H$1),"")</f>
        <v>Roster</v>
      </c>
      <c r="I60" s="2788" t="str">
        <f>IFERROR(HYPERLINK("https://logistics.amazon.co.jp/internal/scheduling/dsps?serviceAreaId="&amp;VLOOKUP($B60,'DS ID'!B:D,2,FALSE),$I$1),"")</f>
        <v>SUI</v>
      </c>
      <c r="J60" s="2780"/>
      <c r="K60" s="2782"/>
      <c r="L60" s="2782"/>
      <c r="M60" s="2896"/>
      <c r="N60" s="2397" t="s">
        <v>785</v>
      </c>
      <c r="O60" s="2409"/>
      <c r="P60" s="2393"/>
    </row>
    <row r="61" spans="1:16" ht="22.35" customHeight="1" x14ac:dyDescent="0.4">
      <c r="A61" s="2399" t="s">
        <v>282</v>
      </c>
      <c r="B61" s="2394" t="s">
        <v>884</v>
      </c>
      <c r="C61" s="2389">
        <v>6</v>
      </c>
      <c r="D61" s="2394" t="s">
        <v>881</v>
      </c>
      <c r="E61" s="2394" t="s">
        <v>885</v>
      </c>
      <c r="G61" s="2788" t="str">
        <f>IFERROR(HYPERLINK("https://logistics.amazon.co.jp/internal/operations/execution/itineraries?operationView=true&amp;provider=ALL_DRIVERS&amp;serviceAreaId="&amp;VLOOKUP($B61,'DS ID'!B:D,2,FALSE),$G$1),"")</f>
        <v>CORTEX ver2</v>
      </c>
      <c r="H61" s="2788" t="str">
        <f>IFERROR(HYPERLINK("https://logistics.amazon.co.jp/internal/capacity/rosterview?serviceAreaId="&amp;VLOOKUP($B61,'DS ID'!B:D,2,FALSE),$H$1),"")</f>
        <v>Roster</v>
      </c>
      <c r="I61" s="2788" t="str">
        <f>IFERROR(HYPERLINK("https://logistics.amazon.co.jp/internal/scheduling/dsps?serviceAreaId="&amp;VLOOKUP($B61,'DS ID'!B:D,2,FALSE),$I$1),"")</f>
        <v>SUI</v>
      </c>
      <c r="J61" s="2780"/>
      <c r="K61" s="2782"/>
      <c r="L61" s="2782"/>
      <c r="M61" s="2897"/>
      <c r="N61" s="2397" t="s">
        <v>785</v>
      </c>
      <c r="O61" s="2409"/>
      <c r="P61" s="2393"/>
    </row>
    <row r="62" spans="1:16" ht="22.35" customHeight="1" x14ac:dyDescent="0.4">
      <c r="A62" s="2407" t="s">
        <v>687</v>
      </c>
      <c r="B62" s="2388" t="s">
        <v>687</v>
      </c>
      <c r="C62" s="2389">
        <v>7</v>
      </c>
      <c r="D62" s="2388" t="s">
        <v>886</v>
      </c>
      <c r="E62" s="2390" t="s">
        <v>887</v>
      </c>
      <c r="F62" s="2389"/>
      <c r="G62" s="2788" t="str">
        <f>IFERROR(HYPERLINK("https://logistics.amazon.co.jp/internal/operations/execution/itineraries?operationView=true&amp;provider=ALL_DRIVERS&amp;serviceAreaId="&amp;VLOOKUP($B62,'DS ID'!B:D,2,FALSE),$G$1),"")</f>
        <v>CORTEX ver2</v>
      </c>
      <c r="H62" s="2788" t="str">
        <f>IFERROR(HYPERLINK("https://logistics.amazon.co.jp/internal/capacity/rosterview?serviceAreaId="&amp;VLOOKUP($B62,'DS ID'!B:D,2,FALSE),$H$1),"")</f>
        <v>Roster</v>
      </c>
      <c r="I62" s="2788" t="str">
        <f>IFERROR(HYPERLINK("https://logistics.amazon.co.jp/internal/scheduling/dsps?serviceAreaId="&amp;VLOOKUP($B62,'DS ID'!B:D,2,FALSE),$I$1),"")</f>
        <v>SUI</v>
      </c>
      <c r="J62" s="2886" t="s">
        <v>835</v>
      </c>
      <c r="K62" s="2782"/>
      <c r="L62" s="2893"/>
      <c r="M62" s="2893" t="s">
        <v>783</v>
      </c>
      <c r="N62" s="2391" t="s">
        <v>785</v>
      </c>
      <c r="O62" s="2395"/>
      <c r="P62" s="2393"/>
    </row>
    <row r="63" spans="1:16" ht="22.35" customHeight="1" x14ac:dyDescent="0.4">
      <c r="A63" s="2407" t="s">
        <v>687</v>
      </c>
      <c r="B63" s="2388" t="s">
        <v>688</v>
      </c>
      <c r="C63" s="2389">
        <v>7</v>
      </c>
      <c r="D63" s="2388" t="s">
        <v>886</v>
      </c>
      <c r="E63" s="2390" t="s">
        <v>888</v>
      </c>
      <c r="F63" s="2389" t="s">
        <v>847</v>
      </c>
      <c r="G63" s="2788" t="str">
        <f>IFERROR(HYPERLINK("https://logistics.amazon.co.jp/internal/operations/execution/itineraries?operationView=true&amp;provider=ALL_DRIVERS&amp;serviceAreaId="&amp;VLOOKUP($B63,'DS ID'!B:D,2,FALSE),$G$1),"")</f>
        <v>CORTEX ver2</v>
      </c>
      <c r="H63" s="2788" t="str">
        <f>IFERROR(HYPERLINK("https://logistics.amazon.co.jp/internal/capacity/rosterview?serviceAreaId="&amp;VLOOKUP($B63,'DS ID'!B:D,2,FALSE),$H$1),"")</f>
        <v>Roster</v>
      </c>
      <c r="I63" s="2788" t="str">
        <f>IFERROR(HYPERLINK("https://logistics.amazon.co.jp/internal/scheduling/dsps?serviceAreaId="&amp;VLOOKUP($B63,'DS ID'!B:D,2,FALSE),$I$1),"")</f>
        <v>SUI</v>
      </c>
      <c r="J63" s="2886"/>
      <c r="K63" s="2783"/>
      <c r="L63" s="2894"/>
      <c r="M63" s="2894"/>
      <c r="N63" s="2391" t="s">
        <v>785</v>
      </c>
      <c r="O63" s="2410"/>
      <c r="P63" s="2393"/>
    </row>
    <row r="64" spans="1:16" ht="22.35" customHeight="1" x14ac:dyDescent="0.4">
      <c r="A64" s="2407" t="s">
        <v>889</v>
      </c>
      <c r="B64" s="2388" t="s">
        <v>890</v>
      </c>
      <c r="C64" s="2389">
        <v>7</v>
      </c>
      <c r="D64" s="2388" t="s">
        <v>891</v>
      </c>
      <c r="E64" s="2390" t="s">
        <v>892</v>
      </c>
      <c r="F64" s="2389" t="s">
        <v>801</v>
      </c>
      <c r="G64" s="2788" t="str">
        <f>IFERROR(HYPERLINK("https://logistics.amazon.co.jp/internal/operations/execution/itineraries?operationView=true&amp;provider=ALL_DRIVERS&amp;serviceAreaId="&amp;VLOOKUP($B64,'DS ID'!B:D,2,FALSE),$G$1),"")</f>
        <v>CORTEX ver2</v>
      </c>
      <c r="H64" s="2788" t="str">
        <f>IFERROR(HYPERLINK("https://logistics.amazon.co.jp/internal/capacity/rosterview?serviceAreaId="&amp;VLOOKUP($B64,'DS ID'!B:D,2,FALSE),$H$1),"")</f>
        <v>Roster</v>
      </c>
      <c r="I64" s="2788" t="str">
        <f>IFERROR(HYPERLINK("https://logistics.amazon.co.jp/internal/scheduling/dsps?serviceAreaId="&amp;VLOOKUP($B64,'DS ID'!B:D,2,FALSE),$I$1),"")</f>
        <v>SUI</v>
      </c>
      <c r="J64" s="2886"/>
      <c r="K64" s="2783"/>
      <c r="L64" s="2894"/>
      <c r="M64" s="2894"/>
      <c r="N64" s="2391" t="s">
        <v>785</v>
      </c>
      <c r="O64" s="2410"/>
      <c r="P64" s="2393"/>
    </row>
    <row r="65" spans="1:16" ht="22.35" customHeight="1" x14ac:dyDescent="0.4">
      <c r="A65" s="2377" t="s">
        <v>690</v>
      </c>
      <c r="B65" s="2378" t="s">
        <v>690</v>
      </c>
      <c r="C65" s="2379">
        <v>6</v>
      </c>
      <c r="D65" s="2404" t="s">
        <v>893</v>
      </c>
      <c r="E65" s="2411" t="s">
        <v>894</v>
      </c>
      <c r="F65" s="2389"/>
      <c r="G65" s="2788" t="str">
        <f>IFERROR(HYPERLINK("https://logistics.amazon.co.jp/internal/operations/execution/itineraries?operationView=true&amp;provider=ALL_DRIVERS&amp;serviceAreaId="&amp;VLOOKUP($B65,'DS ID'!B:D,2,FALSE),$G$1),"")</f>
        <v>CORTEX ver2</v>
      </c>
      <c r="H65" s="2788" t="str">
        <f>IFERROR(HYPERLINK("https://logistics.amazon.co.jp/internal/capacity/rosterview?serviceAreaId="&amp;VLOOKUP($B65,'DS ID'!B:D,2,FALSE),$H$1),"")</f>
        <v>Roster</v>
      </c>
      <c r="I65" s="2788" t="str">
        <f>IFERROR(HYPERLINK("https://logistics.amazon.co.jp/internal/scheduling/dsps?serviceAreaId="&amp;VLOOKUP($B65,'DS ID'!B:D,2,FALSE),$I$1),"")</f>
        <v>SUI</v>
      </c>
      <c r="J65" s="2886" t="s">
        <v>835</v>
      </c>
      <c r="K65" s="2782"/>
      <c r="L65" s="2893"/>
      <c r="M65" s="2895" t="s">
        <v>895</v>
      </c>
      <c r="N65" s="2397" t="s">
        <v>785</v>
      </c>
      <c r="O65" s="2395"/>
      <c r="P65" s="2393"/>
    </row>
    <row r="66" spans="1:16" x14ac:dyDescent="0.4">
      <c r="A66" s="2377" t="s">
        <v>690</v>
      </c>
      <c r="B66" s="2378" t="s">
        <v>691</v>
      </c>
      <c r="C66" s="2389">
        <v>6</v>
      </c>
      <c r="D66" s="2404" t="s">
        <v>893</v>
      </c>
      <c r="E66" s="2412" t="s">
        <v>896</v>
      </c>
      <c r="F66" s="2389" t="s">
        <v>856</v>
      </c>
      <c r="G66" s="2788" t="str">
        <f>IFERROR(HYPERLINK("https://logistics.amazon.co.jp/internal/operations/execution/itineraries?operationView=true&amp;provider=ALL_DRIVERS&amp;serviceAreaId="&amp;VLOOKUP($B66,'DS ID'!B:D,2,FALSE),$G$1),"")</f>
        <v>CORTEX ver2</v>
      </c>
      <c r="H66" s="2788" t="str">
        <f>IFERROR(HYPERLINK("https://logistics.amazon.co.jp/internal/capacity/rosterview?serviceAreaId="&amp;VLOOKUP($B66,'DS ID'!B:D,2,FALSE),$H$1),"")</f>
        <v>Roster</v>
      </c>
      <c r="I66" s="2788" t="str">
        <f>IFERROR(HYPERLINK("https://logistics.amazon.co.jp/internal/scheduling/dsps?serviceAreaId="&amp;VLOOKUP($B66,'DS ID'!B:D,2,FALSE),$I$1),"")</f>
        <v>SUI</v>
      </c>
      <c r="J66" s="2886"/>
      <c r="K66" s="2787"/>
      <c r="L66" s="2894"/>
      <c r="M66" s="2896"/>
      <c r="N66" s="2413" t="s">
        <v>785</v>
      </c>
      <c r="O66" s="2414"/>
      <c r="P66" s="2393"/>
    </row>
    <row r="67" spans="1:16" x14ac:dyDescent="0.4">
      <c r="A67" s="2377" t="s">
        <v>690</v>
      </c>
      <c r="B67" s="2378" t="s">
        <v>693</v>
      </c>
      <c r="C67" s="2389">
        <v>6</v>
      </c>
      <c r="D67" s="2378" t="s">
        <v>893</v>
      </c>
      <c r="E67" s="2412" t="s">
        <v>898</v>
      </c>
      <c r="F67" s="2389" t="s">
        <v>820</v>
      </c>
      <c r="G67" s="2788" t="str">
        <f>IFERROR(HYPERLINK("https://logistics.amazon.co.jp/internal/operations/execution/itineraries?operationView=true&amp;provider=ALL_DRIVERS&amp;serviceAreaId="&amp;VLOOKUP($B67,'DS ID'!B:D,2,FALSE),$G$1),"")</f>
        <v>CORTEX ver2</v>
      </c>
      <c r="H67" s="2788" t="str">
        <f>IFERROR(HYPERLINK("https://logistics.amazon.co.jp/internal/capacity/rosterview?serviceAreaId="&amp;VLOOKUP($B67,'DS ID'!B:D,2,FALSE),$H$1),"")</f>
        <v>Roster</v>
      </c>
      <c r="I67" s="2788" t="str">
        <f>IFERROR(HYPERLINK("https://logistics.amazon.co.jp/internal/scheduling/dsps?serviceAreaId="&amp;VLOOKUP($B67,'DS ID'!B:D,2,FALSE),$I$1),"")</f>
        <v>SUI</v>
      </c>
      <c r="J67" s="2886"/>
      <c r="K67" s="2783"/>
      <c r="L67" s="2894"/>
      <c r="M67" s="2896"/>
      <c r="N67" s="2391" t="s">
        <v>785</v>
      </c>
      <c r="O67" s="2398"/>
      <c r="P67" s="2393"/>
    </row>
    <row r="68" spans="1:16" x14ac:dyDescent="0.4">
      <c r="A68" s="2377" t="s">
        <v>690</v>
      </c>
      <c r="B68" s="2378" t="s">
        <v>694</v>
      </c>
      <c r="C68" s="2389">
        <v>6</v>
      </c>
      <c r="D68" s="2378" t="s">
        <v>899</v>
      </c>
      <c r="E68" s="2412" t="s">
        <v>900</v>
      </c>
      <c r="F68" s="2389" t="s">
        <v>798</v>
      </c>
      <c r="G68" s="2788" t="str">
        <f>IFERROR(HYPERLINK("https://logistics.amazon.co.jp/internal/operations/execution/itineraries?operationView=true&amp;provider=ALL_DRIVERS&amp;serviceAreaId="&amp;VLOOKUP($B68,'DS ID'!B:D,2,FALSE),$G$1),"")</f>
        <v>CORTEX ver2</v>
      </c>
      <c r="H68" s="2788" t="str">
        <f>IFERROR(HYPERLINK("https://logistics.amazon.co.jp/internal/capacity/rosterview?serviceAreaId="&amp;VLOOKUP($B68,'DS ID'!B:D,2,FALSE),$H$1),"")</f>
        <v>Roster</v>
      </c>
      <c r="I68" s="2788" t="str">
        <f>IFERROR(HYPERLINK("https://logistics.amazon.co.jp/internal/scheduling/dsps?serviceAreaId="&amp;VLOOKUP($B68,'DS ID'!B:D,2,FALSE),$I$1),"")</f>
        <v>SUI</v>
      </c>
      <c r="J68" s="2886"/>
      <c r="K68" s="2784"/>
      <c r="L68" s="2899"/>
      <c r="M68" s="2897"/>
      <c r="N68" s="2391" t="s">
        <v>785</v>
      </c>
      <c r="O68" s="2398"/>
      <c r="P68" s="2393" t="s">
        <v>901</v>
      </c>
    </row>
    <row r="69" spans="1:16" x14ac:dyDescent="0.4">
      <c r="A69" s="2377" t="s">
        <v>902</v>
      </c>
      <c r="B69" s="2378" t="s">
        <v>902</v>
      </c>
      <c r="C69" s="2389">
        <v>6</v>
      </c>
      <c r="D69" s="2378" t="s">
        <v>903</v>
      </c>
      <c r="F69" s="2389"/>
      <c r="G69" s="2788" t="str">
        <f>IFERROR(HYPERLINK("https://logistics.amazon.co.jp/internal/operations/execution/itineraries?operationView=true&amp;provider=ALL_DRIVERS&amp;serviceAreaId="&amp;VLOOKUP($B69,'DS ID'!B:D,2,FALSE),$G$1),"")</f>
        <v>CORTEX ver2</v>
      </c>
      <c r="H69" s="2788" t="str">
        <f>IFERROR(HYPERLINK("https://logistics.amazon.co.jp/internal/capacity/rosterview?serviceAreaId="&amp;VLOOKUP($B69,'DS ID'!B:D,2,FALSE),$H$1),"")</f>
        <v>Roster</v>
      </c>
      <c r="I69" s="2788" t="str">
        <f>IFERROR(HYPERLINK("https://logistics.amazon.co.jp/internal/scheduling/dsps?serviceAreaId="&amp;VLOOKUP($B69,'DS ID'!B:D,2,FALSE),$I$1),"")</f>
        <v>SUI</v>
      </c>
      <c r="J69" s="2780"/>
      <c r="K69" s="2783"/>
      <c r="L69" s="2787"/>
      <c r="M69" s="2895" t="s">
        <v>904</v>
      </c>
      <c r="N69" s="2391" t="s">
        <v>785</v>
      </c>
      <c r="O69" s="2398" t="s">
        <v>905</v>
      </c>
      <c r="P69" s="2393"/>
    </row>
    <row r="70" spans="1:16" x14ac:dyDescent="0.4">
      <c r="A70" s="2399" t="s">
        <v>902</v>
      </c>
      <c r="B70" s="2827" t="s">
        <v>1766</v>
      </c>
      <c r="C70" s="2389">
        <v>6</v>
      </c>
      <c r="D70" s="2378" t="s">
        <v>893</v>
      </c>
      <c r="E70" s="2380" t="s">
        <v>897</v>
      </c>
      <c r="F70" s="2828" t="s">
        <v>829</v>
      </c>
      <c r="G70" s="2788" t="str">
        <f>IFERROR(HYPERLINK("https://logistics.amazon.co.jp/internal/operations/execution/itineraries?operationView=true&amp;provider=ALL_DRIVERS&amp;serviceAreaId="&amp;VLOOKUP($B70,'DS ID'!B:D,2,FALSE),$G$1),"")</f>
        <v>CORTEX ver2</v>
      </c>
      <c r="H70" s="2788" t="str">
        <f>IFERROR(HYPERLINK("https://logistics.amazon.co.jp/internal/capacity/rosterview?serviceAreaId="&amp;VLOOKUP($B70,'DS ID'!B:D,2,FALSE),$H$1),"")</f>
        <v>Roster</v>
      </c>
      <c r="I70" s="2788" t="str">
        <f>IFERROR(HYPERLINK("https://logistics.amazon.co.jp/internal/scheduling/dsps?serviceAreaId="&amp;VLOOKUP($B70,'DS ID'!B:D,2,FALSE),$I$1),"")</f>
        <v>SUI</v>
      </c>
      <c r="J70" s="2780"/>
      <c r="K70" s="2783"/>
      <c r="L70" s="2787"/>
      <c r="M70" s="2897"/>
      <c r="N70" s="2391" t="s">
        <v>785</v>
      </c>
      <c r="O70" s="2398"/>
      <c r="P70" s="2393"/>
    </row>
    <row r="71" spans="1:16" ht="20.85" customHeight="1" x14ac:dyDescent="0.4">
      <c r="A71" s="2415" t="s">
        <v>906</v>
      </c>
      <c r="B71" s="2378" t="s">
        <v>703</v>
      </c>
      <c r="C71" s="2379">
        <v>7</v>
      </c>
      <c r="D71" s="2404" t="s">
        <v>907</v>
      </c>
      <c r="E71" s="2390" t="s">
        <v>908</v>
      </c>
      <c r="F71" s="2389"/>
      <c r="G71" s="2788" t="str">
        <f>IFERROR(HYPERLINK("https://logistics.amazon.co.jp/internal/operations/execution/itineraries?operationView=true&amp;provider=ALL_DRIVERS&amp;serviceAreaId="&amp;VLOOKUP($B71,'DS ID'!B:D,2,FALSE),$G$1),"")</f>
        <v>CORTEX ver2</v>
      </c>
      <c r="H71" s="2788" t="str">
        <f>IFERROR(HYPERLINK("https://logistics.amazon.co.jp/internal/capacity/rosterview?serviceAreaId="&amp;VLOOKUP($B71,'DS ID'!B:D,2,FALSE),$H$1),"")</f>
        <v>Roster</v>
      </c>
      <c r="I71" s="2788" t="str">
        <f>IFERROR(HYPERLINK("https://logistics.amazon.co.jp/internal/scheduling/dsps?serviceAreaId="&amp;VLOOKUP($B71,'DS ID'!B:D,2,FALSE),$I$1),"")</f>
        <v>SUI</v>
      </c>
      <c r="J71" s="2886" t="s">
        <v>835</v>
      </c>
      <c r="K71" s="2782"/>
      <c r="L71" s="2893"/>
      <c r="M71" s="2895" t="s">
        <v>895</v>
      </c>
      <c r="N71" s="2397" t="s">
        <v>785</v>
      </c>
      <c r="O71" s="2395"/>
      <c r="P71" s="2393"/>
    </row>
    <row r="72" spans="1:16" ht="20.85" customHeight="1" x14ac:dyDescent="0.4">
      <c r="A72" s="2415" t="s">
        <v>906</v>
      </c>
      <c r="B72" s="2378" t="s">
        <v>704</v>
      </c>
      <c r="C72" s="2389">
        <v>7</v>
      </c>
      <c r="D72" s="2404" t="s">
        <v>907</v>
      </c>
      <c r="E72" s="2390" t="s">
        <v>909</v>
      </c>
      <c r="F72" s="2389" t="s">
        <v>820</v>
      </c>
      <c r="G72" s="2788" t="str">
        <f>IFERROR(HYPERLINK("https://logistics.amazon.co.jp/internal/operations/execution/itineraries?operationView=true&amp;provider=ALL_DRIVERS&amp;serviceAreaId="&amp;VLOOKUP($B72,'DS ID'!B:D,2,FALSE),$G$1),"")</f>
        <v>CORTEX ver2</v>
      </c>
      <c r="H72" s="2788" t="str">
        <f>IFERROR(HYPERLINK("https://logistics.amazon.co.jp/internal/capacity/rosterview?serviceAreaId="&amp;VLOOKUP($B72,'DS ID'!B:D,2,FALSE),$H$1),"")</f>
        <v>Roster</v>
      </c>
      <c r="I72" s="2788" t="str">
        <f>IFERROR(HYPERLINK("https://logistics.amazon.co.jp/internal/scheduling/dsps?serviceAreaId="&amp;VLOOKUP($B72,'DS ID'!B:D,2,FALSE),$I$1),"")</f>
        <v>SUI</v>
      </c>
      <c r="J72" s="2886"/>
      <c r="K72" s="2783"/>
      <c r="L72" s="2894"/>
      <c r="M72" s="2896"/>
      <c r="N72" s="2397" t="s">
        <v>785</v>
      </c>
      <c r="O72" s="2410"/>
      <c r="P72" s="2393"/>
    </row>
    <row r="73" spans="1:16" ht="20.85" customHeight="1" x14ac:dyDescent="0.4">
      <c r="A73" s="2415" t="s">
        <v>906</v>
      </c>
      <c r="B73" s="2388" t="s">
        <v>910</v>
      </c>
      <c r="C73" s="2389">
        <v>7</v>
      </c>
      <c r="D73" s="2404" t="s">
        <v>911</v>
      </c>
      <c r="E73" s="2390" t="s">
        <v>912</v>
      </c>
      <c r="F73" s="2389"/>
      <c r="G73" s="2788" t="str">
        <f>IFERROR(HYPERLINK("https://logistics.amazon.co.jp/internal/operations/execution/itineraries?operationView=true&amp;provider=ALL_DRIVERS&amp;serviceAreaId="&amp;VLOOKUP($B73,'DS ID'!B:D,2,FALSE),$G$1),"")</f>
        <v>CORTEX ver2</v>
      </c>
      <c r="H73" s="2788" t="str">
        <f>IFERROR(HYPERLINK("https://logistics.amazon.co.jp/internal/capacity/rosterview?serviceAreaId="&amp;VLOOKUP($B73,'DS ID'!B:D,2,FALSE),$H$1),"")</f>
        <v>Roster</v>
      </c>
      <c r="I73" s="2788" t="str">
        <f>IFERROR(HYPERLINK("https://logistics.amazon.co.jp/internal/scheduling/dsps?serviceAreaId="&amp;VLOOKUP($B73,'DS ID'!B:D,2,FALSE),$I$1),"")</f>
        <v>SUI</v>
      </c>
      <c r="J73" s="2780"/>
      <c r="K73" s="2783"/>
      <c r="L73" s="2787"/>
      <c r="M73" s="2897"/>
      <c r="N73" s="2391" t="s">
        <v>785</v>
      </c>
      <c r="O73" s="2410"/>
      <c r="P73" s="2393"/>
    </row>
    <row r="74" spans="1:16" x14ac:dyDescent="0.4">
      <c r="A74" s="2415" t="s">
        <v>913</v>
      </c>
      <c r="B74" s="2378" t="s">
        <v>913</v>
      </c>
      <c r="C74" s="2379">
        <v>7</v>
      </c>
      <c r="D74" s="2404" t="s">
        <v>907</v>
      </c>
      <c r="E74" s="2390" t="s">
        <v>914</v>
      </c>
      <c r="G74" s="2788" t="str">
        <f>IFERROR(HYPERLINK("https://logistics.amazon.co.jp/internal/operations/execution/itineraries?operationView=true&amp;provider=ALL_DRIVERS&amp;serviceAreaId="&amp;VLOOKUP($B74,'DS ID'!B:D,2,FALSE),$G$1),"")</f>
        <v>CORTEX ver2</v>
      </c>
      <c r="H74" s="2788" t="str">
        <f>IFERROR(HYPERLINK("https://logistics.amazon.co.jp/internal/capacity/rosterview?serviceAreaId="&amp;VLOOKUP($B74,'DS ID'!B:D,2,FALSE),$H$1),"")</f>
        <v>Roster</v>
      </c>
      <c r="I74" s="2788" t="str">
        <f>IFERROR(HYPERLINK("https://logistics.amazon.co.jp/internal/scheduling/dsps?serviceAreaId="&amp;VLOOKUP($B74,'DS ID'!B:D,2,FALSE),$I$1),"")</f>
        <v>SUI</v>
      </c>
      <c r="J74" s="2780"/>
      <c r="K74" s="2783"/>
      <c r="L74" s="2787"/>
      <c r="M74" s="2895" t="s">
        <v>784</v>
      </c>
      <c r="N74" s="2397" t="s">
        <v>785</v>
      </c>
      <c r="O74" s="2416"/>
      <c r="P74" s="2393"/>
    </row>
    <row r="75" spans="1:16" ht="20.85" customHeight="1" x14ac:dyDescent="0.4">
      <c r="A75" s="2415" t="s">
        <v>913</v>
      </c>
      <c r="B75" s="2388" t="s">
        <v>915</v>
      </c>
      <c r="C75" s="2389">
        <v>7</v>
      </c>
      <c r="D75" s="2404" t="s">
        <v>907</v>
      </c>
      <c r="E75" s="2390" t="s">
        <v>916</v>
      </c>
      <c r="F75" s="2389" t="s">
        <v>844</v>
      </c>
      <c r="G75" s="2788" t="str">
        <f>IFERROR(HYPERLINK("https://logistics.amazon.co.jp/internal/operations/execution/itineraries?operationView=true&amp;provider=ALL_DRIVERS&amp;serviceAreaId="&amp;VLOOKUP($B75,'DS ID'!B:D,2,FALSE),$G$1),"")</f>
        <v>CORTEX ver2</v>
      </c>
      <c r="H75" s="2788" t="str">
        <f>IFERROR(HYPERLINK("https://logistics.amazon.co.jp/internal/capacity/rosterview?serviceAreaId="&amp;VLOOKUP($B75,'DS ID'!B:D,2,FALSE),$H$1),"")</f>
        <v>Roster</v>
      </c>
      <c r="I75" s="2788" t="str">
        <f>IFERROR(HYPERLINK("https://logistics.amazon.co.jp/internal/scheduling/dsps?serviceAreaId="&amp;VLOOKUP($B75,'DS ID'!B:D,2,FALSE),$I$1),"")</f>
        <v>SUI</v>
      </c>
      <c r="J75" s="2780"/>
      <c r="K75" s="2784"/>
      <c r="L75" s="2787"/>
      <c r="M75" s="2896"/>
      <c r="N75" s="2391" t="s">
        <v>785</v>
      </c>
      <c r="O75" s="2409"/>
      <c r="P75" s="2393"/>
    </row>
    <row r="76" spans="1:16" ht="20.85" customHeight="1" x14ac:dyDescent="0.4">
      <c r="A76" s="2415" t="s">
        <v>913</v>
      </c>
      <c r="B76" s="2388" t="s">
        <v>917</v>
      </c>
      <c r="C76" s="2389">
        <v>7</v>
      </c>
      <c r="D76" s="2404" t="s">
        <v>907</v>
      </c>
      <c r="E76" s="2390" t="s">
        <v>918</v>
      </c>
      <c r="F76" s="2389" t="s">
        <v>844</v>
      </c>
      <c r="G76" s="2788" t="str">
        <f>IFERROR(HYPERLINK("https://logistics.amazon.co.jp/internal/operations/execution/itineraries?operationView=true&amp;provider=ALL_DRIVERS&amp;serviceAreaId="&amp;VLOOKUP($B76,'DS ID'!B:D,2,FALSE),$G$1),"")</f>
        <v>CORTEX ver2</v>
      </c>
      <c r="H76" s="2788" t="str">
        <f>IFERROR(HYPERLINK("https://logistics.amazon.co.jp/internal/capacity/rosterview?serviceAreaId="&amp;VLOOKUP($B76,'DS ID'!B:D,2,FALSE),$H$1),"")</f>
        <v>Roster</v>
      </c>
      <c r="I76" s="2788" t="str">
        <f>IFERROR(HYPERLINK("https://logistics.amazon.co.jp/internal/scheduling/dsps?serviceAreaId="&amp;VLOOKUP($B76,'DS ID'!B:D,2,FALSE),$I$1),"")</f>
        <v>SUI</v>
      </c>
      <c r="J76" s="2780"/>
      <c r="K76" s="2784"/>
      <c r="L76" s="2787"/>
      <c r="M76" s="2897"/>
      <c r="N76" s="2391" t="s">
        <v>785</v>
      </c>
      <c r="O76" s="2409"/>
      <c r="P76" s="2393"/>
    </row>
    <row r="77" spans="1:16" x14ac:dyDescent="0.4">
      <c r="A77" s="2415" t="s">
        <v>919</v>
      </c>
      <c r="B77" s="2378" t="s">
        <v>709</v>
      </c>
      <c r="C77" s="2379">
        <v>1</v>
      </c>
      <c r="D77" s="2404" t="s">
        <v>920</v>
      </c>
      <c r="E77" s="2390" t="s">
        <v>921</v>
      </c>
      <c r="G77" s="2788" t="str">
        <f>IFERROR(HYPERLINK("https://logistics.amazon.co.jp/internal/operations/execution/itineraries?operationView=true&amp;provider=ALL_DRIVERS&amp;serviceAreaId="&amp;VLOOKUP($B77,'DS ID'!B:D,2,FALSE),$G$1),"")</f>
        <v>CORTEX ver2</v>
      </c>
      <c r="H77" s="2788" t="str">
        <f>IFERROR(HYPERLINK("https://logistics.amazon.co.jp/internal/capacity/rosterview?serviceAreaId="&amp;VLOOKUP($B77,'DS ID'!B:D,2,FALSE),$H$1),"")</f>
        <v>Roster</v>
      </c>
      <c r="I77" s="2788" t="str">
        <f>IFERROR(HYPERLINK("https://logistics.amazon.co.jp/internal/scheduling/dsps?serviceAreaId="&amp;VLOOKUP($B77,'DS ID'!B:D,2,FALSE),$I$1),"")</f>
        <v>SUI</v>
      </c>
      <c r="J77" s="2886" t="s">
        <v>835</v>
      </c>
      <c r="K77" s="2902" t="s">
        <v>783</v>
      </c>
      <c r="L77" s="2893"/>
      <c r="M77" s="2895" t="s">
        <v>783</v>
      </c>
      <c r="N77" s="2397" t="s">
        <v>785</v>
      </c>
      <c r="O77" s="2409"/>
      <c r="P77" s="2393"/>
    </row>
    <row r="78" spans="1:16" x14ac:dyDescent="0.4">
      <c r="A78" s="2415" t="s">
        <v>709</v>
      </c>
      <c r="B78" s="2378" t="s">
        <v>710</v>
      </c>
      <c r="C78" s="2379">
        <v>1</v>
      </c>
      <c r="D78" s="2404" t="s">
        <v>920</v>
      </c>
      <c r="E78" s="2390" t="s">
        <v>922</v>
      </c>
      <c r="F78" s="2379" t="s">
        <v>856</v>
      </c>
      <c r="G78" s="2788" t="str">
        <f>IFERROR(HYPERLINK("https://logistics.amazon.co.jp/internal/operations/execution/itineraries?operationView=true&amp;provider=ALL_DRIVERS&amp;serviceAreaId="&amp;VLOOKUP($B78,'DS ID'!B:D,2,FALSE),$G$1),"")</f>
        <v>CORTEX ver2</v>
      </c>
      <c r="H78" s="2788" t="str">
        <f>IFERROR(HYPERLINK("https://logistics.amazon.co.jp/internal/capacity/rosterview?serviceAreaId="&amp;VLOOKUP($B78,'DS ID'!B:D,2,FALSE),$H$1),"")</f>
        <v>Roster</v>
      </c>
      <c r="I78" s="2788" t="str">
        <f>IFERROR(HYPERLINK("https://logistics.amazon.co.jp/internal/scheduling/dsps?serviceAreaId="&amp;VLOOKUP($B78,'DS ID'!B:D,2,FALSE),$I$1),"")</f>
        <v>SUI</v>
      </c>
      <c r="J78" s="2886"/>
      <c r="K78" s="2903"/>
      <c r="L78" s="2894"/>
      <c r="M78" s="2896"/>
      <c r="N78" s="2397" t="s">
        <v>785</v>
      </c>
      <c r="O78" s="2395"/>
      <c r="P78" s="2393"/>
    </row>
    <row r="79" spans="1:16" x14ac:dyDescent="0.4">
      <c r="A79" s="2415" t="s">
        <v>709</v>
      </c>
      <c r="B79" s="2378" t="s">
        <v>711</v>
      </c>
      <c r="C79" s="2379">
        <v>1</v>
      </c>
      <c r="D79" s="2404" t="s">
        <v>920</v>
      </c>
      <c r="E79" s="2396" t="s">
        <v>923</v>
      </c>
      <c r="F79" s="2379" t="s">
        <v>847</v>
      </c>
      <c r="G79" s="2788" t="str">
        <f>IFERROR(HYPERLINK("https://logistics.amazon.co.jp/internal/operations/execution/itineraries?operationView=true&amp;provider=ALL_DRIVERS&amp;serviceAreaId="&amp;VLOOKUP($B79,'DS ID'!B:D,2,FALSE),$G$1),"")</f>
        <v>CORTEX ver2</v>
      </c>
      <c r="H79" s="2788" t="str">
        <f>IFERROR(HYPERLINK("https://logistics.amazon.co.jp/internal/capacity/rosterview?serviceAreaId="&amp;VLOOKUP($B79,'DS ID'!B:D,2,FALSE),$H$1),"")</f>
        <v>Roster</v>
      </c>
      <c r="I79" s="2788" t="str">
        <f>IFERROR(HYPERLINK("https://logistics.amazon.co.jp/internal/scheduling/dsps?serviceAreaId="&amp;VLOOKUP($B79,'DS ID'!B:D,2,FALSE),$I$1),"")</f>
        <v>SUI</v>
      </c>
      <c r="J79" s="2886"/>
      <c r="K79" s="2904"/>
      <c r="L79" s="2894"/>
      <c r="M79" s="2896"/>
      <c r="N79" s="2397" t="s">
        <v>785</v>
      </c>
      <c r="O79" s="2398"/>
      <c r="P79" s="2393"/>
    </row>
    <row r="80" spans="1:16" x14ac:dyDescent="0.4">
      <c r="A80" s="2415" t="s">
        <v>709</v>
      </c>
      <c r="B80" s="2378" t="s">
        <v>924</v>
      </c>
      <c r="C80" s="2379">
        <v>1</v>
      </c>
      <c r="D80" s="2404" t="s">
        <v>920</v>
      </c>
      <c r="E80" s="2396" t="s">
        <v>925</v>
      </c>
      <c r="F80" s="2379" t="s">
        <v>811</v>
      </c>
      <c r="G80" s="2788" t="str">
        <f>IFERROR(HYPERLINK("https://logistics.amazon.co.jp/internal/operations/execution/itineraries?operationView=true&amp;provider=ALL_DRIVERS&amp;serviceAreaId="&amp;VLOOKUP($B80,'DS ID'!B:D,2,FALSE),$G$1),"")</f>
        <v>CORTEX ver2</v>
      </c>
      <c r="H80" s="2788" t="str">
        <f>IFERROR(HYPERLINK("https://logistics.amazon.co.jp/internal/capacity/rosterview?serviceAreaId="&amp;VLOOKUP($B80,'DS ID'!B:D,2,FALSE),$H$1),"")</f>
        <v>Roster</v>
      </c>
      <c r="I80" s="2788" t="str">
        <f>IFERROR(HYPERLINK("https://logistics.amazon.co.jp/internal/scheduling/dsps?serviceAreaId="&amp;VLOOKUP($B80,'DS ID'!B:D,2,FALSE),$I$1),"")</f>
        <v>SUI</v>
      </c>
      <c r="J80" s="2780"/>
      <c r="K80" s="2783"/>
      <c r="L80" s="2899"/>
      <c r="M80" s="2897"/>
      <c r="N80" s="2397" t="s">
        <v>785</v>
      </c>
      <c r="O80" s="2398"/>
      <c r="P80" s="2393"/>
    </row>
    <row r="81" spans="1:16" x14ac:dyDescent="0.4">
      <c r="A81" s="2377" t="s">
        <v>926</v>
      </c>
      <c r="B81" s="2388" t="s">
        <v>713</v>
      </c>
      <c r="C81" s="2379">
        <v>1</v>
      </c>
      <c r="D81" s="2404" t="s">
        <v>920</v>
      </c>
      <c r="E81" s="2390" t="s">
        <v>927</v>
      </c>
      <c r="G81" s="2788" t="str">
        <f>IFERROR(HYPERLINK("https://logistics.amazon.co.jp/internal/operations/execution/itineraries?operationView=true&amp;provider=ALL_DRIVERS&amp;serviceAreaId="&amp;VLOOKUP($B81,'DS ID'!B:D,2,FALSE),$G$1),"")</f>
        <v>CORTEX ver2</v>
      </c>
      <c r="H81" s="2788" t="str">
        <f>IFERROR(HYPERLINK("https://logistics.amazon.co.jp/internal/capacity/rosterview?serviceAreaId="&amp;VLOOKUP($B81,'DS ID'!B:D,2,FALSE),$H$1),"")</f>
        <v>Roster</v>
      </c>
      <c r="I81" s="2788" t="str">
        <f>IFERROR(HYPERLINK("https://logistics.amazon.co.jp/internal/scheduling/dsps?serviceAreaId="&amp;VLOOKUP($B81,'DS ID'!B:D,2,FALSE),$I$1),"")</f>
        <v>SUI</v>
      </c>
      <c r="J81" s="2886"/>
      <c r="K81" s="2902" t="s">
        <v>784</v>
      </c>
      <c r="L81" s="2900"/>
      <c r="M81" s="2901" t="s">
        <v>783</v>
      </c>
      <c r="N81" s="2405" t="s">
        <v>785</v>
      </c>
      <c r="O81" s="2395"/>
      <c r="P81" s="2393"/>
    </row>
    <row r="82" spans="1:16" x14ac:dyDescent="0.4">
      <c r="A82" s="2377" t="s">
        <v>713</v>
      </c>
      <c r="B82" s="2378" t="s">
        <v>714</v>
      </c>
      <c r="C82" s="2379">
        <v>1</v>
      </c>
      <c r="D82" s="2404" t="s">
        <v>920</v>
      </c>
      <c r="E82" s="2390" t="s">
        <v>928</v>
      </c>
      <c r="F82" s="2379" t="s">
        <v>844</v>
      </c>
      <c r="G82" s="2788" t="str">
        <f>IFERROR(HYPERLINK("https://logistics.amazon.co.jp/internal/operations/execution/itineraries?operationView=true&amp;provider=ALL_DRIVERS&amp;serviceAreaId="&amp;VLOOKUP($B82,'DS ID'!B:D,2,FALSE),$G$1),"")</f>
        <v>CORTEX ver2</v>
      </c>
      <c r="H82" s="2788" t="str">
        <f>IFERROR(HYPERLINK("https://logistics.amazon.co.jp/internal/capacity/rosterview?serviceAreaId="&amp;VLOOKUP($B82,'DS ID'!B:D,2,FALSE),$H$1),"")</f>
        <v>Roster</v>
      </c>
      <c r="I82" s="2788" t="str">
        <f>IFERROR(HYPERLINK("https://logistics.amazon.co.jp/internal/scheduling/dsps?serviceAreaId="&amp;VLOOKUP($B82,'DS ID'!B:D,2,FALSE),$I$1),"")</f>
        <v>SUI</v>
      </c>
      <c r="J82" s="2886"/>
      <c r="K82" s="2903"/>
      <c r="L82" s="2900"/>
      <c r="M82" s="2901"/>
      <c r="N82" s="2397" t="s">
        <v>785</v>
      </c>
      <c r="O82" s="2395"/>
      <c r="P82" s="2393"/>
    </row>
    <row r="83" spans="1:16" x14ac:dyDescent="0.4">
      <c r="A83" s="2377" t="s">
        <v>713</v>
      </c>
      <c r="B83" s="2388" t="s">
        <v>929</v>
      </c>
      <c r="C83" s="2379">
        <v>1</v>
      </c>
      <c r="D83" s="2404" t="s">
        <v>920</v>
      </c>
      <c r="E83" s="2390" t="s">
        <v>930</v>
      </c>
      <c r="G83" s="2788" t="str">
        <f>IFERROR(HYPERLINK("https://logistics.amazon.co.jp/internal/operations/execution/itineraries?operationView=true&amp;provider=ALL_DRIVERS&amp;serviceAreaId="&amp;VLOOKUP($B83,'DS ID'!B:D,2,FALSE),$G$1),"")</f>
        <v>CORTEX ver2</v>
      </c>
      <c r="H83" s="2788" t="str">
        <f>IFERROR(HYPERLINK("https://logistics.amazon.co.jp/internal/capacity/rosterview?serviceAreaId="&amp;VLOOKUP($B83,'DS ID'!B:D,2,FALSE),$H$1),"")</f>
        <v>Roster</v>
      </c>
      <c r="I83" s="2788" t="str">
        <f>IFERROR(HYPERLINK("https://logistics.amazon.co.jp/internal/scheduling/dsps?serviceAreaId="&amp;VLOOKUP($B83,'DS ID'!B:D,2,FALSE),$I$1),"")</f>
        <v>SUI</v>
      </c>
      <c r="J83" s="2886"/>
      <c r="K83" s="2904"/>
      <c r="L83" s="2900"/>
      <c r="M83" s="2901"/>
      <c r="N83" s="2391" t="s">
        <v>785</v>
      </c>
      <c r="O83" s="2395"/>
      <c r="P83" s="2417"/>
    </row>
    <row r="84" spans="1:16" x14ac:dyDescent="0.4">
      <c r="A84" s="2394" t="s">
        <v>931</v>
      </c>
      <c r="B84" s="2378" t="s">
        <v>931</v>
      </c>
      <c r="C84" s="2379">
        <v>1</v>
      </c>
      <c r="D84" s="2404" t="s">
        <v>932</v>
      </c>
      <c r="E84" s="2412" t="s">
        <v>933</v>
      </c>
      <c r="G84" s="2788" t="str">
        <f>IFERROR(HYPERLINK("https://logistics.amazon.co.jp/internal/operations/execution/itineraries?operationView=true&amp;provider=ALL_DRIVERS&amp;serviceAreaId="&amp;VLOOKUP($B84,'DS ID'!B:D,2,FALSE),$G$1),"")</f>
        <v>CORTEX ver2</v>
      </c>
      <c r="H84" s="2788" t="str">
        <f>IFERROR(HYPERLINK("https://logistics.amazon.co.jp/internal/capacity/rosterview?serviceAreaId="&amp;VLOOKUP($B84,'DS ID'!B:D,2,FALSE),$H$1),"")</f>
        <v>Roster</v>
      </c>
      <c r="I84" s="2788" t="str">
        <f>IFERROR(HYPERLINK("https://logistics.amazon.co.jp/internal/scheduling/dsps?serviceAreaId="&amp;VLOOKUP($B84,'DS ID'!B:D,2,FALSE),$I$1),"")</f>
        <v>SUI</v>
      </c>
      <c r="J84" s="2400"/>
      <c r="K84" s="2400"/>
      <c r="L84" s="2400"/>
      <c r="M84" s="2895" t="s">
        <v>784</v>
      </c>
      <c r="N84" s="2391" t="s">
        <v>785</v>
      </c>
      <c r="O84" s="2416"/>
      <c r="P84" s="2393"/>
    </row>
    <row r="85" spans="1:16" ht="22.35" customHeight="1" x14ac:dyDescent="0.4">
      <c r="A85" s="2394" t="s">
        <v>931</v>
      </c>
      <c r="B85" s="2388" t="s">
        <v>934</v>
      </c>
      <c r="C85" s="2379">
        <v>1</v>
      </c>
      <c r="D85" s="2388" t="s">
        <v>932</v>
      </c>
      <c r="E85" s="2390" t="s">
        <v>933</v>
      </c>
      <c r="G85" s="2788" t="str">
        <f>IFERROR(HYPERLINK("https://logistics.amazon.co.jp/internal/operations/execution/itineraries?operationView=true&amp;provider=ALL_DRIVERS&amp;serviceAreaId="&amp;VLOOKUP($B85,'DS ID'!B:D,2,FALSE),$G$1),"")</f>
        <v>CORTEX ver2</v>
      </c>
      <c r="H85" s="2788" t="str">
        <f>IFERROR(HYPERLINK("https://logistics.amazon.co.jp/internal/capacity/rosterview?serviceAreaId="&amp;VLOOKUP($B85,'DS ID'!B:D,2,FALSE),$H$1),"")</f>
        <v>Roster</v>
      </c>
      <c r="I85" s="2788" t="str">
        <f>IFERROR(HYPERLINK("https://logistics.amazon.co.jp/internal/scheduling/dsps?serviceAreaId="&amp;VLOOKUP($B85,'DS ID'!B:D,2,FALSE),$I$1),"")</f>
        <v>SUI</v>
      </c>
      <c r="J85" s="2418"/>
      <c r="K85" s="2418"/>
      <c r="L85" s="2418"/>
      <c r="M85" s="2896"/>
      <c r="N85" s="2397" t="s">
        <v>785</v>
      </c>
      <c r="O85" s="2409"/>
      <c r="P85" s="2393"/>
    </row>
    <row r="86" spans="1:16" ht="22.35" customHeight="1" x14ac:dyDescent="0.4">
      <c r="A86" s="2394" t="s">
        <v>931</v>
      </c>
      <c r="B86" s="2388" t="s">
        <v>935</v>
      </c>
      <c r="C86" s="2379">
        <v>1</v>
      </c>
      <c r="D86" s="2388" t="s">
        <v>932</v>
      </c>
      <c r="E86" s="2390" t="s">
        <v>933</v>
      </c>
      <c r="G86" s="2788" t="str">
        <f>IFERROR(HYPERLINK("https://logistics.amazon.co.jp/internal/operations/execution/itineraries?operationView=true&amp;provider=ALL_DRIVERS&amp;serviceAreaId="&amp;VLOOKUP($B86,'DS ID'!B:D,2,FALSE),$G$1),"")</f>
        <v>CORTEX ver2</v>
      </c>
      <c r="H86" s="2788" t="str">
        <f>IFERROR(HYPERLINK("https://logistics.amazon.co.jp/internal/capacity/rosterview?serviceAreaId="&amp;VLOOKUP($B86,'DS ID'!B:D,2,FALSE),$H$1),"")</f>
        <v>Roster</v>
      </c>
      <c r="I86" s="2788" t="str">
        <f>IFERROR(HYPERLINK("https://logistics.amazon.co.jp/internal/scheduling/dsps?serviceAreaId="&amp;VLOOKUP($B86,'DS ID'!B:D,2,FALSE),$I$1),"")</f>
        <v>SUI</v>
      </c>
      <c r="J86" s="2418"/>
      <c r="K86" s="2418"/>
      <c r="L86" s="2418"/>
      <c r="M86" s="2897"/>
      <c r="N86" s="2397" t="s">
        <v>785</v>
      </c>
      <c r="O86" s="2409"/>
      <c r="P86" s="2393"/>
    </row>
    <row r="87" spans="1:16" x14ac:dyDescent="0.4">
      <c r="A87" s="2377" t="s">
        <v>936</v>
      </c>
      <c r="B87" s="2378" t="s">
        <v>719</v>
      </c>
      <c r="C87" s="2379">
        <v>1</v>
      </c>
      <c r="D87" s="2404" t="s">
        <v>920</v>
      </c>
      <c r="E87" s="2390" t="s">
        <v>937</v>
      </c>
      <c r="G87" s="2788" t="str">
        <f>IFERROR(HYPERLINK("https://logistics.amazon.co.jp/internal/operations/execution/itineraries?operationView=true&amp;provider=ALL_DRIVERS&amp;serviceAreaId="&amp;VLOOKUP($B87,'DS ID'!B:D,2,FALSE),$G$1),"")</f>
        <v>CORTEX ver2</v>
      </c>
      <c r="H87" s="2788" t="str">
        <f>IFERROR(HYPERLINK("https://logistics.amazon.co.jp/internal/capacity/rosterview?serviceAreaId="&amp;VLOOKUP($B87,'DS ID'!B:D,2,FALSE),$H$1),"")</f>
        <v>Roster</v>
      </c>
      <c r="I87" s="2788" t="str">
        <f>IFERROR(HYPERLINK("https://logistics.amazon.co.jp/internal/scheduling/dsps?serviceAreaId="&amp;VLOOKUP($B87,'DS ID'!B:D,2,FALSE),$I$1),"")</f>
        <v>SUI</v>
      </c>
      <c r="J87" s="2886" t="s">
        <v>835</v>
      </c>
      <c r="K87" s="2902" t="s">
        <v>783</v>
      </c>
      <c r="L87" s="2900"/>
      <c r="M87" s="2895" t="s">
        <v>783</v>
      </c>
      <c r="N87" s="2397" t="s">
        <v>785</v>
      </c>
      <c r="O87" s="2395"/>
      <c r="P87" s="2393"/>
    </row>
    <row r="88" spans="1:16" x14ac:dyDescent="0.4">
      <c r="A88" s="2377" t="s">
        <v>936</v>
      </c>
      <c r="B88" s="2378" t="s">
        <v>720</v>
      </c>
      <c r="C88" s="2379">
        <v>1</v>
      </c>
      <c r="D88" s="2404" t="s">
        <v>920</v>
      </c>
      <c r="E88" s="2390" t="s">
        <v>938</v>
      </c>
      <c r="F88" s="2379" t="s">
        <v>844</v>
      </c>
      <c r="G88" s="2788" t="str">
        <f>IFERROR(HYPERLINK("https://logistics.amazon.co.jp/internal/operations/execution/itineraries?operationView=true&amp;provider=ALL_DRIVERS&amp;serviceAreaId="&amp;VLOOKUP($B88,'DS ID'!B:D,2,FALSE),$G$1),"")</f>
        <v>CORTEX ver2</v>
      </c>
      <c r="H88" s="2788" t="str">
        <f>IFERROR(HYPERLINK("https://logistics.amazon.co.jp/internal/capacity/rosterview?serviceAreaId="&amp;VLOOKUP($B88,'DS ID'!B:D,2,FALSE),$H$1),"")</f>
        <v>Roster</v>
      </c>
      <c r="I88" s="2788" t="str">
        <f>IFERROR(HYPERLINK("https://logistics.amazon.co.jp/internal/scheduling/dsps?serviceAreaId="&amp;VLOOKUP($B88,'DS ID'!B:D,2,FALSE),$I$1),"")</f>
        <v>SUI</v>
      </c>
      <c r="J88" s="2886"/>
      <c r="K88" s="2903"/>
      <c r="L88" s="2900"/>
      <c r="M88" s="2896"/>
      <c r="N88" s="2397" t="s">
        <v>785</v>
      </c>
      <c r="O88" s="2395"/>
      <c r="P88" s="2393"/>
    </row>
    <row r="89" spans="1:16" x14ac:dyDescent="0.4">
      <c r="A89" s="2377" t="s">
        <v>936</v>
      </c>
      <c r="B89" s="2378" t="s">
        <v>939</v>
      </c>
      <c r="C89" s="2379">
        <v>1</v>
      </c>
      <c r="D89" s="2404" t="s">
        <v>920</v>
      </c>
      <c r="E89" s="2390" t="s">
        <v>938</v>
      </c>
      <c r="F89" s="2379" t="s">
        <v>820</v>
      </c>
      <c r="G89" s="2788" t="str">
        <f>IFERROR(HYPERLINK("https://logistics.amazon.co.jp/internal/operations/execution/itineraries?operationView=true&amp;provider=ALL_DRIVERS&amp;serviceAreaId="&amp;VLOOKUP($B89,'DS ID'!B:D,2,FALSE),$G$1),"")</f>
        <v>CORTEX ver2</v>
      </c>
      <c r="H89" s="2788" t="str">
        <f>IFERROR(HYPERLINK("https://logistics.amazon.co.jp/internal/capacity/rosterview?serviceAreaId="&amp;VLOOKUP($B89,'DS ID'!B:D,2,FALSE),$H$1),"")</f>
        <v>Roster</v>
      </c>
      <c r="I89" s="2788" t="str">
        <f>IFERROR(HYPERLINK("https://logistics.amazon.co.jp/internal/scheduling/dsps?serviceAreaId="&amp;VLOOKUP($B89,'DS ID'!B:D,2,FALSE),$I$1),"")</f>
        <v>SUI</v>
      </c>
      <c r="J89" s="2886"/>
      <c r="K89" s="2903"/>
      <c r="L89" s="2900"/>
      <c r="M89" s="2896"/>
      <c r="N89" s="2397" t="s">
        <v>785</v>
      </c>
      <c r="O89" s="2395"/>
      <c r="P89" s="2393"/>
    </row>
    <row r="90" spans="1:16" x14ac:dyDescent="0.4">
      <c r="A90" s="2377" t="s">
        <v>936</v>
      </c>
      <c r="B90" s="2378" t="s">
        <v>722</v>
      </c>
      <c r="C90" s="2379">
        <v>1</v>
      </c>
      <c r="D90" s="2404" t="s">
        <v>920</v>
      </c>
      <c r="E90" s="2390" t="s">
        <v>940</v>
      </c>
      <c r="F90" s="2379" t="s">
        <v>856</v>
      </c>
      <c r="G90" s="2788" t="str">
        <f>IFERROR(HYPERLINK("https://logistics.amazon.co.jp/internal/operations/execution/itineraries?operationView=true&amp;provider=ALL_DRIVERS&amp;serviceAreaId="&amp;VLOOKUP($B90,'DS ID'!B:D,2,FALSE),$G$1),"")</f>
        <v>CORTEX ver2</v>
      </c>
      <c r="H90" s="2788" t="str">
        <f>IFERROR(HYPERLINK("https://logistics.amazon.co.jp/internal/capacity/rosterview?serviceAreaId="&amp;VLOOKUP($B90,'DS ID'!B:D,2,FALSE),$H$1),"")</f>
        <v>Roster</v>
      </c>
      <c r="I90" s="2788" t="str">
        <f>IFERROR(HYPERLINK("https://logistics.amazon.co.jp/internal/scheduling/dsps?serviceAreaId="&amp;VLOOKUP($B90,'DS ID'!B:D,2,FALSE),$I$1),"")</f>
        <v>SUI</v>
      </c>
      <c r="J90" s="2886"/>
      <c r="K90" s="2903"/>
      <c r="L90" s="2900"/>
      <c r="M90" s="2896"/>
      <c r="N90" s="2397" t="s">
        <v>785</v>
      </c>
      <c r="O90" s="2395"/>
      <c r="P90" s="2393"/>
    </row>
    <row r="91" spans="1:16" ht="20.85" customHeight="1" x14ac:dyDescent="0.4">
      <c r="A91" s="2377" t="s">
        <v>936</v>
      </c>
      <c r="B91" s="2388" t="s">
        <v>723</v>
      </c>
      <c r="C91" s="2379">
        <v>1</v>
      </c>
      <c r="D91" s="2404" t="s">
        <v>920</v>
      </c>
      <c r="E91" s="2390" t="s">
        <v>941</v>
      </c>
      <c r="F91" s="2389" t="s">
        <v>942</v>
      </c>
      <c r="G91" s="2788" t="str">
        <f>IFERROR(HYPERLINK("https://logistics.amazon.co.jp/internal/operations/execution/itineraries?operationView=true&amp;provider=ALL_DRIVERS&amp;serviceAreaId="&amp;VLOOKUP($B91,'DS ID'!B:D,2,FALSE),$G$1),"")</f>
        <v>CORTEX ver2</v>
      </c>
      <c r="H91" s="2788" t="str">
        <f>IFERROR(HYPERLINK("https://logistics.amazon.co.jp/internal/capacity/rosterview?serviceAreaId="&amp;VLOOKUP($B91,'DS ID'!B:D,2,FALSE),$H$1),"")</f>
        <v>Roster</v>
      </c>
      <c r="I91" s="2788" t="str">
        <f>IFERROR(HYPERLINK("https://logistics.amazon.co.jp/internal/scheduling/dsps?serviceAreaId="&amp;VLOOKUP($B91,'DS ID'!B:D,2,FALSE),$I$1),"")</f>
        <v>SUI</v>
      </c>
      <c r="J91" s="2886"/>
      <c r="K91" s="2903"/>
      <c r="L91" s="2900"/>
      <c r="M91" s="2896"/>
      <c r="N91" s="2391" t="s">
        <v>785</v>
      </c>
      <c r="O91" s="2395"/>
      <c r="P91" s="2393"/>
    </row>
    <row r="92" spans="1:16" ht="20.85" customHeight="1" x14ac:dyDescent="0.4">
      <c r="A92" s="2377" t="s">
        <v>936</v>
      </c>
      <c r="B92" s="2388" t="s">
        <v>724</v>
      </c>
      <c r="C92" s="2379">
        <v>1</v>
      </c>
      <c r="D92" s="2404" t="s">
        <v>920</v>
      </c>
      <c r="E92" s="2390" t="s">
        <v>943</v>
      </c>
      <c r="F92" s="2389" t="s">
        <v>785</v>
      </c>
      <c r="G92" s="2788" t="str">
        <f>IFERROR(HYPERLINK("https://logistics.amazon.co.jp/internal/operations/execution/itineraries?operationView=true&amp;provider=ALL_DRIVERS&amp;serviceAreaId="&amp;VLOOKUP($B92,'DS ID'!B:D,2,FALSE),$G$1),"")</f>
        <v>CORTEX ver2</v>
      </c>
      <c r="H92" s="2788" t="str">
        <f>IFERROR(HYPERLINK("https://logistics.amazon.co.jp/internal/capacity/rosterview?serviceAreaId="&amp;VLOOKUP($B92,'DS ID'!B:D,2,FALSE),$H$1),"")</f>
        <v>Roster</v>
      </c>
      <c r="I92" s="2788" t="str">
        <f>IFERROR(HYPERLINK("https://logistics.amazon.co.jp/internal/scheduling/dsps?serviceAreaId="&amp;VLOOKUP($B92,'DS ID'!B:D,2,FALSE),$I$1),"")</f>
        <v>SUI</v>
      </c>
      <c r="J92" s="2886"/>
      <c r="K92" s="2903"/>
      <c r="L92" s="2900"/>
      <c r="M92" s="2896"/>
      <c r="N92" s="2391" t="s">
        <v>785</v>
      </c>
      <c r="O92" s="2395"/>
      <c r="P92" s="2393"/>
    </row>
    <row r="93" spans="1:16" ht="20.85" customHeight="1" x14ac:dyDescent="0.4">
      <c r="A93" s="2377" t="s">
        <v>936</v>
      </c>
      <c r="B93" s="2388" t="s">
        <v>944</v>
      </c>
      <c r="C93" s="2379">
        <v>1</v>
      </c>
      <c r="D93" s="2404" t="s">
        <v>920</v>
      </c>
      <c r="E93" s="2390" t="s">
        <v>945</v>
      </c>
      <c r="F93" s="2389" t="s">
        <v>867</v>
      </c>
      <c r="G93" s="2788" t="str">
        <f>IFERROR(HYPERLINK("https://logistics.amazon.co.jp/internal/operations/execution/itineraries?operationView=true&amp;provider=ALL_DRIVERS&amp;serviceAreaId="&amp;VLOOKUP($B93,'DS ID'!B:D,2,FALSE),$G$1),"")</f>
        <v>CORTEX ver2</v>
      </c>
      <c r="H93" s="2788" t="str">
        <f>IFERROR(HYPERLINK("https://logistics.amazon.co.jp/internal/capacity/rosterview?serviceAreaId="&amp;VLOOKUP($B93,'DS ID'!B:D,2,FALSE),$H$1),"")</f>
        <v>Roster</v>
      </c>
      <c r="I93" s="2788" t="str">
        <f>IFERROR(HYPERLINK("https://logistics.amazon.co.jp/internal/scheduling/dsps?serviceAreaId="&amp;VLOOKUP($B93,'DS ID'!B:D,2,FALSE),$I$1),"")</f>
        <v>SUI</v>
      </c>
      <c r="J93" s="2886"/>
      <c r="K93" s="2783"/>
      <c r="L93" s="2783"/>
      <c r="M93" s="2896"/>
      <c r="N93" s="2391" t="s">
        <v>785</v>
      </c>
      <c r="O93" s="2395"/>
      <c r="P93" s="2393"/>
    </row>
    <row r="94" spans="1:16" ht="20.85" customHeight="1" x14ac:dyDescent="0.4">
      <c r="A94" s="2377" t="s">
        <v>946</v>
      </c>
      <c r="B94" s="2388" t="s">
        <v>946</v>
      </c>
      <c r="C94" s="2379">
        <v>3</v>
      </c>
      <c r="D94" s="2404" t="s">
        <v>839</v>
      </c>
      <c r="E94" s="2390" t="s">
        <v>947</v>
      </c>
      <c r="F94" s="2389"/>
      <c r="G94" s="2788" t="str">
        <f>IFERROR(HYPERLINK("https://logistics.amazon.co.jp/internal/operations/execution/itineraries?operationView=true&amp;provider=ALL_DRIVERS&amp;serviceAreaId="&amp;VLOOKUP($B94,'DS ID'!B:D,2,FALSE),$G$1),"")</f>
        <v>CORTEX ver2</v>
      </c>
      <c r="H94" s="2788" t="str">
        <f>IFERROR(HYPERLINK("https://logistics.amazon.co.jp/internal/capacity/rosterview?serviceAreaId="&amp;VLOOKUP($B94,'DS ID'!B:D,2,FALSE),$H$1),"")</f>
        <v>Roster</v>
      </c>
      <c r="I94" s="2788" t="str">
        <f>IFERROR(HYPERLINK("https://logistics.amazon.co.jp/internal/scheduling/dsps?serviceAreaId="&amp;VLOOKUP($B94,'DS ID'!B:D,2,FALSE),$I$1),"")</f>
        <v>SUI</v>
      </c>
      <c r="J94" s="2780"/>
      <c r="K94" s="2783"/>
      <c r="L94" s="2783"/>
      <c r="M94" s="2895" t="s">
        <v>783</v>
      </c>
      <c r="N94" s="2391" t="s">
        <v>785</v>
      </c>
      <c r="O94" s="2416"/>
      <c r="P94" s="2393"/>
    </row>
    <row r="95" spans="1:16" ht="20.85" customHeight="1" x14ac:dyDescent="0.4">
      <c r="A95" s="2377" t="s">
        <v>946</v>
      </c>
      <c r="B95" s="2388" t="s">
        <v>948</v>
      </c>
      <c r="C95" s="2379">
        <v>3</v>
      </c>
      <c r="D95" s="2404" t="s">
        <v>839</v>
      </c>
      <c r="E95" s="2390" t="s">
        <v>947</v>
      </c>
      <c r="F95" s="2389"/>
      <c r="G95" s="2788" t="str">
        <f>IFERROR(HYPERLINK("https://logistics.amazon.co.jp/internal/operations/execution/itineraries?operationView=true&amp;provider=ALL_DRIVERS&amp;serviceAreaId="&amp;VLOOKUP($B95,'DS ID'!B:D,2,FALSE),$G$1),"")</f>
        <v>CORTEX ver2</v>
      </c>
      <c r="H95" s="2788" t="str">
        <f>IFERROR(HYPERLINK("https://logistics.amazon.co.jp/internal/capacity/rosterview?serviceAreaId="&amp;VLOOKUP($B95,'DS ID'!B:D,2,FALSE),$H$1),"")</f>
        <v>Roster</v>
      </c>
      <c r="I95" s="2788" t="str">
        <f>IFERROR(HYPERLINK("https://logistics.amazon.co.jp/internal/scheduling/dsps?serviceAreaId="&amp;VLOOKUP($B95,'DS ID'!B:D,2,FALSE),$I$1),"")</f>
        <v>SUI</v>
      </c>
      <c r="J95" s="2780"/>
      <c r="K95" s="2783"/>
      <c r="L95" s="2783"/>
      <c r="M95" s="2896"/>
      <c r="N95" s="2391" t="s">
        <v>785</v>
      </c>
      <c r="O95" s="2398"/>
      <c r="P95" s="2393"/>
    </row>
    <row r="96" spans="1:16" ht="20.100000000000001" customHeight="1" x14ac:dyDescent="0.4">
      <c r="A96" s="2377" t="s">
        <v>946</v>
      </c>
      <c r="B96" s="2378" t="s">
        <v>728</v>
      </c>
      <c r="C96" s="2389">
        <v>3</v>
      </c>
      <c r="D96" s="2394" t="s">
        <v>833</v>
      </c>
      <c r="E96" s="2396" t="s">
        <v>949</v>
      </c>
      <c r="G96" s="2788" t="str">
        <f>IFERROR(HYPERLINK("https://logistics.amazon.co.jp/internal/operations/execution/itineraries?operationView=true&amp;provider=ALL_DRIVERS&amp;serviceAreaId="&amp;VLOOKUP($B96,'DS ID'!B:D,2,FALSE),$G$1),"")</f>
        <v>CORTEX ver2</v>
      </c>
      <c r="H96" s="2788" t="str">
        <f>IFERROR(HYPERLINK("https://logistics.amazon.co.jp/internal/capacity/rosterview?serviceAreaId="&amp;VLOOKUP($B96,'DS ID'!B:D,2,FALSE),$H$1),"")</f>
        <v>Roster</v>
      </c>
      <c r="I96" s="2788" t="str">
        <f>IFERROR(HYPERLINK("https://logistics.amazon.co.jp/internal/scheduling/dsps?serviceAreaId="&amp;VLOOKUP($B96,'DS ID'!B:D,2,FALSE),$I$1),"")</f>
        <v>SUI</v>
      </c>
      <c r="J96" s="2780"/>
      <c r="K96" s="2783"/>
      <c r="L96" s="2783"/>
      <c r="M96" s="2897"/>
      <c r="N96" s="2397" t="s">
        <v>785</v>
      </c>
      <c r="O96" s="2398"/>
      <c r="P96" s="2393"/>
    </row>
    <row r="97" spans="1:16" x14ac:dyDescent="0.4">
      <c r="A97" s="2377" t="s">
        <v>950</v>
      </c>
      <c r="B97" s="2388" t="s">
        <v>729</v>
      </c>
      <c r="C97" s="2389">
        <v>3</v>
      </c>
      <c r="D97" s="2388" t="s">
        <v>833</v>
      </c>
      <c r="E97" s="2390" t="s">
        <v>951</v>
      </c>
      <c r="G97" s="2788" t="str">
        <f>IFERROR(HYPERLINK("https://logistics.amazon.co.jp/internal/operations/execution/itineraries?operationView=true&amp;provider=ALL_DRIVERS&amp;serviceAreaId="&amp;VLOOKUP($B97,'DS ID'!B:D,2,FALSE),$G$1),"")</f>
        <v>CORTEX ver2</v>
      </c>
      <c r="H97" s="2788" t="str">
        <f>IFERROR(HYPERLINK("https://logistics.amazon.co.jp/internal/capacity/rosterview?serviceAreaId="&amp;VLOOKUP($B97,'DS ID'!B:D,2,FALSE),$H$1),"")</f>
        <v>Roster</v>
      </c>
      <c r="I97" s="2788" t="str">
        <f>IFERROR(HYPERLINK("https://logistics.amazon.co.jp/internal/scheduling/dsps?serviceAreaId="&amp;VLOOKUP($B97,'DS ID'!B:D,2,FALSE),$I$1),"")</f>
        <v>SUI</v>
      </c>
      <c r="J97" s="2886" t="s">
        <v>835</v>
      </c>
      <c r="K97" s="2782"/>
      <c r="L97" s="2893"/>
      <c r="M97" s="2895" t="s">
        <v>783</v>
      </c>
      <c r="N97" s="2391" t="s">
        <v>785</v>
      </c>
      <c r="O97" s="2395"/>
      <c r="P97" s="2393"/>
    </row>
    <row r="98" spans="1:16" x14ac:dyDescent="0.4">
      <c r="A98" s="2377" t="s">
        <v>729</v>
      </c>
      <c r="B98" s="2388" t="s">
        <v>730</v>
      </c>
      <c r="C98" s="2389">
        <v>3</v>
      </c>
      <c r="D98" s="2388" t="s">
        <v>833</v>
      </c>
      <c r="E98" s="2390" t="s">
        <v>951</v>
      </c>
      <c r="F98" s="2379" t="s">
        <v>843</v>
      </c>
      <c r="G98" s="2788" t="str">
        <f>IFERROR(HYPERLINK("https://logistics.amazon.co.jp/internal/operations/execution/itineraries?operationView=true&amp;provider=ALL_DRIVERS&amp;serviceAreaId="&amp;VLOOKUP($B98,'DS ID'!B:D,2,FALSE),$G$1),"")</f>
        <v>CORTEX ver2</v>
      </c>
      <c r="H98" s="2788" t="str">
        <f>IFERROR(HYPERLINK("https://logistics.amazon.co.jp/internal/capacity/rosterview?serviceAreaId="&amp;VLOOKUP($B98,'DS ID'!B:D,2,FALSE),$H$1),"")</f>
        <v>Roster</v>
      </c>
      <c r="I98" s="2788" t="str">
        <f>IFERROR(HYPERLINK("https://logistics.amazon.co.jp/internal/scheduling/dsps?serviceAreaId="&amp;VLOOKUP($B98,'DS ID'!B:D,2,FALSE),$I$1),"")</f>
        <v>SUI</v>
      </c>
      <c r="J98" s="2886"/>
      <c r="K98" s="2783"/>
      <c r="L98" s="2894"/>
      <c r="M98" s="2896"/>
      <c r="N98" s="2405" t="s">
        <v>785</v>
      </c>
      <c r="O98" s="2410"/>
      <c r="P98" s="2393"/>
    </row>
    <row r="99" spans="1:16" x14ac:dyDescent="0.4">
      <c r="A99" s="2377" t="s">
        <v>729</v>
      </c>
      <c r="B99" s="2394" t="s">
        <v>731</v>
      </c>
      <c r="C99" s="2389">
        <v>3</v>
      </c>
      <c r="D99" s="2394" t="s">
        <v>833</v>
      </c>
      <c r="E99" s="2396" t="s">
        <v>951</v>
      </c>
      <c r="F99" s="2379" t="s">
        <v>847</v>
      </c>
      <c r="G99" s="2788" t="str">
        <f>IFERROR(HYPERLINK("https://logistics.amazon.co.jp/internal/operations/execution/itineraries?operationView=true&amp;provider=ALL_DRIVERS&amp;serviceAreaId="&amp;VLOOKUP($B99,'DS ID'!B:D,2,FALSE),$G$1),"")</f>
        <v>CORTEX ver2</v>
      </c>
      <c r="H99" s="2788" t="str">
        <f>IFERROR(HYPERLINK("https://logistics.amazon.co.jp/internal/capacity/rosterview?serviceAreaId="&amp;VLOOKUP($B99,'DS ID'!B:D,2,FALSE),$H$1),"")</f>
        <v>Roster</v>
      </c>
      <c r="I99" s="2788" t="str">
        <f>IFERROR(HYPERLINK("https://logistics.amazon.co.jp/internal/scheduling/dsps?serviceAreaId="&amp;VLOOKUP($B99,'DS ID'!B:D,2,FALSE),$I$1),"")</f>
        <v>SUI</v>
      </c>
      <c r="J99" s="2886"/>
      <c r="K99" s="2784"/>
      <c r="L99" s="2894"/>
      <c r="M99" s="2896"/>
      <c r="N99" s="2397" t="s">
        <v>785</v>
      </c>
      <c r="O99" s="2398"/>
      <c r="P99" s="2393"/>
    </row>
    <row r="100" spans="1:16" ht="20.100000000000001" customHeight="1" x14ac:dyDescent="0.4">
      <c r="A100" s="2377" t="s">
        <v>952</v>
      </c>
      <c r="B100" s="2388" t="s">
        <v>732</v>
      </c>
      <c r="C100" s="2389">
        <v>3</v>
      </c>
      <c r="D100" s="2388" t="s">
        <v>833</v>
      </c>
      <c r="E100" s="2390" t="s">
        <v>953</v>
      </c>
      <c r="G100" s="2788" t="str">
        <f>IFERROR(HYPERLINK("https://logistics.amazon.co.jp/internal/operations/execution/itineraries?operationView=true&amp;provider=ALL_DRIVERS&amp;serviceAreaId="&amp;VLOOKUP($B100,'DS ID'!B:D,2,FALSE),$G$1),"")</f>
        <v>CORTEX ver2</v>
      </c>
      <c r="H100" s="2788" t="str">
        <f>IFERROR(HYPERLINK("https://logistics.amazon.co.jp/internal/capacity/rosterview?serviceAreaId="&amp;VLOOKUP($B100,'DS ID'!B:D,2,FALSE),$H$1),"")</f>
        <v>Roster</v>
      </c>
      <c r="I100" s="2788" t="str">
        <f>IFERROR(HYPERLINK("https://logistics.amazon.co.jp/internal/scheduling/dsps?serviceAreaId="&amp;VLOOKUP($B100,'DS ID'!B:D,2,FALSE),$I$1),"")</f>
        <v>SUI</v>
      </c>
      <c r="J100" s="2886" t="s">
        <v>835</v>
      </c>
      <c r="K100" s="2782"/>
      <c r="L100" s="2893"/>
      <c r="M100" s="2895" t="s">
        <v>861</v>
      </c>
      <c r="N100" s="2405" t="s">
        <v>785</v>
      </c>
      <c r="O100" s="2395"/>
      <c r="P100" s="2393"/>
    </row>
    <row r="101" spans="1:16" ht="20.100000000000001" customHeight="1" x14ac:dyDescent="0.4">
      <c r="A101" s="2399" t="s">
        <v>732</v>
      </c>
      <c r="B101" s="2388" t="s">
        <v>733</v>
      </c>
      <c r="C101" s="2389">
        <v>3</v>
      </c>
      <c r="D101" s="2388" t="s">
        <v>833</v>
      </c>
      <c r="E101" s="2390" t="s">
        <v>953</v>
      </c>
      <c r="F101" s="2379" t="s">
        <v>867</v>
      </c>
      <c r="G101" s="2788" t="str">
        <f>IFERROR(HYPERLINK("https://logistics.amazon.co.jp/internal/operations/execution/itineraries?operationView=true&amp;provider=ALL_DRIVERS&amp;serviceAreaId="&amp;VLOOKUP($B101,'DS ID'!B:D,2,FALSE),$G$1),"")</f>
        <v>CORTEX ver2</v>
      </c>
      <c r="H101" s="2788" t="str">
        <f>IFERROR(HYPERLINK("https://logistics.amazon.co.jp/internal/capacity/rosterview?serviceAreaId="&amp;VLOOKUP($B101,'DS ID'!B:D,2,FALSE),$H$1),"")</f>
        <v>Roster</v>
      </c>
      <c r="I101" s="2788" t="str">
        <f>IFERROR(HYPERLINK("https://logistics.amazon.co.jp/internal/scheduling/dsps?serviceAreaId="&amp;VLOOKUP($B101,'DS ID'!B:D,2,FALSE),$I$1),"")</f>
        <v>SUI</v>
      </c>
      <c r="J101" s="2886"/>
      <c r="K101" s="2783"/>
      <c r="L101" s="2894"/>
      <c r="M101" s="2896"/>
      <c r="N101" s="2405" t="s">
        <v>785</v>
      </c>
      <c r="O101" s="2395"/>
      <c r="P101" s="2393"/>
    </row>
    <row r="102" spans="1:16" ht="20.100000000000001" customHeight="1" x14ac:dyDescent="0.4">
      <c r="A102" s="2399" t="s">
        <v>732</v>
      </c>
      <c r="B102" s="2378" t="s">
        <v>734</v>
      </c>
      <c r="C102" s="2389">
        <v>3</v>
      </c>
      <c r="D102" s="2394" t="s">
        <v>833</v>
      </c>
      <c r="E102" s="2396" t="s">
        <v>954</v>
      </c>
      <c r="F102" s="2379" t="s">
        <v>792</v>
      </c>
      <c r="G102" s="2788" t="str">
        <f>IFERROR(HYPERLINK("https://logistics.amazon.co.jp/internal/operations/execution/itineraries?operationView=true&amp;provider=ALL_DRIVERS&amp;serviceAreaId="&amp;VLOOKUP($B102,'DS ID'!B:D,2,FALSE),$G$1),"")</f>
        <v>CORTEX ver2</v>
      </c>
      <c r="H102" s="2788" t="str">
        <f>IFERROR(HYPERLINK("https://logistics.amazon.co.jp/internal/capacity/rosterview?serviceAreaId="&amp;VLOOKUP($B102,'DS ID'!B:D,2,FALSE),$H$1),"")</f>
        <v>Roster</v>
      </c>
      <c r="I102" s="2788" t="str">
        <f>IFERROR(HYPERLINK("https://logistics.amazon.co.jp/internal/scheduling/dsps?serviceAreaId="&amp;VLOOKUP($B102,'DS ID'!B:D,2,FALSE),$I$1),"")</f>
        <v>SUI</v>
      </c>
      <c r="J102" s="2886"/>
      <c r="K102" s="2783"/>
      <c r="L102" s="2894"/>
      <c r="M102" s="2896"/>
      <c r="N102" s="2397" t="s">
        <v>785</v>
      </c>
      <c r="O102" s="2398"/>
      <c r="P102" s="2393"/>
    </row>
    <row r="103" spans="1:16" ht="20.100000000000001" customHeight="1" x14ac:dyDescent="0.4">
      <c r="A103" s="2399" t="s">
        <v>955</v>
      </c>
      <c r="B103" s="2378" t="s">
        <v>735</v>
      </c>
      <c r="C103" s="2379">
        <v>4</v>
      </c>
      <c r="D103" s="2404" t="s">
        <v>833</v>
      </c>
      <c r="E103" s="2390" t="s">
        <v>956</v>
      </c>
      <c r="G103" s="2788" t="str">
        <f>IFERROR(HYPERLINK("https://logistics.amazon.co.jp/internal/operations/execution/itineraries?operationView=true&amp;provider=ALL_DRIVERS&amp;serviceAreaId="&amp;VLOOKUP($B103,'DS ID'!B:D,2,FALSE),$G$1),"")</f>
        <v>CORTEX ver2</v>
      </c>
      <c r="H103" s="2788" t="str">
        <f>IFERROR(HYPERLINK("https://logistics.amazon.co.jp/internal/capacity/rosterview?serviceAreaId="&amp;VLOOKUP($B103,'DS ID'!B:D,2,FALSE),$H$1),"")</f>
        <v>Roster</v>
      </c>
      <c r="I103" s="2788" t="str">
        <f>IFERROR(HYPERLINK("https://logistics.amazon.co.jp/internal/scheduling/dsps?serviceAreaId="&amp;VLOOKUP($B103,'DS ID'!B:D,2,FALSE),$I$1),"")</f>
        <v>SUI</v>
      </c>
      <c r="J103" s="2886" t="s">
        <v>835</v>
      </c>
      <c r="K103" s="2782"/>
      <c r="L103" s="2893"/>
      <c r="M103" s="2912" t="s">
        <v>957</v>
      </c>
      <c r="N103" s="2397" t="s">
        <v>785</v>
      </c>
      <c r="O103" s="2395"/>
      <c r="P103" s="2393"/>
    </row>
    <row r="104" spans="1:16" ht="20.100000000000001" customHeight="1" x14ac:dyDescent="0.4">
      <c r="A104" s="2377" t="s">
        <v>735</v>
      </c>
      <c r="B104" s="2378" t="s">
        <v>736</v>
      </c>
      <c r="C104" s="2389">
        <v>4</v>
      </c>
      <c r="D104" s="2404" t="s">
        <v>833</v>
      </c>
      <c r="E104" s="2390" t="s">
        <v>958</v>
      </c>
      <c r="F104" s="2379" t="s">
        <v>959</v>
      </c>
      <c r="G104" s="2788" t="str">
        <f>IFERROR(HYPERLINK("https://logistics.amazon.co.jp/internal/operations/execution/itineraries?operationView=true&amp;provider=ALL_DRIVERS&amp;serviceAreaId="&amp;VLOOKUP($B104,'DS ID'!B:D,2,FALSE),$G$1),"")</f>
        <v>CORTEX ver2</v>
      </c>
      <c r="H104" s="2788" t="str">
        <f>IFERROR(HYPERLINK("https://logistics.amazon.co.jp/internal/capacity/rosterview?serviceAreaId="&amp;VLOOKUP($B104,'DS ID'!B:D,2,FALSE),$H$1),"")</f>
        <v>Roster</v>
      </c>
      <c r="I104" s="2788" t="str">
        <f>IFERROR(HYPERLINK("https://logistics.amazon.co.jp/internal/scheduling/dsps?serviceAreaId="&amp;VLOOKUP($B104,'DS ID'!B:D,2,FALSE),$I$1),"")</f>
        <v>SUI</v>
      </c>
      <c r="J104" s="2886"/>
      <c r="K104" s="2783"/>
      <c r="L104" s="2894"/>
      <c r="M104" s="2896"/>
      <c r="N104" s="2397" t="s">
        <v>785</v>
      </c>
      <c r="O104" s="2398"/>
      <c r="P104" s="2393"/>
    </row>
    <row r="105" spans="1:16" x14ac:dyDescent="0.4">
      <c r="A105" s="2377" t="s">
        <v>735</v>
      </c>
      <c r="B105" s="2388" t="s">
        <v>737</v>
      </c>
      <c r="C105" s="2389">
        <v>4</v>
      </c>
      <c r="D105" s="2404" t="s">
        <v>833</v>
      </c>
      <c r="E105" s="2390" t="s">
        <v>956</v>
      </c>
      <c r="F105" s="2379" t="s">
        <v>820</v>
      </c>
      <c r="G105" s="2788" t="str">
        <f>IFERROR(HYPERLINK("https://logistics.amazon.co.jp/internal/operations/execution/itineraries?operationView=true&amp;provider=ALL_DRIVERS&amp;serviceAreaId="&amp;VLOOKUP($B105,'DS ID'!B:D,2,FALSE),$G$1),"")</f>
        <v>CORTEX ver2</v>
      </c>
      <c r="H105" s="2788" t="str">
        <f>IFERROR(HYPERLINK("https://logistics.amazon.co.jp/internal/capacity/rosterview?serviceAreaId="&amp;VLOOKUP($B105,'DS ID'!B:D,2,FALSE),$H$1),"")</f>
        <v>Roster</v>
      </c>
      <c r="I105" s="2788" t="str">
        <f>IFERROR(HYPERLINK("https://logistics.amazon.co.jp/internal/scheduling/dsps?serviceAreaId="&amp;VLOOKUP($B105,'DS ID'!B:D,2,FALSE),$I$1),"")</f>
        <v>SUI</v>
      </c>
      <c r="J105" s="2886"/>
      <c r="K105" s="2783"/>
      <c r="L105" s="2899"/>
      <c r="M105" s="2897"/>
      <c r="N105" s="2405" t="s">
        <v>785</v>
      </c>
      <c r="O105" s="2410"/>
      <c r="P105" s="2393"/>
    </row>
    <row r="106" spans="1:16" ht="20.100000000000001" customHeight="1" x14ac:dyDescent="0.4">
      <c r="A106" s="2399" t="s">
        <v>960</v>
      </c>
      <c r="B106" s="2378" t="s">
        <v>738</v>
      </c>
      <c r="C106" s="2379">
        <v>3</v>
      </c>
      <c r="D106" s="2404" t="s">
        <v>833</v>
      </c>
      <c r="E106" s="2390" t="s">
        <v>951</v>
      </c>
      <c r="G106" s="2788" t="str">
        <f>IFERROR(HYPERLINK("https://logistics.amazon.co.jp/internal/operations/execution/itineraries?operationView=true&amp;provider=ALL_DRIVERS&amp;serviceAreaId="&amp;VLOOKUP($B106,'DS ID'!B:D,2,FALSE),$G$1),"")</f>
        <v>CORTEX ver2</v>
      </c>
      <c r="H106" s="2788" t="str">
        <f>IFERROR(HYPERLINK("https://logistics.amazon.co.jp/internal/capacity/rosterview?serviceAreaId="&amp;VLOOKUP($B106,'DS ID'!B:D,2,FALSE),$H$1),"")</f>
        <v>Roster</v>
      </c>
      <c r="I106" s="2788" t="str">
        <f>IFERROR(HYPERLINK("https://logistics.amazon.co.jp/internal/scheduling/dsps?serviceAreaId="&amp;VLOOKUP($B106,'DS ID'!B:D,2,FALSE),$I$1),"")</f>
        <v>SUI</v>
      </c>
      <c r="J106" s="2886" t="s">
        <v>835</v>
      </c>
      <c r="K106" s="2782"/>
      <c r="L106" s="2893"/>
      <c r="M106" s="2895" t="s">
        <v>783</v>
      </c>
      <c r="N106" s="2397" t="s">
        <v>785</v>
      </c>
      <c r="O106" s="2410"/>
      <c r="P106" s="2393"/>
    </row>
    <row r="107" spans="1:16" ht="22.35" customHeight="1" x14ac:dyDescent="0.4">
      <c r="A107" s="2377" t="s">
        <v>738</v>
      </c>
      <c r="B107" s="2378" t="s">
        <v>739</v>
      </c>
      <c r="C107" s="2389">
        <v>3</v>
      </c>
      <c r="D107" s="2388" t="s">
        <v>833</v>
      </c>
      <c r="E107" s="2390" t="s">
        <v>951</v>
      </c>
      <c r="F107" s="2379" t="s">
        <v>867</v>
      </c>
      <c r="G107" s="2788" t="str">
        <f>IFERROR(HYPERLINK("https://logistics.amazon.co.jp/internal/operations/execution/itineraries?operationView=true&amp;provider=ALL_DRIVERS&amp;serviceAreaId="&amp;VLOOKUP($B107,'DS ID'!B:D,2,FALSE),$G$1),"")</f>
        <v>CORTEX ver2</v>
      </c>
      <c r="H107" s="2788" t="str">
        <f>IFERROR(HYPERLINK("https://logistics.amazon.co.jp/internal/capacity/rosterview?serviceAreaId="&amp;VLOOKUP($B107,'DS ID'!B:D,2,FALSE),$H$1),"")</f>
        <v>Roster</v>
      </c>
      <c r="I107" s="2788" t="str">
        <f>IFERROR(HYPERLINK("https://logistics.amazon.co.jp/internal/scheduling/dsps?serviceAreaId="&amp;VLOOKUP($B107,'DS ID'!B:D,2,FALSE),$I$1),"")</f>
        <v>SUI</v>
      </c>
      <c r="J107" s="2886"/>
      <c r="K107" s="2783"/>
      <c r="L107" s="2894"/>
      <c r="M107" s="2896"/>
      <c r="N107" s="2397" t="s">
        <v>785</v>
      </c>
      <c r="O107" s="2398"/>
      <c r="P107" s="2393"/>
    </row>
    <row r="108" spans="1:16" ht="22.35" customHeight="1" x14ac:dyDescent="0.4">
      <c r="A108" s="2377" t="s">
        <v>738</v>
      </c>
      <c r="B108" s="2378" t="s">
        <v>740</v>
      </c>
      <c r="C108" s="2389">
        <v>3</v>
      </c>
      <c r="D108" s="2404" t="s">
        <v>833</v>
      </c>
      <c r="E108" s="2390" t="s">
        <v>853</v>
      </c>
      <c r="F108" s="2379" t="s">
        <v>856</v>
      </c>
      <c r="G108" s="2788" t="str">
        <f>IFERROR(HYPERLINK("https://logistics.amazon.co.jp/internal/operations/execution/itineraries?operationView=true&amp;provider=ALL_DRIVERS&amp;serviceAreaId="&amp;VLOOKUP($B108,'DS ID'!B:D,2,FALSE),$G$1),"")</f>
        <v>CORTEX ver2</v>
      </c>
      <c r="H108" s="2788" t="str">
        <f>IFERROR(HYPERLINK("https://logistics.amazon.co.jp/internal/capacity/rosterview?serviceAreaId="&amp;VLOOKUP($B108,'DS ID'!B:D,2,FALSE),$H$1),"")</f>
        <v>Roster</v>
      </c>
      <c r="I108" s="2788" t="str">
        <f>IFERROR(HYPERLINK("https://logistics.amazon.co.jp/internal/scheduling/dsps?serviceAreaId="&amp;VLOOKUP($B108,'DS ID'!B:D,2,FALSE),$I$1),"")</f>
        <v>SUI</v>
      </c>
      <c r="J108" s="2886"/>
      <c r="K108" s="2783"/>
      <c r="L108" s="2894"/>
      <c r="M108" s="2896"/>
      <c r="N108" s="2397" t="s">
        <v>785</v>
      </c>
      <c r="O108" s="2398"/>
      <c r="P108" s="2393"/>
    </row>
    <row r="109" spans="1:16" ht="22.35" customHeight="1" x14ac:dyDescent="0.4">
      <c r="A109" s="2377" t="s">
        <v>738</v>
      </c>
      <c r="B109" s="2378" t="s">
        <v>741</v>
      </c>
      <c r="C109" s="2389">
        <v>3</v>
      </c>
      <c r="D109" s="2404" t="s">
        <v>833</v>
      </c>
      <c r="E109" s="2390" t="s">
        <v>961</v>
      </c>
      <c r="F109" s="2379" t="s">
        <v>823</v>
      </c>
      <c r="G109" s="2788" t="str">
        <f>IFERROR(HYPERLINK("https://logistics.amazon.co.jp/internal/operations/execution/itineraries?operationView=true&amp;provider=ALL_DRIVERS&amp;serviceAreaId="&amp;VLOOKUP($B109,'DS ID'!B:D,2,FALSE),$G$1),"")</f>
        <v>CORTEX ver2</v>
      </c>
      <c r="H109" s="2788" t="str">
        <f>IFERROR(HYPERLINK("https://logistics.amazon.co.jp/internal/capacity/rosterview?serviceAreaId="&amp;VLOOKUP($B109,'DS ID'!B:D,2,FALSE),$H$1),"")</f>
        <v>Roster</v>
      </c>
      <c r="I109" s="2788" t="str">
        <f>IFERROR(HYPERLINK("https://logistics.amazon.co.jp/internal/scheduling/dsps?serviceAreaId="&amp;VLOOKUP($B109,'DS ID'!B:D,2,FALSE),$I$1),"")</f>
        <v>SUI</v>
      </c>
      <c r="J109" s="2886"/>
      <c r="K109" s="2783"/>
      <c r="L109" s="2894"/>
      <c r="M109" s="2896"/>
      <c r="N109" s="2397" t="s">
        <v>785</v>
      </c>
      <c r="O109" s="2398"/>
      <c r="P109" s="2393"/>
    </row>
    <row r="110" spans="1:16" ht="22.35" customHeight="1" x14ac:dyDescent="0.4">
      <c r="A110" s="2377" t="s">
        <v>738</v>
      </c>
      <c r="B110" s="2378" t="s">
        <v>742</v>
      </c>
      <c r="C110" s="2389">
        <v>3</v>
      </c>
      <c r="D110" s="2404" t="s">
        <v>833</v>
      </c>
      <c r="E110" s="2390" t="s">
        <v>962</v>
      </c>
      <c r="F110" s="2379" t="s">
        <v>843</v>
      </c>
      <c r="G110" s="2788" t="str">
        <f>IFERROR(HYPERLINK("https://logistics.amazon.co.jp/internal/operations/execution/itineraries?operationView=true&amp;provider=ALL_DRIVERS&amp;serviceAreaId="&amp;VLOOKUP($B110,'DS ID'!B:D,2,FALSE),$G$1),"")</f>
        <v>CORTEX ver2</v>
      </c>
      <c r="H110" s="2788" t="str">
        <f>IFERROR(HYPERLINK("https://logistics.amazon.co.jp/internal/capacity/rosterview?serviceAreaId="&amp;VLOOKUP($B110,'DS ID'!B:D,2,FALSE),$H$1),"")</f>
        <v>Roster</v>
      </c>
      <c r="I110" s="2788" t="str">
        <f>IFERROR(HYPERLINK("https://logistics.amazon.co.jp/internal/scheduling/dsps?serviceAreaId="&amp;VLOOKUP($B110,'DS ID'!B:D,2,FALSE),$I$1),"")</f>
        <v>SUI</v>
      </c>
      <c r="J110" s="2886"/>
      <c r="K110" s="2783"/>
      <c r="L110" s="2894"/>
      <c r="M110" s="2896"/>
      <c r="N110" s="2397" t="s">
        <v>785</v>
      </c>
      <c r="O110" s="2398"/>
      <c r="P110" s="2393"/>
    </row>
    <row r="111" spans="1:16" ht="20.100000000000001" customHeight="1" x14ac:dyDescent="0.4">
      <c r="A111" s="2377" t="s">
        <v>738</v>
      </c>
      <c r="B111" s="2378" t="s">
        <v>743</v>
      </c>
      <c r="C111" s="2389">
        <v>3</v>
      </c>
      <c r="D111" s="2404" t="s">
        <v>833</v>
      </c>
      <c r="E111" s="2390" t="s">
        <v>853</v>
      </c>
      <c r="F111" s="2379" t="s">
        <v>785</v>
      </c>
      <c r="G111" s="2788" t="str">
        <f>IFERROR(HYPERLINK("https://logistics.amazon.co.jp/internal/operations/execution/itineraries?operationView=true&amp;provider=ALL_DRIVERS&amp;serviceAreaId="&amp;VLOOKUP($B111,'DS ID'!B:D,2,FALSE),$G$1),"")</f>
        <v>CORTEX ver2</v>
      </c>
      <c r="H111" s="2788" t="str">
        <f>IFERROR(HYPERLINK("https://logistics.amazon.co.jp/internal/capacity/rosterview?serviceAreaId="&amp;VLOOKUP($B111,'DS ID'!B:D,2,FALSE),$H$1),"")</f>
        <v>Roster</v>
      </c>
      <c r="I111" s="2788" t="str">
        <f>IFERROR(HYPERLINK("https://logistics.amazon.co.jp/internal/scheduling/dsps?serviceAreaId="&amp;VLOOKUP($B111,'DS ID'!B:D,2,FALSE),$I$1),"")</f>
        <v>SUI</v>
      </c>
      <c r="J111" s="2886"/>
      <c r="K111" s="2783"/>
      <c r="L111" s="2894"/>
      <c r="M111" s="2896"/>
      <c r="N111" s="2397" t="s">
        <v>785</v>
      </c>
      <c r="O111" s="2398"/>
      <c r="P111" s="2393"/>
    </row>
    <row r="112" spans="1:16" ht="20.100000000000001" customHeight="1" x14ac:dyDescent="0.4">
      <c r="A112" s="2377" t="s">
        <v>738</v>
      </c>
      <c r="B112" s="2378" t="s">
        <v>744</v>
      </c>
      <c r="C112" s="2389">
        <v>3</v>
      </c>
      <c r="D112" s="2404" t="s">
        <v>833</v>
      </c>
      <c r="E112" s="2390" t="s">
        <v>853</v>
      </c>
      <c r="F112" s="2379" t="s">
        <v>963</v>
      </c>
      <c r="G112" s="2788" t="str">
        <f>IFERROR(HYPERLINK("https://logistics.amazon.co.jp/internal/operations/execution/itineraries?operationView=true&amp;provider=ALL_DRIVERS&amp;serviceAreaId="&amp;VLOOKUP($B112,'DS ID'!B:D,2,FALSE),$G$1),"")</f>
        <v>CORTEX ver2</v>
      </c>
      <c r="H112" s="2788" t="str">
        <f>IFERROR(HYPERLINK("https://logistics.amazon.co.jp/internal/capacity/rosterview?serviceAreaId="&amp;VLOOKUP($B112,'DS ID'!B:D,2,FALSE),$H$1),"")</f>
        <v>Roster</v>
      </c>
      <c r="I112" s="2788" t="str">
        <f>IFERROR(HYPERLINK("https://logistics.amazon.co.jp/internal/scheduling/dsps?serviceAreaId="&amp;VLOOKUP($B112,'DS ID'!B:D,2,FALSE),$I$1),"")</f>
        <v>SUI</v>
      </c>
      <c r="J112" s="2886"/>
      <c r="K112" s="2783"/>
      <c r="L112" s="2894"/>
      <c r="M112" s="2896"/>
      <c r="N112" s="2397" t="s">
        <v>785</v>
      </c>
      <c r="O112" s="2398"/>
      <c r="P112" s="2393"/>
    </row>
    <row r="113" spans="1:16" ht="20.100000000000001" customHeight="1" x14ac:dyDescent="0.4">
      <c r="A113" s="2377" t="s">
        <v>738</v>
      </c>
      <c r="B113" s="2388" t="s">
        <v>745</v>
      </c>
      <c r="C113" s="2389">
        <v>3</v>
      </c>
      <c r="D113" s="2404" t="s">
        <v>833</v>
      </c>
      <c r="E113" s="2390" t="s">
        <v>964</v>
      </c>
      <c r="F113" s="2379" t="s">
        <v>965</v>
      </c>
      <c r="G113" s="2788" t="str">
        <f>IFERROR(HYPERLINK("https://logistics.amazon.co.jp/internal/operations/execution/itineraries?operationView=true&amp;provider=ALL_DRIVERS&amp;serviceAreaId="&amp;VLOOKUP($B113,'DS ID'!B:D,2,FALSE),$G$1),"")</f>
        <v>CORTEX ver2</v>
      </c>
      <c r="H113" s="2788" t="str">
        <f>IFERROR(HYPERLINK("https://logistics.amazon.co.jp/internal/capacity/rosterview?serviceAreaId="&amp;VLOOKUP($B113,'DS ID'!B:D,2,FALSE),$H$1),"")</f>
        <v>Roster</v>
      </c>
      <c r="I113" s="2788" t="str">
        <f>IFERROR(HYPERLINK("https://logistics.amazon.co.jp/internal/scheduling/dsps?serviceAreaId="&amp;VLOOKUP($B113,'DS ID'!B:D,2,FALSE),$I$1),"")</f>
        <v>SUI</v>
      </c>
      <c r="J113" s="2886"/>
      <c r="K113" s="2783"/>
      <c r="L113" s="2894"/>
      <c r="M113" s="2896"/>
      <c r="N113" s="2405" t="s">
        <v>785</v>
      </c>
      <c r="O113" s="2398"/>
      <c r="P113" s="2393"/>
    </row>
    <row r="114" spans="1:16" ht="20.100000000000001" customHeight="1" x14ac:dyDescent="0.4">
      <c r="A114" s="2377" t="s">
        <v>738</v>
      </c>
      <c r="B114" s="2394" t="s">
        <v>746</v>
      </c>
      <c r="C114" s="2389">
        <v>3</v>
      </c>
      <c r="D114" s="2378" t="s">
        <v>833</v>
      </c>
      <c r="E114" s="2396" t="s">
        <v>966</v>
      </c>
      <c r="F114" s="2379" t="s">
        <v>967</v>
      </c>
      <c r="G114" s="2788" t="str">
        <f>IFERROR(HYPERLINK("https://logistics.amazon.co.jp/internal/operations/execution/itineraries?operationView=true&amp;provider=ALL_DRIVERS&amp;serviceAreaId="&amp;VLOOKUP($B114,'DS ID'!B:D,2,FALSE),$G$1),"")</f>
        <v>CORTEX ver2</v>
      </c>
      <c r="H114" s="2788" t="str">
        <f>IFERROR(HYPERLINK("https://logistics.amazon.co.jp/internal/capacity/rosterview?serviceAreaId="&amp;VLOOKUP($B114,'DS ID'!B:D,2,FALSE),$H$1),"")</f>
        <v>Roster</v>
      </c>
      <c r="I114" s="2788" t="str">
        <f>IFERROR(HYPERLINK("https://logistics.amazon.co.jp/internal/scheduling/dsps?serviceAreaId="&amp;VLOOKUP($B114,'DS ID'!B:D,2,FALSE),$I$1),"")</f>
        <v>SUI</v>
      </c>
      <c r="J114" s="2886"/>
      <c r="K114" s="2784"/>
      <c r="L114" s="2894"/>
      <c r="M114" s="2896"/>
      <c r="N114" s="2397" t="s">
        <v>785</v>
      </c>
      <c r="O114" s="2398"/>
      <c r="P114" s="2393"/>
    </row>
    <row r="115" spans="1:16" ht="20.100000000000001" customHeight="1" x14ac:dyDescent="0.4">
      <c r="A115" s="2377" t="s">
        <v>968</v>
      </c>
      <c r="B115" s="2394" t="s">
        <v>747</v>
      </c>
      <c r="C115" s="2389">
        <v>3</v>
      </c>
      <c r="D115" s="2378" t="s">
        <v>969</v>
      </c>
      <c r="E115" s="2396" t="s">
        <v>970</v>
      </c>
      <c r="F115" s="2379" t="s">
        <v>829</v>
      </c>
      <c r="G115" s="2788" t="str">
        <f>IFERROR(HYPERLINK("https://logistics.amazon.co.jp/internal/operations/execution/itineraries?operationView=true&amp;provider=ALL_DRIVERS&amp;serviceAreaId="&amp;VLOOKUP($B115,'DS ID'!B:D,2,FALSE),$G$1),"")</f>
        <v>CORTEX ver2</v>
      </c>
      <c r="H115" s="2788" t="str">
        <f>IFERROR(HYPERLINK("https://logistics.amazon.co.jp/internal/capacity/rosterview?serviceAreaId="&amp;VLOOKUP($B115,'DS ID'!B:D,2,FALSE),$H$1),"")</f>
        <v>Roster</v>
      </c>
      <c r="I115" s="2788" t="str">
        <f>IFERROR(HYPERLINK("https://logistics.amazon.co.jp/internal/scheduling/dsps?serviceAreaId="&amp;VLOOKUP($B115,'DS ID'!B:D,2,FALSE),$I$1),"")</f>
        <v>SUI</v>
      </c>
      <c r="J115" s="2780"/>
      <c r="K115" s="2783"/>
      <c r="L115" s="2787"/>
      <c r="M115" s="2896"/>
      <c r="N115" s="2397" t="s">
        <v>971</v>
      </c>
      <c r="O115" s="2401">
        <v>45756</v>
      </c>
      <c r="P115" s="2393"/>
    </row>
    <row r="116" spans="1:16" x14ac:dyDescent="0.4">
      <c r="A116" s="2377" t="s">
        <v>972</v>
      </c>
      <c r="B116" s="2394" t="s">
        <v>216</v>
      </c>
      <c r="C116" s="2379">
        <v>3</v>
      </c>
      <c r="D116" s="2378" t="s">
        <v>833</v>
      </c>
      <c r="E116" s="2396" t="s">
        <v>973</v>
      </c>
      <c r="G116" s="2788" t="str">
        <f>IFERROR(HYPERLINK("https://logistics.amazon.co.jp/internal/operations/execution/itineraries?operationView=true&amp;provider=ALL_DRIVERS&amp;serviceAreaId="&amp;VLOOKUP($B116,'DS ID'!B:D,2,FALSE),$G$1),"")</f>
        <v>CORTEX ver2</v>
      </c>
      <c r="H116" s="2788" t="str">
        <f>IFERROR(HYPERLINK("https://logistics.amazon.co.jp/internal/capacity/rosterview?serviceAreaId="&amp;VLOOKUP($B116,'DS ID'!B:D,2,FALSE),$H$1),"")</f>
        <v>Roster</v>
      </c>
      <c r="I116" s="2788" t="str">
        <f>IFERROR(HYPERLINK("https://logistics.amazon.co.jp/internal/scheduling/dsps?serviceAreaId="&amp;VLOOKUP($B116,'DS ID'!B:D,2,FALSE),$I$1),"")</f>
        <v>SUI</v>
      </c>
      <c r="J116" s="2780" t="s">
        <v>835</v>
      </c>
      <c r="K116" s="2783"/>
      <c r="L116" s="2786"/>
      <c r="M116" s="2795" t="s">
        <v>784</v>
      </c>
      <c r="N116" s="2391" t="s">
        <v>785</v>
      </c>
      <c r="O116" s="2398"/>
      <c r="P116" s="2393"/>
    </row>
    <row r="117" spans="1:16" x14ac:dyDescent="0.4">
      <c r="A117" s="2377" t="s">
        <v>974</v>
      </c>
      <c r="B117" s="2388" t="s">
        <v>748</v>
      </c>
      <c r="C117" s="2389">
        <v>4</v>
      </c>
      <c r="D117" s="2419" t="s">
        <v>833</v>
      </c>
      <c r="E117" s="2390" t="s">
        <v>975</v>
      </c>
      <c r="F117" s="2389"/>
      <c r="G117" s="2788" t="str">
        <f>IFERROR(HYPERLINK("https://logistics.amazon.co.jp/internal/operations/execution/itineraries?operationView=true&amp;provider=ALL_DRIVERS&amp;serviceAreaId="&amp;VLOOKUP($B117,'DS ID'!B:D,2,FALSE),$G$1),"")</f>
        <v>CORTEX ver2</v>
      </c>
      <c r="H117" s="2788" t="str">
        <f>IFERROR(HYPERLINK("https://logistics.amazon.co.jp/internal/capacity/rosterview?serviceAreaId="&amp;VLOOKUP($B117,'DS ID'!B:D,2,FALSE),$H$1),"")</f>
        <v>Roster</v>
      </c>
      <c r="I117" s="2788" t="str">
        <f>IFERROR(HYPERLINK("https://logistics.amazon.co.jp/internal/scheduling/dsps?serviceAreaId="&amp;VLOOKUP($B117,'DS ID'!B:D,2,FALSE),$I$1),"")</f>
        <v>SUI</v>
      </c>
      <c r="J117" s="2886" t="s">
        <v>835</v>
      </c>
      <c r="K117" s="2782"/>
      <c r="L117" s="2893"/>
      <c r="M117" s="2895" t="s">
        <v>861</v>
      </c>
      <c r="N117" s="2420" t="s">
        <v>785</v>
      </c>
      <c r="O117" s="2421"/>
      <c r="P117" s="2393"/>
    </row>
    <row r="118" spans="1:16" x14ac:dyDescent="0.4">
      <c r="A118" s="2377" t="s">
        <v>974</v>
      </c>
      <c r="B118" s="2388" t="s">
        <v>749</v>
      </c>
      <c r="C118" s="2389">
        <v>4</v>
      </c>
      <c r="D118" s="2419" t="s">
        <v>833</v>
      </c>
      <c r="E118" s="2390" t="s">
        <v>976</v>
      </c>
      <c r="F118" s="2389" t="s">
        <v>798</v>
      </c>
      <c r="G118" s="2788" t="str">
        <f>IFERROR(HYPERLINK("https://logistics.amazon.co.jp/internal/operations/execution/itineraries?operationView=true&amp;provider=ALL_DRIVERS&amp;serviceAreaId="&amp;VLOOKUP($B118,'DS ID'!B:D,2,FALSE),$G$1),"")</f>
        <v>CORTEX ver2</v>
      </c>
      <c r="H118" s="2788" t="str">
        <f>IFERROR(HYPERLINK("https://logistics.amazon.co.jp/internal/capacity/rosterview?serviceAreaId="&amp;VLOOKUP($B118,'DS ID'!B:D,2,FALSE),$H$1),"")</f>
        <v>Roster</v>
      </c>
      <c r="I118" s="2788" t="str">
        <f>IFERROR(HYPERLINK("https://logistics.amazon.co.jp/internal/scheduling/dsps?serviceAreaId="&amp;VLOOKUP($B118,'DS ID'!B:D,2,FALSE),$I$1),"")</f>
        <v>SUI</v>
      </c>
      <c r="J118" s="2886"/>
      <c r="K118" s="2784"/>
      <c r="L118" s="2899"/>
      <c r="M118" s="2897"/>
      <c r="N118" s="2420" t="s">
        <v>785</v>
      </c>
      <c r="O118" s="2421"/>
      <c r="P118" s="2393"/>
    </row>
    <row r="119" spans="1:16" x14ac:dyDescent="0.4">
      <c r="A119" s="2377" t="s">
        <v>977</v>
      </c>
      <c r="B119" s="2388" t="s">
        <v>977</v>
      </c>
      <c r="C119" s="2389">
        <v>5</v>
      </c>
      <c r="D119" s="2419" t="s">
        <v>978</v>
      </c>
      <c r="E119" s="2390" t="s">
        <v>979</v>
      </c>
      <c r="F119" s="2389"/>
      <c r="G119" s="2788" t="str">
        <f>IFERROR(HYPERLINK("https://logistics.amazon.co.jp/internal/operations/execution/itineraries?operationView=true&amp;provider=ALL_DRIVERS&amp;serviceAreaId="&amp;VLOOKUP($B119,'DS ID'!B:D,2,FALSE),$G$1),"")</f>
        <v>CORTEX ver2</v>
      </c>
      <c r="H119" s="2788" t="str">
        <f>IFERROR(HYPERLINK("https://logistics.amazon.co.jp/internal/capacity/rosterview?serviceAreaId="&amp;VLOOKUP($B119,'DS ID'!B:D,2,FALSE),$H$1),"")</f>
        <v>Roster</v>
      </c>
      <c r="I119" s="2788" t="str">
        <f>IFERROR(HYPERLINK("https://logistics.amazon.co.jp/internal/scheduling/dsps?serviceAreaId="&amp;VLOOKUP($B119,'DS ID'!B:D,2,FALSE),$I$1),"")</f>
        <v>SUI</v>
      </c>
      <c r="J119" s="2898" t="s">
        <v>870</v>
      </c>
      <c r="K119" s="2783"/>
      <c r="L119" s="2893"/>
      <c r="M119" s="2892" t="s">
        <v>873</v>
      </c>
      <c r="N119" s="2420" t="s">
        <v>785</v>
      </c>
      <c r="O119" s="2421"/>
      <c r="P119" s="2393"/>
    </row>
    <row r="120" spans="1:16" x14ac:dyDescent="0.4">
      <c r="A120" s="2377" t="s">
        <v>750</v>
      </c>
      <c r="B120" s="2388" t="s">
        <v>980</v>
      </c>
      <c r="C120" s="2389">
        <v>5</v>
      </c>
      <c r="D120" s="2419" t="s">
        <v>978</v>
      </c>
      <c r="E120" s="2390" t="s">
        <v>981</v>
      </c>
      <c r="F120" s="2389" t="s">
        <v>798</v>
      </c>
      <c r="G120" s="2788" t="str">
        <f>IFERROR(HYPERLINK("https://logistics.amazon.co.jp/internal/operations/execution/itineraries?operationView=true&amp;provider=ALL_DRIVERS&amp;serviceAreaId="&amp;VLOOKUP($B120,'DS ID'!B:D,2,FALSE),$G$1),"")</f>
        <v>CORTEX ver2</v>
      </c>
      <c r="H120" s="2788" t="str">
        <f>IFERROR(HYPERLINK("https://logistics.amazon.co.jp/internal/capacity/rosterview?serviceAreaId="&amp;VLOOKUP($B120,'DS ID'!B:D,2,FALSE),$H$1),"")</f>
        <v>Roster</v>
      </c>
      <c r="I120" s="2788" t="str">
        <f>IFERROR(HYPERLINK("https://logistics.amazon.co.jp/internal/scheduling/dsps?serviceAreaId="&amp;VLOOKUP($B120,'DS ID'!B:D,2,FALSE),$I$1),"")</f>
        <v>SUI</v>
      </c>
      <c r="J120" s="2898"/>
      <c r="K120" s="2783"/>
      <c r="L120" s="2894"/>
      <c r="M120" s="2892"/>
      <c r="N120" s="2420" t="s">
        <v>785</v>
      </c>
      <c r="O120" s="2421"/>
      <c r="P120" s="2393"/>
    </row>
    <row r="121" spans="1:16" x14ac:dyDescent="0.4">
      <c r="A121" s="2377" t="s">
        <v>750</v>
      </c>
      <c r="B121" s="2388" t="s">
        <v>982</v>
      </c>
      <c r="C121" s="2389">
        <v>5</v>
      </c>
      <c r="D121" s="2419" t="s">
        <v>978</v>
      </c>
      <c r="E121" s="2390" t="s">
        <v>983</v>
      </c>
      <c r="F121" s="2389" t="s">
        <v>801</v>
      </c>
      <c r="G121" s="2788" t="str">
        <f>IFERROR(HYPERLINK("https://logistics.amazon.co.jp/internal/operations/execution/itineraries?operationView=true&amp;provider=ALL_DRIVERS&amp;serviceAreaId="&amp;VLOOKUP($B121,'DS ID'!B:D,2,FALSE),$G$1),"")</f>
        <v>CORTEX ver2</v>
      </c>
      <c r="H121" s="2788" t="str">
        <f>IFERROR(HYPERLINK("https://logistics.amazon.co.jp/internal/capacity/rosterview?serviceAreaId="&amp;VLOOKUP($B121,'DS ID'!B:D,2,FALSE),$H$1),"")</f>
        <v>Roster</v>
      </c>
      <c r="I121" s="2788" t="str">
        <f>IFERROR(HYPERLINK("https://logistics.amazon.co.jp/internal/scheduling/dsps?serviceAreaId="&amp;VLOOKUP($B121,'DS ID'!B:D,2,FALSE),$I$1),"")</f>
        <v>SUI</v>
      </c>
      <c r="J121" s="2898"/>
      <c r="K121" s="2783"/>
      <c r="L121" s="2894"/>
      <c r="M121" s="2892"/>
      <c r="N121" s="2420" t="s">
        <v>785</v>
      </c>
      <c r="O121" s="2421"/>
      <c r="P121" s="2393"/>
    </row>
    <row r="122" spans="1:16" x14ac:dyDescent="0.4">
      <c r="A122" s="2377" t="s">
        <v>750</v>
      </c>
      <c r="B122" s="2388" t="s">
        <v>984</v>
      </c>
      <c r="C122" s="2389">
        <v>5</v>
      </c>
      <c r="D122" s="2419" t="s">
        <v>978</v>
      </c>
      <c r="E122" s="2390" t="s">
        <v>985</v>
      </c>
      <c r="F122" s="2389" t="s">
        <v>804</v>
      </c>
      <c r="G122" s="2788" t="str">
        <f>IFERROR(HYPERLINK("https://logistics.amazon.co.jp/internal/operations/execution/itineraries?operationView=true&amp;provider=ALL_DRIVERS&amp;serviceAreaId="&amp;VLOOKUP($B122,'DS ID'!B:D,2,FALSE),$G$1),"")</f>
        <v>CORTEX ver2</v>
      </c>
      <c r="H122" s="2788" t="str">
        <f>IFERROR(HYPERLINK("https://logistics.amazon.co.jp/internal/capacity/rosterview?serviceAreaId="&amp;VLOOKUP($B122,'DS ID'!B:D,2,FALSE),$H$1),"")</f>
        <v>Roster</v>
      </c>
      <c r="I122" s="2788" t="str">
        <f>IFERROR(HYPERLINK("https://logistics.amazon.co.jp/internal/scheduling/dsps?serviceAreaId="&amp;VLOOKUP($B122,'DS ID'!B:D,2,FALSE),$I$1),"")</f>
        <v>SUI</v>
      </c>
      <c r="J122" s="2780"/>
      <c r="K122" s="2783"/>
      <c r="L122" s="2899"/>
      <c r="M122" s="2892"/>
      <c r="N122" s="2420" t="s">
        <v>785</v>
      </c>
      <c r="O122" s="2421"/>
      <c r="P122" s="2393"/>
    </row>
    <row r="123" spans="1:16" x14ac:dyDescent="0.4">
      <c r="A123" s="2399" t="s">
        <v>986</v>
      </c>
      <c r="B123" s="2378" t="s">
        <v>754</v>
      </c>
      <c r="C123" s="2379">
        <v>5</v>
      </c>
      <c r="D123" s="2404" t="s">
        <v>920</v>
      </c>
      <c r="E123" s="2390" t="s">
        <v>987</v>
      </c>
      <c r="G123" s="2788" t="str">
        <f>IFERROR(HYPERLINK("https://logistics.amazon.co.jp/internal/operations/execution/itineraries?operationView=true&amp;provider=ALL_DRIVERS&amp;serviceAreaId="&amp;VLOOKUP($B123,'DS ID'!B:D,2,FALSE),$G$1),"")</f>
        <v>CORTEX ver2</v>
      </c>
      <c r="H123" s="2788" t="str">
        <f>IFERROR(HYPERLINK("https://logistics.amazon.co.jp/internal/capacity/rosterview?serviceAreaId="&amp;VLOOKUP($B123,'DS ID'!B:D,2,FALSE),$H$1),"")</f>
        <v>Roster</v>
      </c>
      <c r="I123" s="2788" t="str">
        <f>IFERROR(HYPERLINK("https://logistics.amazon.co.jp/internal/scheduling/dsps?serviceAreaId="&amp;VLOOKUP($B123,'DS ID'!B:D,2,FALSE),$I$1),"")</f>
        <v>SUI</v>
      </c>
      <c r="J123" s="2886" t="s">
        <v>835</v>
      </c>
      <c r="K123" s="2782"/>
      <c r="L123" s="2893"/>
      <c r="M123" s="2895" t="s">
        <v>784</v>
      </c>
      <c r="N123" s="2397" t="s">
        <v>785</v>
      </c>
      <c r="O123" s="2395"/>
      <c r="P123" s="2393"/>
    </row>
    <row r="124" spans="1:16" x14ac:dyDescent="0.4">
      <c r="A124" s="2415" t="s">
        <v>754</v>
      </c>
      <c r="B124" s="2378" t="s">
        <v>755</v>
      </c>
      <c r="C124" s="2389">
        <v>5</v>
      </c>
      <c r="D124" s="2404" t="s">
        <v>920</v>
      </c>
      <c r="E124" s="2390" t="s">
        <v>988</v>
      </c>
      <c r="F124" s="2379" t="s">
        <v>801</v>
      </c>
      <c r="G124" s="2788" t="str">
        <f>IFERROR(HYPERLINK("https://logistics.amazon.co.jp/internal/operations/execution/itineraries?operationView=true&amp;provider=ALL_DRIVERS&amp;serviceAreaId="&amp;VLOOKUP($B124,'DS ID'!B:D,2,FALSE),$G$1),"")</f>
        <v>CORTEX ver2</v>
      </c>
      <c r="H124" s="2788" t="str">
        <f>IFERROR(HYPERLINK("https://logistics.amazon.co.jp/internal/capacity/rosterview?serviceAreaId="&amp;VLOOKUP($B124,'DS ID'!B:D,2,FALSE),$H$1),"")</f>
        <v>Roster</v>
      </c>
      <c r="I124" s="2788" t="str">
        <f>IFERROR(HYPERLINK("https://logistics.amazon.co.jp/internal/scheduling/dsps?serviceAreaId="&amp;VLOOKUP($B124,'DS ID'!B:D,2,FALSE),$I$1),"")</f>
        <v>SUI</v>
      </c>
      <c r="J124" s="2886"/>
      <c r="K124" s="2783"/>
      <c r="L124" s="2894"/>
      <c r="M124" s="2896"/>
      <c r="N124" s="2397" t="s">
        <v>785</v>
      </c>
      <c r="O124" s="2395"/>
      <c r="P124" s="2393"/>
    </row>
    <row r="125" spans="1:16" x14ac:dyDescent="0.4">
      <c r="A125" s="2415" t="s">
        <v>754</v>
      </c>
      <c r="B125" s="2378" t="s">
        <v>756</v>
      </c>
      <c r="C125" s="2389">
        <v>5</v>
      </c>
      <c r="D125" s="2404" t="s">
        <v>920</v>
      </c>
      <c r="E125" s="2390" t="s">
        <v>989</v>
      </c>
      <c r="F125" s="2379" t="s">
        <v>820</v>
      </c>
      <c r="G125" s="2788" t="str">
        <f>IFERROR(HYPERLINK("https://logistics.amazon.co.jp/internal/operations/execution/itineraries?operationView=true&amp;provider=ALL_DRIVERS&amp;serviceAreaId="&amp;VLOOKUP($B125,'DS ID'!B:D,2,FALSE),$G$1),"")</f>
        <v>CORTEX ver2</v>
      </c>
      <c r="H125" s="2788" t="str">
        <f>IFERROR(HYPERLINK("https://logistics.amazon.co.jp/internal/capacity/rosterview?serviceAreaId="&amp;VLOOKUP($B125,'DS ID'!B:D,2,FALSE),$H$1),"")</f>
        <v>Roster</v>
      </c>
      <c r="I125" s="2788" t="str">
        <f>IFERROR(HYPERLINK("https://logistics.amazon.co.jp/internal/scheduling/dsps?serviceAreaId="&amp;VLOOKUP($B125,'DS ID'!B:D,2,FALSE),$I$1),"")</f>
        <v>SUI</v>
      </c>
      <c r="J125" s="2886"/>
      <c r="K125" s="2783"/>
      <c r="L125" s="2894"/>
      <c r="M125" s="2896"/>
      <c r="N125" s="2397" t="s">
        <v>785</v>
      </c>
      <c r="O125" s="2395"/>
      <c r="P125" s="2393"/>
    </row>
    <row r="126" spans="1:16" x14ac:dyDescent="0.4">
      <c r="A126" s="2415" t="s">
        <v>754</v>
      </c>
      <c r="B126" s="2378" t="s">
        <v>757</v>
      </c>
      <c r="C126" s="2389">
        <v>5</v>
      </c>
      <c r="D126" s="2404" t="s">
        <v>920</v>
      </c>
      <c r="E126" s="2390" t="s">
        <v>990</v>
      </c>
      <c r="F126" s="2379" t="s">
        <v>856</v>
      </c>
      <c r="G126" s="2788" t="str">
        <f>IFERROR(HYPERLINK("https://logistics.amazon.co.jp/internal/operations/execution/itineraries?operationView=true&amp;provider=ALL_DRIVERS&amp;serviceAreaId="&amp;VLOOKUP($B126,'DS ID'!B:D,2,FALSE),$G$1),"")</f>
        <v>CORTEX ver2</v>
      </c>
      <c r="H126" s="2788" t="str">
        <f>IFERROR(HYPERLINK("https://logistics.amazon.co.jp/internal/capacity/rosterview?serviceAreaId="&amp;VLOOKUP($B126,'DS ID'!B:D,2,FALSE),$H$1),"")</f>
        <v>Roster</v>
      </c>
      <c r="I126" s="2788" t="str">
        <f>IFERROR(HYPERLINK("https://logistics.amazon.co.jp/internal/scheduling/dsps?serviceAreaId="&amp;VLOOKUP($B126,'DS ID'!B:D,2,FALSE),$I$1),"")</f>
        <v>SUI</v>
      </c>
      <c r="J126" s="2886"/>
      <c r="K126" s="2783"/>
      <c r="L126" s="2894"/>
      <c r="M126" s="2896"/>
      <c r="N126" s="2397" t="s">
        <v>785</v>
      </c>
      <c r="O126" s="2395"/>
      <c r="P126" s="2393"/>
    </row>
    <row r="127" spans="1:16" ht="22.35" customHeight="1" x14ac:dyDescent="0.4">
      <c r="A127" s="2415" t="s">
        <v>754</v>
      </c>
      <c r="B127" s="2378" t="s">
        <v>758</v>
      </c>
      <c r="C127" s="2389">
        <v>5</v>
      </c>
      <c r="D127" s="2404" t="s">
        <v>920</v>
      </c>
      <c r="E127" s="2390" t="s">
        <v>991</v>
      </c>
      <c r="F127" s="2389" t="s">
        <v>792</v>
      </c>
      <c r="G127" s="2788" t="str">
        <f>IFERROR(HYPERLINK("https://logistics.amazon.co.jp/internal/operations/execution/itineraries?operationView=true&amp;provider=ALL_DRIVERS&amp;serviceAreaId="&amp;VLOOKUP($B127,'DS ID'!B:D,2,FALSE),$G$1),"")</f>
        <v>CORTEX ver2</v>
      </c>
      <c r="H127" s="2788" t="str">
        <f>IFERROR(HYPERLINK("https://logistics.amazon.co.jp/internal/capacity/rosterview?serviceAreaId="&amp;VLOOKUP($B127,'DS ID'!B:D,2,FALSE),$H$1),"")</f>
        <v>Roster</v>
      </c>
      <c r="I127" s="2788" t="str">
        <f>IFERROR(HYPERLINK("https://logistics.amazon.co.jp/internal/scheduling/dsps?serviceAreaId="&amp;VLOOKUP($B127,'DS ID'!B:D,2,FALSE),$I$1),"")</f>
        <v>SUI</v>
      </c>
      <c r="J127" s="2886"/>
      <c r="K127" s="2783"/>
      <c r="L127" s="2894"/>
      <c r="M127" s="2896"/>
      <c r="N127" s="2397" t="s">
        <v>785</v>
      </c>
      <c r="O127" s="2395"/>
      <c r="P127" s="2393"/>
    </row>
    <row r="128" spans="1:16" ht="22.35" customHeight="1" x14ac:dyDescent="0.4">
      <c r="A128" s="2415" t="s">
        <v>986</v>
      </c>
      <c r="B128" s="2378" t="s">
        <v>992</v>
      </c>
      <c r="C128" s="2389">
        <v>5</v>
      </c>
      <c r="D128" s="2404" t="s">
        <v>920</v>
      </c>
      <c r="E128" s="2390" t="s">
        <v>993</v>
      </c>
      <c r="F128" s="2389"/>
      <c r="G128" s="2788" t="str">
        <f>IFERROR(HYPERLINK("https://logistics.amazon.co.jp/internal/operations/execution/itineraries?operationView=true&amp;provider=ALL_DRIVERS&amp;serviceAreaId="&amp;VLOOKUP($B128,'DS ID'!B:D,2,FALSE),$G$1),"")</f>
        <v>CORTEX ver2</v>
      </c>
      <c r="H128" s="2788" t="str">
        <f>IFERROR(HYPERLINK("https://logistics.amazon.co.jp/internal/capacity/rosterview?serviceAreaId="&amp;VLOOKUP($B128,'DS ID'!B:D,2,FALSE),$H$1),"")</f>
        <v>Roster</v>
      </c>
      <c r="I128" s="2788" t="str">
        <f>IFERROR(HYPERLINK("https://logistics.amazon.co.jp/internal/scheduling/dsps?serviceAreaId="&amp;VLOOKUP($B128,'DS ID'!B:D,2,FALSE),$I$1),"")</f>
        <v>SUI</v>
      </c>
      <c r="J128" s="2780"/>
      <c r="K128" s="2784"/>
      <c r="L128" s="2784"/>
      <c r="M128" s="2897"/>
      <c r="N128" s="2397" t="s">
        <v>785</v>
      </c>
      <c r="O128" s="2395"/>
      <c r="P128" s="2393"/>
    </row>
    <row r="129" spans="1:16" ht="22.35" customHeight="1" x14ac:dyDescent="0.4">
      <c r="A129" s="2377" t="s">
        <v>251</v>
      </c>
      <c r="B129" s="2378" t="s">
        <v>170</v>
      </c>
      <c r="C129" s="2389">
        <v>5</v>
      </c>
      <c r="D129" s="2404" t="s">
        <v>920</v>
      </c>
      <c r="E129" s="2390" t="s">
        <v>994</v>
      </c>
      <c r="F129" s="2389"/>
      <c r="G129" s="2788" t="str">
        <f>IFERROR(HYPERLINK("https://logistics.amazon.co.jp/internal/operations/execution/itineraries?operationView=true&amp;provider=ALL_DRIVERS&amp;serviceAreaId="&amp;VLOOKUP($B129,'DS ID'!B:D,2,FALSE),$G$1),"")</f>
        <v>CORTEX ver2</v>
      </c>
      <c r="H129" s="2788" t="str">
        <f>IFERROR(HYPERLINK("https://logistics.amazon.co.jp/internal/capacity/rosterview?serviceAreaId="&amp;VLOOKUP($B129,'DS ID'!B:D,2,FALSE),$H$1),"")</f>
        <v>Roster</v>
      </c>
      <c r="I129" s="2788" t="str">
        <f>IFERROR(HYPERLINK("https://logistics.amazon.co.jp/internal/scheduling/dsps?serviceAreaId="&amp;VLOOKUP($B129,'DS ID'!B:D,2,FALSE),$I$1),"")</f>
        <v>SUI</v>
      </c>
      <c r="J129" s="2780" t="s">
        <v>835</v>
      </c>
      <c r="K129" s="2784"/>
      <c r="L129" s="2784"/>
      <c r="M129" s="2784" t="s">
        <v>784</v>
      </c>
      <c r="N129" s="2397" t="s">
        <v>785</v>
      </c>
      <c r="O129" s="2395"/>
      <c r="P129" s="2393"/>
    </row>
    <row r="130" spans="1:16" ht="22.35" customHeight="1" x14ac:dyDescent="0.4">
      <c r="A130" s="2377" t="s">
        <v>995</v>
      </c>
      <c r="B130" s="2378" t="s">
        <v>760</v>
      </c>
      <c r="C130" s="2379">
        <v>4</v>
      </c>
      <c r="D130" s="2378" t="s">
        <v>996</v>
      </c>
      <c r="E130" s="2396" t="s">
        <v>997</v>
      </c>
      <c r="G130" s="2788" t="str">
        <f>IFERROR(HYPERLINK("https://logistics.amazon.co.jp/internal/operations/execution/itineraries?operationView=true&amp;provider=ALL_DRIVERS&amp;serviceAreaId="&amp;VLOOKUP($B130,'DS ID'!B:D,2,FALSE),$G$1),"")</f>
        <v>CORTEX ver2</v>
      </c>
      <c r="H130" s="2788" t="str">
        <f>IFERROR(HYPERLINK("https://logistics.amazon.co.jp/internal/capacity/rosterview?serviceAreaId="&amp;VLOOKUP($B130,'DS ID'!B:D,2,FALSE),$H$1),"")</f>
        <v>Roster</v>
      </c>
      <c r="I130" s="2788" t="str">
        <f>IFERROR(HYPERLINK("https://logistics.amazon.co.jp/internal/scheduling/dsps?serviceAreaId="&amp;VLOOKUP($B130,'DS ID'!B:D,2,FALSE),$I$1),"")</f>
        <v>SUI</v>
      </c>
      <c r="J130" s="2780" t="s">
        <v>835</v>
      </c>
      <c r="K130" s="2400"/>
      <c r="L130" s="2886"/>
      <c r="M130" s="2893" t="s">
        <v>783</v>
      </c>
      <c r="N130" s="2397" t="s">
        <v>785</v>
      </c>
      <c r="O130" s="2398"/>
      <c r="P130" s="2393"/>
    </row>
    <row r="131" spans="1:16" ht="22.35" customHeight="1" x14ac:dyDescent="0.4">
      <c r="A131" s="2377" t="s">
        <v>760</v>
      </c>
      <c r="B131" s="2378" t="s">
        <v>998</v>
      </c>
      <c r="C131" s="2389">
        <v>4</v>
      </c>
      <c r="D131" s="2378" t="s">
        <v>999</v>
      </c>
      <c r="E131" s="2396" t="s">
        <v>1000</v>
      </c>
      <c r="F131" s="2379" t="s">
        <v>798</v>
      </c>
      <c r="G131" s="2788" t="str">
        <f>IFERROR(HYPERLINK("https://logistics.amazon.co.jp/internal/operations/execution/itineraries?operationView=true&amp;provider=ALL_DRIVERS&amp;serviceAreaId="&amp;VLOOKUP($B131,'DS ID'!B:D,2,FALSE),$G$1),"")</f>
        <v>CORTEX ver2</v>
      </c>
      <c r="H131" s="2788" t="str">
        <f>IFERROR(HYPERLINK("https://logistics.amazon.co.jp/internal/capacity/rosterview?serviceAreaId="&amp;VLOOKUP($B131,'DS ID'!B:D,2,FALSE),$H$1),"")</f>
        <v>Roster</v>
      </c>
      <c r="I131" s="2788" t="str">
        <f>IFERROR(HYPERLINK("https://logistics.amazon.co.jp/internal/scheduling/dsps?serviceAreaId="&amp;VLOOKUP($B131,'DS ID'!B:D,2,FALSE),$I$1),"")</f>
        <v>SUI</v>
      </c>
      <c r="J131" s="2780" t="s">
        <v>835</v>
      </c>
      <c r="K131" s="2400"/>
      <c r="L131" s="2886"/>
      <c r="M131" s="2894"/>
      <c r="N131" s="2397" t="s">
        <v>785</v>
      </c>
      <c r="O131" s="2398"/>
      <c r="P131" s="2393"/>
    </row>
    <row r="132" spans="1:16" ht="22.35" customHeight="1" x14ac:dyDescent="0.4">
      <c r="A132" s="2377" t="s">
        <v>995</v>
      </c>
      <c r="B132" s="2378" t="s">
        <v>1001</v>
      </c>
      <c r="C132" s="2389">
        <v>4</v>
      </c>
      <c r="D132" s="2378" t="s">
        <v>999</v>
      </c>
      <c r="E132" s="2396" t="s">
        <v>1002</v>
      </c>
      <c r="G132" s="2788" t="str">
        <f>IFERROR(HYPERLINK("https://logistics.amazon.co.jp/internal/operations/execution/itineraries?operationView=true&amp;provider=ALL_DRIVERS&amp;serviceAreaId="&amp;VLOOKUP($B132,'DS ID'!B:D,2,FALSE),$G$1),"")</f>
        <v>CORTEX ver2</v>
      </c>
      <c r="H132" s="2788" t="str">
        <f>IFERROR(HYPERLINK("https://logistics.amazon.co.jp/internal/capacity/rosterview?serviceAreaId="&amp;VLOOKUP($B132,'DS ID'!B:D,2,FALSE),$H$1),"")</f>
        <v>Roster</v>
      </c>
      <c r="I132" s="2788" t="str">
        <f>IFERROR(HYPERLINK("https://logistics.amazon.co.jp/internal/scheduling/dsps?serviceAreaId="&amp;VLOOKUP($B132,'DS ID'!B:D,2,FALSE),$I$1),"")</f>
        <v>SUI</v>
      </c>
      <c r="J132" s="2780"/>
      <c r="K132" s="2782"/>
      <c r="L132" s="2780"/>
      <c r="M132" s="2894"/>
      <c r="N132" s="2397" t="s">
        <v>785</v>
      </c>
      <c r="O132" s="2823">
        <v>45770</v>
      </c>
      <c r="P132" s="2423" t="s">
        <v>1003</v>
      </c>
    </row>
    <row r="133" spans="1:16" ht="22.35" customHeight="1" x14ac:dyDescent="0.4">
      <c r="A133" s="2377" t="s">
        <v>235</v>
      </c>
      <c r="B133" s="2378" t="s">
        <v>235</v>
      </c>
      <c r="C133" s="2379">
        <v>10</v>
      </c>
      <c r="D133" s="2378" t="s">
        <v>933</v>
      </c>
      <c r="E133" s="2396" t="s">
        <v>1004</v>
      </c>
      <c r="G133" s="2788" t="str">
        <f>IFERROR(HYPERLINK("https://logistics.amazon.co.jp/internal/operations/execution/itineraries?operationView=true&amp;provider=ALL_DRIVERS&amp;serviceAreaId="&amp;VLOOKUP($B133,'DS ID'!B:D,2,FALSE),$G$1),"")</f>
        <v>CORTEX ver2</v>
      </c>
      <c r="H133" s="2788" t="str">
        <f>IFERROR(HYPERLINK("https://logistics.amazon.co.jp/internal/capacity/rosterview?serviceAreaId="&amp;VLOOKUP($B133,'DS ID'!B:D,2,FALSE),$H$1),"")</f>
        <v>Roster</v>
      </c>
      <c r="I133" s="2788" t="str">
        <f>IFERROR(HYPERLINK("https://logistics.amazon.co.jp/internal/scheduling/dsps?serviceAreaId="&amp;VLOOKUP($B133,'DS ID'!B:D,2,FALSE),$I$1),"")</f>
        <v>SUI</v>
      </c>
      <c r="J133" s="2780"/>
      <c r="K133" s="2782"/>
      <c r="L133" s="2780"/>
      <c r="M133" s="2787" t="s">
        <v>784</v>
      </c>
      <c r="N133" s="2397" t="s">
        <v>785</v>
      </c>
      <c r="O133" s="2395"/>
      <c r="P133" s="2393"/>
    </row>
    <row r="134" spans="1:16" ht="22.35" customHeight="1" x14ac:dyDescent="0.4">
      <c r="A134" s="2377" t="s">
        <v>1005</v>
      </c>
      <c r="B134" s="2378" t="s">
        <v>1005</v>
      </c>
      <c r="C134" s="2379">
        <v>9</v>
      </c>
      <c r="D134" s="2378" t="s">
        <v>1006</v>
      </c>
      <c r="E134" s="2396" t="s">
        <v>1007</v>
      </c>
      <c r="G134" s="2788" t="str">
        <f>IFERROR(HYPERLINK("https://logistics.amazon.co.jp/internal/operations/execution/itineraries?operationView=true&amp;provider=ALL_DRIVERS&amp;serviceAreaId="&amp;VLOOKUP($B134,'DS ID'!B:D,2,FALSE),$G$1),"")</f>
        <v>CORTEX ver2</v>
      </c>
      <c r="H134" s="2788" t="str">
        <f>IFERROR(HYPERLINK("https://logistics.amazon.co.jp/internal/capacity/rosterview?serviceAreaId="&amp;VLOOKUP($B134,'DS ID'!B:D,2,FALSE),$H$1),"")</f>
        <v>Roster</v>
      </c>
      <c r="I134" s="2788" t="str">
        <f>IFERROR(HYPERLINK("https://logistics.amazon.co.jp/internal/scheduling/dsps?serviceAreaId="&amp;VLOOKUP($B134,'DS ID'!B:D,2,FALSE),$I$1),"")</f>
        <v>SUI</v>
      </c>
      <c r="J134" s="2780"/>
      <c r="K134" s="2782"/>
      <c r="L134" s="2780"/>
      <c r="M134" s="2793" t="s">
        <v>784</v>
      </c>
      <c r="N134" s="2397" t="s">
        <v>785</v>
      </c>
      <c r="O134" s="2423" t="s">
        <v>1008</v>
      </c>
      <c r="P134" s="2393"/>
    </row>
    <row r="135" spans="1:16" ht="21.75" customHeight="1" x14ac:dyDescent="0.4">
      <c r="A135" s="2377" t="s">
        <v>1009</v>
      </c>
      <c r="B135" s="2419" t="s">
        <v>1009</v>
      </c>
      <c r="C135" s="2389">
        <v>9</v>
      </c>
      <c r="D135" s="2419" t="s">
        <v>839</v>
      </c>
      <c r="E135" s="2390" t="s">
        <v>1010</v>
      </c>
      <c r="F135" s="2389"/>
      <c r="G135" s="2788" t="str">
        <f>IFERROR(HYPERLINK("https://logistics.amazon.co.jp/internal/operations/execution/itineraries?operationView=true&amp;provider=ALL_DRIVERS&amp;serviceAreaId="&amp;VLOOKUP($B135,'DS ID'!B:D,2,FALSE),$G$1),"")</f>
        <v>CORTEX ver2</v>
      </c>
      <c r="H135" s="2788" t="str">
        <f>IFERROR(HYPERLINK("https://logistics.amazon.co.jp/internal/capacity/rosterview?serviceAreaId="&amp;VLOOKUP($B135,'DS ID'!B:D,2,FALSE),$H$1),"")</f>
        <v>Roster</v>
      </c>
      <c r="I135" s="2788" t="str">
        <f>IFERROR(HYPERLINK("https://logistics.amazon.co.jp/internal/scheduling/dsps?serviceAreaId="&amp;VLOOKUP($B135,'DS ID'!B:D,2,FALSE),$I$1),"")</f>
        <v>SUI</v>
      </c>
      <c r="J135" s="2898"/>
      <c r="K135" s="2902" t="s">
        <v>783</v>
      </c>
      <c r="L135" s="2893"/>
      <c r="M135" s="2895" t="s">
        <v>783</v>
      </c>
      <c r="N135" s="2420" t="s">
        <v>785</v>
      </c>
      <c r="O135" s="2395"/>
      <c r="P135" s="2393"/>
    </row>
    <row r="136" spans="1:16" ht="22.35" customHeight="1" x14ac:dyDescent="0.4">
      <c r="A136" s="2377" t="s">
        <v>698</v>
      </c>
      <c r="B136" s="2419" t="s">
        <v>1011</v>
      </c>
      <c r="C136" s="2389">
        <v>9</v>
      </c>
      <c r="D136" s="2419" t="s">
        <v>839</v>
      </c>
      <c r="E136" s="2390" t="s">
        <v>1012</v>
      </c>
      <c r="F136" s="2389" t="s">
        <v>847</v>
      </c>
      <c r="G136" s="2788" t="str">
        <f>IFERROR(HYPERLINK("https://logistics.amazon.co.jp/internal/operations/execution/itineraries?operationView=true&amp;provider=ALL_DRIVERS&amp;serviceAreaId="&amp;VLOOKUP($B136,'DS ID'!B:D,2,FALSE),$G$1),"")</f>
        <v>CORTEX ver2</v>
      </c>
      <c r="H136" s="2788" t="str">
        <f>IFERROR(HYPERLINK("https://logistics.amazon.co.jp/internal/capacity/rosterview?serviceAreaId="&amp;VLOOKUP($B136,'DS ID'!B:D,2,FALSE),$H$1),"")</f>
        <v>Roster</v>
      </c>
      <c r="I136" s="2788" t="str">
        <f>IFERROR(HYPERLINK("https://logistics.amazon.co.jp/internal/scheduling/dsps?serviceAreaId="&amp;VLOOKUP($B136,'DS ID'!B:D,2,FALSE),$I$1),"")</f>
        <v>SUI</v>
      </c>
      <c r="J136" s="2898"/>
      <c r="K136" s="2903"/>
      <c r="L136" s="2894"/>
      <c r="M136" s="2896"/>
      <c r="N136" s="2420" t="s">
        <v>785</v>
      </c>
      <c r="O136" s="2421"/>
      <c r="P136" s="2393"/>
    </row>
    <row r="137" spans="1:16" ht="22.35" customHeight="1" thickBot="1" x14ac:dyDescent="0.45">
      <c r="A137" s="2377" t="s">
        <v>698</v>
      </c>
      <c r="B137" s="2419" t="s">
        <v>1013</v>
      </c>
      <c r="C137" s="2389">
        <v>9</v>
      </c>
      <c r="D137" s="2419" t="s">
        <v>839</v>
      </c>
      <c r="E137" s="2390" t="s">
        <v>1014</v>
      </c>
      <c r="F137" s="2389" t="s">
        <v>801</v>
      </c>
      <c r="G137" s="2788" t="str">
        <f>IFERROR(HYPERLINK("https://logistics.amazon.co.jp/internal/operations/execution/itineraries?operationView=true&amp;provider=ALL_DRIVERS&amp;serviceAreaId="&amp;VLOOKUP($B137,'DS ID'!B:D,2,FALSE),$G$1),"")</f>
        <v>CORTEX ver2</v>
      </c>
      <c r="H137" s="2788" t="str">
        <f>IFERROR(HYPERLINK("https://logistics.amazon.co.jp/internal/capacity/rosterview?serviceAreaId="&amp;VLOOKUP($B137,'DS ID'!B:D,2,FALSE),$H$1),"")</f>
        <v>Roster</v>
      </c>
      <c r="I137" s="2788" t="str">
        <f>IFERROR(HYPERLINK("https://logistics.amazon.co.jp/internal/scheduling/dsps?serviceAreaId="&amp;VLOOKUP($B137,'DS ID'!B:D,2,FALSE),$I$1),"")</f>
        <v>SUI</v>
      </c>
      <c r="J137" s="2898"/>
      <c r="K137" s="2904"/>
      <c r="L137" s="2894"/>
      <c r="M137" s="2897"/>
      <c r="N137" s="2420" t="s">
        <v>785</v>
      </c>
      <c r="O137" s="2421"/>
      <c r="P137" s="2393"/>
    </row>
    <row r="138" spans="1:16" ht="22.35" customHeight="1" x14ac:dyDescent="0.4">
      <c r="A138" s="2377" t="s">
        <v>1015</v>
      </c>
      <c r="B138" s="2419" t="s">
        <v>1015</v>
      </c>
      <c r="C138" s="2389">
        <v>10</v>
      </c>
      <c r="D138" s="2419" t="s">
        <v>839</v>
      </c>
      <c r="E138" s="2390" t="s">
        <v>1016</v>
      </c>
      <c r="F138" s="2389"/>
      <c r="G138" s="2788" t="str">
        <f>IFERROR(HYPERLINK("https://logistics.amazon.co.jp/internal/operations/execution/itineraries?operationView=true&amp;provider=ALL_DRIVERS&amp;serviceAreaId="&amp;VLOOKUP($B138,'DS ID'!B:D,2,FALSE),$G$1),"")</f>
        <v>CORTEX ver2</v>
      </c>
      <c r="H138" s="2788" t="str">
        <f>IFERROR(HYPERLINK("https://logistics.amazon.co.jp/internal/capacity/rosterview?serviceAreaId="&amp;VLOOKUP($B138,'DS ID'!B:D,2,FALSE),$H$1),"")</f>
        <v>Roster</v>
      </c>
      <c r="I138" s="2788" t="str">
        <f>IFERROR(HYPERLINK("https://logistics.amazon.co.jp/internal/scheduling/dsps?serviceAreaId="&amp;VLOOKUP($B138,'DS ID'!B:D,2,FALSE),$I$1),"")</f>
        <v>SUI</v>
      </c>
      <c r="J138" s="2898" t="s">
        <v>870</v>
      </c>
      <c r="K138" s="2781"/>
      <c r="L138" s="2909"/>
      <c r="M138" s="2906" t="s">
        <v>895</v>
      </c>
      <c r="N138" s="2420" t="s">
        <v>434</v>
      </c>
      <c r="O138" s="2421"/>
      <c r="P138" s="2393"/>
    </row>
    <row r="139" spans="1:16" ht="22.35" customHeight="1" thickBot="1" x14ac:dyDescent="0.45">
      <c r="A139" s="2377" t="s">
        <v>1015</v>
      </c>
      <c r="B139" s="2419" t="s">
        <v>1017</v>
      </c>
      <c r="C139" s="2379">
        <v>10</v>
      </c>
      <c r="D139" s="2419" t="s">
        <v>839</v>
      </c>
      <c r="E139" s="2390" t="s">
        <v>1018</v>
      </c>
      <c r="F139" s="2389" t="s">
        <v>798</v>
      </c>
      <c r="G139" s="2788" t="str">
        <f>IFERROR(HYPERLINK("https://logistics.amazon.co.jp/internal/operations/execution/itineraries?operationView=true&amp;provider=ALL_DRIVERS&amp;serviceAreaId="&amp;VLOOKUP($B139,'DS ID'!B:D,2,FALSE),$G$1),"")</f>
        <v>CORTEX ver2</v>
      </c>
      <c r="H139" s="2788" t="str">
        <f>IFERROR(HYPERLINK("https://logistics.amazon.co.jp/internal/capacity/rosterview?serviceAreaId="&amp;VLOOKUP($B139,'DS ID'!B:D,2,FALSE),$H$1),"")</f>
        <v>Roster</v>
      </c>
      <c r="I139" s="2788" t="str">
        <f>IFERROR(HYPERLINK("https://logistics.amazon.co.jp/internal/scheduling/dsps?serviceAreaId="&amp;VLOOKUP($B139,'DS ID'!B:D,2,FALSE),$I$1),"")</f>
        <v>SUI</v>
      </c>
      <c r="J139" s="2898"/>
      <c r="K139" s="2780"/>
      <c r="L139" s="2910"/>
      <c r="M139" s="2911"/>
      <c r="N139" s="2420" t="s">
        <v>785</v>
      </c>
      <c r="O139" s="2421"/>
      <c r="P139" s="2393"/>
    </row>
    <row r="140" spans="1:16" ht="22.35" customHeight="1" x14ac:dyDescent="0.4">
      <c r="A140" s="2394" t="s">
        <v>1019</v>
      </c>
      <c r="B140" s="2388" t="s">
        <v>1019</v>
      </c>
      <c r="C140" s="2389"/>
      <c r="D140" s="2388" t="s">
        <v>839</v>
      </c>
      <c r="E140" s="2390" t="s">
        <v>1020</v>
      </c>
      <c r="F140" s="2389"/>
      <c r="G140" s="2788" t="str">
        <f>IFERROR(HYPERLINK("https://logistics.amazon.co.jp/internal/operations/execution/itineraries?operationView=true&amp;provider=ALL_DRIVERS&amp;serviceAreaId="&amp;VLOOKUP($B140,'DS ID'!B:D,2,FALSE),$G$1),"")</f>
        <v>CORTEX ver2</v>
      </c>
      <c r="H140" s="2788" t="str">
        <f>IFERROR(HYPERLINK("https://logistics.amazon.co.jp/internal/capacity/rosterview?serviceAreaId="&amp;VLOOKUP($B140,'DS ID'!B:D,2,FALSE),$H$1),"")</f>
        <v>Roster</v>
      </c>
      <c r="I140" s="2788" t="str">
        <f>IFERROR(HYPERLINK("https://logistics.amazon.co.jp/internal/scheduling/dsps?serviceAreaId="&amp;VLOOKUP($B140,'DS ID'!B:D,2,FALSE),$I$1),"")</f>
        <v>SUI</v>
      </c>
      <c r="J140" s="2780"/>
      <c r="K140" s="2780"/>
      <c r="L140" s="2422"/>
      <c r="M140" s="2794" t="s">
        <v>783</v>
      </c>
      <c r="N140" s="2420" t="s">
        <v>785</v>
      </c>
      <c r="O140" s="2423" t="s">
        <v>1021</v>
      </c>
      <c r="P140" s="2393"/>
    </row>
    <row r="141" spans="1:16" ht="22.35" customHeight="1" x14ac:dyDescent="0.4">
      <c r="A141" s="2394" t="s">
        <v>1022</v>
      </c>
      <c r="B141" s="2388" t="s">
        <v>1022</v>
      </c>
      <c r="C141" s="2389">
        <v>3</v>
      </c>
      <c r="D141" s="2388" t="s">
        <v>839</v>
      </c>
      <c r="E141" s="2390" t="s">
        <v>1023</v>
      </c>
      <c r="F141" s="2389"/>
      <c r="G141" s="2788" t="str">
        <f>IFERROR(HYPERLINK("https://logistics.amazon.co.jp/internal/operations/execution/itineraries?operationView=true&amp;provider=ALL_DRIVERS&amp;serviceAreaId="&amp;VLOOKUP($B141,'DS ID'!B:D,2,FALSE),$G$1),"")</f>
        <v>CORTEX ver2</v>
      </c>
      <c r="H141" s="2788" t="str">
        <f>IFERROR(HYPERLINK("https://logistics.amazon.co.jp/internal/capacity/rosterview?serviceAreaId="&amp;VLOOKUP($B141,'DS ID'!B:D,2,FALSE),$H$1),"")</f>
        <v>Roster</v>
      </c>
      <c r="I141" s="2788" t="str">
        <f>IFERROR(HYPERLINK("https://logistics.amazon.co.jp/internal/scheduling/dsps?serviceAreaId="&amp;VLOOKUP($B141,'DS ID'!B:D,2,FALSE),$I$1),"")</f>
        <v>SUI</v>
      </c>
      <c r="J141" s="2780"/>
      <c r="K141" s="2780"/>
      <c r="L141" s="2422"/>
      <c r="M141" s="2794" t="s">
        <v>783</v>
      </c>
      <c r="N141" s="2420" t="s">
        <v>785</v>
      </c>
      <c r="O141" s="2423" t="s">
        <v>1021</v>
      </c>
      <c r="P141" s="2393"/>
    </row>
    <row r="142" spans="1:16" ht="22.35" customHeight="1" x14ac:dyDescent="0.4">
      <c r="A142" s="2377" t="s">
        <v>303</v>
      </c>
      <c r="B142" s="2388" t="s">
        <v>303</v>
      </c>
      <c r="C142" s="2389">
        <v>8</v>
      </c>
      <c r="D142" s="2388" t="s">
        <v>1024</v>
      </c>
      <c r="E142" s="2390" t="s">
        <v>1024</v>
      </c>
      <c r="F142" s="2389"/>
      <c r="G142" s="2788" t="str">
        <f>IFERROR(HYPERLINK("https://logistics.amazon.co.jp/internal/operations/execution/itineraries?operationView=true&amp;provider=ALL_DRIVERS&amp;serviceAreaId="&amp;VLOOKUP($B142,'DS ID'!B:D,2,FALSE),$G$1),"")</f>
        <v>CORTEX ver2</v>
      </c>
      <c r="H142" s="2788" t="str">
        <f>IFERROR(HYPERLINK("https://logistics.amazon.co.jp/internal/capacity/rosterview?serviceAreaId="&amp;VLOOKUP($B142,'DS ID'!B:D,2,FALSE),$H$1),"")</f>
        <v>Roster</v>
      </c>
      <c r="I142" s="2788" t="str">
        <f>IFERROR(HYPERLINK("https://logistics.amazon.co.jp/internal/scheduling/dsps?serviceAreaId="&amp;VLOOKUP($B142,'DS ID'!B:D,2,FALSE),$I$1),"")</f>
        <v>SUI</v>
      </c>
      <c r="J142" s="2780"/>
      <c r="K142" s="2780"/>
      <c r="L142" s="2422"/>
      <c r="M142" s="2825" t="s">
        <v>873</v>
      </c>
      <c r="N142" s="2420" t="s">
        <v>785</v>
      </c>
      <c r="O142" s="2423" t="s">
        <v>1008</v>
      </c>
      <c r="P142" s="2393"/>
    </row>
    <row r="143" spans="1:16" ht="22.35" customHeight="1" x14ac:dyDescent="0.4">
      <c r="A143" s="2407" t="s">
        <v>114</v>
      </c>
      <c r="B143" s="2388" t="s">
        <v>114</v>
      </c>
      <c r="C143" s="2389">
        <v>9</v>
      </c>
      <c r="D143" s="2404" t="s">
        <v>839</v>
      </c>
      <c r="E143" s="2390" t="s">
        <v>1025</v>
      </c>
      <c r="F143" s="2389"/>
      <c r="G143" s="2788" t="str">
        <f>IFERROR(HYPERLINK("https://logistics.amazon.co.jp/internal/operations/execution/itineraries?operationView=true&amp;provider=ALL_DRIVERS&amp;serviceAreaId="&amp;VLOOKUP($B143,'DS ID'!B:D,2,FALSE),$G$1),"")</f>
        <v>CORTEX ver2</v>
      </c>
      <c r="H143" s="2788" t="str">
        <f>IFERROR(HYPERLINK("https://logistics.amazon.co.jp/internal/capacity/rosterview?serviceAreaId="&amp;VLOOKUP($B143,'DS ID'!B:D,2,FALSE),$H$1),"")</f>
        <v>Roster</v>
      </c>
      <c r="I143" s="2788" t="str">
        <f>IFERROR(HYPERLINK("https://logistics.amazon.co.jp/internal/scheduling/dsps?serviceAreaId="&amp;VLOOKUP($B143,'DS ID'!B:D,2,FALSE),$I$1),"")</f>
        <v>SUI</v>
      </c>
      <c r="J143" s="2780" t="s">
        <v>835</v>
      </c>
      <c r="K143" s="2905" t="s">
        <v>784</v>
      </c>
      <c r="L143" s="2785"/>
      <c r="M143" s="2906" t="s">
        <v>783</v>
      </c>
      <c r="N143" s="2391" t="s">
        <v>785</v>
      </c>
      <c r="O143" s="2395"/>
      <c r="P143" s="2393"/>
    </row>
    <row r="144" spans="1:16" ht="19.5" customHeight="1" x14ac:dyDescent="0.4">
      <c r="A144" s="2399" t="s">
        <v>123</v>
      </c>
      <c r="B144" s="2394" t="s">
        <v>123</v>
      </c>
      <c r="C144" s="2379">
        <v>2</v>
      </c>
      <c r="D144" s="2378" t="s">
        <v>787</v>
      </c>
      <c r="E144" s="2396" t="s">
        <v>819</v>
      </c>
      <c r="G144" s="2788" t="str">
        <f>IFERROR(HYPERLINK("https://logistics.amazon.co.jp/internal/operations/execution/itineraries?operationView=true&amp;provider=ALL_DRIVERS&amp;serviceAreaId="&amp;VLOOKUP($B144,'DS ID'!B:D,2,FALSE),$G$1),"")</f>
        <v>CORTEX ver2</v>
      </c>
      <c r="H144" s="2788" t="str">
        <f>IFERROR(HYPERLINK("https://logistics.amazon.co.jp/internal/capacity/rosterview?serviceAreaId="&amp;VLOOKUP($B144,'DS ID'!B:D,2,FALSE),$H$1),"")</f>
        <v>Roster</v>
      </c>
      <c r="I144" s="2788" t="str">
        <f>IFERROR(HYPERLINK("https://logistics.amazon.co.jp/internal/scheduling/dsps?serviceAreaId="&amp;VLOOKUP($B144,'DS ID'!B:D,2,FALSE),$I$1),"")</f>
        <v>SUI</v>
      </c>
      <c r="J144" s="2780"/>
      <c r="K144" s="2886"/>
      <c r="L144" s="2908"/>
      <c r="M144" s="2907"/>
      <c r="N144" s="2391" t="s">
        <v>785</v>
      </c>
      <c r="O144" s="2424"/>
    </row>
    <row r="145" spans="1:16" ht="22.35" customHeight="1" x14ac:dyDescent="0.4">
      <c r="A145" s="2399" t="s">
        <v>137</v>
      </c>
      <c r="B145" s="2394" t="s">
        <v>137</v>
      </c>
      <c r="C145" s="2379">
        <v>8</v>
      </c>
      <c r="D145" s="2378" t="s">
        <v>1026</v>
      </c>
      <c r="E145" s="2396" t="s">
        <v>1027</v>
      </c>
      <c r="G145" s="2788" t="str">
        <f>IFERROR(HYPERLINK("https://logistics.amazon.co.jp/internal/operations/execution/itineraries?operationView=true&amp;provider=ALL_DRIVERS&amp;serviceAreaId="&amp;VLOOKUP($B145,'DS ID'!B:D,2,FALSE),$G$1),"")</f>
        <v>CORTEX ver2</v>
      </c>
      <c r="H145" s="2788" t="str">
        <f>IFERROR(HYPERLINK("https://logistics.amazon.co.jp/internal/capacity/rosterview?serviceAreaId="&amp;VLOOKUP($B145,'DS ID'!B:D,2,FALSE),$H$1),"")</f>
        <v>Roster</v>
      </c>
      <c r="I145" s="2788" t="str">
        <f>IFERROR(HYPERLINK("https://logistics.amazon.co.jp/internal/scheduling/dsps?serviceAreaId="&amp;VLOOKUP($B145,'DS ID'!B:D,2,FALSE),$I$1),"")</f>
        <v>SUI</v>
      </c>
      <c r="J145" s="2780"/>
      <c r="K145" s="2886"/>
      <c r="L145" s="2908"/>
      <c r="M145" s="2907"/>
      <c r="N145" s="2397" t="s">
        <v>785</v>
      </c>
      <c r="O145" s="2398"/>
      <c r="P145" s="2393"/>
    </row>
    <row r="146" spans="1:16" ht="22.35" customHeight="1" x14ac:dyDescent="0.4">
      <c r="A146" s="2399" t="s">
        <v>150</v>
      </c>
      <c r="B146" s="2394" t="s">
        <v>150</v>
      </c>
      <c r="C146" s="2379">
        <v>8</v>
      </c>
      <c r="D146" s="2378" t="s">
        <v>1026</v>
      </c>
      <c r="E146" s="2396" t="s">
        <v>1028</v>
      </c>
      <c r="G146" s="2788" t="str">
        <f>IFERROR(HYPERLINK("https://logistics.amazon.co.jp/internal/operations/execution/itineraries?operationView=true&amp;provider=ALL_DRIVERS&amp;serviceAreaId="&amp;VLOOKUP($B146,'DS ID'!B:D,2,FALSE),$G$1),"")</f>
        <v>CORTEX ver2</v>
      </c>
      <c r="H146" s="2788" t="str">
        <f>IFERROR(HYPERLINK("https://logistics.amazon.co.jp/internal/capacity/rosterview?serviceAreaId="&amp;VLOOKUP($B146,'DS ID'!B:D,2,FALSE),$H$1),"")</f>
        <v>Roster</v>
      </c>
      <c r="I146" s="2788" t="str">
        <f>IFERROR(HYPERLINK("https://logistics.amazon.co.jp/internal/scheduling/dsps?serviceAreaId="&amp;VLOOKUP($B146,'DS ID'!B:D,2,FALSE),$I$1),"")</f>
        <v>SUI</v>
      </c>
      <c r="J146" s="2780"/>
      <c r="K146" s="2886"/>
      <c r="L146" s="2908"/>
      <c r="M146" s="2907"/>
      <c r="N146" s="2397" t="s">
        <v>785</v>
      </c>
      <c r="O146" s="2398"/>
      <c r="P146" s="2393"/>
    </row>
    <row r="147" spans="1:16" ht="22.35" customHeight="1" x14ac:dyDescent="0.4">
      <c r="A147" s="2377" t="s">
        <v>1029</v>
      </c>
      <c r="B147" s="2378" t="s">
        <v>1029</v>
      </c>
      <c r="C147" s="2379">
        <v>9</v>
      </c>
      <c r="D147" s="2404" t="s">
        <v>1030</v>
      </c>
      <c r="E147" s="2390" t="s">
        <v>1031</v>
      </c>
      <c r="G147" s="2788" t="str">
        <f>IFERROR(HYPERLINK("https://logistics.amazon.co.jp/internal/operations/execution/itineraries?operationView=true&amp;provider=ALL_DRIVERS&amp;serviceAreaId="&amp;VLOOKUP($B147,'DS ID'!B:D,2,FALSE),$G$1),"")</f>
        <v>CORTEX ver2</v>
      </c>
      <c r="H147" s="2788" t="str">
        <f>IFERROR(HYPERLINK("https://logistics.amazon.co.jp/internal/capacity/rosterview?serviceAreaId="&amp;VLOOKUP($B147,'DS ID'!B:D,2,FALSE),$H$1),"")</f>
        <v>Roster</v>
      </c>
      <c r="I147" s="2788" t="str">
        <f>IFERROR(HYPERLINK("https://logistics.amazon.co.jp/internal/scheduling/dsps?serviceAreaId="&amp;VLOOKUP($B147,'DS ID'!B:D,2,FALSE),$I$1),"")</f>
        <v>SUI</v>
      </c>
      <c r="J147" s="2780"/>
      <c r="K147" s="2886"/>
      <c r="L147" s="2908"/>
      <c r="M147" s="2907"/>
      <c r="N147" s="2397" t="s">
        <v>785</v>
      </c>
      <c r="O147" s="2410"/>
      <c r="P147" s="2393"/>
    </row>
    <row r="148" spans="1:16" ht="22.35" customHeight="1" x14ac:dyDescent="0.4">
      <c r="A148" s="2377" t="s">
        <v>174</v>
      </c>
      <c r="B148" s="2378" t="s">
        <v>174</v>
      </c>
      <c r="C148" s="2379">
        <v>4</v>
      </c>
      <c r="D148" s="2404" t="s">
        <v>812</v>
      </c>
      <c r="E148" s="2390" t="s">
        <v>1032</v>
      </c>
      <c r="G148" s="2788" t="str">
        <f>IFERROR(HYPERLINK("https://logistics.amazon.co.jp/internal/operations/execution/itineraries?operationView=true&amp;provider=ALL_DRIVERS&amp;serviceAreaId="&amp;VLOOKUP($B148,'DS ID'!B:D,2,FALSE),$G$1),"")</f>
        <v>CORTEX ver2</v>
      </c>
      <c r="H148" s="2788" t="str">
        <f>IFERROR(HYPERLINK("https://logistics.amazon.co.jp/internal/capacity/rosterview?serviceAreaId="&amp;VLOOKUP($B148,'DS ID'!B:D,2,FALSE),$H$1),"")</f>
        <v>Roster</v>
      </c>
      <c r="I148" s="2788" t="str">
        <f>IFERROR(HYPERLINK("https://logistics.amazon.co.jp/internal/scheduling/dsps?serviceAreaId="&amp;VLOOKUP($B148,'DS ID'!B:D,2,FALSE),$I$1),"")</f>
        <v>SUI</v>
      </c>
      <c r="J148" s="2780"/>
      <c r="K148" s="2886"/>
      <c r="L148" s="2908"/>
      <c r="M148" s="2907"/>
      <c r="N148" s="2397" t="s">
        <v>785</v>
      </c>
      <c r="O148" s="2410"/>
      <c r="P148" s="2393"/>
    </row>
    <row r="149" spans="1:16" ht="22.35" customHeight="1" x14ac:dyDescent="0.4">
      <c r="A149" s="2377" t="s">
        <v>1033</v>
      </c>
      <c r="B149" s="2378" t="s">
        <v>1033</v>
      </c>
      <c r="C149" s="2379">
        <v>2</v>
      </c>
      <c r="D149" s="2404" t="s">
        <v>812</v>
      </c>
      <c r="E149" s="2390" t="s">
        <v>1034</v>
      </c>
      <c r="G149" s="2788" t="str">
        <f>IFERROR(HYPERLINK("https://logistics.amazon.co.jp/internal/operations/execution/itineraries?operationView=true&amp;provider=ALL_DRIVERS&amp;serviceAreaId="&amp;VLOOKUP($B149,'DS ID'!B:D,2,FALSE),$G$1),"")</f>
        <v>CORTEX ver2</v>
      </c>
      <c r="H149" s="2788" t="str">
        <f>IFERROR(HYPERLINK("https://logistics.amazon.co.jp/internal/capacity/rosterview?serviceAreaId="&amp;VLOOKUP($B149,'DS ID'!B:D,2,FALSE),$H$1),"")</f>
        <v>Roster</v>
      </c>
      <c r="I149" s="2788" t="str">
        <f>IFERROR(HYPERLINK("https://logistics.amazon.co.jp/internal/scheduling/dsps?serviceAreaId="&amp;VLOOKUP($B149,'DS ID'!B:D,2,FALSE),$I$1),"")</f>
        <v>SUI</v>
      </c>
      <c r="J149" s="2780"/>
      <c r="K149" s="2886"/>
      <c r="L149" s="2908"/>
      <c r="M149" s="2907"/>
      <c r="N149" s="2397" t="s">
        <v>785</v>
      </c>
      <c r="O149" s="2410"/>
      <c r="P149" s="2393"/>
    </row>
    <row r="150" spans="1:16" ht="22.35" customHeight="1" x14ac:dyDescent="0.4">
      <c r="A150" s="2377" t="s">
        <v>1035</v>
      </c>
      <c r="B150" s="2378" t="s">
        <v>1035</v>
      </c>
      <c r="C150" s="2379">
        <v>2</v>
      </c>
      <c r="D150" s="2404" t="s">
        <v>1036</v>
      </c>
      <c r="E150" s="2390" t="s">
        <v>1037</v>
      </c>
      <c r="G150" s="2788" t="str">
        <f>IFERROR(HYPERLINK("https://logistics.amazon.co.jp/internal/operations/execution/itineraries?operationView=true&amp;provider=ALL_DRIVERS&amp;serviceAreaId="&amp;VLOOKUP($B150,'DS ID'!B:D,2,FALSE),$G$1),"")</f>
        <v>CORTEX ver2</v>
      </c>
      <c r="H150" s="2788" t="str">
        <f>IFERROR(HYPERLINK("https://logistics.amazon.co.jp/internal/capacity/rosterview?serviceAreaId="&amp;VLOOKUP($B150,'DS ID'!B:D,2,FALSE),$H$1),"")</f>
        <v>Roster</v>
      </c>
      <c r="I150" s="2788" t="str">
        <f>IFERROR(HYPERLINK("https://logistics.amazon.co.jp/internal/scheduling/dsps?serviceAreaId="&amp;VLOOKUP($B150,'DS ID'!B:D,2,FALSE),$I$1),"")</f>
        <v>SUI</v>
      </c>
      <c r="J150" s="2780"/>
      <c r="K150" s="2886"/>
      <c r="L150" s="2908"/>
      <c r="M150" s="2907"/>
      <c r="N150" s="2397" t="s">
        <v>785</v>
      </c>
      <c r="O150" s="2410"/>
      <c r="P150" s="2393"/>
    </row>
    <row r="151" spans="1:16" ht="22.35" customHeight="1" x14ac:dyDescent="0.4">
      <c r="A151" s="2377" t="s">
        <v>304</v>
      </c>
      <c r="B151" s="2378" t="s">
        <v>304</v>
      </c>
      <c r="C151" s="2379">
        <v>9</v>
      </c>
      <c r="D151" s="2404" t="s">
        <v>1038</v>
      </c>
      <c r="E151" s="2404" t="s">
        <v>1038</v>
      </c>
      <c r="G151" s="2788" t="str">
        <f>IFERROR(HYPERLINK("https://logistics.amazon.co.jp/internal/operations/execution/itineraries?operationView=true&amp;provider=ALL_DRIVERS&amp;serviceAreaId="&amp;VLOOKUP($B151,'DS ID'!B:D,2,FALSE),$G$1),"")</f>
        <v>CORTEX ver2</v>
      </c>
      <c r="H151" s="2788" t="str">
        <f>IFERROR(HYPERLINK("https://logistics.amazon.co.jp/internal/capacity/rosterview?serviceAreaId="&amp;VLOOKUP($B151,'DS ID'!B:D,2,FALSE),$H$1),"")</f>
        <v>Roster</v>
      </c>
      <c r="I151" s="2788" t="str">
        <f>IFERROR(HYPERLINK("https://logistics.amazon.co.jp/internal/scheduling/dsps?serviceAreaId="&amp;VLOOKUP($B151,'DS ID'!B:D,2,FALSE),$I$1),"")</f>
        <v>SUI</v>
      </c>
      <c r="J151" s="2780"/>
      <c r="K151" s="2886"/>
      <c r="L151" s="2908"/>
      <c r="M151" s="2907"/>
      <c r="N151" s="2397" t="s">
        <v>785</v>
      </c>
      <c r="O151" s="2410"/>
      <c r="P151" s="2393"/>
    </row>
    <row r="152" spans="1:16" ht="22.35" customHeight="1" x14ac:dyDescent="0.4">
      <c r="A152" s="2377" t="s">
        <v>1039</v>
      </c>
      <c r="B152" s="2378" t="s">
        <v>231</v>
      </c>
      <c r="C152" s="2379">
        <v>6</v>
      </c>
      <c r="D152" s="2404" t="s">
        <v>869</v>
      </c>
      <c r="E152" s="2390" t="s">
        <v>1040</v>
      </c>
      <c r="G152" s="2788" t="str">
        <f>IFERROR(HYPERLINK("https://logistics.amazon.co.jp/internal/operations/execution/itineraries?operationView=true&amp;provider=ALL_DRIVERS&amp;serviceAreaId="&amp;VLOOKUP($B152,'DS ID'!B:D,2,FALSE),$G$1),"")</f>
        <v>CORTEX ver2</v>
      </c>
      <c r="H152" s="2788" t="str">
        <f>IFERROR(HYPERLINK("https://logistics.amazon.co.jp/internal/capacity/rosterview?serviceAreaId="&amp;VLOOKUP($B152,'DS ID'!B:D,2,FALSE),$H$1),"")</f>
        <v>Roster</v>
      </c>
      <c r="I152" s="2788" t="str">
        <f>IFERROR(HYPERLINK("https://logistics.amazon.co.jp/internal/scheduling/dsps?serviceAreaId="&amp;VLOOKUP($B152,'DS ID'!B:D,2,FALSE),$I$1),"")</f>
        <v>SUI</v>
      </c>
      <c r="J152" s="2780" t="s">
        <v>835</v>
      </c>
      <c r="K152" s="2886"/>
      <c r="L152" s="2908"/>
      <c r="M152" s="2907"/>
      <c r="N152" s="2397" t="s">
        <v>785</v>
      </c>
      <c r="O152" s="2395"/>
      <c r="P152" s="2393"/>
    </row>
    <row r="153" spans="1:16" ht="22.35" customHeight="1" x14ac:dyDescent="0.4">
      <c r="A153" s="2377" t="s">
        <v>1041</v>
      </c>
      <c r="B153" s="2378" t="s">
        <v>1041</v>
      </c>
      <c r="C153" s="2379">
        <v>6</v>
      </c>
      <c r="D153" s="2404" t="s">
        <v>1042</v>
      </c>
      <c r="E153" s="2390" t="s">
        <v>1043</v>
      </c>
      <c r="G153" s="2788" t="str">
        <f>IFERROR(HYPERLINK("https://logistics.amazon.co.jp/internal/operations/execution/itineraries?operationView=true&amp;provider=ALL_DRIVERS&amp;serviceAreaId="&amp;VLOOKUP($B153,'DS ID'!B:D,2,FALSE),$G$1),"")</f>
        <v>CORTEX ver2</v>
      </c>
      <c r="H153" s="2788" t="str">
        <f>IFERROR(HYPERLINK("https://logistics.amazon.co.jp/internal/capacity/rosterview?serviceAreaId="&amp;VLOOKUP($B153,'DS ID'!B:D,2,FALSE),$H$1),"")</f>
        <v>Roster</v>
      </c>
      <c r="I153" s="2788" t="str">
        <f>IFERROR(HYPERLINK("https://logistics.amazon.co.jp/internal/scheduling/dsps?serviceAreaId="&amp;VLOOKUP($B153,'DS ID'!B:D,2,FALSE),$I$1),"")</f>
        <v>SUI</v>
      </c>
      <c r="J153" s="2780"/>
      <c r="K153" s="2886"/>
      <c r="L153" s="2908"/>
      <c r="M153" s="2907"/>
      <c r="N153" s="2397" t="s">
        <v>785</v>
      </c>
      <c r="O153" s="2395"/>
      <c r="P153" s="2393"/>
    </row>
    <row r="154" spans="1:16" ht="22.35" customHeight="1" x14ac:dyDescent="0.4">
      <c r="A154" s="2377" t="s">
        <v>1044</v>
      </c>
      <c r="B154" s="2378" t="s">
        <v>246</v>
      </c>
      <c r="C154" s="2379">
        <v>6</v>
      </c>
      <c r="D154" s="2404" t="s">
        <v>869</v>
      </c>
      <c r="E154" s="2390" t="s">
        <v>1045</v>
      </c>
      <c r="G154" s="2788" t="str">
        <f>IFERROR(HYPERLINK("https://logistics.amazon.co.jp/internal/operations/execution/itineraries?operationView=true&amp;provider=ALL_DRIVERS&amp;serviceAreaId="&amp;VLOOKUP($B154,'DS ID'!B:D,2,FALSE),$G$1),"")</f>
        <v>CORTEX ver2</v>
      </c>
      <c r="H154" s="2788" t="str">
        <f>IFERROR(HYPERLINK("https://logistics.amazon.co.jp/internal/capacity/rosterview?serviceAreaId="&amp;VLOOKUP($B154,'DS ID'!B:D,2,FALSE),$H$1),"")</f>
        <v>Roster</v>
      </c>
      <c r="I154" s="2788" t="str">
        <f>IFERROR(HYPERLINK("https://logistics.amazon.co.jp/internal/scheduling/dsps?serviceAreaId="&amp;VLOOKUP($B154,'DS ID'!B:D,2,FALSE),$I$1),"")</f>
        <v>SUI</v>
      </c>
      <c r="J154" s="2780"/>
      <c r="K154" s="2886"/>
      <c r="L154" s="2908"/>
      <c r="M154" s="2907"/>
      <c r="N154" s="2397" t="s">
        <v>785</v>
      </c>
      <c r="O154" s="2395"/>
      <c r="P154" s="2393"/>
    </row>
    <row r="155" spans="1:16" x14ac:dyDescent="0.4">
      <c r="A155" s="2394" t="s">
        <v>146</v>
      </c>
      <c r="B155" s="2378" t="s">
        <v>146</v>
      </c>
      <c r="C155" s="2379">
        <v>10</v>
      </c>
      <c r="D155" s="2404" t="s">
        <v>1046</v>
      </c>
      <c r="E155" s="2412" t="s">
        <v>1047</v>
      </c>
      <c r="G155" s="2788" t="str">
        <f>IFERROR(HYPERLINK("https://logistics.amazon.co.jp/internal/operations/execution/itineraries?operationView=true&amp;provider=ALL_DRIVERS&amp;serviceAreaId="&amp;VLOOKUP($B155,'DS ID'!B:D,2,FALSE),$G$1),"")</f>
        <v>CORTEX ver2</v>
      </c>
      <c r="H155" s="2788" t="str">
        <f>IFERROR(HYPERLINK("https://logistics.amazon.co.jp/internal/capacity/rosterview?serviceAreaId="&amp;VLOOKUP($B155,'DS ID'!B:D,2,FALSE),$H$1),"")</f>
        <v>Roster</v>
      </c>
      <c r="I155" s="2788" t="str">
        <f>IFERROR(HYPERLINK("https://logistics.amazon.co.jp/internal/scheduling/dsps?serviceAreaId="&amp;VLOOKUP($B155,'DS ID'!B:D,2,FALSE),$I$1),"")</f>
        <v>SUI</v>
      </c>
      <c r="J155" s="2780"/>
      <c r="K155" s="2886"/>
      <c r="L155" s="2908"/>
      <c r="M155" s="2907"/>
      <c r="N155" s="2397" t="s">
        <v>785</v>
      </c>
      <c r="O155" s="2395"/>
      <c r="P155" s="2393"/>
    </row>
    <row r="156" spans="1:16" x14ac:dyDescent="0.4">
      <c r="A156" s="2394" t="s">
        <v>206</v>
      </c>
      <c r="B156" s="2378" t="s">
        <v>206</v>
      </c>
      <c r="C156" s="2379">
        <v>10</v>
      </c>
      <c r="D156" s="2404" t="s">
        <v>1046</v>
      </c>
      <c r="E156" s="2412" t="s">
        <v>1048</v>
      </c>
      <c r="G156" s="2788" t="str">
        <f>IFERROR(HYPERLINK("https://logistics.amazon.co.jp/internal/operations/execution/itineraries?operationView=true&amp;provider=ALL_DRIVERS&amp;serviceAreaId="&amp;VLOOKUP($B156,'DS ID'!B:D,2,FALSE),$G$1),"")</f>
        <v>CORTEX ver2</v>
      </c>
      <c r="H156" s="2788" t="str">
        <f>IFERROR(HYPERLINK("https://logistics.amazon.co.jp/internal/capacity/rosterview?serviceAreaId="&amp;VLOOKUP($B156,'DS ID'!B:D,2,FALSE),$H$1),"")</f>
        <v>Roster</v>
      </c>
      <c r="I156" s="2788" t="str">
        <f>IFERROR(HYPERLINK("https://logistics.amazon.co.jp/internal/scheduling/dsps?serviceAreaId="&amp;VLOOKUP($B156,'DS ID'!B:D,2,FALSE),$I$1),"")</f>
        <v>SUI</v>
      </c>
      <c r="J156" s="2780"/>
      <c r="K156" s="2886"/>
      <c r="L156" s="2908"/>
      <c r="M156" s="2907"/>
      <c r="N156" s="2397" t="s">
        <v>785</v>
      </c>
      <c r="O156" s="2395"/>
      <c r="P156" s="2393"/>
    </row>
    <row r="157" spans="1:16" x14ac:dyDescent="0.4">
      <c r="A157" s="2377" t="s">
        <v>1049</v>
      </c>
      <c r="B157" s="2378" t="s">
        <v>250</v>
      </c>
      <c r="C157" s="2379">
        <v>5</v>
      </c>
      <c r="D157" s="2378" t="s">
        <v>1050</v>
      </c>
      <c r="E157" s="2396" t="s">
        <v>1051</v>
      </c>
      <c r="G157" s="2788" t="str">
        <f>IFERROR(HYPERLINK("https://logistics.amazon.co.jp/internal/operations/execution/itineraries?operationView=true&amp;provider=ALL_DRIVERS&amp;serviceAreaId="&amp;VLOOKUP($B157,'DS ID'!B:D,2,FALSE),$G$1),"")</f>
        <v>CORTEX ver2</v>
      </c>
      <c r="H157" s="2788" t="str">
        <f>IFERROR(HYPERLINK("https://logistics.amazon.co.jp/internal/capacity/rosterview?serviceAreaId="&amp;VLOOKUP($B157,'DS ID'!B:D,2,FALSE),$H$1),"")</f>
        <v>Roster</v>
      </c>
      <c r="I157" s="2788" t="str">
        <f>IFERROR(HYPERLINK("https://logistics.amazon.co.jp/internal/scheduling/dsps?serviceAreaId="&amp;VLOOKUP($B157,'DS ID'!B:D,2,FALSE),$I$1),"")</f>
        <v>SUI</v>
      </c>
      <c r="J157" s="2780"/>
      <c r="K157" s="2886"/>
      <c r="L157" s="2908"/>
      <c r="M157" s="2907"/>
      <c r="N157" s="2397" t="s">
        <v>785</v>
      </c>
      <c r="O157" s="2398"/>
      <c r="P157" s="2393"/>
    </row>
    <row r="158" spans="1:16" x14ac:dyDescent="0.4">
      <c r="A158" s="2399" t="s">
        <v>1052</v>
      </c>
      <c r="B158" s="2378" t="s">
        <v>255</v>
      </c>
      <c r="C158" s="2379">
        <v>5</v>
      </c>
      <c r="D158" s="2378" t="s">
        <v>1053</v>
      </c>
      <c r="E158" s="2396" t="s">
        <v>1053</v>
      </c>
      <c r="G158" s="2788" t="str">
        <f>IFERROR(HYPERLINK("https://logistics.amazon.co.jp/internal/operations/execution/itineraries?operationView=true&amp;provider=ALL_DRIVERS&amp;serviceAreaId="&amp;VLOOKUP($B158,'DS ID'!B:D,2,FALSE),$G$1),"")</f>
        <v>CORTEX ver2</v>
      </c>
      <c r="H158" s="2788" t="str">
        <f>IFERROR(HYPERLINK("https://logistics.amazon.co.jp/internal/capacity/rosterview?serviceAreaId="&amp;VLOOKUP($B158,'DS ID'!B:D,2,FALSE),$H$1),"")</f>
        <v>Roster</v>
      </c>
      <c r="I158" s="2788" t="str">
        <f>IFERROR(HYPERLINK("https://logistics.amazon.co.jp/internal/scheduling/dsps?serviceAreaId="&amp;VLOOKUP($B158,'DS ID'!B:D,2,FALSE),$I$1),"")</f>
        <v>SUI</v>
      </c>
      <c r="J158" s="2780"/>
      <c r="K158" s="2886"/>
      <c r="L158" s="2908"/>
      <c r="M158" s="2907"/>
      <c r="N158" s="2397" t="s">
        <v>785</v>
      </c>
      <c r="O158" s="2398"/>
      <c r="P158" s="2393"/>
    </row>
    <row r="159" spans="1:16" x14ac:dyDescent="0.4">
      <c r="A159" s="2399" t="s">
        <v>300</v>
      </c>
      <c r="B159" s="2378" t="s">
        <v>262</v>
      </c>
      <c r="C159" s="2379">
        <v>5</v>
      </c>
      <c r="D159" s="2378" t="s">
        <v>1054</v>
      </c>
      <c r="E159" s="2396" t="s">
        <v>1054</v>
      </c>
      <c r="G159" s="2788" t="str">
        <f>IFERROR(HYPERLINK("https://logistics.amazon.co.jp/internal/operations/execution/itineraries?operationView=true&amp;provider=ALL_DRIVERS&amp;serviceAreaId="&amp;VLOOKUP($B159,'DS ID'!B:D,2,FALSE),$G$1),"")</f>
        <v>CORTEX ver2</v>
      </c>
      <c r="H159" s="2788" t="str">
        <f>IFERROR(HYPERLINK("https://logistics.amazon.co.jp/internal/capacity/rosterview?serviceAreaId="&amp;VLOOKUP($B159,'DS ID'!B:D,2,FALSE),$H$1),"")</f>
        <v>Roster</v>
      </c>
      <c r="I159" s="2788" t="str">
        <f>IFERROR(HYPERLINK("https://logistics.amazon.co.jp/internal/scheduling/dsps?serviceAreaId="&amp;VLOOKUP($B159,'DS ID'!B:D,2,FALSE),$I$1),"")</f>
        <v>SUI</v>
      </c>
      <c r="J159" s="2780"/>
      <c r="K159" s="2886"/>
      <c r="L159" s="2908"/>
      <c r="M159" s="2907"/>
      <c r="N159" s="2397" t="s">
        <v>785</v>
      </c>
      <c r="O159" s="2398"/>
      <c r="P159" s="2393"/>
    </row>
    <row r="160" spans="1:16" x14ac:dyDescent="0.4">
      <c r="A160" s="2399" t="s">
        <v>302</v>
      </c>
      <c r="B160" s="2378" t="s">
        <v>274</v>
      </c>
      <c r="C160" s="2379">
        <v>5</v>
      </c>
      <c r="D160" s="2378" t="s">
        <v>1055</v>
      </c>
      <c r="E160" s="2396" t="s">
        <v>1055</v>
      </c>
      <c r="G160" s="2788" t="str">
        <f>IFERROR(HYPERLINK("https://logistics.amazon.co.jp/internal/operations/execution/itineraries?operationView=true&amp;provider=ALL_DRIVERS&amp;serviceAreaId="&amp;VLOOKUP($B160,'DS ID'!B:D,2,FALSE),$G$1),"")</f>
        <v>CORTEX ver2</v>
      </c>
      <c r="H160" s="2788" t="str">
        <f>IFERROR(HYPERLINK("https://logistics.amazon.co.jp/internal/capacity/rosterview?serviceAreaId="&amp;VLOOKUP($B160,'DS ID'!B:D,2,FALSE),$H$1),"")</f>
        <v>Roster</v>
      </c>
      <c r="I160" s="2788" t="str">
        <f>IFERROR(HYPERLINK("https://logistics.amazon.co.jp/internal/scheduling/dsps?serviceAreaId="&amp;VLOOKUP($B160,'DS ID'!B:D,2,FALSE),$I$1),"")</f>
        <v>SUI</v>
      </c>
      <c r="J160" s="2780"/>
      <c r="K160" s="2886"/>
      <c r="L160" s="2908"/>
      <c r="M160" s="2907"/>
      <c r="N160" s="2397" t="s">
        <v>785</v>
      </c>
      <c r="O160" s="2398"/>
      <c r="P160" s="2393"/>
    </row>
    <row r="161" spans="1:18" x14ac:dyDescent="0.4">
      <c r="A161" s="2377" t="s">
        <v>1056</v>
      </c>
      <c r="B161" s="2378" t="s">
        <v>281</v>
      </c>
      <c r="C161" s="2379">
        <v>7</v>
      </c>
      <c r="D161" s="2378" t="s">
        <v>1057</v>
      </c>
      <c r="E161" s="2396" t="s">
        <v>1058</v>
      </c>
      <c r="G161" s="2788" t="str">
        <f>IFERROR(HYPERLINK("https://logistics.amazon.co.jp/internal/operations/execution/itineraries?operationView=true&amp;provider=ALL_DRIVERS&amp;serviceAreaId="&amp;VLOOKUP($B161,'DS ID'!B:D,2,FALSE),$G$1),"")</f>
        <v>CORTEX ver2</v>
      </c>
      <c r="H161" s="2788" t="str">
        <f>IFERROR(HYPERLINK("https://logistics.amazon.co.jp/internal/capacity/rosterview?serviceAreaId="&amp;VLOOKUP($B161,'DS ID'!B:D,2,FALSE),$H$1),"")</f>
        <v>Roster</v>
      </c>
      <c r="I161" s="2788" t="str">
        <f>IFERROR(HYPERLINK("https://logistics.amazon.co.jp/internal/scheduling/dsps?serviceAreaId="&amp;VLOOKUP($B161,'DS ID'!B:D,2,FALSE),$I$1),"")</f>
        <v>SUI</v>
      </c>
      <c r="J161" s="2780" t="s">
        <v>835</v>
      </c>
      <c r="K161" s="2886"/>
      <c r="L161" s="2908"/>
      <c r="M161" s="2907"/>
      <c r="N161" s="2397" t="s">
        <v>785</v>
      </c>
      <c r="O161" s="2398"/>
      <c r="P161" s="2393"/>
    </row>
    <row r="162" spans="1:18" ht="19.5" hidden="1" customHeight="1" x14ac:dyDescent="0.4">
      <c r="A162" s="2377" t="s">
        <v>1059</v>
      </c>
      <c r="B162" s="2378" t="s">
        <v>1059</v>
      </c>
      <c r="D162" s="2404" t="s">
        <v>833</v>
      </c>
      <c r="E162" s="2390" t="s">
        <v>1060</v>
      </c>
      <c r="G162" s="2788" t="str">
        <f>IFERROR(HYPERLINK("https://logistics.amazon.co.jp/internal/operations/execution/itineraries?operationView=true&amp;provider=ALL_DRIVERS&amp;serviceAreaId="&amp;VLOOKUP($B162,'DS ID'!B:D,2,FALSE),$G$1),"")</f>
        <v/>
      </c>
      <c r="H162" s="2788" t="str">
        <f>IFERROR(HYPERLINK("https://logistics.amazon.co.jp/internal/capacity/rosterview?serviceAreaId="&amp;VLOOKUP($B162,'DS ID'!B:D,2,FALSE),$H$1),"")</f>
        <v/>
      </c>
      <c r="I162" s="2788" t="str">
        <f>IFERROR(HYPERLINK("https://logistics.amazon.co.jp/internal/scheduling/dsps?serviceAreaId="&amp;VLOOKUP($B162,'DS ID'!B:D,2,FALSE),$I$1),"")</f>
        <v/>
      </c>
      <c r="J162" s="2425"/>
      <c r="K162" s="2886"/>
      <c r="L162" s="2908"/>
      <c r="M162" s="2907"/>
      <c r="N162" s="2397" t="s">
        <v>967</v>
      </c>
      <c r="O162" s="2406"/>
    </row>
    <row r="163" spans="1:18" x14ac:dyDescent="0.4">
      <c r="A163" s="2399" t="s">
        <v>1061</v>
      </c>
      <c r="B163" s="2378" t="s">
        <v>289</v>
      </c>
      <c r="C163" s="2379">
        <v>7</v>
      </c>
      <c r="D163" s="2378" t="s">
        <v>1057</v>
      </c>
      <c r="E163" s="2396" t="s">
        <v>1062</v>
      </c>
      <c r="G163" s="2788" t="str">
        <f>IFERROR(HYPERLINK("https://logistics.amazon.co.jp/internal/operations/execution/itineraries?operationView=true&amp;provider=ALL_DRIVERS&amp;serviceAreaId="&amp;VLOOKUP($B163,'DS ID'!B:D,2,FALSE),$G$1),"")</f>
        <v>CORTEX ver2</v>
      </c>
      <c r="H163" s="2788" t="str">
        <f>IFERROR(HYPERLINK("https://logistics.amazon.co.jp/internal/capacity/rosterview?serviceAreaId="&amp;VLOOKUP($B163,'DS ID'!B:D,2,FALSE),$H$1),"")</f>
        <v>Roster</v>
      </c>
      <c r="I163" s="2788" t="str">
        <f>IFERROR(HYPERLINK("https://logistics.amazon.co.jp/internal/scheduling/dsps?serviceAreaId="&amp;VLOOKUP($B163,'DS ID'!B:D,2,FALSE),$I$1),"")</f>
        <v>SUI</v>
      </c>
      <c r="J163" s="2780" t="s">
        <v>835</v>
      </c>
      <c r="K163" s="2886"/>
      <c r="L163" s="2908"/>
      <c r="M163" s="2907"/>
      <c r="N163" s="2397" t="s">
        <v>785</v>
      </c>
      <c r="O163" s="2398"/>
      <c r="P163" s="2393"/>
    </row>
    <row r="164" spans="1:18" x14ac:dyDescent="0.4">
      <c r="A164" s="2399" t="s">
        <v>1063</v>
      </c>
      <c r="B164" s="2378" t="s">
        <v>295</v>
      </c>
      <c r="C164" s="2379">
        <v>7</v>
      </c>
      <c r="D164" s="2404" t="s">
        <v>1064</v>
      </c>
      <c r="E164" s="2390" t="s">
        <v>1065</v>
      </c>
      <c r="G164" s="2788" t="str">
        <f>IFERROR(HYPERLINK("https://logistics.amazon.co.jp/internal/operations/execution/itineraries?operationView=true&amp;provider=ALL_DRIVERS&amp;serviceAreaId="&amp;VLOOKUP($B164,'DS ID'!B:D,2,FALSE),$G$1),"")</f>
        <v>CORTEX ver2</v>
      </c>
      <c r="H164" s="2788" t="str">
        <f>IFERROR(HYPERLINK("https://logistics.amazon.co.jp/internal/capacity/rosterview?serviceAreaId="&amp;VLOOKUP($B164,'DS ID'!B:D,2,FALSE),$H$1),"")</f>
        <v>Roster</v>
      </c>
      <c r="I164" s="2788" t="str">
        <f>IFERROR(HYPERLINK("https://logistics.amazon.co.jp/internal/scheduling/dsps?serviceAreaId="&amp;VLOOKUP($B164,'DS ID'!B:D,2,FALSE),$I$1),"")</f>
        <v>SUI</v>
      </c>
      <c r="J164" s="2780" t="s">
        <v>835</v>
      </c>
      <c r="K164" s="2886"/>
      <c r="L164" s="2908"/>
      <c r="M164" s="2907"/>
      <c r="N164" s="2397" t="s">
        <v>785</v>
      </c>
      <c r="O164" s="2410"/>
      <c r="P164" s="2393"/>
    </row>
    <row r="165" spans="1:18" x14ac:dyDescent="0.4">
      <c r="A165" s="2377" t="s">
        <v>1066</v>
      </c>
      <c r="B165" s="2378" t="s">
        <v>298</v>
      </c>
      <c r="C165" s="2379">
        <v>7</v>
      </c>
      <c r="D165" s="2404" t="s">
        <v>1067</v>
      </c>
      <c r="E165" s="2390" t="s">
        <v>1067</v>
      </c>
      <c r="G165" s="2788" t="str">
        <f>IFERROR(HYPERLINK("https://logistics.amazon.co.jp/internal/operations/execution/itineraries?operationView=true&amp;provider=ALL_DRIVERS&amp;serviceAreaId="&amp;VLOOKUP($B165,'DS ID'!B:D,2,FALSE),$G$1),"")</f>
        <v>CORTEX ver2</v>
      </c>
      <c r="H165" s="2788" t="str">
        <f>IFERROR(HYPERLINK("https://logistics.amazon.co.jp/internal/capacity/rosterview?serviceAreaId="&amp;VLOOKUP($B165,'DS ID'!B:D,2,FALSE),$H$1),"")</f>
        <v>Roster</v>
      </c>
      <c r="I165" s="2788" t="str">
        <f>IFERROR(HYPERLINK("https://logistics.amazon.co.jp/internal/scheduling/dsps?serviceAreaId="&amp;VLOOKUP($B165,'DS ID'!B:D,2,FALSE),$I$1),"")</f>
        <v>SUI</v>
      </c>
      <c r="J165" s="2780" t="s">
        <v>835</v>
      </c>
      <c r="K165" s="2886"/>
      <c r="L165" s="2908"/>
      <c r="M165" s="2907"/>
      <c r="N165" s="2397" t="s">
        <v>785</v>
      </c>
      <c r="O165" s="2398"/>
      <c r="P165" s="2393"/>
    </row>
    <row r="166" spans="1:18" hidden="1" x14ac:dyDescent="0.4">
      <c r="A166" s="2377" t="s">
        <v>1068</v>
      </c>
      <c r="B166" s="2378" t="s">
        <v>1068</v>
      </c>
      <c r="D166" s="2404" t="s">
        <v>833</v>
      </c>
      <c r="E166" s="2390" t="s">
        <v>954</v>
      </c>
      <c r="G166" s="2788" t="str">
        <f>IFERROR(HYPERLINK("https://logistics.amazon.co.jp/internal/operations/execution/itineraries?operationView=true&amp;provider=ALL_DRIVERS&amp;serviceAreaId="&amp;VLOOKUP($B166,'DS ID'!B:D,2,FALSE),$G$1),"")</f>
        <v/>
      </c>
      <c r="H166" s="2788" t="str">
        <f>IFERROR(HYPERLINK("https://logistics.amazon.co.jp/internal/capacity/rosterview?serviceAreaId="&amp;VLOOKUP($B166,'DS ID'!B:D,2,FALSE),$H$1),"")</f>
        <v/>
      </c>
      <c r="I166" s="2788" t="str">
        <f>IFERROR(HYPERLINK("https://logistics.amazon.co.jp/internal/scheduling/dsps?serviceAreaId="&amp;VLOOKUP($B166,'DS ID'!B:D,2,FALSE),$I$1),"")</f>
        <v/>
      </c>
      <c r="J166" s="2400" t="s">
        <v>835</v>
      </c>
      <c r="K166" s="2400"/>
      <c r="L166" s="2784"/>
      <c r="M166" s="2400"/>
      <c r="N166" s="2397" t="s">
        <v>785</v>
      </c>
      <c r="O166" s="2426">
        <v>44937</v>
      </c>
      <c r="P166" s="2393"/>
    </row>
    <row r="167" spans="1:18" hidden="1" x14ac:dyDescent="0.4">
      <c r="A167" s="2399" t="s">
        <v>1069</v>
      </c>
      <c r="B167" s="2427" t="s">
        <v>1070</v>
      </c>
      <c r="C167" s="2428"/>
      <c r="D167" s="2429" t="s">
        <v>833</v>
      </c>
      <c r="E167" s="2430" t="s">
        <v>862</v>
      </c>
      <c r="F167" s="2428"/>
      <c r="G167" s="2788" t="str">
        <f>IFERROR(HYPERLINK("https://logistics.amazon.co.jp/internal/operations/execution/itineraries?operationView=true&amp;provider=ALL_DRIVERS&amp;serviceAreaId="&amp;VLOOKUP($B167,'DS ID'!B:D,2,FALSE),$G$1),"")</f>
        <v/>
      </c>
      <c r="H167" s="2788" t="str">
        <f>IFERROR(HYPERLINK("https://logistics.amazon.co.jp/internal/capacity/rosterview?serviceAreaId="&amp;VLOOKUP($B167,'DS ID'!B:D,2,FALSE),$H$1),"")</f>
        <v/>
      </c>
      <c r="I167" s="2788" t="str">
        <f>IFERROR(HYPERLINK("https://logistics.amazon.co.jp/internal/scheduling/dsps?serviceAreaId="&amp;VLOOKUP($B167,'DS ID'!B:D,2,FALSE),$I$1),"")</f>
        <v/>
      </c>
      <c r="J167" s="2400" t="s">
        <v>835</v>
      </c>
      <c r="K167" s="2400"/>
      <c r="L167" s="2400"/>
      <c r="M167" s="2400"/>
      <c r="N167" s="2397" t="s">
        <v>785</v>
      </c>
      <c r="O167" s="2431"/>
      <c r="P167" s="2393" t="s">
        <v>1071</v>
      </c>
    </row>
    <row r="168" spans="1:18" hidden="1" x14ac:dyDescent="0.4">
      <c r="A168" s="2399" t="s">
        <v>1069</v>
      </c>
      <c r="B168" s="2427" t="s">
        <v>1072</v>
      </c>
      <c r="C168" s="2428"/>
      <c r="D168" s="2429" t="s">
        <v>833</v>
      </c>
      <c r="E168" s="2432" t="s">
        <v>1073</v>
      </c>
      <c r="F168" s="2428"/>
      <c r="G168" s="2788" t="str">
        <f>IFERROR(HYPERLINK("https://logistics.amazon.co.jp/internal/operations/execution/itineraries?operationView=true&amp;provider=ALL_DRIVERS&amp;serviceAreaId="&amp;VLOOKUP($B168,'DS ID'!B:D,2,FALSE),$G$1),"")</f>
        <v>CORTEX ver2</v>
      </c>
      <c r="H168" s="2788" t="str">
        <f>IFERROR(HYPERLINK("https://logistics.amazon.co.jp/internal/capacity/rosterview?serviceAreaId="&amp;VLOOKUP($B168,'DS ID'!B:D,2,FALSE),$H$1),"")</f>
        <v>Roster</v>
      </c>
      <c r="I168" s="2788" t="str">
        <f>IFERROR(HYPERLINK("https://logistics.amazon.co.jp/internal/scheduling/dsps?serviceAreaId="&amp;VLOOKUP($B168,'DS ID'!B:D,2,FALSE),$I$1),"")</f>
        <v>SUI</v>
      </c>
      <c r="J168" s="2400" t="s">
        <v>835</v>
      </c>
      <c r="K168" s="2400"/>
      <c r="L168" s="2400"/>
      <c r="M168" s="2400"/>
      <c r="N168" s="2397" t="s">
        <v>785</v>
      </c>
      <c r="O168" s="2406" t="s">
        <v>1074</v>
      </c>
      <c r="P168" s="2393" t="s">
        <v>1071</v>
      </c>
    </row>
    <row r="169" spans="1:18" ht="22.35" hidden="1" customHeight="1" x14ac:dyDescent="0.4">
      <c r="A169" s="2399" t="s">
        <v>1069</v>
      </c>
      <c r="B169" s="2378" t="s">
        <v>1075</v>
      </c>
      <c r="D169" s="2404" t="s">
        <v>833</v>
      </c>
      <c r="E169" s="2412" t="s">
        <v>1076</v>
      </c>
      <c r="G169" s="2788" t="str">
        <f>IFERROR(HYPERLINK("https://logistics.amazon.co.jp/internal/operations/execution/itineraries?operationView=true&amp;provider=ALL_DRIVERS&amp;serviceAreaId="&amp;VLOOKUP($B169,'DS ID'!B:D,2,FALSE),$G$1),"")</f>
        <v>CORTEX ver2</v>
      </c>
      <c r="H169" s="2788" t="str">
        <f>IFERROR(HYPERLINK("https://logistics.amazon.co.jp/internal/capacity/rosterview?serviceAreaId="&amp;VLOOKUP($B169,'DS ID'!B:D,2,FALSE),$H$1),"")</f>
        <v>Roster</v>
      </c>
      <c r="I169" s="2788" t="str">
        <f>IFERROR(HYPERLINK("https://logistics.amazon.co.jp/internal/scheduling/dsps?serviceAreaId="&amp;VLOOKUP($B169,'DS ID'!B:D,2,FALSE),$I$1),"")</f>
        <v>SUI</v>
      </c>
      <c r="J169" s="2400" t="s">
        <v>835</v>
      </c>
      <c r="K169" s="2400"/>
      <c r="L169" s="2400"/>
      <c r="M169" s="2400"/>
      <c r="N169" s="2397" t="s">
        <v>785</v>
      </c>
      <c r="O169" s="2431"/>
      <c r="P169" s="2393" t="s">
        <v>1071</v>
      </c>
    </row>
    <row r="170" spans="1:18" ht="22.35" hidden="1" customHeight="1" x14ac:dyDescent="0.4">
      <c r="A170" s="2399" t="s">
        <v>1069</v>
      </c>
      <c r="B170" s="2388" t="s">
        <v>1077</v>
      </c>
      <c r="C170" s="2389"/>
      <c r="D170" s="2388" t="s">
        <v>833</v>
      </c>
      <c r="E170" s="2390" t="s">
        <v>866</v>
      </c>
      <c r="F170" s="2389"/>
      <c r="G170" s="2788" t="str">
        <f>IFERROR(HYPERLINK("https://logistics.amazon.co.jp/internal/operations/execution/itineraries?operationView=true&amp;provider=ALL_DRIVERS&amp;serviceAreaId="&amp;VLOOKUP($B170,'DS ID'!B:D,2,FALSE),$G$1),"")</f>
        <v/>
      </c>
      <c r="H170" s="2788" t="str">
        <f>IFERROR(HYPERLINK("https://logistics.amazon.co.jp/internal/capacity/rosterview?serviceAreaId="&amp;VLOOKUP($B170,'DS ID'!B:D,2,FALSE),$H$1),"")</f>
        <v/>
      </c>
      <c r="I170" s="2788" t="str">
        <f>IFERROR(HYPERLINK("https://logistics.amazon.co.jp/internal/scheduling/dsps?serviceAreaId="&amp;VLOOKUP($B170,'DS ID'!B:D,2,FALSE),$I$1),"")</f>
        <v/>
      </c>
      <c r="J170" s="2400" t="s">
        <v>835</v>
      </c>
      <c r="K170" s="2400"/>
      <c r="L170" s="2400"/>
      <c r="M170" s="2400"/>
      <c r="N170" s="2397" t="s">
        <v>785</v>
      </c>
      <c r="O170" s="2395"/>
      <c r="P170" s="2393" t="s">
        <v>1071</v>
      </c>
    </row>
    <row r="171" spans="1:18" ht="22.35" hidden="1" customHeight="1" x14ac:dyDescent="0.4">
      <c r="A171" s="2399" t="s">
        <v>1069</v>
      </c>
      <c r="B171" s="2388" t="s">
        <v>1078</v>
      </c>
      <c r="C171" s="2389"/>
      <c r="D171" s="2388" t="s">
        <v>833</v>
      </c>
      <c r="E171" s="2390" t="s">
        <v>1079</v>
      </c>
      <c r="F171" s="2389"/>
      <c r="G171" s="2788" t="str">
        <f>IFERROR(HYPERLINK("https://logistics.amazon.co.jp/internal/operations/execution/itineraries?operationView=true&amp;provider=ALL_DRIVERS&amp;serviceAreaId="&amp;VLOOKUP($B171,'DS ID'!B:D,2,FALSE),$G$1),"")</f>
        <v/>
      </c>
      <c r="H171" s="2788" t="str">
        <f>IFERROR(HYPERLINK("https://logistics.amazon.co.jp/internal/capacity/rosterview?serviceAreaId="&amp;VLOOKUP($B171,'DS ID'!B:D,2,FALSE),$H$1),"")</f>
        <v/>
      </c>
      <c r="I171" s="2788" t="str">
        <f>IFERROR(HYPERLINK("https://logistics.amazon.co.jp/internal/scheduling/dsps?serviceAreaId="&amp;VLOOKUP($B171,'DS ID'!B:D,2,FALSE),$I$1),"")</f>
        <v/>
      </c>
      <c r="J171" s="2400" t="s">
        <v>835</v>
      </c>
      <c r="K171" s="2400"/>
      <c r="L171" s="2400"/>
      <c r="M171" s="2400"/>
      <c r="N171" s="2397" t="s">
        <v>785</v>
      </c>
      <c r="O171" s="2395"/>
      <c r="P171" s="2393" t="s">
        <v>1071</v>
      </c>
      <c r="R171" s="301"/>
    </row>
    <row r="172" spans="1:18" ht="22.35" hidden="1" customHeight="1" x14ac:dyDescent="0.4">
      <c r="A172" s="2399" t="s">
        <v>1069</v>
      </c>
      <c r="B172" s="2378" t="s">
        <v>1080</v>
      </c>
      <c r="D172" s="2378" t="s">
        <v>833</v>
      </c>
      <c r="E172" s="2380" t="s">
        <v>1081</v>
      </c>
      <c r="F172" s="2389"/>
      <c r="G172" s="2788" t="str">
        <f>IFERROR(HYPERLINK("https://logistics.amazon.co.jp/internal/operations/execution/itineraries?operationView=true&amp;provider=ALL_DRIVERS&amp;serviceAreaId="&amp;VLOOKUP($B172,'DS ID'!B:D,2,FALSE),$G$1),"")</f>
        <v/>
      </c>
      <c r="H172" s="2788" t="str">
        <f>IFERROR(HYPERLINK("https://logistics.amazon.co.jp/internal/capacity/rosterview?serviceAreaId="&amp;VLOOKUP($B172,'DS ID'!B:D,2,FALSE),$H$1),"")</f>
        <v/>
      </c>
      <c r="I172" s="2788" t="str">
        <f>IFERROR(HYPERLINK("https://logistics.amazon.co.jp/internal/scheduling/dsps?serviceAreaId="&amp;VLOOKUP($B172,'DS ID'!B:D,2,FALSE),$I$1),"")</f>
        <v/>
      </c>
      <c r="J172" s="2400" t="s">
        <v>835</v>
      </c>
      <c r="K172" s="2400"/>
      <c r="L172" s="2400"/>
      <c r="M172" s="2400"/>
      <c r="N172" s="2397" t="s">
        <v>785</v>
      </c>
      <c r="O172" s="2395"/>
      <c r="P172" s="2393" t="s">
        <v>1071</v>
      </c>
    </row>
    <row r="173" spans="1:18" ht="22.35" hidden="1" customHeight="1" x14ac:dyDescent="0.4">
      <c r="A173" s="2399" t="s">
        <v>1069</v>
      </c>
      <c r="B173" s="2378" t="s">
        <v>1082</v>
      </c>
      <c r="D173" s="2378" t="s">
        <v>833</v>
      </c>
      <c r="E173" s="2380" t="s">
        <v>1083</v>
      </c>
      <c r="G173" s="2788" t="str">
        <f>IFERROR(HYPERLINK("https://logistics.amazon.co.jp/internal/operations/execution/itineraries?operationView=true&amp;provider=ALL_DRIVERS&amp;serviceAreaId="&amp;VLOOKUP($B173,'DS ID'!B:D,2,FALSE),$G$1),"")</f>
        <v>CORTEX ver2</v>
      </c>
      <c r="H173" s="2788" t="str">
        <f>IFERROR(HYPERLINK("https://logistics.amazon.co.jp/internal/capacity/rosterview?serviceAreaId="&amp;VLOOKUP($B173,'DS ID'!B:D,2,FALSE),$H$1),"")</f>
        <v>Roster</v>
      </c>
      <c r="I173" s="2788" t="str">
        <f>IFERROR(HYPERLINK("https://logistics.amazon.co.jp/internal/scheduling/dsps?serviceAreaId="&amp;VLOOKUP($B173,'DS ID'!B:D,2,FALSE),$I$1),"")</f>
        <v>SUI</v>
      </c>
      <c r="J173" s="2400" t="s">
        <v>835</v>
      </c>
      <c r="K173" s="2400"/>
      <c r="L173" s="2400"/>
      <c r="M173" s="2400"/>
      <c r="N173" s="2397" t="s">
        <v>785</v>
      </c>
      <c r="O173" s="2406" t="s">
        <v>1074</v>
      </c>
      <c r="P173" s="2393" t="s">
        <v>1071</v>
      </c>
    </row>
    <row r="174" spans="1:18" ht="22.35" hidden="1" customHeight="1" x14ac:dyDescent="0.4">
      <c r="A174" s="2399" t="s">
        <v>1069</v>
      </c>
      <c r="B174" s="2378" t="s">
        <v>1084</v>
      </c>
      <c r="D174" s="2378" t="s">
        <v>833</v>
      </c>
      <c r="E174" s="2380" t="s">
        <v>1085</v>
      </c>
      <c r="G174" s="2788" t="str">
        <f>IFERROR(HYPERLINK("https://logistics.amazon.co.jp/internal/operations/execution/itineraries?operationView=true&amp;provider=ALL_DRIVERS&amp;serviceAreaId="&amp;VLOOKUP($B174,'DS ID'!B:D,2,FALSE),$G$1),"")</f>
        <v>CORTEX ver2</v>
      </c>
      <c r="H174" s="2788" t="str">
        <f>IFERROR(HYPERLINK("https://logistics.amazon.co.jp/internal/capacity/rosterview?serviceAreaId="&amp;VLOOKUP($B174,'DS ID'!B:D,2,FALSE),$H$1),"")</f>
        <v>Roster</v>
      </c>
      <c r="I174" s="2788" t="str">
        <f>IFERROR(HYPERLINK("https://logistics.amazon.co.jp/internal/scheduling/dsps?serviceAreaId="&amp;VLOOKUP($B174,'DS ID'!B:D,2,FALSE),$I$1),"")</f>
        <v>SUI</v>
      </c>
      <c r="J174" s="2400" t="s">
        <v>835</v>
      </c>
      <c r="K174" s="2400"/>
      <c r="L174" s="2400"/>
      <c r="M174" s="2400"/>
      <c r="N174" s="2397" t="s">
        <v>785</v>
      </c>
      <c r="O174" s="2406" t="s">
        <v>1074</v>
      </c>
      <c r="P174" s="2393" t="s">
        <v>1071</v>
      </c>
    </row>
    <row r="175" spans="1:18" ht="22.35" hidden="1" customHeight="1" x14ac:dyDescent="0.4">
      <c r="A175" s="2399" t="s">
        <v>1069</v>
      </c>
      <c r="B175" s="2378" t="s">
        <v>1086</v>
      </c>
      <c r="D175" s="2378" t="s">
        <v>833</v>
      </c>
      <c r="E175" s="2380" t="s">
        <v>1087</v>
      </c>
      <c r="G175" s="2788" t="str">
        <f>IFERROR(HYPERLINK("https://logistics.amazon.co.jp/internal/operations/execution/itineraries?operationView=true&amp;provider=ALL_DRIVERS&amp;serviceAreaId="&amp;VLOOKUP($B175,'DS ID'!B:D,2,FALSE),$G$1),"")</f>
        <v>CORTEX ver2</v>
      </c>
      <c r="H175" s="2788" t="str">
        <f>IFERROR(HYPERLINK("https://logistics.amazon.co.jp/internal/capacity/rosterview?serviceAreaId="&amp;VLOOKUP($B175,'DS ID'!B:D,2,FALSE),$H$1),"")</f>
        <v>Roster</v>
      </c>
      <c r="I175" s="2788" t="str">
        <f>IFERROR(HYPERLINK("https://logistics.amazon.co.jp/internal/scheduling/dsps?serviceAreaId="&amp;VLOOKUP($B175,'DS ID'!B:D,2,FALSE),$I$1),"")</f>
        <v>SUI</v>
      </c>
      <c r="J175" s="2400" t="s">
        <v>835</v>
      </c>
      <c r="K175" s="2400"/>
      <c r="L175" s="2400"/>
      <c r="M175" s="2400"/>
      <c r="N175" s="2397" t="s">
        <v>785</v>
      </c>
      <c r="O175" s="2406" t="s">
        <v>1074</v>
      </c>
      <c r="P175" s="2393" t="s">
        <v>1071</v>
      </c>
    </row>
    <row r="176" spans="1:18" ht="22.35" hidden="1" customHeight="1" x14ac:dyDescent="0.4">
      <c r="A176" s="2399" t="s">
        <v>1069</v>
      </c>
      <c r="B176" s="2378" t="s">
        <v>1088</v>
      </c>
      <c r="D176" s="2378" t="s">
        <v>833</v>
      </c>
      <c r="E176" s="2380" t="s">
        <v>1089</v>
      </c>
      <c r="G176" s="2788" t="str">
        <f>IFERROR(HYPERLINK("https://logistics.amazon.co.jp/internal/operations/execution/itineraries?operationView=true&amp;provider=ALL_DRIVERS&amp;serviceAreaId="&amp;VLOOKUP($B176,'DS ID'!B:D,2,FALSE),$G$1),"")</f>
        <v>CORTEX ver2</v>
      </c>
      <c r="H176" s="2788" t="str">
        <f>IFERROR(HYPERLINK("https://logistics.amazon.co.jp/internal/capacity/rosterview?serviceAreaId="&amp;VLOOKUP($B176,'DS ID'!B:D,2,FALSE),$H$1),"")</f>
        <v>Roster</v>
      </c>
      <c r="I176" s="2788" t="str">
        <f>IFERROR(HYPERLINK("https://logistics.amazon.co.jp/internal/scheduling/dsps?serviceAreaId="&amp;VLOOKUP($B176,'DS ID'!B:D,2,FALSE),$I$1),"")</f>
        <v>SUI</v>
      </c>
      <c r="J176" s="2400" t="s">
        <v>835</v>
      </c>
      <c r="K176" s="2400"/>
      <c r="L176" s="2400"/>
      <c r="M176" s="2400"/>
      <c r="N176" s="2397" t="s">
        <v>785</v>
      </c>
      <c r="O176" s="2406" t="s">
        <v>1074</v>
      </c>
      <c r="P176" s="2393" t="s">
        <v>1071</v>
      </c>
    </row>
    <row r="177" spans="1:16" ht="22.35" hidden="1" customHeight="1" x14ac:dyDescent="0.4">
      <c r="A177" s="2399" t="s">
        <v>1069</v>
      </c>
      <c r="B177" s="2378" t="s">
        <v>1090</v>
      </c>
      <c r="D177" s="2378" t="s">
        <v>833</v>
      </c>
      <c r="E177" s="2380" t="s">
        <v>864</v>
      </c>
      <c r="F177" s="2389"/>
      <c r="G177" s="2788" t="str">
        <f>IFERROR(HYPERLINK("https://logistics.amazon.co.jp/internal/operations/execution/itineraries?operationView=true&amp;provider=ALL_DRIVERS&amp;serviceAreaId="&amp;VLOOKUP($B177,'DS ID'!B:D,2,FALSE),$G$1),"")</f>
        <v/>
      </c>
      <c r="H177" s="2788" t="str">
        <f>IFERROR(HYPERLINK("https://logistics.amazon.co.jp/internal/capacity/rosterview?serviceAreaId="&amp;VLOOKUP($B177,'DS ID'!B:D,2,FALSE),$H$1),"")</f>
        <v/>
      </c>
      <c r="I177" s="2788" t="str">
        <f>IFERROR(HYPERLINK("https://logistics.amazon.co.jp/internal/scheduling/dsps?serviceAreaId="&amp;VLOOKUP($B177,'DS ID'!B:D,2,FALSE),$I$1),"")</f>
        <v/>
      </c>
      <c r="J177" s="2400" t="s">
        <v>835</v>
      </c>
      <c r="K177" s="2400"/>
      <c r="L177" s="2400"/>
      <c r="M177" s="2400"/>
      <c r="N177" s="2397" t="s">
        <v>785</v>
      </c>
      <c r="O177" s="2395"/>
      <c r="P177" s="2393" t="s">
        <v>1071</v>
      </c>
    </row>
    <row r="178" spans="1:16" ht="22.35" hidden="1" customHeight="1" x14ac:dyDescent="0.4">
      <c r="A178" s="2399" t="s">
        <v>1069</v>
      </c>
      <c r="B178" s="2378" t="s">
        <v>1091</v>
      </c>
      <c r="D178" s="2378" t="s">
        <v>833</v>
      </c>
      <c r="E178" s="2380" t="s">
        <v>1092</v>
      </c>
      <c r="F178" s="2389"/>
      <c r="G178" s="2788" t="str">
        <f>IFERROR(HYPERLINK("https://logistics.amazon.co.jp/internal/operations/execution/itineraries?operationView=true&amp;provider=ALL_DRIVERS&amp;serviceAreaId="&amp;VLOOKUP($B178,'DS ID'!B:D,2,FALSE),$G$1),"")</f>
        <v>CORTEX ver2</v>
      </c>
      <c r="H178" s="2788" t="str">
        <f>IFERROR(HYPERLINK("https://logistics.amazon.co.jp/internal/capacity/rosterview?serviceAreaId="&amp;VLOOKUP($B178,'DS ID'!B:D,2,FALSE),$H$1),"")</f>
        <v>Roster</v>
      </c>
      <c r="I178" s="2788" t="str">
        <f>IFERROR(HYPERLINK("https://logistics.amazon.co.jp/internal/scheduling/dsps?serviceAreaId="&amp;VLOOKUP($B178,'DS ID'!B:D,2,FALSE),$I$1),"")</f>
        <v>SUI</v>
      </c>
      <c r="J178" s="2400" t="s">
        <v>835</v>
      </c>
      <c r="K178" s="2400"/>
      <c r="L178" s="2400"/>
      <c r="M178" s="2400"/>
      <c r="N178" s="2397" t="s">
        <v>785</v>
      </c>
      <c r="O178" s="2395"/>
      <c r="P178" s="2393" t="s">
        <v>1071</v>
      </c>
    </row>
    <row r="179" spans="1:16" ht="22.35" hidden="1" customHeight="1" x14ac:dyDescent="0.4">
      <c r="A179" s="2399" t="s">
        <v>1069</v>
      </c>
      <c r="B179" s="2378" t="s">
        <v>1093</v>
      </c>
      <c r="D179" s="2404" t="s">
        <v>1094</v>
      </c>
      <c r="E179" s="2412" t="s">
        <v>865</v>
      </c>
      <c r="G179" s="2788" t="str">
        <f>IFERROR(HYPERLINK("https://logistics.amazon.co.jp/internal/operations/execution/itineraries?operationView=true&amp;provider=ALL_DRIVERS&amp;serviceAreaId="&amp;VLOOKUP($B179,'DS ID'!B:D,2,FALSE),$G$1),"")</f>
        <v/>
      </c>
      <c r="H179" s="2788" t="str">
        <f>IFERROR(HYPERLINK("https://logistics.amazon.co.jp/internal/capacity/rosterview?serviceAreaId="&amp;VLOOKUP($B179,'DS ID'!B:D,2,FALSE),$H$1),"")</f>
        <v/>
      </c>
      <c r="I179" s="2788" t="str">
        <f>IFERROR(HYPERLINK("https://logistics.amazon.co.jp/internal/scheduling/dsps?serviceAreaId="&amp;VLOOKUP($B179,'DS ID'!B:D,2,FALSE),$I$1),"")</f>
        <v/>
      </c>
      <c r="J179" s="2400" t="s">
        <v>835</v>
      </c>
      <c r="K179" s="2400"/>
      <c r="L179" s="2400"/>
      <c r="M179" s="2400"/>
      <c r="N179" s="2397" t="s">
        <v>785</v>
      </c>
      <c r="O179" s="2431"/>
      <c r="P179" s="2393" t="s">
        <v>1071</v>
      </c>
    </row>
    <row r="180" spans="1:16" ht="22.35" hidden="1" customHeight="1" x14ac:dyDescent="0.4">
      <c r="A180" s="2399" t="s">
        <v>1069</v>
      </c>
      <c r="B180" s="2378" t="s">
        <v>1095</v>
      </c>
      <c r="D180" s="2378" t="s">
        <v>1096</v>
      </c>
      <c r="E180" s="2380" t="s">
        <v>1097</v>
      </c>
      <c r="G180" s="2788" t="str">
        <f>IFERROR(HYPERLINK("https://logistics.amazon.co.jp/internal/operations/execution/itineraries?operationView=true&amp;provider=ALL_DRIVERS&amp;serviceAreaId="&amp;VLOOKUP($B180,'DS ID'!B:D,2,FALSE),$G$1),"")</f>
        <v>CORTEX ver2</v>
      </c>
      <c r="H180" s="2788" t="str">
        <f>IFERROR(HYPERLINK("https://logistics.amazon.co.jp/internal/capacity/rosterview?serviceAreaId="&amp;VLOOKUP($B180,'DS ID'!B:D,2,FALSE),$H$1),"")</f>
        <v>Roster</v>
      </c>
      <c r="I180" s="2788" t="str">
        <f>IFERROR(HYPERLINK("https://logistics.amazon.co.jp/internal/scheduling/dsps?serviceAreaId="&amp;VLOOKUP($B180,'DS ID'!B:D,2,FALSE),$I$1),"")</f>
        <v>SUI</v>
      </c>
      <c r="J180" s="2400" t="s">
        <v>835</v>
      </c>
      <c r="K180" s="2400"/>
      <c r="L180" s="2400"/>
      <c r="M180" s="2400"/>
      <c r="N180" s="2397" t="s">
        <v>785</v>
      </c>
      <c r="O180" s="2406" t="s">
        <v>1074</v>
      </c>
      <c r="P180" s="2393" t="s">
        <v>1071</v>
      </c>
    </row>
    <row r="181" spans="1:16" ht="22.35" hidden="1" customHeight="1" x14ac:dyDescent="0.4">
      <c r="A181" s="2394" t="s">
        <v>1069</v>
      </c>
      <c r="B181" s="2378" t="s">
        <v>1098</v>
      </c>
      <c r="D181" s="2378" t="s">
        <v>833</v>
      </c>
      <c r="E181" s="2380" t="s">
        <v>1099</v>
      </c>
      <c r="G181" s="2788" t="str">
        <f>IFERROR(HYPERLINK("https://logistics.amazon.co.jp/internal/operations/execution/itineraries?operationView=true&amp;provider=ALL_DRIVERS&amp;serviceAreaId="&amp;VLOOKUP($B181,'DS ID'!B:D,2,FALSE),$G$1),"")</f>
        <v>CORTEX ver2</v>
      </c>
      <c r="H181" s="2788" t="str">
        <f>IFERROR(HYPERLINK("https://logistics.amazon.co.jp/internal/capacity/rosterview?serviceAreaId="&amp;VLOOKUP($B181,'DS ID'!B:D,2,FALSE),$H$1),"")</f>
        <v>Roster</v>
      </c>
      <c r="I181" s="2788" t="str">
        <f>IFERROR(HYPERLINK("https://logistics.amazon.co.jp/internal/scheduling/dsps?serviceAreaId="&amp;VLOOKUP($B181,'DS ID'!B:D,2,FALSE),$I$1),"")</f>
        <v>SUI</v>
      </c>
      <c r="J181" s="2400" t="s">
        <v>835</v>
      </c>
      <c r="K181" s="2400"/>
      <c r="L181" s="2400"/>
      <c r="M181" s="2400"/>
      <c r="N181" s="2397" t="s">
        <v>785</v>
      </c>
      <c r="O181" s="2398"/>
      <c r="P181" s="2393" t="s">
        <v>1071</v>
      </c>
    </row>
    <row r="182" spans="1:16" ht="22.35" hidden="1" customHeight="1" x14ac:dyDescent="0.4">
      <c r="A182" s="2394" t="s">
        <v>1069</v>
      </c>
      <c r="B182" s="2378" t="s">
        <v>1100</v>
      </c>
      <c r="D182" s="2378" t="s">
        <v>833</v>
      </c>
      <c r="E182" s="2380" t="s">
        <v>1101</v>
      </c>
      <c r="F182" s="2389"/>
      <c r="G182" s="2788" t="str">
        <f>IFERROR(HYPERLINK("https://logistics.amazon.co.jp/internal/operations/execution/itineraries?operationView=true&amp;provider=ALL_DRIVERS&amp;serviceAreaId="&amp;VLOOKUP($B182,'DS ID'!B:D,2,FALSE),$G$1),"")</f>
        <v>CORTEX ver2</v>
      </c>
      <c r="H182" s="2788" t="str">
        <f>IFERROR(HYPERLINK("https://logistics.amazon.co.jp/internal/capacity/rosterview?serviceAreaId="&amp;VLOOKUP($B182,'DS ID'!B:D,2,FALSE),$H$1),"")</f>
        <v>Roster</v>
      </c>
      <c r="I182" s="2788" t="str">
        <f>IFERROR(HYPERLINK("https://logistics.amazon.co.jp/internal/scheduling/dsps?serviceAreaId="&amp;VLOOKUP($B182,'DS ID'!B:D,2,FALSE),$I$1),"")</f>
        <v>SUI</v>
      </c>
      <c r="J182" s="2400" t="s">
        <v>835</v>
      </c>
      <c r="K182" s="2400"/>
      <c r="L182" s="2400"/>
      <c r="M182" s="2400"/>
      <c r="N182" s="2397" t="s">
        <v>785</v>
      </c>
      <c r="O182" s="2406" t="s">
        <v>1074</v>
      </c>
      <c r="P182" s="2393" t="s">
        <v>1071</v>
      </c>
    </row>
    <row r="183" spans="1:16" ht="22.35" hidden="1" customHeight="1" x14ac:dyDescent="0.4">
      <c r="A183" s="2399" t="s">
        <v>1069</v>
      </c>
      <c r="B183" s="2378" t="s">
        <v>1102</v>
      </c>
      <c r="D183" s="2378" t="s">
        <v>833</v>
      </c>
      <c r="E183" s="2380" t="s">
        <v>866</v>
      </c>
      <c r="F183" s="2389"/>
      <c r="G183" s="2788" t="str">
        <f>IFERROR(HYPERLINK("https://logistics.amazon.co.jp/internal/operations/execution/itineraries?operationView=true&amp;provider=ALL_DRIVERS&amp;serviceAreaId="&amp;VLOOKUP($B183,'DS ID'!B:D,2,FALSE),$G$1),"")</f>
        <v/>
      </c>
      <c r="H183" s="2788" t="str">
        <f>IFERROR(HYPERLINK("https://logistics.amazon.co.jp/internal/capacity/rosterview?serviceAreaId="&amp;VLOOKUP($B183,'DS ID'!B:D,2,FALSE),$H$1),"")</f>
        <v/>
      </c>
      <c r="I183" s="2788" t="str">
        <f>IFERROR(HYPERLINK("https://logistics.amazon.co.jp/internal/scheduling/dsps?serviceAreaId="&amp;VLOOKUP($B183,'DS ID'!B:D,2,FALSE),$I$1),"")</f>
        <v/>
      </c>
      <c r="J183" s="2400" t="s">
        <v>835</v>
      </c>
      <c r="K183" s="2400"/>
      <c r="L183" s="2400"/>
      <c r="M183" s="2400"/>
      <c r="N183" s="2397" t="s">
        <v>785</v>
      </c>
      <c r="O183" s="2395"/>
      <c r="P183" s="2393" t="s">
        <v>1071</v>
      </c>
    </row>
    <row r="184" spans="1:16" hidden="1" x14ac:dyDescent="0.4">
      <c r="A184" s="2399" t="s">
        <v>1069</v>
      </c>
      <c r="B184" s="2378" t="s">
        <v>1103</v>
      </c>
      <c r="D184" s="2404" t="s">
        <v>833</v>
      </c>
      <c r="E184" s="2412" t="s">
        <v>1104</v>
      </c>
      <c r="G184" s="2788" t="str">
        <f>IFERROR(HYPERLINK("https://logistics.amazon.co.jp/internal/operations/execution/itineraries?operationView=true&amp;provider=ALL_DRIVERS&amp;serviceAreaId="&amp;VLOOKUP($B184,'DS ID'!B:D,2,FALSE),$G$1),"")</f>
        <v>CORTEX ver2</v>
      </c>
      <c r="H184" s="2788" t="str">
        <f>IFERROR(HYPERLINK("https://logistics.amazon.co.jp/internal/capacity/rosterview?serviceAreaId="&amp;VLOOKUP($B184,'DS ID'!B:D,2,FALSE),$H$1),"")</f>
        <v>Roster</v>
      </c>
      <c r="I184" s="2788" t="str">
        <f>IFERROR(HYPERLINK("https://logistics.amazon.co.jp/internal/scheduling/dsps?serviceAreaId="&amp;VLOOKUP($B184,'DS ID'!B:D,2,FALSE),$I$1),"")</f>
        <v>SUI</v>
      </c>
      <c r="J184" s="2400" t="s">
        <v>835</v>
      </c>
      <c r="K184" s="2400"/>
      <c r="L184" s="2400"/>
      <c r="M184" s="2400"/>
      <c r="N184" s="2397" t="s">
        <v>785</v>
      </c>
      <c r="O184" s="2431"/>
      <c r="P184" s="2393" t="s">
        <v>1071</v>
      </c>
    </row>
    <row r="185" spans="1:16" ht="22.35" hidden="1" customHeight="1" x14ac:dyDescent="0.4">
      <c r="A185" s="2394" t="s">
        <v>1069</v>
      </c>
      <c r="B185" s="2378" t="s">
        <v>1105</v>
      </c>
      <c r="D185" s="2378" t="s">
        <v>833</v>
      </c>
      <c r="E185" s="2380" t="s">
        <v>1106</v>
      </c>
      <c r="F185" s="2389"/>
      <c r="G185" s="2788" t="str">
        <f>IFERROR(HYPERLINK("https://logistics.amazon.co.jp/internal/operations/execution/itineraries?operationView=true&amp;provider=ALL_DRIVERS&amp;serviceAreaId="&amp;VLOOKUP($B185,'DS ID'!B:D,2,FALSE),$G$1),"")</f>
        <v>CORTEX ver2</v>
      </c>
      <c r="H185" s="2788" t="str">
        <f>IFERROR(HYPERLINK("https://logistics.amazon.co.jp/internal/capacity/rosterview?serviceAreaId="&amp;VLOOKUP($B185,'DS ID'!B:D,2,FALSE),$H$1),"")</f>
        <v>Roster</v>
      </c>
      <c r="I185" s="2788" t="str">
        <f>IFERROR(HYPERLINK("https://logistics.amazon.co.jp/internal/scheduling/dsps?serviceAreaId="&amp;VLOOKUP($B185,'DS ID'!B:D,2,FALSE),$I$1),"")</f>
        <v>SUI</v>
      </c>
      <c r="J185" s="2400" t="s">
        <v>835</v>
      </c>
      <c r="K185" s="2400"/>
      <c r="L185" s="2400"/>
      <c r="M185" s="2400"/>
      <c r="N185" s="2397" t="s">
        <v>785</v>
      </c>
      <c r="O185" s="2406" t="s">
        <v>1074</v>
      </c>
      <c r="P185" s="2393" t="s">
        <v>1071</v>
      </c>
    </row>
    <row r="186" spans="1:16" ht="22.35" hidden="1" customHeight="1" x14ac:dyDescent="0.4">
      <c r="A186" s="2394" t="s">
        <v>1069</v>
      </c>
      <c r="B186" s="2378" t="s">
        <v>1107</v>
      </c>
      <c r="D186" s="2378" t="s">
        <v>833</v>
      </c>
      <c r="E186" s="2380" t="s">
        <v>1108</v>
      </c>
      <c r="F186" s="2389"/>
      <c r="G186" s="2788" t="str">
        <f>IFERROR(HYPERLINK("https://logistics.amazon.co.jp/internal/operations/execution/itineraries?operationView=true&amp;provider=ALL_DRIVERS&amp;serviceAreaId="&amp;VLOOKUP($B186,'DS ID'!B:D,2,FALSE),$G$1),"")</f>
        <v/>
      </c>
      <c r="H186" s="2788" t="str">
        <f>IFERROR(HYPERLINK("https://logistics.amazon.co.jp/internal/capacity/rosterview?serviceAreaId="&amp;VLOOKUP($B186,'DS ID'!B:D,2,FALSE),$H$1),"")</f>
        <v/>
      </c>
      <c r="I186" s="2788" t="str">
        <f>IFERROR(HYPERLINK("https://logistics.amazon.co.jp/internal/scheduling/dsps?serviceAreaId="&amp;VLOOKUP($B186,'DS ID'!B:D,2,FALSE),$I$1),"")</f>
        <v/>
      </c>
      <c r="J186" s="2400" t="s">
        <v>835</v>
      </c>
      <c r="K186" s="2400"/>
      <c r="L186" s="2400"/>
      <c r="M186" s="2400"/>
      <c r="N186" s="2397" t="s">
        <v>785</v>
      </c>
      <c r="O186" s="2406" t="s">
        <v>1074</v>
      </c>
      <c r="P186" s="2393" t="s">
        <v>1071</v>
      </c>
    </row>
    <row r="187" spans="1:16" ht="22.35" hidden="1" customHeight="1" x14ac:dyDescent="0.4">
      <c r="A187" s="2394" t="s">
        <v>1069</v>
      </c>
      <c r="B187" s="2378" t="s">
        <v>1109</v>
      </c>
      <c r="D187" s="2378" t="s">
        <v>833</v>
      </c>
      <c r="E187" s="2380" t="s">
        <v>1110</v>
      </c>
      <c r="G187" s="2788" t="str">
        <f>IFERROR(HYPERLINK("https://logistics.amazon.co.jp/internal/operations/execution/itineraries?operationView=true&amp;provider=ALL_DRIVERS&amp;serviceAreaId="&amp;VLOOKUP($B187,'DS ID'!B:D,2,FALSE),$G$1),"")</f>
        <v>CORTEX ver2</v>
      </c>
      <c r="H187" s="2788" t="str">
        <f>IFERROR(HYPERLINK("https://logistics.amazon.co.jp/internal/capacity/rosterview?serviceAreaId="&amp;VLOOKUP($B187,'DS ID'!B:D,2,FALSE),$H$1),"")</f>
        <v>Roster</v>
      </c>
      <c r="I187" s="2788" t="str">
        <f>IFERROR(HYPERLINK("https://logistics.amazon.co.jp/internal/scheduling/dsps?serviceAreaId="&amp;VLOOKUP($B187,'DS ID'!B:D,2,FALSE),$I$1),"")</f>
        <v>SUI</v>
      </c>
      <c r="J187" s="2400" t="s">
        <v>835</v>
      </c>
      <c r="K187" s="2400"/>
      <c r="L187" s="2400"/>
      <c r="M187" s="2400"/>
      <c r="N187" s="2397" t="s">
        <v>785</v>
      </c>
      <c r="O187" s="2406" t="s">
        <v>1074</v>
      </c>
      <c r="P187" s="2393" t="s">
        <v>1071</v>
      </c>
    </row>
    <row r="188" spans="1:16" ht="22.35" hidden="1" customHeight="1" x14ac:dyDescent="0.4">
      <c r="A188" s="2394" t="s">
        <v>1069</v>
      </c>
      <c r="B188" s="2378" t="s">
        <v>1111</v>
      </c>
      <c r="D188" s="2378" t="s">
        <v>909</v>
      </c>
      <c r="E188" s="2380" t="s">
        <v>1112</v>
      </c>
      <c r="G188" s="2788" t="str">
        <f>IFERROR(HYPERLINK("https://logistics.amazon.co.jp/internal/operations/execution/itineraries?operationView=true&amp;provider=ALL_DRIVERS&amp;serviceAreaId="&amp;VLOOKUP($B188,'DS ID'!B:D,2,FALSE),$G$1),"")</f>
        <v>CORTEX ver2</v>
      </c>
      <c r="H188" s="2788" t="str">
        <f>IFERROR(HYPERLINK("https://logistics.amazon.co.jp/internal/capacity/rosterview?serviceAreaId="&amp;VLOOKUP($B188,'DS ID'!B:D,2,FALSE),$H$1),"")</f>
        <v>Roster</v>
      </c>
      <c r="I188" s="2788" t="str">
        <f>IFERROR(HYPERLINK("https://logistics.amazon.co.jp/internal/scheduling/dsps?serviceAreaId="&amp;VLOOKUP($B188,'DS ID'!B:D,2,FALSE),$I$1),"")</f>
        <v>SUI</v>
      </c>
      <c r="J188" s="2400" t="s">
        <v>835</v>
      </c>
      <c r="K188" s="2400"/>
      <c r="L188" s="2400"/>
      <c r="M188" s="2400"/>
      <c r="N188" s="2397" t="s">
        <v>785</v>
      </c>
      <c r="O188" s="2406" t="s">
        <v>1074</v>
      </c>
      <c r="P188" s="2393" t="s">
        <v>1113</v>
      </c>
    </row>
    <row r="189" spans="1:16" hidden="1" x14ac:dyDescent="0.4">
      <c r="A189" s="2399" t="s">
        <v>1069</v>
      </c>
      <c r="B189" s="2378" t="s">
        <v>1114</v>
      </c>
      <c r="D189" s="2378" t="s">
        <v>855</v>
      </c>
      <c r="E189" s="2380" t="s">
        <v>1115</v>
      </c>
      <c r="G189" s="2788" t="str">
        <f>IFERROR(HYPERLINK("https://logistics.amazon.co.jp/internal/operations/execution/itineraries?operationView=true&amp;provider=ALL_DRIVERS&amp;serviceAreaId="&amp;VLOOKUP($B189,'DS ID'!B:D,2,FALSE),$G$1),"")</f>
        <v>CORTEX ver2</v>
      </c>
      <c r="H189" s="2788" t="str">
        <f>IFERROR(HYPERLINK("https://logistics.amazon.co.jp/internal/capacity/rosterview?serviceAreaId="&amp;VLOOKUP($B189,'DS ID'!B:D,2,FALSE),$H$1),"")</f>
        <v>Roster</v>
      </c>
      <c r="I189" s="2788" t="str">
        <f>IFERROR(HYPERLINK("https://logistics.amazon.co.jp/internal/scheduling/dsps?serviceAreaId="&amp;VLOOKUP($B189,'DS ID'!B:D,2,FALSE),$I$1),"")</f>
        <v>SUI</v>
      </c>
      <c r="J189" s="2400" t="s">
        <v>835</v>
      </c>
      <c r="K189" s="2400"/>
      <c r="L189" s="2400"/>
      <c r="M189" s="2400"/>
      <c r="N189" s="2397" t="s">
        <v>785</v>
      </c>
      <c r="O189" s="2410"/>
      <c r="P189" s="2393" t="s">
        <v>1113</v>
      </c>
    </row>
    <row r="190" spans="1:16" hidden="1" x14ac:dyDescent="0.4">
      <c r="A190" s="2399" t="s">
        <v>1069</v>
      </c>
      <c r="B190" s="2378" t="s">
        <v>1116</v>
      </c>
      <c r="D190" s="2378" t="s">
        <v>855</v>
      </c>
      <c r="E190" s="2380" t="s">
        <v>1117</v>
      </c>
      <c r="G190" s="2788" t="str">
        <f>IFERROR(HYPERLINK("https://logistics.amazon.co.jp/internal/operations/execution/itineraries?operationView=true&amp;provider=ALL_DRIVERS&amp;serviceAreaId="&amp;VLOOKUP($B190,'DS ID'!B:D,2,FALSE),$G$1),"")</f>
        <v>CORTEX ver2</v>
      </c>
      <c r="H190" s="2788" t="str">
        <f>IFERROR(HYPERLINK("https://logistics.amazon.co.jp/internal/capacity/rosterview?serviceAreaId="&amp;VLOOKUP($B190,'DS ID'!B:D,2,FALSE),$H$1),"")</f>
        <v>Roster</v>
      </c>
      <c r="I190" s="2788" t="str">
        <f>IFERROR(HYPERLINK("https://logistics.amazon.co.jp/internal/scheduling/dsps?serviceAreaId="&amp;VLOOKUP($B190,'DS ID'!B:D,2,FALSE),$I$1),"")</f>
        <v>SUI</v>
      </c>
      <c r="J190" s="2400" t="s">
        <v>835</v>
      </c>
      <c r="K190" s="2400"/>
      <c r="L190" s="2400"/>
      <c r="M190" s="2400"/>
      <c r="N190" s="2397" t="s">
        <v>785</v>
      </c>
      <c r="O190" s="2410"/>
      <c r="P190" s="2393" t="s">
        <v>1113</v>
      </c>
    </row>
    <row r="191" spans="1:16" hidden="1" x14ac:dyDescent="0.4">
      <c r="A191" s="2399" t="s">
        <v>1069</v>
      </c>
      <c r="B191" s="2378" t="s">
        <v>1118</v>
      </c>
      <c r="D191" s="2378" t="s">
        <v>855</v>
      </c>
      <c r="E191" s="2380" t="s">
        <v>1119</v>
      </c>
      <c r="G191" s="2788" t="str">
        <f>IFERROR(HYPERLINK("https://logistics.amazon.co.jp/internal/operations/execution/itineraries?operationView=true&amp;provider=ALL_DRIVERS&amp;serviceAreaId="&amp;VLOOKUP($B191,'DS ID'!B:D,2,FALSE),$G$1),"")</f>
        <v>CORTEX ver2</v>
      </c>
      <c r="H191" s="2788" t="str">
        <f>IFERROR(HYPERLINK("https://logistics.amazon.co.jp/internal/capacity/rosterview?serviceAreaId="&amp;VLOOKUP($B191,'DS ID'!B:D,2,FALSE),$H$1),"")</f>
        <v>Roster</v>
      </c>
      <c r="I191" s="2788" t="str">
        <f>IFERROR(HYPERLINK("https://logistics.amazon.co.jp/internal/scheduling/dsps?serviceAreaId="&amp;VLOOKUP($B191,'DS ID'!B:D,2,FALSE),$I$1),"")</f>
        <v>SUI</v>
      </c>
      <c r="J191" s="2400" t="s">
        <v>835</v>
      </c>
      <c r="K191" s="2400"/>
      <c r="L191" s="2400"/>
      <c r="M191" s="2400"/>
      <c r="N191" s="2397" t="s">
        <v>785</v>
      </c>
      <c r="O191" s="2410"/>
      <c r="P191" s="2393" t="s">
        <v>1113</v>
      </c>
    </row>
    <row r="192" spans="1:16" hidden="1" x14ac:dyDescent="0.4">
      <c r="A192" s="2399" t="s">
        <v>1069</v>
      </c>
      <c r="B192" s="2378" t="s">
        <v>1120</v>
      </c>
      <c r="D192" s="2404" t="s">
        <v>833</v>
      </c>
      <c r="E192" s="2380" t="s">
        <v>1121</v>
      </c>
      <c r="G192" s="2788" t="str">
        <f>IFERROR(HYPERLINK("https://logistics.amazon.co.jp/internal/operations/execution/itineraries?operationView=true&amp;provider=ALL_DRIVERS&amp;serviceAreaId="&amp;VLOOKUP($B192,'DS ID'!B:D,2,FALSE),$G$1),"")</f>
        <v>CORTEX ver2</v>
      </c>
      <c r="H192" s="2788" t="str">
        <f>IFERROR(HYPERLINK("https://logistics.amazon.co.jp/internal/capacity/rosterview?serviceAreaId="&amp;VLOOKUP($B192,'DS ID'!B:D,2,FALSE),$H$1),"")</f>
        <v>Roster</v>
      </c>
      <c r="I192" s="2788" t="str">
        <f>IFERROR(HYPERLINK("https://logistics.amazon.co.jp/internal/scheduling/dsps?serviceAreaId="&amp;VLOOKUP($B192,'DS ID'!B:D,2,FALSE),$I$1),"")</f>
        <v>SUI</v>
      </c>
      <c r="J192" s="2400" t="s">
        <v>835</v>
      </c>
      <c r="K192" s="2400"/>
      <c r="L192" s="2400"/>
      <c r="M192" s="2400"/>
      <c r="N192" s="2397" t="s">
        <v>785</v>
      </c>
      <c r="O192" s="2406" t="s">
        <v>1074</v>
      </c>
      <c r="P192" s="2393" t="s">
        <v>1113</v>
      </c>
    </row>
    <row r="193" spans="1:16" hidden="1" x14ac:dyDescent="0.4">
      <c r="A193" s="2377" t="s">
        <v>1069</v>
      </c>
      <c r="B193" s="2378" t="s">
        <v>1122</v>
      </c>
      <c r="D193" s="2378" t="s">
        <v>1123</v>
      </c>
      <c r="E193" s="2380" t="s">
        <v>1123</v>
      </c>
      <c r="G193" s="2788" t="str">
        <f>IFERROR(HYPERLINK("https://logistics.amazon.co.jp/internal/operations/execution/itineraries?operationView=true&amp;provider=ALL_DRIVERS&amp;serviceAreaId="&amp;VLOOKUP($B193,'DS ID'!B:D,2,FALSE),$G$1),"")</f>
        <v>CORTEX ver2</v>
      </c>
      <c r="H193" s="2788" t="str">
        <f>IFERROR(HYPERLINK("https://logistics.amazon.co.jp/internal/capacity/rosterview?serviceAreaId="&amp;VLOOKUP($B193,'DS ID'!B:D,2,FALSE),$H$1),"")</f>
        <v>Roster</v>
      </c>
      <c r="I193" s="2788" t="str">
        <f>IFERROR(HYPERLINK("https://logistics.amazon.co.jp/internal/scheduling/dsps?serviceAreaId="&amp;VLOOKUP($B193,'DS ID'!B:D,2,FALSE),$I$1),"")</f>
        <v>SUI</v>
      </c>
      <c r="J193" s="2400" t="s">
        <v>835</v>
      </c>
      <c r="K193" s="2400"/>
      <c r="L193" s="2400"/>
      <c r="M193" s="2400"/>
      <c r="N193" s="2397" t="s">
        <v>785</v>
      </c>
      <c r="O193" s="2406" t="s">
        <v>1074</v>
      </c>
      <c r="P193" s="2393" t="s">
        <v>1113</v>
      </c>
    </row>
    <row r="194" spans="1:16" ht="20.85" hidden="1" customHeight="1" x14ac:dyDescent="0.4">
      <c r="A194" s="2433" t="s">
        <v>1069</v>
      </c>
      <c r="B194" s="2378" t="s">
        <v>1124</v>
      </c>
      <c r="D194" s="2378" t="s">
        <v>1125</v>
      </c>
      <c r="E194" s="2380" t="s">
        <v>1126</v>
      </c>
      <c r="G194" s="2788" t="str">
        <f>IFERROR(HYPERLINK("https://logistics.amazon.co.jp/internal/operations/execution/itineraries?operationView=true&amp;provider=ALL_DRIVERS&amp;serviceAreaId="&amp;VLOOKUP($B194,'DS ID'!B:D,2,FALSE),$G$1),"")</f>
        <v>CORTEX ver2</v>
      </c>
      <c r="H194" s="2788" t="str">
        <f>IFERROR(HYPERLINK("https://logistics.amazon.co.jp/internal/capacity/rosterview?serviceAreaId="&amp;VLOOKUP($B194,'DS ID'!B:D,2,FALSE),$H$1),"")</f>
        <v>Roster</v>
      </c>
      <c r="I194" s="2788" t="str">
        <f>IFERROR(HYPERLINK("https://logistics.amazon.co.jp/internal/scheduling/dsps?serviceAreaId="&amp;VLOOKUP($B194,'DS ID'!B:D,2,FALSE),$I$1),"")</f>
        <v>SUI</v>
      </c>
      <c r="J194" s="2400" t="s">
        <v>835</v>
      </c>
      <c r="K194" s="2400"/>
      <c r="L194" s="2400"/>
      <c r="M194" s="2400"/>
      <c r="N194" s="2397" t="s">
        <v>785</v>
      </c>
      <c r="O194" s="2406" t="s">
        <v>1074</v>
      </c>
      <c r="P194" s="2393" t="s">
        <v>1113</v>
      </c>
    </row>
    <row r="195" spans="1:16" hidden="1" x14ac:dyDescent="0.4">
      <c r="A195" s="2399" t="s">
        <v>1069</v>
      </c>
      <c r="B195" s="2378" t="s">
        <v>1127</v>
      </c>
      <c r="D195" s="2378" t="s">
        <v>855</v>
      </c>
      <c r="E195" s="2380" t="s">
        <v>1128</v>
      </c>
      <c r="G195" s="2788" t="str">
        <f>IFERROR(HYPERLINK("https://logistics.amazon.co.jp/internal/operations/execution/itineraries?operationView=true&amp;provider=ALL_DRIVERS&amp;serviceAreaId="&amp;VLOOKUP($B195,'DS ID'!B:D,2,FALSE),$G$1),"")</f>
        <v>CORTEX ver2</v>
      </c>
      <c r="H195" s="2788" t="str">
        <f>IFERROR(HYPERLINK("https://logistics.amazon.co.jp/internal/capacity/rosterview?serviceAreaId="&amp;VLOOKUP($B195,'DS ID'!B:D,2,FALSE),$H$1),"")</f>
        <v>Roster</v>
      </c>
      <c r="I195" s="2788" t="str">
        <f>IFERROR(HYPERLINK("https://logistics.amazon.co.jp/internal/scheduling/dsps?serviceAreaId="&amp;VLOOKUP($B195,'DS ID'!B:D,2,FALSE),$I$1),"")</f>
        <v>SUI</v>
      </c>
      <c r="J195" s="2400" t="s">
        <v>835</v>
      </c>
      <c r="K195" s="2400"/>
      <c r="L195" s="2400"/>
      <c r="M195" s="2400"/>
      <c r="N195" s="2397" t="s">
        <v>785</v>
      </c>
      <c r="O195" s="2410"/>
      <c r="P195" s="2393" t="s">
        <v>1113</v>
      </c>
    </row>
    <row r="196" spans="1:16" hidden="1" x14ac:dyDescent="0.4">
      <c r="A196" s="2399" t="s">
        <v>1069</v>
      </c>
      <c r="B196" s="2378" t="s">
        <v>1129</v>
      </c>
      <c r="D196" s="2378" t="s">
        <v>855</v>
      </c>
      <c r="E196" s="2380" t="s">
        <v>1130</v>
      </c>
      <c r="G196" s="2788" t="str">
        <f>IFERROR(HYPERLINK("https://logistics.amazon.co.jp/internal/operations/execution/itineraries?operationView=true&amp;provider=ALL_DRIVERS&amp;serviceAreaId="&amp;VLOOKUP($B196,'DS ID'!B:D,2,FALSE),$G$1),"")</f>
        <v>CORTEX ver2</v>
      </c>
      <c r="H196" s="2788" t="str">
        <f>IFERROR(HYPERLINK("https://logistics.amazon.co.jp/internal/capacity/rosterview?serviceAreaId="&amp;VLOOKUP($B196,'DS ID'!B:D,2,FALSE),$H$1),"")</f>
        <v>Roster</v>
      </c>
      <c r="I196" s="2788" t="str">
        <f>IFERROR(HYPERLINK("https://logistics.amazon.co.jp/internal/scheduling/dsps?serviceAreaId="&amp;VLOOKUP($B196,'DS ID'!B:D,2,FALSE),$I$1),"")</f>
        <v>SUI</v>
      </c>
      <c r="J196" s="2400" t="s">
        <v>835</v>
      </c>
      <c r="K196" s="2400"/>
      <c r="L196" s="2400"/>
      <c r="M196" s="2400"/>
      <c r="N196" s="2397" t="s">
        <v>785</v>
      </c>
      <c r="O196" s="2395"/>
      <c r="P196" s="2393" t="s">
        <v>1113</v>
      </c>
    </row>
    <row r="197" spans="1:16" hidden="1" x14ac:dyDescent="0.4">
      <c r="A197" s="2399" t="s">
        <v>1069</v>
      </c>
      <c r="B197" s="2378" t="s">
        <v>1131</v>
      </c>
      <c r="D197" s="2404" t="s">
        <v>855</v>
      </c>
      <c r="E197" s="2412" t="s">
        <v>1132</v>
      </c>
      <c r="G197" s="2788" t="str">
        <f>IFERROR(HYPERLINK("https://logistics.amazon.co.jp/internal/operations/execution/itineraries?operationView=true&amp;provider=ALL_DRIVERS&amp;serviceAreaId="&amp;VLOOKUP($B197,'DS ID'!B:D,2,FALSE),$G$1),"")</f>
        <v/>
      </c>
      <c r="H197" s="2788" t="str">
        <f>IFERROR(HYPERLINK("https://logistics.amazon.co.jp/internal/capacity/rosterview?serviceAreaId="&amp;VLOOKUP($B197,'DS ID'!B:D,2,FALSE),$H$1),"")</f>
        <v/>
      </c>
      <c r="I197" s="2788" t="str">
        <f>IFERROR(HYPERLINK("https://logistics.amazon.co.jp/internal/scheduling/dsps?serviceAreaId="&amp;VLOOKUP($B197,'DS ID'!B:D,2,FALSE),$I$1),"")</f>
        <v/>
      </c>
      <c r="J197" s="2400" t="s">
        <v>835</v>
      </c>
      <c r="K197" s="2400"/>
      <c r="L197" s="2400"/>
      <c r="M197" s="2400"/>
      <c r="N197" s="2397" t="s">
        <v>785</v>
      </c>
      <c r="O197" s="2431"/>
      <c r="P197" s="2393" t="s">
        <v>1113</v>
      </c>
    </row>
    <row r="198" spans="1:16" hidden="1" x14ac:dyDescent="0.4">
      <c r="A198" s="2399" t="s">
        <v>1069</v>
      </c>
      <c r="B198" s="2378" t="s">
        <v>1133</v>
      </c>
      <c r="D198" s="2378" t="s">
        <v>909</v>
      </c>
      <c r="E198" s="2380" t="s">
        <v>1134</v>
      </c>
      <c r="G198" s="2788" t="str">
        <f>IFERROR(HYPERLINK("https://logistics.amazon.co.jp/internal/operations/execution/itineraries?operationView=true&amp;provider=ALL_DRIVERS&amp;serviceAreaId="&amp;VLOOKUP($B198,'DS ID'!B:D,2,FALSE),$G$1),"")</f>
        <v>CORTEX ver2</v>
      </c>
      <c r="H198" s="2788" t="str">
        <f>IFERROR(HYPERLINK("https://logistics.amazon.co.jp/internal/capacity/rosterview?serviceAreaId="&amp;VLOOKUP($B198,'DS ID'!B:D,2,FALSE),$H$1),"")</f>
        <v>Roster</v>
      </c>
      <c r="I198" s="2788" t="str">
        <f>IFERROR(HYPERLINK("https://logistics.amazon.co.jp/internal/scheduling/dsps?serviceAreaId="&amp;VLOOKUP($B198,'DS ID'!B:D,2,FALSE),$I$1),"")</f>
        <v>SUI</v>
      </c>
      <c r="J198" s="2400" t="s">
        <v>835</v>
      </c>
      <c r="K198" s="2400"/>
      <c r="L198" s="2400"/>
      <c r="M198" s="2400"/>
      <c r="N198" s="2397" t="s">
        <v>785</v>
      </c>
      <c r="O198" s="2406" t="s">
        <v>1074</v>
      </c>
      <c r="P198" s="2393" t="s">
        <v>1113</v>
      </c>
    </row>
    <row r="199" spans="1:16" hidden="1" x14ac:dyDescent="0.4">
      <c r="A199" s="2399" t="s">
        <v>1069</v>
      </c>
      <c r="B199" s="2378" t="s">
        <v>1135</v>
      </c>
      <c r="D199" s="2378" t="s">
        <v>1136</v>
      </c>
      <c r="E199" s="2399" t="s">
        <v>1136</v>
      </c>
      <c r="G199" s="2788" t="str">
        <f>IFERROR(HYPERLINK("https://logistics.amazon.co.jp/internal/operations/execution/itineraries?operationView=true&amp;provider=ALL_DRIVERS&amp;serviceAreaId="&amp;VLOOKUP($B199,'DS ID'!B:D,2,FALSE),$G$1),"")</f>
        <v>CORTEX ver2</v>
      </c>
      <c r="H199" s="2788" t="str">
        <f>IFERROR(HYPERLINK("https://logistics.amazon.co.jp/internal/capacity/rosterview?serviceAreaId="&amp;VLOOKUP($B199,'DS ID'!B:D,2,FALSE),$H$1),"")</f>
        <v>Roster</v>
      </c>
      <c r="I199" s="2788" t="str">
        <f>IFERROR(HYPERLINK("https://logistics.amazon.co.jp/internal/scheduling/dsps?serviceAreaId="&amp;VLOOKUP($B199,'DS ID'!B:D,2,FALSE),$I$1),"")</f>
        <v>SUI</v>
      </c>
      <c r="J199" s="2400" t="s">
        <v>835</v>
      </c>
      <c r="K199" s="2400"/>
      <c r="L199" s="2400"/>
      <c r="M199" s="2400"/>
      <c r="N199" s="2397" t="s">
        <v>785</v>
      </c>
      <c r="O199" s="2406" t="s">
        <v>1074</v>
      </c>
      <c r="P199" s="2393" t="s">
        <v>1113</v>
      </c>
    </row>
    <row r="200" spans="1:16" hidden="1" x14ac:dyDescent="0.4">
      <c r="A200" s="2399" t="s">
        <v>1069</v>
      </c>
      <c r="B200" s="2378" t="s">
        <v>1137</v>
      </c>
      <c r="D200" s="2378" t="s">
        <v>1138</v>
      </c>
      <c r="E200" s="2434" t="s">
        <v>1139</v>
      </c>
      <c r="G200" s="2788" t="str">
        <f>IFERROR(HYPERLINK("https://logistics.amazon.co.jp/internal/operations/execution/itineraries?operationView=true&amp;provider=ALL_DRIVERS&amp;serviceAreaId="&amp;VLOOKUP($B200,'DS ID'!B:D,2,FALSE),$G$1),"")</f>
        <v>CORTEX ver2</v>
      </c>
      <c r="H200" s="2788" t="str">
        <f>IFERROR(HYPERLINK("https://logistics.amazon.co.jp/internal/capacity/rosterview?serviceAreaId="&amp;VLOOKUP($B200,'DS ID'!B:D,2,FALSE),$H$1),"")</f>
        <v>Roster</v>
      </c>
      <c r="I200" s="2788" t="str">
        <f>IFERROR(HYPERLINK("https://logistics.amazon.co.jp/internal/scheduling/dsps?serviceAreaId="&amp;VLOOKUP($B200,'DS ID'!B:D,2,FALSE),$I$1),"")</f>
        <v>SUI</v>
      </c>
      <c r="J200" s="2400" t="s">
        <v>835</v>
      </c>
      <c r="K200" s="2400"/>
      <c r="L200" s="2400"/>
      <c r="M200" s="2400"/>
      <c r="N200" s="2397" t="s">
        <v>785</v>
      </c>
      <c r="O200" s="2406" t="s">
        <v>1074</v>
      </c>
      <c r="P200" s="2393" t="s">
        <v>1113</v>
      </c>
    </row>
    <row r="201" spans="1:16" hidden="1" x14ac:dyDescent="0.4">
      <c r="A201" s="2399" t="s">
        <v>1069</v>
      </c>
      <c r="B201" s="2378" t="s">
        <v>1137</v>
      </c>
      <c r="D201" s="2378"/>
      <c r="E201" s="2434"/>
      <c r="G201" s="2788" t="str">
        <f>IFERROR(HYPERLINK("https://logistics.amazon.co.jp/internal/operations/execution/itineraries?operationView=true&amp;provider=ALL_DRIVERS&amp;serviceAreaId="&amp;VLOOKUP($B201,'DS ID'!B:D,2,FALSE),$G$1),"")</f>
        <v>CORTEX ver2</v>
      </c>
      <c r="H201" s="2788" t="str">
        <f>IFERROR(HYPERLINK("https://logistics.amazon.co.jp/internal/capacity/rosterview?serviceAreaId="&amp;VLOOKUP($B201,'DS ID'!B:D,2,FALSE),$H$1),"")</f>
        <v>Roster</v>
      </c>
      <c r="I201" s="2788" t="str">
        <f>IFERROR(HYPERLINK("https://logistics.amazon.co.jp/internal/scheduling/dsps?serviceAreaId="&amp;VLOOKUP($B201,'DS ID'!B:D,2,FALSE),$I$1),"")</f>
        <v>SUI</v>
      </c>
      <c r="J201" s="2400" t="s">
        <v>835</v>
      </c>
      <c r="K201" s="2400"/>
      <c r="L201" s="2400"/>
      <c r="M201" s="2400"/>
      <c r="N201" s="2397" t="s">
        <v>785</v>
      </c>
      <c r="O201" s="2398"/>
      <c r="P201" s="2393"/>
    </row>
    <row r="202" spans="1:16" hidden="1" x14ac:dyDescent="0.4">
      <c r="A202" s="2399" t="s">
        <v>1069</v>
      </c>
      <c r="B202" s="2378" t="s">
        <v>1140</v>
      </c>
      <c r="D202" s="2378" t="s">
        <v>1141</v>
      </c>
      <c r="E202" s="2434" t="s">
        <v>1141</v>
      </c>
      <c r="G202" s="2788" t="str">
        <f>IFERROR(HYPERLINK("https://logistics.amazon.co.jp/internal/operations/execution/itineraries?operationView=true&amp;provider=ALL_DRIVERS&amp;serviceAreaId="&amp;VLOOKUP($B202,'DS ID'!B:D,2,FALSE),$G$1),"")</f>
        <v/>
      </c>
      <c r="H202" s="2788" t="str">
        <f>IFERROR(HYPERLINK("https://logistics.amazon.co.jp/internal/capacity/rosterview?serviceAreaId="&amp;VLOOKUP($B202,'DS ID'!B:D,2,FALSE),$H$1),"")</f>
        <v/>
      </c>
      <c r="I202" s="2788" t="str">
        <f>IFERROR(HYPERLINK("https://logistics.amazon.co.jp/internal/scheduling/dsps?serviceAreaId="&amp;VLOOKUP($B202,'DS ID'!B:D,2,FALSE),$I$1),"")</f>
        <v/>
      </c>
      <c r="J202" s="2400" t="s">
        <v>835</v>
      </c>
      <c r="K202" s="2400"/>
      <c r="L202" s="2400"/>
      <c r="M202" s="2400"/>
      <c r="N202" s="2397" t="s">
        <v>785</v>
      </c>
      <c r="O202" s="2406" t="s">
        <v>1074</v>
      </c>
      <c r="P202" s="2435" t="s">
        <v>1142</v>
      </c>
    </row>
    <row r="203" spans="1:16" hidden="1" x14ac:dyDescent="0.4">
      <c r="A203" s="2399" t="s">
        <v>1069</v>
      </c>
      <c r="B203" s="2378" t="s">
        <v>1143</v>
      </c>
      <c r="D203" s="2378" t="s">
        <v>1144</v>
      </c>
      <c r="E203" s="2434" t="s">
        <v>1144</v>
      </c>
      <c r="G203" s="2788" t="str">
        <f>IFERROR(HYPERLINK("https://logistics.amazon.co.jp/internal/operations/execution/itineraries?operationView=true&amp;provider=ALL_DRIVERS&amp;serviceAreaId="&amp;VLOOKUP($B203,'DS ID'!B:D,2,FALSE),$G$1),"")</f>
        <v>CORTEX ver2</v>
      </c>
      <c r="H203" s="2788" t="str">
        <f>IFERROR(HYPERLINK("https://logistics.amazon.co.jp/internal/capacity/rosterview?serviceAreaId="&amp;VLOOKUP($B203,'DS ID'!B:D,2,FALSE),$H$1),"")</f>
        <v>Roster</v>
      </c>
      <c r="I203" s="2788" t="str">
        <f>IFERROR(HYPERLINK("https://logistics.amazon.co.jp/internal/scheduling/dsps?serviceAreaId="&amp;VLOOKUP($B203,'DS ID'!B:D,2,FALSE),$I$1),"")</f>
        <v>SUI</v>
      </c>
      <c r="J203" s="2400" t="s">
        <v>835</v>
      </c>
      <c r="K203" s="2400"/>
      <c r="L203" s="2400"/>
      <c r="M203" s="2400"/>
      <c r="N203" s="2397" t="s">
        <v>785</v>
      </c>
      <c r="O203" s="2406" t="s">
        <v>1074</v>
      </c>
      <c r="P203" s="2393" t="s">
        <v>1145</v>
      </c>
    </row>
    <row r="204" spans="1:16" hidden="1" x14ac:dyDescent="0.4">
      <c r="A204" s="2399" t="s">
        <v>1069</v>
      </c>
      <c r="B204" s="2378" t="s">
        <v>1146</v>
      </c>
      <c r="D204" s="2378" t="s">
        <v>1045</v>
      </c>
      <c r="E204" s="2434" t="s">
        <v>1045</v>
      </c>
      <c r="G204" s="2788" t="str">
        <f>IFERROR(HYPERLINK("https://logistics.amazon.co.jp/internal/operations/execution/itineraries?operationView=true&amp;provider=ALL_DRIVERS&amp;serviceAreaId="&amp;VLOOKUP($B204,'DS ID'!B:D,2,FALSE),$G$1),"")</f>
        <v>CORTEX ver2</v>
      </c>
      <c r="H204" s="2788" t="str">
        <f>IFERROR(HYPERLINK("https://logistics.amazon.co.jp/internal/capacity/rosterview?serviceAreaId="&amp;VLOOKUP($B204,'DS ID'!B:D,2,FALSE),$H$1),"")</f>
        <v>Roster</v>
      </c>
      <c r="I204" s="2788" t="str">
        <f>IFERROR(HYPERLINK("https://logistics.amazon.co.jp/internal/scheduling/dsps?serviceAreaId="&amp;VLOOKUP($B204,'DS ID'!B:D,2,FALSE),$I$1),"")</f>
        <v>SUI</v>
      </c>
      <c r="J204" s="2400" t="s">
        <v>835</v>
      </c>
      <c r="K204" s="2400"/>
      <c r="L204" s="2400"/>
      <c r="M204" s="2400"/>
      <c r="N204" s="2397" t="s">
        <v>785</v>
      </c>
      <c r="O204" s="2406" t="s">
        <v>1074</v>
      </c>
      <c r="P204" s="2393" t="s">
        <v>1145</v>
      </c>
    </row>
    <row r="205" spans="1:16" ht="22.35" hidden="1" customHeight="1" x14ac:dyDescent="0.4">
      <c r="A205" s="2399" t="s">
        <v>1069</v>
      </c>
      <c r="B205" s="2378" t="s">
        <v>1147</v>
      </c>
      <c r="D205" s="2378" t="s">
        <v>1148</v>
      </c>
      <c r="E205" s="2380" t="s">
        <v>1148</v>
      </c>
      <c r="G205" s="2788" t="str">
        <f>IFERROR(HYPERLINK("https://logistics.amazon.co.jp/internal/operations/execution/itineraries?operationView=true&amp;provider=ALL_DRIVERS&amp;serviceAreaId="&amp;VLOOKUP($B205,'DS ID'!B:D,2,FALSE),$G$1),"")</f>
        <v/>
      </c>
      <c r="H205" s="2788" t="str">
        <f>IFERROR(HYPERLINK("https://logistics.amazon.co.jp/internal/capacity/rosterview?serviceAreaId="&amp;VLOOKUP($B205,'DS ID'!B:D,2,FALSE),$H$1),"")</f>
        <v/>
      </c>
      <c r="I205" s="2788" t="str">
        <f>IFERROR(HYPERLINK("https://logistics.amazon.co.jp/internal/scheduling/dsps?serviceAreaId="&amp;VLOOKUP($B205,'DS ID'!B:D,2,FALSE),$I$1),"")</f>
        <v/>
      </c>
      <c r="J205" s="2400" t="s">
        <v>835</v>
      </c>
      <c r="K205" s="2400"/>
      <c r="L205" s="2400"/>
      <c r="M205" s="2400"/>
      <c r="N205" s="2397" t="s">
        <v>785</v>
      </c>
      <c r="O205" s="2395"/>
      <c r="P205" s="2393" t="s">
        <v>1113</v>
      </c>
    </row>
    <row r="206" spans="1:16" ht="22.35" hidden="1" customHeight="1" x14ac:dyDescent="0.4">
      <c r="A206" s="2399" t="s">
        <v>1069</v>
      </c>
      <c r="B206" s="2378" t="s">
        <v>1149</v>
      </c>
      <c r="D206" s="2378" t="s">
        <v>869</v>
      </c>
      <c r="E206" s="2380" t="s">
        <v>1150</v>
      </c>
      <c r="G206" s="2788" t="str">
        <f>IFERROR(HYPERLINK("https://logistics.amazon.co.jp/internal/operations/execution/itineraries?operationView=true&amp;provider=ALL_DRIVERS&amp;serviceAreaId="&amp;VLOOKUP($B206,'DS ID'!B:D,2,FALSE),$G$1),"")</f>
        <v>CORTEX ver2</v>
      </c>
      <c r="H206" s="2788" t="str">
        <f>IFERROR(HYPERLINK("https://logistics.amazon.co.jp/internal/capacity/rosterview?serviceAreaId="&amp;VLOOKUP($B206,'DS ID'!B:D,2,FALSE),$H$1),"")</f>
        <v>Roster</v>
      </c>
      <c r="I206" s="2788" t="str">
        <f>IFERROR(HYPERLINK("https://logistics.amazon.co.jp/internal/scheduling/dsps?serviceAreaId="&amp;VLOOKUP($B206,'DS ID'!B:D,2,FALSE),$I$1),"")</f>
        <v>SUI</v>
      </c>
      <c r="J206" s="2400" t="s">
        <v>835</v>
      </c>
      <c r="K206" s="2400"/>
      <c r="L206" s="2400"/>
      <c r="M206" s="2400"/>
      <c r="N206" s="2397" t="s">
        <v>785</v>
      </c>
      <c r="O206" s="2398"/>
      <c r="P206" s="2393" t="s">
        <v>1071</v>
      </c>
    </row>
    <row r="207" spans="1:16" ht="22.35" hidden="1" customHeight="1" x14ac:dyDescent="0.4">
      <c r="A207" s="2399" t="s">
        <v>1069</v>
      </c>
      <c r="B207" s="2378" t="s">
        <v>1151</v>
      </c>
      <c r="D207" s="2378" t="s">
        <v>1152</v>
      </c>
      <c r="E207" s="2380" t="s">
        <v>1152</v>
      </c>
      <c r="G207" s="2788" t="str">
        <f>IFERROR(HYPERLINK("https://logistics.amazon.co.jp/internal/operations/execution/itineraries?operationView=true&amp;provider=ALL_DRIVERS&amp;serviceAreaId="&amp;VLOOKUP($B207,'DS ID'!B:D,2,FALSE),$G$1),"")</f>
        <v>CORTEX ver2</v>
      </c>
      <c r="H207" s="2788" t="str">
        <f>IFERROR(HYPERLINK("https://logistics.amazon.co.jp/internal/capacity/rosterview?serviceAreaId="&amp;VLOOKUP($B207,'DS ID'!B:D,2,FALSE),$H$1),"")</f>
        <v>Roster</v>
      </c>
      <c r="I207" s="2788" t="str">
        <f>IFERROR(HYPERLINK("https://logistics.amazon.co.jp/internal/scheduling/dsps?serviceAreaId="&amp;VLOOKUP($B207,'DS ID'!B:D,2,FALSE),$I$1),"")</f>
        <v>SUI</v>
      </c>
      <c r="J207" s="2400" t="s">
        <v>835</v>
      </c>
      <c r="K207" s="2400"/>
      <c r="L207" s="2400"/>
      <c r="M207" s="2400"/>
      <c r="N207" s="2397" t="s">
        <v>785</v>
      </c>
      <c r="O207" s="2406" t="s">
        <v>1074</v>
      </c>
      <c r="P207" s="2435" t="s">
        <v>1142</v>
      </c>
    </row>
    <row r="208" spans="1:16" ht="22.35" hidden="1" customHeight="1" x14ac:dyDescent="0.4">
      <c r="A208" s="2399" t="s">
        <v>1069</v>
      </c>
      <c r="B208" s="2378" t="s">
        <v>1153</v>
      </c>
      <c r="D208" s="2378" t="s">
        <v>1152</v>
      </c>
      <c r="E208" s="2380" t="s">
        <v>1154</v>
      </c>
      <c r="G208" s="2788" t="str">
        <f>IFERROR(HYPERLINK("https://logistics.amazon.co.jp/internal/operations/execution/itineraries?operationView=true&amp;provider=ALL_DRIVERS&amp;serviceAreaId="&amp;VLOOKUP($B208,'DS ID'!B:D,2,FALSE),$G$1),"")</f>
        <v>CORTEX ver2</v>
      </c>
      <c r="H208" s="2788" t="str">
        <f>IFERROR(HYPERLINK("https://logistics.amazon.co.jp/internal/capacity/rosterview?serviceAreaId="&amp;VLOOKUP($B208,'DS ID'!B:D,2,FALSE),$H$1),"")</f>
        <v>Roster</v>
      </c>
      <c r="I208" s="2788" t="str">
        <f>IFERROR(HYPERLINK("https://logistics.amazon.co.jp/internal/scheduling/dsps?serviceAreaId="&amp;VLOOKUP($B208,'DS ID'!B:D,2,FALSE),$I$1),"")</f>
        <v>SUI</v>
      </c>
      <c r="J208" s="2400" t="s">
        <v>835</v>
      </c>
      <c r="K208" s="2400"/>
      <c r="L208" s="2400"/>
      <c r="M208" s="2400"/>
      <c r="N208" s="2397" t="s">
        <v>785</v>
      </c>
      <c r="O208" s="2398"/>
      <c r="P208" s="2393"/>
    </row>
    <row r="209" spans="1:16" ht="22.35" hidden="1" customHeight="1" x14ac:dyDescent="0.4">
      <c r="A209" s="2399" t="s">
        <v>1069</v>
      </c>
      <c r="B209" s="2378" t="s">
        <v>1155</v>
      </c>
      <c r="D209" s="2378" t="s">
        <v>920</v>
      </c>
      <c r="E209" s="2380" t="s">
        <v>1156</v>
      </c>
      <c r="G209" s="2788" t="str">
        <f>IFERROR(HYPERLINK("https://logistics.amazon.co.jp/internal/operations/execution/itineraries?operationView=true&amp;provider=ALL_DRIVERS&amp;serviceAreaId="&amp;VLOOKUP($B209,'DS ID'!B:D,2,FALSE),$G$1),"")</f>
        <v>CORTEX ver2</v>
      </c>
      <c r="H209" s="2788" t="str">
        <f>IFERROR(HYPERLINK("https://logistics.amazon.co.jp/internal/capacity/rosterview?serviceAreaId="&amp;VLOOKUP($B209,'DS ID'!B:D,2,FALSE),$H$1),"")</f>
        <v>Roster</v>
      </c>
      <c r="I209" s="2788" t="str">
        <f>IFERROR(HYPERLINK("https://logistics.amazon.co.jp/internal/scheduling/dsps?serviceAreaId="&amp;VLOOKUP($B209,'DS ID'!B:D,2,FALSE),$I$1),"")</f>
        <v>SUI</v>
      </c>
      <c r="J209" s="2400" t="s">
        <v>835</v>
      </c>
      <c r="K209" s="2400"/>
      <c r="L209" s="2400"/>
      <c r="M209" s="2400"/>
      <c r="N209" s="2397" t="s">
        <v>785</v>
      </c>
      <c r="O209" s="2406" t="s">
        <v>1074</v>
      </c>
      <c r="P209" s="2393" t="s">
        <v>1157</v>
      </c>
    </row>
    <row r="210" spans="1:16" ht="22.35" hidden="1" customHeight="1" x14ac:dyDescent="0.4">
      <c r="A210" s="2399" t="s">
        <v>1069</v>
      </c>
      <c r="B210" s="2378" t="s">
        <v>1158</v>
      </c>
      <c r="D210" s="2378" t="s">
        <v>812</v>
      </c>
      <c r="E210" s="2380" t="s">
        <v>1159</v>
      </c>
      <c r="F210" s="2389"/>
      <c r="G210" s="2788" t="str">
        <f>IFERROR(HYPERLINK("https://logistics.amazon.co.jp/internal/operations/execution/itineraries?operationView=true&amp;provider=ALL_DRIVERS&amp;serviceAreaId="&amp;VLOOKUP($B210,'DS ID'!B:D,2,FALSE),$G$1),"")</f>
        <v/>
      </c>
      <c r="H210" s="2788" t="str">
        <f>IFERROR(HYPERLINK("https://logistics.amazon.co.jp/internal/capacity/rosterview?serviceAreaId="&amp;VLOOKUP($B210,'DS ID'!B:D,2,FALSE),$H$1),"")</f>
        <v/>
      </c>
      <c r="I210" s="2788" t="str">
        <f>IFERROR(HYPERLINK("https://logistics.amazon.co.jp/internal/scheduling/dsps?serviceAreaId="&amp;VLOOKUP($B210,'DS ID'!B:D,2,FALSE),$I$1),"")</f>
        <v/>
      </c>
      <c r="J210" s="2400" t="s">
        <v>835</v>
      </c>
      <c r="K210" s="2400"/>
      <c r="L210" s="2400"/>
      <c r="M210" s="2400"/>
      <c r="N210" s="2397" t="s">
        <v>785</v>
      </c>
      <c r="O210" s="2395"/>
      <c r="P210" s="2393" t="s">
        <v>1160</v>
      </c>
    </row>
    <row r="211" spans="1:16" ht="22.35" hidden="1" customHeight="1" x14ac:dyDescent="0.4">
      <c r="A211" s="2399" t="s">
        <v>1069</v>
      </c>
      <c r="B211" s="2378" t="s">
        <v>1161</v>
      </c>
      <c r="D211" s="2378" t="s">
        <v>787</v>
      </c>
      <c r="E211" s="2380" t="s">
        <v>1162</v>
      </c>
      <c r="F211" s="2389"/>
      <c r="G211" s="2788" t="str">
        <f>IFERROR(HYPERLINK("https://logistics.amazon.co.jp/internal/operations/execution/itineraries?operationView=true&amp;provider=ALL_DRIVERS&amp;serviceAreaId="&amp;VLOOKUP($B211,'DS ID'!B:D,2,FALSE),$G$1),"")</f>
        <v>CORTEX ver2</v>
      </c>
      <c r="H211" s="2788" t="str">
        <f>IFERROR(HYPERLINK("https://logistics.amazon.co.jp/internal/capacity/rosterview?serviceAreaId="&amp;VLOOKUP($B211,'DS ID'!B:D,2,FALSE),$H$1),"")</f>
        <v>Roster</v>
      </c>
      <c r="I211" s="2788" t="str">
        <f>IFERROR(HYPERLINK("https://logistics.amazon.co.jp/internal/scheduling/dsps?serviceAreaId="&amp;VLOOKUP($B211,'DS ID'!B:D,2,FALSE),$I$1),"")</f>
        <v>SUI</v>
      </c>
      <c r="J211" s="2400" t="s">
        <v>835</v>
      </c>
      <c r="K211" s="2400"/>
      <c r="L211" s="2400"/>
      <c r="M211" s="2400"/>
      <c r="N211" s="2397" t="s">
        <v>785</v>
      </c>
      <c r="O211" s="2395"/>
      <c r="P211" s="2393" t="s">
        <v>1160</v>
      </c>
    </row>
    <row r="212" spans="1:16" ht="22.35" hidden="1" customHeight="1" x14ac:dyDescent="0.4">
      <c r="A212" s="2399" t="s">
        <v>1069</v>
      </c>
      <c r="B212" s="2378" t="s">
        <v>1163</v>
      </c>
      <c r="D212" s="2378" t="s">
        <v>787</v>
      </c>
      <c r="E212" s="2380" t="s">
        <v>1164</v>
      </c>
      <c r="F212" s="2389"/>
      <c r="G212" s="2788" t="str">
        <f>IFERROR(HYPERLINK("https://logistics.amazon.co.jp/internal/operations/execution/itineraries?operationView=true&amp;provider=ALL_DRIVERS&amp;serviceAreaId="&amp;VLOOKUP($B212,'DS ID'!B:D,2,FALSE),$G$1),"")</f>
        <v/>
      </c>
      <c r="H212" s="2788" t="str">
        <f>IFERROR(HYPERLINK("https://logistics.amazon.co.jp/internal/capacity/rosterview?serviceAreaId="&amp;VLOOKUP($B212,'DS ID'!B:D,2,FALSE),$H$1),"")</f>
        <v/>
      </c>
      <c r="I212" s="2788" t="str">
        <f>IFERROR(HYPERLINK("https://logistics.amazon.co.jp/internal/scheduling/dsps?serviceAreaId="&amp;VLOOKUP($B212,'DS ID'!B:D,2,FALSE),$I$1),"")</f>
        <v/>
      </c>
      <c r="J212" s="2400" t="s">
        <v>835</v>
      </c>
      <c r="K212" s="2400"/>
      <c r="L212" s="2400"/>
      <c r="M212" s="2400"/>
      <c r="N212" s="2397" t="s">
        <v>785</v>
      </c>
      <c r="O212" s="2406" t="s">
        <v>1074</v>
      </c>
      <c r="P212" s="2436"/>
    </row>
    <row r="213" spans="1:16" ht="22.35" hidden="1" customHeight="1" x14ac:dyDescent="0.4">
      <c r="A213" s="2399" t="s">
        <v>1069</v>
      </c>
      <c r="B213" s="2378" t="s">
        <v>1165</v>
      </c>
      <c r="D213" s="2404" t="s">
        <v>812</v>
      </c>
      <c r="E213" s="2412" t="s">
        <v>1159</v>
      </c>
      <c r="G213" s="2788" t="str">
        <f>IFERROR(HYPERLINK("https://logistics.amazon.co.jp/internal/operations/execution/itineraries?operationView=true&amp;provider=ALL_DRIVERS&amp;serviceAreaId="&amp;VLOOKUP($B213,'DS ID'!B:D,2,FALSE),$G$1),"")</f>
        <v/>
      </c>
      <c r="H213" s="2788" t="str">
        <f>IFERROR(HYPERLINK("https://logistics.amazon.co.jp/internal/capacity/rosterview?serviceAreaId="&amp;VLOOKUP($B213,'DS ID'!B:D,2,FALSE),$H$1),"")</f>
        <v/>
      </c>
      <c r="I213" s="2788" t="str">
        <f>IFERROR(HYPERLINK("https://logistics.amazon.co.jp/internal/scheduling/dsps?serviceAreaId="&amp;VLOOKUP($B213,'DS ID'!B:D,2,FALSE),$I$1),"")</f>
        <v/>
      </c>
      <c r="J213" s="2400" t="s">
        <v>835</v>
      </c>
      <c r="K213" s="2400"/>
      <c r="L213" s="2400"/>
      <c r="M213" s="2400"/>
      <c r="N213" s="2397" t="s">
        <v>785</v>
      </c>
      <c r="O213" s="2431"/>
      <c r="P213" s="2393" t="s">
        <v>1160</v>
      </c>
    </row>
    <row r="214" spans="1:16" ht="22.35" hidden="1" customHeight="1" x14ac:dyDescent="0.4">
      <c r="A214" s="2399" t="s">
        <v>1069</v>
      </c>
      <c r="B214" s="2378" t="s">
        <v>1166</v>
      </c>
      <c r="D214" s="2404" t="s">
        <v>812</v>
      </c>
      <c r="E214" s="2412" t="s">
        <v>1167</v>
      </c>
      <c r="G214" s="2788" t="str">
        <f>IFERROR(HYPERLINK("https://logistics.amazon.co.jp/internal/operations/execution/itineraries?operationView=true&amp;provider=ALL_DRIVERS&amp;serviceAreaId="&amp;VLOOKUP($B214,'DS ID'!B:D,2,FALSE),$G$1),"")</f>
        <v/>
      </c>
      <c r="H214" s="2788" t="str">
        <f>IFERROR(HYPERLINK("https://logistics.amazon.co.jp/internal/capacity/rosterview?serviceAreaId="&amp;VLOOKUP($B214,'DS ID'!B:D,2,FALSE),$H$1),"")</f>
        <v/>
      </c>
      <c r="I214" s="2788" t="str">
        <f>IFERROR(HYPERLINK("https://logistics.amazon.co.jp/internal/scheduling/dsps?serviceAreaId="&amp;VLOOKUP($B214,'DS ID'!B:D,2,FALSE),$I$1),"")</f>
        <v/>
      </c>
      <c r="J214" s="2400" t="s">
        <v>835</v>
      </c>
      <c r="K214" s="2400"/>
      <c r="L214" s="2400"/>
      <c r="M214" s="2400"/>
      <c r="N214" s="2397" t="s">
        <v>785</v>
      </c>
      <c r="O214" s="2431"/>
      <c r="P214" s="2393" t="s">
        <v>1160</v>
      </c>
    </row>
    <row r="215" spans="1:16" ht="22.35" hidden="1" customHeight="1" x14ac:dyDescent="0.4">
      <c r="A215" s="2399" t="s">
        <v>1069</v>
      </c>
      <c r="B215" s="2378" t="s">
        <v>1168</v>
      </c>
      <c r="D215" s="2404" t="s">
        <v>812</v>
      </c>
      <c r="E215" s="2412" t="s">
        <v>1169</v>
      </c>
      <c r="G215" s="2788" t="str">
        <f>IFERROR(HYPERLINK("https://logistics.amazon.co.jp/internal/operations/execution/itineraries?operationView=true&amp;provider=ALL_DRIVERS&amp;serviceAreaId="&amp;VLOOKUP($B215,'DS ID'!B:D,2,FALSE),$G$1),"")</f>
        <v/>
      </c>
      <c r="H215" s="2788" t="str">
        <f>IFERROR(HYPERLINK("https://logistics.amazon.co.jp/internal/capacity/rosterview?serviceAreaId="&amp;VLOOKUP($B215,'DS ID'!B:D,2,FALSE),$H$1),"")</f>
        <v/>
      </c>
      <c r="I215" s="2788" t="str">
        <f>IFERROR(HYPERLINK("https://logistics.amazon.co.jp/internal/scheduling/dsps?serviceAreaId="&amp;VLOOKUP($B215,'DS ID'!B:D,2,FALSE),$I$1),"")</f>
        <v/>
      </c>
      <c r="J215" s="2400" t="s">
        <v>835</v>
      </c>
      <c r="K215" s="2400"/>
      <c r="L215" s="2400"/>
      <c r="M215" s="2400"/>
      <c r="N215" s="2397" t="s">
        <v>785</v>
      </c>
      <c r="O215" s="2431"/>
      <c r="P215" s="2393" t="s">
        <v>1160</v>
      </c>
    </row>
    <row r="216" spans="1:16" ht="22.35" hidden="1" customHeight="1" x14ac:dyDescent="0.4">
      <c r="A216" s="2377" t="s">
        <v>1069</v>
      </c>
      <c r="B216" s="2378" t="s">
        <v>1170</v>
      </c>
      <c r="D216" s="2404" t="s">
        <v>833</v>
      </c>
      <c r="E216" s="2412" t="s">
        <v>1171</v>
      </c>
      <c r="G216" s="2788" t="str">
        <f>IFERROR(HYPERLINK("https://logistics.amazon.co.jp/internal/operations/execution/itineraries?operationView=true&amp;provider=ALL_DRIVERS&amp;serviceAreaId="&amp;VLOOKUP($B216,'DS ID'!B:D,2,FALSE),$G$1),"")</f>
        <v>CORTEX ver2</v>
      </c>
      <c r="H216" s="2788" t="str">
        <f>IFERROR(HYPERLINK("https://logistics.amazon.co.jp/internal/capacity/rosterview?serviceAreaId="&amp;VLOOKUP($B216,'DS ID'!B:D,2,FALSE),$H$1),"")</f>
        <v>Roster</v>
      </c>
      <c r="I216" s="2788" t="str">
        <f>IFERROR(HYPERLINK("https://logistics.amazon.co.jp/internal/scheduling/dsps?serviceAreaId="&amp;VLOOKUP($B216,'DS ID'!B:D,2,FALSE),$I$1),"")</f>
        <v>SUI</v>
      </c>
      <c r="J216" s="2400" t="s">
        <v>835</v>
      </c>
      <c r="K216" s="2400"/>
      <c r="L216" s="2400"/>
      <c r="M216" s="2400"/>
      <c r="N216" s="2397" t="s">
        <v>785</v>
      </c>
      <c r="O216" s="2398" t="s">
        <v>1172</v>
      </c>
      <c r="P216" s="2393" t="s">
        <v>1160</v>
      </c>
    </row>
    <row r="217" spans="1:16" hidden="1" x14ac:dyDescent="0.4">
      <c r="A217" s="2399" t="s">
        <v>1069</v>
      </c>
      <c r="B217" s="2378" t="s">
        <v>1173</v>
      </c>
      <c r="D217" s="2404" t="s">
        <v>812</v>
      </c>
      <c r="E217" s="2412" t="s">
        <v>1174</v>
      </c>
      <c r="G217" s="2788" t="str">
        <f>IFERROR(HYPERLINK("https://logistics.amazon.co.jp/internal/operations/execution/itineraries?operationView=true&amp;provider=ALL_DRIVERS&amp;serviceAreaId="&amp;VLOOKUP($B217,'DS ID'!B:D,2,FALSE),$G$1),"")</f>
        <v>CORTEX ver2</v>
      </c>
      <c r="H217" s="2788" t="str">
        <f>IFERROR(HYPERLINK("https://logistics.amazon.co.jp/internal/capacity/rosterview?serviceAreaId="&amp;VLOOKUP($B217,'DS ID'!B:D,2,FALSE),$H$1),"")</f>
        <v>Roster</v>
      </c>
      <c r="I217" s="2788" t="str">
        <f>IFERROR(HYPERLINK("https://logistics.amazon.co.jp/internal/scheduling/dsps?serviceAreaId="&amp;VLOOKUP($B217,'DS ID'!B:D,2,FALSE),$I$1),"")</f>
        <v>SUI</v>
      </c>
      <c r="J217" s="2400" t="s">
        <v>835</v>
      </c>
      <c r="K217" s="2400"/>
      <c r="L217" s="2400"/>
      <c r="M217" s="2400"/>
      <c r="N217" s="2397" t="s">
        <v>785</v>
      </c>
      <c r="O217" s="2431"/>
      <c r="P217" s="2393" t="s">
        <v>1160</v>
      </c>
    </row>
    <row r="218" spans="1:16" hidden="1" x14ac:dyDescent="0.4">
      <c r="A218" s="2399" t="s">
        <v>1069</v>
      </c>
      <c r="B218" s="2378" t="s">
        <v>1175</v>
      </c>
      <c r="D218" s="2404" t="s">
        <v>869</v>
      </c>
      <c r="E218" s="2412" t="s">
        <v>1176</v>
      </c>
      <c r="G218" s="2788" t="str">
        <f>IFERROR(HYPERLINK("https://logistics.amazon.co.jp/internal/operations/execution/itineraries?operationView=true&amp;provider=ALL_DRIVERS&amp;serviceAreaId="&amp;VLOOKUP($B218,'DS ID'!B:D,2,FALSE),$G$1),"")</f>
        <v>CORTEX ver2</v>
      </c>
      <c r="H218" s="2788" t="str">
        <f>IFERROR(HYPERLINK("https://logistics.amazon.co.jp/internal/capacity/rosterview?serviceAreaId="&amp;VLOOKUP($B218,'DS ID'!B:D,2,FALSE),$H$1),"")</f>
        <v>Roster</v>
      </c>
      <c r="I218" s="2788" t="str">
        <f>IFERROR(HYPERLINK("https://logistics.amazon.co.jp/internal/scheduling/dsps?serviceAreaId="&amp;VLOOKUP($B218,'DS ID'!B:D,2,FALSE),$I$1),"")</f>
        <v>SUI</v>
      </c>
      <c r="J218" s="2400" t="s">
        <v>835</v>
      </c>
      <c r="K218" s="2400"/>
      <c r="L218" s="2400"/>
      <c r="M218" s="2400"/>
      <c r="N218" s="2397" t="s">
        <v>785</v>
      </c>
      <c r="O218" s="2431"/>
      <c r="P218" s="2393" t="s">
        <v>1157</v>
      </c>
    </row>
    <row r="219" spans="1:16" hidden="1" x14ac:dyDescent="0.4">
      <c r="A219" s="2377" t="s">
        <v>1069</v>
      </c>
      <c r="B219" s="2378" t="s">
        <v>1177</v>
      </c>
      <c r="D219" s="2378" t="s">
        <v>787</v>
      </c>
      <c r="E219" s="2380" t="s">
        <v>1178</v>
      </c>
      <c r="G219" s="2788" t="str">
        <f>IFERROR(HYPERLINK("https://logistics.amazon.co.jp/internal/operations/execution/itineraries?operationView=true&amp;provider=ALL_DRIVERS&amp;serviceAreaId="&amp;VLOOKUP($B219,'DS ID'!B:D,2,FALSE),$G$1),"")</f>
        <v>CORTEX ver2</v>
      </c>
      <c r="H219" s="2788" t="str">
        <f>IFERROR(HYPERLINK("https://logistics.amazon.co.jp/internal/capacity/rosterview?serviceAreaId="&amp;VLOOKUP($B219,'DS ID'!B:D,2,FALSE),$H$1),"")</f>
        <v>Roster</v>
      </c>
      <c r="I219" s="2788" t="str">
        <f>IFERROR(HYPERLINK("https://logistics.amazon.co.jp/internal/scheduling/dsps?serviceAreaId="&amp;VLOOKUP($B219,'DS ID'!B:D,2,FALSE),$I$1),"")</f>
        <v>SUI</v>
      </c>
      <c r="J219" s="2400" t="s">
        <v>835</v>
      </c>
      <c r="K219" s="2400"/>
      <c r="L219" s="2400"/>
      <c r="M219" s="2400"/>
      <c r="N219" s="2397" t="s">
        <v>785</v>
      </c>
      <c r="O219" s="2398"/>
      <c r="P219" s="2393" t="s">
        <v>1160</v>
      </c>
    </row>
    <row r="220" spans="1:16" hidden="1" x14ac:dyDescent="0.4">
      <c r="A220" s="2394" t="s">
        <v>1069</v>
      </c>
      <c r="B220" s="2378" t="s">
        <v>1179</v>
      </c>
      <c r="D220" s="2378" t="s">
        <v>812</v>
      </c>
      <c r="E220" s="2380" t="s">
        <v>1180</v>
      </c>
      <c r="G220" s="2788" t="str">
        <f>IFERROR(HYPERLINK("https://logistics.amazon.co.jp/internal/operations/execution/itineraries?operationView=true&amp;provider=ALL_DRIVERS&amp;serviceAreaId="&amp;VLOOKUP($B220,'DS ID'!B:D,2,FALSE),$G$1),"")</f>
        <v>CORTEX ver2</v>
      </c>
      <c r="H220" s="2788" t="str">
        <f>IFERROR(HYPERLINK("https://logistics.amazon.co.jp/internal/capacity/rosterview?serviceAreaId="&amp;VLOOKUP($B220,'DS ID'!B:D,2,FALSE),$H$1),"")</f>
        <v>Roster</v>
      </c>
      <c r="I220" s="2788" t="str">
        <f>IFERROR(HYPERLINK("https://logistics.amazon.co.jp/internal/scheduling/dsps?serviceAreaId="&amp;VLOOKUP($B220,'DS ID'!B:D,2,FALSE),$I$1),"")</f>
        <v>SUI</v>
      </c>
      <c r="J220" s="2400" t="s">
        <v>835</v>
      </c>
      <c r="K220" s="2400"/>
      <c r="L220" s="2400"/>
      <c r="M220" s="2400"/>
      <c r="N220" s="2397" t="s">
        <v>785</v>
      </c>
      <c r="O220" s="2416"/>
      <c r="P220" s="2393" t="s">
        <v>1160</v>
      </c>
    </row>
    <row r="221" spans="1:16" hidden="1" x14ac:dyDescent="0.4">
      <c r="A221" s="2399" t="s">
        <v>1069</v>
      </c>
      <c r="B221" s="2378" t="s">
        <v>1181</v>
      </c>
      <c r="D221" s="2404" t="s">
        <v>812</v>
      </c>
      <c r="E221" s="2412" t="s">
        <v>1180</v>
      </c>
      <c r="G221" s="2788" t="str">
        <f>IFERROR(HYPERLINK("https://logistics.amazon.co.jp/internal/operations/execution/itineraries?operationView=true&amp;provider=ALL_DRIVERS&amp;serviceAreaId="&amp;VLOOKUP($B221,'DS ID'!B:D,2,FALSE),$G$1),"")</f>
        <v/>
      </c>
      <c r="H221" s="2788" t="str">
        <f>IFERROR(HYPERLINK("https://logistics.amazon.co.jp/internal/capacity/rosterview?serviceAreaId="&amp;VLOOKUP($B221,'DS ID'!B:D,2,FALSE),$H$1),"")</f>
        <v/>
      </c>
      <c r="I221" s="2788" t="str">
        <f>IFERROR(HYPERLINK("https://logistics.amazon.co.jp/internal/scheduling/dsps?serviceAreaId="&amp;VLOOKUP($B221,'DS ID'!B:D,2,FALSE),$I$1),"")</f>
        <v/>
      </c>
      <c r="J221" s="2400" t="s">
        <v>835</v>
      </c>
      <c r="K221" s="2400"/>
      <c r="L221" s="2400"/>
      <c r="M221" s="2400"/>
      <c r="N221" s="2397" t="s">
        <v>785</v>
      </c>
      <c r="O221" s="2437" t="s">
        <v>1182</v>
      </c>
      <c r="P221" s="2393" t="s">
        <v>1160</v>
      </c>
    </row>
    <row r="222" spans="1:16" hidden="1" x14ac:dyDescent="0.4">
      <c r="A222" s="2399" t="s">
        <v>1069</v>
      </c>
      <c r="B222" s="2378" t="s">
        <v>1183</v>
      </c>
      <c r="D222" s="2404" t="s">
        <v>833</v>
      </c>
      <c r="E222" s="2412" t="s">
        <v>845</v>
      </c>
      <c r="G222" s="2788" t="str">
        <f>IFERROR(HYPERLINK("https://logistics.amazon.co.jp/internal/operations/execution/itineraries?operationView=true&amp;provider=ALL_DRIVERS&amp;serviceAreaId="&amp;VLOOKUP($B222,'DS ID'!B:D,2,FALSE),$G$1),"")</f>
        <v>CORTEX ver2</v>
      </c>
      <c r="H222" s="2788" t="str">
        <f>IFERROR(HYPERLINK("https://logistics.amazon.co.jp/internal/capacity/rosterview?serviceAreaId="&amp;VLOOKUP($B222,'DS ID'!B:D,2,FALSE),$H$1),"")</f>
        <v>Roster</v>
      </c>
      <c r="I222" s="2788" t="str">
        <f>IFERROR(HYPERLINK("https://logistics.amazon.co.jp/internal/scheduling/dsps?serviceAreaId="&amp;VLOOKUP($B222,'DS ID'!B:D,2,FALSE),$I$1),"")</f>
        <v>SUI</v>
      </c>
      <c r="J222" s="2400" t="s">
        <v>835</v>
      </c>
      <c r="K222" s="2400"/>
      <c r="L222" s="2400"/>
      <c r="M222" s="2400"/>
      <c r="N222" s="2397" t="s">
        <v>785</v>
      </c>
      <c r="O222" s="2431"/>
      <c r="P222" s="2438"/>
    </row>
    <row r="223" spans="1:16" hidden="1" x14ac:dyDescent="0.4">
      <c r="A223" s="2399" t="s">
        <v>1069</v>
      </c>
      <c r="B223" s="2378" t="s">
        <v>1184</v>
      </c>
      <c r="D223" s="2378" t="s">
        <v>812</v>
      </c>
      <c r="E223" s="2380" t="s">
        <v>812</v>
      </c>
      <c r="G223" s="2788" t="str">
        <f>IFERROR(HYPERLINK("https://logistics.amazon.co.jp/internal/operations/execution/itineraries?operationView=true&amp;provider=ALL_DRIVERS&amp;serviceAreaId="&amp;VLOOKUP($B223,'DS ID'!B:D,2,FALSE),$G$1),"")</f>
        <v>CORTEX ver2</v>
      </c>
      <c r="H223" s="2788" t="str">
        <f>IFERROR(HYPERLINK("https://logistics.amazon.co.jp/internal/capacity/rosterview?serviceAreaId="&amp;VLOOKUP($B223,'DS ID'!B:D,2,FALSE),$H$1),"")</f>
        <v>Roster</v>
      </c>
      <c r="I223" s="2788" t="str">
        <f>IFERROR(HYPERLINK("https://logistics.amazon.co.jp/internal/scheduling/dsps?serviceAreaId="&amp;VLOOKUP($B223,'DS ID'!B:D,2,FALSE),$I$1),"")</f>
        <v>SUI</v>
      </c>
      <c r="J223" s="2400" t="s">
        <v>835</v>
      </c>
      <c r="K223" s="2400"/>
      <c r="L223" s="2400"/>
      <c r="M223" s="2400"/>
      <c r="N223" s="2397" t="s">
        <v>785</v>
      </c>
      <c r="O223" s="2398"/>
      <c r="P223" s="2393" t="s">
        <v>1160</v>
      </c>
    </row>
    <row r="224" spans="1:16" hidden="1" x14ac:dyDescent="0.4">
      <c r="A224" s="2399" t="s">
        <v>1069</v>
      </c>
      <c r="B224" s="2378" t="s">
        <v>1163</v>
      </c>
      <c r="D224" s="2404" t="s">
        <v>787</v>
      </c>
      <c r="E224" s="2412" t="s">
        <v>1164</v>
      </c>
      <c r="G224" s="2788" t="str">
        <f>IFERROR(HYPERLINK("https://logistics.amazon.co.jp/internal/operations/execution/itineraries?operationView=true&amp;provider=ALL_DRIVERS&amp;serviceAreaId="&amp;VLOOKUP($B224,'DS ID'!B:D,2,FALSE),$G$1),"")</f>
        <v/>
      </c>
      <c r="H224" s="2788" t="str">
        <f>IFERROR(HYPERLINK("https://logistics.amazon.co.jp/internal/capacity/rosterview?serviceAreaId="&amp;VLOOKUP($B224,'DS ID'!B:D,2,FALSE),$H$1),"")</f>
        <v/>
      </c>
      <c r="I224" s="2788" t="str">
        <f>IFERROR(HYPERLINK("https://logistics.amazon.co.jp/internal/scheduling/dsps?serviceAreaId="&amp;VLOOKUP($B224,'DS ID'!B:D,2,FALSE),$I$1),"")</f>
        <v/>
      </c>
      <c r="J224" s="2400" t="s">
        <v>835</v>
      </c>
      <c r="K224" s="2400"/>
      <c r="L224" s="2400"/>
      <c r="M224" s="2400"/>
      <c r="N224" s="2397" t="s">
        <v>785</v>
      </c>
      <c r="O224" s="2431"/>
      <c r="P224" s="2393"/>
    </row>
    <row r="225" spans="1:21" hidden="1" x14ac:dyDescent="0.4">
      <c r="A225" s="2399" t="s">
        <v>1069</v>
      </c>
      <c r="B225" s="2378" t="s">
        <v>1185</v>
      </c>
      <c r="D225" s="2404" t="s">
        <v>812</v>
      </c>
      <c r="E225" s="2412" t="s">
        <v>1186</v>
      </c>
      <c r="G225" s="2788" t="str">
        <f>IFERROR(HYPERLINK("https://logistics.amazon.co.jp/internal/operations/execution/itineraries?operationView=true&amp;provider=ALL_DRIVERS&amp;serviceAreaId="&amp;VLOOKUP($B225,'DS ID'!B:D,2,FALSE),$G$1),"")</f>
        <v/>
      </c>
      <c r="H225" s="2788" t="str">
        <f>IFERROR(HYPERLINK("https://logistics.amazon.co.jp/internal/capacity/rosterview?serviceAreaId="&amp;VLOOKUP($B225,'DS ID'!B:D,2,FALSE),$H$1),"")</f>
        <v/>
      </c>
      <c r="I225" s="2788" t="str">
        <f>IFERROR(HYPERLINK("https://logistics.amazon.co.jp/internal/scheduling/dsps?serviceAreaId="&amp;VLOOKUP($B225,'DS ID'!B:D,2,FALSE),$I$1),"")</f>
        <v/>
      </c>
      <c r="J225" s="2400" t="s">
        <v>835</v>
      </c>
      <c r="K225" s="2400"/>
      <c r="L225" s="2400"/>
      <c r="M225" s="2400"/>
      <c r="N225" s="2397" t="s">
        <v>785</v>
      </c>
      <c r="O225" s="2431"/>
      <c r="P225" s="2393" t="s">
        <v>1187</v>
      </c>
    </row>
    <row r="226" spans="1:21" hidden="1" x14ac:dyDescent="0.4">
      <c r="A226" s="2399" t="s">
        <v>1069</v>
      </c>
      <c r="B226" s="2378" t="s">
        <v>1188</v>
      </c>
      <c r="D226" s="2404" t="s">
        <v>833</v>
      </c>
      <c r="E226" s="2412" t="s">
        <v>846</v>
      </c>
      <c r="G226" s="2788" t="str">
        <f>IFERROR(HYPERLINK("https://logistics.amazon.co.jp/internal/operations/execution/itineraries?operationView=true&amp;provider=ALL_DRIVERS&amp;serviceAreaId="&amp;VLOOKUP($B226,'DS ID'!B:D,2,FALSE),$G$1),"")</f>
        <v/>
      </c>
      <c r="H226" s="2788" t="str">
        <f>IFERROR(HYPERLINK("https://logistics.amazon.co.jp/internal/capacity/rosterview?serviceAreaId="&amp;VLOOKUP($B226,'DS ID'!B:D,2,FALSE),$H$1),"")</f>
        <v/>
      </c>
      <c r="I226" s="2788" t="str">
        <f>IFERROR(HYPERLINK("https://logistics.amazon.co.jp/internal/scheduling/dsps?serviceAreaId="&amp;VLOOKUP($B226,'DS ID'!B:D,2,FALSE),$I$1),"")</f>
        <v/>
      </c>
      <c r="J226" s="2400" t="s">
        <v>835</v>
      </c>
      <c r="K226" s="2400"/>
      <c r="L226" s="2400"/>
      <c r="M226" s="2400"/>
      <c r="N226" s="2397" t="s">
        <v>785</v>
      </c>
      <c r="O226" s="2431"/>
      <c r="P226" s="2393" t="s">
        <v>1145</v>
      </c>
    </row>
    <row r="227" spans="1:21" ht="20.85" hidden="1" customHeight="1" x14ac:dyDescent="0.4">
      <c r="A227" s="2399" t="s">
        <v>1069</v>
      </c>
      <c r="B227" s="2378" t="s">
        <v>1189</v>
      </c>
      <c r="D227" s="2404" t="s">
        <v>833</v>
      </c>
      <c r="E227" s="2412" t="s">
        <v>846</v>
      </c>
      <c r="G227" s="2788" t="str">
        <f>IFERROR(HYPERLINK("https://logistics.amazon.co.jp/internal/operations/execution/itineraries?operationView=true&amp;provider=ALL_DRIVERS&amp;serviceAreaId="&amp;VLOOKUP($B227,'DS ID'!B:D,2,FALSE),$G$1),"")</f>
        <v>CORTEX ver2</v>
      </c>
      <c r="H227" s="2788" t="str">
        <f>IFERROR(HYPERLINK("https://logistics.amazon.co.jp/internal/capacity/rosterview?serviceAreaId="&amp;VLOOKUP($B227,'DS ID'!B:D,2,FALSE),$H$1),"")</f>
        <v>Roster</v>
      </c>
      <c r="I227" s="2788" t="str">
        <f>IFERROR(HYPERLINK("https://logistics.amazon.co.jp/internal/scheduling/dsps?serviceAreaId="&amp;VLOOKUP($B227,'DS ID'!B:D,2,FALSE),$I$1),"")</f>
        <v>SUI</v>
      </c>
      <c r="J227" s="2400" t="s">
        <v>835</v>
      </c>
      <c r="K227" s="2400"/>
      <c r="L227" s="2400"/>
      <c r="M227" s="2400"/>
      <c r="N227" s="2397" t="s">
        <v>785</v>
      </c>
      <c r="O227" s="2431"/>
      <c r="P227" s="2393" t="s">
        <v>1145</v>
      </c>
    </row>
    <row r="228" spans="1:21" ht="20.85" hidden="1" customHeight="1" x14ac:dyDescent="0.4">
      <c r="A228" s="2399" t="s">
        <v>1069</v>
      </c>
      <c r="B228" s="2378" t="s">
        <v>1190</v>
      </c>
      <c r="D228" s="2378" t="s">
        <v>833</v>
      </c>
      <c r="E228" s="2380" t="s">
        <v>846</v>
      </c>
      <c r="G228" s="2788" t="str">
        <f>IFERROR(HYPERLINK("https://logistics.amazon.co.jp/internal/operations/execution/itineraries?operationView=true&amp;provider=ALL_DRIVERS&amp;serviceAreaId="&amp;VLOOKUP($B228,'DS ID'!B:D,2,FALSE),$G$1),"")</f>
        <v/>
      </c>
      <c r="H228" s="2788" t="str">
        <f>IFERROR(HYPERLINK("https://logistics.amazon.co.jp/internal/capacity/rosterview?serviceAreaId="&amp;VLOOKUP($B228,'DS ID'!B:D,2,FALSE),$H$1),"")</f>
        <v/>
      </c>
      <c r="I228" s="2788" t="str">
        <f>IFERROR(HYPERLINK("https://logistics.amazon.co.jp/internal/scheduling/dsps?serviceAreaId="&amp;VLOOKUP($B228,'DS ID'!B:D,2,FALSE),$I$1),"")</f>
        <v/>
      </c>
      <c r="J228" s="2400" t="s">
        <v>835</v>
      </c>
      <c r="K228" s="2400"/>
      <c r="L228" s="2400"/>
      <c r="M228" s="2400"/>
      <c r="N228" s="2397" t="s">
        <v>785</v>
      </c>
      <c r="O228" s="2410"/>
      <c r="P228" s="2393" t="s">
        <v>1145</v>
      </c>
    </row>
    <row r="229" spans="1:21" ht="20.85" hidden="1" customHeight="1" x14ac:dyDescent="0.4">
      <c r="A229" s="2399" t="s">
        <v>1069</v>
      </c>
      <c r="B229" s="2378" t="s">
        <v>1191</v>
      </c>
      <c r="D229" s="2378" t="s">
        <v>833</v>
      </c>
      <c r="E229" s="2380" t="s">
        <v>846</v>
      </c>
      <c r="G229" s="2788" t="str">
        <f>IFERROR(HYPERLINK("https://logistics.amazon.co.jp/internal/operations/execution/itineraries?operationView=true&amp;provider=ALL_DRIVERS&amp;serviceAreaId="&amp;VLOOKUP($B229,'DS ID'!B:D,2,FALSE),$G$1),"")</f>
        <v/>
      </c>
      <c r="H229" s="2788" t="str">
        <f>IFERROR(HYPERLINK("https://logistics.amazon.co.jp/internal/capacity/rosterview?serviceAreaId="&amp;VLOOKUP($B229,'DS ID'!B:D,2,FALSE),$H$1),"")</f>
        <v/>
      </c>
      <c r="I229" s="2788" t="str">
        <f>IFERROR(HYPERLINK("https://logistics.amazon.co.jp/internal/scheduling/dsps?serviceAreaId="&amp;VLOOKUP($B229,'DS ID'!B:D,2,FALSE),$I$1),"")</f>
        <v/>
      </c>
      <c r="J229" s="2400" t="s">
        <v>835</v>
      </c>
      <c r="K229" s="2400"/>
      <c r="L229" s="2400"/>
      <c r="M229" s="2400"/>
      <c r="N229" s="2397" t="s">
        <v>785</v>
      </c>
      <c r="O229" s="2410"/>
      <c r="P229" s="2393" t="s">
        <v>1145</v>
      </c>
    </row>
    <row r="230" spans="1:21" hidden="1" x14ac:dyDescent="0.4">
      <c r="A230" s="2394" t="s">
        <v>1069</v>
      </c>
      <c r="B230" s="2378" t="s">
        <v>1192</v>
      </c>
      <c r="D230" s="2404" t="s">
        <v>833</v>
      </c>
      <c r="E230" s="2412" t="s">
        <v>1193</v>
      </c>
      <c r="G230" s="2788" t="str">
        <f>IFERROR(HYPERLINK("https://logistics.amazon.co.jp/internal/operations/execution/itineraries?operationView=true&amp;provider=ALL_DRIVERS&amp;serviceAreaId="&amp;VLOOKUP($B230,'DS ID'!B:D,2,FALSE),$G$1),"")</f>
        <v/>
      </c>
      <c r="H230" s="2788" t="str">
        <f>IFERROR(HYPERLINK("https://logistics.amazon.co.jp/internal/capacity/rosterview?serviceAreaId="&amp;VLOOKUP($B230,'DS ID'!B:D,2,FALSE),$H$1),"")</f>
        <v/>
      </c>
      <c r="I230" s="2788" t="str">
        <f>IFERROR(HYPERLINK("https://logistics.amazon.co.jp/internal/scheduling/dsps?serviceAreaId="&amp;VLOOKUP($B230,'DS ID'!B:D,2,FALSE),$I$1),"")</f>
        <v/>
      </c>
      <c r="J230" s="2400" t="s">
        <v>835</v>
      </c>
      <c r="K230" s="2400"/>
      <c r="L230" s="2400"/>
      <c r="M230" s="2400"/>
      <c r="N230" s="2397" t="s">
        <v>785</v>
      </c>
      <c r="O230" s="2416" t="s">
        <v>1172</v>
      </c>
      <c r="P230" s="2393" t="s">
        <v>1145</v>
      </c>
    </row>
    <row r="231" spans="1:21" ht="20.85" hidden="1" customHeight="1" x14ac:dyDescent="0.4">
      <c r="A231" s="2399" t="s">
        <v>1069</v>
      </c>
      <c r="B231" s="2378" t="s">
        <v>1194</v>
      </c>
      <c r="D231" s="2378" t="s">
        <v>833</v>
      </c>
      <c r="E231" s="2380" t="s">
        <v>868</v>
      </c>
      <c r="F231" s="2389"/>
      <c r="G231" s="2788" t="str">
        <f>IFERROR(HYPERLINK("https://logistics.amazon.co.jp/internal/operations/execution/itineraries?operationView=true&amp;provider=ALL_DRIVERS&amp;serviceAreaId="&amp;VLOOKUP($B231,'DS ID'!B:D,2,FALSE),$G$1),"")</f>
        <v/>
      </c>
      <c r="H231" s="2788" t="str">
        <f>IFERROR(HYPERLINK("https://logistics.amazon.co.jp/internal/capacity/rosterview?serviceAreaId="&amp;VLOOKUP($B231,'DS ID'!B:D,2,FALSE),$H$1),"")</f>
        <v/>
      </c>
      <c r="I231" s="2788" t="str">
        <f>IFERROR(HYPERLINK("https://logistics.amazon.co.jp/internal/scheduling/dsps?serviceAreaId="&amp;VLOOKUP($B231,'DS ID'!B:D,2,FALSE),$I$1),"")</f>
        <v/>
      </c>
      <c r="J231" s="2400" t="s">
        <v>835</v>
      </c>
      <c r="K231" s="2400"/>
      <c r="L231" s="2400"/>
      <c r="M231" s="2400"/>
      <c r="N231" s="2397" t="s">
        <v>785</v>
      </c>
      <c r="O231" s="2410"/>
      <c r="P231" s="2439" t="s">
        <v>1145</v>
      </c>
    </row>
    <row r="232" spans="1:21" ht="20.85" hidden="1" customHeight="1" x14ac:dyDescent="0.4">
      <c r="A232" s="2399" t="s">
        <v>1069</v>
      </c>
      <c r="B232" s="2378" t="s">
        <v>1195</v>
      </c>
      <c r="D232" s="2378" t="s">
        <v>1045</v>
      </c>
      <c r="E232" s="2380" t="s">
        <v>1045</v>
      </c>
      <c r="G232" s="2788" t="str">
        <f>IFERROR(HYPERLINK("https://logistics.amazon.co.jp/internal/operations/execution/itineraries?operationView=true&amp;provider=ALL_DRIVERS&amp;serviceAreaId="&amp;VLOOKUP($B232,'DS ID'!B:D,2,FALSE),$G$1),"")</f>
        <v/>
      </c>
      <c r="H232" s="2788" t="str">
        <f>IFERROR(HYPERLINK("https://logistics.amazon.co.jp/internal/capacity/rosterview?serviceAreaId="&amp;VLOOKUP($B232,'DS ID'!B:D,2,FALSE),$H$1),"")</f>
        <v/>
      </c>
      <c r="I232" s="2788" t="str">
        <f>IFERROR(HYPERLINK("https://logistics.amazon.co.jp/internal/scheduling/dsps?serviceAreaId="&amp;VLOOKUP($B232,'DS ID'!B:D,2,FALSE),$I$1),"")</f>
        <v/>
      </c>
      <c r="J232" s="2400" t="s">
        <v>835</v>
      </c>
      <c r="K232" s="2400"/>
      <c r="L232" s="2400"/>
      <c r="M232" s="2400"/>
      <c r="N232" s="2397" t="s">
        <v>785</v>
      </c>
      <c r="O232" s="2395" t="s">
        <v>1074</v>
      </c>
      <c r="P232" s="2439" t="s">
        <v>1145</v>
      </c>
    </row>
    <row r="233" spans="1:21" ht="20.85" hidden="1" customHeight="1" x14ac:dyDescent="0.4">
      <c r="A233" s="2399" t="s">
        <v>1069</v>
      </c>
      <c r="B233" s="2378" t="s">
        <v>1196</v>
      </c>
      <c r="D233" s="2378" t="s">
        <v>1144</v>
      </c>
      <c r="E233" s="2380" t="s">
        <v>1197</v>
      </c>
      <c r="G233" s="2788" t="str">
        <f>IFERROR(HYPERLINK("https://logistics.amazon.co.jp/internal/operations/execution/itineraries?operationView=true&amp;provider=ALL_DRIVERS&amp;serviceAreaId="&amp;VLOOKUP($B233,'DS ID'!B:D,2,FALSE),$G$1),"")</f>
        <v/>
      </c>
      <c r="H233" s="2788" t="str">
        <f>IFERROR(HYPERLINK("https://logistics.amazon.co.jp/internal/capacity/rosterview?serviceAreaId="&amp;VLOOKUP($B233,'DS ID'!B:D,2,FALSE),$H$1),"")</f>
        <v/>
      </c>
      <c r="I233" s="2788" t="str">
        <f>IFERROR(HYPERLINK("https://logistics.amazon.co.jp/internal/scheduling/dsps?serviceAreaId="&amp;VLOOKUP($B233,'DS ID'!B:D,2,FALSE),$I$1),"")</f>
        <v/>
      </c>
      <c r="J233" s="2400" t="s">
        <v>835</v>
      </c>
      <c r="K233" s="2400"/>
      <c r="L233" s="2400"/>
      <c r="M233" s="2400"/>
      <c r="N233" s="2397" t="s">
        <v>785</v>
      </c>
      <c r="O233" s="2395" t="s">
        <v>1074</v>
      </c>
      <c r="P233" s="2439" t="s">
        <v>1145</v>
      </c>
    </row>
    <row r="234" spans="1:21" ht="22.35" hidden="1" customHeight="1" x14ac:dyDescent="0.4">
      <c r="A234" s="2394" t="s">
        <v>1069</v>
      </c>
      <c r="B234" s="2378" t="s">
        <v>1198</v>
      </c>
      <c r="D234" s="2378" t="s">
        <v>833</v>
      </c>
      <c r="E234" s="2394" t="s">
        <v>1069</v>
      </c>
      <c r="F234" s="2389"/>
      <c r="G234" s="2788" t="str">
        <f>IFERROR(HYPERLINK("https://logistics.amazon.co.jp/internal/operations/execution/itineraries?operationView=true&amp;provider=ALL_DRIVERS&amp;serviceAreaId="&amp;VLOOKUP($B234,'DS ID'!B:D,2,FALSE),$G$1),"")</f>
        <v>CORTEX ver2</v>
      </c>
      <c r="H234" s="2788" t="str">
        <f>IFERROR(HYPERLINK("https://logistics.amazon.co.jp/internal/capacity/rosterview?serviceAreaId="&amp;VLOOKUP($B234,'DS ID'!B:D,2,FALSE),$H$1),"")</f>
        <v>Roster</v>
      </c>
      <c r="I234" s="2788" t="str">
        <f>IFERROR(HYPERLINK("https://logistics.amazon.co.jp/internal/scheduling/dsps?serviceAreaId="&amp;VLOOKUP($B234,'DS ID'!B:D,2,FALSE),$I$1),"")</f>
        <v>SUI</v>
      </c>
      <c r="J234" s="2400" t="s">
        <v>835</v>
      </c>
      <c r="K234" s="2400"/>
      <c r="L234" s="2400"/>
      <c r="M234" s="2400"/>
      <c r="N234" s="2397" t="s">
        <v>785</v>
      </c>
      <c r="O234" s="2395" t="s">
        <v>1074</v>
      </c>
      <c r="P234" s="2393" t="s">
        <v>1199</v>
      </c>
    </row>
    <row r="235" spans="1:21" ht="22.35" hidden="1" customHeight="1" x14ac:dyDescent="0.4">
      <c r="A235" s="2394" t="s">
        <v>1069</v>
      </c>
      <c r="B235" s="2378" t="s">
        <v>1200</v>
      </c>
      <c r="D235" s="2378" t="s">
        <v>833</v>
      </c>
      <c r="E235" s="2380" t="s">
        <v>1201</v>
      </c>
      <c r="G235" s="2788" t="str">
        <f>IFERROR(HYPERLINK("https://logistics.amazon.co.jp/internal/operations/execution/itineraries?operationView=true&amp;provider=ALL_DRIVERS&amp;serviceAreaId="&amp;VLOOKUP($B235,'DS ID'!B:D,2,FALSE),$G$1),"")</f>
        <v>CORTEX ver2</v>
      </c>
      <c r="H235" s="2788" t="str">
        <f>IFERROR(HYPERLINK("https://logistics.amazon.co.jp/internal/capacity/rosterview?serviceAreaId="&amp;VLOOKUP($B235,'DS ID'!B:D,2,FALSE),$H$1),"")</f>
        <v>Roster</v>
      </c>
      <c r="I235" s="2788" t="str">
        <f>IFERROR(HYPERLINK("https://logistics.amazon.co.jp/internal/scheduling/dsps?serviceAreaId="&amp;VLOOKUP($B235,'DS ID'!B:D,2,FALSE),$I$1),"")</f>
        <v>SUI</v>
      </c>
      <c r="J235" s="2400" t="s">
        <v>835</v>
      </c>
      <c r="K235" s="2400"/>
      <c r="L235" s="2400"/>
      <c r="M235" s="2400"/>
      <c r="N235" s="2397" t="s">
        <v>785</v>
      </c>
      <c r="O235" s="2395" t="s">
        <v>1074</v>
      </c>
      <c r="P235" s="2393" t="s">
        <v>1199</v>
      </c>
    </row>
    <row r="236" spans="1:21" ht="20.85" hidden="1" customHeight="1" x14ac:dyDescent="0.4">
      <c r="A236" s="2399" t="s">
        <v>1069</v>
      </c>
      <c r="B236" s="2378" t="s">
        <v>1202</v>
      </c>
      <c r="D236" s="2404" t="s">
        <v>833</v>
      </c>
      <c r="E236" s="2412" t="s">
        <v>1203</v>
      </c>
      <c r="G236" s="2788" t="str">
        <f>IFERROR(HYPERLINK("https://logistics.amazon.co.jp/internal/operations/execution/itineraries?operationView=true&amp;provider=ALL_DRIVERS&amp;serviceAreaId="&amp;VLOOKUP($B236,'DS ID'!B:D,2,FALSE),$G$1),"")</f>
        <v/>
      </c>
      <c r="H236" s="2788" t="str">
        <f>IFERROR(HYPERLINK("https://logistics.amazon.co.jp/internal/capacity/rosterview?serviceAreaId="&amp;VLOOKUP($B236,'DS ID'!B:D,2,FALSE),$H$1),"")</f>
        <v/>
      </c>
      <c r="I236" s="2788" t="str">
        <f>IFERROR(HYPERLINK("https://logistics.amazon.co.jp/internal/scheduling/dsps?serviceAreaId="&amp;VLOOKUP($B236,'DS ID'!B:D,2,FALSE),$I$1),"")</f>
        <v/>
      </c>
      <c r="J236" s="2400" t="s">
        <v>835</v>
      </c>
      <c r="K236" s="2400"/>
      <c r="L236" s="2400"/>
      <c r="M236" s="2400"/>
      <c r="N236" s="2397" t="s">
        <v>785</v>
      </c>
      <c r="O236" s="2431"/>
      <c r="P236" s="2440" t="s">
        <v>1187</v>
      </c>
    </row>
    <row r="237" spans="1:21" ht="20.85" hidden="1" customHeight="1" x14ac:dyDescent="0.4">
      <c r="A237" s="2377" t="s">
        <v>1069</v>
      </c>
      <c r="B237" s="2378" t="s">
        <v>1204</v>
      </c>
      <c r="D237" s="2378" t="s">
        <v>787</v>
      </c>
      <c r="E237" s="2380" t="s">
        <v>819</v>
      </c>
      <c r="G237" s="2788" t="str">
        <f>IFERROR(HYPERLINK("https://logistics.amazon.co.jp/internal/operations/execution/itineraries?operationView=true&amp;provider=ALL_DRIVERS&amp;serviceAreaId="&amp;VLOOKUP($B237,'DS ID'!B:D,2,FALSE),$G$1),"")</f>
        <v>CORTEX ver2</v>
      </c>
      <c r="H237" s="2788" t="str">
        <f>IFERROR(HYPERLINK("https://logistics.amazon.co.jp/internal/capacity/rosterview?serviceAreaId="&amp;VLOOKUP($B237,'DS ID'!B:D,2,FALSE),$H$1),"")</f>
        <v>Roster</v>
      </c>
      <c r="I237" s="2788" t="str">
        <f>IFERROR(HYPERLINK("https://logistics.amazon.co.jp/internal/scheduling/dsps?serviceAreaId="&amp;VLOOKUP($B237,'DS ID'!B:D,2,FALSE),$I$1),"")</f>
        <v>SUI</v>
      </c>
      <c r="J237" s="2400" t="s">
        <v>835</v>
      </c>
      <c r="K237" s="2400"/>
      <c r="L237" s="2400"/>
      <c r="M237" s="2400"/>
      <c r="N237" s="2397" t="s">
        <v>785</v>
      </c>
      <c r="O237" s="2398"/>
      <c r="P237" s="2393" t="s">
        <v>1157</v>
      </c>
    </row>
    <row r="238" spans="1:21" ht="20.85" hidden="1" customHeight="1" x14ac:dyDescent="0.4">
      <c r="A238" s="2394" t="s">
        <v>1069</v>
      </c>
      <c r="B238" s="2378" t="s">
        <v>1205</v>
      </c>
      <c r="D238" s="2378" t="s">
        <v>920</v>
      </c>
      <c r="E238" s="2380" t="s">
        <v>1206</v>
      </c>
      <c r="G238" s="2788" t="str">
        <f>IFERROR(HYPERLINK("https://logistics.amazon.co.jp/internal/operations/execution/itineraries?operationView=true&amp;provider=ALL_DRIVERS&amp;serviceAreaId="&amp;VLOOKUP($B238,'DS ID'!B:D,2,FALSE),$G$1),"")</f>
        <v/>
      </c>
      <c r="H238" s="2788" t="str">
        <f>IFERROR(HYPERLINK("https://logistics.amazon.co.jp/internal/capacity/rosterview?serviceAreaId="&amp;VLOOKUP($B238,'DS ID'!B:D,2,FALSE),$H$1),"")</f>
        <v/>
      </c>
      <c r="I238" s="2788" t="str">
        <f>IFERROR(HYPERLINK("https://logistics.amazon.co.jp/internal/scheduling/dsps?serviceAreaId="&amp;VLOOKUP($B238,'DS ID'!B:D,2,FALSE),$I$1),"")</f>
        <v/>
      </c>
      <c r="J238" s="2400" t="s">
        <v>835</v>
      </c>
      <c r="K238" s="2400"/>
      <c r="L238" s="2400"/>
      <c r="M238" s="2400"/>
      <c r="N238" s="2397" t="s">
        <v>785</v>
      </c>
      <c r="O238" s="2416" t="s">
        <v>1172</v>
      </c>
      <c r="P238" s="2393" t="s">
        <v>1113</v>
      </c>
    </row>
    <row r="239" spans="1:21" ht="20.85" hidden="1" customHeight="1" x14ac:dyDescent="0.4">
      <c r="A239" s="2394" t="s">
        <v>1069</v>
      </c>
      <c r="B239" s="2378" t="s">
        <v>1207</v>
      </c>
      <c r="D239" s="2378" t="s">
        <v>920</v>
      </c>
      <c r="E239" s="2380" t="s">
        <v>1096</v>
      </c>
      <c r="G239" s="2788" t="str">
        <f>IFERROR(HYPERLINK("https://logistics.amazon.co.jp/internal/operations/execution/itineraries?operationView=true&amp;provider=ALL_DRIVERS&amp;serviceAreaId="&amp;VLOOKUP($B239,'DS ID'!B:D,2,FALSE),$G$1),"")</f>
        <v>CORTEX ver2</v>
      </c>
      <c r="H239" s="2788" t="str">
        <f>IFERROR(HYPERLINK("https://logistics.amazon.co.jp/internal/capacity/rosterview?serviceAreaId="&amp;VLOOKUP($B239,'DS ID'!B:D,2,FALSE),$H$1),"")</f>
        <v>Roster</v>
      </c>
      <c r="I239" s="2788" t="str">
        <f>IFERROR(HYPERLINK("https://logistics.amazon.co.jp/internal/scheduling/dsps?serviceAreaId="&amp;VLOOKUP($B239,'DS ID'!B:D,2,FALSE),$I$1),"")</f>
        <v>SUI</v>
      </c>
      <c r="J239" s="2400" t="s">
        <v>835</v>
      </c>
      <c r="K239" s="2400"/>
      <c r="L239" s="2400"/>
      <c r="M239" s="2400"/>
      <c r="N239" s="2397" t="s">
        <v>785</v>
      </c>
      <c r="O239" s="2416" t="s">
        <v>1172</v>
      </c>
      <c r="P239" s="2393" t="s">
        <v>1071</v>
      </c>
    </row>
    <row r="240" spans="1:21" ht="20.85" hidden="1" customHeight="1" x14ac:dyDescent="0.4">
      <c r="A240" s="2394" t="s">
        <v>1069</v>
      </c>
      <c r="B240" s="2378" t="s">
        <v>1208</v>
      </c>
      <c r="D240" s="2378" t="s">
        <v>833</v>
      </c>
      <c r="E240" s="2380" t="s">
        <v>868</v>
      </c>
      <c r="G240" s="2788" t="str">
        <f>IFERROR(HYPERLINK("https://logistics.amazon.co.jp/internal/operations/execution/itineraries?operationView=true&amp;provider=ALL_DRIVERS&amp;serviceAreaId="&amp;VLOOKUP($B240,'DS ID'!B:D,2,FALSE),$G$1),"")</f>
        <v/>
      </c>
      <c r="H240" s="2788" t="str">
        <f>IFERROR(HYPERLINK("https://logistics.amazon.co.jp/internal/capacity/rosterview?serviceAreaId="&amp;VLOOKUP($B240,'DS ID'!B:D,2,FALSE),$H$1),"")</f>
        <v/>
      </c>
      <c r="I240" s="2788" t="str">
        <f>IFERROR(HYPERLINK("https://logistics.amazon.co.jp/internal/scheduling/dsps?serviceAreaId="&amp;VLOOKUP($B240,'DS ID'!B:D,2,FALSE),$I$1),"")</f>
        <v/>
      </c>
      <c r="J240" s="2400" t="s">
        <v>835</v>
      </c>
      <c r="K240" s="2400"/>
      <c r="L240" s="2400"/>
      <c r="M240" s="2400"/>
      <c r="N240" s="2397" t="s">
        <v>785</v>
      </c>
      <c r="O240" s="2416" t="s">
        <v>1172</v>
      </c>
      <c r="P240" s="2393" t="s">
        <v>1145</v>
      </c>
      <c r="U240" s="301"/>
    </row>
    <row r="241" spans="1:16" ht="20.85" hidden="1" customHeight="1" x14ac:dyDescent="0.4">
      <c r="A241" s="2394" t="s">
        <v>1069</v>
      </c>
      <c r="B241" s="2378" t="s">
        <v>1209</v>
      </c>
      <c r="D241" s="2378" t="s">
        <v>833</v>
      </c>
      <c r="E241" s="2380" t="s">
        <v>976</v>
      </c>
      <c r="G241" s="2788" t="str">
        <f>IFERROR(HYPERLINK("https://logistics.amazon.co.jp/internal/operations/execution/itineraries?operationView=true&amp;provider=ALL_DRIVERS&amp;serviceAreaId="&amp;VLOOKUP($B241,'DS ID'!B:D,2,FALSE),$G$1),"")</f>
        <v/>
      </c>
      <c r="H241" s="2788" t="str">
        <f>IFERROR(HYPERLINK("https://logistics.amazon.co.jp/internal/capacity/rosterview?serviceAreaId="&amp;VLOOKUP($B241,'DS ID'!B:D,2,FALSE),$H$1),"")</f>
        <v/>
      </c>
      <c r="I241" s="2788" t="str">
        <f>IFERROR(HYPERLINK("https://logistics.amazon.co.jp/internal/scheduling/dsps?serviceAreaId="&amp;VLOOKUP($B241,'DS ID'!B:D,2,FALSE),$I$1),"")</f>
        <v/>
      </c>
      <c r="J241" s="2400" t="s">
        <v>835</v>
      </c>
      <c r="K241" s="2400"/>
      <c r="L241" s="2400"/>
      <c r="M241" s="2400"/>
      <c r="N241" s="2397" t="s">
        <v>785</v>
      </c>
      <c r="O241" s="2416" t="s">
        <v>1172</v>
      </c>
      <c r="P241" s="2393" t="s">
        <v>1160</v>
      </c>
    </row>
    <row r="242" spans="1:16" ht="20.85" hidden="1" customHeight="1" x14ac:dyDescent="0.4">
      <c r="A242" s="2394" t="s">
        <v>1069</v>
      </c>
      <c r="B242" s="2378" t="s">
        <v>1210</v>
      </c>
      <c r="D242" s="2378" t="s">
        <v>920</v>
      </c>
      <c r="E242" s="2380" t="s">
        <v>1211</v>
      </c>
      <c r="G242" s="2788" t="str">
        <f>IFERROR(HYPERLINK("https://logistics.amazon.co.jp/internal/operations/execution/itineraries?operationView=true&amp;provider=ALL_DRIVERS&amp;serviceAreaId="&amp;VLOOKUP($B242,'DS ID'!B:D,2,FALSE),$G$1),"")</f>
        <v/>
      </c>
      <c r="H242" s="2788" t="str">
        <f>IFERROR(HYPERLINK("https://logistics.amazon.co.jp/internal/capacity/rosterview?serviceAreaId="&amp;VLOOKUP($B242,'DS ID'!B:D,2,FALSE),$H$1),"")</f>
        <v/>
      </c>
      <c r="I242" s="2788" t="str">
        <f>IFERROR(HYPERLINK("https://logistics.amazon.co.jp/internal/scheduling/dsps?serviceAreaId="&amp;VLOOKUP($B242,'DS ID'!B:D,2,FALSE),$I$1),"")</f>
        <v/>
      </c>
      <c r="J242" s="2400" t="s">
        <v>835</v>
      </c>
      <c r="K242" s="2400"/>
      <c r="L242" s="2400"/>
      <c r="M242" s="2400"/>
      <c r="N242" s="2397" t="s">
        <v>785</v>
      </c>
      <c r="O242" s="2416" t="s">
        <v>1172</v>
      </c>
      <c r="P242" s="2393" t="s">
        <v>1160</v>
      </c>
    </row>
    <row r="243" spans="1:16" ht="20.85" hidden="1" customHeight="1" x14ac:dyDescent="0.4">
      <c r="A243" s="2394" t="s">
        <v>1069</v>
      </c>
      <c r="B243" s="2378" t="s">
        <v>1212</v>
      </c>
      <c r="D243" s="2378" t="s">
        <v>833</v>
      </c>
      <c r="E243" s="2380" t="s">
        <v>853</v>
      </c>
      <c r="G243" s="2788" t="str">
        <f>IFERROR(HYPERLINK("https://logistics.amazon.co.jp/internal/operations/execution/itineraries?operationView=true&amp;provider=ALL_DRIVERS&amp;serviceAreaId="&amp;VLOOKUP($B243,'DS ID'!B:D,2,FALSE),$G$1),"")</f>
        <v/>
      </c>
      <c r="H243" s="2788" t="str">
        <f>IFERROR(HYPERLINK("https://logistics.amazon.co.jp/internal/capacity/rosterview?serviceAreaId="&amp;VLOOKUP($B243,'DS ID'!B:D,2,FALSE),$H$1),"")</f>
        <v/>
      </c>
      <c r="I243" s="2788" t="str">
        <f>IFERROR(HYPERLINK("https://logistics.amazon.co.jp/internal/scheduling/dsps?serviceAreaId="&amp;VLOOKUP($B243,'DS ID'!B:D,2,FALSE),$I$1),"")</f>
        <v/>
      </c>
      <c r="J243" s="2400" t="s">
        <v>835</v>
      </c>
      <c r="K243" s="2400"/>
      <c r="L243" s="2400"/>
      <c r="M243" s="2400"/>
      <c r="N243" s="2397" t="s">
        <v>785</v>
      </c>
      <c r="O243" s="2416" t="s">
        <v>1172</v>
      </c>
      <c r="P243" s="2393" t="s">
        <v>1113</v>
      </c>
    </row>
    <row r="244" spans="1:16" hidden="1" x14ac:dyDescent="0.4">
      <c r="A244" s="2394" t="s">
        <v>1069</v>
      </c>
      <c r="B244" s="2378" t="s">
        <v>1213</v>
      </c>
      <c r="D244" s="2404" t="s">
        <v>812</v>
      </c>
      <c r="E244" s="2412" t="s">
        <v>1214</v>
      </c>
      <c r="G244" s="2788" t="str">
        <f>IFERROR(HYPERLINK("https://logistics.amazon.co.jp/internal/operations/execution/itineraries?operationView=true&amp;provider=ALL_DRIVERS&amp;serviceAreaId="&amp;VLOOKUP($B244,'DS ID'!B:D,2,FALSE),$G$1),"")</f>
        <v>CORTEX ver2</v>
      </c>
      <c r="H244" s="2788" t="str">
        <f>IFERROR(HYPERLINK("https://logistics.amazon.co.jp/internal/capacity/rosterview?serviceAreaId="&amp;VLOOKUP($B244,'DS ID'!B:D,2,FALSE),$H$1),"")</f>
        <v>Roster</v>
      </c>
      <c r="I244" s="2788" t="str">
        <f>IFERROR(HYPERLINK("https://logistics.amazon.co.jp/internal/scheduling/dsps?serviceAreaId="&amp;VLOOKUP($B244,'DS ID'!B:D,2,FALSE),$I$1),"")</f>
        <v>SUI</v>
      </c>
      <c r="J244" s="2400" t="s">
        <v>835</v>
      </c>
      <c r="K244" s="2400"/>
      <c r="L244" s="2400"/>
      <c r="M244" s="2400"/>
      <c r="N244" s="2397" t="s">
        <v>785</v>
      </c>
      <c r="O244" s="2416" t="s">
        <v>1172</v>
      </c>
      <c r="P244" s="2393" t="s">
        <v>1160</v>
      </c>
    </row>
    <row r="245" spans="1:16" ht="22.35" hidden="1" customHeight="1" x14ac:dyDescent="0.4">
      <c r="A245" s="2394" t="s">
        <v>1069</v>
      </c>
      <c r="B245" s="2394" t="s">
        <v>1215</v>
      </c>
      <c r="D245" s="2394" t="s">
        <v>880</v>
      </c>
      <c r="E245" s="2396" t="s">
        <v>880</v>
      </c>
      <c r="F245" s="2389"/>
      <c r="G245" s="2788" t="str">
        <f>IFERROR(HYPERLINK("https://logistics.amazon.co.jp/internal/operations/execution/itineraries?operationView=true&amp;provider=ALL_DRIVERS&amp;serviceAreaId="&amp;VLOOKUP($B245,'DS ID'!B:D,2,FALSE),$G$1),"")</f>
        <v>CORTEX ver2</v>
      </c>
      <c r="H245" s="2788" t="str">
        <f>IFERROR(HYPERLINK("https://logistics.amazon.co.jp/internal/capacity/rosterview?serviceAreaId="&amp;VLOOKUP($B245,'DS ID'!B:D,2,FALSE),$H$1),"")</f>
        <v>Roster</v>
      </c>
      <c r="I245" s="2788" t="str">
        <f>IFERROR(HYPERLINK("https://logistics.amazon.co.jp/internal/scheduling/dsps?serviceAreaId="&amp;VLOOKUP($B245,'DS ID'!B:D,2,FALSE),$I$1),"")</f>
        <v>SUI</v>
      </c>
      <c r="J245" s="2400" t="s">
        <v>835</v>
      </c>
      <c r="K245" s="2400"/>
      <c r="L245" s="2400"/>
      <c r="M245" s="2400"/>
      <c r="N245" s="2397" t="s">
        <v>785</v>
      </c>
      <c r="O245" s="2416" t="s">
        <v>1172</v>
      </c>
      <c r="P245" s="2393" t="s">
        <v>1071</v>
      </c>
    </row>
    <row r="246" spans="1:16" ht="22.35" hidden="1" customHeight="1" x14ac:dyDescent="0.4">
      <c r="A246" s="2394" t="s">
        <v>1069</v>
      </c>
      <c r="B246" s="2378" t="s">
        <v>1216</v>
      </c>
      <c r="D246" s="2378" t="s">
        <v>869</v>
      </c>
      <c r="E246" s="2380" t="s">
        <v>1217</v>
      </c>
      <c r="F246" s="2389"/>
      <c r="G246" s="2788" t="str">
        <f>IFERROR(HYPERLINK("https://logistics.amazon.co.jp/internal/operations/execution/itineraries?operationView=true&amp;provider=ALL_DRIVERS&amp;serviceAreaId="&amp;VLOOKUP($B246,'DS ID'!B:D,2,FALSE),$G$1),"")</f>
        <v>CORTEX ver2</v>
      </c>
      <c r="H246" s="2788" t="str">
        <f>IFERROR(HYPERLINK("https://logistics.amazon.co.jp/internal/capacity/rosterview?serviceAreaId="&amp;VLOOKUP($B246,'DS ID'!B:D,2,FALSE),$H$1),"")</f>
        <v>Roster</v>
      </c>
      <c r="I246" s="2788" t="str">
        <f>IFERROR(HYPERLINK("https://logistics.amazon.co.jp/internal/scheduling/dsps?serviceAreaId="&amp;VLOOKUP($B246,'DS ID'!B:D,2,FALSE),$I$1),"")</f>
        <v>SUI</v>
      </c>
      <c r="J246" s="2400" t="s">
        <v>835</v>
      </c>
      <c r="K246" s="2400"/>
      <c r="L246" s="2400"/>
      <c r="M246" s="2400"/>
      <c r="N246" s="2397" t="s">
        <v>785</v>
      </c>
      <c r="O246" s="2416" t="s">
        <v>1172</v>
      </c>
      <c r="P246" s="2393" t="s">
        <v>1157</v>
      </c>
    </row>
    <row r="247" spans="1:16" ht="22.35" hidden="1" customHeight="1" x14ac:dyDescent="0.4">
      <c r="A247" s="2394" t="s">
        <v>1069</v>
      </c>
      <c r="B247" s="2378" t="s">
        <v>1218</v>
      </c>
      <c r="D247" s="2378" t="s">
        <v>787</v>
      </c>
      <c r="E247" s="2380" t="s">
        <v>1164</v>
      </c>
      <c r="F247" s="2389"/>
      <c r="G247" s="2788" t="str">
        <f>IFERROR(HYPERLINK("https://logistics.amazon.co.jp/internal/operations/execution/itineraries?operationView=true&amp;provider=ALL_DRIVERS&amp;serviceAreaId="&amp;VLOOKUP($B247,'DS ID'!B:D,2,FALSE),$G$1),"")</f>
        <v>CORTEX ver2</v>
      </c>
      <c r="H247" s="2788" t="str">
        <f>IFERROR(HYPERLINK("https://logistics.amazon.co.jp/internal/capacity/rosterview?serviceAreaId="&amp;VLOOKUP($B247,'DS ID'!B:D,2,FALSE),$H$1),"")</f>
        <v>Roster</v>
      </c>
      <c r="I247" s="2788" t="str">
        <f>IFERROR(HYPERLINK("https://logistics.amazon.co.jp/internal/scheduling/dsps?serviceAreaId="&amp;VLOOKUP($B247,'DS ID'!B:D,2,FALSE),$I$1),"")</f>
        <v>SUI</v>
      </c>
      <c r="J247" s="2400" t="s">
        <v>835</v>
      </c>
      <c r="K247" s="2400"/>
      <c r="L247" s="2400"/>
      <c r="M247" s="2400"/>
      <c r="N247" s="2397" t="s">
        <v>785</v>
      </c>
      <c r="O247" s="2416" t="s">
        <v>1219</v>
      </c>
      <c r="P247" s="2393" t="s">
        <v>1160</v>
      </c>
    </row>
    <row r="248" spans="1:16" ht="22.35" hidden="1" customHeight="1" x14ac:dyDescent="0.4">
      <c r="A248" s="2394" t="s">
        <v>1069</v>
      </c>
      <c r="B248" s="2388" t="s">
        <v>1220</v>
      </c>
      <c r="C248" s="2389"/>
      <c r="D248" s="2388" t="s">
        <v>920</v>
      </c>
      <c r="E248" s="2390" t="s">
        <v>1211</v>
      </c>
      <c r="F248" s="2389"/>
      <c r="G248" s="2788" t="str">
        <f>IFERROR(HYPERLINK("https://logistics.amazon.co.jp/internal/operations/execution/itineraries?operationView=true&amp;provider=ALL_DRIVERS&amp;serviceAreaId="&amp;VLOOKUP($B248,'DS ID'!B:D,2,FALSE),$G$1),"")</f>
        <v/>
      </c>
      <c r="H248" s="2788" t="str">
        <f>IFERROR(HYPERLINK("https://logistics.amazon.co.jp/internal/capacity/rosterview?serviceAreaId="&amp;VLOOKUP($B248,'DS ID'!B:D,2,FALSE),$H$1),"")</f>
        <v/>
      </c>
      <c r="I248" s="2788" t="str">
        <f>IFERROR(HYPERLINK("https://logistics.amazon.co.jp/internal/scheduling/dsps?serviceAreaId="&amp;VLOOKUP($B248,'DS ID'!B:D,2,FALSE),$I$1),"")</f>
        <v/>
      </c>
      <c r="J248" s="2400" t="s">
        <v>835</v>
      </c>
      <c r="K248" s="2400"/>
      <c r="L248" s="2400"/>
      <c r="M248" s="2400"/>
      <c r="N248" s="2397" t="s">
        <v>785</v>
      </c>
      <c r="O248" s="2406" t="s">
        <v>1221</v>
      </c>
      <c r="P248" s="2393" t="s">
        <v>1160</v>
      </c>
    </row>
    <row r="249" spans="1:16" ht="22.35" hidden="1" customHeight="1" x14ac:dyDescent="0.4">
      <c r="A249" s="2394" t="s">
        <v>1069</v>
      </c>
      <c r="B249" s="2388" t="s">
        <v>1222</v>
      </c>
      <c r="C249" s="2389"/>
      <c r="D249" s="2388" t="s">
        <v>855</v>
      </c>
      <c r="E249" s="2390" t="s">
        <v>1119</v>
      </c>
      <c r="F249" s="2389"/>
      <c r="G249" s="2788" t="str">
        <f>IFERROR(HYPERLINK("https://logistics.amazon.co.jp/internal/operations/execution/itineraries?operationView=true&amp;provider=ALL_DRIVERS&amp;serviceAreaId="&amp;VLOOKUP($B249,'DS ID'!B:D,2,FALSE),$G$1),"")</f>
        <v/>
      </c>
      <c r="H249" s="2788" t="str">
        <f>IFERROR(HYPERLINK("https://logistics.amazon.co.jp/internal/capacity/rosterview?serviceAreaId="&amp;VLOOKUP($B249,'DS ID'!B:D,2,FALSE),$H$1),"")</f>
        <v/>
      </c>
      <c r="I249" s="2788" t="str">
        <f>IFERROR(HYPERLINK("https://logistics.amazon.co.jp/internal/scheduling/dsps?serviceAreaId="&amp;VLOOKUP($B249,'DS ID'!B:D,2,FALSE),$I$1),"")</f>
        <v/>
      </c>
      <c r="J249" s="2400" t="s">
        <v>835</v>
      </c>
      <c r="K249" s="2400"/>
      <c r="L249" s="2400"/>
      <c r="M249" s="2400"/>
      <c r="N249" s="2397" t="s">
        <v>785</v>
      </c>
      <c r="O249" s="2406" t="s">
        <v>1221</v>
      </c>
      <c r="P249" s="2393" t="s">
        <v>1113</v>
      </c>
    </row>
    <row r="250" spans="1:16" ht="22.35" hidden="1" customHeight="1" x14ac:dyDescent="0.4">
      <c r="A250" s="2394" t="s">
        <v>1069</v>
      </c>
      <c r="B250" s="2388" t="s">
        <v>1223</v>
      </c>
      <c r="C250" s="2389"/>
      <c r="D250" s="2388" t="s">
        <v>869</v>
      </c>
      <c r="E250" s="2390" t="s">
        <v>1040</v>
      </c>
      <c r="F250" s="2389"/>
      <c r="G250" s="2788" t="str">
        <f>IFERROR(HYPERLINK("https://logistics.amazon.co.jp/internal/operations/execution/itineraries?operationView=true&amp;provider=ALL_DRIVERS&amp;serviceAreaId="&amp;VLOOKUP($B250,'DS ID'!B:D,2,FALSE),$G$1),"")</f>
        <v>CORTEX ver2</v>
      </c>
      <c r="H250" s="2788" t="str">
        <f>IFERROR(HYPERLINK("https://logistics.amazon.co.jp/internal/capacity/rosterview?serviceAreaId="&amp;VLOOKUP($B250,'DS ID'!B:D,2,FALSE),$H$1),"")</f>
        <v>Roster</v>
      </c>
      <c r="I250" s="2788" t="str">
        <f>IFERROR(HYPERLINK("https://logistics.amazon.co.jp/internal/scheduling/dsps?serviceAreaId="&amp;VLOOKUP($B250,'DS ID'!B:D,2,FALSE),$I$1),"")</f>
        <v>SUI</v>
      </c>
      <c r="J250" s="2400" t="s">
        <v>835</v>
      </c>
      <c r="K250" s="2400"/>
      <c r="L250" s="2400"/>
      <c r="M250" s="2400"/>
      <c r="N250" s="2397" t="s">
        <v>785</v>
      </c>
      <c r="O250" s="2406" t="s">
        <v>1221</v>
      </c>
      <c r="P250" s="2393" t="s">
        <v>1071</v>
      </c>
    </row>
    <row r="251" spans="1:16" hidden="1" x14ac:dyDescent="0.4">
      <c r="A251" s="2394" t="s">
        <v>1069</v>
      </c>
      <c r="B251" s="2388" t="s">
        <v>1224</v>
      </c>
      <c r="C251" s="2389"/>
      <c r="D251" s="2404" t="s">
        <v>1123</v>
      </c>
      <c r="E251" s="2412" t="s">
        <v>1225</v>
      </c>
      <c r="G251" s="2788" t="str">
        <f>IFERROR(HYPERLINK("https://logistics.amazon.co.jp/internal/operations/execution/itineraries?operationView=true&amp;provider=ALL_DRIVERS&amp;serviceAreaId="&amp;VLOOKUP($B251,'DS ID'!B:D,2,FALSE),$G$1),"")</f>
        <v>CORTEX ver2</v>
      </c>
      <c r="H251" s="2788" t="str">
        <f>IFERROR(HYPERLINK("https://logistics.amazon.co.jp/internal/capacity/rosterview?serviceAreaId="&amp;VLOOKUP($B251,'DS ID'!B:D,2,FALSE),$H$1),"")</f>
        <v>Roster</v>
      </c>
      <c r="I251" s="2788" t="str">
        <f>IFERROR(HYPERLINK("https://logistics.amazon.co.jp/internal/scheduling/dsps?serviceAreaId="&amp;VLOOKUP($B251,'DS ID'!B:D,2,FALSE),$I$1),"")</f>
        <v>SUI</v>
      </c>
      <c r="J251" s="2400" t="s">
        <v>835</v>
      </c>
      <c r="K251" s="2400"/>
      <c r="L251" s="2400"/>
      <c r="M251" s="2400"/>
      <c r="N251" s="2397" t="s">
        <v>785</v>
      </c>
      <c r="O251" s="2395" t="s">
        <v>1074</v>
      </c>
      <c r="P251" s="2435" t="s">
        <v>1142</v>
      </c>
    </row>
    <row r="252" spans="1:16" hidden="1" x14ac:dyDescent="0.4">
      <c r="A252" s="2394" t="s">
        <v>1069</v>
      </c>
      <c r="B252" s="2388" t="s">
        <v>1226</v>
      </c>
      <c r="C252" s="2389"/>
      <c r="D252" s="2404" t="s">
        <v>1123</v>
      </c>
      <c r="E252" s="2412" t="s">
        <v>1227</v>
      </c>
      <c r="G252" s="2788" t="str">
        <f>IFERROR(HYPERLINK("https://logistics.amazon.co.jp/internal/operations/execution/itineraries?operationView=true&amp;provider=ALL_DRIVERS&amp;serviceAreaId="&amp;VLOOKUP($B252,'DS ID'!B:D,2,FALSE),$G$1),"")</f>
        <v>CORTEX ver2</v>
      </c>
      <c r="H252" s="2788" t="str">
        <f>IFERROR(HYPERLINK("https://logistics.amazon.co.jp/internal/capacity/rosterview?serviceAreaId="&amp;VLOOKUP($B252,'DS ID'!B:D,2,FALSE),$H$1),"")</f>
        <v>Roster</v>
      </c>
      <c r="I252" s="2788" t="str">
        <f>IFERROR(HYPERLINK("https://logistics.amazon.co.jp/internal/scheduling/dsps?serviceAreaId="&amp;VLOOKUP($B252,'DS ID'!B:D,2,FALSE),$I$1),"")</f>
        <v>SUI</v>
      </c>
      <c r="J252" s="2400" t="s">
        <v>835</v>
      </c>
      <c r="K252" s="2400"/>
      <c r="L252" s="2400"/>
      <c r="M252" s="2400"/>
      <c r="N252" s="2397" t="s">
        <v>785</v>
      </c>
      <c r="O252" s="2395" t="s">
        <v>1074</v>
      </c>
      <c r="P252" s="2435" t="s">
        <v>1142</v>
      </c>
    </row>
    <row r="253" spans="1:16" hidden="1" x14ac:dyDescent="0.4">
      <c r="A253" s="2394" t="s">
        <v>1069</v>
      </c>
      <c r="B253" s="2388" t="s">
        <v>1228</v>
      </c>
      <c r="C253" s="2389"/>
      <c r="D253" s="2404" t="s">
        <v>1229</v>
      </c>
      <c r="E253" s="2412" t="s">
        <v>1229</v>
      </c>
      <c r="G253" s="2788" t="str">
        <f>IFERROR(HYPERLINK("https://logistics.amazon.co.jp/internal/operations/execution/itineraries?operationView=true&amp;provider=ALL_DRIVERS&amp;serviceAreaId="&amp;VLOOKUP($B253,'DS ID'!B:D,2,FALSE),$G$1),"")</f>
        <v>CORTEX ver2</v>
      </c>
      <c r="H253" s="2788" t="str">
        <f>IFERROR(HYPERLINK("https://logistics.amazon.co.jp/internal/capacity/rosterview?serviceAreaId="&amp;VLOOKUP($B253,'DS ID'!B:D,2,FALSE),$H$1),"")</f>
        <v>Roster</v>
      </c>
      <c r="I253" s="2788" t="str">
        <f>IFERROR(HYPERLINK("https://logistics.amazon.co.jp/internal/scheduling/dsps?serviceAreaId="&amp;VLOOKUP($B253,'DS ID'!B:D,2,FALSE),$I$1),"")</f>
        <v>SUI</v>
      </c>
      <c r="J253" s="2400" t="s">
        <v>835</v>
      </c>
      <c r="K253" s="2400"/>
      <c r="L253" s="2400"/>
      <c r="M253" s="2400"/>
      <c r="N253" s="2397" t="s">
        <v>785</v>
      </c>
      <c r="O253" s="2395" t="s">
        <v>1074</v>
      </c>
      <c r="P253" s="2435" t="s">
        <v>1187</v>
      </c>
    </row>
    <row r="254" spans="1:16" hidden="1" x14ac:dyDescent="0.4">
      <c r="A254" s="2394" t="s">
        <v>1069</v>
      </c>
      <c r="B254" s="2388" t="s">
        <v>1230</v>
      </c>
      <c r="C254" s="2389"/>
      <c r="D254" s="2404" t="s">
        <v>1231</v>
      </c>
      <c r="E254" s="2412" t="s">
        <v>1231</v>
      </c>
      <c r="G254" s="2788" t="str">
        <f>IFERROR(HYPERLINK("https://logistics.amazon.co.jp/internal/operations/execution/itineraries?operationView=true&amp;provider=ALL_DRIVERS&amp;serviceAreaId="&amp;VLOOKUP($B254,'DS ID'!B:D,2,FALSE),$G$1),"")</f>
        <v>CORTEX ver2</v>
      </c>
      <c r="H254" s="2788" t="str">
        <f>IFERROR(HYPERLINK("https://logistics.amazon.co.jp/internal/capacity/rosterview?serviceAreaId="&amp;VLOOKUP($B254,'DS ID'!B:D,2,FALSE),$H$1),"")</f>
        <v>Roster</v>
      </c>
      <c r="I254" s="2788" t="str">
        <f>IFERROR(HYPERLINK("https://logistics.amazon.co.jp/internal/scheduling/dsps?serviceAreaId="&amp;VLOOKUP($B254,'DS ID'!B:D,2,FALSE),$I$1),"")</f>
        <v>SUI</v>
      </c>
      <c r="J254" s="2400" t="s">
        <v>835</v>
      </c>
      <c r="K254" s="2400"/>
      <c r="L254" s="2400"/>
      <c r="M254" s="2400"/>
      <c r="N254" s="2397" t="s">
        <v>785</v>
      </c>
      <c r="O254" s="2395" t="s">
        <v>1074</v>
      </c>
      <c r="P254" s="2435" t="s">
        <v>1232</v>
      </c>
    </row>
    <row r="255" spans="1:16" hidden="1" x14ac:dyDescent="0.4">
      <c r="A255" s="2394" t="s">
        <v>1069</v>
      </c>
      <c r="B255" s="2388" t="s">
        <v>1233</v>
      </c>
      <c r="C255" s="2389"/>
      <c r="D255" s="2404" t="s">
        <v>1234</v>
      </c>
      <c r="E255" s="2412" t="s">
        <v>1235</v>
      </c>
      <c r="G255" s="2788" t="str">
        <f>IFERROR(HYPERLINK("https://logistics.amazon.co.jp/internal/operations/execution/itineraries?operationView=true&amp;provider=ALL_DRIVERS&amp;serviceAreaId="&amp;VLOOKUP($B255,'DS ID'!B:D,2,FALSE),$G$1),"")</f>
        <v>CORTEX ver2</v>
      </c>
      <c r="H255" s="2788" t="str">
        <f>IFERROR(HYPERLINK("https://logistics.amazon.co.jp/internal/capacity/rosterview?serviceAreaId="&amp;VLOOKUP($B255,'DS ID'!B:D,2,FALSE),$H$1),"")</f>
        <v>Roster</v>
      </c>
      <c r="I255" s="2788" t="str">
        <f>IFERROR(HYPERLINK("https://logistics.amazon.co.jp/internal/scheduling/dsps?serviceAreaId="&amp;VLOOKUP($B255,'DS ID'!B:D,2,FALSE),$I$1),"")</f>
        <v>SUI</v>
      </c>
      <c r="J255" s="2400" t="s">
        <v>835</v>
      </c>
      <c r="K255" s="2400"/>
      <c r="L255" s="2400"/>
      <c r="M255" s="2400"/>
      <c r="N255" s="2397" t="s">
        <v>785</v>
      </c>
      <c r="O255" s="2395" t="s">
        <v>1074</v>
      </c>
      <c r="P255" s="2435" t="s">
        <v>1232</v>
      </c>
    </row>
    <row r="256" spans="1:16" hidden="1" x14ac:dyDescent="0.4">
      <c r="A256" s="2394" t="s">
        <v>1069</v>
      </c>
      <c r="B256" s="2388" t="s">
        <v>1236</v>
      </c>
      <c r="C256" s="2389"/>
      <c r="D256" s="2404" t="s">
        <v>1237</v>
      </c>
      <c r="E256" s="2412" t="s">
        <v>1238</v>
      </c>
      <c r="G256" s="2788" t="str">
        <f>IFERROR(HYPERLINK("https://logistics.amazon.co.jp/internal/operations/execution/itineraries?operationView=true&amp;provider=ALL_DRIVERS&amp;serviceAreaId="&amp;VLOOKUP($B256,'DS ID'!B:D,2,FALSE),$G$1),"")</f>
        <v>CORTEX ver2</v>
      </c>
      <c r="H256" s="2788" t="str">
        <f>IFERROR(HYPERLINK("https://logistics.amazon.co.jp/internal/capacity/rosterview?serviceAreaId="&amp;VLOOKUP($B256,'DS ID'!B:D,2,FALSE),$H$1),"")</f>
        <v>Roster</v>
      </c>
      <c r="I256" s="2788" t="str">
        <f>IFERROR(HYPERLINK("https://logistics.amazon.co.jp/internal/scheduling/dsps?serviceAreaId="&amp;VLOOKUP($B256,'DS ID'!B:D,2,FALSE),$I$1),"")</f>
        <v>SUI</v>
      </c>
      <c r="J256" s="2400" t="s">
        <v>835</v>
      </c>
      <c r="K256" s="2400"/>
      <c r="L256" s="2400"/>
      <c r="M256" s="2400"/>
      <c r="N256" s="2397" t="s">
        <v>785</v>
      </c>
      <c r="O256" s="2395" t="s">
        <v>1074</v>
      </c>
      <c r="P256" s="2435" t="s">
        <v>1232</v>
      </c>
    </row>
    <row r="257" spans="1:16" hidden="1" x14ac:dyDescent="0.4">
      <c r="A257" s="2394" t="s">
        <v>1069</v>
      </c>
      <c r="B257" s="2388" t="s">
        <v>1239</v>
      </c>
      <c r="C257" s="2389"/>
      <c r="D257" s="2404" t="s">
        <v>1050</v>
      </c>
      <c r="E257" s="2412" t="s">
        <v>1240</v>
      </c>
      <c r="G257" s="2788" t="str">
        <f>IFERROR(HYPERLINK("https://logistics.amazon.co.jp/internal/operations/execution/itineraries?operationView=true&amp;provider=ALL_DRIVERS&amp;serviceAreaId="&amp;VLOOKUP($B257,'DS ID'!B:D,2,FALSE),$G$1),"")</f>
        <v>CORTEX ver2</v>
      </c>
      <c r="H257" s="2788" t="str">
        <f>IFERROR(HYPERLINK("https://logistics.amazon.co.jp/internal/capacity/rosterview?serviceAreaId="&amp;VLOOKUP($B257,'DS ID'!B:D,2,FALSE),$H$1),"")</f>
        <v>Roster</v>
      </c>
      <c r="I257" s="2788" t="str">
        <f>IFERROR(HYPERLINK("https://logistics.amazon.co.jp/internal/scheduling/dsps?serviceAreaId="&amp;VLOOKUP($B257,'DS ID'!B:D,2,FALSE),$I$1),"")</f>
        <v>SUI</v>
      </c>
      <c r="J257" s="2400" t="s">
        <v>835</v>
      </c>
      <c r="K257" s="2400"/>
      <c r="L257" s="2400"/>
      <c r="M257" s="2400"/>
      <c r="N257" s="2397" t="s">
        <v>785</v>
      </c>
      <c r="O257" s="2395" t="s">
        <v>1074</v>
      </c>
      <c r="P257" s="2435" t="s">
        <v>1142</v>
      </c>
    </row>
    <row r="258" spans="1:16" hidden="1" x14ac:dyDescent="0.4">
      <c r="A258" s="2394" t="s">
        <v>1241</v>
      </c>
      <c r="B258" s="2378" t="s">
        <v>1242</v>
      </c>
      <c r="D258" s="2404" t="s">
        <v>833</v>
      </c>
      <c r="E258" s="2412" t="s">
        <v>1243</v>
      </c>
      <c r="G258" s="2788" t="str">
        <f>IFERROR(HYPERLINK("https://logistics.amazon.co.jp/internal/operations/execution/itineraries?operationView=true&amp;provider=ALL_DRIVERS&amp;serviceAreaId="&amp;VLOOKUP($B258,'DS ID'!B:D,2,FALSE),$G$1),"")</f>
        <v>CORTEX ver2</v>
      </c>
      <c r="H258" s="2788" t="str">
        <f>IFERROR(HYPERLINK("https://logistics.amazon.co.jp/internal/capacity/rosterview?serviceAreaId="&amp;VLOOKUP($B258,'DS ID'!B:D,2,FALSE),$H$1),"")</f>
        <v>Roster</v>
      </c>
      <c r="I258" s="2788" t="str">
        <f>IFERROR(HYPERLINK("https://logistics.amazon.co.jp/internal/scheduling/dsps?serviceAreaId="&amp;VLOOKUP($B258,'DS ID'!B:D,2,FALSE),$I$1),"")</f>
        <v>SUI</v>
      </c>
      <c r="J258" s="2400" t="s">
        <v>835</v>
      </c>
      <c r="K258" s="2400"/>
      <c r="L258" s="2400"/>
      <c r="M258" s="2400"/>
      <c r="N258" s="2397" t="s">
        <v>785</v>
      </c>
      <c r="O258" s="2395" t="s">
        <v>1074</v>
      </c>
      <c r="P258" s="2393" t="s">
        <v>1071</v>
      </c>
    </row>
    <row r="259" spans="1:16" hidden="1" x14ac:dyDescent="0.4">
      <c r="A259" s="2394" t="s">
        <v>1241</v>
      </c>
      <c r="B259" s="2378" t="s">
        <v>1244</v>
      </c>
      <c r="D259" s="2404" t="s">
        <v>833</v>
      </c>
      <c r="E259" s="2412" t="s">
        <v>1245</v>
      </c>
      <c r="G259" s="2788" t="str">
        <f>IFERROR(HYPERLINK("https://logistics.amazon.co.jp/internal/operations/execution/itineraries?operationView=true&amp;provider=ALL_DRIVERS&amp;serviceAreaId="&amp;VLOOKUP($B259,'DS ID'!B:D,2,FALSE),$G$1),"")</f>
        <v>CORTEX ver2</v>
      </c>
      <c r="H259" s="2788" t="str">
        <f>IFERROR(HYPERLINK("https://logistics.amazon.co.jp/internal/capacity/rosterview?serviceAreaId="&amp;VLOOKUP($B259,'DS ID'!B:D,2,FALSE),$H$1),"")</f>
        <v>Roster</v>
      </c>
      <c r="I259" s="2788" t="str">
        <f>IFERROR(HYPERLINK("https://logistics.amazon.co.jp/internal/scheduling/dsps?serviceAreaId="&amp;VLOOKUP($B259,'DS ID'!B:D,2,FALSE),$I$1),"")</f>
        <v>SUI</v>
      </c>
      <c r="J259" s="2400" t="s">
        <v>835</v>
      </c>
      <c r="K259" s="2400"/>
      <c r="L259" s="2400"/>
      <c r="M259" s="2400"/>
      <c r="N259" s="2397" t="s">
        <v>785</v>
      </c>
      <c r="O259" s="2395" t="s">
        <v>1074</v>
      </c>
      <c r="P259" s="2393" t="s">
        <v>1071</v>
      </c>
    </row>
    <row r="260" spans="1:16" ht="22.35" hidden="1" customHeight="1" x14ac:dyDescent="0.4">
      <c r="A260" s="2394" t="s">
        <v>1241</v>
      </c>
      <c r="B260" s="2388" t="s">
        <v>1246</v>
      </c>
      <c r="C260" s="2389"/>
      <c r="D260" s="2388" t="s">
        <v>833</v>
      </c>
      <c r="E260" s="2390" t="s">
        <v>1076</v>
      </c>
      <c r="G260" s="2788" t="str">
        <f>IFERROR(HYPERLINK("https://logistics.amazon.co.jp/internal/operations/execution/itineraries?operationView=true&amp;provider=ALL_DRIVERS&amp;serviceAreaId="&amp;VLOOKUP($B260,'DS ID'!B:D,2,FALSE),$G$1),"")</f>
        <v>CORTEX ver2</v>
      </c>
      <c r="H260" s="2788" t="str">
        <f>IFERROR(HYPERLINK("https://logistics.amazon.co.jp/internal/capacity/rosterview?serviceAreaId="&amp;VLOOKUP($B260,'DS ID'!B:D,2,FALSE),$H$1),"")</f>
        <v>Roster</v>
      </c>
      <c r="I260" s="2788" t="str">
        <f>IFERROR(HYPERLINK("https://logistics.amazon.co.jp/internal/scheduling/dsps?serviceAreaId="&amp;VLOOKUP($B260,'DS ID'!B:D,2,FALSE),$I$1),"")</f>
        <v>SUI</v>
      </c>
      <c r="J260" s="2400" t="s">
        <v>835</v>
      </c>
      <c r="K260" s="2400"/>
      <c r="L260" s="2400"/>
      <c r="M260" s="2400"/>
      <c r="N260" s="2397" t="s">
        <v>785</v>
      </c>
      <c r="O260" s="2395" t="s">
        <v>1074</v>
      </c>
      <c r="P260" s="2393" t="s">
        <v>1071</v>
      </c>
    </row>
    <row r="261" spans="1:16" ht="22.35" hidden="1" customHeight="1" x14ac:dyDescent="0.4">
      <c r="A261" s="2394" t="s">
        <v>1247</v>
      </c>
      <c r="B261" s="2388" t="s">
        <v>1248</v>
      </c>
      <c r="C261" s="2389"/>
      <c r="D261" s="2388" t="s">
        <v>1138</v>
      </c>
      <c r="E261" s="2390" t="s">
        <v>1249</v>
      </c>
      <c r="G261" s="2788" t="str">
        <f>IFERROR(HYPERLINK("https://logistics.amazon.co.jp/internal/operations/execution/itineraries?operationView=true&amp;provider=ALL_DRIVERS&amp;serviceAreaId="&amp;VLOOKUP($B261,'DS ID'!B:D,2,FALSE),$G$1),"")</f>
        <v>CORTEX ver2</v>
      </c>
      <c r="H261" s="2788" t="str">
        <f>IFERROR(HYPERLINK("https://logistics.amazon.co.jp/internal/capacity/rosterview?serviceAreaId="&amp;VLOOKUP($B261,'DS ID'!B:D,2,FALSE),$H$1),"")</f>
        <v>Roster</v>
      </c>
      <c r="I261" s="2788" t="str">
        <f>IFERROR(HYPERLINK("https://logistics.amazon.co.jp/internal/scheduling/dsps?serviceAreaId="&amp;VLOOKUP($B261,'DS ID'!B:D,2,FALSE),$I$1),"")</f>
        <v>SUI</v>
      </c>
      <c r="J261" s="2400" t="s">
        <v>835</v>
      </c>
      <c r="K261" s="2400"/>
      <c r="L261" s="2400"/>
      <c r="M261" s="2400"/>
      <c r="N261" s="2397" t="s">
        <v>785</v>
      </c>
      <c r="O261" s="2395" t="s">
        <v>1074</v>
      </c>
      <c r="P261" s="2393" t="s">
        <v>1071</v>
      </c>
    </row>
    <row r="262" spans="1:16" ht="22.35" hidden="1" customHeight="1" x14ac:dyDescent="0.4">
      <c r="A262" s="2394" t="s">
        <v>1247</v>
      </c>
      <c r="B262" s="2388" t="s">
        <v>1250</v>
      </c>
      <c r="C262" s="2389"/>
      <c r="D262" s="2388" t="s">
        <v>833</v>
      </c>
      <c r="E262" s="2390" t="s">
        <v>1251</v>
      </c>
      <c r="G262" s="2788" t="str">
        <f>IFERROR(HYPERLINK("https://logistics.amazon.co.jp/internal/operations/execution/itineraries?operationView=true&amp;provider=ALL_DRIVERS&amp;serviceAreaId="&amp;VLOOKUP($B262,'DS ID'!B:D,2,FALSE),$G$1),"")</f>
        <v>CORTEX ver2</v>
      </c>
      <c r="H262" s="2788" t="str">
        <f>IFERROR(HYPERLINK("https://logistics.amazon.co.jp/internal/capacity/rosterview?serviceAreaId="&amp;VLOOKUP($B262,'DS ID'!B:D,2,FALSE),$H$1),"")</f>
        <v>Roster</v>
      </c>
      <c r="I262" s="2788" t="str">
        <f>IFERROR(HYPERLINK("https://logistics.amazon.co.jp/internal/scheduling/dsps?serviceAreaId="&amp;VLOOKUP($B262,'DS ID'!B:D,2,FALSE),$I$1),"")</f>
        <v>SUI</v>
      </c>
      <c r="J262" s="2400" t="s">
        <v>835</v>
      </c>
      <c r="K262" s="2400"/>
      <c r="L262" s="2400"/>
      <c r="M262" s="2400"/>
      <c r="N262" s="2397" t="s">
        <v>785</v>
      </c>
      <c r="O262" s="2395" t="s">
        <v>1074</v>
      </c>
      <c r="P262" s="2393" t="s">
        <v>1113</v>
      </c>
    </row>
    <row r="263" spans="1:16" ht="22.35" hidden="1" customHeight="1" x14ac:dyDescent="0.4">
      <c r="A263" s="2394" t="s">
        <v>1247</v>
      </c>
      <c r="B263" s="2388" t="s">
        <v>1252</v>
      </c>
      <c r="C263" s="2389"/>
      <c r="D263" s="2388" t="s">
        <v>920</v>
      </c>
      <c r="E263" s="2390" t="s">
        <v>1206</v>
      </c>
      <c r="G263" s="2788" t="str">
        <f>IFERROR(HYPERLINK("https://logistics.amazon.co.jp/internal/operations/execution/itineraries?operationView=true&amp;provider=ALL_DRIVERS&amp;serviceAreaId="&amp;VLOOKUP($B263,'DS ID'!B:D,2,FALSE),$G$1),"")</f>
        <v>CORTEX ver2</v>
      </c>
      <c r="H263" s="2788" t="str">
        <f>IFERROR(HYPERLINK("https://logistics.amazon.co.jp/internal/capacity/rosterview?serviceAreaId="&amp;VLOOKUP($B263,'DS ID'!B:D,2,FALSE),$H$1),"")</f>
        <v>Roster</v>
      </c>
      <c r="I263" s="2788" t="str">
        <f>IFERROR(HYPERLINK("https://logistics.amazon.co.jp/internal/scheduling/dsps?serviceAreaId="&amp;VLOOKUP($B263,'DS ID'!B:D,2,FALSE),$I$1),"")</f>
        <v>SUI</v>
      </c>
      <c r="J263" s="2400" t="s">
        <v>835</v>
      </c>
      <c r="K263" s="2400"/>
      <c r="L263" s="2400"/>
      <c r="M263" s="2400"/>
      <c r="N263" s="2397" t="s">
        <v>785</v>
      </c>
      <c r="O263" s="2395" t="s">
        <v>1074</v>
      </c>
      <c r="P263" s="2393" t="s">
        <v>1113</v>
      </c>
    </row>
    <row r="264" spans="1:16" ht="22.35" hidden="1" customHeight="1" x14ac:dyDescent="0.4">
      <c r="A264" s="2394" t="s">
        <v>1247</v>
      </c>
      <c r="B264" s="2388" t="s">
        <v>1253</v>
      </c>
      <c r="C264" s="2389"/>
      <c r="D264" s="2388" t="s">
        <v>1254</v>
      </c>
      <c r="E264" s="2390" t="s">
        <v>1254</v>
      </c>
      <c r="G264" s="2788" t="str">
        <f>IFERROR(HYPERLINK("https://logistics.amazon.co.jp/internal/operations/execution/itineraries?operationView=true&amp;provider=ALL_DRIVERS&amp;serviceAreaId="&amp;VLOOKUP($B264,'DS ID'!B:D,2,FALSE),$G$1),"")</f>
        <v>CORTEX ver2</v>
      </c>
      <c r="H264" s="2788" t="str">
        <f>IFERROR(HYPERLINK("https://logistics.amazon.co.jp/internal/capacity/rosterview?serviceAreaId="&amp;VLOOKUP($B264,'DS ID'!B:D,2,FALSE),$H$1),"")</f>
        <v>Roster</v>
      </c>
      <c r="I264" s="2788" t="str">
        <f>IFERROR(HYPERLINK("https://logistics.amazon.co.jp/internal/scheduling/dsps?serviceAreaId="&amp;VLOOKUP($B264,'DS ID'!B:D,2,FALSE),$I$1),"")</f>
        <v>SUI</v>
      </c>
      <c r="J264" s="2400" t="s">
        <v>835</v>
      </c>
      <c r="K264" s="2400"/>
      <c r="L264" s="2400"/>
      <c r="M264" s="2400"/>
      <c r="N264" s="2397" t="s">
        <v>785</v>
      </c>
      <c r="O264" s="2395" t="s">
        <v>1074</v>
      </c>
      <c r="P264" s="2393" t="s">
        <v>1113</v>
      </c>
    </row>
    <row r="265" spans="1:16" hidden="1" x14ac:dyDescent="0.4">
      <c r="A265" s="2394" t="s">
        <v>1247</v>
      </c>
      <c r="B265" s="2378" t="s">
        <v>1255</v>
      </c>
      <c r="D265" s="2404" t="s">
        <v>1152</v>
      </c>
      <c r="E265" s="2412" t="s">
        <v>1152</v>
      </c>
      <c r="G265" s="2788" t="str">
        <f>IFERROR(HYPERLINK("https://logistics.amazon.co.jp/internal/operations/execution/itineraries?operationView=true&amp;provider=ALL_DRIVERS&amp;serviceAreaId="&amp;VLOOKUP($B265,'DS ID'!B:D,2,FALSE),$G$1),"")</f>
        <v>CORTEX ver2</v>
      </c>
      <c r="H265" s="2788" t="str">
        <f>IFERROR(HYPERLINK("https://logistics.amazon.co.jp/internal/capacity/rosterview?serviceAreaId="&amp;VLOOKUP($B265,'DS ID'!B:D,2,FALSE),$H$1),"")</f>
        <v>Roster</v>
      </c>
      <c r="I265" s="2788" t="str">
        <f>IFERROR(HYPERLINK("https://logistics.amazon.co.jp/internal/scheduling/dsps?serviceAreaId="&amp;VLOOKUP($B265,'DS ID'!B:D,2,FALSE),$I$1),"")</f>
        <v>SUI</v>
      </c>
      <c r="J265" s="2400" t="s">
        <v>835</v>
      </c>
      <c r="K265" s="2400"/>
      <c r="L265" s="2400"/>
      <c r="M265" s="2400"/>
      <c r="N265" s="2397" t="s">
        <v>785</v>
      </c>
      <c r="O265" s="2395" t="s">
        <v>1074</v>
      </c>
      <c r="P265" s="2435" t="s">
        <v>1142</v>
      </c>
    </row>
    <row r="266" spans="1:16" hidden="1" x14ac:dyDescent="0.4">
      <c r="A266" s="2394" t="s">
        <v>1241</v>
      </c>
      <c r="B266" s="2378" t="s">
        <v>1256</v>
      </c>
      <c r="D266" s="2404" t="s">
        <v>833</v>
      </c>
      <c r="E266" s="2412" t="s">
        <v>853</v>
      </c>
      <c r="G266" s="2788" t="str">
        <f>IFERROR(HYPERLINK("https://logistics.amazon.co.jp/internal/operations/execution/itineraries?operationView=true&amp;provider=ALL_DRIVERS&amp;serviceAreaId="&amp;VLOOKUP($B266,'DS ID'!B:D,2,FALSE),$G$1),"")</f>
        <v>CORTEX ver2</v>
      </c>
      <c r="H266" s="2788" t="str">
        <f>IFERROR(HYPERLINK("https://logistics.amazon.co.jp/internal/capacity/rosterview?serviceAreaId="&amp;VLOOKUP($B266,'DS ID'!B:D,2,FALSE),$H$1),"")</f>
        <v>Roster</v>
      </c>
      <c r="I266" s="2788" t="str">
        <f>IFERROR(HYPERLINK("https://logistics.amazon.co.jp/internal/scheduling/dsps?serviceAreaId="&amp;VLOOKUP($B266,'DS ID'!B:D,2,FALSE),$I$1),"")</f>
        <v>SUI</v>
      </c>
      <c r="J266" s="2400" t="s">
        <v>835</v>
      </c>
      <c r="K266" s="2400"/>
      <c r="L266" s="2400"/>
      <c r="M266" s="2400"/>
      <c r="N266" s="2397" t="s">
        <v>785</v>
      </c>
      <c r="O266" s="2395" t="s">
        <v>1074</v>
      </c>
      <c r="P266" s="2393" t="s">
        <v>1199</v>
      </c>
    </row>
    <row r="267" spans="1:16" hidden="1" x14ac:dyDescent="0.4">
      <c r="A267" s="2394" t="s">
        <v>1241</v>
      </c>
      <c r="B267" s="2378" t="s">
        <v>1257</v>
      </c>
      <c r="D267" s="2404" t="s">
        <v>886</v>
      </c>
      <c r="E267" s="2412" t="s">
        <v>1258</v>
      </c>
      <c r="G267" s="2788" t="str">
        <f>IFERROR(HYPERLINK("https://logistics.amazon.co.jp/internal/operations/execution/itineraries?operationView=true&amp;provider=ALL_DRIVERS&amp;serviceAreaId="&amp;VLOOKUP($B267,'DS ID'!B:D,2,FALSE),$G$1),"")</f>
        <v>CORTEX ver2</v>
      </c>
      <c r="H267" s="2788" t="str">
        <f>IFERROR(HYPERLINK("https://logistics.amazon.co.jp/internal/capacity/rosterview?serviceAreaId="&amp;VLOOKUP($B267,'DS ID'!B:D,2,FALSE),$H$1),"")</f>
        <v>Roster</v>
      </c>
      <c r="I267" s="2788" t="str">
        <f>IFERROR(HYPERLINK("https://logistics.amazon.co.jp/internal/scheduling/dsps?serviceAreaId="&amp;VLOOKUP($B267,'DS ID'!B:D,2,FALSE),$I$1),"")</f>
        <v>SUI</v>
      </c>
      <c r="J267" s="2400" t="s">
        <v>835</v>
      </c>
      <c r="K267" s="2400"/>
      <c r="L267" s="2400"/>
      <c r="M267" s="2400"/>
      <c r="N267" s="2397" t="s">
        <v>785</v>
      </c>
      <c r="O267" s="2395" t="s">
        <v>1074</v>
      </c>
      <c r="P267" s="2393" t="s">
        <v>1199</v>
      </c>
    </row>
    <row r="268" spans="1:16" hidden="1" x14ac:dyDescent="0.4">
      <c r="A268" s="2394" t="s">
        <v>1241</v>
      </c>
      <c r="B268" s="2378" t="s">
        <v>1259</v>
      </c>
      <c r="D268" s="2404" t="s">
        <v>886</v>
      </c>
      <c r="E268" s="2412" t="s">
        <v>1260</v>
      </c>
      <c r="G268" s="2788" t="str">
        <f>IFERROR(HYPERLINK("https://logistics.amazon.co.jp/internal/operations/execution/itineraries?operationView=true&amp;provider=ALL_DRIVERS&amp;serviceAreaId="&amp;VLOOKUP($B268,'DS ID'!B:D,2,FALSE),$G$1),"")</f>
        <v>CORTEX ver2</v>
      </c>
      <c r="H268" s="2788" t="str">
        <f>IFERROR(HYPERLINK("https://logistics.amazon.co.jp/internal/capacity/rosterview?serviceAreaId="&amp;VLOOKUP($B268,'DS ID'!B:D,2,FALSE),$H$1),"")</f>
        <v>Roster</v>
      </c>
      <c r="I268" s="2788" t="str">
        <f>IFERROR(HYPERLINK("https://logistics.amazon.co.jp/internal/scheduling/dsps?serviceAreaId="&amp;VLOOKUP($B268,'DS ID'!B:D,2,FALSE),$I$1),"")</f>
        <v>SUI</v>
      </c>
      <c r="J268" s="2400" t="s">
        <v>835</v>
      </c>
      <c r="K268" s="2400"/>
      <c r="L268" s="2400"/>
      <c r="M268" s="2400"/>
      <c r="N268" s="2397" t="s">
        <v>785</v>
      </c>
      <c r="O268" s="2395" t="s">
        <v>1074</v>
      </c>
      <c r="P268" s="2393" t="s">
        <v>1199</v>
      </c>
    </row>
    <row r="269" spans="1:16" hidden="1" x14ac:dyDescent="0.4">
      <c r="A269" s="2394" t="s">
        <v>1241</v>
      </c>
      <c r="B269" s="2378" t="s">
        <v>1261</v>
      </c>
      <c r="D269" s="2404" t="s">
        <v>886</v>
      </c>
      <c r="E269" s="2412" t="s">
        <v>1262</v>
      </c>
      <c r="G269" s="2788" t="str">
        <f>IFERROR(HYPERLINK("https://logistics.amazon.co.jp/internal/operations/execution/itineraries?operationView=true&amp;provider=ALL_DRIVERS&amp;serviceAreaId="&amp;VLOOKUP($B269,'DS ID'!B:D,2,FALSE),$G$1),"")</f>
        <v>CORTEX ver2</v>
      </c>
      <c r="H269" s="2788" t="str">
        <f>IFERROR(HYPERLINK("https://logistics.amazon.co.jp/internal/capacity/rosterview?serviceAreaId="&amp;VLOOKUP($B269,'DS ID'!B:D,2,FALSE),$H$1),"")</f>
        <v>Roster</v>
      </c>
      <c r="I269" s="2788" t="str">
        <f>IFERROR(HYPERLINK("https://logistics.amazon.co.jp/internal/scheduling/dsps?serviceAreaId="&amp;VLOOKUP($B269,'DS ID'!B:D,2,FALSE),$I$1),"")</f>
        <v>SUI</v>
      </c>
      <c r="J269" s="2400" t="s">
        <v>835</v>
      </c>
      <c r="K269" s="2400"/>
      <c r="L269" s="2400"/>
      <c r="M269" s="2400"/>
      <c r="N269" s="2397" t="s">
        <v>785</v>
      </c>
      <c r="O269" s="2395" t="s">
        <v>1074</v>
      </c>
      <c r="P269" s="2393" t="s">
        <v>1199</v>
      </c>
    </row>
    <row r="270" spans="1:16" hidden="1" x14ac:dyDescent="0.4">
      <c r="A270" s="2394" t="s">
        <v>1247</v>
      </c>
      <c r="B270" s="2378" t="s">
        <v>1263</v>
      </c>
      <c r="D270" s="2404" t="s">
        <v>1057</v>
      </c>
      <c r="E270" s="2412" t="s">
        <v>1057</v>
      </c>
      <c r="G270" s="2788" t="str">
        <f>IFERROR(HYPERLINK("https://logistics.amazon.co.jp/internal/operations/execution/itineraries?operationView=true&amp;provider=ALL_DRIVERS&amp;serviceAreaId="&amp;VLOOKUP($B270,'DS ID'!B:D,2,FALSE),$G$1),"")</f>
        <v>CORTEX ver2</v>
      </c>
      <c r="H270" s="2788" t="str">
        <f>IFERROR(HYPERLINK("https://logistics.amazon.co.jp/internal/capacity/rosterview?serviceAreaId="&amp;VLOOKUP($B270,'DS ID'!B:D,2,FALSE),$H$1),"")</f>
        <v>Roster</v>
      </c>
      <c r="I270" s="2788" t="str">
        <f>IFERROR(HYPERLINK("https://logistics.amazon.co.jp/internal/scheduling/dsps?serviceAreaId="&amp;VLOOKUP($B270,'DS ID'!B:D,2,FALSE),$I$1),"")</f>
        <v>SUI</v>
      </c>
      <c r="J270" s="2400" t="s">
        <v>835</v>
      </c>
      <c r="K270" s="2400"/>
      <c r="L270" s="2400"/>
      <c r="M270" s="2400"/>
      <c r="N270" s="2397" t="s">
        <v>785</v>
      </c>
      <c r="O270" s="2395" t="s">
        <v>1074</v>
      </c>
      <c r="P270" s="2393" t="s">
        <v>1071</v>
      </c>
    </row>
    <row r="271" spans="1:16" hidden="1" x14ac:dyDescent="0.4">
      <c r="A271" s="2394" t="s">
        <v>1247</v>
      </c>
      <c r="B271" s="2378" t="s">
        <v>1264</v>
      </c>
      <c r="D271" s="2404" t="s">
        <v>1265</v>
      </c>
      <c r="E271" s="2412" t="s">
        <v>1265</v>
      </c>
      <c r="G271" s="2788" t="str">
        <f>IFERROR(HYPERLINK("https://logistics.amazon.co.jp/internal/operations/execution/itineraries?operationView=true&amp;provider=ALL_DRIVERS&amp;serviceAreaId="&amp;VLOOKUP($B271,'DS ID'!B:D,2,FALSE),$G$1),"")</f>
        <v>CORTEX ver2</v>
      </c>
      <c r="H271" s="2788" t="str">
        <f>IFERROR(HYPERLINK("https://logistics.amazon.co.jp/internal/capacity/rosterview?serviceAreaId="&amp;VLOOKUP($B271,'DS ID'!B:D,2,FALSE),$H$1),"")</f>
        <v>Roster</v>
      </c>
      <c r="I271" s="2788" t="str">
        <f>IFERROR(HYPERLINK("https://logistics.amazon.co.jp/internal/scheduling/dsps?serviceAreaId="&amp;VLOOKUP($B271,'DS ID'!B:D,2,FALSE),$I$1),"")</f>
        <v>SUI</v>
      </c>
      <c r="J271" s="2400" t="s">
        <v>835</v>
      </c>
      <c r="K271" s="2400"/>
      <c r="L271" s="2400"/>
      <c r="M271" s="2400"/>
      <c r="N271" s="2397" t="s">
        <v>785</v>
      </c>
      <c r="O271" s="2395" t="s">
        <v>1074</v>
      </c>
      <c r="P271" s="2393" t="s">
        <v>1071</v>
      </c>
    </row>
    <row r="272" spans="1:16" hidden="1" x14ac:dyDescent="0.4">
      <c r="A272" s="2394" t="s">
        <v>1247</v>
      </c>
      <c r="B272" s="2378" t="s">
        <v>1266</v>
      </c>
      <c r="D272" s="2404" t="s">
        <v>1267</v>
      </c>
      <c r="E272" s="2412" t="s">
        <v>1267</v>
      </c>
      <c r="G272" s="2788" t="str">
        <f>IFERROR(HYPERLINK("https://logistics.amazon.co.jp/internal/operations/execution/itineraries?operationView=true&amp;provider=ALL_DRIVERS&amp;serviceAreaId="&amp;VLOOKUP($B272,'DS ID'!B:D,2,FALSE),$G$1),"")</f>
        <v>CORTEX ver2</v>
      </c>
      <c r="H272" s="2788" t="str">
        <f>IFERROR(HYPERLINK("https://logistics.amazon.co.jp/internal/capacity/rosterview?serviceAreaId="&amp;VLOOKUP($B272,'DS ID'!B:D,2,FALSE),$H$1),"")</f>
        <v>Roster</v>
      </c>
      <c r="I272" s="2788" t="str">
        <f>IFERROR(HYPERLINK("https://logistics.amazon.co.jp/internal/scheduling/dsps?serviceAreaId="&amp;VLOOKUP($B272,'DS ID'!B:D,2,FALSE),$I$1),"")</f>
        <v>SUI</v>
      </c>
      <c r="J272" s="2400" t="s">
        <v>835</v>
      </c>
      <c r="K272" s="2400"/>
      <c r="L272" s="2400"/>
      <c r="M272" s="2400"/>
      <c r="N272" s="2397" t="s">
        <v>785</v>
      </c>
      <c r="O272" s="2395" t="s">
        <v>1074</v>
      </c>
      <c r="P272" s="2393" t="s">
        <v>1071</v>
      </c>
    </row>
    <row r="273" spans="1:16" hidden="1" x14ac:dyDescent="0.4">
      <c r="A273" s="2394" t="s">
        <v>1247</v>
      </c>
      <c r="B273" s="2378" t="s">
        <v>1268</v>
      </c>
      <c r="D273" s="2404" t="s">
        <v>996</v>
      </c>
      <c r="E273" s="2412" t="s">
        <v>996</v>
      </c>
      <c r="G273" s="2788" t="str">
        <f>IFERROR(HYPERLINK("https://logistics.amazon.co.jp/internal/operations/execution/itineraries?operationView=true&amp;provider=ALL_DRIVERS&amp;serviceAreaId="&amp;VLOOKUP($B273,'DS ID'!B:D,2,FALSE),$G$1),"")</f>
        <v>CORTEX ver2</v>
      </c>
      <c r="H273" s="2788" t="str">
        <f>IFERROR(HYPERLINK("https://logistics.amazon.co.jp/internal/capacity/rosterview?serviceAreaId="&amp;VLOOKUP($B273,'DS ID'!B:D,2,FALSE),$H$1),"")</f>
        <v>Roster</v>
      </c>
      <c r="I273" s="2788" t="str">
        <f>IFERROR(HYPERLINK("https://logistics.amazon.co.jp/internal/scheduling/dsps?serviceAreaId="&amp;VLOOKUP($B273,'DS ID'!B:D,2,FALSE),$I$1),"")</f>
        <v>SUI</v>
      </c>
      <c r="J273" s="2400" t="s">
        <v>835</v>
      </c>
      <c r="K273" s="2400"/>
      <c r="L273" s="2400"/>
      <c r="M273" s="2400"/>
      <c r="N273" s="2397" t="s">
        <v>785</v>
      </c>
      <c r="O273" s="2395" t="s">
        <v>1074</v>
      </c>
      <c r="P273" s="2435" t="s">
        <v>1142</v>
      </c>
    </row>
    <row r="274" spans="1:16" ht="22.35" customHeight="1" x14ac:dyDescent="0.4">
      <c r="B274" s="2388"/>
      <c r="C274" s="2389"/>
      <c r="D274" s="2388"/>
      <c r="E274" s="2390"/>
      <c r="G274" s="2788" t="str">
        <f>IFERROR(HYPERLINK("https://logistics.amazon.co.jp/internal/operations/execution/itineraries?operationView=true&amp;provider=ALL_DRIVERS&amp;serviceAreaId="&amp;VLOOKUP($B274,'DS ID'!B:D,2,FALSE),$G$1),"")</f>
        <v/>
      </c>
      <c r="H274" s="2788" t="str">
        <f>IFERROR(HYPERLINK("https://logistics.amazon.co.jp/internal/capacity/rosterview?serviceAreaId="&amp;VLOOKUP($B274,'DS ID'!B:D,2,FALSE),$H$1),"")</f>
        <v/>
      </c>
      <c r="I274" s="2788" t="str">
        <f>IFERROR(HYPERLINK("https://logistics.amazon.co.jp/internal/scheduling/dsps?serviceAreaId="&amp;VLOOKUP($B274,'DS ID'!B:D,2,FALSE),$I$1),"")</f>
        <v/>
      </c>
      <c r="J274" s="2418"/>
      <c r="K274" s="2418"/>
      <c r="L274" s="2418"/>
      <c r="M274" s="2790"/>
      <c r="N274" s="2391"/>
      <c r="O274" s="2423"/>
      <c r="P274" s="2393"/>
    </row>
    <row r="275" spans="1:16" ht="22.35" customHeight="1" x14ac:dyDescent="0.4">
      <c r="B275" s="2388"/>
      <c r="C275" s="2389"/>
      <c r="D275" s="2388"/>
      <c r="E275" s="2390"/>
      <c r="G275" s="2788" t="str">
        <f>IFERROR(HYPERLINK("https://logistics.amazon.co.jp/internal/operations/execution/itineraries?operationView=true&amp;provider=ALL_DRIVERS&amp;serviceAreaId="&amp;VLOOKUP($B275,'DS ID'!B:D,2,FALSE),$G$1),"")</f>
        <v/>
      </c>
      <c r="H275" s="2788" t="str">
        <f>IFERROR(HYPERLINK("https://logistics.amazon.co.jp/internal/capacity/rosterview?serviceAreaId="&amp;VLOOKUP($B275,'DS ID'!B:D,2,FALSE),$H$1),"")</f>
        <v/>
      </c>
      <c r="I275" s="2788" t="str">
        <f>IFERROR(HYPERLINK("https://logistics.amazon.co.jp/internal/scheduling/dsps?serviceAreaId="&amp;VLOOKUP($B275,'DS ID'!B:D,2,FALSE),$I$1),"")</f>
        <v/>
      </c>
      <c r="J275" s="2418"/>
      <c r="K275" s="2418"/>
      <c r="L275" s="2418"/>
      <c r="M275" s="2790"/>
      <c r="N275" s="2391"/>
      <c r="O275" s="2423"/>
      <c r="P275" s="2393"/>
    </row>
    <row r="276" spans="1:16" ht="22.35" customHeight="1" x14ac:dyDescent="0.4">
      <c r="B276" s="2388"/>
      <c r="C276" s="2389"/>
      <c r="D276" s="2388"/>
      <c r="E276" s="2390"/>
      <c r="G276" s="2441" t="s">
        <v>1269</v>
      </c>
      <c r="H276" s="2441" t="s">
        <v>1269</v>
      </c>
      <c r="I276" s="2418" t="s">
        <v>1269</v>
      </c>
      <c r="J276" s="2418"/>
      <c r="K276" s="2418"/>
      <c r="L276" s="2418"/>
      <c r="M276" s="2418"/>
      <c r="N276" s="2391"/>
      <c r="O276" s="2406"/>
    </row>
    <row r="277" spans="1:16" ht="22.35" customHeight="1" x14ac:dyDescent="0.4">
      <c r="B277" s="2388"/>
      <c r="C277" s="2389"/>
      <c r="D277" s="2388"/>
      <c r="E277" s="2390"/>
      <c r="G277" s="2441" t="s">
        <v>1269</v>
      </c>
      <c r="H277" s="2441" t="s">
        <v>1269</v>
      </c>
      <c r="I277" s="2418" t="s">
        <v>1269</v>
      </c>
      <c r="J277" s="2418"/>
      <c r="K277" s="2418"/>
      <c r="L277" s="2418"/>
      <c r="M277" s="2418"/>
      <c r="N277" s="2391"/>
      <c r="O277" s="2406"/>
    </row>
    <row r="278" spans="1:16" ht="22.35" customHeight="1" x14ac:dyDescent="0.4">
      <c r="B278" s="2394"/>
      <c r="D278" s="2394"/>
      <c r="E278" s="2396"/>
      <c r="G278" s="2441" t="s">
        <v>1269</v>
      </c>
      <c r="H278" s="2441" t="s">
        <v>1269</v>
      </c>
      <c r="I278" s="2418" t="s">
        <v>1269</v>
      </c>
      <c r="J278" s="2418"/>
      <c r="K278" s="2418"/>
      <c r="L278" s="2418"/>
      <c r="M278" s="2418"/>
      <c r="N278" s="2391"/>
      <c r="O278" s="2406"/>
    </row>
    <row r="279" spans="1:16" ht="22.35" customHeight="1" x14ac:dyDescent="0.4">
      <c r="B279" s="2394"/>
      <c r="D279" s="2394"/>
      <c r="E279" s="2396"/>
      <c r="G279" s="2441" t="s">
        <v>1269</v>
      </c>
      <c r="H279" s="2441" t="s">
        <v>1269</v>
      </c>
      <c r="I279" s="2418" t="s">
        <v>1269</v>
      </c>
      <c r="J279" s="2418"/>
      <c r="K279" s="2418"/>
      <c r="L279" s="2418"/>
      <c r="M279" s="2418"/>
      <c r="N279" s="2442"/>
      <c r="O279" s="2406"/>
    </row>
    <row r="280" spans="1:16" ht="22.35" customHeight="1" x14ac:dyDescent="0.4">
      <c r="B280" s="2394"/>
      <c r="D280" s="2394"/>
      <c r="E280" s="2396"/>
      <c r="G280" s="2441" t="s">
        <v>1269</v>
      </c>
      <c r="H280" s="2441" t="s">
        <v>1269</v>
      </c>
      <c r="I280" s="2418" t="s">
        <v>1269</v>
      </c>
      <c r="J280" s="2418"/>
      <c r="K280" s="2418"/>
      <c r="L280" s="2418"/>
      <c r="M280" s="2418"/>
      <c r="N280" s="2442"/>
      <c r="O280" s="2414"/>
    </row>
    <row r="281" spans="1:16" x14ac:dyDescent="0.4">
      <c r="G281" s="2441" t="s">
        <v>1269</v>
      </c>
      <c r="H281" s="2441" t="s">
        <v>1269</v>
      </c>
      <c r="I281" s="2418" t="s">
        <v>1269</v>
      </c>
      <c r="J281" s="2418"/>
      <c r="K281" s="2418"/>
      <c r="L281" s="2418"/>
      <c r="M281" s="2418"/>
    </row>
    <row r="282" spans="1:16" x14ac:dyDescent="0.4">
      <c r="G282" s="2441" t="s">
        <v>1269</v>
      </c>
      <c r="H282" s="2441" t="s">
        <v>1269</v>
      </c>
      <c r="I282" s="2418" t="s">
        <v>1269</v>
      </c>
      <c r="J282" s="2418"/>
      <c r="K282" s="2418"/>
      <c r="L282" s="2418"/>
      <c r="M282" s="2418"/>
    </row>
    <row r="283" spans="1:16" x14ac:dyDescent="0.4">
      <c r="G283" s="2441" t="s">
        <v>1269</v>
      </c>
      <c r="H283" s="2441" t="s">
        <v>1269</v>
      </c>
      <c r="I283" s="2418" t="s">
        <v>1269</v>
      </c>
      <c r="J283" s="2418"/>
      <c r="K283" s="2418"/>
      <c r="L283" s="2418"/>
      <c r="M283" s="2418"/>
    </row>
    <row r="284" spans="1:16" x14ac:dyDescent="0.4">
      <c r="G284" s="2441" t="s">
        <v>1269</v>
      </c>
      <c r="H284" s="2441" t="s">
        <v>1269</v>
      </c>
      <c r="I284" s="2418" t="s">
        <v>1269</v>
      </c>
      <c r="J284" s="2418"/>
      <c r="K284" s="2418"/>
      <c r="L284" s="2418"/>
      <c r="M284" s="2418"/>
    </row>
    <row r="285" spans="1:16" x14ac:dyDescent="0.4">
      <c r="G285" s="2441" t="s">
        <v>1269</v>
      </c>
      <c r="H285" s="2441" t="s">
        <v>1269</v>
      </c>
      <c r="I285" s="2418" t="s">
        <v>1269</v>
      </c>
      <c r="J285" s="2418"/>
      <c r="K285" s="2418"/>
      <c r="L285" s="2418"/>
      <c r="M285" s="2418"/>
    </row>
    <row r="286" spans="1:16" x14ac:dyDescent="0.4">
      <c r="G286" s="2441" t="s">
        <v>1269</v>
      </c>
      <c r="H286" s="2441" t="s">
        <v>1269</v>
      </c>
      <c r="I286" s="2418" t="s">
        <v>1269</v>
      </c>
      <c r="J286" s="2418"/>
      <c r="K286" s="2418"/>
      <c r="L286" s="2418"/>
      <c r="M286" s="2418"/>
    </row>
    <row r="287" spans="1:16" ht="22.35" customHeight="1" x14ac:dyDescent="0.4">
      <c r="B287" s="2394"/>
      <c r="D287" s="2394"/>
      <c r="E287" s="2396"/>
      <c r="G287" s="2441" t="s">
        <v>1269</v>
      </c>
      <c r="H287" s="2441" t="s">
        <v>1269</v>
      </c>
      <c r="I287" s="2418" t="s">
        <v>1269</v>
      </c>
      <c r="J287" s="2418"/>
      <c r="K287" s="2418"/>
      <c r="L287" s="2418"/>
      <c r="M287" s="2418"/>
      <c r="N287" s="2442"/>
      <c r="O287" s="2406"/>
    </row>
    <row r="288" spans="1:16" ht="22.35" customHeight="1" x14ac:dyDescent="0.4">
      <c r="B288" s="2394"/>
      <c r="D288" s="2394"/>
      <c r="E288" s="2396"/>
      <c r="G288" s="2441" t="s">
        <v>1269</v>
      </c>
      <c r="H288" s="2441" t="s">
        <v>1269</v>
      </c>
      <c r="I288" s="2418" t="s">
        <v>1269</v>
      </c>
      <c r="J288" s="2418"/>
      <c r="K288" s="2418"/>
      <c r="L288" s="2418"/>
      <c r="M288" s="2418"/>
      <c r="N288" s="2391"/>
      <c r="O288" s="2406"/>
    </row>
    <row r="289" spans="1:15" ht="22.35" customHeight="1" x14ac:dyDescent="0.4">
      <c r="B289" s="2394"/>
      <c r="D289" s="2394"/>
      <c r="E289" s="2396"/>
      <c r="G289" s="2441" t="s">
        <v>1269</v>
      </c>
      <c r="H289" s="2441" t="s">
        <v>1269</v>
      </c>
      <c r="I289" s="2418" t="s">
        <v>1269</v>
      </c>
      <c r="J289" s="2418"/>
      <c r="K289" s="2418"/>
      <c r="L289" s="2418"/>
      <c r="M289" s="2418"/>
      <c r="N289" s="2442"/>
      <c r="O289" s="2406"/>
    </row>
    <row r="290" spans="1:15" ht="22.35" customHeight="1" x14ac:dyDescent="0.4">
      <c r="A290" s="2443"/>
      <c r="B290" s="2394"/>
      <c r="D290" s="2394"/>
      <c r="E290" s="2396"/>
      <c r="G290" s="2441" t="s">
        <v>1269</v>
      </c>
      <c r="H290" s="2441" t="s">
        <v>1269</v>
      </c>
      <c r="I290" s="2418" t="s">
        <v>1269</v>
      </c>
      <c r="J290" s="2418"/>
      <c r="K290" s="2418"/>
      <c r="L290" s="2418"/>
      <c r="M290" s="2418"/>
      <c r="N290" s="2442"/>
      <c r="O290" s="2406"/>
    </row>
    <row r="291" spans="1:15" ht="22.35" customHeight="1" x14ac:dyDescent="0.4">
      <c r="D291" s="2378"/>
      <c r="E291" s="2380"/>
      <c r="G291" s="2441" t="s">
        <v>1269</v>
      </c>
      <c r="H291" s="2441" t="s">
        <v>1269</v>
      </c>
      <c r="I291" s="2418" t="s">
        <v>1269</v>
      </c>
      <c r="J291" s="2418"/>
      <c r="K291" s="2418"/>
      <c r="L291" s="2418"/>
      <c r="M291" s="2418"/>
      <c r="N291" s="2442"/>
      <c r="O291" s="2406"/>
    </row>
    <row r="292" spans="1:15" ht="22.35" customHeight="1" x14ac:dyDescent="0.4">
      <c r="B292" s="2388"/>
      <c r="C292" s="2389"/>
      <c r="D292" s="2388"/>
      <c r="E292" s="2390"/>
      <c r="G292" s="2441" t="s">
        <v>1269</v>
      </c>
      <c r="H292" s="2441" t="s">
        <v>1269</v>
      </c>
      <c r="I292" s="2418" t="s">
        <v>1269</v>
      </c>
      <c r="J292" s="2418"/>
      <c r="K292" s="2418"/>
      <c r="L292" s="2418"/>
      <c r="M292" s="2418"/>
      <c r="N292" s="2442"/>
      <c r="O292" s="2406"/>
    </row>
    <row r="293" spans="1:15" ht="22.35" customHeight="1" x14ac:dyDescent="0.4">
      <c r="B293" s="2394"/>
      <c r="D293" s="2394"/>
      <c r="E293" s="2396"/>
      <c r="G293" s="2441" t="s">
        <v>1269</v>
      </c>
      <c r="H293" s="2441" t="s">
        <v>1269</v>
      </c>
      <c r="I293" s="2418" t="s">
        <v>1269</v>
      </c>
      <c r="J293" s="2418"/>
      <c r="K293" s="2418"/>
      <c r="L293" s="2418"/>
      <c r="M293" s="2418"/>
      <c r="N293" s="2405"/>
      <c r="O293" s="2406"/>
    </row>
    <row r="294" spans="1:15" ht="22.35" customHeight="1" x14ac:dyDescent="0.4">
      <c r="B294" s="2394"/>
      <c r="D294" s="2394"/>
      <c r="E294" s="2396"/>
      <c r="G294" s="2441" t="s">
        <v>1269</v>
      </c>
      <c r="H294" s="2441" t="s">
        <v>1269</v>
      </c>
      <c r="I294" s="2418" t="s">
        <v>1269</v>
      </c>
      <c r="J294" s="2418"/>
      <c r="K294" s="2418"/>
      <c r="L294" s="2418"/>
      <c r="M294" s="2418"/>
      <c r="N294" s="2405"/>
      <c r="O294" s="2406"/>
    </row>
    <row r="295" spans="1:15" ht="22.35" customHeight="1" x14ac:dyDescent="0.4">
      <c r="B295" s="2394"/>
      <c r="D295" s="2394"/>
      <c r="E295" s="2396"/>
      <c r="G295" s="2441" t="s">
        <v>1269</v>
      </c>
      <c r="H295" s="2441" t="s">
        <v>1269</v>
      </c>
      <c r="I295" s="2418" t="s">
        <v>1269</v>
      </c>
      <c r="J295" s="2418"/>
      <c r="K295" s="2418"/>
      <c r="L295" s="2418"/>
      <c r="M295" s="2418"/>
      <c r="N295" s="2405"/>
      <c r="O295" s="2406"/>
    </row>
    <row r="296" spans="1:15" ht="22.35" customHeight="1" x14ac:dyDescent="0.4">
      <c r="B296" s="2394"/>
      <c r="D296" s="2394"/>
      <c r="E296" s="2396"/>
      <c r="G296" s="2441" t="s">
        <v>1269</v>
      </c>
      <c r="H296" s="2441" t="s">
        <v>1269</v>
      </c>
      <c r="I296" s="2418" t="s">
        <v>1269</v>
      </c>
      <c r="J296" s="2418"/>
      <c r="K296" s="2418"/>
      <c r="L296" s="2418"/>
      <c r="M296" s="2418"/>
      <c r="N296" s="2405"/>
      <c r="O296" s="2406"/>
    </row>
    <row r="297" spans="1:15" x14ac:dyDescent="0.4">
      <c r="G297" s="2441" t="s">
        <v>1269</v>
      </c>
      <c r="H297" s="2441" t="s">
        <v>1269</v>
      </c>
      <c r="I297" s="2418" t="s">
        <v>1269</v>
      </c>
      <c r="J297" s="2418"/>
      <c r="K297" s="2418"/>
      <c r="L297" s="2418"/>
      <c r="M297" s="2418"/>
    </row>
    <row r="298" spans="1:15" x14ac:dyDescent="0.4">
      <c r="G298" s="2441" t="s">
        <v>1269</v>
      </c>
      <c r="H298" s="2441" t="s">
        <v>1269</v>
      </c>
      <c r="I298" s="2418" t="s">
        <v>1269</v>
      </c>
      <c r="J298" s="2418"/>
      <c r="K298" s="2418"/>
      <c r="L298" s="2418"/>
      <c r="M298" s="2418"/>
    </row>
    <row r="299" spans="1:15" x14ac:dyDescent="0.4">
      <c r="G299" s="2441" t="s">
        <v>1269</v>
      </c>
      <c r="H299" s="2441" t="s">
        <v>1269</v>
      </c>
      <c r="I299" s="2418" t="s">
        <v>1269</v>
      </c>
      <c r="J299" s="2418"/>
      <c r="K299" s="2418"/>
      <c r="L299" s="2418"/>
      <c r="M299" s="2418"/>
    </row>
    <row r="300" spans="1:15" x14ac:dyDescent="0.4">
      <c r="G300" s="2441" t="s">
        <v>1269</v>
      </c>
      <c r="H300" s="2441" t="s">
        <v>1269</v>
      </c>
      <c r="I300" s="2418" t="s">
        <v>1269</v>
      </c>
      <c r="J300" s="2418"/>
      <c r="K300" s="2418"/>
      <c r="L300" s="2418"/>
      <c r="M300" s="2418"/>
    </row>
    <row r="301" spans="1:15" x14ac:dyDescent="0.4">
      <c r="G301" s="2441" t="s">
        <v>1269</v>
      </c>
      <c r="H301" s="2441" t="s">
        <v>1269</v>
      </c>
      <c r="I301" s="2418" t="s">
        <v>1269</v>
      </c>
      <c r="J301" s="2418"/>
      <c r="K301" s="2418"/>
      <c r="L301" s="2418"/>
      <c r="M301" s="2418"/>
    </row>
    <row r="302" spans="1:15" ht="20.85" customHeight="1" x14ac:dyDescent="0.4">
      <c r="B302" s="2394"/>
      <c r="D302" s="2394"/>
      <c r="E302" s="2396"/>
      <c r="F302" s="2389"/>
      <c r="G302" s="2441" t="s">
        <v>1269</v>
      </c>
      <c r="H302" s="2441" t="s">
        <v>1269</v>
      </c>
      <c r="I302" s="2418" t="s">
        <v>1269</v>
      </c>
      <c r="J302" s="2418"/>
      <c r="K302" s="2418"/>
      <c r="L302" s="2418"/>
      <c r="M302" s="2418"/>
      <c r="N302" s="2405"/>
      <c r="O302" s="2406"/>
    </row>
    <row r="303" spans="1:15" ht="20.85" customHeight="1" x14ac:dyDescent="0.4">
      <c r="B303" s="2394"/>
      <c r="D303" s="2394"/>
      <c r="E303" s="2396"/>
      <c r="F303" s="2389"/>
      <c r="G303" s="2441" t="s">
        <v>1269</v>
      </c>
      <c r="H303" s="2441" t="s">
        <v>1269</v>
      </c>
      <c r="I303" s="2418" t="s">
        <v>1269</v>
      </c>
      <c r="J303" s="2418"/>
      <c r="K303" s="2418"/>
      <c r="L303" s="2418"/>
      <c r="M303" s="2418"/>
      <c r="N303" s="2405"/>
      <c r="O303" s="2414"/>
    </row>
    <row r="304" spans="1:15" ht="20.85" customHeight="1" x14ac:dyDescent="0.4">
      <c r="B304" s="2394"/>
      <c r="D304" s="2394"/>
      <c r="E304" s="2396"/>
      <c r="F304" s="2389"/>
      <c r="G304" s="2441" t="s">
        <v>1269</v>
      </c>
      <c r="H304" s="2441" t="s">
        <v>1269</v>
      </c>
      <c r="I304" s="2418" t="s">
        <v>1269</v>
      </c>
      <c r="J304" s="2418"/>
      <c r="K304" s="2418"/>
      <c r="L304" s="2418"/>
      <c r="M304" s="2418"/>
      <c r="N304" s="2405"/>
      <c r="O304" s="2406"/>
    </row>
    <row r="305" spans="1:15" ht="20.85" customHeight="1" x14ac:dyDescent="0.4">
      <c r="B305" s="2394"/>
      <c r="D305" s="2394"/>
      <c r="E305" s="2396"/>
      <c r="F305" s="2389"/>
      <c r="G305" s="2441" t="s">
        <v>1269</v>
      </c>
      <c r="H305" s="2441" t="s">
        <v>1269</v>
      </c>
      <c r="I305" s="2418" t="s">
        <v>1269</v>
      </c>
      <c r="J305" s="2418"/>
      <c r="K305" s="2418"/>
      <c r="L305" s="2418"/>
      <c r="M305" s="2418"/>
      <c r="N305" s="2405"/>
      <c r="O305" s="2406"/>
    </row>
    <row r="306" spans="1:15" x14ac:dyDescent="0.4">
      <c r="G306" s="2441" t="s">
        <v>1269</v>
      </c>
      <c r="H306" s="2441" t="s">
        <v>1269</v>
      </c>
      <c r="I306" s="2418" t="s">
        <v>1269</v>
      </c>
      <c r="J306" s="2418"/>
      <c r="K306" s="2418"/>
      <c r="L306" s="2418"/>
      <c r="M306" s="2418"/>
    </row>
    <row r="307" spans="1:15" x14ac:dyDescent="0.4">
      <c r="G307" s="2441" t="s">
        <v>1269</v>
      </c>
      <c r="H307" s="2441" t="s">
        <v>1269</v>
      </c>
      <c r="I307" s="2418" t="s">
        <v>1269</v>
      </c>
      <c r="J307" s="2418"/>
      <c r="K307" s="2418"/>
      <c r="L307" s="2418"/>
      <c r="M307" s="2418"/>
    </row>
    <row r="308" spans="1:15" x14ac:dyDescent="0.4">
      <c r="G308" s="2441" t="s">
        <v>1269</v>
      </c>
      <c r="H308" s="2441" t="s">
        <v>1269</v>
      </c>
      <c r="I308" s="2418" t="s">
        <v>1269</v>
      </c>
      <c r="J308" s="2418"/>
      <c r="K308" s="2418"/>
      <c r="L308" s="2418"/>
      <c r="M308" s="2418"/>
    </row>
    <row r="309" spans="1:15" x14ac:dyDescent="0.4">
      <c r="G309" s="2441" t="s">
        <v>1269</v>
      </c>
      <c r="H309" s="2441" t="s">
        <v>1269</v>
      </c>
      <c r="I309" s="2418" t="s">
        <v>1269</v>
      </c>
      <c r="J309" s="2418"/>
      <c r="K309" s="2418"/>
      <c r="L309" s="2418"/>
      <c r="M309" s="2418"/>
    </row>
    <row r="310" spans="1:15" x14ac:dyDescent="0.4">
      <c r="G310" s="2441" t="s">
        <v>1269</v>
      </c>
      <c r="H310" s="2441" t="s">
        <v>1269</v>
      </c>
      <c r="I310" s="2418" t="s">
        <v>1269</v>
      </c>
      <c r="J310" s="2418"/>
      <c r="K310" s="2418"/>
      <c r="L310" s="2418"/>
      <c r="M310" s="2418"/>
    </row>
    <row r="311" spans="1:15" x14ac:dyDescent="0.4">
      <c r="G311" s="2441" t="s">
        <v>1269</v>
      </c>
      <c r="H311" s="2441" t="s">
        <v>1269</v>
      </c>
      <c r="I311" s="2418" t="s">
        <v>1269</v>
      </c>
      <c r="J311" s="2418"/>
      <c r="K311" s="2418"/>
      <c r="L311" s="2418"/>
      <c r="M311" s="2418"/>
    </row>
    <row r="312" spans="1:15" x14ac:dyDescent="0.4">
      <c r="G312" s="2441" t="s">
        <v>1269</v>
      </c>
      <c r="H312" s="2441" t="s">
        <v>1269</v>
      </c>
      <c r="I312" s="2418" t="s">
        <v>1269</v>
      </c>
      <c r="J312" s="2418"/>
      <c r="K312" s="2418"/>
      <c r="L312" s="2418"/>
      <c r="M312" s="2418"/>
    </row>
    <row r="313" spans="1:15" x14ac:dyDescent="0.4">
      <c r="G313" s="2441" t="s">
        <v>1269</v>
      </c>
      <c r="H313" s="2441" t="s">
        <v>1269</v>
      </c>
      <c r="I313" s="2418" t="s">
        <v>1269</v>
      </c>
      <c r="J313" s="2418"/>
      <c r="K313" s="2418"/>
      <c r="L313" s="2418"/>
      <c r="M313" s="2418"/>
    </row>
    <row r="314" spans="1:15" x14ac:dyDescent="0.4">
      <c r="G314" s="2441" t="s">
        <v>1269</v>
      </c>
      <c r="H314" s="2441" t="s">
        <v>1269</v>
      </c>
      <c r="I314" s="2418" t="s">
        <v>1269</v>
      </c>
      <c r="J314" s="2418"/>
      <c r="K314" s="2418"/>
      <c r="L314" s="2418"/>
      <c r="M314" s="2418"/>
    </row>
    <row r="315" spans="1:15" x14ac:dyDescent="0.4">
      <c r="G315" s="2441" t="s">
        <v>1269</v>
      </c>
      <c r="H315" s="2441" t="s">
        <v>1269</v>
      </c>
      <c r="I315" s="2418" t="s">
        <v>1269</v>
      </c>
      <c r="J315" s="2418"/>
      <c r="K315" s="2418"/>
      <c r="L315" s="2418"/>
      <c r="M315" s="2418"/>
    </row>
    <row r="316" spans="1:15" x14ac:dyDescent="0.4">
      <c r="G316" s="2441" t="s">
        <v>1269</v>
      </c>
      <c r="H316" s="2441" t="s">
        <v>1269</v>
      </c>
      <c r="I316" s="2418" t="s">
        <v>1269</v>
      </c>
      <c r="J316" s="2418"/>
      <c r="K316" s="2418"/>
      <c r="L316" s="2418"/>
      <c r="M316" s="2418"/>
    </row>
    <row r="317" spans="1:15" ht="43.35" customHeight="1" x14ac:dyDescent="0.4">
      <c r="B317" s="2394"/>
      <c r="D317" s="2394"/>
      <c r="E317" s="2396"/>
      <c r="F317" s="2389"/>
      <c r="G317" s="2441" t="s">
        <v>1269</v>
      </c>
      <c r="H317" s="2441" t="s">
        <v>1269</v>
      </c>
      <c r="I317" s="2418" t="s">
        <v>1269</v>
      </c>
      <c r="J317" s="2418"/>
      <c r="K317" s="2418"/>
      <c r="L317" s="2418"/>
      <c r="M317" s="2418"/>
      <c r="N317" s="2405"/>
      <c r="O317" s="2406"/>
    </row>
    <row r="318" spans="1:15" ht="20.85" customHeight="1" x14ac:dyDescent="0.4">
      <c r="A318" s="2388"/>
      <c r="B318" s="2388"/>
      <c r="C318" s="2389"/>
      <c r="D318" s="2388"/>
      <c r="E318" s="2390"/>
      <c r="F318" s="2389"/>
      <c r="G318" s="2441" t="s">
        <v>1269</v>
      </c>
      <c r="H318" s="2441" t="s">
        <v>1269</v>
      </c>
      <c r="I318" s="2418" t="s">
        <v>1269</v>
      </c>
      <c r="J318" s="2418"/>
      <c r="K318" s="2418"/>
      <c r="L318" s="2418"/>
      <c r="M318" s="2418"/>
      <c r="N318" s="2391"/>
      <c r="O318" s="2406"/>
    </row>
    <row r="319" spans="1:15" ht="20.85" customHeight="1" x14ac:dyDescent="0.4">
      <c r="A319" s="2388"/>
      <c r="B319" s="2388"/>
      <c r="C319" s="2389"/>
      <c r="D319" s="2388"/>
      <c r="E319" s="2390"/>
      <c r="F319" s="2389"/>
      <c r="G319" s="2441" t="s">
        <v>1269</v>
      </c>
      <c r="H319" s="2441" t="s">
        <v>1269</v>
      </c>
      <c r="I319" s="2418" t="s">
        <v>1269</v>
      </c>
      <c r="J319" s="2418"/>
      <c r="K319" s="2418"/>
      <c r="L319" s="2418"/>
      <c r="M319" s="2418"/>
      <c r="N319" s="2391"/>
      <c r="O319" s="2406"/>
    </row>
    <row r="320" spans="1:15" ht="20.85" customHeight="1" x14ac:dyDescent="0.4">
      <c r="A320" s="2388"/>
      <c r="B320" s="2388"/>
      <c r="C320" s="2389"/>
      <c r="D320" s="2388"/>
      <c r="E320" s="2390"/>
      <c r="F320" s="2389"/>
      <c r="G320" s="2441" t="s">
        <v>1269</v>
      </c>
      <c r="H320" s="2441" t="s">
        <v>1269</v>
      </c>
      <c r="I320" s="2418" t="s">
        <v>1269</v>
      </c>
      <c r="J320" s="2418"/>
      <c r="K320" s="2418"/>
      <c r="L320" s="2418"/>
      <c r="M320" s="2418"/>
      <c r="N320" s="2391"/>
      <c r="O320" s="2406"/>
    </row>
    <row r="321" spans="1:15" ht="20.85" customHeight="1" x14ac:dyDescent="0.4">
      <c r="A321" s="2388"/>
      <c r="B321" s="2388"/>
      <c r="C321" s="2389"/>
      <c r="D321" s="2388"/>
      <c r="E321" s="2390"/>
      <c r="F321" s="2389"/>
      <c r="G321" s="2441" t="s">
        <v>1269</v>
      </c>
      <c r="H321" s="2441" t="s">
        <v>1269</v>
      </c>
      <c r="I321" s="2418" t="s">
        <v>1269</v>
      </c>
      <c r="J321" s="2418"/>
      <c r="K321" s="2418"/>
      <c r="L321" s="2418"/>
      <c r="M321" s="2418"/>
      <c r="N321" s="2391"/>
      <c r="O321" s="2406"/>
    </row>
    <row r="322" spans="1:15" x14ac:dyDescent="0.4">
      <c r="G322" s="2441" t="s">
        <v>1269</v>
      </c>
      <c r="H322" s="2441" t="s">
        <v>1269</v>
      </c>
      <c r="I322" s="2418" t="s">
        <v>1269</v>
      </c>
      <c r="J322" s="2418"/>
      <c r="K322" s="2418"/>
      <c r="L322" s="2418"/>
      <c r="M322" s="2418"/>
    </row>
    <row r="323" spans="1:15" x14ac:dyDescent="0.4">
      <c r="G323" s="2441" t="s">
        <v>1269</v>
      </c>
      <c r="H323" s="2441" t="s">
        <v>1269</v>
      </c>
      <c r="I323" s="2418" t="s">
        <v>1269</v>
      </c>
      <c r="J323" s="2418"/>
      <c r="K323" s="2418"/>
      <c r="L323" s="2418"/>
      <c r="M323" s="2418"/>
    </row>
    <row r="324" spans="1:15" x14ac:dyDescent="0.4">
      <c r="G324" s="2441" t="s">
        <v>1269</v>
      </c>
      <c r="H324" s="2441" t="s">
        <v>1269</v>
      </c>
      <c r="I324" s="2418" t="s">
        <v>1269</v>
      </c>
      <c r="J324" s="2418"/>
      <c r="K324" s="2418"/>
      <c r="L324" s="2418"/>
      <c r="M324" s="2418"/>
    </row>
    <row r="325" spans="1:15" x14ac:dyDescent="0.4">
      <c r="G325" s="2441" t="s">
        <v>1269</v>
      </c>
      <c r="H325" s="2441" t="s">
        <v>1269</v>
      </c>
      <c r="I325" s="2418" t="s">
        <v>1269</v>
      </c>
      <c r="J325" s="2418"/>
      <c r="K325" s="2418"/>
      <c r="L325" s="2418"/>
      <c r="M325" s="2418"/>
    </row>
    <row r="326" spans="1:15" x14ac:dyDescent="0.4">
      <c r="G326" s="2441" t="s">
        <v>1269</v>
      </c>
      <c r="H326" s="2441" t="s">
        <v>1269</v>
      </c>
      <c r="I326" s="2418" t="s">
        <v>1269</v>
      </c>
      <c r="J326" s="2418"/>
      <c r="K326" s="2418"/>
      <c r="L326" s="2418"/>
      <c r="M326" s="2418"/>
    </row>
    <row r="327" spans="1:15" x14ac:dyDescent="0.4">
      <c r="G327" s="2441" t="s">
        <v>1269</v>
      </c>
      <c r="H327" s="2441" t="s">
        <v>1269</v>
      </c>
      <c r="I327" s="2418" t="s">
        <v>1269</v>
      </c>
      <c r="J327" s="2418"/>
      <c r="K327" s="2418"/>
      <c r="L327" s="2418"/>
      <c r="M327" s="2418"/>
    </row>
    <row r="328" spans="1:15" x14ac:dyDescent="0.4">
      <c r="G328" s="2441" t="s">
        <v>1269</v>
      </c>
      <c r="H328" s="2441" t="s">
        <v>1269</v>
      </c>
      <c r="I328" s="2418" t="s">
        <v>1269</v>
      </c>
      <c r="J328" s="2418"/>
      <c r="K328" s="2418"/>
      <c r="L328" s="2418"/>
      <c r="M328" s="2418"/>
    </row>
    <row r="329" spans="1:15" x14ac:dyDescent="0.4">
      <c r="G329" s="2441" t="s">
        <v>1269</v>
      </c>
      <c r="H329" s="2441" t="s">
        <v>1269</v>
      </c>
      <c r="I329" s="2418" t="s">
        <v>1269</v>
      </c>
      <c r="J329" s="2418"/>
      <c r="K329" s="2418"/>
      <c r="L329" s="2418"/>
      <c r="M329" s="2418"/>
    </row>
    <row r="330" spans="1:15" x14ac:dyDescent="0.4">
      <c r="G330" s="2441" t="s">
        <v>1269</v>
      </c>
      <c r="H330" s="2441" t="s">
        <v>1269</v>
      </c>
      <c r="I330" s="2418" t="s">
        <v>1269</v>
      </c>
      <c r="J330" s="2418"/>
      <c r="K330" s="2418"/>
      <c r="L330" s="2418"/>
      <c r="M330" s="2418"/>
    </row>
    <row r="331" spans="1:15" x14ac:dyDescent="0.4">
      <c r="G331" s="2441" t="s">
        <v>1269</v>
      </c>
      <c r="H331" s="2441" t="s">
        <v>1269</v>
      </c>
      <c r="I331" s="2418" t="s">
        <v>1269</v>
      </c>
      <c r="J331" s="2418"/>
      <c r="K331" s="2418"/>
      <c r="L331" s="2418"/>
      <c r="M331" s="2418"/>
    </row>
    <row r="332" spans="1:15" ht="20.85" customHeight="1" x14ac:dyDescent="0.4">
      <c r="A332" s="2388"/>
      <c r="B332" s="2388"/>
      <c r="C332" s="2389"/>
      <c r="D332" s="2388"/>
      <c r="E332" s="2390"/>
      <c r="F332" s="2389"/>
      <c r="G332" s="2441" t="s">
        <v>1269</v>
      </c>
      <c r="H332" s="2441" t="s">
        <v>1269</v>
      </c>
      <c r="I332" s="2418" t="s">
        <v>1269</v>
      </c>
      <c r="J332" s="2418"/>
      <c r="K332" s="2418"/>
      <c r="L332" s="2418"/>
      <c r="M332" s="2418"/>
      <c r="N332" s="2391"/>
      <c r="O332" s="2406"/>
    </row>
    <row r="333" spans="1:15" ht="20.85" customHeight="1" x14ac:dyDescent="0.4">
      <c r="A333" s="2388"/>
      <c r="B333" s="2388"/>
      <c r="C333" s="2389"/>
      <c r="D333" s="2388"/>
      <c r="E333" s="2390"/>
      <c r="F333" s="2389"/>
      <c r="G333" s="2441" t="s">
        <v>1269</v>
      </c>
      <c r="H333" s="2441" t="s">
        <v>1269</v>
      </c>
      <c r="I333" s="2418" t="s">
        <v>1269</v>
      </c>
      <c r="J333" s="2418"/>
      <c r="K333" s="2418"/>
      <c r="L333" s="2418"/>
      <c r="M333" s="2418"/>
      <c r="N333" s="2391"/>
      <c r="O333" s="2414"/>
    </row>
    <row r="334" spans="1:15" ht="20.85" customHeight="1" x14ac:dyDescent="0.4">
      <c r="A334" s="2388"/>
      <c r="B334" s="2388"/>
      <c r="C334" s="2389"/>
      <c r="D334" s="2388"/>
      <c r="E334" s="2390"/>
      <c r="F334" s="2389"/>
      <c r="G334" s="2441" t="s">
        <v>1269</v>
      </c>
      <c r="H334" s="2441" t="s">
        <v>1269</v>
      </c>
      <c r="I334" s="2418" t="s">
        <v>1269</v>
      </c>
      <c r="J334" s="2418"/>
      <c r="K334" s="2418"/>
      <c r="L334" s="2418"/>
      <c r="M334" s="2418"/>
      <c r="N334" s="2391"/>
      <c r="O334" s="2406"/>
    </row>
    <row r="335" spans="1:15" ht="20.85" customHeight="1" x14ac:dyDescent="0.4">
      <c r="A335" s="2388"/>
      <c r="B335" s="2388"/>
      <c r="C335" s="2389"/>
      <c r="D335" s="2388"/>
      <c r="E335" s="2390"/>
      <c r="F335" s="2389"/>
      <c r="G335" s="2441" t="s">
        <v>1269</v>
      </c>
      <c r="H335" s="2441" t="s">
        <v>1269</v>
      </c>
      <c r="I335" s="2418" t="s">
        <v>1269</v>
      </c>
      <c r="J335" s="2418"/>
      <c r="K335" s="2418"/>
      <c r="L335" s="2418"/>
      <c r="M335" s="2418"/>
      <c r="N335" s="2391"/>
      <c r="O335" s="2414"/>
    </row>
    <row r="336" spans="1:15" x14ac:dyDescent="0.4">
      <c r="G336" s="2441" t="s">
        <v>1269</v>
      </c>
      <c r="H336" s="2441" t="s">
        <v>1269</v>
      </c>
      <c r="I336" s="2418" t="s">
        <v>1269</v>
      </c>
      <c r="J336" s="2418"/>
      <c r="K336" s="2418"/>
      <c r="L336" s="2418"/>
      <c r="M336" s="2418"/>
    </row>
    <row r="337" spans="1:15" x14ac:dyDescent="0.4">
      <c r="G337" s="2441" t="s">
        <v>1269</v>
      </c>
      <c r="H337" s="2441" t="s">
        <v>1269</v>
      </c>
      <c r="I337" s="2418" t="s">
        <v>1269</v>
      </c>
      <c r="J337" s="2418"/>
      <c r="K337" s="2418"/>
      <c r="L337" s="2418"/>
      <c r="M337" s="2418"/>
    </row>
    <row r="338" spans="1:15" x14ac:dyDescent="0.4">
      <c r="G338" s="2441" t="s">
        <v>1269</v>
      </c>
      <c r="H338" s="2441" t="s">
        <v>1269</v>
      </c>
      <c r="I338" s="2418" t="s">
        <v>1269</v>
      </c>
      <c r="J338" s="2418"/>
      <c r="K338" s="2418"/>
      <c r="L338" s="2418"/>
      <c r="M338" s="2418"/>
    </row>
    <row r="339" spans="1:15" x14ac:dyDescent="0.4">
      <c r="G339" s="2441" t="s">
        <v>1269</v>
      </c>
      <c r="H339" s="2441" t="s">
        <v>1269</v>
      </c>
      <c r="I339" s="2418" t="s">
        <v>1269</v>
      </c>
      <c r="J339" s="2418"/>
      <c r="K339" s="2418"/>
      <c r="L339" s="2418"/>
      <c r="M339" s="2418"/>
    </row>
    <row r="340" spans="1:15" x14ac:dyDescent="0.4">
      <c r="G340" s="2441" t="s">
        <v>1269</v>
      </c>
      <c r="H340" s="2441" t="s">
        <v>1269</v>
      </c>
      <c r="I340" s="2418" t="s">
        <v>1269</v>
      </c>
      <c r="J340" s="2418"/>
      <c r="K340" s="2418"/>
      <c r="L340" s="2418"/>
      <c r="M340" s="2418"/>
    </row>
    <row r="341" spans="1:15" x14ac:dyDescent="0.4">
      <c r="G341" s="2441" t="s">
        <v>1269</v>
      </c>
      <c r="H341" s="2441" t="s">
        <v>1269</v>
      </c>
      <c r="I341" s="2418" t="s">
        <v>1269</v>
      </c>
      <c r="J341" s="2418"/>
      <c r="K341" s="2418"/>
      <c r="L341" s="2418"/>
      <c r="M341" s="2418"/>
    </row>
    <row r="342" spans="1:15" x14ac:dyDescent="0.4">
      <c r="G342" s="2441" t="s">
        <v>1269</v>
      </c>
      <c r="H342" s="2441" t="s">
        <v>1269</v>
      </c>
      <c r="I342" s="2418" t="s">
        <v>1269</v>
      </c>
      <c r="J342" s="2418"/>
      <c r="K342" s="2418"/>
      <c r="L342" s="2418"/>
      <c r="M342" s="2418"/>
    </row>
    <row r="343" spans="1:15" x14ac:dyDescent="0.4">
      <c r="G343" s="2441" t="s">
        <v>1269</v>
      </c>
      <c r="H343" s="2441" t="s">
        <v>1269</v>
      </c>
      <c r="I343" s="2418" t="s">
        <v>1269</v>
      </c>
      <c r="J343" s="2418"/>
      <c r="K343" s="2418"/>
      <c r="L343" s="2418"/>
      <c r="M343" s="2418"/>
    </row>
    <row r="344" spans="1:15" x14ac:dyDescent="0.4">
      <c r="G344" s="2441" t="s">
        <v>1269</v>
      </c>
      <c r="H344" s="2441" t="s">
        <v>1269</v>
      </c>
      <c r="I344" s="2418" t="s">
        <v>1269</v>
      </c>
      <c r="J344" s="2418"/>
      <c r="K344" s="2418"/>
      <c r="L344" s="2418"/>
      <c r="M344" s="2418"/>
    </row>
    <row r="345" spans="1:15" x14ac:dyDescent="0.4">
      <c r="G345" s="2441" t="s">
        <v>1269</v>
      </c>
      <c r="H345" s="2441" t="s">
        <v>1269</v>
      </c>
      <c r="I345" s="2418" t="s">
        <v>1269</v>
      </c>
      <c r="J345" s="2418"/>
      <c r="K345" s="2418"/>
      <c r="L345" s="2418"/>
      <c r="M345" s="2418"/>
    </row>
    <row r="346" spans="1:15" x14ac:dyDescent="0.4">
      <c r="G346" s="2441" t="s">
        <v>1269</v>
      </c>
      <c r="H346" s="2441" t="s">
        <v>1269</v>
      </c>
      <c r="I346" s="2418" t="s">
        <v>1269</v>
      </c>
      <c r="J346" s="2418"/>
      <c r="K346" s="2418"/>
      <c r="L346" s="2418"/>
      <c r="M346" s="2418"/>
    </row>
    <row r="347" spans="1:15" ht="43.35" customHeight="1" x14ac:dyDescent="0.4">
      <c r="A347" s="2388"/>
      <c r="B347" s="2388"/>
      <c r="C347" s="2389"/>
      <c r="D347" s="2388"/>
      <c r="E347" s="2390"/>
      <c r="F347" s="2389"/>
      <c r="G347" s="2441" t="s">
        <v>1269</v>
      </c>
      <c r="H347" s="2441" t="s">
        <v>1269</v>
      </c>
      <c r="I347" s="2418" t="s">
        <v>1269</v>
      </c>
      <c r="J347" s="2418"/>
      <c r="K347" s="2418"/>
      <c r="L347" s="2418"/>
      <c r="M347" s="2418"/>
      <c r="N347" s="2391"/>
      <c r="O347" s="2406"/>
    </row>
    <row r="348" spans="1:15" x14ac:dyDescent="0.4">
      <c r="G348" s="2441" t="s">
        <v>1269</v>
      </c>
      <c r="H348" s="2441" t="s">
        <v>1269</v>
      </c>
      <c r="I348" s="2418" t="s">
        <v>1269</v>
      </c>
      <c r="J348" s="2418"/>
      <c r="K348" s="2418"/>
      <c r="L348" s="2418"/>
      <c r="M348" s="2418"/>
    </row>
    <row r="349" spans="1:15" x14ac:dyDescent="0.4">
      <c r="G349" s="2441" t="s">
        <v>1269</v>
      </c>
      <c r="H349" s="2441" t="s">
        <v>1269</v>
      </c>
      <c r="I349" s="2418" t="s">
        <v>1269</v>
      </c>
      <c r="J349" s="2418"/>
      <c r="K349" s="2418"/>
      <c r="L349" s="2418"/>
      <c r="M349" s="2418"/>
    </row>
    <row r="350" spans="1:15" x14ac:dyDescent="0.4">
      <c r="G350" s="2441" t="s">
        <v>1269</v>
      </c>
      <c r="H350" s="2441" t="s">
        <v>1269</v>
      </c>
      <c r="I350" s="2418" t="s">
        <v>1269</v>
      </c>
      <c r="J350" s="2418"/>
      <c r="K350" s="2418"/>
      <c r="L350" s="2418"/>
      <c r="M350" s="2418"/>
    </row>
    <row r="351" spans="1:15" x14ac:dyDescent="0.4">
      <c r="G351" s="2441" t="s">
        <v>1269</v>
      </c>
      <c r="H351" s="2441" t="s">
        <v>1269</v>
      </c>
      <c r="I351" s="2418" t="s">
        <v>1269</v>
      </c>
      <c r="J351" s="2418"/>
      <c r="K351" s="2418"/>
      <c r="L351" s="2418"/>
      <c r="M351" s="2418"/>
    </row>
    <row r="352" spans="1:15" x14ac:dyDescent="0.4">
      <c r="G352" s="2441" t="s">
        <v>1269</v>
      </c>
      <c r="H352" s="2441" t="s">
        <v>1269</v>
      </c>
      <c r="I352" s="2418" t="s">
        <v>1269</v>
      </c>
      <c r="J352" s="2418"/>
      <c r="K352" s="2418"/>
      <c r="L352" s="2418"/>
      <c r="M352" s="2418"/>
    </row>
    <row r="353" spans="1:15" x14ac:dyDescent="0.4">
      <c r="G353" s="2441" t="s">
        <v>1269</v>
      </c>
      <c r="H353" s="2441" t="s">
        <v>1269</v>
      </c>
      <c r="I353" s="2418" t="s">
        <v>1269</v>
      </c>
      <c r="J353" s="2418"/>
      <c r="K353" s="2418"/>
      <c r="L353" s="2418"/>
      <c r="M353" s="2418"/>
    </row>
    <row r="354" spans="1:15" x14ac:dyDescent="0.4">
      <c r="G354" s="2441" t="s">
        <v>1269</v>
      </c>
      <c r="H354" s="2441" t="s">
        <v>1269</v>
      </c>
      <c r="I354" s="2418" t="s">
        <v>1269</v>
      </c>
      <c r="J354" s="2418"/>
      <c r="K354" s="2418"/>
      <c r="L354" s="2418"/>
      <c r="M354" s="2418"/>
    </row>
    <row r="355" spans="1:15" x14ac:dyDescent="0.4">
      <c r="G355" s="2441" t="s">
        <v>1269</v>
      </c>
      <c r="H355" s="2441" t="s">
        <v>1269</v>
      </c>
      <c r="I355" s="2418" t="s">
        <v>1269</v>
      </c>
      <c r="J355" s="2418"/>
      <c r="K355" s="2418"/>
      <c r="L355" s="2418"/>
      <c r="M355" s="2418"/>
    </row>
    <row r="356" spans="1:15" x14ac:dyDescent="0.4">
      <c r="G356" s="2441" t="s">
        <v>1269</v>
      </c>
      <c r="H356" s="2441" t="s">
        <v>1269</v>
      </c>
      <c r="I356" s="2418" t="s">
        <v>1269</v>
      </c>
      <c r="J356" s="2418"/>
      <c r="K356" s="2418"/>
      <c r="L356" s="2418"/>
      <c r="M356" s="2418"/>
    </row>
    <row r="357" spans="1:15" x14ac:dyDescent="0.4">
      <c r="G357" s="2441" t="s">
        <v>1269</v>
      </c>
      <c r="H357" s="2441" t="s">
        <v>1269</v>
      </c>
      <c r="I357" s="2418" t="s">
        <v>1269</v>
      </c>
      <c r="J357" s="2418"/>
      <c r="K357" s="2418"/>
      <c r="L357" s="2418"/>
      <c r="M357" s="2418"/>
    </row>
    <row r="358" spans="1:15" x14ac:dyDescent="0.4">
      <c r="G358" s="2441" t="s">
        <v>1269</v>
      </c>
      <c r="H358" s="2441" t="s">
        <v>1269</v>
      </c>
      <c r="I358" s="2418" t="s">
        <v>1269</v>
      </c>
      <c r="J358" s="2418"/>
      <c r="K358" s="2418"/>
      <c r="L358" s="2418"/>
      <c r="M358" s="2418"/>
    </row>
    <row r="359" spans="1:15" x14ac:dyDescent="0.4">
      <c r="G359" s="2441" t="s">
        <v>1269</v>
      </c>
      <c r="H359" s="2441" t="s">
        <v>1269</v>
      </c>
      <c r="I359" s="2418" t="s">
        <v>1269</v>
      </c>
      <c r="J359" s="2418"/>
      <c r="K359" s="2418"/>
      <c r="L359" s="2418"/>
      <c r="M359" s="2418"/>
    </row>
    <row r="360" spans="1:15" x14ac:dyDescent="0.4">
      <c r="G360" s="2441" t="s">
        <v>1269</v>
      </c>
      <c r="H360" s="2441" t="s">
        <v>1269</v>
      </c>
      <c r="I360" s="2418" t="s">
        <v>1269</v>
      </c>
      <c r="J360" s="2418"/>
      <c r="K360" s="2418"/>
      <c r="L360" s="2418"/>
      <c r="M360" s="2418"/>
    </row>
    <row r="361" spans="1:15" x14ac:dyDescent="0.4">
      <c r="G361" s="2441" t="s">
        <v>1269</v>
      </c>
      <c r="H361" s="2441" t="s">
        <v>1269</v>
      </c>
      <c r="I361" s="2418" t="s">
        <v>1269</v>
      </c>
      <c r="J361" s="2418"/>
      <c r="K361" s="2418"/>
      <c r="L361" s="2418"/>
      <c r="M361" s="2418"/>
    </row>
    <row r="362" spans="1:15" ht="22.35" customHeight="1" x14ac:dyDescent="0.4">
      <c r="B362" s="2394"/>
      <c r="D362" s="2394"/>
      <c r="E362" s="2396"/>
      <c r="G362" s="2441" t="s">
        <v>1269</v>
      </c>
      <c r="H362" s="2441" t="s">
        <v>1269</v>
      </c>
      <c r="I362" s="2418" t="s">
        <v>1269</v>
      </c>
      <c r="J362" s="2418"/>
      <c r="K362" s="2418"/>
      <c r="L362" s="2418"/>
      <c r="M362" s="2418"/>
      <c r="N362" s="2391"/>
      <c r="O362" s="2406"/>
    </row>
    <row r="363" spans="1:15" ht="22.35" customHeight="1" x14ac:dyDescent="0.4">
      <c r="A363" s="2396"/>
      <c r="B363" s="2394"/>
      <c r="D363" s="2394"/>
      <c r="E363" s="2396"/>
      <c r="G363" s="2441" t="s">
        <v>1269</v>
      </c>
      <c r="H363" s="2441" t="s">
        <v>1269</v>
      </c>
      <c r="I363" s="2418" t="s">
        <v>1269</v>
      </c>
      <c r="J363" s="2418"/>
      <c r="K363" s="2418"/>
      <c r="L363" s="2418"/>
      <c r="M363" s="2418"/>
      <c r="N363" s="2391"/>
      <c r="O363" s="2406"/>
    </row>
    <row r="364" spans="1:15" ht="22.35" customHeight="1" x14ac:dyDescent="0.4">
      <c r="B364" s="2394"/>
      <c r="D364" s="2394"/>
      <c r="E364" s="2396"/>
      <c r="G364" s="2441" t="s">
        <v>1269</v>
      </c>
      <c r="H364" s="2441" t="s">
        <v>1269</v>
      </c>
      <c r="I364" s="2418" t="s">
        <v>1269</v>
      </c>
      <c r="J364" s="2418"/>
      <c r="K364" s="2418"/>
      <c r="L364" s="2418"/>
      <c r="M364" s="2418"/>
      <c r="N364" s="2391"/>
      <c r="O364" s="2406"/>
    </row>
    <row r="365" spans="1:15" ht="22.35" customHeight="1" x14ac:dyDescent="0.4">
      <c r="B365" s="2394"/>
      <c r="D365" s="2394"/>
      <c r="E365" s="2396"/>
      <c r="G365" s="2441" t="s">
        <v>1269</v>
      </c>
      <c r="H365" s="2441" t="s">
        <v>1269</v>
      </c>
      <c r="I365" s="2418" t="s">
        <v>1269</v>
      </c>
      <c r="J365" s="2418"/>
      <c r="K365" s="2418"/>
      <c r="L365" s="2418"/>
      <c r="M365" s="2418"/>
      <c r="N365" s="2391"/>
      <c r="O365" s="2406"/>
    </row>
    <row r="366" spans="1:15" ht="22.35" customHeight="1" x14ac:dyDescent="0.4">
      <c r="B366" s="2394"/>
      <c r="D366" s="2394"/>
      <c r="E366" s="2396"/>
      <c r="G366" s="2441" t="s">
        <v>1269</v>
      </c>
      <c r="H366" s="2441" t="s">
        <v>1269</v>
      </c>
      <c r="I366" s="2418" t="s">
        <v>1269</v>
      </c>
      <c r="J366" s="2418"/>
      <c r="K366" s="2418"/>
      <c r="L366" s="2418"/>
      <c r="M366" s="2418"/>
      <c r="N366" s="2391"/>
      <c r="O366" s="2406"/>
    </row>
    <row r="367" spans="1:15" ht="22.35" customHeight="1" x14ac:dyDescent="0.4">
      <c r="B367" s="2394"/>
      <c r="D367" s="2394"/>
      <c r="E367" s="2396"/>
      <c r="G367" s="2441" t="s">
        <v>1269</v>
      </c>
      <c r="H367" s="2441" t="s">
        <v>1269</v>
      </c>
      <c r="I367" s="2418" t="s">
        <v>1269</v>
      </c>
      <c r="J367" s="2418"/>
      <c r="K367" s="2418"/>
      <c r="L367" s="2418"/>
      <c r="M367" s="2418"/>
      <c r="N367" s="2391"/>
      <c r="O367" s="2406"/>
    </row>
    <row r="368" spans="1:15" ht="22.35" customHeight="1" x14ac:dyDescent="0.4">
      <c r="B368" s="2394"/>
      <c r="D368" s="2394"/>
      <c r="E368" s="2396"/>
      <c r="G368" s="2441" t="s">
        <v>1269</v>
      </c>
      <c r="H368" s="2441" t="s">
        <v>1269</v>
      </c>
      <c r="I368" s="2418" t="s">
        <v>1269</v>
      </c>
      <c r="J368" s="2418"/>
      <c r="K368" s="2418"/>
      <c r="L368" s="2418"/>
      <c r="M368" s="2418"/>
      <c r="N368" s="2391"/>
      <c r="O368" s="2406"/>
    </row>
    <row r="369" spans="1:15" ht="22.35" customHeight="1" x14ac:dyDescent="0.4">
      <c r="B369" s="2394"/>
      <c r="D369" s="2394"/>
      <c r="E369" s="2396"/>
      <c r="G369" s="2441" t="s">
        <v>1269</v>
      </c>
      <c r="H369" s="2441" t="s">
        <v>1269</v>
      </c>
      <c r="I369" s="2418" t="s">
        <v>1269</v>
      </c>
      <c r="J369" s="2418"/>
      <c r="K369" s="2418"/>
      <c r="L369" s="2418"/>
      <c r="M369" s="2418"/>
      <c r="N369" s="2391"/>
      <c r="O369" s="2406"/>
    </row>
    <row r="370" spans="1:15" ht="22.35" customHeight="1" x14ac:dyDescent="0.4">
      <c r="A370" s="2396"/>
      <c r="B370" s="2394"/>
      <c r="D370" s="2394"/>
      <c r="E370" s="2396"/>
      <c r="G370" s="2441" t="s">
        <v>1269</v>
      </c>
      <c r="H370" s="2441" t="s">
        <v>1269</v>
      </c>
      <c r="I370" s="2418" t="s">
        <v>1269</v>
      </c>
      <c r="J370" s="2418"/>
      <c r="K370" s="2418"/>
      <c r="L370" s="2418"/>
      <c r="M370" s="2418"/>
      <c r="N370" s="2442"/>
      <c r="O370" s="2406"/>
    </row>
    <row r="371" spans="1:15" ht="22.35" customHeight="1" x14ac:dyDescent="0.4">
      <c r="B371" s="2394"/>
      <c r="D371" s="2394"/>
      <c r="E371" s="2396"/>
      <c r="G371" s="2441" t="s">
        <v>1269</v>
      </c>
      <c r="H371" s="2441" t="s">
        <v>1269</v>
      </c>
      <c r="I371" s="2418" t="s">
        <v>1269</v>
      </c>
      <c r="J371" s="2418"/>
      <c r="K371" s="2418"/>
      <c r="L371" s="2418"/>
      <c r="M371" s="2418"/>
      <c r="N371" s="2391"/>
      <c r="O371" s="2406"/>
    </row>
    <row r="372" spans="1:15" x14ac:dyDescent="0.4">
      <c r="B372" s="2394"/>
      <c r="D372" s="2394"/>
      <c r="E372" s="2396"/>
      <c r="G372" s="2441" t="s">
        <v>1269</v>
      </c>
      <c r="H372" s="2441" t="s">
        <v>1269</v>
      </c>
      <c r="I372" s="2418" t="s">
        <v>1269</v>
      </c>
      <c r="J372" s="2418"/>
      <c r="K372" s="2418"/>
      <c r="L372" s="2418"/>
      <c r="M372" s="2418"/>
      <c r="N372" s="2391"/>
      <c r="O372" s="2414"/>
    </row>
    <row r="373" spans="1:15" x14ac:dyDescent="0.4">
      <c r="G373" s="2441" t="s">
        <v>1269</v>
      </c>
      <c r="H373" s="2441" t="s">
        <v>1269</v>
      </c>
      <c r="I373" s="2418" t="s">
        <v>1269</v>
      </c>
      <c r="J373" s="2418"/>
      <c r="K373" s="2418"/>
      <c r="L373" s="2418"/>
      <c r="M373" s="2418"/>
    </row>
    <row r="374" spans="1:15" x14ac:dyDescent="0.4">
      <c r="G374" s="2441" t="s">
        <v>1269</v>
      </c>
      <c r="H374" s="2441" t="s">
        <v>1269</v>
      </c>
      <c r="I374" s="2418" t="s">
        <v>1269</v>
      </c>
      <c r="J374" s="2418"/>
      <c r="K374" s="2418"/>
      <c r="L374" s="2418"/>
      <c r="M374" s="2418"/>
    </row>
    <row r="375" spans="1:15" x14ac:dyDescent="0.4">
      <c r="G375" s="2441" t="s">
        <v>1269</v>
      </c>
      <c r="H375" s="2441" t="s">
        <v>1269</v>
      </c>
      <c r="I375" s="2418" t="s">
        <v>1269</v>
      </c>
      <c r="J375" s="2418"/>
      <c r="K375" s="2418"/>
      <c r="L375" s="2418"/>
      <c r="M375" s="2418"/>
    </row>
    <row r="376" spans="1:15" x14ac:dyDescent="0.4">
      <c r="G376" s="2441" t="s">
        <v>1269</v>
      </c>
      <c r="H376" s="2441" t="s">
        <v>1269</v>
      </c>
      <c r="I376" s="2418" t="s">
        <v>1269</v>
      </c>
      <c r="J376" s="2418"/>
      <c r="K376" s="2418"/>
      <c r="L376" s="2418"/>
      <c r="M376" s="2418"/>
    </row>
    <row r="377" spans="1:15" x14ac:dyDescent="0.4">
      <c r="G377" s="2441" t="s">
        <v>1269</v>
      </c>
      <c r="H377" s="2441" t="s">
        <v>1269</v>
      </c>
      <c r="I377" s="2418" t="s">
        <v>1269</v>
      </c>
      <c r="J377" s="2418"/>
      <c r="K377" s="2418"/>
      <c r="L377" s="2418"/>
      <c r="M377" s="2418"/>
    </row>
    <row r="378" spans="1:15" x14ac:dyDescent="0.4">
      <c r="G378" s="2441" t="s">
        <v>1269</v>
      </c>
      <c r="H378" s="2441" t="s">
        <v>1269</v>
      </c>
      <c r="I378" s="2418" t="s">
        <v>1269</v>
      </c>
      <c r="J378" s="2418"/>
      <c r="K378" s="2418"/>
      <c r="L378" s="2418"/>
      <c r="M378" s="2418"/>
    </row>
    <row r="379" spans="1:15" x14ac:dyDescent="0.4">
      <c r="G379" s="2441" t="s">
        <v>1269</v>
      </c>
      <c r="H379" s="2441" t="s">
        <v>1269</v>
      </c>
      <c r="I379" s="2418" t="s">
        <v>1269</v>
      </c>
      <c r="J379" s="2418"/>
      <c r="K379" s="2418"/>
      <c r="L379" s="2418"/>
      <c r="M379" s="2418"/>
    </row>
    <row r="380" spans="1:15" x14ac:dyDescent="0.4">
      <c r="G380" s="2441" t="s">
        <v>1269</v>
      </c>
      <c r="H380" s="2441" t="s">
        <v>1269</v>
      </c>
      <c r="I380" s="2418" t="s">
        <v>1269</v>
      </c>
      <c r="J380" s="2418"/>
      <c r="K380" s="2418"/>
      <c r="L380" s="2418"/>
      <c r="M380" s="2418"/>
    </row>
    <row r="381" spans="1:15" x14ac:dyDescent="0.4">
      <c r="G381" s="2441" t="s">
        <v>1269</v>
      </c>
      <c r="H381" s="2441" t="s">
        <v>1269</v>
      </c>
      <c r="I381" s="2418" t="s">
        <v>1269</v>
      </c>
      <c r="J381" s="2418"/>
      <c r="K381" s="2418"/>
      <c r="L381" s="2418"/>
      <c r="M381" s="2418"/>
    </row>
    <row r="382" spans="1:15" x14ac:dyDescent="0.4">
      <c r="G382" s="2441" t="s">
        <v>1269</v>
      </c>
      <c r="H382" s="2441" t="s">
        <v>1269</v>
      </c>
      <c r="I382" s="2418" t="s">
        <v>1269</v>
      </c>
      <c r="J382" s="2418"/>
      <c r="K382" s="2418"/>
      <c r="L382" s="2418"/>
      <c r="M382" s="2418"/>
    </row>
    <row r="383" spans="1:15" x14ac:dyDescent="0.4">
      <c r="G383" s="2441" t="s">
        <v>1269</v>
      </c>
      <c r="H383" s="2441" t="s">
        <v>1269</v>
      </c>
      <c r="I383" s="2418" t="s">
        <v>1269</v>
      </c>
      <c r="J383" s="2418"/>
      <c r="K383" s="2418"/>
      <c r="L383" s="2418"/>
      <c r="M383" s="2418"/>
    </row>
    <row r="384" spans="1:15" x14ac:dyDescent="0.4">
      <c r="G384" s="2441" t="s">
        <v>1269</v>
      </c>
      <c r="H384" s="2441" t="s">
        <v>1269</v>
      </c>
      <c r="I384" s="2418" t="s">
        <v>1269</v>
      </c>
      <c r="J384" s="2418"/>
      <c r="K384" s="2418"/>
      <c r="L384" s="2418"/>
      <c r="M384" s="2418"/>
    </row>
    <row r="385" spans="1:15" x14ac:dyDescent="0.4">
      <c r="G385" s="2441" t="s">
        <v>1269</v>
      </c>
      <c r="H385" s="2441" t="s">
        <v>1269</v>
      </c>
      <c r="I385" s="2418" t="s">
        <v>1269</v>
      </c>
      <c r="J385" s="2418"/>
      <c r="K385" s="2418"/>
      <c r="L385" s="2418"/>
      <c r="M385" s="2418"/>
    </row>
    <row r="386" spans="1:15" x14ac:dyDescent="0.4">
      <c r="G386" s="2441" t="s">
        <v>1269</v>
      </c>
      <c r="H386" s="2441" t="s">
        <v>1269</v>
      </c>
      <c r="I386" s="2418" t="s">
        <v>1269</v>
      </c>
      <c r="J386" s="2418"/>
      <c r="K386" s="2418"/>
      <c r="L386" s="2418"/>
      <c r="M386" s="2418"/>
    </row>
    <row r="387" spans="1:15" x14ac:dyDescent="0.4">
      <c r="G387" s="2441" t="s">
        <v>1269</v>
      </c>
      <c r="H387" s="2441" t="s">
        <v>1269</v>
      </c>
      <c r="I387" s="2418" t="s">
        <v>1269</v>
      </c>
      <c r="J387" s="2418"/>
      <c r="K387" s="2418"/>
      <c r="L387" s="2418"/>
      <c r="M387" s="2418"/>
    </row>
    <row r="388" spans="1:15" x14ac:dyDescent="0.4">
      <c r="A388" s="2444"/>
      <c r="B388" s="2444"/>
      <c r="C388" s="2445"/>
      <c r="D388" s="2444"/>
      <c r="E388" s="2444"/>
      <c r="F388" s="2444"/>
      <c r="G388" s="2441" t="s">
        <v>1269</v>
      </c>
      <c r="H388" s="2441" t="s">
        <v>1269</v>
      </c>
      <c r="I388" s="2418" t="s">
        <v>1269</v>
      </c>
      <c r="J388" s="2441"/>
      <c r="K388" s="2441"/>
      <c r="L388" s="2441"/>
      <c r="M388" s="2441"/>
      <c r="N388" s="2386"/>
      <c r="O388" s="2386"/>
    </row>
    <row r="389" spans="1:15" x14ac:dyDescent="0.4">
      <c r="A389" s="2444"/>
      <c r="B389" s="2444"/>
      <c r="C389" s="2445"/>
      <c r="D389" s="2444"/>
      <c r="E389" s="2444"/>
      <c r="F389" s="2444"/>
      <c r="G389" s="2441" t="s">
        <v>1269</v>
      </c>
      <c r="H389" s="2441" t="s">
        <v>1269</v>
      </c>
      <c r="I389" s="2418" t="s">
        <v>1269</v>
      </c>
      <c r="J389" s="2441"/>
      <c r="K389" s="2441"/>
      <c r="L389" s="2441"/>
      <c r="M389" s="2441"/>
      <c r="N389" s="2386"/>
      <c r="O389" s="2386"/>
    </row>
    <row r="390" spans="1:15" x14ac:dyDescent="0.4">
      <c r="A390" s="2444"/>
      <c r="B390" s="2444"/>
      <c r="C390" s="2445"/>
      <c r="D390" s="2444"/>
      <c r="E390" s="2444"/>
      <c r="F390" s="2444"/>
      <c r="G390" s="2441" t="s">
        <v>1269</v>
      </c>
      <c r="H390" s="2441" t="s">
        <v>1269</v>
      </c>
      <c r="I390" s="2418" t="s">
        <v>1269</v>
      </c>
      <c r="J390" s="2441"/>
      <c r="K390" s="2441"/>
      <c r="L390" s="2441"/>
      <c r="M390" s="2441"/>
      <c r="N390" s="2386"/>
      <c r="O390" s="2386"/>
    </row>
    <row r="391" spans="1:15" x14ac:dyDescent="0.4">
      <c r="A391" s="2444"/>
      <c r="B391" s="2444"/>
      <c r="C391" s="2445"/>
      <c r="D391" s="2444"/>
      <c r="E391" s="2444"/>
      <c r="F391" s="2444"/>
      <c r="G391" s="2441" t="s">
        <v>1269</v>
      </c>
      <c r="H391" s="2441" t="s">
        <v>1269</v>
      </c>
      <c r="I391" s="2418" t="s">
        <v>1269</v>
      </c>
      <c r="J391" s="2441"/>
      <c r="K391" s="2441"/>
      <c r="L391" s="2441"/>
      <c r="M391" s="2441"/>
      <c r="N391" s="2386"/>
      <c r="O391" s="2386"/>
    </row>
    <row r="392" spans="1:15" x14ac:dyDescent="0.4">
      <c r="A392" s="2444"/>
      <c r="B392" s="2444"/>
      <c r="C392" s="2445"/>
      <c r="D392" s="2444"/>
      <c r="E392" s="2444"/>
      <c r="F392" s="2444"/>
      <c r="G392" s="2441" t="s">
        <v>1269</v>
      </c>
      <c r="H392" s="2441" t="s">
        <v>1269</v>
      </c>
      <c r="I392" s="2418" t="s">
        <v>1269</v>
      </c>
      <c r="J392" s="2441"/>
      <c r="K392" s="2441"/>
      <c r="L392" s="2441"/>
      <c r="M392" s="2441"/>
      <c r="N392" s="2386"/>
      <c r="O392" s="2386"/>
    </row>
    <row r="393" spans="1:15" x14ac:dyDescent="0.4">
      <c r="A393" s="2444"/>
      <c r="B393" s="2444"/>
      <c r="C393" s="2445"/>
      <c r="D393" s="2444"/>
      <c r="E393" s="2444"/>
      <c r="F393" s="2444"/>
      <c r="G393" s="2441" t="s">
        <v>1269</v>
      </c>
      <c r="H393" s="2441" t="s">
        <v>1269</v>
      </c>
      <c r="I393" s="2418" t="s">
        <v>1269</v>
      </c>
      <c r="J393" s="2441"/>
      <c r="K393" s="2441"/>
      <c r="L393" s="2441"/>
      <c r="M393" s="2441"/>
      <c r="N393" s="2386"/>
      <c r="O393" s="2386"/>
    </row>
    <row r="394" spans="1:15" x14ac:dyDescent="0.4">
      <c r="A394" s="2444"/>
      <c r="B394" s="2444"/>
      <c r="C394" s="2445"/>
      <c r="D394" s="2444"/>
      <c r="E394" s="2444"/>
      <c r="F394" s="2444"/>
      <c r="G394" s="2441" t="s">
        <v>1269</v>
      </c>
      <c r="H394" s="2441" t="s">
        <v>1269</v>
      </c>
      <c r="I394" s="2418" t="s">
        <v>1269</v>
      </c>
      <c r="J394" s="2441"/>
      <c r="K394" s="2441"/>
      <c r="L394" s="2441"/>
      <c r="M394" s="2441"/>
      <c r="N394" s="2386"/>
      <c r="O394" s="2386"/>
    </row>
    <row r="395" spans="1:15" x14ac:dyDescent="0.4">
      <c r="A395" s="2444"/>
      <c r="B395" s="2444"/>
      <c r="C395" s="2445"/>
      <c r="D395" s="2444"/>
      <c r="E395" s="2444"/>
      <c r="F395" s="2444"/>
      <c r="G395" s="2441" t="s">
        <v>1269</v>
      </c>
      <c r="H395" s="2441" t="s">
        <v>1269</v>
      </c>
      <c r="I395" s="2418" t="s">
        <v>1269</v>
      </c>
      <c r="J395" s="2441"/>
      <c r="K395" s="2441"/>
      <c r="L395" s="2441"/>
      <c r="M395" s="2441"/>
      <c r="N395" s="2386"/>
      <c r="O395" s="2386"/>
    </row>
    <row r="396" spans="1:15" x14ac:dyDescent="0.4">
      <c r="A396" s="2444"/>
      <c r="B396" s="2444"/>
      <c r="C396" s="2445"/>
      <c r="D396" s="2444"/>
      <c r="E396" s="2444"/>
      <c r="F396" s="2444"/>
      <c r="G396" s="2441" t="s">
        <v>1269</v>
      </c>
      <c r="H396" s="2441" t="s">
        <v>1269</v>
      </c>
      <c r="I396" s="2418" t="s">
        <v>1269</v>
      </c>
      <c r="J396" s="2441"/>
      <c r="K396" s="2441"/>
      <c r="L396" s="2441"/>
      <c r="M396" s="2441"/>
      <c r="N396" s="2386"/>
      <c r="O396" s="2386"/>
    </row>
    <row r="397" spans="1:15" x14ac:dyDescent="0.4">
      <c r="A397" s="2444"/>
      <c r="B397" s="2444"/>
      <c r="C397" s="2445"/>
      <c r="D397" s="2444"/>
      <c r="E397" s="2444"/>
      <c r="F397" s="2444"/>
      <c r="G397" s="2441" t="s">
        <v>1269</v>
      </c>
      <c r="H397" s="2441" t="s">
        <v>1269</v>
      </c>
      <c r="I397" s="2418" t="s">
        <v>1269</v>
      </c>
      <c r="J397" s="2441"/>
      <c r="K397" s="2441"/>
      <c r="L397" s="2441"/>
      <c r="M397" s="2441"/>
      <c r="N397" s="2386"/>
      <c r="O397" s="2386"/>
    </row>
    <row r="398" spans="1:15" x14ac:dyDescent="0.4">
      <c r="A398" s="2444"/>
      <c r="B398" s="2444"/>
      <c r="C398" s="2445"/>
      <c r="D398" s="2444"/>
      <c r="E398" s="2444"/>
      <c r="F398" s="2444"/>
      <c r="G398" s="2441" t="s">
        <v>1269</v>
      </c>
      <c r="H398" s="2441" t="s">
        <v>1269</v>
      </c>
      <c r="I398" s="2418" t="s">
        <v>1269</v>
      </c>
      <c r="J398" s="2441"/>
      <c r="K398" s="2441"/>
      <c r="L398" s="2441"/>
      <c r="M398" s="2441"/>
      <c r="N398" s="2386"/>
      <c r="O398" s="2386"/>
    </row>
    <row r="399" spans="1:15" x14ac:dyDescent="0.4">
      <c r="A399" s="2444"/>
      <c r="B399" s="2444"/>
      <c r="C399" s="2445"/>
      <c r="D399" s="2444"/>
      <c r="E399" s="2444"/>
      <c r="F399" s="2444"/>
      <c r="G399" s="2441" t="s">
        <v>1269</v>
      </c>
      <c r="H399" s="2441" t="s">
        <v>1269</v>
      </c>
      <c r="I399" s="2418" t="s">
        <v>1269</v>
      </c>
      <c r="J399" s="2441"/>
      <c r="K399" s="2441"/>
      <c r="L399" s="2441"/>
      <c r="M399" s="2441"/>
      <c r="N399" s="2386"/>
      <c r="O399" s="2386"/>
    </row>
    <row r="400" spans="1:15" x14ac:dyDescent="0.4">
      <c r="A400" s="2444"/>
      <c r="B400" s="2444"/>
      <c r="C400" s="2445"/>
      <c r="D400" s="2444"/>
      <c r="E400" s="2444"/>
      <c r="F400" s="2444"/>
      <c r="G400" s="2441" t="s">
        <v>1269</v>
      </c>
      <c r="H400" s="2441" t="s">
        <v>1269</v>
      </c>
      <c r="I400" s="2418" t="s">
        <v>1269</v>
      </c>
      <c r="J400" s="2441"/>
      <c r="K400" s="2441"/>
      <c r="L400" s="2441"/>
      <c r="M400" s="2441"/>
      <c r="N400" s="2386"/>
      <c r="O400" s="2386"/>
    </row>
    <row r="401" spans="1:15" x14ac:dyDescent="0.4">
      <c r="A401" s="2444"/>
      <c r="B401" s="2444"/>
      <c r="C401" s="2445"/>
      <c r="D401" s="2444"/>
      <c r="E401" s="2444"/>
      <c r="F401" s="2444"/>
      <c r="G401" s="2441" t="s">
        <v>1269</v>
      </c>
      <c r="H401" s="2441" t="s">
        <v>1269</v>
      </c>
      <c r="I401" s="2418" t="s">
        <v>1269</v>
      </c>
      <c r="J401" s="2441"/>
      <c r="K401" s="2441"/>
      <c r="L401" s="2441"/>
      <c r="M401" s="2441"/>
      <c r="N401" s="2386"/>
      <c r="O401" s="2386"/>
    </row>
    <row r="402" spans="1:15" x14ac:dyDescent="0.4">
      <c r="A402" s="2444"/>
      <c r="B402" s="2444"/>
      <c r="C402" s="2445"/>
      <c r="D402" s="2444"/>
      <c r="E402" s="2444"/>
      <c r="F402" s="2444"/>
      <c r="G402" s="2441" t="s">
        <v>1269</v>
      </c>
      <c r="H402" s="2441" t="s">
        <v>1269</v>
      </c>
      <c r="I402" s="2418" t="s">
        <v>1269</v>
      </c>
      <c r="J402" s="2441"/>
      <c r="K402" s="2441"/>
      <c r="L402" s="2441"/>
      <c r="M402" s="2441"/>
      <c r="N402" s="2386"/>
      <c r="O402" s="2386"/>
    </row>
    <row r="403" spans="1:15" x14ac:dyDescent="0.4">
      <c r="A403" s="2444"/>
      <c r="B403" s="2444"/>
      <c r="C403" s="2445"/>
      <c r="D403" s="2444"/>
      <c r="E403" s="2444"/>
      <c r="F403" s="2444"/>
      <c r="G403" s="2441" t="s">
        <v>1269</v>
      </c>
      <c r="H403" s="2441" t="s">
        <v>1269</v>
      </c>
      <c r="I403" s="2418" t="s">
        <v>1269</v>
      </c>
      <c r="J403" s="2441"/>
      <c r="K403" s="2441"/>
      <c r="L403" s="2441"/>
      <c r="M403" s="2441"/>
      <c r="N403" s="2386"/>
      <c r="O403" s="2386"/>
    </row>
    <row r="404" spans="1:15" x14ac:dyDescent="0.4">
      <c r="A404" s="2444"/>
      <c r="B404" s="2444"/>
      <c r="C404" s="2445"/>
      <c r="D404" s="2444"/>
      <c r="E404" s="2444"/>
      <c r="F404" s="2444"/>
      <c r="G404" s="2441" t="s">
        <v>1269</v>
      </c>
      <c r="H404" s="2441" t="s">
        <v>1269</v>
      </c>
      <c r="I404" s="2418" t="s">
        <v>1269</v>
      </c>
      <c r="J404" s="2441"/>
      <c r="K404" s="2441"/>
      <c r="L404" s="2441"/>
      <c r="M404" s="2441"/>
      <c r="N404" s="2386"/>
      <c r="O404" s="2386"/>
    </row>
    <row r="405" spans="1:15" x14ac:dyDescent="0.4">
      <c r="A405" s="2444"/>
      <c r="B405" s="2444"/>
      <c r="C405" s="2445"/>
      <c r="D405" s="2444"/>
      <c r="E405" s="2444"/>
      <c r="F405" s="2444"/>
      <c r="G405" s="2441" t="s">
        <v>1269</v>
      </c>
      <c r="H405" s="2441" t="s">
        <v>1269</v>
      </c>
      <c r="I405" s="2418" t="s">
        <v>1269</v>
      </c>
      <c r="J405" s="2441"/>
      <c r="K405" s="2441"/>
      <c r="L405" s="2441"/>
      <c r="M405" s="2441"/>
      <c r="N405" s="2386"/>
      <c r="O405" s="2386"/>
    </row>
    <row r="406" spans="1:15" x14ac:dyDescent="0.4">
      <c r="A406" s="2444"/>
      <c r="B406" s="2444"/>
      <c r="C406" s="2445"/>
      <c r="D406" s="2444"/>
      <c r="E406" s="2444"/>
      <c r="F406" s="2444"/>
      <c r="G406" s="2441" t="s">
        <v>1269</v>
      </c>
      <c r="H406" s="2441" t="s">
        <v>1269</v>
      </c>
      <c r="I406" s="2418" t="s">
        <v>1269</v>
      </c>
      <c r="J406" s="2441"/>
      <c r="K406" s="2441"/>
      <c r="L406" s="2441"/>
      <c r="M406" s="2441"/>
      <c r="N406" s="2386"/>
      <c r="O406" s="2386"/>
    </row>
    <row r="407" spans="1:15" x14ac:dyDescent="0.4">
      <c r="A407" s="2444"/>
      <c r="B407" s="2444"/>
      <c r="C407" s="2445"/>
      <c r="D407" s="2444"/>
      <c r="E407" s="2444"/>
      <c r="F407" s="2444"/>
      <c r="G407" s="2441" t="s">
        <v>1269</v>
      </c>
      <c r="H407" s="2441" t="s">
        <v>1269</v>
      </c>
      <c r="I407" s="2418" t="s">
        <v>1269</v>
      </c>
      <c r="J407" s="2441"/>
      <c r="K407" s="2441"/>
      <c r="L407" s="2441"/>
      <c r="M407" s="2441"/>
      <c r="N407" s="2386"/>
      <c r="O407" s="2386"/>
    </row>
    <row r="408" spans="1:15" x14ac:dyDescent="0.4">
      <c r="A408" s="2444"/>
      <c r="B408" s="2444"/>
      <c r="C408" s="2445"/>
      <c r="D408" s="2444"/>
      <c r="E408" s="2444"/>
      <c r="F408" s="2444"/>
      <c r="G408" s="2441" t="s">
        <v>1269</v>
      </c>
      <c r="H408" s="2441" t="s">
        <v>1269</v>
      </c>
      <c r="I408" s="2418" t="s">
        <v>1269</v>
      </c>
      <c r="J408" s="2441"/>
      <c r="K408" s="2441"/>
      <c r="L408" s="2441"/>
      <c r="M408" s="2441"/>
      <c r="N408" s="2386"/>
      <c r="O408" s="2386"/>
    </row>
    <row r="409" spans="1:15" x14ac:dyDescent="0.4">
      <c r="A409" s="2444"/>
      <c r="B409" s="2444"/>
      <c r="C409" s="2445"/>
      <c r="D409" s="2444"/>
      <c r="E409" s="2444"/>
      <c r="F409" s="2444"/>
      <c r="G409" s="2441" t="s">
        <v>1269</v>
      </c>
      <c r="H409" s="2441" t="s">
        <v>1269</v>
      </c>
      <c r="I409" s="2418" t="s">
        <v>1269</v>
      </c>
      <c r="J409" s="2441"/>
      <c r="K409" s="2441"/>
      <c r="L409" s="2441"/>
      <c r="M409" s="2441"/>
      <c r="N409" s="2386"/>
      <c r="O409" s="2386"/>
    </row>
    <row r="410" spans="1:15" x14ac:dyDescent="0.4">
      <c r="A410" s="2444"/>
      <c r="B410" s="2444"/>
      <c r="C410" s="2445"/>
      <c r="D410" s="2444"/>
      <c r="E410" s="2444"/>
      <c r="F410" s="2444"/>
      <c r="G410" s="2441" t="s">
        <v>1269</v>
      </c>
      <c r="H410" s="2441" t="s">
        <v>1269</v>
      </c>
      <c r="I410" s="2418" t="s">
        <v>1269</v>
      </c>
      <c r="J410" s="2441"/>
      <c r="K410" s="2441"/>
      <c r="L410" s="2441"/>
      <c r="M410" s="2441"/>
      <c r="N410" s="2386"/>
      <c r="O410" s="2386"/>
    </row>
    <row r="411" spans="1:15" x14ac:dyDescent="0.4">
      <c r="A411" s="2444"/>
      <c r="B411" s="2444"/>
      <c r="C411" s="2445"/>
      <c r="D411" s="2444"/>
      <c r="E411" s="2444"/>
      <c r="F411" s="2444"/>
      <c r="G411" s="2441" t="s">
        <v>1269</v>
      </c>
      <c r="H411" s="2441" t="s">
        <v>1269</v>
      </c>
      <c r="I411" s="2418" t="s">
        <v>1269</v>
      </c>
      <c r="J411" s="2441"/>
      <c r="K411" s="2441"/>
      <c r="L411" s="2441"/>
      <c r="M411" s="2441"/>
      <c r="N411" s="2386"/>
      <c r="O411" s="2386"/>
    </row>
    <row r="412" spans="1:15" x14ac:dyDescent="0.4">
      <c r="A412" s="2444"/>
      <c r="B412" s="2444"/>
      <c r="C412" s="2445"/>
      <c r="D412" s="2444"/>
      <c r="E412" s="2444"/>
      <c r="F412" s="2444"/>
      <c r="G412" s="2441" t="s">
        <v>1269</v>
      </c>
      <c r="H412" s="2441" t="s">
        <v>1269</v>
      </c>
      <c r="I412" s="2418" t="s">
        <v>1269</v>
      </c>
      <c r="J412" s="2441"/>
      <c r="K412" s="2441"/>
      <c r="L412" s="2441"/>
      <c r="M412" s="2441"/>
      <c r="N412" s="2386"/>
      <c r="O412" s="2386"/>
    </row>
    <row r="413" spans="1:15" x14ac:dyDescent="0.4">
      <c r="A413" s="2444"/>
      <c r="B413" s="2444"/>
      <c r="C413" s="2445"/>
      <c r="D413" s="2444"/>
      <c r="E413" s="2444"/>
      <c r="F413" s="2444"/>
      <c r="G413" s="2441" t="s">
        <v>1269</v>
      </c>
      <c r="H413" s="2441" t="s">
        <v>1269</v>
      </c>
      <c r="I413" s="2418" t="s">
        <v>1269</v>
      </c>
      <c r="J413" s="2441"/>
      <c r="K413" s="2441"/>
      <c r="L413" s="2441"/>
      <c r="M413" s="2441"/>
      <c r="N413" s="2386"/>
      <c r="O413" s="2386"/>
    </row>
    <row r="414" spans="1:15" x14ac:dyDescent="0.4">
      <c r="A414" s="2444"/>
      <c r="B414" s="2444"/>
      <c r="C414" s="2445"/>
      <c r="D414" s="2444"/>
      <c r="E414" s="2444"/>
      <c r="F414" s="2444"/>
      <c r="G414" s="2441" t="s">
        <v>1269</v>
      </c>
      <c r="H414" s="2441" t="s">
        <v>1269</v>
      </c>
      <c r="I414" s="2418" t="s">
        <v>1269</v>
      </c>
      <c r="J414" s="2441"/>
      <c r="K414" s="2441"/>
      <c r="L414" s="2441"/>
      <c r="M414" s="2441"/>
      <c r="N414" s="2386"/>
      <c r="O414" s="2386"/>
    </row>
    <row r="415" spans="1:15" x14ac:dyDescent="0.4">
      <c r="A415" s="2444"/>
      <c r="B415" s="2444"/>
      <c r="C415" s="2445"/>
      <c r="D415" s="2444"/>
      <c r="E415" s="2444"/>
      <c r="F415" s="2444"/>
      <c r="G415" s="2441" t="s">
        <v>1269</v>
      </c>
      <c r="H415" s="2441" t="s">
        <v>1269</v>
      </c>
      <c r="I415" s="2418" t="s">
        <v>1269</v>
      </c>
      <c r="J415" s="2441"/>
      <c r="K415" s="2441"/>
      <c r="L415" s="2441"/>
      <c r="M415" s="2441"/>
      <c r="N415" s="2386"/>
      <c r="O415" s="2386"/>
    </row>
    <row r="416" spans="1:15" x14ac:dyDescent="0.4">
      <c r="A416" s="2444"/>
      <c r="B416" s="2444"/>
      <c r="C416" s="2445"/>
      <c r="D416" s="2444"/>
      <c r="E416" s="2444"/>
      <c r="F416" s="2444"/>
      <c r="G416" s="2441" t="s">
        <v>1269</v>
      </c>
      <c r="H416" s="2441" t="s">
        <v>1269</v>
      </c>
      <c r="I416" s="2418" t="s">
        <v>1269</v>
      </c>
      <c r="J416" s="2441"/>
      <c r="K416" s="2441"/>
      <c r="L416" s="2441"/>
      <c r="M416" s="2441"/>
      <c r="N416" s="2386"/>
      <c r="O416" s="2386"/>
    </row>
    <row r="417" spans="1:15" x14ac:dyDescent="0.4">
      <c r="A417" s="2444"/>
      <c r="B417" s="2444"/>
      <c r="C417" s="2445"/>
      <c r="D417" s="2444"/>
      <c r="E417" s="2444"/>
      <c r="F417" s="2444"/>
      <c r="G417" s="2441" t="s">
        <v>1269</v>
      </c>
      <c r="H417" s="2441" t="s">
        <v>1269</v>
      </c>
      <c r="I417" s="2418" t="s">
        <v>1269</v>
      </c>
      <c r="J417" s="2441"/>
      <c r="K417" s="2441"/>
      <c r="L417" s="2441"/>
      <c r="M417" s="2441"/>
      <c r="N417" s="2386"/>
      <c r="O417" s="2386"/>
    </row>
    <row r="418" spans="1:15" x14ac:dyDescent="0.4">
      <c r="A418" s="2444"/>
      <c r="B418" s="2444"/>
      <c r="C418" s="2445"/>
      <c r="D418" s="2444"/>
      <c r="E418" s="2444"/>
      <c r="F418" s="2444"/>
      <c r="G418" s="2441" t="s">
        <v>1269</v>
      </c>
      <c r="H418" s="2441" t="s">
        <v>1269</v>
      </c>
      <c r="I418" s="2418" t="s">
        <v>1269</v>
      </c>
      <c r="J418" s="2441"/>
      <c r="K418" s="2441"/>
      <c r="L418" s="2441"/>
      <c r="M418" s="2441"/>
      <c r="N418" s="2386"/>
      <c r="O418" s="2386"/>
    </row>
    <row r="419" spans="1:15" x14ac:dyDescent="0.4">
      <c r="A419" s="2444"/>
      <c r="B419" s="2444"/>
      <c r="C419" s="2445"/>
      <c r="D419" s="2444"/>
      <c r="E419" s="2444"/>
      <c r="F419" s="2444"/>
      <c r="G419" s="2441" t="s">
        <v>1269</v>
      </c>
      <c r="H419" s="2441" t="s">
        <v>1269</v>
      </c>
      <c r="I419" s="2418" t="s">
        <v>1269</v>
      </c>
      <c r="J419" s="2441"/>
      <c r="K419" s="2441"/>
      <c r="L419" s="2441"/>
      <c r="M419" s="2441"/>
      <c r="N419" s="2386"/>
      <c r="O419" s="2386"/>
    </row>
    <row r="420" spans="1:15" x14ac:dyDescent="0.4">
      <c r="A420" s="2444"/>
      <c r="B420" s="2444"/>
      <c r="C420" s="2445"/>
      <c r="D420" s="2444"/>
      <c r="E420" s="2444"/>
      <c r="F420" s="2444"/>
      <c r="G420" s="2441" t="s">
        <v>1269</v>
      </c>
      <c r="H420" s="2441" t="s">
        <v>1269</v>
      </c>
      <c r="I420" s="2418" t="s">
        <v>1269</v>
      </c>
      <c r="J420" s="2441"/>
      <c r="K420" s="2441"/>
      <c r="L420" s="2441"/>
      <c r="M420" s="2441"/>
      <c r="N420" s="2386"/>
      <c r="O420" s="2386"/>
    </row>
    <row r="421" spans="1:15" x14ac:dyDescent="0.4">
      <c r="A421" s="2444"/>
      <c r="B421" s="2444"/>
      <c r="C421" s="2445"/>
      <c r="D421" s="2444"/>
      <c r="E421" s="2444"/>
      <c r="F421" s="2444"/>
      <c r="G421" s="2441" t="s">
        <v>1269</v>
      </c>
      <c r="H421" s="2441" t="s">
        <v>1269</v>
      </c>
      <c r="I421" s="2418" t="s">
        <v>1269</v>
      </c>
      <c r="J421" s="2441"/>
      <c r="K421" s="2441"/>
      <c r="L421" s="2441"/>
      <c r="M421" s="2441"/>
      <c r="N421" s="2386"/>
      <c r="O421" s="2386"/>
    </row>
    <row r="422" spans="1:15" x14ac:dyDescent="0.4">
      <c r="A422" s="2444"/>
      <c r="B422" s="2444"/>
      <c r="C422" s="2445"/>
      <c r="D422" s="2444"/>
      <c r="E422" s="2444"/>
      <c r="F422" s="2444"/>
      <c r="G422" s="2441" t="s">
        <v>1269</v>
      </c>
      <c r="H422" s="2441" t="s">
        <v>1269</v>
      </c>
      <c r="I422" s="2418" t="s">
        <v>1269</v>
      </c>
      <c r="J422" s="2441"/>
      <c r="K422" s="2441"/>
      <c r="L422" s="2441"/>
      <c r="M422" s="2441"/>
      <c r="N422" s="2386"/>
      <c r="O422" s="2386"/>
    </row>
    <row r="423" spans="1:15" x14ac:dyDescent="0.4">
      <c r="A423" s="2444"/>
      <c r="B423" s="2444"/>
      <c r="C423" s="2445"/>
      <c r="D423" s="2444"/>
      <c r="E423" s="2444"/>
      <c r="F423" s="2444"/>
      <c r="G423" s="2441" t="s">
        <v>1269</v>
      </c>
      <c r="H423" s="2441" t="s">
        <v>1269</v>
      </c>
      <c r="I423" s="2418" t="s">
        <v>1269</v>
      </c>
      <c r="J423" s="2441"/>
      <c r="K423" s="2441"/>
      <c r="L423" s="2441"/>
      <c r="M423" s="2441"/>
      <c r="N423" s="2386"/>
      <c r="O423" s="2386"/>
    </row>
    <row r="424" spans="1:15" x14ac:dyDescent="0.4">
      <c r="A424" s="2444"/>
      <c r="B424" s="2444"/>
      <c r="C424" s="2445"/>
      <c r="D424" s="2444"/>
      <c r="E424" s="2444"/>
      <c r="F424" s="2444"/>
      <c r="G424" s="2441" t="s">
        <v>1269</v>
      </c>
      <c r="H424" s="2441" t="s">
        <v>1269</v>
      </c>
      <c r="I424" s="2418" t="s">
        <v>1269</v>
      </c>
      <c r="J424" s="2441"/>
      <c r="K424" s="2441"/>
      <c r="L424" s="2441"/>
      <c r="M424" s="2441"/>
      <c r="N424" s="2386"/>
      <c r="O424" s="2386"/>
    </row>
    <row r="425" spans="1:15" x14ac:dyDescent="0.4">
      <c r="A425" s="2444"/>
      <c r="B425" s="2444"/>
      <c r="C425" s="2445"/>
      <c r="D425" s="2444"/>
      <c r="E425" s="2444"/>
      <c r="F425" s="2444"/>
      <c r="G425" s="2441" t="s">
        <v>1269</v>
      </c>
      <c r="H425" s="2441" t="s">
        <v>1269</v>
      </c>
      <c r="I425" s="2418" t="s">
        <v>1269</v>
      </c>
      <c r="J425" s="2441"/>
      <c r="K425" s="2441"/>
      <c r="L425" s="2441"/>
      <c r="M425" s="2441"/>
      <c r="N425" s="2386"/>
      <c r="O425" s="2386"/>
    </row>
    <row r="426" spans="1:15" x14ac:dyDescent="0.4">
      <c r="A426" s="2444"/>
      <c r="B426" s="2444"/>
      <c r="C426" s="2445"/>
      <c r="D426" s="2444"/>
      <c r="E426" s="2444"/>
      <c r="F426" s="2444"/>
      <c r="G426" s="2441" t="s">
        <v>1269</v>
      </c>
      <c r="H426" s="2441" t="s">
        <v>1269</v>
      </c>
      <c r="I426" s="2418" t="s">
        <v>1269</v>
      </c>
      <c r="J426" s="2441"/>
      <c r="K426" s="2441"/>
      <c r="L426" s="2441"/>
      <c r="M426" s="2441"/>
      <c r="N426" s="2386"/>
      <c r="O426" s="2386"/>
    </row>
    <row r="427" spans="1:15" x14ac:dyDescent="0.4">
      <c r="A427" s="2444"/>
      <c r="B427" s="2444"/>
      <c r="C427" s="2445"/>
      <c r="D427" s="2444"/>
      <c r="E427" s="2444"/>
      <c r="F427" s="2444"/>
      <c r="G427" s="2441" t="s">
        <v>1269</v>
      </c>
      <c r="H427" s="2441" t="s">
        <v>1269</v>
      </c>
      <c r="I427" s="2418" t="s">
        <v>1269</v>
      </c>
      <c r="J427" s="2441"/>
      <c r="K427" s="2441"/>
      <c r="L427" s="2441"/>
      <c r="M427" s="2441"/>
      <c r="N427" s="2386"/>
      <c r="O427" s="2386"/>
    </row>
    <row r="428" spans="1:15" x14ac:dyDescent="0.4">
      <c r="A428" s="2444"/>
      <c r="B428" s="2444"/>
      <c r="C428" s="2445"/>
      <c r="D428" s="2444"/>
      <c r="E428" s="2444"/>
      <c r="F428" s="2444"/>
      <c r="G428" s="2441" t="s">
        <v>1269</v>
      </c>
      <c r="H428" s="2441" t="s">
        <v>1269</v>
      </c>
      <c r="I428" s="2418" t="s">
        <v>1269</v>
      </c>
      <c r="J428" s="2441"/>
      <c r="K428" s="2441"/>
      <c r="L428" s="2441"/>
      <c r="M428" s="2441"/>
      <c r="N428" s="2386"/>
      <c r="O428" s="2386"/>
    </row>
    <row r="429" spans="1:15" x14ac:dyDescent="0.4">
      <c r="A429" s="2444"/>
      <c r="B429" s="2444"/>
      <c r="C429" s="2445"/>
      <c r="D429" s="2444"/>
      <c r="E429" s="2444"/>
      <c r="F429" s="2444"/>
      <c r="G429" s="2441" t="s">
        <v>1269</v>
      </c>
      <c r="H429" s="2441" t="s">
        <v>1269</v>
      </c>
      <c r="I429" s="2418" t="s">
        <v>1269</v>
      </c>
      <c r="J429" s="2441"/>
      <c r="K429" s="2441"/>
      <c r="L429" s="2441"/>
      <c r="M429" s="2441"/>
      <c r="N429" s="2386"/>
      <c r="O429" s="2386"/>
    </row>
    <row r="430" spans="1:15" x14ac:dyDescent="0.4">
      <c r="A430" s="2444"/>
      <c r="B430" s="2444"/>
      <c r="C430" s="2445"/>
      <c r="D430" s="2444"/>
      <c r="E430" s="2444"/>
      <c r="F430" s="2444"/>
      <c r="G430" s="2441" t="s">
        <v>1269</v>
      </c>
      <c r="H430" s="2441" t="s">
        <v>1269</v>
      </c>
      <c r="I430" s="2418" t="s">
        <v>1269</v>
      </c>
      <c r="J430" s="2441"/>
      <c r="K430" s="2441"/>
      <c r="L430" s="2441"/>
      <c r="M430" s="2441"/>
      <c r="N430" s="2386"/>
      <c r="O430" s="2386"/>
    </row>
    <row r="431" spans="1:15" x14ac:dyDescent="0.4">
      <c r="A431" s="2444"/>
      <c r="B431" s="2444"/>
      <c r="C431" s="2445"/>
      <c r="D431" s="2444"/>
      <c r="E431" s="2444"/>
      <c r="F431" s="2444"/>
      <c r="G431" s="2441" t="s">
        <v>1269</v>
      </c>
      <c r="H431" s="2441" t="s">
        <v>1269</v>
      </c>
      <c r="I431" s="2418" t="s">
        <v>1269</v>
      </c>
      <c r="J431" s="2441"/>
      <c r="K431" s="2441"/>
      <c r="L431" s="2441"/>
      <c r="M431" s="2441"/>
      <c r="N431" s="2386"/>
      <c r="O431" s="2386"/>
    </row>
    <row r="432" spans="1:15" x14ac:dyDescent="0.4">
      <c r="A432" s="2444"/>
      <c r="B432" s="2444"/>
      <c r="C432" s="2445"/>
      <c r="D432" s="2444"/>
      <c r="E432" s="2444"/>
      <c r="F432" s="2444"/>
      <c r="G432" s="2441" t="s">
        <v>1269</v>
      </c>
      <c r="H432" s="2441" t="s">
        <v>1269</v>
      </c>
      <c r="I432" s="2418" t="s">
        <v>1269</v>
      </c>
      <c r="J432" s="2441"/>
      <c r="K432" s="2441"/>
      <c r="L432" s="2441"/>
      <c r="M432" s="2441"/>
      <c r="N432" s="2386"/>
      <c r="O432" s="2386"/>
    </row>
    <row r="433" spans="1:15" x14ac:dyDescent="0.4">
      <c r="A433" s="2444"/>
      <c r="B433" s="2444"/>
      <c r="C433" s="2445"/>
      <c r="D433" s="2444"/>
      <c r="E433" s="2444"/>
      <c r="F433" s="2444"/>
      <c r="G433" s="2441" t="s">
        <v>1269</v>
      </c>
      <c r="H433" s="2441" t="s">
        <v>1269</v>
      </c>
      <c r="I433" s="2418" t="s">
        <v>1269</v>
      </c>
      <c r="J433" s="2441"/>
      <c r="K433" s="2441"/>
      <c r="L433" s="2441"/>
      <c r="M433" s="2441"/>
      <c r="N433" s="2386"/>
      <c r="O433" s="2386"/>
    </row>
    <row r="434" spans="1:15" x14ac:dyDescent="0.4">
      <c r="A434" s="2444"/>
      <c r="B434" s="2444"/>
      <c r="C434" s="2445"/>
      <c r="D434" s="2444"/>
      <c r="E434" s="2444"/>
      <c r="F434" s="2444"/>
      <c r="G434" s="2441" t="s">
        <v>1269</v>
      </c>
      <c r="H434" s="2441" t="s">
        <v>1269</v>
      </c>
      <c r="I434" s="2418" t="s">
        <v>1269</v>
      </c>
      <c r="J434" s="2441"/>
      <c r="K434" s="2441"/>
      <c r="L434" s="2441"/>
      <c r="M434" s="2441"/>
      <c r="N434" s="2386"/>
      <c r="O434" s="2386"/>
    </row>
    <row r="435" spans="1:15" x14ac:dyDescent="0.4">
      <c r="A435" s="2444"/>
      <c r="B435" s="2444"/>
      <c r="C435" s="2445"/>
      <c r="D435" s="2444"/>
      <c r="E435" s="2444"/>
      <c r="F435" s="2444"/>
      <c r="G435" s="2441" t="s">
        <v>1269</v>
      </c>
      <c r="H435" s="2441" t="s">
        <v>1269</v>
      </c>
      <c r="I435" s="2418" t="s">
        <v>1269</v>
      </c>
      <c r="J435" s="2441"/>
      <c r="K435" s="2441"/>
      <c r="L435" s="2441"/>
      <c r="M435" s="2441"/>
      <c r="N435" s="2386"/>
      <c r="O435" s="2386"/>
    </row>
    <row r="436" spans="1:15" x14ac:dyDescent="0.4">
      <c r="A436" s="2444"/>
      <c r="B436" s="2444"/>
      <c r="C436" s="2445"/>
      <c r="D436" s="2444"/>
      <c r="E436" s="2444"/>
      <c r="F436" s="2444"/>
      <c r="G436" s="2441" t="s">
        <v>1269</v>
      </c>
      <c r="H436" s="2441" t="s">
        <v>1269</v>
      </c>
      <c r="I436" s="2418" t="s">
        <v>1269</v>
      </c>
      <c r="J436" s="2441"/>
      <c r="K436" s="2441"/>
      <c r="L436" s="2441"/>
      <c r="M436" s="2441"/>
      <c r="N436" s="2386"/>
      <c r="O436" s="2386"/>
    </row>
    <row r="437" spans="1:15" x14ac:dyDescent="0.4">
      <c r="A437" s="2444"/>
      <c r="B437" s="2444"/>
      <c r="C437" s="2445"/>
      <c r="D437" s="2444"/>
      <c r="E437" s="2444"/>
      <c r="F437" s="2444"/>
      <c r="G437" s="2441" t="s">
        <v>1269</v>
      </c>
      <c r="H437" s="2441" t="s">
        <v>1269</v>
      </c>
      <c r="I437" s="2418" t="s">
        <v>1269</v>
      </c>
      <c r="J437" s="2441"/>
      <c r="K437" s="2441"/>
      <c r="L437" s="2441"/>
      <c r="M437" s="2441"/>
      <c r="N437" s="2386"/>
      <c r="O437" s="2386"/>
    </row>
    <row r="438" spans="1:15" x14ac:dyDescent="0.4">
      <c r="A438" s="2444"/>
      <c r="B438" s="2444"/>
      <c r="C438" s="2445"/>
      <c r="D438" s="2444"/>
      <c r="E438" s="2444"/>
      <c r="F438" s="2444"/>
      <c r="G438" s="2441" t="s">
        <v>1269</v>
      </c>
      <c r="H438" s="2441" t="s">
        <v>1269</v>
      </c>
      <c r="I438" s="2418" t="s">
        <v>1269</v>
      </c>
      <c r="J438" s="2441"/>
      <c r="K438" s="2441"/>
      <c r="L438" s="2441"/>
      <c r="M438" s="2441"/>
      <c r="N438" s="2386"/>
      <c r="O438" s="2386"/>
    </row>
    <row r="439" spans="1:15" x14ac:dyDescent="0.4">
      <c r="A439" s="2444"/>
      <c r="B439" s="2444"/>
      <c r="C439" s="2445"/>
      <c r="D439" s="2444"/>
      <c r="E439" s="2444"/>
      <c r="F439" s="2444"/>
      <c r="G439" s="2441" t="s">
        <v>1269</v>
      </c>
      <c r="H439" s="2441" t="s">
        <v>1269</v>
      </c>
      <c r="I439" s="2418" t="s">
        <v>1269</v>
      </c>
      <c r="J439" s="2441"/>
      <c r="K439" s="2441"/>
      <c r="L439" s="2441"/>
      <c r="M439" s="2441"/>
      <c r="N439" s="2386"/>
      <c r="O439" s="2386"/>
    </row>
    <row r="440" spans="1:15" x14ac:dyDescent="0.4">
      <c r="A440" s="2444"/>
      <c r="B440" s="2444"/>
      <c r="C440" s="2445"/>
      <c r="D440" s="2444"/>
      <c r="E440" s="2444"/>
      <c r="F440" s="2444"/>
      <c r="G440" s="2441" t="s">
        <v>1269</v>
      </c>
      <c r="H440" s="2441" t="s">
        <v>1269</v>
      </c>
      <c r="I440" s="2418" t="s">
        <v>1269</v>
      </c>
      <c r="J440" s="2441"/>
      <c r="K440" s="2441"/>
      <c r="L440" s="2441"/>
      <c r="M440" s="2441"/>
      <c r="N440" s="2386"/>
      <c r="O440" s="2386"/>
    </row>
    <row r="441" spans="1:15" x14ac:dyDescent="0.4">
      <c r="A441" s="2444"/>
      <c r="B441" s="2444"/>
      <c r="C441" s="2445"/>
      <c r="D441" s="2444"/>
      <c r="E441" s="2444"/>
      <c r="F441" s="2444"/>
      <c r="G441" s="2441" t="s">
        <v>1269</v>
      </c>
      <c r="H441" s="2441" t="s">
        <v>1269</v>
      </c>
      <c r="I441" s="2418" t="s">
        <v>1269</v>
      </c>
      <c r="J441" s="2441"/>
      <c r="K441" s="2441"/>
      <c r="L441" s="2441"/>
      <c r="M441" s="2441"/>
      <c r="N441" s="2386"/>
      <c r="O441" s="2386"/>
    </row>
    <row r="442" spans="1:15" x14ac:dyDescent="0.4">
      <c r="A442" s="2444"/>
      <c r="B442" s="2444"/>
      <c r="C442" s="2445"/>
      <c r="D442" s="2444"/>
      <c r="E442" s="2444"/>
      <c r="F442" s="2444"/>
      <c r="G442" s="2441" t="s">
        <v>1269</v>
      </c>
      <c r="H442" s="2441" t="s">
        <v>1269</v>
      </c>
      <c r="I442" s="2418" t="s">
        <v>1269</v>
      </c>
      <c r="J442" s="2441"/>
      <c r="K442" s="2441"/>
      <c r="L442" s="2441"/>
      <c r="M442" s="2441"/>
      <c r="N442" s="2386"/>
      <c r="O442" s="2386"/>
    </row>
    <row r="443" spans="1:15" x14ac:dyDescent="0.4">
      <c r="A443" s="2444"/>
      <c r="B443" s="2444"/>
      <c r="C443" s="2445"/>
      <c r="D443" s="2444"/>
      <c r="E443" s="2444"/>
      <c r="F443" s="2444"/>
      <c r="G443" s="2441" t="s">
        <v>1269</v>
      </c>
      <c r="H443" s="2441" t="s">
        <v>1269</v>
      </c>
      <c r="I443" s="2418" t="s">
        <v>1269</v>
      </c>
      <c r="J443" s="2441"/>
      <c r="K443" s="2441"/>
      <c r="L443" s="2441"/>
      <c r="M443" s="2441"/>
      <c r="N443" s="2386"/>
      <c r="O443" s="2386"/>
    </row>
    <row r="444" spans="1:15" x14ac:dyDescent="0.4">
      <c r="A444" s="2444"/>
      <c r="B444" s="2444"/>
      <c r="C444" s="2445"/>
      <c r="D444" s="2444"/>
      <c r="E444" s="2444"/>
      <c r="F444" s="2444"/>
      <c r="G444" s="2441" t="s">
        <v>1269</v>
      </c>
      <c r="H444" s="2441" t="s">
        <v>1269</v>
      </c>
      <c r="I444" s="2418" t="s">
        <v>1269</v>
      </c>
      <c r="J444" s="2441"/>
      <c r="K444" s="2441"/>
      <c r="L444" s="2441"/>
      <c r="M444" s="2441"/>
      <c r="N444" s="2386"/>
      <c r="O444" s="2386"/>
    </row>
    <row r="445" spans="1:15" x14ac:dyDescent="0.4">
      <c r="A445" s="2444"/>
      <c r="B445" s="2444"/>
      <c r="C445" s="2445"/>
      <c r="D445" s="2444"/>
      <c r="E445" s="2444"/>
      <c r="F445" s="2444"/>
      <c r="G445" s="2441" t="s">
        <v>1269</v>
      </c>
      <c r="H445" s="2441" t="s">
        <v>1269</v>
      </c>
      <c r="I445" s="2418" t="s">
        <v>1269</v>
      </c>
      <c r="J445" s="2441"/>
      <c r="K445" s="2441"/>
      <c r="L445" s="2441"/>
      <c r="M445" s="2441"/>
      <c r="N445" s="2386"/>
      <c r="O445" s="2386"/>
    </row>
    <row r="446" spans="1:15" x14ac:dyDescent="0.4">
      <c r="A446" s="2444"/>
      <c r="B446" s="2444"/>
      <c r="C446" s="2445"/>
      <c r="D446" s="2444"/>
      <c r="E446" s="2444"/>
      <c r="F446" s="2444"/>
      <c r="G446" s="2441" t="s">
        <v>1269</v>
      </c>
      <c r="H446" s="2441" t="s">
        <v>1269</v>
      </c>
      <c r="I446" s="2418" t="s">
        <v>1269</v>
      </c>
      <c r="J446" s="2441"/>
      <c r="K446" s="2441"/>
      <c r="L446" s="2441"/>
      <c r="M446" s="2441"/>
      <c r="N446" s="2386"/>
      <c r="O446" s="2386"/>
    </row>
    <row r="447" spans="1:15" x14ac:dyDescent="0.4">
      <c r="A447" s="2444"/>
      <c r="B447" s="2444"/>
      <c r="C447" s="2445"/>
      <c r="D447" s="2444"/>
      <c r="E447" s="2444"/>
      <c r="F447" s="2444"/>
      <c r="G447" s="2441" t="s">
        <v>1269</v>
      </c>
      <c r="H447" s="2441" t="s">
        <v>1269</v>
      </c>
      <c r="I447" s="2418" t="s">
        <v>1269</v>
      </c>
      <c r="J447" s="2441"/>
      <c r="K447" s="2441"/>
      <c r="L447" s="2441"/>
      <c r="M447" s="2441"/>
      <c r="N447" s="2386"/>
      <c r="O447" s="2386"/>
    </row>
    <row r="448" spans="1:15" x14ac:dyDescent="0.4">
      <c r="A448" s="2444"/>
      <c r="B448" s="2444"/>
      <c r="C448" s="2445"/>
      <c r="D448" s="2444"/>
      <c r="E448" s="2444"/>
      <c r="F448" s="2444"/>
      <c r="G448" s="2441" t="s">
        <v>1269</v>
      </c>
      <c r="H448" s="2441" t="s">
        <v>1269</v>
      </c>
      <c r="I448" s="2418" t="s">
        <v>1269</v>
      </c>
      <c r="J448" s="2441"/>
      <c r="K448" s="2441"/>
      <c r="L448" s="2441"/>
      <c r="M448" s="2441"/>
      <c r="N448" s="2386"/>
      <c r="O448" s="2386"/>
    </row>
    <row r="449" spans="1:15" x14ac:dyDescent="0.4">
      <c r="A449" s="2444"/>
      <c r="B449" s="2444"/>
      <c r="C449" s="2445"/>
      <c r="D449" s="2444"/>
      <c r="E449" s="2444"/>
      <c r="F449" s="2444"/>
      <c r="G449" s="2441" t="s">
        <v>1269</v>
      </c>
      <c r="H449" s="2441" t="s">
        <v>1269</v>
      </c>
      <c r="I449" s="2418" t="s">
        <v>1269</v>
      </c>
      <c r="J449" s="2441"/>
      <c r="K449" s="2441"/>
      <c r="L449" s="2441"/>
      <c r="M449" s="2441"/>
      <c r="N449" s="2386"/>
      <c r="O449" s="2386"/>
    </row>
    <row r="450" spans="1:15" x14ac:dyDescent="0.4">
      <c r="A450" s="2444"/>
      <c r="B450" s="2444"/>
      <c r="C450" s="2445"/>
      <c r="D450" s="2444"/>
      <c r="E450" s="2444"/>
      <c r="F450" s="2444"/>
      <c r="G450" s="2441" t="s">
        <v>1269</v>
      </c>
      <c r="H450" s="2441" t="s">
        <v>1269</v>
      </c>
      <c r="I450" s="2418" t="s">
        <v>1269</v>
      </c>
      <c r="J450" s="2441"/>
      <c r="K450" s="2441"/>
      <c r="L450" s="2441"/>
      <c r="M450" s="2441"/>
      <c r="N450" s="2386"/>
      <c r="O450" s="2386"/>
    </row>
    <row r="451" spans="1:15" x14ac:dyDescent="0.4">
      <c r="A451" s="2444"/>
      <c r="B451" s="2444"/>
      <c r="C451" s="2445"/>
      <c r="D451" s="2444"/>
      <c r="E451" s="2444"/>
      <c r="F451" s="2444"/>
      <c r="G451" s="2441" t="s">
        <v>1269</v>
      </c>
      <c r="H451" s="2441" t="s">
        <v>1269</v>
      </c>
      <c r="I451" s="2418" t="s">
        <v>1269</v>
      </c>
      <c r="J451" s="2441"/>
      <c r="K451" s="2441"/>
      <c r="L451" s="2441"/>
      <c r="M451" s="2441"/>
      <c r="N451" s="2386"/>
      <c r="O451" s="2386"/>
    </row>
    <row r="452" spans="1:15" x14ac:dyDescent="0.4">
      <c r="A452" s="2444"/>
      <c r="B452" s="2444"/>
      <c r="C452" s="2445"/>
      <c r="D452" s="2444"/>
      <c r="E452" s="2444"/>
      <c r="F452" s="2444"/>
      <c r="G452" s="2441" t="s">
        <v>1269</v>
      </c>
      <c r="H452" s="2441" t="s">
        <v>1269</v>
      </c>
      <c r="I452" s="2418" t="s">
        <v>1269</v>
      </c>
      <c r="J452" s="2441"/>
      <c r="K452" s="2441"/>
      <c r="L452" s="2441"/>
      <c r="M452" s="2441"/>
      <c r="N452" s="2386"/>
      <c r="O452" s="2386"/>
    </row>
    <row r="453" spans="1:15" x14ac:dyDescent="0.4">
      <c r="A453" s="2444"/>
      <c r="B453" s="2444"/>
      <c r="C453" s="2445"/>
      <c r="D453" s="2444"/>
      <c r="E453" s="2444"/>
      <c r="F453" s="2444"/>
      <c r="G453" s="2441" t="s">
        <v>1269</v>
      </c>
      <c r="H453" s="2441" t="s">
        <v>1269</v>
      </c>
      <c r="I453" s="2418" t="s">
        <v>1269</v>
      </c>
      <c r="J453" s="2441"/>
      <c r="K453" s="2441"/>
      <c r="L453" s="2441"/>
      <c r="M453" s="2441"/>
      <c r="N453" s="2386"/>
      <c r="O453" s="2386"/>
    </row>
    <row r="454" spans="1:15" x14ac:dyDescent="0.4">
      <c r="A454" s="2444"/>
      <c r="B454" s="2444"/>
      <c r="C454" s="2445"/>
      <c r="D454" s="2444"/>
      <c r="E454" s="2444"/>
      <c r="F454" s="2444"/>
      <c r="G454" s="2441" t="s">
        <v>1269</v>
      </c>
      <c r="H454" s="2441" t="s">
        <v>1269</v>
      </c>
      <c r="I454" s="2418" t="s">
        <v>1269</v>
      </c>
      <c r="J454" s="2441"/>
      <c r="K454" s="2441"/>
      <c r="L454" s="2441"/>
      <c r="M454" s="2441"/>
      <c r="N454" s="2386"/>
      <c r="O454" s="2386"/>
    </row>
    <row r="455" spans="1:15" x14ac:dyDescent="0.4">
      <c r="A455" s="2444"/>
      <c r="B455" s="2444"/>
      <c r="C455" s="2445"/>
      <c r="D455" s="2444"/>
      <c r="E455" s="2444"/>
      <c r="F455" s="2444"/>
      <c r="G455" s="2441" t="s">
        <v>1269</v>
      </c>
      <c r="H455" s="2441" t="s">
        <v>1269</v>
      </c>
      <c r="I455" s="2418" t="s">
        <v>1269</v>
      </c>
      <c r="J455" s="2441"/>
      <c r="K455" s="2441"/>
      <c r="L455" s="2441"/>
      <c r="M455" s="2441"/>
      <c r="N455" s="2386"/>
      <c r="O455" s="2386"/>
    </row>
    <row r="456" spans="1:15" x14ac:dyDescent="0.4">
      <c r="A456" s="2444"/>
      <c r="B456" s="2444"/>
      <c r="C456" s="2445"/>
      <c r="D456" s="2444"/>
      <c r="E456" s="2444"/>
      <c r="F456" s="2444"/>
      <c r="G456" s="2441" t="s">
        <v>1269</v>
      </c>
      <c r="H456" s="2441" t="s">
        <v>1269</v>
      </c>
      <c r="I456" s="2418" t="s">
        <v>1269</v>
      </c>
      <c r="J456" s="2441"/>
      <c r="K456" s="2441"/>
      <c r="L456" s="2441"/>
      <c r="M456" s="2441"/>
      <c r="N456" s="2386"/>
      <c r="O456" s="2386"/>
    </row>
    <row r="457" spans="1:15" x14ac:dyDescent="0.4">
      <c r="A457" s="2444"/>
      <c r="B457" s="2444"/>
      <c r="C457" s="2445"/>
      <c r="D457" s="2444"/>
      <c r="E457" s="2444"/>
      <c r="F457" s="2444"/>
      <c r="G457" s="2441" t="s">
        <v>1269</v>
      </c>
      <c r="H457" s="2441" t="s">
        <v>1269</v>
      </c>
      <c r="I457" s="2418" t="s">
        <v>1269</v>
      </c>
      <c r="J457" s="2441"/>
      <c r="K457" s="2441"/>
      <c r="L457" s="2441"/>
      <c r="M457" s="2441"/>
      <c r="N457" s="2386"/>
      <c r="O457" s="2386"/>
    </row>
    <row r="458" spans="1:15" x14ac:dyDescent="0.4">
      <c r="A458" s="2444"/>
      <c r="B458" s="2444"/>
      <c r="C458" s="2445"/>
      <c r="D458" s="2444"/>
      <c r="E458" s="2444"/>
      <c r="F458" s="2444"/>
      <c r="G458" s="2441" t="s">
        <v>1269</v>
      </c>
      <c r="H458" s="2441" t="s">
        <v>1269</v>
      </c>
      <c r="I458" s="2418" t="s">
        <v>1269</v>
      </c>
      <c r="J458" s="2441"/>
      <c r="K458" s="2441"/>
      <c r="L458" s="2441"/>
      <c r="M458" s="2441"/>
      <c r="N458" s="2386"/>
      <c r="O458" s="2386"/>
    </row>
    <row r="459" spans="1:15" x14ac:dyDescent="0.4">
      <c r="A459" s="2444"/>
      <c r="B459" s="2444"/>
      <c r="C459" s="2445"/>
      <c r="D459" s="2444"/>
      <c r="E459" s="2444"/>
      <c r="F459" s="2444"/>
      <c r="G459" s="2441" t="s">
        <v>1269</v>
      </c>
      <c r="H459" s="2441" t="s">
        <v>1269</v>
      </c>
      <c r="I459" s="2418" t="s">
        <v>1269</v>
      </c>
      <c r="J459" s="2441"/>
      <c r="K459" s="2441"/>
      <c r="L459" s="2441"/>
      <c r="M459" s="2441"/>
      <c r="N459" s="2386"/>
      <c r="O459" s="2386"/>
    </row>
    <row r="460" spans="1:15" x14ac:dyDescent="0.4">
      <c r="A460" s="2444"/>
      <c r="B460" s="2444"/>
      <c r="C460" s="2445"/>
      <c r="D460" s="2444"/>
      <c r="E460" s="2444"/>
      <c r="F460" s="2444"/>
      <c r="G460" s="2441" t="s">
        <v>1269</v>
      </c>
      <c r="H460" s="2441" t="s">
        <v>1269</v>
      </c>
      <c r="I460" s="2418" t="s">
        <v>1269</v>
      </c>
      <c r="J460" s="2441"/>
      <c r="K460" s="2441"/>
      <c r="L460" s="2441"/>
      <c r="M460" s="2441"/>
      <c r="N460" s="2386"/>
      <c r="O460" s="2386"/>
    </row>
    <row r="461" spans="1:15" x14ac:dyDescent="0.4">
      <c r="A461" s="2444"/>
      <c r="B461" s="2444"/>
      <c r="C461" s="2445"/>
      <c r="D461" s="2444"/>
      <c r="E461" s="2444"/>
      <c r="F461" s="2444"/>
      <c r="G461" s="2441" t="s">
        <v>1269</v>
      </c>
      <c r="H461" s="2441" t="s">
        <v>1269</v>
      </c>
      <c r="I461" s="2418" t="s">
        <v>1269</v>
      </c>
      <c r="J461" s="2441"/>
      <c r="K461" s="2441"/>
      <c r="L461" s="2441"/>
      <c r="M461" s="2441"/>
      <c r="N461" s="2386"/>
      <c r="O461" s="2386"/>
    </row>
    <row r="462" spans="1:15" x14ac:dyDescent="0.4">
      <c r="A462" s="2444"/>
      <c r="B462" s="2444"/>
      <c r="C462" s="2445"/>
      <c r="D462" s="2444"/>
      <c r="E462" s="2444"/>
      <c r="F462" s="2444"/>
      <c r="G462" s="2441" t="s">
        <v>1269</v>
      </c>
      <c r="H462" s="2441" t="s">
        <v>1269</v>
      </c>
      <c r="I462" s="2418" t="s">
        <v>1269</v>
      </c>
      <c r="J462" s="2441"/>
      <c r="K462" s="2441"/>
      <c r="L462" s="2441"/>
      <c r="M462" s="2441"/>
      <c r="N462" s="2386"/>
      <c r="O462" s="2386"/>
    </row>
    <row r="463" spans="1:15" x14ac:dyDescent="0.4">
      <c r="A463" s="2444"/>
      <c r="B463" s="2444"/>
      <c r="C463" s="2445"/>
      <c r="D463" s="2444"/>
      <c r="E463" s="2444"/>
      <c r="F463" s="2444"/>
      <c r="G463" s="2441" t="s">
        <v>1269</v>
      </c>
      <c r="H463" s="2441" t="s">
        <v>1269</v>
      </c>
      <c r="I463" s="2418" t="s">
        <v>1269</v>
      </c>
      <c r="J463" s="2441"/>
      <c r="K463" s="2441"/>
      <c r="L463" s="2441"/>
      <c r="M463" s="2441"/>
      <c r="N463" s="2386"/>
      <c r="O463" s="2386"/>
    </row>
    <row r="464" spans="1:15" x14ac:dyDescent="0.4">
      <c r="A464" s="2444"/>
      <c r="B464" s="2444"/>
      <c r="C464" s="2445"/>
      <c r="D464" s="2444"/>
      <c r="E464" s="2444"/>
      <c r="F464" s="2444"/>
      <c r="G464" s="2441" t="s">
        <v>1269</v>
      </c>
      <c r="H464" s="2441" t="s">
        <v>1269</v>
      </c>
      <c r="I464" s="2418" t="s">
        <v>1269</v>
      </c>
      <c r="J464" s="2441"/>
      <c r="K464" s="2441"/>
      <c r="L464" s="2441"/>
      <c r="M464" s="2441"/>
      <c r="N464" s="2386"/>
      <c r="O464" s="2386"/>
    </row>
    <row r="465" spans="1:15" x14ac:dyDescent="0.4">
      <c r="A465" s="2444"/>
      <c r="B465" s="2444"/>
      <c r="C465" s="2445"/>
      <c r="D465" s="2444"/>
      <c r="E465" s="2444"/>
      <c r="F465" s="2444"/>
      <c r="G465" s="2441" t="s">
        <v>1269</v>
      </c>
      <c r="H465" s="2441" t="s">
        <v>1269</v>
      </c>
      <c r="I465" s="2418" t="s">
        <v>1269</v>
      </c>
      <c r="J465" s="2441"/>
      <c r="K465" s="2441"/>
      <c r="L465" s="2441"/>
      <c r="M465" s="2441"/>
      <c r="N465" s="2386"/>
      <c r="O465" s="2386"/>
    </row>
    <row r="466" spans="1:15" x14ac:dyDescent="0.4">
      <c r="A466" s="2444"/>
      <c r="B466" s="2444"/>
      <c r="C466" s="2445"/>
      <c r="D466" s="2444"/>
      <c r="E466" s="2444"/>
      <c r="F466" s="2444"/>
      <c r="G466" s="2441" t="s">
        <v>1269</v>
      </c>
      <c r="H466" s="2441" t="s">
        <v>1269</v>
      </c>
      <c r="I466" s="2418" t="s">
        <v>1269</v>
      </c>
      <c r="J466" s="2441"/>
      <c r="K466" s="2441"/>
      <c r="L466" s="2441"/>
      <c r="M466" s="2441"/>
      <c r="N466" s="2386"/>
      <c r="O466" s="2386"/>
    </row>
    <row r="467" spans="1:15" x14ac:dyDescent="0.4">
      <c r="A467" s="2444"/>
      <c r="B467" s="2444"/>
      <c r="C467" s="2445"/>
      <c r="D467" s="2444"/>
      <c r="E467" s="2444"/>
      <c r="F467" s="2444"/>
      <c r="G467" s="2441" t="s">
        <v>1269</v>
      </c>
      <c r="H467" s="2441" t="s">
        <v>1269</v>
      </c>
      <c r="I467" s="2418" t="s">
        <v>1269</v>
      </c>
      <c r="J467" s="2441"/>
      <c r="K467" s="2441"/>
      <c r="L467" s="2441"/>
      <c r="M467" s="2441"/>
      <c r="N467" s="2386"/>
      <c r="O467" s="2386"/>
    </row>
    <row r="468" spans="1:15" x14ac:dyDescent="0.4">
      <c r="A468" s="2444"/>
      <c r="B468" s="2444"/>
      <c r="C468" s="2445"/>
      <c r="D468" s="2444"/>
      <c r="E468" s="2444"/>
      <c r="F468" s="2444"/>
      <c r="G468" s="2441" t="s">
        <v>1269</v>
      </c>
      <c r="H468" s="2441" t="s">
        <v>1269</v>
      </c>
      <c r="I468" s="2418" t="s">
        <v>1269</v>
      </c>
      <c r="J468" s="2441"/>
      <c r="K468" s="2441"/>
      <c r="L468" s="2441"/>
      <c r="M468" s="2441"/>
      <c r="N468" s="2386"/>
      <c r="O468" s="2386"/>
    </row>
    <row r="469" spans="1:15" x14ac:dyDescent="0.4">
      <c r="A469" s="2444"/>
      <c r="B469" s="2444"/>
      <c r="C469" s="2445"/>
      <c r="D469" s="2444"/>
      <c r="E469" s="2444"/>
      <c r="F469" s="2444"/>
      <c r="G469" s="2441" t="s">
        <v>1269</v>
      </c>
      <c r="H469" s="2441" t="s">
        <v>1269</v>
      </c>
      <c r="I469" s="2418" t="s">
        <v>1269</v>
      </c>
      <c r="J469" s="2441"/>
      <c r="K469" s="2441"/>
      <c r="L469" s="2441"/>
      <c r="M469" s="2441"/>
      <c r="N469" s="2386"/>
      <c r="O469" s="2386"/>
    </row>
    <row r="470" spans="1:15" x14ac:dyDescent="0.4">
      <c r="A470" s="2444"/>
      <c r="B470" s="2444"/>
      <c r="C470" s="2445"/>
      <c r="D470" s="2444"/>
      <c r="E470" s="2444"/>
      <c r="F470" s="2444"/>
      <c r="G470" s="2441" t="s">
        <v>1269</v>
      </c>
      <c r="H470" s="2441" t="s">
        <v>1269</v>
      </c>
      <c r="I470" s="2418" t="s">
        <v>1269</v>
      </c>
      <c r="J470" s="2441"/>
      <c r="K470" s="2441"/>
      <c r="L470" s="2441"/>
      <c r="M470" s="2441"/>
      <c r="N470" s="2386"/>
      <c r="O470" s="2386"/>
    </row>
    <row r="471" spans="1:15" x14ac:dyDescent="0.4">
      <c r="A471" s="2444"/>
      <c r="B471" s="2444"/>
      <c r="C471" s="2445"/>
      <c r="D471" s="2444"/>
      <c r="E471" s="2444"/>
      <c r="F471" s="2444"/>
      <c r="G471" s="2441" t="s">
        <v>1269</v>
      </c>
      <c r="H471" s="2441" t="s">
        <v>1269</v>
      </c>
      <c r="I471" s="2418" t="s">
        <v>1269</v>
      </c>
      <c r="J471" s="2441"/>
      <c r="K471" s="2441"/>
      <c r="L471" s="2441"/>
      <c r="M471" s="2441"/>
      <c r="N471" s="2386"/>
      <c r="O471" s="2386"/>
    </row>
    <row r="472" spans="1:15" x14ac:dyDescent="0.4">
      <c r="A472" s="2444"/>
      <c r="B472" s="2444"/>
      <c r="C472" s="2445"/>
      <c r="D472" s="2444"/>
      <c r="E472" s="2444"/>
      <c r="F472" s="2444"/>
      <c r="G472" s="2441" t="s">
        <v>1269</v>
      </c>
      <c r="H472" s="2441" t="s">
        <v>1269</v>
      </c>
      <c r="I472" s="2418" t="s">
        <v>1269</v>
      </c>
      <c r="J472" s="2441"/>
      <c r="K472" s="2441"/>
      <c r="L472" s="2441"/>
      <c r="M472" s="2441"/>
      <c r="N472" s="2386"/>
      <c r="O472" s="2386"/>
    </row>
    <row r="473" spans="1:15" x14ac:dyDescent="0.4">
      <c r="A473" s="2444"/>
      <c r="B473" s="2444"/>
      <c r="C473" s="2445"/>
      <c r="D473" s="2444"/>
      <c r="E473" s="2444"/>
      <c r="F473" s="2444"/>
      <c r="G473" s="2441" t="s">
        <v>1269</v>
      </c>
      <c r="H473" s="2441" t="s">
        <v>1269</v>
      </c>
      <c r="I473" s="2418" t="s">
        <v>1269</v>
      </c>
      <c r="J473" s="2441"/>
      <c r="K473" s="2441"/>
      <c r="L473" s="2441"/>
      <c r="M473" s="2441"/>
      <c r="N473" s="2386"/>
      <c r="O473" s="2386"/>
    </row>
    <row r="474" spans="1:15" x14ac:dyDescent="0.4">
      <c r="A474" s="2444"/>
      <c r="B474" s="2444"/>
      <c r="C474" s="2445"/>
      <c r="D474" s="2444"/>
      <c r="E474" s="2444"/>
      <c r="F474" s="2444"/>
      <c r="G474" s="2441" t="s">
        <v>1269</v>
      </c>
      <c r="H474" s="2441" t="s">
        <v>1269</v>
      </c>
      <c r="I474" s="2418" t="s">
        <v>1269</v>
      </c>
      <c r="J474" s="2441"/>
      <c r="K474" s="2441"/>
      <c r="L474" s="2441"/>
      <c r="M474" s="2441"/>
      <c r="N474" s="2386"/>
      <c r="O474" s="2386"/>
    </row>
    <row r="475" spans="1:15" x14ac:dyDescent="0.4">
      <c r="A475" s="2444"/>
      <c r="B475" s="2444"/>
      <c r="C475" s="2445"/>
      <c r="D475" s="2444"/>
      <c r="E475" s="2444"/>
      <c r="F475" s="2444"/>
      <c r="G475" s="2441" t="s">
        <v>1269</v>
      </c>
      <c r="H475" s="2441" t="s">
        <v>1269</v>
      </c>
      <c r="I475" s="2418" t="s">
        <v>1269</v>
      </c>
      <c r="J475" s="2441"/>
      <c r="K475" s="2441"/>
      <c r="L475" s="2441"/>
      <c r="M475" s="2441"/>
      <c r="N475" s="2386"/>
      <c r="O475" s="2386"/>
    </row>
    <row r="476" spans="1:15" x14ac:dyDescent="0.4">
      <c r="A476" s="2444"/>
      <c r="B476" s="2444"/>
      <c r="C476" s="2445"/>
      <c r="D476" s="2444"/>
      <c r="E476" s="2444"/>
      <c r="F476" s="2444"/>
      <c r="G476" s="2441" t="s">
        <v>1269</v>
      </c>
      <c r="H476" s="2441" t="s">
        <v>1269</v>
      </c>
      <c r="I476" s="2418" t="s">
        <v>1269</v>
      </c>
      <c r="J476" s="2441"/>
      <c r="K476" s="2441"/>
      <c r="L476" s="2441"/>
      <c r="M476" s="2441"/>
      <c r="N476" s="2386"/>
      <c r="O476" s="2386"/>
    </row>
    <row r="477" spans="1:15" x14ac:dyDescent="0.4">
      <c r="A477" s="2444"/>
      <c r="B477" s="2444"/>
      <c r="C477" s="2445"/>
      <c r="D477" s="2444"/>
      <c r="E477" s="2444"/>
      <c r="F477" s="2444"/>
      <c r="G477" s="2441" t="s">
        <v>1269</v>
      </c>
      <c r="H477" s="2441" t="s">
        <v>1269</v>
      </c>
      <c r="I477" s="2418" t="s">
        <v>1269</v>
      </c>
      <c r="J477" s="2441"/>
      <c r="K477" s="2441"/>
      <c r="L477" s="2441"/>
      <c r="M477" s="2441"/>
      <c r="N477" s="2386"/>
      <c r="O477" s="2386"/>
    </row>
    <row r="478" spans="1:15" x14ac:dyDescent="0.4">
      <c r="A478" s="2444"/>
      <c r="B478" s="2444"/>
      <c r="C478" s="2445"/>
      <c r="D478" s="2444"/>
      <c r="E478" s="2444"/>
      <c r="F478" s="2444"/>
      <c r="G478" s="2441" t="s">
        <v>1269</v>
      </c>
      <c r="H478" s="2441" t="s">
        <v>1269</v>
      </c>
      <c r="I478" s="2418" t="s">
        <v>1269</v>
      </c>
      <c r="J478" s="2441"/>
      <c r="K478" s="2441"/>
      <c r="L478" s="2441"/>
      <c r="M478" s="2441"/>
      <c r="N478" s="2386"/>
      <c r="O478" s="2386"/>
    </row>
    <row r="479" spans="1:15" x14ac:dyDescent="0.4">
      <c r="A479" s="2444"/>
      <c r="B479" s="2444"/>
      <c r="C479" s="2445"/>
      <c r="D479" s="2444"/>
      <c r="E479" s="2444"/>
      <c r="F479" s="2444"/>
      <c r="G479" s="2441" t="s">
        <v>1269</v>
      </c>
      <c r="H479" s="2441" t="s">
        <v>1269</v>
      </c>
      <c r="I479" s="2418" t="s">
        <v>1269</v>
      </c>
      <c r="J479" s="2441"/>
      <c r="K479" s="2441"/>
      <c r="L479" s="2441"/>
      <c r="M479" s="2441"/>
      <c r="N479" s="2386"/>
      <c r="O479" s="2386"/>
    </row>
    <row r="480" spans="1:15" x14ac:dyDescent="0.4">
      <c r="A480" s="2444"/>
      <c r="B480" s="2444"/>
      <c r="C480" s="2445"/>
      <c r="D480" s="2444"/>
      <c r="E480" s="2444"/>
      <c r="F480" s="2444"/>
      <c r="G480" s="2441" t="s">
        <v>1269</v>
      </c>
      <c r="H480" s="2441" t="s">
        <v>1269</v>
      </c>
      <c r="I480" s="2418" t="s">
        <v>1269</v>
      </c>
      <c r="J480" s="2441"/>
      <c r="K480" s="2441"/>
      <c r="L480" s="2441"/>
      <c r="M480" s="2441"/>
      <c r="N480" s="2386"/>
      <c r="O480" s="2386"/>
    </row>
    <row r="481" spans="1:15" x14ac:dyDescent="0.4">
      <c r="A481" s="2444"/>
      <c r="B481" s="2444"/>
      <c r="C481" s="2445"/>
      <c r="D481" s="2444"/>
      <c r="E481" s="2444"/>
      <c r="F481" s="2444"/>
      <c r="G481" s="2441" t="s">
        <v>1269</v>
      </c>
      <c r="H481" s="2441" t="s">
        <v>1269</v>
      </c>
      <c r="I481" s="2418" t="s">
        <v>1269</v>
      </c>
      <c r="J481" s="2441"/>
      <c r="K481" s="2441"/>
      <c r="L481" s="2441"/>
      <c r="M481" s="2441"/>
      <c r="N481" s="2386"/>
      <c r="O481" s="2386"/>
    </row>
    <row r="482" spans="1:15" x14ac:dyDescent="0.4">
      <c r="A482" s="2444"/>
      <c r="B482" s="2444"/>
      <c r="C482" s="2445"/>
      <c r="D482" s="2444"/>
      <c r="E482" s="2444"/>
      <c r="F482" s="2444"/>
      <c r="G482" s="2441" t="s">
        <v>1269</v>
      </c>
      <c r="H482" s="2441" t="s">
        <v>1269</v>
      </c>
      <c r="I482" s="2418" t="s">
        <v>1269</v>
      </c>
      <c r="J482" s="2441"/>
      <c r="K482" s="2441"/>
      <c r="L482" s="2441"/>
      <c r="M482" s="2441"/>
      <c r="N482" s="2386"/>
      <c r="O482" s="2386"/>
    </row>
    <row r="483" spans="1:15" x14ac:dyDescent="0.4">
      <c r="A483" s="2444"/>
      <c r="B483" s="2444"/>
      <c r="C483" s="2445"/>
      <c r="D483" s="2444"/>
      <c r="E483" s="2444"/>
      <c r="F483" s="2444"/>
      <c r="G483" s="2441" t="s">
        <v>1269</v>
      </c>
      <c r="H483" s="2441" t="s">
        <v>1269</v>
      </c>
      <c r="I483" s="2418" t="s">
        <v>1269</v>
      </c>
      <c r="J483" s="2441"/>
      <c r="K483" s="2441"/>
      <c r="L483" s="2441"/>
      <c r="M483" s="2441"/>
      <c r="N483" s="2386"/>
      <c r="O483" s="2386"/>
    </row>
    <row r="484" spans="1:15" x14ac:dyDescent="0.4">
      <c r="A484" s="2444"/>
      <c r="B484" s="2444"/>
      <c r="C484" s="2445"/>
      <c r="D484" s="2444"/>
      <c r="E484" s="2444"/>
      <c r="F484" s="2444"/>
      <c r="G484" s="2441" t="s">
        <v>1269</v>
      </c>
      <c r="H484" s="2441" t="s">
        <v>1269</v>
      </c>
      <c r="I484" s="2418" t="s">
        <v>1269</v>
      </c>
      <c r="J484" s="2441"/>
      <c r="K484" s="2441"/>
      <c r="L484" s="2441"/>
      <c r="M484" s="2441"/>
      <c r="N484" s="2386"/>
      <c r="O484" s="2386"/>
    </row>
    <row r="485" spans="1:15" x14ac:dyDescent="0.4">
      <c r="A485" s="2444"/>
      <c r="B485" s="2444"/>
      <c r="C485" s="2445"/>
      <c r="D485" s="2444"/>
      <c r="E485" s="2444"/>
      <c r="F485" s="2444"/>
      <c r="G485" s="2441" t="s">
        <v>1269</v>
      </c>
      <c r="H485" s="2441" t="s">
        <v>1269</v>
      </c>
      <c r="I485" s="2418" t="s">
        <v>1269</v>
      </c>
      <c r="J485" s="2441"/>
      <c r="K485" s="2441"/>
      <c r="L485" s="2441"/>
      <c r="M485" s="2441"/>
      <c r="N485" s="2386"/>
      <c r="O485" s="2386"/>
    </row>
    <row r="486" spans="1:15" x14ac:dyDescent="0.4">
      <c r="A486" s="2444"/>
      <c r="B486" s="2444"/>
      <c r="C486" s="2445"/>
      <c r="D486" s="2444"/>
      <c r="E486" s="2444"/>
      <c r="F486" s="2444"/>
      <c r="G486" s="2441" t="s">
        <v>1269</v>
      </c>
      <c r="H486" s="2441" t="s">
        <v>1269</v>
      </c>
      <c r="I486" s="2418" t="s">
        <v>1269</v>
      </c>
      <c r="J486" s="2441"/>
      <c r="K486" s="2441"/>
      <c r="L486" s="2441"/>
      <c r="M486" s="2441"/>
      <c r="N486" s="2386"/>
      <c r="O486" s="2386"/>
    </row>
    <row r="487" spans="1:15" x14ac:dyDescent="0.4">
      <c r="A487" s="2444"/>
      <c r="B487" s="2444"/>
      <c r="C487" s="2445"/>
      <c r="D487" s="2444"/>
      <c r="E487" s="2444"/>
      <c r="F487" s="2444"/>
      <c r="G487" s="2441" t="s">
        <v>1269</v>
      </c>
      <c r="H487" s="2441" t="s">
        <v>1269</v>
      </c>
      <c r="I487" s="2418" t="s">
        <v>1269</v>
      </c>
      <c r="J487" s="2441"/>
      <c r="K487" s="2441"/>
      <c r="L487" s="2441"/>
      <c r="M487" s="2441"/>
      <c r="N487" s="2386"/>
      <c r="O487" s="2386"/>
    </row>
    <row r="488" spans="1:15" x14ac:dyDescent="0.4">
      <c r="A488" s="2444"/>
      <c r="B488" s="2444"/>
      <c r="C488" s="2445"/>
      <c r="D488" s="2444"/>
      <c r="E488" s="2444"/>
      <c r="F488" s="2444"/>
      <c r="G488" s="2441" t="s">
        <v>1269</v>
      </c>
      <c r="H488" s="2441" t="s">
        <v>1269</v>
      </c>
      <c r="I488" s="2418" t="s">
        <v>1269</v>
      </c>
      <c r="J488" s="2441"/>
      <c r="K488" s="2441"/>
      <c r="L488" s="2441"/>
      <c r="M488" s="2441"/>
      <c r="N488" s="2386"/>
      <c r="O488" s="2386"/>
    </row>
    <row r="489" spans="1:15" x14ac:dyDescent="0.4">
      <c r="A489" s="2444"/>
      <c r="B489" s="2444"/>
      <c r="C489" s="2445"/>
      <c r="D489" s="2444"/>
      <c r="E489" s="2444"/>
      <c r="F489" s="2444"/>
      <c r="G489" s="2441" t="s">
        <v>1269</v>
      </c>
      <c r="H489" s="2441" t="s">
        <v>1269</v>
      </c>
      <c r="I489" s="2418" t="s">
        <v>1269</v>
      </c>
      <c r="J489" s="2441"/>
      <c r="K489" s="2441"/>
      <c r="L489" s="2441"/>
      <c r="M489" s="2441"/>
      <c r="N489" s="2386"/>
      <c r="O489" s="2386"/>
    </row>
    <row r="490" spans="1:15" x14ac:dyDescent="0.4">
      <c r="A490" s="2444"/>
      <c r="B490" s="2444"/>
      <c r="C490" s="2445"/>
      <c r="D490" s="2444"/>
      <c r="E490" s="2444"/>
      <c r="F490" s="2444"/>
      <c r="G490" s="2441" t="s">
        <v>1269</v>
      </c>
      <c r="H490" s="2441" t="s">
        <v>1269</v>
      </c>
      <c r="I490" s="2418" t="s">
        <v>1269</v>
      </c>
      <c r="J490" s="2441"/>
      <c r="K490" s="2441"/>
      <c r="L490" s="2441"/>
      <c r="M490" s="2441"/>
      <c r="N490" s="2386"/>
      <c r="O490" s="2386"/>
    </row>
    <row r="491" spans="1:15" x14ac:dyDescent="0.4">
      <c r="A491" s="2444"/>
      <c r="B491" s="2444"/>
      <c r="C491" s="2445"/>
      <c r="D491" s="2444"/>
      <c r="E491" s="2444"/>
      <c r="F491" s="2444"/>
      <c r="G491" s="2441" t="s">
        <v>1269</v>
      </c>
      <c r="H491" s="2441" t="s">
        <v>1269</v>
      </c>
      <c r="I491" s="2418" t="s">
        <v>1269</v>
      </c>
      <c r="J491" s="2441"/>
      <c r="K491" s="2441"/>
      <c r="L491" s="2441"/>
      <c r="M491" s="2441"/>
      <c r="N491" s="2386"/>
      <c r="O491" s="2386"/>
    </row>
    <row r="492" spans="1:15" x14ac:dyDescent="0.4">
      <c r="A492" s="2444"/>
      <c r="B492" s="2444"/>
      <c r="C492" s="2445"/>
      <c r="D492" s="2444"/>
      <c r="E492" s="2444"/>
      <c r="F492" s="2444"/>
      <c r="G492" s="2441" t="s">
        <v>1269</v>
      </c>
      <c r="H492" s="2441" t="s">
        <v>1269</v>
      </c>
      <c r="I492" s="2418" t="s">
        <v>1269</v>
      </c>
      <c r="J492" s="2441"/>
      <c r="K492" s="2441"/>
      <c r="L492" s="2441"/>
      <c r="M492" s="2441"/>
      <c r="N492" s="2386"/>
      <c r="O492" s="2386"/>
    </row>
    <row r="493" spans="1:15" x14ac:dyDescent="0.4">
      <c r="A493" s="2444"/>
      <c r="B493" s="2444"/>
      <c r="C493" s="2445"/>
      <c r="D493" s="2444"/>
      <c r="E493" s="2444"/>
      <c r="F493" s="2444"/>
      <c r="G493" s="2441" t="s">
        <v>1269</v>
      </c>
      <c r="H493" s="2441" t="s">
        <v>1269</v>
      </c>
      <c r="I493" s="2418" t="s">
        <v>1269</v>
      </c>
      <c r="J493" s="2441"/>
      <c r="K493" s="2441"/>
      <c r="L493" s="2441"/>
      <c r="M493" s="2441"/>
      <c r="N493" s="2386"/>
      <c r="O493" s="2386"/>
    </row>
    <row r="494" spans="1:15" x14ac:dyDescent="0.4">
      <c r="A494" s="2444"/>
      <c r="B494" s="2444"/>
      <c r="C494" s="2445"/>
      <c r="D494" s="2444"/>
      <c r="E494" s="2444"/>
      <c r="F494" s="2444"/>
      <c r="G494" s="2441" t="s">
        <v>1269</v>
      </c>
      <c r="H494" s="2441" t="s">
        <v>1269</v>
      </c>
      <c r="I494" s="2418" t="s">
        <v>1269</v>
      </c>
      <c r="J494" s="2441"/>
      <c r="K494" s="2441"/>
      <c r="L494" s="2441"/>
      <c r="M494" s="2441"/>
      <c r="N494" s="2386"/>
      <c r="O494" s="2386"/>
    </row>
    <row r="495" spans="1:15" x14ac:dyDescent="0.4">
      <c r="A495" s="2444"/>
      <c r="B495" s="2444"/>
      <c r="C495" s="2445"/>
      <c r="D495" s="2444"/>
      <c r="E495" s="2444"/>
      <c r="F495" s="2444"/>
      <c r="G495" s="2441" t="s">
        <v>1269</v>
      </c>
      <c r="H495" s="2441" t="s">
        <v>1269</v>
      </c>
      <c r="I495" s="2418" t="s">
        <v>1269</v>
      </c>
      <c r="J495" s="2441"/>
      <c r="K495" s="2441"/>
      <c r="L495" s="2441"/>
      <c r="M495" s="2441"/>
      <c r="N495" s="2386"/>
      <c r="O495" s="2386"/>
    </row>
    <row r="496" spans="1:15" x14ac:dyDescent="0.4">
      <c r="A496" s="2444"/>
      <c r="B496" s="2444"/>
      <c r="C496" s="2445"/>
      <c r="D496" s="2444"/>
      <c r="E496" s="2444"/>
      <c r="F496" s="2444"/>
      <c r="G496" s="2441" t="s">
        <v>1269</v>
      </c>
      <c r="H496" s="2441" t="s">
        <v>1269</v>
      </c>
      <c r="I496" s="2418" t="s">
        <v>1269</v>
      </c>
      <c r="J496" s="2441"/>
      <c r="K496" s="2441"/>
      <c r="L496" s="2441"/>
      <c r="M496" s="2441"/>
      <c r="N496" s="2386"/>
      <c r="O496" s="2386"/>
    </row>
    <row r="497" spans="1:15" x14ac:dyDescent="0.4">
      <c r="A497" s="2444"/>
      <c r="B497" s="2444"/>
      <c r="C497" s="2445"/>
      <c r="D497" s="2444"/>
      <c r="E497" s="2444"/>
      <c r="F497" s="2444"/>
      <c r="G497" s="2441" t="s">
        <v>1269</v>
      </c>
      <c r="H497" s="2441" t="s">
        <v>1269</v>
      </c>
      <c r="I497" s="2418" t="s">
        <v>1269</v>
      </c>
      <c r="J497" s="2441"/>
      <c r="K497" s="2441"/>
      <c r="L497" s="2441"/>
      <c r="M497" s="2441"/>
      <c r="N497" s="2386"/>
      <c r="O497" s="2386"/>
    </row>
    <row r="498" spans="1:15" x14ac:dyDescent="0.4">
      <c r="A498" s="2444"/>
      <c r="B498" s="2444"/>
      <c r="C498" s="2445"/>
      <c r="D498" s="2444"/>
      <c r="E498" s="2444"/>
      <c r="F498" s="2444"/>
      <c r="G498" s="2441" t="s">
        <v>1269</v>
      </c>
      <c r="H498" s="2441" t="s">
        <v>1269</v>
      </c>
      <c r="I498" s="2418" t="s">
        <v>1269</v>
      </c>
      <c r="J498" s="2441"/>
      <c r="K498" s="2441"/>
      <c r="L498" s="2441"/>
      <c r="M498" s="2441"/>
      <c r="N498" s="2386"/>
      <c r="O498" s="2386"/>
    </row>
    <row r="499" spans="1:15" x14ac:dyDescent="0.4">
      <c r="A499" s="2444"/>
      <c r="B499" s="2444"/>
      <c r="C499" s="2445"/>
      <c r="D499" s="2444"/>
      <c r="E499" s="2444"/>
      <c r="F499" s="2444"/>
      <c r="G499" s="2441" t="s">
        <v>1269</v>
      </c>
      <c r="H499" s="2441" t="s">
        <v>1269</v>
      </c>
      <c r="I499" s="2418" t="s">
        <v>1269</v>
      </c>
      <c r="J499" s="2441"/>
      <c r="K499" s="2441"/>
      <c r="L499" s="2441"/>
      <c r="M499" s="2441"/>
      <c r="N499" s="2386"/>
      <c r="O499" s="2386"/>
    </row>
    <row r="500" spans="1:15" x14ac:dyDescent="0.4">
      <c r="A500" s="2444"/>
      <c r="B500" s="2444"/>
      <c r="C500" s="2445"/>
      <c r="D500" s="2444"/>
      <c r="E500" s="2444"/>
      <c r="F500" s="2444"/>
      <c r="G500" s="2441" t="s">
        <v>1269</v>
      </c>
      <c r="H500" s="2441" t="s">
        <v>1269</v>
      </c>
      <c r="I500" s="2418" t="s">
        <v>1269</v>
      </c>
      <c r="J500" s="2441"/>
      <c r="K500" s="2441"/>
      <c r="L500" s="2441"/>
      <c r="M500" s="2441"/>
      <c r="N500" s="2386"/>
      <c r="O500" s="2386"/>
    </row>
    <row r="501" spans="1:15" x14ac:dyDescent="0.4">
      <c r="A501" s="2444"/>
      <c r="B501" s="2444"/>
      <c r="C501" s="2445"/>
      <c r="D501" s="2444"/>
      <c r="E501" s="2444"/>
      <c r="F501" s="2444"/>
      <c r="G501" s="2441" t="s">
        <v>1269</v>
      </c>
      <c r="H501" s="2441" t="s">
        <v>1269</v>
      </c>
      <c r="I501" s="2418" t="s">
        <v>1269</v>
      </c>
      <c r="J501" s="2441"/>
      <c r="K501" s="2441"/>
      <c r="L501" s="2441"/>
      <c r="M501" s="2441"/>
      <c r="N501" s="2386"/>
      <c r="O501" s="2386"/>
    </row>
    <row r="502" spans="1:15" x14ac:dyDescent="0.4">
      <c r="A502" s="2444"/>
      <c r="B502" s="2444"/>
      <c r="C502" s="2445"/>
      <c r="D502" s="2444"/>
      <c r="E502" s="2444"/>
      <c r="F502" s="2444"/>
      <c r="G502" s="2441" t="s">
        <v>1269</v>
      </c>
      <c r="H502" s="2441" t="s">
        <v>1269</v>
      </c>
      <c r="I502" s="2418" t="s">
        <v>1269</v>
      </c>
      <c r="J502" s="2441"/>
      <c r="K502" s="2441"/>
      <c r="L502" s="2441"/>
      <c r="M502" s="2441"/>
      <c r="N502" s="2386"/>
      <c r="O502" s="2386"/>
    </row>
    <row r="503" spans="1:15" x14ac:dyDescent="0.4">
      <c r="A503" s="2444"/>
      <c r="B503" s="2444"/>
      <c r="C503" s="2445"/>
      <c r="D503" s="2444"/>
      <c r="E503" s="2444"/>
      <c r="F503" s="2444"/>
      <c r="G503" s="2441" t="s">
        <v>1269</v>
      </c>
      <c r="H503" s="2441" t="s">
        <v>1269</v>
      </c>
      <c r="I503" s="2418" t="s">
        <v>1269</v>
      </c>
      <c r="J503" s="2441"/>
      <c r="K503" s="2441"/>
      <c r="L503" s="2441"/>
      <c r="M503" s="2441"/>
      <c r="N503" s="2386"/>
      <c r="O503" s="2386"/>
    </row>
    <row r="504" spans="1:15" x14ac:dyDescent="0.4">
      <c r="A504" s="2444"/>
      <c r="B504" s="2444"/>
      <c r="C504" s="2445"/>
      <c r="D504" s="2444"/>
      <c r="E504" s="2444"/>
      <c r="F504" s="2444"/>
      <c r="G504" s="2441" t="s">
        <v>1269</v>
      </c>
      <c r="H504" s="2441" t="s">
        <v>1269</v>
      </c>
      <c r="I504" s="2418" t="s">
        <v>1269</v>
      </c>
      <c r="J504" s="2441"/>
      <c r="K504" s="2441"/>
      <c r="L504" s="2441"/>
      <c r="M504" s="2441"/>
      <c r="N504" s="2386"/>
      <c r="O504" s="2386"/>
    </row>
    <row r="505" spans="1:15" x14ac:dyDescent="0.4">
      <c r="A505" s="2444"/>
      <c r="B505" s="2444"/>
      <c r="C505" s="2445"/>
      <c r="D505" s="2444"/>
      <c r="E505" s="2444"/>
      <c r="F505" s="2444"/>
      <c r="G505" s="2441" t="s">
        <v>1269</v>
      </c>
      <c r="H505" s="2441" t="s">
        <v>1269</v>
      </c>
      <c r="I505" s="2418" t="s">
        <v>1269</v>
      </c>
      <c r="J505" s="2441"/>
      <c r="K505" s="2441"/>
      <c r="L505" s="2441"/>
      <c r="M505" s="2441"/>
      <c r="N505" s="2386"/>
      <c r="O505" s="2386"/>
    </row>
    <row r="506" spans="1:15" x14ac:dyDescent="0.4">
      <c r="A506" s="2444"/>
      <c r="B506" s="2444"/>
      <c r="C506" s="2445"/>
      <c r="D506" s="2444"/>
      <c r="E506" s="2444"/>
      <c r="F506" s="2444"/>
      <c r="G506" s="2441" t="s">
        <v>1269</v>
      </c>
      <c r="H506" s="2441" t="s">
        <v>1269</v>
      </c>
      <c r="I506" s="2418" t="s">
        <v>1269</v>
      </c>
      <c r="J506" s="2441"/>
      <c r="K506" s="2441"/>
      <c r="L506" s="2441"/>
      <c r="M506" s="2441"/>
      <c r="N506" s="2386"/>
      <c r="O506" s="2386"/>
    </row>
    <row r="507" spans="1:15" x14ac:dyDescent="0.4">
      <c r="A507" s="2444"/>
      <c r="B507" s="2444"/>
      <c r="C507" s="2445"/>
      <c r="D507" s="2444"/>
      <c r="E507" s="2444"/>
      <c r="F507" s="2444"/>
      <c r="G507" s="2441" t="s">
        <v>1269</v>
      </c>
      <c r="H507" s="2441" t="s">
        <v>1269</v>
      </c>
      <c r="I507" s="2418" t="s">
        <v>1269</v>
      </c>
      <c r="J507" s="2441"/>
      <c r="K507" s="2441"/>
      <c r="L507" s="2441"/>
      <c r="M507" s="2441"/>
      <c r="N507" s="2386"/>
      <c r="O507" s="2386"/>
    </row>
    <row r="508" spans="1:15" x14ac:dyDescent="0.4">
      <c r="A508" s="2444"/>
      <c r="B508" s="2444"/>
      <c r="C508" s="2445"/>
      <c r="D508" s="2444"/>
      <c r="E508" s="2444"/>
      <c r="F508" s="2444"/>
      <c r="G508" s="2441" t="s">
        <v>1269</v>
      </c>
      <c r="H508" s="2441" t="s">
        <v>1269</v>
      </c>
      <c r="I508" s="2418" t="s">
        <v>1269</v>
      </c>
      <c r="J508" s="2441"/>
      <c r="K508" s="2441"/>
      <c r="L508" s="2441"/>
      <c r="M508" s="2441"/>
      <c r="N508" s="2386"/>
      <c r="O508" s="2386"/>
    </row>
    <row r="509" spans="1:15" x14ac:dyDescent="0.4">
      <c r="A509" s="2444"/>
      <c r="B509" s="2444"/>
      <c r="C509" s="2445"/>
      <c r="D509" s="2444"/>
      <c r="E509" s="2444"/>
      <c r="F509" s="2444"/>
      <c r="G509" s="2441" t="s">
        <v>1269</v>
      </c>
      <c r="H509" s="2441" t="s">
        <v>1269</v>
      </c>
      <c r="I509" s="2418" t="s">
        <v>1269</v>
      </c>
      <c r="J509" s="2441"/>
      <c r="K509" s="2441"/>
      <c r="L509" s="2441"/>
      <c r="M509" s="2441"/>
      <c r="N509" s="2386"/>
      <c r="O509" s="2386"/>
    </row>
    <row r="510" spans="1:15" x14ac:dyDescent="0.4">
      <c r="A510" s="2444"/>
      <c r="B510" s="2444"/>
      <c r="C510" s="2445"/>
      <c r="D510" s="2444"/>
      <c r="E510" s="2444"/>
      <c r="F510" s="2444"/>
      <c r="G510" s="2441" t="s">
        <v>1269</v>
      </c>
      <c r="H510" s="2441" t="s">
        <v>1269</v>
      </c>
      <c r="I510" s="2418" t="s">
        <v>1269</v>
      </c>
      <c r="J510" s="2441"/>
      <c r="K510" s="2441"/>
      <c r="L510" s="2441"/>
      <c r="M510" s="2441"/>
      <c r="N510" s="2386"/>
      <c r="O510" s="2386"/>
    </row>
    <row r="511" spans="1:15" x14ac:dyDescent="0.4">
      <c r="A511" s="2444"/>
      <c r="B511" s="2444"/>
      <c r="C511" s="2445"/>
      <c r="D511" s="2444"/>
      <c r="E511" s="2444"/>
      <c r="F511" s="2444"/>
      <c r="G511" s="2441" t="s">
        <v>1269</v>
      </c>
      <c r="H511" s="2441" t="s">
        <v>1269</v>
      </c>
      <c r="I511" s="2418" t="s">
        <v>1269</v>
      </c>
      <c r="J511" s="2441"/>
      <c r="K511" s="2441"/>
      <c r="L511" s="2441"/>
      <c r="M511" s="2441"/>
      <c r="N511" s="2386"/>
      <c r="O511" s="2386"/>
    </row>
    <row r="512" spans="1:15" x14ac:dyDescent="0.4">
      <c r="A512" s="2444"/>
      <c r="B512" s="2444"/>
      <c r="C512" s="2445"/>
      <c r="D512" s="2444"/>
      <c r="E512" s="2444"/>
      <c r="F512" s="2444"/>
      <c r="G512" s="2441" t="s">
        <v>1269</v>
      </c>
      <c r="H512" s="2441" t="s">
        <v>1269</v>
      </c>
      <c r="I512" s="2418" t="s">
        <v>1269</v>
      </c>
      <c r="J512" s="2441"/>
      <c r="K512" s="2441"/>
      <c r="L512" s="2441"/>
      <c r="M512" s="2441"/>
      <c r="N512" s="2386"/>
      <c r="O512" s="2386"/>
    </row>
    <row r="513" spans="1:15" x14ac:dyDescent="0.4">
      <c r="A513" s="2444"/>
      <c r="B513" s="2444"/>
      <c r="C513" s="2445"/>
      <c r="D513" s="2444"/>
      <c r="E513" s="2444"/>
      <c r="F513" s="2444"/>
      <c r="G513" s="2441" t="s">
        <v>1269</v>
      </c>
      <c r="H513" s="2441" t="s">
        <v>1269</v>
      </c>
      <c r="I513" s="2418" t="s">
        <v>1269</v>
      </c>
      <c r="J513" s="2441"/>
      <c r="K513" s="2441"/>
      <c r="L513" s="2441"/>
      <c r="M513" s="2441"/>
      <c r="N513" s="2386"/>
      <c r="O513" s="2386"/>
    </row>
    <row r="514" spans="1:15" x14ac:dyDescent="0.4">
      <c r="A514" s="2444"/>
      <c r="B514" s="2444"/>
      <c r="C514" s="2445"/>
      <c r="D514" s="2444"/>
      <c r="E514" s="2444"/>
      <c r="F514" s="2444"/>
      <c r="G514" s="2441" t="s">
        <v>1269</v>
      </c>
      <c r="H514" s="2441" t="s">
        <v>1269</v>
      </c>
      <c r="I514" s="2418" t="s">
        <v>1269</v>
      </c>
      <c r="J514" s="2441"/>
      <c r="K514" s="2441"/>
      <c r="L514" s="2441"/>
      <c r="M514" s="2441"/>
      <c r="N514" s="2386"/>
      <c r="O514" s="2386"/>
    </row>
    <row r="515" spans="1:15" x14ac:dyDescent="0.4">
      <c r="A515" s="2444"/>
      <c r="B515" s="2444"/>
      <c r="C515" s="2445"/>
      <c r="D515" s="2444"/>
      <c r="E515" s="2444"/>
      <c r="F515" s="2444"/>
      <c r="G515" s="2441" t="s">
        <v>1269</v>
      </c>
      <c r="H515" s="2441" t="s">
        <v>1269</v>
      </c>
      <c r="I515" s="2418" t="s">
        <v>1269</v>
      </c>
      <c r="J515" s="2441"/>
      <c r="K515" s="2441"/>
      <c r="L515" s="2441"/>
      <c r="M515" s="2441"/>
      <c r="N515" s="2386"/>
      <c r="O515" s="2386"/>
    </row>
    <row r="516" spans="1:15" x14ac:dyDescent="0.4">
      <c r="A516" s="2444"/>
      <c r="B516" s="2444"/>
      <c r="C516" s="2445"/>
      <c r="D516" s="2444"/>
      <c r="E516" s="2444"/>
      <c r="F516" s="2444"/>
      <c r="G516" s="2441" t="s">
        <v>1269</v>
      </c>
      <c r="H516" s="2441" t="s">
        <v>1269</v>
      </c>
      <c r="I516" s="2418" t="s">
        <v>1269</v>
      </c>
      <c r="J516" s="2441"/>
      <c r="K516" s="2441"/>
      <c r="L516" s="2441"/>
      <c r="M516" s="2441"/>
      <c r="N516" s="2386"/>
      <c r="O516" s="2386"/>
    </row>
    <row r="517" spans="1:15" x14ac:dyDescent="0.4">
      <c r="A517" s="2444"/>
      <c r="B517" s="2444"/>
      <c r="C517" s="2445"/>
      <c r="D517" s="2444"/>
      <c r="E517" s="2444"/>
      <c r="F517" s="2444"/>
      <c r="G517" s="2441" t="s">
        <v>1269</v>
      </c>
      <c r="H517" s="2441" t="s">
        <v>1269</v>
      </c>
      <c r="I517" s="2418" t="s">
        <v>1269</v>
      </c>
      <c r="J517" s="2441"/>
      <c r="K517" s="2441"/>
      <c r="L517" s="2441"/>
      <c r="M517" s="2441"/>
      <c r="N517" s="2386"/>
      <c r="O517" s="2386"/>
    </row>
    <row r="518" spans="1:15" x14ac:dyDescent="0.4">
      <c r="A518" s="2444"/>
      <c r="B518" s="2444"/>
      <c r="C518" s="2445"/>
      <c r="D518" s="2444"/>
      <c r="E518" s="2444"/>
      <c r="F518" s="2444"/>
      <c r="G518" s="2441" t="s">
        <v>1269</v>
      </c>
      <c r="H518" s="2441" t="s">
        <v>1269</v>
      </c>
      <c r="I518" s="2418" t="s">
        <v>1269</v>
      </c>
      <c r="J518" s="2441"/>
      <c r="K518" s="2441"/>
      <c r="L518" s="2441"/>
      <c r="M518" s="2441"/>
      <c r="N518" s="2386"/>
      <c r="O518" s="2386"/>
    </row>
    <row r="519" spans="1:15" x14ac:dyDescent="0.4">
      <c r="A519" s="2444"/>
      <c r="B519" s="2444"/>
      <c r="C519" s="2445"/>
      <c r="D519" s="2444"/>
      <c r="E519" s="2444"/>
      <c r="F519" s="2444"/>
      <c r="G519" s="2441" t="s">
        <v>1269</v>
      </c>
      <c r="H519" s="2441" t="s">
        <v>1269</v>
      </c>
      <c r="I519" s="2418" t="s">
        <v>1269</v>
      </c>
      <c r="J519" s="2441"/>
      <c r="K519" s="2441"/>
      <c r="L519" s="2441"/>
      <c r="M519" s="2441"/>
      <c r="N519" s="2386"/>
      <c r="O519" s="2386"/>
    </row>
    <row r="520" spans="1:15" x14ac:dyDescent="0.4">
      <c r="A520" s="2444"/>
      <c r="B520" s="2444"/>
      <c r="C520" s="2445"/>
      <c r="D520" s="2444"/>
      <c r="E520" s="2444"/>
      <c r="F520" s="2444"/>
      <c r="G520" s="2441" t="s">
        <v>1269</v>
      </c>
      <c r="H520" s="2441" t="s">
        <v>1269</v>
      </c>
      <c r="I520" s="2418" t="s">
        <v>1269</v>
      </c>
      <c r="J520" s="2441"/>
      <c r="K520" s="2441"/>
      <c r="L520" s="2441"/>
      <c r="M520" s="2441"/>
      <c r="N520" s="2386"/>
      <c r="O520" s="2386"/>
    </row>
    <row r="521" spans="1:15" x14ac:dyDescent="0.4">
      <c r="A521" s="2444"/>
      <c r="B521" s="2444"/>
      <c r="C521" s="2445"/>
      <c r="D521" s="2444"/>
      <c r="E521" s="2444"/>
      <c r="F521" s="2444"/>
      <c r="G521" s="2441" t="s">
        <v>1269</v>
      </c>
      <c r="H521" s="2441" t="s">
        <v>1269</v>
      </c>
      <c r="I521" s="2418" t="s">
        <v>1269</v>
      </c>
      <c r="J521" s="2441"/>
      <c r="K521" s="2441"/>
      <c r="L521" s="2441"/>
      <c r="M521" s="2441"/>
      <c r="N521" s="2386"/>
      <c r="O521" s="2386"/>
    </row>
    <row r="522" spans="1:15" x14ac:dyDescent="0.4">
      <c r="A522" s="2444"/>
      <c r="B522" s="2444"/>
      <c r="C522" s="2445"/>
      <c r="D522" s="2444"/>
      <c r="E522" s="2444"/>
      <c r="F522" s="2444"/>
      <c r="G522" s="2441" t="s">
        <v>1269</v>
      </c>
      <c r="H522" s="2441" t="s">
        <v>1269</v>
      </c>
      <c r="I522" s="2418" t="s">
        <v>1269</v>
      </c>
      <c r="J522" s="2441"/>
      <c r="K522" s="2441"/>
      <c r="L522" s="2441"/>
      <c r="M522" s="2441"/>
      <c r="N522" s="2386"/>
      <c r="O522" s="2386"/>
    </row>
    <row r="523" spans="1:15" x14ac:dyDescent="0.4">
      <c r="A523" s="2444"/>
      <c r="B523" s="2444"/>
      <c r="C523" s="2445"/>
      <c r="D523" s="2444"/>
      <c r="E523" s="2444"/>
      <c r="F523" s="2444"/>
      <c r="G523" s="2441" t="s">
        <v>1269</v>
      </c>
      <c r="H523" s="2441" t="s">
        <v>1269</v>
      </c>
      <c r="I523" s="2418" t="s">
        <v>1269</v>
      </c>
      <c r="J523" s="2441"/>
      <c r="K523" s="2441"/>
      <c r="L523" s="2441"/>
      <c r="M523" s="2441"/>
      <c r="N523" s="2386"/>
      <c r="O523" s="2386"/>
    </row>
    <row r="524" spans="1:15" x14ac:dyDescent="0.4">
      <c r="A524" s="2444"/>
      <c r="B524" s="2444"/>
      <c r="C524" s="2445"/>
      <c r="D524" s="2444"/>
      <c r="E524" s="2444"/>
      <c r="F524" s="2444"/>
      <c r="G524" s="2441" t="s">
        <v>1269</v>
      </c>
      <c r="H524" s="2441" t="s">
        <v>1269</v>
      </c>
      <c r="I524" s="2418" t="s">
        <v>1269</v>
      </c>
      <c r="J524" s="2441"/>
      <c r="K524" s="2441"/>
      <c r="L524" s="2441"/>
      <c r="M524" s="2441"/>
      <c r="N524" s="2386"/>
      <c r="O524" s="2386"/>
    </row>
    <row r="525" spans="1:15" x14ac:dyDescent="0.4">
      <c r="A525" s="2444"/>
      <c r="B525" s="2444"/>
      <c r="C525" s="2445"/>
      <c r="D525" s="2444"/>
      <c r="E525" s="2444"/>
      <c r="F525" s="2444"/>
      <c r="G525" s="2441" t="s">
        <v>1269</v>
      </c>
      <c r="H525" s="2441" t="s">
        <v>1269</v>
      </c>
      <c r="I525" s="2418" t="s">
        <v>1269</v>
      </c>
      <c r="J525" s="2441"/>
      <c r="K525" s="2441"/>
      <c r="L525" s="2441"/>
      <c r="M525" s="2441"/>
      <c r="N525" s="2386"/>
      <c r="O525" s="2386"/>
    </row>
    <row r="526" spans="1:15" x14ac:dyDescent="0.4">
      <c r="A526" s="2444"/>
      <c r="B526" s="2444"/>
      <c r="C526" s="2445"/>
      <c r="D526" s="2444"/>
      <c r="E526" s="2444"/>
      <c r="F526" s="2444"/>
      <c r="G526" s="2441" t="s">
        <v>1269</v>
      </c>
      <c r="H526" s="2441" t="s">
        <v>1269</v>
      </c>
      <c r="I526" s="2418" t="s">
        <v>1269</v>
      </c>
      <c r="J526" s="2441"/>
      <c r="K526" s="2441"/>
      <c r="L526" s="2441"/>
      <c r="M526" s="2441"/>
      <c r="N526" s="2386"/>
      <c r="O526" s="2386"/>
    </row>
    <row r="527" spans="1:15" x14ac:dyDescent="0.4">
      <c r="A527" s="2444"/>
      <c r="B527" s="2444"/>
      <c r="C527" s="2445"/>
      <c r="D527" s="2444"/>
      <c r="E527" s="2444"/>
      <c r="F527" s="2444"/>
      <c r="G527" s="2441" t="s">
        <v>1269</v>
      </c>
      <c r="H527" s="2441" t="s">
        <v>1269</v>
      </c>
      <c r="I527" s="2418" t="s">
        <v>1269</v>
      </c>
      <c r="J527" s="2441"/>
      <c r="K527" s="2441"/>
      <c r="L527" s="2441"/>
      <c r="M527" s="2441"/>
      <c r="N527" s="2386"/>
      <c r="O527" s="2386"/>
    </row>
    <row r="528" spans="1:15" x14ac:dyDescent="0.4">
      <c r="A528" s="2444"/>
      <c r="B528" s="2444"/>
      <c r="C528" s="2445"/>
      <c r="D528" s="2444"/>
      <c r="E528" s="2444"/>
      <c r="F528" s="2444"/>
      <c r="G528" s="2441" t="s">
        <v>1269</v>
      </c>
      <c r="H528" s="2441" t="s">
        <v>1269</v>
      </c>
      <c r="I528" s="2418" t="s">
        <v>1269</v>
      </c>
      <c r="J528" s="2441"/>
      <c r="K528" s="2441"/>
      <c r="L528" s="2441"/>
      <c r="M528" s="2441"/>
      <c r="N528" s="2386"/>
      <c r="O528" s="2386"/>
    </row>
    <row r="529" spans="1:15" x14ac:dyDescent="0.4">
      <c r="A529" s="2444"/>
      <c r="B529" s="2444"/>
      <c r="C529" s="2445"/>
      <c r="D529" s="2444"/>
      <c r="E529" s="2444"/>
      <c r="F529" s="2444"/>
      <c r="G529" s="2441" t="s">
        <v>1269</v>
      </c>
      <c r="H529" s="2441" t="s">
        <v>1269</v>
      </c>
      <c r="I529" s="2418" t="s">
        <v>1269</v>
      </c>
      <c r="J529" s="2441"/>
      <c r="K529" s="2441"/>
      <c r="L529" s="2441"/>
      <c r="M529" s="2441"/>
      <c r="N529" s="2386"/>
      <c r="O529" s="2386"/>
    </row>
    <row r="530" spans="1:15" x14ac:dyDescent="0.4">
      <c r="A530" s="2444"/>
      <c r="B530" s="2444"/>
      <c r="C530" s="2445"/>
      <c r="D530" s="2444"/>
      <c r="E530" s="2444"/>
      <c r="F530" s="2444"/>
      <c r="G530" s="2441" t="s">
        <v>1269</v>
      </c>
      <c r="H530" s="2441" t="s">
        <v>1269</v>
      </c>
      <c r="I530" s="2418" t="s">
        <v>1269</v>
      </c>
      <c r="J530" s="2441"/>
      <c r="K530" s="2441"/>
      <c r="L530" s="2441"/>
      <c r="M530" s="2441"/>
      <c r="N530" s="2386"/>
      <c r="O530" s="2386"/>
    </row>
    <row r="531" spans="1:15" x14ac:dyDescent="0.4">
      <c r="A531" s="2444"/>
      <c r="B531" s="2444"/>
      <c r="C531" s="2445"/>
      <c r="D531" s="2444"/>
      <c r="E531" s="2444"/>
      <c r="F531" s="2444"/>
      <c r="G531" s="2441" t="s">
        <v>1269</v>
      </c>
      <c r="H531" s="2441" t="s">
        <v>1269</v>
      </c>
      <c r="I531" s="2418" t="s">
        <v>1269</v>
      </c>
      <c r="J531" s="2441"/>
      <c r="K531" s="2441"/>
      <c r="L531" s="2441"/>
      <c r="M531" s="2441"/>
      <c r="N531" s="2386"/>
      <c r="O531" s="2386"/>
    </row>
    <row r="532" spans="1:15" x14ac:dyDescent="0.4">
      <c r="A532" s="2444"/>
      <c r="B532" s="2444"/>
      <c r="C532" s="2445"/>
      <c r="D532" s="2444"/>
      <c r="E532" s="2444"/>
      <c r="F532" s="2444"/>
      <c r="G532" s="2441" t="s">
        <v>1269</v>
      </c>
      <c r="H532" s="2441" t="s">
        <v>1269</v>
      </c>
      <c r="I532" s="2418" t="s">
        <v>1269</v>
      </c>
      <c r="J532" s="2441"/>
      <c r="K532" s="2441"/>
      <c r="L532" s="2441"/>
      <c r="M532" s="2441"/>
      <c r="N532" s="2386"/>
      <c r="O532" s="2386"/>
    </row>
    <row r="533" spans="1:15" x14ac:dyDescent="0.4">
      <c r="A533" s="2444"/>
      <c r="B533" s="2444"/>
      <c r="C533" s="2445"/>
      <c r="D533" s="2444"/>
      <c r="E533" s="2444"/>
      <c r="F533" s="2444"/>
      <c r="G533" s="2441" t="s">
        <v>1269</v>
      </c>
      <c r="H533" s="2441" t="s">
        <v>1269</v>
      </c>
      <c r="I533" s="2418" t="s">
        <v>1269</v>
      </c>
      <c r="J533" s="2441"/>
      <c r="K533" s="2441"/>
      <c r="L533" s="2441"/>
      <c r="M533" s="2441"/>
      <c r="N533" s="2386"/>
      <c r="O533" s="2386"/>
    </row>
    <row r="534" spans="1:15" x14ac:dyDescent="0.4">
      <c r="A534" s="2444"/>
      <c r="B534" s="2444"/>
      <c r="C534" s="2445"/>
      <c r="D534" s="2444"/>
      <c r="E534" s="2444"/>
      <c r="F534" s="2444"/>
      <c r="G534" s="2441" t="s">
        <v>1269</v>
      </c>
      <c r="H534" s="2441" t="s">
        <v>1269</v>
      </c>
      <c r="I534" s="2418" t="s">
        <v>1269</v>
      </c>
      <c r="J534" s="2441"/>
      <c r="K534" s="2441"/>
      <c r="L534" s="2441"/>
      <c r="M534" s="2441"/>
      <c r="N534" s="2386"/>
      <c r="O534" s="2386"/>
    </row>
    <row r="535" spans="1:15" x14ac:dyDescent="0.4">
      <c r="A535" s="2444"/>
      <c r="B535" s="2444"/>
      <c r="C535" s="2445"/>
      <c r="D535" s="2444"/>
      <c r="E535" s="2444"/>
      <c r="F535" s="2444"/>
      <c r="G535" s="2441" t="s">
        <v>1269</v>
      </c>
      <c r="H535" s="2441" t="s">
        <v>1269</v>
      </c>
      <c r="I535" s="2418" t="s">
        <v>1269</v>
      </c>
      <c r="J535" s="2441"/>
      <c r="K535" s="2441"/>
      <c r="L535" s="2441"/>
      <c r="M535" s="2441"/>
      <c r="N535" s="2386"/>
      <c r="O535" s="2386"/>
    </row>
    <row r="536" spans="1:15" x14ac:dyDescent="0.4">
      <c r="A536" s="2444"/>
      <c r="B536" s="2444"/>
      <c r="C536" s="2445"/>
      <c r="D536" s="2444"/>
      <c r="E536" s="2444"/>
      <c r="F536" s="2444"/>
      <c r="G536" s="2441" t="s">
        <v>1269</v>
      </c>
      <c r="H536" s="2441" t="s">
        <v>1269</v>
      </c>
      <c r="I536" s="2418" t="s">
        <v>1269</v>
      </c>
      <c r="J536" s="2441"/>
      <c r="K536" s="2441"/>
      <c r="L536" s="2441"/>
      <c r="M536" s="2441"/>
      <c r="N536" s="2386"/>
      <c r="O536" s="2386"/>
    </row>
    <row r="537" spans="1:15" x14ac:dyDescent="0.4">
      <c r="A537" s="2444"/>
      <c r="B537" s="2444"/>
      <c r="C537" s="2445"/>
      <c r="D537" s="2444"/>
      <c r="E537" s="2444"/>
      <c r="F537" s="2444"/>
      <c r="G537" s="2441" t="s">
        <v>1269</v>
      </c>
      <c r="H537" s="2441" t="s">
        <v>1269</v>
      </c>
      <c r="I537" s="2418" t="s">
        <v>1269</v>
      </c>
      <c r="J537" s="2441"/>
      <c r="K537" s="2441"/>
      <c r="L537" s="2441"/>
      <c r="M537" s="2441"/>
      <c r="N537" s="2386"/>
      <c r="O537" s="2386"/>
    </row>
    <row r="538" spans="1:15" x14ac:dyDescent="0.4">
      <c r="A538" s="2444"/>
      <c r="B538" s="2444"/>
      <c r="C538" s="2445"/>
      <c r="D538" s="2444"/>
      <c r="E538" s="2444"/>
      <c r="F538" s="2444"/>
      <c r="G538" s="2441" t="s">
        <v>1269</v>
      </c>
      <c r="H538" s="2441" t="s">
        <v>1269</v>
      </c>
      <c r="I538" s="2418" t="s">
        <v>1269</v>
      </c>
      <c r="J538" s="2441"/>
      <c r="K538" s="2441"/>
      <c r="L538" s="2441"/>
      <c r="M538" s="2441"/>
      <c r="N538" s="2386"/>
      <c r="O538" s="2386"/>
    </row>
    <row r="539" spans="1:15" x14ac:dyDescent="0.4">
      <c r="A539" s="2444"/>
      <c r="B539" s="2444"/>
      <c r="C539" s="2445"/>
      <c r="D539" s="2444"/>
      <c r="E539" s="2444"/>
      <c r="F539" s="2444"/>
      <c r="G539" s="2441" t="s">
        <v>1269</v>
      </c>
      <c r="H539" s="2441" t="s">
        <v>1269</v>
      </c>
      <c r="I539" s="2418" t="s">
        <v>1269</v>
      </c>
      <c r="J539" s="2441"/>
      <c r="K539" s="2441"/>
      <c r="L539" s="2441"/>
      <c r="M539" s="2441"/>
      <c r="N539" s="2386"/>
      <c r="O539" s="2386"/>
    </row>
    <row r="540" spans="1:15" x14ac:dyDescent="0.4">
      <c r="A540" s="2444"/>
      <c r="B540" s="2444"/>
      <c r="C540" s="2445"/>
      <c r="D540" s="2444"/>
      <c r="E540" s="2444"/>
      <c r="F540" s="2444"/>
      <c r="G540" s="2441" t="s">
        <v>1269</v>
      </c>
      <c r="H540" s="2441" t="s">
        <v>1269</v>
      </c>
      <c r="I540" s="2418" t="s">
        <v>1269</v>
      </c>
      <c r="J540" s="2441"/>
      <c r="K540" s="2441"/>
      <c r="L540" s="2441"/>
      <c r="M540" s="2441"/>
      <c r="N540" s="2386"/>
      <c r="O540" s="2386"/>
    </row>
    <row r="541" spans="1:15" x14ac:dyDescent="0.4">
      <c r="A541" s="2444"/>
      <c r="B541" s="2444"/>
      <c r="C541" s="2445"/>
      <c r="D541" s="2444"/>
      <c r="E541" s="2444"/>
      <c r="F541" s="2444"/>
      <c r="G541" s="2441" t="s">
        <v>1269</v>
      </c>
      <c r="H541" s="2441" t="s">
        <v>1269</v>
      </c>
      <c r="I541" s="2418" t="s">
        <v>1269</v>
      </c>
      <c r="J541" s="2441"/>
      <c r="K541" s="2441"/>
      <c r="L541" s="2441"/>
      <c r="M541" s="2441"/>
      <c r="N541" s="2386"/>
      <c r="O541" s="2386"/>
    </row>
    <row r="542" spans="1:15" x14ac:dyDescent="0.4">
      <c r="A542" s="2444"/>
      <c r="B542" s="2444"/>
      <c r="C542" s="2445"/>
      <c r="D542" s="2444"/>
      <c r="E542" s="2444"/>
      <c r="F542" s="2444"/>
      <c r="G542" s="2441" t="s">
        <v>1269</v>
      </c>
      <c r="H542" s="2441" t="s">
        <v>1269</v>
      </c>
      <c r="I542" s="2418" t="s">
        <v>1269</v>
      </c>
      <c r="J542" s="2441"/>
      <c r="K542" s="2441"/>
      <c r="L542" s="2441"/>
      <c r="M542" s="2441"/>
      <c r="N542" s="2386"/>
      <c r="O542" s="2386"/>
    </row>
    <row r="543" spans="1:15" x14ac:dyDescent="0.4">
      <c r="A543" s="2444"/>
      <c r="B543" s="2444"/>
      <c r="C543" s="2445"/>
      <c r="D543" s="2444"/>
      <c r="E543" s="2444"/>
      <c r="F543" s="2444"/>
      <c r="G543" s="2441" t="s">
        <v>1269</v>
      </c>
      <c r="H543" s="2441" t="s">
        <v>1269</v>
      </c>
      <c r="I543" s="2418" t="s">
        <v>1269</v>
      </c>
      <c r="J543" s="2441"/>
      <c r="K543" s="2441"/>
      <c r="L543" s="2441"/>
      <c r="M543" s="2441"/>
      <c r="N543" s="2386"/>
      <c r="O543" s="2386"/>
    </row>
    <row r="544" spans="1:15" x14ac:dyDescent="0.4">
      <c r="A544" s="2444"/>
      <c r="B544" s="2444"/>
      <c r="C544" s="2445"/>
      <c r="D544" s="2444"/>
      <c r="E544" s="2444"/>
      <c r="F544" s="2444"/>
      <c r="G544" s="2441" t="s">
        <v>1269</v>
      </c>
      <c r="H544" s="2441" t="s">
        <v>1269</v>
      </c>
      <c r="I544" s="2418" t="s">
        <v>1269</v>
      </c>
      <c r="J544" s="2441"/>
      <c r="K544" s="2441"/>
      <c r="L544" s="2441"/>
      <c r="M544" s="2441"/>
      <c r="N544" s="2386"/>
      <c r="O544" s="2386"/>
    </row>
    <row r="545" spans="1:15" x14ac:dyDescent="0.4">
      <c r="A545" s="2444"/>
      <c r="B545" s="2444"/>
      <c r="C545" s="2445"/>
      <c r="D545" s="2444"/>
      <c r="E545" s="2444"/>
      <c r="F545" s="2444"/>
      <c r="G545" s="2441" t="s">
        <v>1269</v>
      </c>
      <c r="H545" s="2441" t="s">
        <v>1269</v>
      </c>
      <c r="I545" s="2418" t="s">
        <v>1269</v>
      </c>
      <c r="J545" s="2441"/>
      <c r="K545" s="2441"/>
      <c r="L545" s="2441"/>
      <c r="M545" s="2441"/>
      <c r="N545" s="2386"/>
      <c r="O545" s="2386"/>
    </row>
    <row r="546" spans="1:15" x14ac:dyDescent="0.4">
      <c r="A546" s="2444"/>
      <c r="B546" s="2444"/>
      <c r="C546" s="2445"/>
      <c r="D546" s="2444"/>
      <c r="E546" s="2444"/>
      <c r="F546" s="2444"/>
      <c r="G546" s="2441" t="s">
        <v>1269</v>
      </c>
      <c r="H546" s="2441" t="s">
        <v>1269</v>
      </c>
      <c r="I546" s="2418" t="s">
        <v>1269</v>
      </c>
      <c r="J546" s="2441"/>
      <c r="K546" s="2441"/>
      <c r="L546" s="2441"/>
      <c r="M546" s="2441"/>
      <c r="N546" s="2386"/>
      <c r="O546" s="2386"/>
    </row>
    <row r="547" spans="1:15" x14ac:dyDescent="0.4">
      <c r="A547" s="2444"/>
      <c r="B547" s="2444"/>
      <c r="C547" s="2445"/>
      <c r="D547" s="2444"/>
      <c r="E547" s="2444"/>
      <c r="F547" s="2444"/>
      <c r="G547" s="2441" t="s">
        <v>1269</v>
      </c>
      <c r="H547" s="2441" t="s">
        <v>1269</v>
      </c>
      <c r="I547" s="2418" t="s">
        <v>1269</v>
      </c>
      <c r="J547" s="2441"/>
      <c r="K547" s="2441"/>
      <c r="L547" s="2441"/>
      <c r="M547" s="2441"/>
      <c r="N547" s="2386"/>
      <c r="O547" s="2386"/>
    </row>
    <row r="548" spans="1:15" x14ac:dyDescent="0.4">
      <c r="A548" s="2444"/>
      <c r="B548" s="2444"/>
      <c r="C548" s="2445"/>
      <c r="D548" s="2444"/>
      <c r="E548" s="2444"/>
      <c r="F548" s="2444"/>
      <c r="G548" s="2441" t="s">
        <v>1269</v>
      </c>
      <c r="H548" s="2441" t="s">
        <v>1269</v>
      </c>
      <c r="I548" s="2418" t="s">
        <v>1269</v>
      </c>
      <c r="J548" s="2441"/>
      <c r="K548" s="2441"/>
      <c r="L548" s="2441"/>
      <c r="M548" s="2441"/>
      <c r="N548" s="2386"/>
      <c r="O548" s="2386"/>
    </row>
    <row r="549" spans="1:15" x14ac:dyDescent="0.4">
      <c r="A549" s="2444"/>
      <c r="B549" s="2444"/>
      <c r="C549" s="2445"/>
      <c r="D549" s="2444"/>
      <c r="E549" s="2444"/>
      <c r="F549" s="2444"/>
      <c r="G549" s="2441" t="s">
        <v>1269</v>
      </c>
      <c r="H549" s="2441" t="s">
        <v>1269</v>
      </c>
      <c r="I549" s="2418" t="s">
        <v>1269</v>
      </c>
      <c r="J549" s="2441"/>
      <c r="K549" s="2441"/>
      <c r="L549" s="2441"/>
      <c r="M549" s="2441"/>
      <c r="N549" s="2386"/>
      <c r="O549" s="2386"/>
    </row>
    <row r="550" spans="1:15" x14ac:dyDescent="0.4">
      <c r="A550" s="2444"/>
      <c r="B550" s="2444"/>
      <c r="C550" s="2445"/>
      <c r="D550" s="2444"/>
      <c r="E550" s="2444"/>
      <c r="F550" s="2444"/>
      <c r="G550" s="2441" t="s">
        <v>1269</v>
      </c>
      <c r="H550" s="2441" t="s">
        <v>1269</v>
      </c>
      <c r="I550" s="2418" t="s">
        <v>1269</v>
      </c>
      <c r="J550" s="2441"/>
      <c r="K550" s="2441"/>
      <c r="L550" s="2441"/>
      <c r="M550" s="2441"/>
      <c r="N550" s="2386"/>
      <c r="O550" s="2386"/>
    </row>
    <row r="551" spans="1:15" x14ac:dyDescent="0.4">
      <c r="A551" s="2444"/>
      <c r="B551" s="2444"/>
      <c r="C551" s="2445"/>
      <c r="D551" s="2444"/>
      <c r="E551" s="2444"/>
      <c r="F551" s="2444"/>
      <c r="G551" s="2441" t="s">
        <v>1269</v>
      </c>
      <c r="H551" s="2441" t="s">
        <v>1269</v>
      </c>
      <c r="I551" s="2418" t="s">
        <v>1269</v>
      </c>
      <c r="J551" s="2441"/>
      <c r="K551" s="2441"/>
      <c r="L551" s="2441"/>
      <c r="M551" s="2441"/>
      <c r="N551" s="2386"/>
      <c r="O551" s="2386"/>
    </row>
    <row r="552" spans="1:15" x14ac:dyDescent="0.4">
      <c r="A552" s="2444"/>
      <c r="B552" s="2444"/>
      <c r="C552" s="2445"/>
      <c r="D552" s="2444"/>
      <c r="E552" s="2444"/>
      <c r="F552" s="2444"/>
      <c r="G552" s="2441" t="s">
        <v>1269</v>
      </c>
      <c r="H552" s="2441" t="s">
        <v>1269</v>
      </c>
      <c r="I552" s="2418" t="s">
        <v>1269</v>
      </c>
      <c r="J552" s="2441"/>
      <c r="K552" s="2441"/>
      <c r="L552" s="2441"/>
      <c r="M552" s="2441"/>
      <c r="N552" s="2386"/>
      <c r="O552" s="2386"/>
    </row>
    <row r="553" spans="1:15" x14ac:dyDescent="0.4">
      <c r="A553" s="2444"/>
      <c r="B553" s="2444"/>
      <c r="C553" s="2445"/>
      <c r="D553" s="2444"/>
      <c r="E553" s="2444"/>
      <c r="F553" s="2444"/>
      <c r="G553" s="2441" t="s">
        <v>1269</v>
      </c>
      <c r="H553" s="2441" t="s">
        <v>1269</v>
      </c>
      <c r="I553" s="2418" t="s">
        <v>1269</v>
      </c>
      <c r="J553" s="2441"/>
      <c r="K553" s="2441"/>
      <c r="L553" s="2441"/>
      <c r="M553" s="2441"/>
      <c r="N553" s="2386"/>
      <c r="O553" s="2386"/>
    </row>
    <row r="554" spans="1:15" x14ac:dyDescent="0.4">
      <c r="A554" s="2444"/>
      <c r="B554" s="2444"/>
      <c r="C554" s="2445"/>
      <c r="D554" s="2444"/>
      <c r="E554" s="2444"/>
      <c r="F554" s="2444"/>
      <c r="G554" s="2441" t="s">
        <v>1269</v>
      </c>
      <c r="H554" s="2441" t="s">
        <v>1269</v>
      </c>
      <c r="I554" s="2418" t="s">
        <v>1269</v>
      </c>
      <c r="J554" s="2441"/>
      <c r="K554" s="2441"/>
      <c r="L554" s="2441"/>
      <c r="M554" s="2441"/>
      <c r="N554" s="2386"/>
      <c r="O554" s="2386"/>
    </row>
    <row r="555" spans="1:15" x14ac:dyDescent="0.4">
      <c r="A555" s="2444"/>
      <c r="B555" s="2444"/>
      <c r="C555" s="2445"/>
      <c r="D555" s="2444"/>
      <c r="E555" s="2444"/>
      <c r="F555" s="2444"/>
      <c r="G555" s="2441" t="s">
        <v>1269</v>
      </c>
      <c r="H555" s="2441" t="s">
        <v>1269</v>
      </c>
      <c r="I555" s="2418" t="s">
        <v>1269</v>
      </c>
      <c r="J555" s="2441"/>
      <c r="K555" s="2441"/>
      <c r="L555" s="2441"/>
      <c r="M555" s="2441"/>
      <c r="N555" s="2386"/>
      <c r="O555" s="2386"/>
    </row>
    <row r="556" spans="1:15" x14ac:dyDescent="0.4">
      <c r="A556" s="2444"/>
      <c r="B556" s="2444"/>
      <c r="C556" s="2445"/>
      <c r="D556" s="2444"/>
      <c r="E556" s="2444"/>
      <c r="F556" s="2444"/>
      <c r="G556" s="2441" t="s">
        <v>1269</v>
      </c>
      <c r="H556" s="2441" t="s">
        <v>1269</v>
      </c>
      <c r="I556" s="2418" t="s">
        <v>1269</v>
      </c>
      <c r="J556" s="2441"/>
      <c r="K556" s="2441"/>
      <c r="L556" s="2441"/>
      <c r="M556" s="2441"/>
      <c r="N556" s="2386"/>
      <c r="O556" s="2386"/>
    </row>
    <row r="557" spans="1:15" x14ac:dyDescent="0.4">
      <c r="A557" s="2444"/>
      <c r="B557" s="2444"/>
      <c r="C557" s="2445"/>
      <c r="D557" s="2444"/>
      <c r="E557" s="2444"/>
      <c r="F557" s="2444"/>
      <c r="G557" s="2441" t="s">
        <v>1269</v>
      </c>
      <c r="H557" s="2441" t="s">
        <v>1269</v>
      </c>
      <c r="I557" s="2418" t="s">
        <v>1269</v>
      </c>
      <c r="J557" s="2441"/>
      <c r="K557" s="2441"/>
      <c r="L557" s="2441"/>
      <c r="M557" s="2441"/>
      <c r="N557" s="2386"/>
      <c r="O557" s="2386"/>
    </row>
    <row r="558" spans="1:15" x14ac:dyDescent="0.4">
      <c r="A558" s="2444"/>
      <c r="B558" s="2444"/>
      <c r="C558" s="2445"/>
      <c r="D558" s="2444"/>
      <c r="E558" s="2444"/>
      <c r="F558" s="2444"/>
      <c r="G558" s="2441" t="s">
        <v>1269</v>
      </c>
      <c r="H558" s="2441" t="s">
        <v>1269</v>
      </c>
      <c r="I558" s="2418" t="s">
        <v>1269</v>
      </c>
      <c r="J558" s="2441"/>
      <c r="K558" s="2441"/>
      <c r="L558" s="2441"/>
      <c r="M558" s="2441"/>
      <c r="N558" s="2386"/>
      <c r="O558" s="2386"/>
    </row>
    <row r="559" spans="1:15" x14ac:dyDescent="0.4">
      <c r="A559" s="2444"/>
      <c r="B559" s="2444"/>
      <c r="C559" s="2445"/>
      <c r="D559" s="2444"/>
      <c r="E559" s="2444"/>
      <c r="F559" s="2444"/>
      <c r="G559" s="2441" t="s">
        <v>1269</v>
      </c>
      <c r="H559" s="2441" t="s">
        <v>1269</v>
      </c>
      <c r="I559" s="2418" t="s">
        <v>1269</v>
      </c>
      <c r="J559" s="2441"/>
      <c r="K559" s="2441"/>
      <c r="L559" s="2441"/>
      <c r="M559" s="2441"/>
      <c r="N559" s="2386"/>
      <c r="O559" s="2386"/>
    </row>
    <row r="560" spans="1:15" x14ac:dyDescent="0.4">
      <c r="A560" s="2444"/>
      <c r="B560" s="2444"/>
      <c r="C560" s="2445"/>
      <c r="D560" s="2444"/>
      <c r="E560" s="2444"/>
      <c r="F560" s="2444"/>
      <c r="G560" s="2441" t="s">
        <v>1269</v>
      </c>
      <c r="H560" s="2441" t="s">
        <v>1269</v>
      </c>
      <c r="I560" s="2418" t="s">
        <v>1269</v>
      </c>
      <c r="J560" s="2441"/>
      <c r="K560" s="2441"/>
      <c r="L560" s="2441"/>
      <c r="M560" s="2441"/>
      <c r="N560" s="2386"/>
      <c r="O560" s="2386"/>
    </row>
    <row r="561" spans="1:15" x14ac:dyDescent="0.4">
      <c r="A561" s="2444"/>
      <c r="B561" s="2444"/>
      <c r="C561" s="2445"/>
      <c r="D561" s="2444"/>
      <c r="E561" s="2444"/>
      <c r="F561" s="2444"/>
      <c r="G561" s="2441" t="s">
        <v>1269</v>
      </c>
      <c r="H561" s="2441" t="s">
        <v>1269</v>
      </c>
      <c r="I561" s="2418" t="s">
        <v>1269</v>
      </c>
      <c r="J561" s="2441"/>
      <c r="K561" s="2441"/>
      <c r="L561" s="2441"/>
      <c r="M561" s="2441"/>
      <c r="N561" s="2386"/>
      <c r="O561" s="2386"/>
    </row>
    <row r="562" spans="1:15" x14ac:dyDescent="0.4">
      <c r="A562" s="2444"/>
      <c r="B562" s="2444"/>
      <c r="C562" s="2445"/>
      <c r="D562" s="2444"/>
      <c r="E562" s="2444"/>
      <c r="F562" s="2444"/>
      <c r="G562" s="2441" t="s">
        <v>1269</v>
      </c>
      <c r="H562" s="2441" t="s">
        <v>1269</v>
      </c>
      <c r="I562" s="2418" t="s">
        <v>1269</v>
      </c>
      <c r="J562" s="2441"/>
      <c r="K562" s="2441"/>
      <c r="L562" s="2441"/>
      <c r="M562" s="2441"/>
      <c r="N562" s="2386"/>
      <c r="O562" s="2386"/>
    </row>
    <row r="563" spans="1:15" x14ac:dyDescent="0.4">
      <c r="A563" s="2444"/>
      <c r="B563" s="2444"/>
      <c r="C563" s="2445"/>
      <c r="D563" s="2444"/>
      <c r="E563" s="2444"/>
      <c r="F563" s="2444"/>
      <c r="G563" s="2441" t="s">
        <v>1269</v>
      </c>
      <c r="H563" s="2441" t="s">
        <v>1269</v>
      </c>
      <c r="I563" s="2418" t="s">
        <v>1269</v>
      </c>
      <c r="J563" s="2441"/>
      <c r="K563" s="2441"/>
      <c r="L563" s="2441"/>
      <c r="M563" s="2441"/>
      <c r="N563" s="2386"/>
      <c r="O563" s="2386"/>
    </row>
    <row r="564" spans="1:15" x14ac:dyDescent="0.4">
      <c r="A564" s="2444"/>
      <c r="B564" s="2444"/>
      <c r="C564" s="2445"/>
      <c r="D564" s="2444"/>
      <c r="E564" s="2444"/>
      <c r="F564" s="2444"/>
      <c r="G564" s="2441" t="s">
        <v>1269</v>
      </c>
      <c r="H564" s="2441" t="s">
        <v>1269</v>
      </c>
      <c r="I564" s="2418" t="s">
        <v>1269</v>
      </c>
      <c r="J564" s="2441"/>
      <c r="K564" s="2441"/>
      <c r="L564" s="2441"/>
      <c r="M564" s="2441"/>
      <c r="N564" s="2386"/>
      <c r="O564" s="2386"/>
    </row>
    <row r="565" spans="1:15" x14ac:dyDescent="0.4">
      <c r="A565" s="2444"/>
      <c r="B565" s="2444"/>
      <c r="C565" s="2445"/>
      <c r="D565" s="2444"/>
      <c r="E565" s="2444"/>
      <c r="F565" s="2444"/>
      <c r="G565" s="2441" t="s">
        <v>1269</v>
      </c>
      <c r="H565" s="2441" t="s">
        <v>1269</v>
      </c>
      <c r="I565" s="2418" t="s">
        <v>1269</v>
      </c>
      <c r="J565" s="2441"/>
      <c r="K565" s="2441"/>
      <c r="L565" s="2441"/>
      <c r="M565" s="2441"/>
      <c r="N565" s="2386"/>
      <c r="O565" s="2386"/>
    </row>
    <row r="566" spans="1:15" x14ac:dyDescent="0.4">
      <c r="A566" s="2444"/>
      <c r="B566" s="2444"/>
      <c r="C566" s="2445"/>
      <c r="D566" s="2444"/>
      <c r="E566" s="2444"/>
      <c r="F566" s="2444"/>
      <c r="G566" s="2441" t="s">
        <v>1269</v>
      </c>
      <c r="H566" s="2441" t="s">
        <v>1269</v>
      </c>
      <c r="I566" s="2418" t="s">
        <v>1269</v>
      </c>
      <c r="J566" s="2441"/>
      <c r="K566" s="2441"/>
      <c r="L566" s="2441"/>
      <c r="M566" s="2441"/>
      <c r="N566" s="2386"/>
      <c r="O566" s="2386"/>
    </row>
    <row r="567" spans="1:15" x14ac:dyDescent="0.4">
      <c r="A567" s="2444"/>
      <c r="B567" s="2444"/>
      <c r="C567" s="2445"/>
      <c r="D567" s="2444"/>
      <c r="E567" s="2444"/>
      <c r="F567" s="2444"/>
      <c r="G567" s="2441" t="s">
        <v>1269</v>
      </c>
      <c r="H567" s="2441" t="s">
        <v>1269</v>
      </c>
      <c r="I567" s="2418" t="s">
        <v>1269</v>
      </c>
      <c r="J567" s="2441"/>
      <c r="K567" s="2441"/>
      <c r="L567" s="2441"/>
      <c r="M567" s="2441"/>
      <c r="N567" s="2386"/>
      <c r="O567" s="2386"/>
    </row>
    <row r="568" spans="1:15" x14ac:dyDescent="0.4">
      <c r="A568" s="2444"/>
      <c r="B568" s="2444"/>
      <c r="C568" s="2445"/>
      <c r="D568" s="2444"/>
      <c r="E568" s="2444"/>
      <c r="F568" s="2444"/>
      <c r="G568" s="2441" t="s">
        <v>1269</v>
      </c>
      <c r="H568" s="2441" t="s">
        <v>1269</v>
      </c>
      <c r="I568" s="2418" t="s">
        <v>1269</v>
      </c>
      <c r="J568" s="2441"/>
      <c r="K568" s="2441"/>
      <c r="L568" s="2441"/>
      <c r="M568" s="2441"/>
      <c r="N568" s="2386"/>
      <c r="O568" s="2386"/>
    </row>
    <row r="569" spans="1:15" x14ac:dyDescent="0.4">
      <c r="A569" s="2444"/>
      <c r="B569" s="2444"/>
      <c r="C569" s="2445"/>
      <c r="D569" s="2444"/>
      <c r="E569" s="2444"/>
      <c r="F569" s="2444"/>
      <c r="G569" s="2441" t="s">
        <v>1269</v>
      </c>
      <c r="H569" s="2441" t="s">
        <v>1269</v>
      </c>
      <c r="I569" s="2418" t="s">
        <v>1269</v>
      </c>
      <c r="J569" s="2441"/>
      <c r="K569" s="2441"/>
      <c r="L569" s="2441"/>
      <c r="M569" s="2441"/>
      <c r="N569" s="2386"/>
      <c r="O569" s="2386"/>
    </row>
    <row r="570" spans="1:15" x14ac:dyDescent="0.4">
      <c r="A570" s="2444"/>
      <c r="B570" s="2444"/>
      <c r="C570" s="2445"/>
      <c r="D570" s="2444"/>
      <c r="E570" s="2444"/>
      <c r="F570" s="2444"/>
      <c r="G570" s="2441" t="s">
        <v>1269</v>
      </c>
      <c r="H570" s="2441" t="s">
        <v>1269</v>
      </c>
      <c r="I570" s="2418" t="s">
        <v>1269</v>
      </c>
      <c r="J570" s="2441"/>
      <c r="K570" s="2441"/>
      <c r="L570" s="2441"/>
      <c r="M570" s="2441"/>
      <c r="N570" s="2386"/>
      <c r="O570" s="2386"/>
    </row>
    <row r="571" spans="1:15" x14ac:dyDescent="0.4">
      <c r="A571" s="2444"/>
      <c r="B571" s="2444"/>
      <c r="C571" s="2445"/>
      <c r="D571" s="2444"/>
      <c r="E571" s="2444"/>
      <c r="F571" s="2444"/>
      <c r="G571" s="2441" t="s">
        <v>1269</v>
      </c>
      <c r="H571" s="2441" t="s">
        <v>1269</v>
      </c>
      <c r="I571" s="2418" t="s">
        <v>1269</v>
      </c>
      <c r="J571" s="2441"/>
      <c r="K571" s="2441"/>
      <c r="L571" s="2441"/>
      <c r="M571" s="2441"/>
      <c r="N571" s="2386"/>
      <c r="O571" s="2386"/>
    </row>
    <row r="572" spans="1:15" x14ac:dyDescent="0.4">
      <c r="A572" s="2444"/>
      <c r="B572" s="2444"/>
      <c r="C572" s="2445"/>
      <c r="D572" s="2444"/>
      <c r="E572" s="2444"/>
      <c r="F572" s="2444"/>
      <c r="G572" s="2441" t="s">
        <v>1269</v>
      </c>
      <c r="H572" s="2441" t="s">
        <v>1269</v>
      </c>
      <c r="I572" s="2418" t="s">
        <v>1269</v>
      </c>
      <c r="J572" s="2441"/>
      <c r="K572" s="2441"/>
      <c r="L572" s="2441"/>
      <c r="M572" s="2441"/>
      <c r="N572" s="2386"/>
      <c r="O572" s="2386"/>
    </row>
    <row r="573" spans="1:15" x14ac:dyDescent="0.4">
      <c r="A573" s="2444"/>
      <c r="B573" s="2444"/>
      <c r="C573" s="2445"/>
      <c r="D573" s="2444"/>
      <c r="E573" s="2444"/>
      <c r="F573" s="2444"/>
      <c r="G573" s="2441" t="s">
        <v>1269</v>
      </c>
      <c r="H573" s="2441" t="s">
        <v>1269</v>
      </c>
      <c r="I573" s="2418" t="s">
        <v>1269</v>
      </c>
      <c r="J573" s="2441"/>
      <c r="K573" s="2441"/>
      <c r="L573" s="2441"/>
      <c r="M573" s="2441"/>
      <c r="N573" s="2386"/>
      <c r="O573" s="2386"/>
    </row>
    <row r="574" spans="1:15" x14ac:dyDescent="0.4">
      <c r="A574" s="2444"/>
      <c r="B574" s="2444"/>
      <c r="C574" s="2445"/>
      <c r="D574" s="2444"/>
      <c r="E574" s="2444"/>
      <c r="F574" s="2444"/>
      <c r="G574" s="2441" t="s">
        <v>1269</v>
      </c>
      <c r="H574" s="2441" t="s">
        <v>1269</v>
      </c>
      <c r="I574" s="2418" t="s">
        <v>1269</v>
      </c>
      <c r="J574" s="2441"/>
      <c r="K574" s="2441"/>
      <c r="L574" s="2441"/>
      <c r="M574" s="2441"/>
      <c r="N574" s="2386"/>
      <c r="O574" s="2386"/>
    </row>
    <row r="575" spans="1:15" x14ac:dyDescent="0.4">
      <c r="A575" s="2444"/>
      <c r="B575" s="2444"/>
      <c r="C575" s="2445"/>
      <c r="D575" s="2444"/>
      <c r="E575" s="2444"/>
      <c r="F575" s="2444"/>
      <c r="G575" s="2441" t="s">
        <v>1269</v>
      </c>
      <c r="H575" s="2441" t="s">
        <v>1269</v>
      </c>
      <c r="I575" s="2418" t="s">
        <v>1269</v>
      </c>
      <c r="J575" s="2441"/>
      <c r="K575" s="2441"/>
      <c r="L575" s="2441"/>
      <c r="M575" s="2441"/>
      <c r="N575" s="2386"/>
      <c r="O575" s="2386"/>
    </row>
    <row r="576" spans="1:15" x14ac:dyDescent="0.4">
      <c r="A576" s="2444"/>
      <c r="B576" s="2444"/>
      <c r="C576" s="2445"/>
      <c r="D576" s="2444"/>
      <c r="E576" s="2444"/>
      <c r="F576" s="2444"/>
      <c r="G576" s="2441" t="s">
        <v>1269</v>
      </c>
      <c r="H576" s="2441" t="s">
        <v>1269</v>
      </c>
      <c r="I576" s="2418" t="s">
        <v>1269</v>
      </c>
      <c r="J576" s="2441"/>
      <c r="K576" s="2441"/>
      <c r="L576" s="2441"/>
      <c r="M576" s="2441"/>
      <c r="N576" s="2386"/>
      <c r="O576" s="2386"/>
    </row>
    <row r="577" spans="1:15" x14ac:dyDescent="0.4">
      <c r="A577" s="2444"/>
      <c r="B577" s="2444"/>
      <c r="C577" s="2445"/>
      <c r="D577" s="2444"/>
      <c r="E577" s="2444"/>
      <c r="F577" s="2444"/>
      <c r="G577" s="2441" t="s">
        <v>1269</v>
      </c>
      <c r="H577" s="2441" t="s">
        <v>1269</v>
      </c>
      <c r="I577" s="2418" t="s">
        <v>1269</v>
      </c>
      <c r="J577" s="2441"/>
      <c r="K577" s="2441"/>
      <c r="L577" s="2441"/>
      <c r="M577" s="2441"/>
      <c r="N577" s="2386"/>
      <c r="O577" s="2386"/>
    </row>
    <row r="578" spans="1:15" x14ac:dyDescent="0.4">
      <c r="A578" s="2444"/>
      <c r="B578" s="2444"/>
      <c r="C578" s="2445"/>
      <c r="D578" s="2444"/>
      <c r="E578" s="2444"/>
      <c r="F578" s="2444"/>
      <c r="G578" s="2441" t="s">
        <v>1269</v>
      </c>
      <c r="H578" s="2441" t="s">
        <v>1269</v>
      </c>
      <c r="I578" s="2418" t="s">
        <v>1269</v>
      </c>
      <c r="J578" s="2441"/>
      <c r="K578" s="2441"/>
      <c r="L578" s="2441"/>
      <c r="M578" s="2441"/>
      <c r="N578" s="2386"/>
      <c r="O578" s="2386"/>
    </row>
    <row r="579" spans="1:15" x14ac:dyDescent="0.4">
      <c r="A579" s="2444"/>
      <c r="B579" s="2444"/>
      <c r="C579" s="2445"/>
      <c r="D579" s="2444"/>
      <c r="E579" s="2444"/>
      <c r="F579" s="2444"/>
      <c r="G579" s="2441" t="s">
        <v>1269</v>
      </c>
      <c r="H579" s="2441" t="s">
        <v>1269</v>
      </c>
      <c r="I579" s="2418" t="s">
        <v>1269</v>
      </c>
      <c r="J579" s="2441"/>
      <c r="K579" s="2441"/>
      <c r="L579" s="2441"/>
      <c r="M579" s="2441"/>
      <c r="N579" s="2386"/>
      <c r="O579" s="2386"/>
    </row>
    <row r="580" spans="1:15" x14ac:dyDescent="0.4">
      <c r="A580" s="2444"/>
      <c r="B580" s="2444"/>
      <c r="C580" s="2445"/>
      <c r="D580" s="2444"/>
      <c r="E580" s="2444"/>
      <c r="F580" s="2444"/>
      <c r="G580" s="2441" t="s">
        <v>1269</v>
      </c>
      <c r="H580" s="2441" t="s">
        <v>1269</v>
      </c>
      <c r="I580" s="2418" t="s">
        <v>1269</v>
      </c>
      <c r="J580" s="2441"/>
      <c r="K580" s="2441"/>
      <c r="L580" s="2441"/>
      <c r="M580" s="2441"/>
      <c r="N580" s="2386"/>
      <c r="O580" s="2386"/>
    </row>
    <row r="581" spans="1:15" x14ac:dyDescent="0.4">
      <c r="A581" s="2444"/>
      <c r="B581" s="2444"/>
      <c r="C581" s="2445"/>
      <c r="D581" s="2444"/>
      <c r="E581" s="2444"/>
      <c r="F581" s="2444"/>
      <c r="G581" s="2441" t="s">
        <v>1269</v>
      </c>
      <c r="H581" s="2441" t="s">
        <v>1269</v>
      </c>
      <c r="I581" s="2418" t="s">
        <v>1269</v>
      </c>
      <c r="J581" s="2441"/>
      <c r="K581" s="2441"/>
      <c r="L581" s="2441"/>
      <c r="M581" s="2441"/>
      <c r="N581" s="2386"/>
      <c r="O581" s="2386"/>
    </row>
    <row r="582" spans="1:15" x14ac:dyDescent="0.4">
      <c r="A582" s="2444"/>
      <c r="B582" s="2444"/>
      <c r="C582" s="2445"/>
      <c r="D582" s="2444"/>
      <c r="E582" s="2444"/>
      <c r="F582" s="2444"/>
      <c r="G582" s="2441" t="s">
        <v>1269</v>
      </c>
      <c r="H582" s="2441" t="s">
        <v>1269</v>
      </c>
      <c r="I582" s="2418" t="s">
        <v>1269</v>
      </c>
      <c r="J582" s="2441"/>
      <c r="K582" s="2441"/>
      <c r="L582" s="2441"/>
      <c r="M582" s="2441"/>
      <c r="N582" s="2386"/>
      <c r="O582" s="2386"/>
    </row>
    <row r="583" spans="1:15" x14ac:dyDescent="0.4">
      <c r="A583" s="2444"/>
      <c r="B583" s="2444"/>
      <c r="C583" s="2445"/>
      <c r="D583" s="2444"/>
      <c r="E583" s="2444"/>
      <c r="F583" s="2444"/>
      <c r="G583" s="2441" t="s">
        <v>1269</v>
      </c>
      <c r="H583" s="2441" t="s">
        <v>1269</v>
      </c>
      <c r="I583" s="2418" t="s">
        <v>1269</v>
      </c>
      <c r="J583" s="2441"/>
      <c r="K583" s="2441"/>
      <c r="L583" s="2441"/>
      <c r="M583" s="2441"/>
      <c r="N583" s="2386"/>
      <c r="O583" s="2386"/>
    </row>
    <row r="584" spans="1:15" x14ac:dyDescent="0.4">
      <c r="A584" s="2444"/>
      <c r="B584" s="2444"/>
      <c r="C584" s="2445"/>
      <c r="D584" s="2444"/>
      <c r="E584" s="2444"/>
      <c r="F584" s="2444"/>
      <c r="G584" s="2441" t="s">
        <v>1269</v>
      </c>
      <c r="H584" s="2441" t="s">
        <v>1269</v>
      </c>
      <c r="I584" s="2418" t="s">
        <v>1269</v>
      </c>
      <c r="J584" s="2441"/>
      <c r="K584" s="2441"/>
      <c r="L584" s="2441"/>
      <c r="M584" s="2441"/>
      <c r="N584" s="2386"/>
      <c r="O584" s="2386"/>
    </row>
    <row r="585" spans="1:15" x14ac:dyDescent="0.4">
      <c r="A585" s="2444"/>
      <c r="B585" s="2444"/>
      <c r="C585" s="2445"/>
      <c r="D585" s="2444"/>
      <c r="E585" s="2444"/>
      <c r="F585" s="2444"/>
      <c r="G585" s="2441" t="s">
        <v>1269</v>
      </c>
      <c r="H585" s="2441" t="s">
        <v>1269</v>
      </c>
      <c r="I585" s="2418" t="s">
        <v>1269</v>
      </c>
      <c r="J585" s="2441"/>
      <c r="K585" s="2441"/>
      <c r="L585" s="2441"/>
      <c r="M585" s="2441"/>
      <c r="N585" s="2386"/>
      <c r="O585" s="2386"/>
    </row>
    <row r="586" spans="1:15" x14ac:dyDescent="0.4">
      <c r="A586" s="2444"/>
      <c r="B586" s="2444"/>
      <c r="C586" s="2445"/>
      <c r="D586" s="2444"/>
      <c r="E586" s="2444"/>
      <c r="F586" s="2444"/>
      <c r="G586" s="2441" t="s">
        <v>1269</v>
      </c>
      <c r="H586" s="2441" t="s">
        <v>1269</v>
      </c>
      <c r="I586" s="2418" t="s">
        <v>1269</v>
      </c>
      <c r="J586" s="2441"/>
      <c r="K586" s="2441"/>
      <c r="L586" s="2441"/>
      <c r="M586" s="2441"/>
      <c r="N586" s="2386"/>
      <c r="O586" s="2386"/>
    </row>
    <row r="587" spans="1:15" x14ac:dyDescent="0.4">
      <c r="A587" s="2444"/>
      <c r="B587" s="2444"/>
      <c r="C587" s="2445"/>
      <c r="D587" s="2444"/>
      <c r="E587" s="2444"/>
      <c r="F587" s="2444"/>
      <c r="G587" s="2441" t="s">
        <v>1269</v>
      </c>
      <c r="H587" s="2441" t="s">
        <v>1269</v>
      </c>
      <c r="I587" s="2418" t="s">
        <v>1269</v>
      </c>
      <c r="J587" s="2441"/>
      <c r="K587" s="2441"/>
      <c r="L587" s="2441"/>
      <c r="M587" s="2441"/>
      <c r="N587" s="2386"/>
      <c r="O587" s="2386"/>
    </row>
    <row r="588" spans="1:15" x14ac:dyDescent="0.4">
      <c r="A588" s="2444"/>
      <c r="B588" s="2444"/>
      <c r="C588" s="2445"/>
      <c r="D588" s="2444"/>
      <c r="E588" s="2444"/>
      <c r="F588" s="2444"/>
      <c r="G588" s="2441" t="s">
        <v>1269</v>
      </c>
      <c r="H588" s="2441" t="s">
        <v>1269</v>
      </c>
      <c r="I588" s="2418" t="s">
        <v>1269</v>
      </c>
      <c r="J588" s="2441"/>
      <c r="K588" s="2441"/>
      <c r="L588" s="2441"/>
      <c r="M588" s="2441"/>
      <c r="N588" s="2386"/>
      <c r="O588" s="2386"/>
    </row>
    <row r="589" spans="1:15" x14ac:dyDescent="0.4">
      <c r="A589" s="2444"/>
      <c r="B589" s="2444"/>
      <c r="C589" s="2445"/>
      <c r="D589" s="2444"/>
      <c r="E589" s="2444"/>
      <c r="F589" s="2444"/>
      <c r="G589" s="2441" t="s">
        <v>1269</v>
      </c>
      <c r="H589" s="2441" t="s">
        <v>1269</v>
      </c>
      <c r="I589" s="2418" t="s">
        <v>1269</v>
      </c>
      <c r="J589" s="2441"/>
      <c r="K589" s="2441"/>
      <c r="L589" s="2441"/>
      <c r="M589" s="2441"/>
      <c r="N589" s="2386"/>
      <c r="O589" s="2386"/>
    </row>
    <row r="590" spans="1:15" x14ac:dyDescent="0.4">
      <c r="A590" s="2444"/>
      <c r="B590" s="2444"/>
      <c r="C590" s="2445"/>
      <c r="D590" s="2444"/>
      <c r="E590" s="2444"/>
      <c r="F590" s="2444"/>
      <c r="G590" s="2441" t="s">
        <v>1269</v>
      </c>
      <c r="H590" s="2441" t="s">
        <v>1269</v>
      </c>
      <c r="I590" s="2418" t="s">
        <v>1269</v>
      </c>
      <c r="J590" s="2441"/>
      <c r="K590" s="2441"/>
      <c r="L590" s="2441"/>
      <c r="M590" s="2441"/>
      <c r="N590" s="2386"/>
      <c r="O590" s="2386"/>
    </row>
    <row r="591" spans="1:15" x14ac:dyDescent="0.4">
      <c r="A591" s="2444"/>
      <c r="B591" s="2444"/>
      <c r="C591" s="2445"/>
      <c r="D591" s="2444"/>
      <c r="E591" s="2444"/>
      <c r="F591" s="2444"/>
      <c r="G591" s="2441" t="s">
        <v>1269</v>
      </c>
      <c r="H591" s="2441" t="s">
        <v>1269</v>
      </c>
      <c r="I591" s="2418" t="s">
        <v>1269</v>
      </c>
      <c r="J591" s="2441"/>
      <c r="K591" s="2441"/>
      <c r="L591" s="2441"/>
      <c r="M591" s="2441"/>
      <c r="N591" s="2386"/>
      <c r="O591" s="2386"/>
    </row>
    <row r="592" spans="1:15" x14ac:dyDescent="0.4">
      <c r="A592" s="2444"/>
      <c r="B592" s="2444"/>
      <c r="C592" s="2445"/>
      <c r="D592" s="2444"/>
      <c r="E592" s="2444"/>
      <c r="F592" s="2444"/>
      <c r="G592" s="2441" t="s">
        <v>1269</v>
      </c>
      <c r="H592" s="2441" t="s">
        <v>1269</v>
      </c>
      <c r="I592" s="2418" t="s">
        <v>1269</v>
      </c>
      <c r="J592" s="2441"/>
      <c r="K592" s="2441"/>
      <c r="L592" s="2441"/>
      <c r="M592" s="2441"/>
      <c r="N592" s="2386"/>
      <c r="O592" s="2386"/>
    </row>
    <row r="593" spans="1:15" x14ac:dyDescent="0.4">
      <c r="A593" s="2444"/>
      <c r="B593" s="2444"/>
      <c r="C593" s="2445"/>
      <c r="D593" s="2444"/>
      <c r="E593" s="2444"/>
      <c r="F593" s="2444"/>
      <c r="G593" s="2441" t="s">
        <v>1269</v>
      </c>
      <c r="H593" s="2441" t="s">
        <v>1269</v>
      </c>
      <c r="I593" s="2418" t="s">
        <v>1269</v>
      </c>
      <c r="J593" s="2441"/>
      <c r="K593" s="2441"/>
      <c r="L593" s="2441"/>
      <c r="M593" s="2441"/>
      <c r="N593" s="2386"/>
      <c r="O593" s="2386"/>
    </row>
    <row r="594" spans="1:15" x14ac:dyDescent="0.4">
      <c r="A594" s="2444"/>
      <c r="B594" s="2444"/>
      <c r="C594" s="2445"/>
      <c r="D594" s="2444"/>
      <c r="E594" s="2444"/>
      <c r="F594" s="2444"/>
      <c r="G594" s="2441" t="s">
        <v>1269</v>
      </c>
      <c r="H594" s="2441" t="s">
        <v>1269</v>
      </c>
      <c r="I594" s="2418" t="s">
        <v>1269</v>
      </c>
      <c r="J594" s="2441"/>
      <c r="K594" s="2441"/>
      <c r="L594" s="2441"/>
      <c r="M594" s="2441"/>
      <c r="N594" s="2386"/>
      <c r="O594" s="2386"/>
    </row>
    <row r="595" spans="1:15" x14ac:dyDescent="0.4">
      <c r="A595" s="2444"/>
      <c r="B595" s="2444"/>
      <c r="C595" s="2445"/>
      <c r="D595" s="2444"/>
      <c r="E595" s="2444"/>
      <c r="F595" s="2444"/>
      <c r="G595" s="2441" t="s">
        <v>1269</v>
      </c>
      <c r="H595" s="2441" t="s">
        <v>1269</v>
      </c>
      <c r="I595" s="2418" t="s">
        <v>1269</v>
      </c>
      <c r="J595" s="2441"/>
      <c r="K595" s="2441"/>
      <c r="L595" s="2441"/>
      <c r="M595" s="2441"/>
      <c r="N595" s="2386"/>
      <c r="O595" s="2386"/>
    </row>
    <row r="596" spans="1:15" x14ac:dyDescent="0.4">
      <c r="A596" s="2444"/>
      <c r="B596" s="2444"/>
      <c r="C596" s="2445"/>
      <c r="D596" s="2444"/>
      <c r="E596" s="2444"/>
      <c r="F596" s="2444"/>
      <c r="G596" s="2441" t="s">
        <v>1269</v>
      </c>
      <c r="H596" s="2441" t="s">
        <v>1269</v>
      </c>
      <c r="I596" s="2418" t="s">
        <v>1269</v>
      </c>
      <c r="J596" s="2441"/>
      <c r="K596" s="2441"/>
      <c r="L596" s="2441"/>
      <c r="M596" s="2441"/>
      <c r="N596" s="2386"/>
      <c r="O596" s="2386"/>
    </row>
    <row r="597" spans="1:15" x14ac:dyDescent="0.4">
      <c r="A597" s="2444"/>
      <c r="B597" s="2444"/>
      <c r="C597" s="2445"/>
      <c r="D597" s="2444"/>
      <c r="E597" s="2444"/>
      <c r="F597" s="2444"/>
      <c r="G597" s="2441" t="s">
        <v>1269</v>
      </c>
      <c r="H597" s="2441" t="s">
        <v>1269</v>
      </c>
      <c r="I597" s="2418" t="s">
        <v>1269</v>
      </c>
      <c r="J597" s="2441"/>
      <c r="K597" s="2441"/>
      <c r="L597" s="2441"/>
      <c r="M597" s="2441"/>
      <c r="N597" s="2386"/>
      <c r="O597" s="2386"/>
    </row>
    <row r="598" spans="1:15" x14ac:dyDescent="0.4">
      <c r="A598" s="2444"/>
      <c r="B598" s="2444"/>
      <c r="C598" s="2445"/>
      <c r="D598" s="2444"/>
      <c r="E598" s="2444"/>
      <c r="F598" s="2444"/>
      <c r="G598" s="2441" t="s">
        <v>1269</v>
      </c>
      <c r="H598" s="2441" t="s">
        <v>1269</v>
      </c>
      <c r="I598" s="2418" t="s">
        <v>1269</v>
      </c>
      <c r="J598" s="2441"/>
      <c r="K598" s="2441"/>
      <c r="L598" s="2441"/>
      <c r="M598" s="2441"/>
      <c r="N598" s="2386"/>
      <c r="O598" s="2386"/>
    </row>
    <row r="599" spans="1:15" x14ac:dyDescent="0.4">
      <c r="A599" s="2444"/>
      <c r="B599" s="2444"/>
      <c r="C599" s="2445"/>
      <c r="D599" s="2444"/>
      <c r="E599" s="2444"/>
      <c r="F599" s="2444"/>
      <c r="G599" s="2441" t="s">
        <v>1269</v>
      </c>
      <c r="H599" s="2441" t="s">
        <v>1269</v>
      </c>
      <c r="I599" s="2418" t="s">
        <v>1269</v>
      </c>
      <c r="J599" s="2441"/>
      <c r="K599" s="2441"/>
      <c r="L599" s="2441"/>
      <c r="M599" s="2441"/>
      <c r="N599" s="2386"/>
      <c r="O599" s="2386"/>
    </row>
    <row r="600" spans="1:15" x14ac:dyDescent="0.4">
      <c r="A600" s="2444"/>
      <c r="B600" s="2444"/>
      <c r="C600" s="2445"/>
      <c r="D600" s="2444"/>
      <c r="E600" s="2444"/>
      <c r="F600" s="2444"/>
      <c r="G600" s="2441" t="s">
        <v>1269</v>
      </c>
      <c r="H600" s="2441" t="s">
        <v>1269</v>
      </c>
      <c r="I600" s="2418" t="s">
        <v>1269</v>
      </c>
      <c r="J600" s="2441"/>
      <c r="K600" s="2441"/>
      <c r="L600" s="2441"/>
      <c r="M600" s="2441"/>
      <c r="N600" s="2386"/>
      <c r="O600" s="2386"/>
    </row>
    <row r="601" spans="1:15" x14ac:dyDescent="0.4">
      <c r="A601" s="2444"/>
      <c r="B601" s="2444"/>
      <c r="C601" s="2445"/>
      <c r="D601" s="2444"/>
      <c r="E601" s="2444"/>
      <c r="F601" s="2444"/>
      <c r="G601" s="2441" t="s">
        <v>1269</v>
      </c>
      <c r="H601" s="2441" t="s">
        <v>1269</v>
      </c>
      <c r="I601" s="2418" t="s">
        <v>1269</v>
      </c>
      <c r="J601" s="2441"/>
      <c r="K601" s="2441"/>
      <c r="L601" s="2441"/>
      <c r="M601" s="2441"/>
      <c r="N601" s="2386"/>
      <c r="O601" s="2386"/>
    </row>
    <row r="602" spans="1:15" x14ac:dyDescent="0.4">
      <c r="A602" s="2444"/>
      <c r="B602" s="2444"/>
      <c r="C602" s="2445"/>
      <c r="D602" s="2444"/>
      <c r="E602" s="2444"/>
      <c r="F602" s="2444"/>
      <c r="G602" s="2441" t="s">
        <v>1269</v>
      </c>
      <c r="H602" s="2441" t="s">
        <v>1269</v>
      </c>
      <c r="I602" s="2418" t="s">
        <v>1269</v>
      </c>
      <c r="J602" s="2441"/>
      <c r="K602" s="2441"/>
      <c r="L602" s="2441"/>
      <c r="M602" s="2441"/>
      <c r="N602" s="2386"/>
      <c r="O602" s="2386"/>
    </row>
    <row r="603" spans="1:15" x14ac:dyDescent="0.4">
      <c r="A603" s="2444"/>
      <c r="B603" s="2444"/>
      <c r="C603" s="2445"/>
      <c r="D603" s="2444"/>
      <c r="E603" s="2444"/>
      <c r="F603" s="2444"/>
      <c r="G603" s="2441" t="s">
        <v>1269</v>
      </c>
      <c r="H603" s="2441" t="s">
        <v>1269</v>
      </c>
      <c r="I603" s="2418" t="s">
        <v>1269</v>
      </c>
      <c r="J603" s="2441"/>
      <c r="K603" s="2441"/>
      <c r="L603" s="2441"/>
      <c r="M603" s="2441"/>
      <c r="N603" s="2386"/>
      <c r="O603" s="2386"/>
    </row>
    <row r="604" spans="1:15" x14ac:dyDescent="0.4">
      <c r="A604" s="2444"/>
      <c r="B604" s="2444"/>
      <c r="C604" s="2445"/>
      <c r="D604" s="2444"/>
      <c r="E604" s="2444"/>
      <c r="F604" s="2444"/>
      <c r="G604" s="2441" t="s">
        <v>1269</v>
      </c>
      <c r="H604" s="2441" t="s">
        <v>1269</v>
      </c>
      <c r="I604" s="2418" t="s">
        <v>1269</v>
      </c>
      <c r="J604" s="2441"/>
      <c r="K604" s="2441"/>
      <c r="L604" s="2441"/>
      <c r="M604" s="2441"/>
      <c r="N604" s="2386"/>
      <c r="O604" s="2386"/>
    </row>
    <row r="605" spans="1:15" x14ac:dyDescent="0.4">
      <c r="A605" s="2444"/>
      <c r="B605" s="2444"/>
      <c r="C605" s="2445"/>
      <c r="D605" s="2444"/>
      <c r="E605" s="2444"/>
      <c r="F605" s="2444"/>
      <c r="G605" s="2441" t="s">
        <v>1269</v>
      </c>
      <c r="H605" s="2441" t="s">
        <v>1269</v>
      </c>
      <c r="I605" s="2418" t="s">
        <v>1269</v>
      </c>
      <c r="J605" s="2441"/>
      <c r="K605" s="2441"/>
      <c r="L605" s="2441"/>
      <c r="M605" s="2441"/>
      <c r="N605" s="2386"/>
      <c r="O605" s="2386"/>
    </row>
    <row r="606" spans="1:15" x14ac:dyDescent="0.4">
      <c r="A606" s="2444"/>
      <c r="B606" s="2444"/>
      <c r="C606" s="2445"/>
      <c r="D606" s="2444"/>
      <c r="E606" s="2444"/>
      <c r="F606" s="2444"/>
      <c r="G606" s="2441" t="s">
        <v>1269</v>
      </c>
      <c r="H606" s="2441" t="s">
        <v>1269</v>
      </c>
      <c r="I606" s="2418" t="s">
        <v>1269</v>
      </c>
      <c r="J606" s="2441"/>
      <c r="K606" s="2441"/>
      <c r="L606" s="2441"/>
      <c r="M606" s="2441"/>
      <c r="N606" s="2386"/>
      <c r="O606" s="2386"/>
    </row>
    <row r="607" spans="1:15" x14ac:dyDescent="0.4">
      <c r="A607" s="2444"/>
      <c r="B607" s="2444"/>
      <c r="C607" s="2445"/>
      <c r="D607" s="2444"/>
      <c r="E607" s="2444"/>
      <c r="F607" s="2444"/>
      <c r="G607" s="2441" t="s">
        <v>1269</v>
      </c>
      <c r="H607" s="2441" t="s">
        <v>1269</v>
      </c>
      <c r="I607" s="2418" t="s">
        <v>1269</v>
      </c>
      <c r="J607" s="2441"/>
      <c r="K607" s="2441"/>
      <c r="L607" s="2441"/>
      <c r="M607" s="2441"/>
      <c r="N607" s="2386"/>
      <c r="O607" s="2386"/>
    </row>
    <row r="608" spans="1:15" x14ac:dyDescent="0.4">
      <c r="A608" s="2444"/>
      <c r="B608" s="2444"/>
      <c r="C608" s="2445"/>
      <c r="D608" s="2444"/>
      <c r="E608" s="2444"/>
      <c r="F608" s="2444"/>
      <c r="G608" s="2441" t="s">
        <v>1269</v>
      </c>
      <c r="H608" s="2441" t="s">
        <v>1269</v>
      </c>
      <c r="I608" s="2418" t="s">
        <v>1269</v>
      </c>
      <c r="J608" s="2441"/>
      <c r="K608" s="2441"/>
      <c r="L608" s="2441"/>
      <c r="M608" s="2441"/>
      <c r="N608" s="2386"/>
      <c r="O608" s="2386"/>
    </row>
    <row r="609" spans="1:15" x14ac:dyDescent="0.4">
      <c r="A609" s="2444"/>
      <c r="B609" s="2444"/>
      <c r="C609" s="2445"/>
      <c r="D609" s="2444"/>
      <c r="E609" s="2444"/>
      <c r="F609" s="2444"/>
      <c r="G609" s="2441" t="s">
        <v>1269</v>
      </c>
      <c r="H609" s="2441" t="s">
        <v>1269</v>
      </c>
      <c r="I609" s="2418" t="s">
        <v>1269</v>
      </c>
      <c r="J609" s="2441"/>
      <c r="K609" s="2441"/>
      <c r="L609" s="2441"/>
      <c r="M609" s="2441"/>
      <c r="N609" s="2386"/>
      <c r="O609" s="2386"/>
    </row>
    <row r="610" spans="1:15" x14ac:dyDescent="0.4">
      <c r="A610" s="2444"/>
      <c r="B610" s="2444"/>
      <c r="C610" s="2445"/>
      <c r="D610" s="2444"/>
      <c r="E610" s="2444"/>
      <c r="F610" s="2444"/>
      <c r="G610" s="2441" t="s">
        <v>1269</v>
      </c>
      <c r="H610" s="2441" t="s">
        <v>1269</v>
      </c>
      <c r="I610" s="2418" t="s">
        <v>1269</v>
      </c>
      <c r="J610" s="2441"/>
      <c r="K610" s="2441"/>
      <c r="L610" s="2441"/>
      <c r="M610" s="2441"/>
      <c r="N610" s="2386"/>
      <c r="O610" s="2386"/>
    </row>
    <row r="611" spans="1:15" x14ac:dyDescent="0.4">
      <c r="A611" s="2444"/>
      <c r="B611" s="2444"/>
      <c r="C611" s="2445"/>
      <c r="D611" s="2444"/>
      <c r="E611" s="2444"/>
      <c r="F611" s="2444"/>
      <c r="G611" s="2441" t="s">
        <v>1269</v>
      </c>
      <c r="H611" s="2441" t="s">
        <v>1269</v>
      </c>
      <c r="I611" s="2418" t="s">
        <v>1269</v>
      </c>
      <c r="J611" s="2441"/>
      <c r="K611" s="2441"/>
      <c r="L611" s="2441"/>
      <c r="M611" s="2441"/>
      <c r="N611" s="2386"/>
      <c r="O611" s="2386"/>
    </row>
    <row r="612" spans="1:15" x14ac:dyDescent="0.4">
      <c r="A612" s="2444"/>
      <c r="B612" s="2444"/>
      <c r="C612" s="2445"/>
      <c r="D612" s="2444"/>
      <c r="E612" s="2444"/>
      <c r="F612" s="2444"/>
      <c r="G612" s="2441" t="s">
        <v>1269</v>
      </c>
      <c r="H612" s="2441" t="s">
        <v>1269</v>
      </c>
      <c r="I612" s="2418" t="s">
        <v>1269</v>
      </c>
      <c r="J612" s="2441"/>
      <c r="K612" s="2441"/>
      <c r="L612" s="2441"/>
      <c r="M612" s="2441"/>
      <c r="N612" s="2386"/>
      <c r="O612" s="2386"/>
    </row>
    <row r="613" spans="1:15" x14ac:dyDescent="0.4">
      <c r="A613" s="2444"/>
      <c r="B613" s="2444"/>
      <c r="C613" s="2445"/>
      <c r="D613" s="2444"/>
      <c r="E613" s="2444"/>
      <c r="F613" s="2444"/>
      <c r="G613" s="2441" t="s">
        <v>1269</v>
      </c>
      <c r="H613" s="2441" t="s">
        <v>1269</v>
      </c>
      <c r="I613" s="2418" t="s">
        <v>1269</v>
      </c>
      <c r="J613" s="2441"/>
      <c r="K613" s="2441"/>
      <c r="L613" s="2441"/>
      <c r="M613" s="2441"/>
      <c r="N613" s="2386"/>
      <c r="O613" s="2386"/>
    </row>
    <row r="614" spans="1:15" x14ac:dyDescent="0.4">
      <c r="A614" s="2444"/>
      <c r="B614" s="2444"/>
      <c r="C614" s="2445"/>
      <c r="D614" s="2444"/>
      <c r="E614" s="2444"/>
      <c r="F614" s="2444"/>
      <c r="G614" s="2441" t="s">
        <v>1269</v>
      </c>
      <c r="H614" s="2441" t="s">
        <v>1269</v>
      </c>
      <c r="I614" s="2418" t="s">
        <v>1269</v>
      </c>
      <c r="J614" s="2441"/>
      <c r="K614" s="2441"/>
      <c r="L614" s="2441"/>
      <c r="M614" s="2441"/>
      <c r="N614" s="2386"/>
      <c r="O614" s="2386"/>
    </row>
    <row r="615" spans="1:15" x14ac:dyDescent="0.4">
      <c r="A615" s="2444"/>
      <c r="B615" s="2444"/>
      <c r="C615" s="2445"/>
      <c r="D615" s="2444"/>
      <c r="E615" s="2444"/>
      <c r="F615" s="2444"/>
      <c r="G615" s="2441" t="s">
        <v>1269</v>
      </c>
      <c r="H615" s="2441" t="s">
        <v>1269</v>
      </c>
      <c r="I615" s="2418" t="s">
        <v>1269</v>
      </c>
      <c r="J615" s="2441"/>
      <c r="K615" s="2441"/>
      <c r="L615" s="2441"/>
      <c r="M615" s="2441"/>
      <c r="N615" s="2386"/>
      <c r="O615" s="2386"/>
    </row>
    <row r="616" spans="1:15" x14ac:dyDescent="0.4">
      <c r="A616" s="2444"/>
      <c r="B616" s="2444"/>
      <c r="C616" s="2445"/>
      <c r="D616" s="2444"/>
      <c r="E616" s="2444"/>
      <c r="F616" s="2444"/>
      <c r="G616" s="2441" t="s">
        <v>1269</v>
      </c>
      <c r="H616" s="2441" t="s">
        <v>1269</v>
      </c>
      <c r="I616" s="2418" t="s">
        <v>1269</v>
      </c>
      <c r="J616" s="2441"/>
      <c r="K616" s="2441"/>
      <c r="L616" s="2441"/>
      <c r="M616" s="2441"/>
      <c r="N616" s="2386"/>
      <c r="O616" s="2386"/>
    </row>
    <row r="617" spans="1:15" x14ac:dyDescent="0.4">
      <c r="A617" s="2444"/>
      <c r="B617" s="2444"/>
      <c r="C617" s="2445"/>
      <c r="D617" s="2444"/>
      <c r="E617" s="2444"/>
      <c r="F617" s="2444"/>
      <c r="G617" s="2441" t="s">
        <v>1269</v>
      </c>
      <c r="H617" s="2441" t="s">
        <v>1269</v>
      </c>
      <c r="I617" s="2418" t="s">
        <v>1269</v>
      </c>
      <c r="J617" s="2441"/>
      <c r="K617" s="2441"/>
      <c r="L617" s="2441"/>
      <c r="M617" s="2441"/>
      <c r="N617" s="2386"/>
      <c r="O617" s="2386"/>
    </row>
    <row r="618" spans="1:15" x14ac:dyDescent="0.4">
      <c r="A618" s="2444"/>
      <c r="B618" s="2444"/>
      <c r="C618" s="2445"/>
      <c r="D618" s="2444"/>
      <c r="E618" s="2444"/>
      <c r="F618" s="2444"/>
      <c r="G618" s="2441" t="s">
        <v>1269</v>
      </c>
      <c r="H618" s="2441" t="s">
        <v>1269</v>
      </c>
      <c r="I618" s="2418" t="s">
        <v>1269</v>
      </c>
      <c r="J618" s="2441"/>
      <c r="K618" s="2441"/>
      <c r="L618" s="2441"/>
      <c r="M618" s="2441"/>
      <c r="N618" s="2386"/>
      <c r="O618" s="2386"/>
    </row>
    <row r="619" spans="1:15" x14ac:dyDescent="0.4">
      <c r="A619" s="2444"/>
      <c r="B619" s="2444"/>
      <c r="C619" s="2445"/>
      <c r="D619" s="2444"/>
      <c r="E619" s="2444"/>
      <c r="F619" s="2444"/>
      <c r="G619" s="2441" t="s">
        <v>1269</v>
      </c>
      <c r="H619" s="2441" t="s">
        <v>1269</v>
      </c>
      <c r="I619" s="2418" t="s">
        <v>1269</v>
      </c>
      <c r="J619" s="2441"/>
      <c r="K619" s="2441"/>
      <c r="L619" s="2441"/>
      <c r="M619" s="2441"/>
      <c r="N619" s="2386"/>
      <c r="O619" s="2386"/>
    </row>
    <row r="620" spans="1:15" x14ac:dyDescent="0.4">
      <c r="A620" s="2444"/>
      <c r="B620" s="2444"/>
      <c r="C620" s="2445"/>
      <c r="D620" s="2444"/>
      <c r="E620" s="2444"/>
      <c r="F620" s="2444"/>
      <c r="G620" s="2441" t="s">
        <v>1269</v>
      </c>
      <c r="H620" s="2441" t="s">
        <v>1269</v>
      </c>
      <c r="I620" s="2418" t="s">
        <v>1269</v>
      </c>
      <c r="J620" s="2441"/>
      <c r="K620" s="2441"/>
      <c r="L620" s="2441"/>
      <c r="M620" s="2441"/>
      <c r="N620" s="2386"/>
      <c r="O620" s="2386"/>
    </row>
    <row r="621" spans="1:15" x14ac:dyDescent="0.4">
      <c r="A621" s="2444"/>
      <c r="B621" s="2444"/>
      <c r="C621" s="2445"/>
      <c r="D621" s="2444"/>
      <c r="E621" s="2444"/>
      <c r="F621" s="2444"/>
      <c r="G621" s="2441" t="s">
        <v>1269</v>
      </c>
      <c r="H621" s="2441" t="s">
        <v>1269</v>
      </c>
      <c r="I621" s="2418" t="s">
        <v>1269</v>
      </c>
      <c r="J621" s="2441"/>
      <c r="K621" s="2441"/>
      <c r="L621" s="2441"/>
      <c r="M621" s="2441"/>
      <c r="N621" s="2386"/>
      <c r="O621" s="2386"/>
    </row>
    <row r="622" spans="1:15" x14ac:dyDescent="0.4">
      <c r="A622" s="2444"/>
      <c r="B622" s="2444"/>
      <c r="C622" s="2445"/>
      <c r="D622" s="2444"/>
      <c r="E622" s="2444"/>
      <c r="F622" s="2444"/>
      <c r="G622" s="2441" t="s">
        <v>1269</v>
      </c>
      <c r="H622" s="2441" t="s">
        <v>1269</v>
      </c>
      <c r="I622" s="2418" t="s">
        <v>1269</v>
      </c>
      <c r="J622" s="2441"/>
      <c r="K622" s="2441"/>
      <c r="L622" s="2441"/>
      <c r="M622" s="2441"/>
      <c r="N622" s="2386"/>
      <c r="O622" s="2386"/>
    </row>
    <row r="623" spans="1:15" x14ac:dyDescent="0.4">
      <c r="A623" s="2444"/>
      <c r="B623" s="2444"/>
      <c r="C623" s="2445"/>
      <c r="D623" s="2444"/>
      <c r="E623" s="2444"/>
      <c r="F623" s="2444"/>
      <c r="G623" s="2441" t="s">
        <v>1269</v>
      </c>
      <c r="H623" s="2441" t="s">
        <v>1269</v>
      </c>
      <c r="I623" s="2418" t="s">
        <v>1269</v>
      </c>
      <c r="J623" s="2441"/>
      <c r="K623" s="2441"/>
      <c r="L623" s="2441"/>
      <c r="M623" s="2441"/>
      <c r="N623" s="2386"/>
      <c r="O623" s="2386"/>
    </row>
    <row r="624" spans="1:15" x14ac:dyDescent="0.4">
      <c r="A624" s="2444"/>
      <c r="B624" s="2444"/>
      <c r="C624" s="2445"/>
      <c r="D624" s="2444"/>
      <c r="E624" s="2444"/>
      <c r="F624" s="2444"/>
      <c r="G624" s="2441" t="s">
        <v>1269</v>
      </c>
      <c r="H624" s="2441" t="s">
        <v>1269</v>
      </c>
      <c r="I624" s="2418" t="s">
        <v>1269</v>
      </c>
      <c r="J624" s="2441"/>
      <c r="K624" s="2441"/>
      <c r="L624" s="2441"/>
      <c r="M624" s="2441"/>
      <c r="N624" s="2386"/>
      <c r="O624" s="2386"/>
    </row>
    <row r="625" spans="1:15" x14ac:dyDescent="0.4">
      <c r="A625" s="2444"/>
      <c r="B625" s="2444"/>
      <c r="C625" s="2445"/>
      <c r="D625" s="2444"/>
      <c r="E625" s="2444"/>
      <c r="F625" s="2444"/>
      <c r="G625" s="2441" t="s">
        <v>1269</v>
      </c>
      <c r="H625" s="2441" t="s">
        <v>1269</v>
      </c>
      <c r="I625" s="2418" t="s">
        <v>1269</v>
      </c>
      <c r="J625" s="2441"/>
      <c r="K625" s="2441"/>
      <c r="L625" s="2441"/>
      <c r="M625" s="2441"/>
      <c r="N625" s="2386"/>
      <c r="O625" s="2386"/>
    </row>
    <row r="626" spans="1:15" x14ac:dyDescent="0.4">
      <c r="A626" s="2444"/>
      <c r="B626" s="2444"/>
      <c r="C626" s="2445"/>
      <c r="D626" s="2444"/>
      <c r="E626" s="2444"/>
      <c r="F626" s="2444"/>
      <c r="G626" s="2441" t="s">
        <v>1269</v>
      </c>
      <c r="H626" s="2441" t="s">
        <v>1269</v>
      </c>
      <c r="I626" s="2418" t="s">
        <v>1269</v>
      </c>
      <c r="J626" s="2441"/>
      <c r="K626" s="2441"/>
      <c r="L626" s="2441"/>
      <c r="M626" s="2441"/>
      <c r="N626" s="2386"/>
      <c r="O626" s="2386"/>
    </row>
    <row r="627" spans="1:15" x14ac:dyDescent="0.4">
      <c r="A627" s="2444"/>
      <c r="B627" s="2444"/>
      <c r="C627" s="2445"/>
      <c r="D627" s="2444"/>
      <c r="E627" s="2444"/>
      <c r="F627" s="2444"/>
      <c r="G627" s="2441" t="s">
        <v>1269</v>
      </c>
      <c r="H627" s="2441" t="s">
        <v>1269</v>
      </c>
      <c r="I627" s="2418" t="s">
        <v>1269</v>
      </c>
      <c r="J627" s="2441"/>
      <c r="K627" s="2441"/>
      <c r="L627" s="2441"/>
      <c r="M627" s="2441"/>
      <c r="N627" s="2386"/>
      <c r="O627" s="2386"/>
    </row>
    <row r="628" spans="1:15" x14ac:dyDescent="0.4">
      <c r="A628" s="2444"/>
      <c r="B628" s="2444"/>
      <c r="C628" s="2445"/>
      <c r="D628" s="2444"/>
      <c r="E628" s="2444"/>
      <c r="F628" s="2444"/>
      <c r="G628" s="2441" t="s">
        <v>1269</v>
      </c>
      <c r="H628" s="2441" t="s">
        <v>1269</v>
      </c>
      <c r="I628" s="2418" t="s">
        <v>1269</v>
      </c>
      <c r="J628" s="2441"/>
      <c r="K628" s="2441"/>
      <c r="L628" s="2441"/>
      <c r="M628" s="2441"/>
      <c r="N628" s="2386"/>
      <c r="O628" s="2386"/>
    </row>
    <row r="629" spans="1:15" x14ac:dyDescent="0.4">
      <c r="A629" s="2444"/>
      <c r="B629" s="2444"/>
      <c r="C629" s="2445"/>
      <c r="D629" s="2444"/>
      <c r="E629" s="2444"/>
      <c r="F629" s="2444"/>
      <c r="G629" s="2441" t="s">
        <v>1269</v>
      </c>
      <c r="H629" s="2441" t="s">
        <v>1269</v>
      </c>
      <c r="I629" s="2418" t="s">
        <v>1269</v>
      </c>
      <c r="J629" s="2441"/>
      <c r="K629" s="2441"/>
      <c r="L629" s="2441"/>
      <c r="M629" s="2441"/>
      <c r="N629" s="2386"/>
      <c r="O629" s="2386"/>
    </row>
    <row r="630" spans="1:15" x14ac:dyDescent="0.4">
      <c r="A630" s="2444"/>
      <c r="B630" s="2444"/>
      <c r="C630" s="2445"/>
      <c r="D630" s="2444"/>
      <c r="E630" s="2444"/>
      <c r="F630" s="2444"/>
      <c r="G630" s="2441" t="s">
        <v>1269</v>
      </c>
      <c r="H630" s="2441" t="s">
        <v>1269</v>
      </c>
      <c r="I630" s="2418" t="s">
        <v>1269</v>
      </c>
      <c r="J630" s="2441"/>
      <c r="K630" s="2441"/>
      <c r="L630" s="2441"/>
      <c r="M630" s="2441"/>
      <c r="N630" s="2386"/>
      <c r="O630" s="2386"/>
    </row>
    <row r="631" spans="1:15" x14ac:dyDescent="0.4">
      <c r="A631" s="2444"/>
      <c r="B631" s="2444"/>
      <c r="C631" s="2445"/>
      <c r="D631" s="2444"/>
      <c r="E631" s="2444"/>
      <c r="F631" s="2444"/>
      <c r="G631" s="2441" t="s">
        <v>1269</v>
      </c>
      <c r="H631" s="2441" t="s">
        <v>1269</v>
      </c>
      <c r="I631" s="2418" t="s">
        <v>1269</v>
      </c>
      <c r="J631" s="2441"/>
      <c r="K631" s="2441"/>
      <c r="L631" s="2441"/>
      <c r="M631" s="2441"/>
      <c r="N631" s="2386"/>
      <c r="O631" s="2386"/>
    </row>
    <row r="632" spans="1:15" x14ac:dyDescent="0.4">
      <c r="A632" s="2444"/>
      <c r="B632" s="2444"/>
      <c r="C632" s="2445"/>
      <c r="D632" s="2444"/>
      <c r="E632" s="2444"/>
      <c r="F632" s="2444"/>
      <c r="G632" s="2441" t="s">
        <v>1269</v>
      </c>
      <c r="H632" s="2441" t="s">
        <v>1269</v>
      </c>
      <c r="I632" s="2418" t="s">
        <v>1269</v>
      </c>
      <c r="J632" s="2441"/>
      <c r="K632" s="2441"/>
      <c r="L632" s="2441"/>
      <c r="M632" s="2441"/>
      <c r="N632" s="2386"/>
      <c r="O632" s="2386"/>
    </row>
    <row r="633" spans="1:15" x14ac:dyDescent="0.4">
      <c r="A633" s="2444"/>
      <c r="B633" s="2444"/>
      <c r="C633" s="2445"/>
      <c r="D633" s="2444"/>
      <c r="E633" s="2444"/>
      <c r="F633" s="2444"/>
      <c r="G633" s="2441" t="s">
        <v>1269</v>
      </c>
      <c r="H633" s="2441" t="s">
        <v>1269</v>
      </c>
      <c r="I633" s="2418" t="s">
        <v>1269</v>
      </c>
      <c r="J633" s="2441"/>
      <c r="K633" s="2441"/>
      <c r="L633" s="2441"/>
      <c r="M633" s="2441"/>
      <c r="N633" s="2386"/>
      <c r="O633" s="2386"/>
    </row>
    <row r="634" spans="1:15" x14ac:dyDescent="0.4">
      <c r="A634" s="2444"/>
      <c r="B634" s="2444"/>
      <c r="C634" s="2445"/>
      <c r="D634" s="2444"/>
      <c r="E634" s="2444"/>
      <c r="F634" s="2444"/>
      <c r="G634" s="2441" t="s">
        <v>1269</v>
      </c>
      <c r="H634" s="2441" t="s">
        <v>1269</v>
      </c>
      <c r="I634" s="2418" t="s">
        <v>1269</v>
      </c>
      <c r="J634" s="2441"/>
      <c r="K634" s="2441"/>
      <c r="L634" s="2441"/>
      <c r="M634" s="2441"/>
      <c r="N634" s="2386"/>
      <c r="O634" s="2386"/>
    </row>
    <row r="635" spans="1:15" x14ac:dyDescent="0.4">
      <c r="A635" s="2444"/>
      <c r="B635" s="2444"/>
      <c r="C635" s="2445"/>
      <c r="D635" s="2444"/>
      <c r="E635" s="2444"/>
      <c r="F635" s="2444"/>
      <c r="G635" s="2441" t="s">
        <v>1269</v>
      </c>
      <c r="H635" s="2441" t="s">
        <v>1269</v>
      </c>
      <c r="I635" s="2418" t="s">
        <v>1269</v>
      </c>
      <c r="J635" s="2441"/>
      <c r="K635" s="2441"/>
      <c r="L635" s="2441"/>
      <c r="M635" s="2441"/>
      <c r="N635" s="2386"/>
      <c r="O635" s="2386"/>
    </row>
    <row r="636" spans="1:15" x14ac:dyDescent="0.4">
      <c r="A636" s="2444"/>
      <c r="B636" s="2444"/>
      <c r="C636" s="2445"/>
      <c r="D636" s="2444"/>
      <c r="E636" s="2444"/>
      <c r="F636" s="2444"/>
      <c r="G636" s="2441" t="s">
        <v>1269</v>
      </c>
      <c r="H636" s="2441" t="s">
        <v>1269</v>
      </c>
      <c r="I636" s="2418" t="s">
        <v>1269</v>
      </c>
      <c r="J636" s="2441"/>
      <c r="K636" s="2441"/>
      <c r="L636" s="2441"/>
      <c r="M636" s="2441"/>
      <c r="N636" s="2386"/>
      <c r="O636" s="2386"/>
    </row>
    <row r="637" spans="1:15" x14ac:dyDescent="0.4">
      <c r="A637" s="2444"/>
      <c r="B637" s="2444"/>
      <c r="C637" s="2445"/>
      <c r="D637" s="2444"/>
      <c r="E637" s="2444"/>
      <c r="F637" s="2444"/>
      <c r="G637" s="2441" t="s">
        <v>1269</v>
      </c>
      <c r="H637" s="2441" t="s">
        <v>1269</v>
      </c>
      <c r="I637" s="2418" t="s">
        <v>1269</v>
      </c>
      <c r="J637" s="2441"/>
      <c r="K637" s="2441"/>
      <c r="L637" s="2441"/>
      <c r="M637" s="2441"/>
      <c r="N637" s="2386"/>
      <c r="O637" s="2386"/>
    </row>
    <row r="638" spans="1:15" x14ac:dyDescent="0.4">
      <c r="A638" s="2444"/>
      <c r="B638" s="2444"/>
      <c r="C638" s="2445"/>
      <c r="D638" s="2444"/>
      <c r="E638" s="2444"/>
      <c r="F638" s="2444"/>
      <c r="G638" s="2441" t="s">
        <v>1269</v>
      </c>
      <c r="H638" s="2441" t="s">
        <v>1269</v>
      </c>
      <c r="I638" s="2418" t="s">
        <v>1269</v>
      </c>
      <c r="J638" s="2441"/>
      <c r="K638" s="2441"/>
      <c r="L638" s="2441"/>
      <c r="M638" s="2441"/>
      <c r="N638" s="2386"/>
      <c r="O638" s="2386"/>
    </row>
    <row r="639" spans="1:15" x14ac:dyDescent="0.4">
      <c r="A639" s="2444"/>
      <c r="B639" s="2444"/>
      <c r="C639" s="2445"/>
      <c r="D639" s="2444"/>
      <c r="E639" s="2444"/>
      <c r="F639" s="2444"/>
      <c r="G639" s="2441" t="s">
        <v>1269</v>
      </c>
      <c r="H639" s="2441" t="s">
        <v>1269</v>
      </c>
      <c r="I639" s="2418" t="s">
        <v>1269</v>
      </c>
      <c r="J639" s="2441"/>
      <c r="K639" s="2441"/>
      <c r="L639" s="2441"/>
      <c r="M639" s="2441"/>
      <c r="N639" s="2386"/>
      <c r="O639" s="2386"/>
    </row>
    <row r="640" spans="1:15" x14ac:dyDescent="0.4">
      <c r="A640" s="2444"/>
      <c r="B640" s="2444"/>
      <c r="C640" s="2445"/>
      <c r="D640" s="2444"/>
      <c r="E640" s="2444"/>
      <c r="F640" s="2444"/>
      <c r="G640" s="2441" t="s">
        <v>1269</v>
      </c>
      <c r="H640" s="2441" t="s">
        <v>1269</v>
      </c>
      <c r="I640" s="2418" t="s">
        <v>1269</v>
      </c>
      <c r="J640" s="2441"/>
      <c r="K640" s="2441"/>
      <c r="L640" s="2441"/>
      <c r="M640" s="2441"/>
      <c r="N640" s="2386"/>
      <c r="O640" s="2386"/>
    </row>
    <row r="641" spans="1:15" x14ac:dyDescent="0.4">
      <c r="A641" s="2444"/>
      <c r="B641" s="2444"/>
      <c r="C641" s="2445"/>
      <c r="D641" s="2444"/>
      <c r="E641" s="2444"/>
      <c r="F641" s="2444"/>
      <c r="G641" s="2441" t="s">
        <v>1269</v>
      </c>
      <c r="H641" s="2441" t="s">
        <v>1269</v>
      </c>
      <c r="I641" s="2418" t="s">
        <v>1269</v>
      </c>
      <c r="J641" s="2441"/>
      <c r="K641" s="2441"/>
      <c r="L641" s="2441"/>
      <c r="M641" s="2441"/>
      <c r="N641" s="2386"/>
      <c r="O641" s="2386"/>
    </row>
    <row r="642" spans="1:15" x14ac:dyDescent="0.4">
      <c r="A642" s="2444"/>
      <c r="B642" s="2444"/>
      <c r="C642" s="2445"/>
      <c r="D642" s="2444"/>
      <c r="E642" s="2444"/>
      <c r="F642" s="2444"/>
      <c r="G642" s="2441" t="s">
        <v>1269</v>
      </c>
      <c r="H642" s="2441" t="s">
        <v>1269</v>
      </c>
      <c r="I642" s="2418" t="s">
        <v>1269</v>
      </c>
      <c r="J642" s="2441"/>
      <c r="K642" s="2441"/>
      <c r="L642" s="2441"/>
      <c r="M642" s="2441"/>
      <c r="N642" s="2386"/>
      <c r="O642" s="2386"/>
    </row>
    <row r="643" spans="1:15" x14ac:dyDescent="0.4">
      <c r="A643" s="2444"/>
      <c r="B643" s="2444"/>
      <c r="C643" s="2445"/>
      <c r="D643" s="2444"/>
      <c r="E643" s="2444"/>
      <c r="F643" s="2444"/>
      <c r="G643" s="2441" t="s">
        <v>1269</v>
      </c>
      <c r="H643" s="2441" t="s">
        <v>1269</v>
      </c>
      <c r="I643" s="2418" t="s">
        <v>1269</v>
      </c>
      <c r="J643" s="2441"/>
      <c r="K643" s="2441"/>
      <c r="L643" s="2441"/>
      <c r="M643" s="2441"/>
      <c r="N643" s="2386"/>
      <c r="O643" s="2386"/>
    </row>
    <row r="644" spans="1:15" x14ac:dyDescent="0.4">
      <c r="A644" s="2444"/>
      <c r="B644" s="2444"/>
      <c r="C644" s="2445"/>
      <c r="D644" s="2444"/>
      <c r="E644" s="2444"/>
      <c r="F644" s="2444"/>
      <c r="G644" s="2441" t="s">
        <v>1269</v>
      </c>
      <c r="H644" s="2441" t="s">
        <v>1269</v>
      </c>
      <c r="I644" s="2418" t="s">
        <v>1269</v>
      </c>
      <c r="J644" s="2441"/>
      <c r="K644" s="2441"/>
      <c r="L644" s="2441"/>
      <c r="M644" s="2441"/>
      <c r="N644" s="2386"/>
      <c r="O644" s="2386"/>
    </row>
    <row r="645" spans="1:15" x14ac:dyDescent="0.4">
      <c r="A645" s="2444"/>
      <c r="B645" s="2444"/>
      <c r="C645" s="2445"/>
      <c r="D645" s="2444"/>
      <c r="E645" s="2444"/>
      <c r="F645" s="2444"/>
      <c r="G645" s="2441" t="s">
        <v>1269</v>
      </c>
      <c r="H645" s="2441" t="s">
        <v>1269</v>
      </c>
      <c r="I645" s="2418" t="s">
        <v>1269</v>
      </c>
      <c r="J645" s="2441"/>
      <c r="K645" s="2441"/>
      <c r="L645" s="2441"/>
      <c r="M645" s="2441"/>
      <c r="N645" s="2386"/>
      <c r="O645" s="2386"/>
    </row>
    <row r="646" spans="1:15" x14ac:dyDescent="0.4">
      <c r="A646" s="2444"/>
      <c r="B646" s="2444"/>
      <c r="C646" s="2445"/>
      <c r="D646" s="2444"/>
      <c r="E646" s="2444"/>
      <c r="F646" s="2444"/>
      <c r="G646" s="2441" t="s">
        <v>1269</v>
      </c>
      <c r="H646" s="2441" t="s">
        <v>1269</v>
      </c>
      <c r="I646" s="2418" t="s">
        <v>1269</v>
      </c>
      <c r="J646" s="2441"/>
      <c r="K646" s="2441"/>
      <c r="L646" s="2441"/>
      <c r="M646" s="2441"/>
      <c r="N646" s="2386"/>
      <c r="O646" s="2386"/>
    </row>
    <row r="647" spans="1:15" x14ac:dyDescent="0.4">
      <c r="A647" s="2444"/>
      <c r="B647" s="2444"/>
      <c r="C647" s="2445"/>
      <c r="D647" s="2444"/>
      <c r="E647" s="2444"/>
      <c r="F647" s="2444"/>
      <c r="G647" s="2441" t="s">
        <v>1269</v>
      </c>
      <c r="H647" s="2441" t="s">
        <v>1269</v>
      </c>
      <c r="I647" s="2418" t="s">
        <v>1269</v>
      </c>
      <c r="J647" s="2441"/>
      <c r="K647" s="2441"/>
      <c r="L647" s="2441"/>
      <c r="M647" s="2441"/>
      <c r="N647" s="2386"/>
      <c r="O647" s="2386"/>
    </row>
    <row r="648" spans="1:15" x14ac:dyDescent="0.4">
      <c r="A648" s="2444"/>
      <c r="B648" s="2444"/>
      <c r="C648" s="2445"/>
      <c r="D648" s="2444"/>
      <c r="E648" s="2444"/>
      <c r="F648" s="2444"/>
      <c r="G648" s="2441" t="s">
        <v>1269</v>
      </c>
      <c r="H648" s="2441" t="s">
        <v>1269</v>
      </c>
      <c r="I648" s="2418" t="s">
        <v>1269</v>
      </c>
      <c r="J648" s="2441"/>
      <c r="K648" s="2441"/>
      <c r="L648" s="2441"/>
      <c r="M648" s="2441"/>
      <c r="N648" s="2386"/>
      <c r="O648" s="2386"/>
    </row>
    <row r="649" spans="1:15" x14ac:dyDescent="0.4">
      <c r="A649" s="2444"/>
      <c r="B649" s="2444"/>
      <c r="C649" s="2445"/>
      <c r="D649" s="2444"/>
      <c r="E649" s="2444"/>
      <c r="F649" s="2444"/>
      <c r="G649" s="2441" t="s">
        <v>1269</v>
      </c>
      <c r="H649" s="2441" t="s">
        <v>1269</v>
      </c>
      <c r="I649" s="2418" t="s">
        <v>1269</v>
      </c>
      <c r="J649" s="2441"/>
      <c r="K649" s="2441"/>
      <c r="L649" s="2441"/>
      <c r="M649" s="2441"/>
      <c r="N649" s="2386"/>
      <c r="O649" s="2386"/>
    </row>
    <row r="650" spans="1:15" x14ac:dyDescent="0.4">
      <c r="A650" s="2444"/>
      <c r="B650" s="2444"/>
      <c r="C650" s="2445"/>
      <c r="D650" s="2444"/>
      <c r="E650" s="2444"/>
      <c r="F650" s="2444"/>
      <c r="G650" s="2441" t="s">
        <v>1269</v>
      </c>
      <c r="H650" s="2441" t="s">
        <v>1269</v>
      </c>
      <c r="I650" s="2418" t="s">
        <v>1269</v>
      </c>
      <c r="J650" s="2441"/>
      <c r="K650" s="2441"/>
      <c r="L650" s="2441"/>
      <c r="M650" s="2441"/>
      <c r="N650" s="2386"/>
      <c r="O650" s="2386"/>
    </row>
    <row r="651" spans="1:15" x14ac:dyDescent="0.4">
      <c r="A651" s="2444"/>
      <c r="B651" s="2444"/>
      <c r="C651" s="2445"/>
      <c r="D651" s="2444"/>
      <c r="E651" s="2444"/>
      <c r="F651" s="2444"/>
      <c r="G651" s="2441" t="s">
        <v>1269</v>
      </c>
      <c r="H651" s="2441" t="s">
        <v>1269</v>
      </c>
      <c r="I651" s="2418" t="s">
        <v>1269</v>
      </c>
      <c r="J651" s="2441"/>
      <c r="K651" s="2441"/>
      <c r="L651" s="2441"/>
      <c r="M651" s="2441"/>
      <c r="N651" s="2386"/>
      <c r="O651" s="2386"/>
    </row>
    <row r="652" spans="1:15" x14ac:dyDescent="0.4">
      <c r="A652" s="2444"/>
      <c r="B652" s="2444"/>
      <c r="C652" s="2445"/>
      <c r="D652" s="2444"/>
      <c r="E652" s="2444"/>
      <c r="F652" s="2444"/>
      <c r="G652" s="2441" t="s">
        <v>1269</v>
      </c>
      <c r="H652" s="2441" t="s">
        <v>1269</v>
      </c>
      <c r="I652" s="2418" t="s">
        <v>1269</v>
      </c>
      <c r="J652" s="2441"/>
      <c r="K652" s="2441"/>
      <c r="L652" s="2441"/>
      <c r="M652" s="2441"/>
      <c r="N652" s="2386"/>
      <c r="O652" s="2386"/>
    </row>
    <row r="653" spans="1:15" x14ac:dyDescent="0.4">
      <c r="A653" s="2444"/>
      <c r="B653" s="2444"/>
      <c r="C653" s="2445"/>
      <c r="D653" s="2444"/>
      <c r="E653" s="2444"/>
      <c r="F653" s="2444"/>
      <c r="G653" s="2441" t="s">
        <v>1269</v>
      </c>
      <c r="H653" s="2441" t="s">
        <v>1269</v>
      </c>
      <c r="I653" s="2418" t="s">
        <v>1269</v>
      </c>
      <c r="J653" s="2441"/>
      <c r="K653" s="2441"/>
      <c r="L653" s="2441"/>
      <c r="M653" s="2441"/>
      <c r="N653" s="2386"/>
      <c r="O653" s="2386"/>
    </row>
    <row r="654" spans="1:15" x14ac:dyDescent="0.4">
      <c r="A654" s="2444"/>
      <c r="B654" s="2444"/>
      <c r="C654" s="2445"/>
      <c r="D654" s="2444"/>
      <c r="E654" s="2444"/>
      <c r="F654" s="2444"/>
      <c r="G654" s="2441" t="s">
        <v>1269</v>
      </c>
      <c r="H654" s="2441" t="s">
        <v>1269</v>
      </c>
      <c r="I654" s="2418" t="s">
        <v>1269</v>
      </c>
      <c r="J654" s="2441"/>
      <c r="K654" s="2441"/>
      <c r="L654" s="2441"/>
      <c r="M654" s="2441"/>
      <c r="N654" s="2386"/>
      <c r="O654" s="2386"/>
    </row>
    <row r="655" spans="1:15" x14ac:dyDescent="0.4">
      <c r="A655" s="2444"/>
      <c r="B655" s="2444"/>
      <c r="C655" s="2445"/>
      <c r="D655" s="2444"/>
      <c r="E655" s="2444"/>
      <c r="F655" s="2444"/>
      <c r="G655" s="2441" t="s">
        <v>1269</v>
      </c>
      <c r="H655" s="2441" t="s">
        <v>1269</v>
      </c>
      <c r="I655" s="2418" t="s">
        <v>1269</v>
      </c>
      <c r="J655" s="2441"/>
      <c r="K655" s="2441"/>
      <c r="L655" s="2441"/>
      <c r="M655" s="2441"/>
      <c r="N655" s="2386"/>
      <c r="O655" s="2386"/>
    </row>
    <row r="656" spans="1:15" x14ac:dyDescent="0.4">
      <c r="A656" s="2444"/>
      <c r="B656" s="2444"/>
      <c r="C656" s="2445"/>
      <c r="D656" s="2444"/>
      <c r="E656" s="2444"/>
      <c r="F656" s="2444"/>
      <c r="G656" s="2441" t="s">
        <v>1269</v>
      </c>
      <c r="H656" s="2441" t="s">
        <v>1269</v>
      </c>
      <c r="I656" s="2418" t="s">
        <v>1269</v>
      </c>
      <c r="J656" s="2441"/>
      <c r="K656" s="2441"/>
      <c r="L656" s="2441"/>
      <c r="M656" s="2441"/>
      <c r="N656" s="2386"/>
      <c r="O656" s="2386"/>
    </row>
    <row r="657" spans="1:16" x14ac:dyDescent="0.4">
      <c r="A657" s="2444"/>
      <c r="B657" s="2444"/>
      <c r="C657" s="2445"/>
      <c r="D657" s="2444"/>
      <c r="E657" s="2444"/>
      <c r="F657" s="2444"/>
      <c r="G657" s="2441" t="s">
        <v>1269</v>
      </c>
      <c r="H657" s="2441" t="s">
        <v>1269</v>
      </c>
      <c r="I657" s="2418" t="s">
        <v>1269</v>
      </c>
      <c r="J657" s="2441"/>
      <c r="K657" s="2441"/>
      <c r="L657" s="2441"/>
      <c r="M657" s="2441"/>
      <c r="N657" s="2386"/>
      <c r="O657" s="2386"/>
    </row>
    <row r="658" spans="1:16" x14ac:dyDescent="0.4">
      <c r="A658" s="2444"/>
      <c r="B658" s="2444"/>
      <c r="C658" s="2445"/>
      <c r="D658" s="2444"/>
      <c r="E658" s="2444"/>
      <c r="F658" s="2444"/>
      <c r="G658" s="2441" t="s">
        <v>1269</v>
      </c>
      <c r="H658" s="2441" t="s">
        <v>1269</v>
      </c>
      <c r="I658" s="2418" t="s">
        <v>1269</v>
      </c>
      <c r="J658" s="2441"/>
      <c r="K658" s="2441"/>
      <c r="L658" s="2441"/>
      <c r="M658" s="2441"/>
      <c r="N658" s="2386"/>
      <c r="O658" s="2386"/>
    </row>
    <row r="659" spans="1:16" x14ac:dyDescent="0.4">
      <c r="A659" s="2444"/>
      <c r="B659" s="2444"/>
      <c r="C659" s="2445"/>
      <c r="D659" s="2444"/>
      <c r="E659" s="2444"/>
      <c r="F659" s="2444"/>
      <c r="G659" s="2441" t="s">
        <v>1269</v>
      </c>
      <c r="H659" s="2441" t="s">
        <v>1269</v>
      </c>
      <c r="I659" s="2418" t="s">
        <v>1269</v>
      </c>
      <c r="J659" s="2441"/>
      <c r="K659" s="2441"/>
      <c r="L659" s="2441"/>
      <c r="M659" s="2441"/>
      <c r="N659" s="2386"/>
      <c r="O659" s="2386"/>
    </row>
    <row r="660" spans="1:16" ht="19.5" customHeight="1" x14ac:dyDescent="0.4">
      <c r="A660" s="2444"/>
      <c r="B660" s="2444"/>
      <c r="C660" s="2445"/>
      <c r="D660" s="2444"/>
      <c r="E660" s="2444"/>
      <c r="F660" s="2444"/>
      <c r="G660" s="2441" t="s">
        <v>1269</v>
      </c>
      <c r="H660" s="2441" t="s">
        <v>1269</v>
      </c>
      <c r="I660" s="2418" t="s">
        <v>1269</v>
      </c>
      <c r="J660" s="2418"/>
      <c r="K660" s="2418"/>
      <c r="L660" s="2418"/>
      <c r="M660" s="2418"/>
    </row>
    <row r="661" spans="1:16" x14ac:dyDescent="0.4">
      <c r="A661" s="2444"/>
      <c r="B661" s="2444"/>
      <c r="C661" s="2445"/>
      <c r="D661" s="2444"/>
      <c r="E661" s="2444"/>
      <c r="F661" s="2444"/>
      <c r="G661" s="2780" t="s">
        <v>1269</v>
      </c>
      <c r="H661" s="2780" t="s">
        <v>1269</v>
      </c>
      <c r="I661" s="2783" t="s">
        <v>1269</v>
      </c>
      <c r="J661" s="2783"/>
      <c r="K661" s="2783"/>
      <c r="L661" s="2783"/>
      <c r="M661" s="2783"/>
      <c r="O661" s="2431"/>
      <c r="P661" s="2393"/>
    </row>
    <row r="662" spans="1:16" x14ac:dyDescent="0.4">
      <c r="A662" s="2444"/>
      <c r="B662" s="2444"/>
      <c r="C662" s="2445"/>
      <c r="D662" s="2444"/>
      <c r="E662" s="2444"/>
      <c r="F662" s="2444"/>
      <c r="G662" s="2780" t="s">
        <v>1269</v>
      </c>
      <c r="H662" s="2780" t="s">
        <v>1269</v>
      </c>
      <c r="I662" s="2783" t="s">
        <v>1269</v>
      </c>
      <c r="J662" s="2783"/>
      <c r="K662" s="2783"/>
      <c r="L662" s="2783"/>
      <c r="M662" s="2783"/>
      <c r="O662" s="2431"/>
      <c r="P662" s="2393"/>
    </row>
    <row r="663" spans="1:16" x14ac:dyDescent="0.4">
      <c r="A663" s="2444"/>
      <c r="B663" s="2444"/>
      <c r="C663" s="2445"/>
      <c r="D663" s="2444"/>
      <c r="E663" s="2444"/>
      <c r="F663" s="2444"/>
      <c r="G663" s="2780" t="s">
        <v>1269</v>
      </c>
      <c r="H663" s="2780" t="s">
        <v>1269</v>
      </c>
      <c r="I663" s="2783" t="s">
        <v>1269</v>
      </c>
      <c r="J663" s="2783"/>
      <c r="K663" s="2783"/>
      <c r="L663" s="2783"/>
      <c r="M663" s="2783"/>
      <c r="O663" s="2431"/>
      <c r="P663" s="2393"/>
    </row>
    <row r="664" spans="1:16" x14ac:dyDescent="0.4">
      <c r="A664" s="2444"/>
      <c r="B664" s="2444"/>
      <c r="C664" s="2445"/>
      <c r="D664" s="2444"/>
      <c r="E664" s="2444"/>
      <c r="F664" s="2444"/>
      <c r="G664" s="2780" t="s">
        <v>1269</v>
      </c>
      <c r="H664" s="2780" t="s">
        <v>1269</v>
      </c>
      <c r="I664" s="2783" t="s">
        <v>1269</v>
      </c>
      <c r="J664" s="2783"/>
      <c r="K664" s="2783"/>
      <c r="L664" s="2783"/>
      <c r="M664" s="2783"/>
      <c r="O664" s="2431"/>
      <c r="P664" s="2393"/>
    </row>
    <row r="665" spans="1:16" x14ac:dyDescent="0.4">
      <c r="A665" s="2444"/>
      <c r="B665" s="2444"/>
      <c r="C665" s="2445"/>
      <c r="D665" s="2444"/>
      <c r="E665" s="2444"/>
      <c r="F665" s="2444"/>
      <c r="G665" s="2780" t="s">
        <v>1269</v>
      </c>
      <c r="H665" s="2780" t="s">
        <v>1269</v>
      </c>
      <c r="I665" s="2783" t="s">
        <v>1269</v>
      </c>
      <c r="J665" s="2783"/>
      <c r="K665" s="2783"/>
      <c r="L665" s="2783"/>
      <c r="M665" s="2783"/>
      <c r="O665" s="2431"/>
      <c r="P665" s="2393"/>
    </row>
    <row r="666" spans="1:16" x14ac:dyDescent="0.4">
      <c r="A666" s="2444"/>
      <c r="B666" s="2444"/>
      <c r="C666" s="2445"/>
      <c r="D666" s="2444"/>
      <c r="E666" s="2444"/>
      <c r="F666" s="2444"/>
      <c r="G666" s="2780" t="s">
        <v>1269</v>
      </c>
      <c r="H666" s="2780" t="s">
        <v>1269</v>
      </c>
      <c r="I666" s="2783" t="s">
        <v>1269</v>
      </c>
      <c r="J666" s="2783"/>
      <c r="K666" s="2783"/>
      <c r="L666" s="2783"/>
      <c r="M666" s="2783"/>
      <c r="O666" s="2431"/>
      <c r="P666" s="2393"/>
    </row>
    <row r="667" spans="1:16" x14ac:dyDescent="0.4">
      <c r="A667" s="2444"/>
      <c r="B667" s="2444"/>
      <c r="C667" s="2445"/>
      <c r="D667" s="2444"/>
      <c r="E667" s="2444"/>
      <c r="F667" s="2444"/>
      <c r="G667" s="2780" t="s">
        <v>1269</v>
      </c>
      <c r="H667" s="2780" t="s">
        <v>1269</v>
      </c>
      <c r="I667" s="2783" t="s">
        <v>1269</v>
      </c>
      <c r="J667" s="2783"/>
      <c r="K667" s="2783"/>
      <c r="L667" s="2783"/>
      <c r="M667" s="2783"/>
      <c r="O667" s="2431"/>
      <c r="P667" s="2393"/>
    </row>
    <row r="668" spans="1:16" x14ac:dyDescent="0.4">
      <c r="A668" s="2444"/>
      <c r="B668" s="2444"/>
      <c r="C668" s="2445"/>
      <c r="D668" s="2444"/>
      <c r="E668" s="2444"/>
      <c r="F668" s="2444"/>
      <c r="G668" s="2780" t="s">
        <v>1269</v>
      </c>
      <c r="H668" s="2780" t="s">
        <v>1269</v>
      </c>
      <c r="I668" s="2783" t="s">
        <v>1269</v>
      </c>
      <c r="J668" s="2783"/>
      <c r="K668" s="2783"/>
      <c r="L668" s="2783"/>
      <c r="M668" s="2783"/>
      <c r="O668" s="2431"/>
      <c r="P668" s="2393"/>
    </row>
    <row r="669" spans="1:16" x14ac:dyDescent="0.4">
      <c r="A669" s="2444"/>
      <c r="B669" s="2444"/>
      <c r="C669" s="2445"/>
      <c r="D669" s="2444"/>
      <c r="E669" s="2444"/>
      <c r="F669" s="2444"/>
      <c r="G669" s="2780" t="s">
        <v>1269</v>
      </c>
      <c r="H669" s="2780" t="s">
        <v>1269</v>
      </c>
      <c r="I669" s="2783" t="s">
        <v>1269</v>
      </c>
      <c r="J669" s="2783"/>
      <c r="K669" s="2783"/>
      <c r="L669" s="2783"/>
      <c r="M669" s="2783"/>
      <c r="O669" s="2431"/>
      <c r="P669" s="2393"/>
    </row>
    <row r="670" spans="1:16" x14ac:dyDescent="0.4">
      <c r="A670" s="2444"/>
      <c r="B670" s="2444"/>
      <c r="C670" s="2445"/>
      <c r="D670" s="2444"/>
      <c r="E670" s="2444"/>
      <c r="F670" s="2444"/>
      <c r="G670" s="2780" t="s">
        <v>1269</v>
      </c>
      <c r="H670" s="2780" t="s">
        <v>1269</v>
      </c>
      <c r="I670" s="2783" t="s">
        <v>1269</v>
      </c>
      <c r="J670" s="2783"/>
      <c r="K670" s="2783"/>
      <c r="L670" s="2783"/>
      <c r="M670" s="2783"/>
      <c r="O670" s="2431"/>
      <c r="P670" s="2393"/>
    </row>
    <row r="671" spans="1:16" x14ac:dyDescent="0.4">
      <c r="A671" s="2444"/>
      <c r="B671" s="2444"/>
      <c r="C671" s="2445"/>
      <c r="D671" s="2444"/>
      <c r="E671" s="2444"/>
      <c r="F671" s="2444"/>
      <c r="G671" s="2780" t="s">
        <v>1269</v>
      </c>
      <c r="H671" s="2780" t="s">
        <v>1269</v>
      </c>
      <c r="I671" s="2783" t="s">
        <v>1269</v>
      </c>
      <c r="J671" s="2783"/>
      <c r="K671" s="2783"/>
      <c r="L671" s="2783"/>
      <c r="M671" s="2783"/>
      <c r="O671" s="2431"/>
      <c r="P671" s="2393"/>
    </row>
    <row r="672" spans="1:16" x14ac:dyDescent="0.4">
      <c r="A672" s="2444"/>
      <c r="B672" s="2444"/>
      <c r="C672" s="2445"/>
      <c r="D672" s="2444"/>
      <c r="E672" s="2444"/>
      <c r="F672" s="2444"/>
      <c r="G672" s="2780" t="s">
        <v>1269</v>
      </c>
      <c r="H672" s="2780" t="s">
        <v>1269</v>
      </c>
      <c r="I672" s="2783" t="s">
        <v>1269</v>
      </c>
      <c r="J672" s="2783"/>
      <c r="K672" s="2783"/>
      <c r="L672" s="2783"/>
      <c r="M672" s="2783"/>
      <c r="O672" s="2431"/>
      <c r="P672" s="2393"/>
    </row>
    <row r="673" spans="1:16" x14ac:dyDescent="0.4">
      <c r="A673" s="2444"/>
      <c r="B673" s="2444"/>
      <c r="C673" s="2445"/>
      <c r="D673" s="2444"/>
      <c r="E673" s="2444"/>
      <c r="F673" s="2444"/>
      <c r="G673" s="2780" t="s">
        <v>1269</v>
      </c>
      <c r="H673" s="2780" t="s">
        <v>1269</v>
      </c>
      <c r="I673" s="2783" t="s">
        <v>1269</v>
      </c>
      <c r="J673" s="2783"/>
      <c r="K673" s="2783"/>
      <c r="L673" s="2783"/>
      <c r="M673" s="2783"/>
      <c r="O673" s="2431"/>
      <c r="P673" s="2393"/>
    </row>
    <row r="674" spans="1:16" x14ac:dyDescent="0.4">
      <c r="A674" s="2444"/>
      <c r="B674" s="2444"/>
      <c r="C674" s="2445"/>
      <c r="D674" s="2444"/>
      <c r="E674" s="2444"/>
      <c r="F674" s="2444"/>
      <c r="G674" s="2780" t="s">
        <v>1269</v>
      </c>
      <c r="H674" s="2780" t="s">
        <v>1269</v>
      </c>
      <c r="I674" s="2783" t="s">
        <v>1269</v>
      </c>
      <c r="J674" s="2783"/>
      <c r="K674" s="2783"/>
      <c r="L674" s="2783"/>
      <c r="M674" s="2783"/>
      <c r="O674" s="2431"/>
      <c r="P674" s="2393"/>
    </row>
    <row r="675" spans="1:16" x14ac:dyDescent="0.4">
      <c r="A675" s="2444"/>
      <c r="B675" s="2444"/>
      <c r="C675" s="2445"/>
      <c r="D675" s="2444"/>
      <c r="E675" s="2444"/>
      <c r="F675" s="2444"/>
      <c r="G675" s="2780" t="s">
        <v>1269</v>
      </c>
      <c r="H675" s="2780" t="s">
        <v>1269</v>
      </c>
      <c r="I675" s="2783" t="s">
        <v>1269</v>
      </c>
      <c r="J675" s="2783"/>
      <c r="K675" s="2783"/>
      <c r="L675" s="2783"/>
      <c r="M675" s="2783"/>
      <c r="O675" s="2431"/>
      <c r="P675" s="2393"/>
    </row>
    <row r="676" spans="1:16" x14ac:dyDescent="0.4">
      <c r="A676" s="2444"/>
      <c r="B676" s="2444"/>
      <c r="C676" s="2445"/>
      <c r="D676" s="2444"/>
      <c r="E676" s="2444"/>
      <c r="F676" s="2444"/>
      <c r="G676" s="2780" t="s">
        <v>1269</v>
      </c>
      <c r="H676" s="2780" t="s">
        <v>1269</v>
      </c>
      <c r="I676" s="2783" t="s">
        <v>1269</v>
      </c>
      <c r="J676" s="2783"/>
      <c r="K676" s="2783"/>
      <c r="L676" s="2783"/>
      <c r="M676" s="2783"/>
      <c r="O676" s="2431"/>
      <c r="P676" s="2393"/>
    </row>
    <row r="677" spans="1:16" x14ac:dyDescent="0.4">
      <c r="A677" s="2444"/>
      <c r="B677" s="2444"/>
      <c r="C677" s="2445"/>
      <c r="D677" s="2444"/>
      <c r="E677" s="2444"/>
      <c r="F677" s="2444"/>
      <c r="G677" s="2780" t="s">
        <v>1269</v>
      </c>
      <c r="H677" s="2780" t="s">
        <v>1269</v>
      </c>
      <c r="I677" s="2783" t="s">
        <v>1269</v>
      </c>
      <c r="J677" s="2783"/>
      <c r="K677" s="2783"/>
      <c r="L677" s="2783"/>
      <c r="M677" s="2783"/>
      <c r="O677" s="2431"/>
      <c r="P677" s="2393"/>
    </row>
    <row r="678" spans="1:16" x14ac:dyDescent="0.4">
      <c r="A678" s="2444"/>
      <c r="B678" s="2444"/>
      <c r="C678" s="2445"/>
      <c r="D678" s="2444"/>
      <c r="E678" s="2444"/>
      <c r="F678" s="2444"/>
      <c r="G678" s="2780" t="s">
        <v>1269</v>
      </c>
      <c r="H678" s="2780" t="s">
        <v>1269</v>
      </c>
      <c r="I678" s="2783" t="s">
        <v>1269</v>
      </c>
      <c r="J678" s="2783"/>
      <c r="K678" s="2783"/>
      <c r="L678" s="2783"/>
      <c r="M678" s="2783"/>
      <c r="O678" s="2431"/>
      <c r="P678" s="2393"/>
    </row>
    <row r="679" spans="1:16" x14ac:dyDescent="0.4">
      <c r="A679" s="2444"/>
      <c r="B679" s="2444"/>
      <c r="C679" s="2445"/>
      <c r="D679" s="2444"/>
      <c r="E679" s="2444"/>
      <c r="F679" s="2444"/>
      <c r="G679" s="2780" t="s">
        <v>1269</v>
      </c>
      <c r="H679" s="2780" t="s">
        <v>1269</v>
      </c>
      <c r="I679" s="2783" t="s">
        <v>1269</v>
      </c>
      <c r="J679" s="2783"/>
      <c r="K679" s="2783"/>
      <c r="L679" s="2783"/>
      <c r="M679" s="2783"/>
      <c r="O679" s="2431"/>
      <c r="P679" s="2393"/>
    </row>
    <row r="680" spans="1:16" x14ac:dyDescent="0.4">
      <c r="A680" s="2444"/>
      <c r="B680" s="2444"/>
      <c r="C680" s="2445"/>
      <c r="D680" s="2444"/>
      <c r="E680" s="2444"/>
      <c r="F680" s="2444"/>
      <c r="G680" s="2780" t="s">
        <v>1269</v>
      </c>
      <c r="H680" s="2780" t="s">
        <v>1269</v>
      </c>
      <c r="I680" s="2783" t="s">
        <v>1269</v>
      </c>
      <c r="J680" s="2783"/>
      <c r="K680" s="2783"/>
      <c r="L680" s="2783"/>
      <c r="M680" s="2783"/>
      <c r="O680" s="2431"/>
      <c r="P680" s="2393"/>
    </row>
    <row r="681" spans="1:16" x14ac:dyDescent="0.4">
      <c r="A681" s="2444"/>
      <c r="B681" s="2444"/>
      <c r="C681" s="2445"/>
      <c r="D681" s="2444"/>
      <c r="E681" s="2444"/>
      <c r="F681" s="2444"/>
      <c r="G681" s="2780" t="s">
        <v>1269</v>
      </c>
      <c r="H681" s="2780" t="s">
        <v>1269</v>
      </c>
      <c r="I681" s="2783" t="s">
        <v>1269</v>
      </c>
      <c r="J681" s="2783"/>
      <c r="K681" s="2783"/>
      <c r="L681" s="2783"/>
      <c r="M681" s="2783"/>
      <c r="O681" s="2431"/>
      <c r="P681" s="2393"/>
    </row>
    <row r="682" spans="1:16" x14ac:dyDescent="0.4">
      <c r="A682" s="2444"/>
      <c r="B682" s="2444"/>
      <c r="C682" s="2445"/>
      <c r="D682" s="2444"/>
      <c r="E682" s="2444"/>
      <c r="F682" s="2444"/>
      <c r="G682" s="2780" t="s">
        <v>1269</v>
      </c>
      <c r="H682" s="2780" t="s">
        <v>1269</v>
      </c>
      <c r="I682" s="2783" t="s">
        <v>1269</v>
      </c>
      <c r="J682" s="2783"/>
      <c r="K682" s="2783"/>
      <c r="L682" s="2783"/>
      <c r="M682" s="2783"/>
      <c r="O682" s="2431"/>
      <c r="P682" s="2393"/>
    </row>
    <row r="683" spans="1:16" x14ac:dyDescent="0.4">
      <c r="A683" s="2444"/>
      <c r="B683" s="2444"/>
      <c r="C683" s="2445"/>
      <c r="D683" s="2444"/>
      <c r="E683" s="2444"/>
      <c r="F683" s="2444"/>
      <c r="G683" s="2780" t="s">
        <v>1269</v>
      </c>
      <c r="H683" s="2780" t="s">
        <v>1269</v>
      </c>
      <c r="I683" s="2783" t="s">
        <v>1269</v>
      </c>
      <c r="J683" s="2783"/>
      <c r="K683" s="2783"/>
      <c r="L683" s="2783"/>
      <c r="M683" s="2783"/>
      <c r="O683" s="2431"/>
      <c r="P683" s="2393"/>
    </row>
    <row r="684" spans="1:16" x14ac:dyDescent="0.4">
      <c r="A684" s="2444"/>
      <c r="B684" s="2444"/>
      <c r="C684" s="2445"/>
      <c r="D684" s="2444"/>
      <c r="E684" s="2444"/>
      <c r="F684" s="2444"/>
      <c r="G684" s="2780" t="s">
        <v>1269</v>
      </c>
      <c r="H684" s="2780" t="s">
        <v>1269</v>
      </c>
      <c r="I684" s="2783" t="s">
        <v>1269</v>
      </c>
      <c r="J684" s="2783"/>
      <c r="K684" s="2783"/>
      <c r="L684" s="2783"/>
      <c r="M684" s="2783"/>
      <c r="O684" s="2431"/>
      <c r="P684" s="2393"/>
    </row>
    <row r="685" spans="1:16" x14ac:dyDescent="0.4">
      <c r="A685" s="2444"/>
      <c r="B685" s="2444"/>
      <c r="C685" s="2445"/>
      <c r="D685" s="2444"/>
      <c r="E685" s="2444"/>
      <c r="F685" s="2444"/>
      <c r="G685" s="2780" t="s">
        <v>1269</v>
      </c>
      <c r="H685" s="2780" t="s">
        <v>1269</v>
      </c>
      <c r="I685" s="2783" t="s">
        <v>1269</v>
      </c>
      <c r="J685" s="2783"/>
      <c r="K685" s="2783"/>
      <c r="L685" s="2783"/>
      <c r="M685" s="2783"/>
      <c r="O685" s="2431"/>
      <c r="P685" s="2393"/>
    </row>
    <row r="686" spans="1:16" x14ac:dyDescent="0.4">
      <c r="A686" s="2444"/>
      <c r="B686" s="2444"/>
      <c r="C686" s="2445"/>
      <c r="D686" s="2444"/>
      <c r="E686" s="2444"/>
      <c r="F686" s="2444"/>
      <c r="G686" s="2780" t="s">
        <v>1269</v>
      </c>
      <c r="H686" s="2780" t="s">
        <v>1269</v>
      </c>
      <c r="I686" s="2783" t="s">
        <v>1269</v>
      </c>
      <c r="J686" s="2783"/>
      <c r="K686" s="2783"/>
      <c r="L686" s="2783"/>
      <c r="M686" s="2783"/>
      <c r="O686" s="2431"/>
      <c r="P686" s="2393"/>
    </row>
    <row r="687" spans="1:16" x14ac:dyDescent="0.4">
      <c r="A687" s="2444"/>
      <c r="B687" s="2444"/>
      <c r="C687" s="2445"/>
      <c r="D687" s="2444"/>
      <c r="E687" s="2444"/>
      <c r="F687" s="2444"/>
      <c r="G687" s="2780" t="s">
        <v>1269</v>
      </c>
      <c r="H687" s="2780" t="s">
        <v>1269</v>
      </c>
      <c r="I687" s="2783" t="s">
        <v>1269</v>
      </c>
      <c r="J687" s="2783"/>
      <c r="K687" s="2783"/>
      <c r="L687" s="2783"/>
      <c r="M687" s="2783"/>
      <c r="O687" s="2431"/>
      <c r="P687" s="2393"/>
    </row>
    <row r="688" spans="1:16" x14ac:dyDescent="0.4">
      <c r="A688" s="2444"/>
      <c r="B688" s="2444"/>
      <c r="C688" s="2445"/>
      <c r="D688" s="2444"/>
      <c r="E688" s="2444"/>
      <c r="F688" s="2444"/>
      <c r="G688" s="2780" t="s">
        <v>1269</v>
      </c>
      <c r="H688" s="2780" t="s">
        <v>1269</v>
      </c>
      <c r="I688" s="2783" t="s">
        <v>1269</v>
      </c>
      <c r="J688" s="2783"/>
      <c r="K688" s="2783"/>
      <c r="L688" s="2783"/>
      <c r="M688" s="2783"/>
      <c r="O688" s="2431"/>
      <c r="P688" s="2393"/>
    </row>
    <row r="689" spans="1:16" x14ac:dyDescent="0.4">
      <c r="A689" s="2444"/>
      <c r="B689" s="2444"/>
      <c r="C689" s="2445"/>
      <c r="D689" s="2444"/>
      <c r="E689" s="2444"/>
      <c r="F689" s="2444"/>
      <c r="G689" s="2780" t="s">
        <v>1269</v>
      </c>
      <c r="H689" s="2780" t="s">
        <v>1269</v>
      </c>
      <c r="I689" s="2783" t="s">
        <v>1269</v>
      </c>
      <c r="J689" s="2783"/>
      <c r="K689" s="2783"/>
      <c r="L689" s="2783"/>
      <c r="M689" s="2783"/>
      <c r="O689" s="2431"/>
      <c r="P689" s="2393"/>
    </row>
    <row r="690" spans="1:16" x14ac:dyDescent="0.4">
      <c r="A690" s="2444"/>
      <c r="B690" s="2444"/>
      <c r="C690" s="2445"/>
      <c r="D690" s="2444"/>
      <c r="E690" s="2444"/>
      <c r="F690" s="2444"/>
      <c r="G690" s="2780" t="s">
        <v>1269</v>
      </c>
      <c r="H690" s="2780" t="s">
        <v>1269</v>
      </c>
      <c r="I690" s="2783" t="s">
        <v>1269</v>
      </c>
      <c r="J690" s="2783"/>
      <c r="K690" s="2783"/>
      <c r="L690" s="2783"/>
      <c r="M690" s="2783"/>
      <c r="O690" s="2431"/>
      <c r="P690" s="2393"/>
    </row>
    <row r="691" spans="1:16" x14ac:dyDescent="0.4">
      <c r="A691" s="2444"/>
      <c r="B691" s="2444"/>
      <c r="C691" s="2445"/>
      <c r="D691" s="2444"/>
      <c r="E691" s="2444"/>
      <c r="F691" s="2444"/>
      <c r="G691" s="2780" t="s">
        <v>1269</v>
      </c>
      <c r="H691" s="2780" t="s">
        <v>1269</v>
      </c>
      <c r="I691" s="2783" t="s">
        <v>1269</v>
      </c>
      <c r="J691" s="2783"/>
      <c r="K691" s="2783"/>
      <c r="L691" s="2783"/>
      <c r="M691" s="2783"/>
      <c r="O691" s="2431"/>
      <c r="P691" s="2393"/>
    </row>
    <row r="692" spans="1:16" x14ac:dyDescent="0.4">
      <c r="A692" s="2444"/>
      <c r="B692" s="2444"/>
      <c r="C692" s="2445"/>
      <c r="D692" s="2444"/>
      <c r="E692" s="2444"/>
      <c r="F692" s="2444"/>
      <c r="G692" s="2780" t="s">
        <v>1269</v>
      </c>
      <c r="H692" s="2780" t="s">
        <v>1269</v>
      </c>
      <c r="I692" s="2783" t="s">
        <v>1269</v>
      </c>
      <c r="J692" s="2783"/>
      <c r="K692" s="2783"/>
      <c r="L692" s="2783"/>
      <c r="M692" s="2783"/>
      <c r="O692" s="2431"/>
      <c r="P692" s="2393"/>
    </row>
    <row r="693" spans="1:16" x14ac:dyDescent="0.4">
      <c r="A693" s="2444"/>
      <c r="B693" s="2444"/>
      <c r="C693" s="2445"/>
      <c r="D693" s="2444"/>
      <c r="E693" s="2444"/>
      <c r="F693" s="2444"/>
      <c r="G693" s="2780" t="s">
        <v>1269</v>
      </c>
      <c r="H693" s="2780" t="s">
        <v>1269</v>
      </c>
      <c r="I693" s="2783" t="s">
        <v>1269</v>
      </c>
      <c r="J693" s="2783"/>
      <c r="K693" s="2783"/>
      <c r="L693" s="2783"/>
      <c r="M693" s="2783"/>
      <c r="O693" s="2431"/>
      <c r="P693" s="2393"/>
    </row>
    <row r="694" spans="1:16" x14ac:dyDescent="0.4">
      <c r="A694" s="2444"/>
      <c r="B694" s="2444"/>
      <c r="C694" s="2445"/>
      <c r="D694" s="2444"/>
      <c r="E694" s="2444"/>
      <c r="F694" s="2444"/>
      <c r="G694" s="2780" t="s">
        <v>1269</v>
      </c>
      <c r="H694" s="2780" t="s">
        <v>1269</v>
      </c>
      <c r="I694" s="2783" t="s">
        <v>1269</v>
      </c>
      <c r="J694" s="2783"/>
      <c r="K694" s="2783"/>
      <c r="L694" s="2783"/>
      <c r="M694" s="2783"/>
      <c r="O694" s="2431"/>
      <c r="P694" s="2393"/>
    </row>
    <row r="695" spans="1:16" x14ac:dyDescent="0.4">
      <c r="A695" s="2444"/>
      <c r="B695" s="2444"/>
      <c r="C695" s="2445"/>
      <c r="D695" s="2444"/>
      <c r="E695" s="2444"/>
      <c r="F695" s="2444"/>
      <c r="G695" s="2780" t="s">
        <v>1269</v>
      </c>
      <c r="H695" s="2780" t="s">
        <v>1269</v>
      </c>
      <c r="I695" s="2783" t="s">
        <v>1269</v>
      </c>
      <c r="J695" s="2783"/>
      <c r="K695" s="2783"/>
      <c r="L695" s="2783"/>
      <c r="M695" s="2783"/>
      <c r="O695" s="2431"/>
      <c r="P695" s="2393"/>
    </row>
    <row r="696" spans="1:16" x14ac:dyDescent="0.4">
      <c r="A696" s="2444"/>
      <c r="B696" s="2444"/>
      <c r="C696" s="2445"/>
      <c r="D696" s="2444"/>
      <c r="E696" s="2444"/>
      <c r="F696" s="2444"/>
      <c r="G696" s="2780" t="s">
        <v>1269</v>
      </c>
      <c r="H696" s="2780" t="s">
        <v>1269</v>
      </c>
      <c r="I696" s="2783" t="s">
        <v>1269</v>
      </c>
      <c r="J696" s="2783"/>
      <c r="K696" s="2783"/>
      <c r="L696" s="2783"/>
      <c r="M696" s="2783"/>
      <c r="O696" s="2431"/>
      <c r="P696" s="2393"/>
    </row>
    <row r="697" spans="1:16" x14ac:dyDescent="0.4">
      <c r="A697" s="2444"/>
      <c r="B697" s="2444"/>
      <c r="C697" s="2445"/>
      <c r="D697" s="2444"/>
      <c r="E697" s="2444"/>
      <c r="F697" s="2444"/>
      <c r="G697" s="2780" t="s">
        <v>1269</v>
      </c>
      <c r="H697" s="2780" t="s">
        <v>1269</v>
      </c>
      <c r="I697" s="2783" t="s">
        <v>1269</v>
      </c>
      <c r="J697" s="2783"/>
      <c r="K697" s="2783"/>
      <c r="L697" s="2783"/>
      <c r="M697" s="2783"/>
      <c r="O697" s="2431"/>
      <c r="P697" s="2393"/>
    </row>
    <row r="698" spans="1:16" x14ac:dyDescent="0.4">
      <c r="A698" s="2444"/>
      <c r="B698" s="2444"/>
      <c r="C698" s="2445"/>
      <c r="D698" s="2444"/>
      <c r="E698" s="2444"/>
      <c r="F698" s="2444"/>
      <c r="G698" s="2780" t="s">
        <v>1269</v>
      </c>
      <c r="H698" s="2780" t="s">
        <v>1269</v>
      </c>
      <c r="I698" s="2783" t="s">
        <v>1269</v>
      </c>
      <c r="J698" s="2783"/>
      <c r="K698" s="2783"/>
      <c r="L698" s="2783"/>
      <c r="M698" s="2783"/>
      <c r="O698" s="2431"/>
      <c r="P698" s="2393"/>
    </row>
    <row r="699" spans="1:16" x14ac:dyDescent="0.4">
      <c r="A699" s="2444"/>
      <c r="B699" s="2444"/>
      <c r="C699" s="2445"/>
      <c r="D699" s="2444"/>
      <c r="E699" s="2444"/>
      <c r="F699" s="2444"/>
      <c r="G699" s="2780" t="s">
        <v>1269</v>
      </c>
      <c r="H699" s="2780" t="s">
        <v>1269</v>
      </c>
      <c r="I699" s="2783" t="s">
        <v>1269</v>
      </c>
      <c r="J699" s="2783"/>
      <c r="K699" s="2783"/>
      <c r="L699" s="2783"/>
      <c r="M699" s="2783"/>
      <c r="O699" s="2431"/>
      <c r="P699" s="2393"/>
    </row>
    <row r="700" spans="1:16" x14ac:dyDescent="0.4">
      <c r="A700" s="2444"/>
      <c r="B700" s="2444"/>
      <c r="C700" s="2445"/>
      <c r="D700" s="2444"/>
      <c r="E700" s="2444"/>
      <c r="F700" s="2444"/>
      <c r="G700" s="2780" t="s">
        <v>1269</v>
      </c>
      <c r="H700" s="2780" t="s">
        <v>1269</v>
      </c>
      <c r="I700" s="2783" t="s">
        <v>1269</v>
      </c>
      <c r="J700" s="2783"/>
      <c r="K700" s="2783"/>
      <c r="L700" s="2783"/>
      <c r="M700" s="2783"/>
      <c r="O700" s="2431"/>
      <c r="P700" s="2393"/>
    </row>
    <row r="701" spans="1:16" x14ac:dyDescent="0.4">
      <c r="A701" s="2444"/>
      <c r="B701" s="2444"/>
      <c r="C701" s="2445"/>
      <c r="D701" s="2444"/>
      <c r="E701" s="2444"/>
      <c r="F701" s="2444"/>
      <c r="G701" s="2780" t="s">
        <v>1269</v>
      </c>
      <c r="H701" s="2780" t="s">
        <v>1269</v>
      </c>
      <c r="I701" s="2783" t="s">
        <v>1269</v>
      </c>
      <c r="J701" s="2783"/>
      <c r="K701" s="2783"/>
      <c r="L701" s="2783"/>
      <c r="M701" s="2783"/>
      <c r="O701" s="2431"/>
      <c r="P701" s="2393"/>
    </row>
    <row r="702" spans="1:16" x14ac:dyDescent="0.4">
      <c r="A702" s="2444"/>
      <c r="B702" s="2444"/>
      <c r="C702" s="2445"/>
      <c r="D702" s="2444"/>
      <c r="E702" s="2444"/>
      <c r="F702" s="2444"/>
      <c r="G702" s="2780" t="s">
        <v>1269</v>
      </c>
      <c r="H702" s="2780" t="s">
        <v>1269</v>
      </c>
      <c r="I702" s="2783" t="s">
        <v>1269</v>
      </c>
      <c r="J702" s="2783"/>
      <c r="K702" s="2783"/>
      <c r="L702" s="2783"/>
      <c r="M702" s="2783"/>
      <c r="O702" s="2431"/>
      <c r="P702" s="2393"/>
    </row>
    <row r="703" spans="1:16" x14ac:dyDescent="0.4">
      <c r="A703" s="2444"/>
      <c r="B703" s="2444"/>
      <c r="C703" s="2445"/>
      <c r="D703" s="2444"/>
      <c r="E703" s="2444"/>
      <c r="F703" s="2444"/>
      <c r="G703" s="2780" t="s">
        <v>1269</v>
      </c>
      <c r="H703" s="2780" t="s">
        <v>1269</v>
      </c>
      <c r="I703" s="2783" t="s">
        <v>1269</v>
      </c>
      <c r="J703" s="2783"/>
      <c r="K703" s="2783"/>
      <c r="L703" s="2783"/>
      <c r="M703" s="2783"/>
      <c r="O703" s="2431"/>
      <c r="P703" s="2393"/>
    </row>
    <row r="704" spans="1:16" x14ac:dyDescent="0.4">
      <c r="A704" s="2444"/>
      <c r="B704" s="2444"/>
      <c r="C704" s="2445"/>
      <c r="D704" s="2444"/>
      <c r="E704" s="2444"/>
      <c r="F704" s="2444"/>
      <c r="O704" s="2431"/>
      <c r="P704" s="2393"/>
    </row>
    <row r="705" spans="1:16" x14ac:dyDescent="0.4">
      <c r="A705" s="2444"/>
      <c r="B705" s="2444"/>
      <c r="C705" s="2445"/>
      <c r="D705" s="2444"/>
      <c r="E705" s="2444"/>
      <c r="F705" s="2444"/>
      <c r="O705" s="2431"/>
      <c r="P705" s="2393"/>
    </row>
    <row r="706" spans="1:16" x14ac:dyDescent="0.4">
      <c r="A706" s="2444"/>
      <c r="B706" s="2444"/>
      <c r="C706" s="2445"/>
      <c r="D706" s="2444"/>
      <c r="E706" s="2444"/>
      <c r="F706" s="2444"/>
      <c r="O706" s="2431"/>
      <c r="P706" s="2393"/>
    </row>
    <row r="707" spans="1:16" x14ac:dyDescent="0.4">
      <c r="A707" s="2444"/>
      <c r="B707" s="2444"/>
      <c r="C707" s="2445"/>
      <c r="D707" s="2444"/>
      <c r="E707" s="2444"/>
      <c r="F707" s="2444"/>
      <c r="O707" s="2431"/>
      <c r="P707" s="2393"/>
    </row>
    <row r="708" spans="1:16" x14ac:dyDescent="0.4">
      <c r="A708" s="2444"/>
      <c r="B708" s="2444"/>
      <c r="C708" s="2445"/>
      <c r="D708" s="2444"/>
      <c r="E708" s="2444"/>
      <c r="F708" s="2444"/>
      <c r="G708" s="2386"/>
      <c r="H708" s="2386"/>
      <c r="I708" s="2386"/>
      <c r="J708" s="2386"/>
      <c r="K708" s="2386"/>
      <c r="L708" s="2386"/>
      <c r="M708" s="2386"/>
      <c r="N708" s="2386"/>
      <c r="O708" s="2431"/>
      <c r="P708" s="2393"/>
    </row>
    <row r="709" spans="1:16" x14ac:dyDescent="0.4">
      <c r="A709" s="2444"/>
      <c r="B709" s="2444"/>
      <c r="C709" s="2445"/>
      <c r="D709" s="2444"/>
      <c r="E709" s="2444"/>
      <c r="F709" s="2444"/>
      <c r="G709" s="2386"/>
      <c r="H709" s="2386"/>
      <c r="I709" s="2386"/>
      <c r="J709" s="2386"/>
      <c r="K709" s="2386"/>
      <c r="L709" s="2386"/>
      <c r="M709" s="2386"/>
      <c r="N709" s="2386"/>
      <c r="O709" s="2431"/>
      <c r="P709" s="2393"/>
    </row>
    <row r="710" spans="1:16" x14ac:dyDescent="0.4">
      <c r="A710" s="2444"/>
      <c r="B710" s="2444"/>
      <c r="C710" s="2445"/>
      <c r="D710" s="2444"/>
      <c r="E710" s="2444"/>
      <c r="F710" s="2444"/>
      <c r="G710" s="2386"/>
      <c r="H710" s="2386"/>
      <c r="I710" s="2386"/>
      <c r="J710" s="2386"/>
      <c r="K710" s="2386"/>
      <c r="L710" s="2386"/>
      <c r="M710" s="2386"/>
      <c r="N710" s="2386"/>
      <c r="O710" s="2431"/>
      <c r="P710" s="2393"/>
    </row>
    <row r="711" spans="1:16" x14ac:dyDescent="0.4">
      <c r="A711" s="2444"/>
      <c r="B711" s="2444"/>
      <c r="C711" s="2445"/>
      <c r="D711" s="2444"/>
      <c r="E711" s="2444"/>
      <c r="F711" s="2444"/>
      <c r="G711" s="2386"/>
      <c r="H711" s="2386"/>
      <c r="I711" s="2386"/>
      <c r="J711" s="2386"/>
      <c r="K711" s="2386"/>
      <c r="L711" s="2386"/>
      <c r="M711" s="2386"/>
      <c r="N711" s="2386"/>
      <c r="O711" s="2431"/>
      <c r="P711" s="2393"/>
    </row>
    <row r="712" spans="1:16" x14ac:dyDescent="0.4">
      <c r="A712" s="2444"/>
      <c r="B712" s="2444"/>
      <c r="C712" s="2445"/>
      <c r="D712" s="2444"/>
      <c r="E712" s="2444"/>
      <c r="F712" s="2444"/>
      <c r="G712" s="2386"/>
      <c r="H712" s="2386"/>
      <c r="I712" s="2386"/>
      <c r="J712" s="2386"/>
      <c r="K712" s="2386"/>
      <c r="L712" s="2386"/>
      <c r="M712" s="2386"/>
      <c r="N712" s="2386"/>
      <c r="O712" s="2431"/>
      <c r="P712" s="2393"/>
    </row>
    <row r="713" spans="1:16" x14ac:dyDescent="0.4">
      <c r="A713" s="2444"/>
      <c r="B713" s="2444"/>
      <c r="C713" s="2445"/>
      <c r="D713" s="2444"/>
      <c r="E713" s="2444"/>
      <c r="F713" s="2444"/>
      <c r="G713" s="2386"/>
      <c r="H713" s="2386"/>
      <c r="I713" s="2386"/>
      <c r="J713" s="2386"/>
      <c r="K713" s="2386"/>
      <c r="L713" s="2386"/>
      <c r="M713" s="2386"/>
      <c r="N713" s="2386"/>
      <c r="O713" s="2431"/>
      <c r="P713" s="2393"/>
    </row>
    <row r="714" spans="1:16" x14ac:dyDescent="0.4">
      <c r="A714" s="2444"/>
      <c r="B714" s="2444"/>
      <c r="C714" s="2445"/>
      <c r="D714" s="2444"/>
      <c r="E714" s="2444"/>
      <c r="F714" s="2444"/>
      <c r="G714" s="2386"/>
      <c r="H714" s="2386"/>
      <c r="I714" s="2386"/>
      <c r="J714" s="2386"/>
      <c r="K714" s="2386"/>
      <c r="L714" s="2386"/>
      <c r="M714" s="2386"/>
      <c r="N714" s="2386"/>
      <c r="O714" s="2431"/>
      <c r="P714" s="2393"/>
    </row>
    <row r="715" spans="1:16" x14ac:dyDescent="0.4">
      <c r="A715" s="2444"/>
      <c r="B715" s="2444"/>
      <c r="C715" s="2445"/>
      <c r="D715" s="2444"/>
      <c r="E715" s="2444"/>
      <c r="F715" s="2444"/>
      <c r="G715" s="2386"/>
      <c r="H715" s="2386"/>
      <c r="I715" s="2386"/>
      <c r="J715" s="2386"/>
      <c r="K715" s="2386"/>
      <c r="L715" s="2386"/>
      <c r="M715" s="2386"/>
      <c r="N715" s="2386"/>
      <c r="O715" s="2431"/>
      <c r="P715" s="2393"/>
    </row>
    <row r="716" spans="1:16" x14ac:dyDescent="0.4">
      <c r="A716" s="2444"/>
      <c r="B716" s="2444"/>
      <c r="C716" s="2445"/>
      <c r="D716" s="2444"/>
      <c r="E716" s="2444"/>
      <c r="F716" s="2444"/>
      <c r="G716" s="2386"/>
      <c r="H716" s="2386"/>
      <c r="I716" s="2386"/>
      <c r="J716" s="2386"/>
      <c r="K716" s="2386"/>
      <c r="L716" s="2386"/>
      <c r="M716" s="2386"/>
      <c r="N716" s="2386"/>
      <c r="O716" s="2431"/>
      <c r="P716" s="2393"/>
    </row>
    <row r="717" spans="1:16" x14ac:dyDescent="0.4">
      <c r="A717" s="2444"/>
      <c r="B717" s="2444"/>
      <c r="C717" s="2445"/>
      <c r="D717" s="2444"/>
      <c r="E717" s="2444"/>
      <c r="F717" s="2444"/>
      <c r="G717" s="2386"/>
      <c r="H717" s="2386"/>
      <c r="I717" s="2386"/>
      <c r="J717" s="2386"/>
      <c r="K717" s="2386"/>
      <c r="L717" s="2386"/>
      <c r="M717" s="2386"/>
      <c r="N717" s="2386"/>
      <c r="O717" s="2431"/>
      <c r="P717" s="2393"/>
    </row>
    <row r="718" spans="1:16" x14ac:dyDescent="0.4">
      <c r="A718" s="2444"/>
      <c r="B718" s="2444"/>
      <c r="C718" s="2445"/>
      <c r="D718" s="2444"/>
      <c r="E718" s="2444"/>
      <c r="F718" s="2444"/>
      <c r="G718" s="2386"/>
      <c r="H718" s="2386"/>
      <c r="I718" s="2386"/>
      <c r="J718" s="2386"/>
      <c r="K718" s="2386"/>
      <c r="L718" s="2386"/>
      <c r="M718" s="2386"/>
      <c r="N718" s="2386"/>
      <c r="O718" s="2431"/>
      <c r="P718" s="2393"/>
    </row>
    <row r="719" spans="1:16" x14ac:dyDescent="0.4">
      <c r="A719" s="2444"/>
      <c r="B719" s="2444"/>
      <c r="C719" s="2445"/>
      <c r="D719" s="2444"/>
      <c r="E719" s="2444"/>
      <c r="F719" s="2444"/>
      <c r="G719" s="2386"/>
      <c r="H719" s="2386"/>
      <c r="I719" s="2386"/>
      <c r="J719" s="2386"/>
      <c r="K719" s="2386"/>
      <c r="L719" s="2386"/>
      <c r="M719" s="2386"/>
      <c r="N719" s="2386"/>
      <c r="O719" s="2431"/>
      <c r="P719" s="2393"/>
    </row>
    <row r="720" spans="1:16" x14ac:dyDescent="0.4">
      <c r="A720" s="2444"/>
      <c r="B720" s="2444"/>
      <c r="C720" s="2445"/>
      <c r="D720" s="2444"/>
      <c r="E720" s="2444"/>
      <c r="F720" s="2444"/>
      <c r="G720" s="2386"/>
      <c r="H720" s="2386"/>
      <c r="I720" s="2386"/>
      <c r="J720" s="2386"/>
      <c r="K720" s="2386"/>
      <c r="L720" s="2386"/>
      <c r="M720" s="2386"/>
      <c r="N720" s="2386"/>
      <c r="O720" s="2431"/>
      <c r="P720" s="2393"/>
    </row>
    <row r="721" spans="1:16" x14ac:dyDescent="0.4">
      <c r="A721" s="2444"/>
      <c r="B721" s="2444"/>
      <c r="C721" s="2445"/>
      <c r="D721" s="2444"/>
      <c r="E721" s="2444"/>
      <c r="F721" s="2444"/>
      <c r="G721" s="2386"/>
      <c r="H721" s="2386"/>
      <c r="I721" s="2386"/>
      <c r="J721" s="2386"/>
      <c r="K721" s="2386"/>
      <c r="L721" s="2386"/>
      <c r="M721" s="2386"/>
      <c r="N721" s="2386"/>
      <c r="O721" s="2431"/>
      <c r="P721" s="2393"/>
    </row>
    <row r="722" spans="1:16" x14ac:dyDescent="0.4">
      <c r="A722" s="2444"/>
      <c r="B722" s="2444"/>
      <c r="C722" s="2445"/>
      <c r="D722" s="2444"/>
      <c r="E722" s="2444"/>
      <c r="F722" s="2444"/>
      <c r="G722" s="2386"/>
      <c r="H722" s="2386"/>
      <c r="I722" s="2386"/>
      <c r="J722" s="2386"/>
      <c r="K722" s="2386"/>
      <c r="L722" s="2386"/>
      <c r="M722" s="2386"/>
      <c r="N722" s="2386"/>
      <c r="O722" s="2431"/>
      <c r="P722" s="2393"/>
    </row>
    <row r="723" spans="1:16" x14ac:dyDescent="0.4">
      <c r="A723" s="2444"/>
      <c r="B723" s="2444"/>
      <c r="C723" s="2445"/>
      <c r="D723" s="2444"/>
      <c r="E723" s="2444"/>
      <c r="F723" s="2444"/>
      <c r="G723" s="2386"/>
      <c r="H723" s="2386"/>
      <c r="I723" s="2386"/>
      <c r="J723" s="2386"/>
      <c r="K723" s="2386"/>
      <c r="L723" s="2386"/>
      <c r="M723" s="2386"/>
      <c r="N723" s="2386"/>
      <c r="O723" s="2431"/>
      <c r="P723" s="2393"/>
    </row>
    <row r="724" spans="1:16" x14ac:dyDescent="0.4">
      <c r="A724" s="2444"/>
      <c r="B724" s="2444"/>
      <c r="C724" s="2445"/>
      <c r="D724" s="2444"/>
      <c r="E724" s="2444"/>
      <c r="F724" s="2444"/>
      <c r="G724" s="2386"/>
      <c r="H724" s="2386"/>
      <c r="I724" s="2386"/>
      <c r="J724" s="2386"/>
      <c r="K724" s="2386"/>
      <c r="L724" s="2386"/>
      <c r="M724" s="2386"/>
      <c r="N724" s="2386"/>
      <c r="O724" s="2431"/>
      <c r="P724" s="2393"/>
    </row>
    <row r="725" spans="1:16" x14ac:dyDescent="0.4">
      <c r="A725" s="2444"/>
      <c r="B725" s="2444"/>
      <c r="C725" s="2445"/>
      <c r="D725" s="2444"/>
      <c r="E725" s="2444"/>
      <c r="F725" s="2444"/>
      <c r="G725" s="2386"/>
      <c r="H725" s="2386"/>
      <c r="I725" s="2386"/>
      <c r="J725" s="2386"/>
      <c r="K725" s="2386"/>
      <c r="L725" s="2386"/>
      <c r="M725" s="2386"/>
      <c r="N725" s="2386"/>
      <c r="O725" s="2431"/>
      <c r="P725" s="2393"/>
    </row>
    <row r="726" spans="1:16" x14ac:dyDescent="0.4">
      <c r="A726" s="2444"/>
      <c r="B726" s="2444"/>
      <c r="C726" s="2445"/>
      <c r="D726" s="2444"/>
      <c r="E726" s="2444"/>
      <c r="F726" s="2444"/>
      <c r="G726" s="2386"/>
      <c r="H726" s="2386"/>
      <c r="I726" s="2386"/>
      <c r="J726" s="2386"/>
      <c r="K726" s="2386"/>
      <c r="L726" s="2386"/>
      <c r="M726" s="2386"/>
      <c r="N726" s="2386"/>
      <c r="O726" s="2431"/>
      <c r="P726" s="2393"/>
    </row>
    <row r="727" spans="1:16" x14ac:dyDescent="0.4">
      <c r="A727" s="2444"/>
      <c r="B727" s="2444"/>
      <c r="C727" s="2445"/>
      <c r="D727" s="2444"/>
      <c r="E727" s="2444"/>
      <c r="F727" s="2444"/>
      <c r="G727" s="2386"/>
      <c r="H727" s="2386"/>
      <c r="I727" s="2386"/>
      <c r="J727" s="2386"/>
      <c r="K727" s="2386"/>
      <c r="L727" s="2386"/>
      <c r="M727" s="2386"/>
      <c r="N727" s="2386"/>
      <c r="O727" s="2431"/>
      <c r="P727" s="2393"/>
    </row>
    <row r="728" spans="1:16" x14ac:dyDescent="0.4">
      <c r="A728" s="2444"/>
      <c r="B728" s="2444"/>
      <c r="C728" s="2445"/>
      <c r="D728" s="2444"/>
      <c r="E728" s="2444"/>
      <c r="F728" s="2444"/>
      <c r="G728" s="2386"/>
      <c r="H728" s="2386"/>
      <c r="I728" s="2386"/>
      <c r="J728" s="2386"/>
      <c r="K728" s="2386"/>
      <c r="L728" s="2386"/>
      <c r="M728" s="2386"/>
      <c r="N728" s="2386"/>
      <c r="O728" s="2431"/>
      <c r="P728" s="2393"/>
    </row>
    <row r="729" spans="1:16" x14ac:dyDescent="0.4">
      <c r="A729" s="2444"/>
      <c r="B729" s="2444"/>
      <c r="C729" s="2445"/>
      <c r="D729" s="2444"/>
      <c r="E729" s="2444"/>
      <c r="F729" s="2444"/>
      <c r="G729" s="2386"/>
      <c r="H729" s="2386"/>
      <c r="I729" s="2386"/>
      <c r="J729" s="2386"/>
      <c r="K729" s="2386"/>
      <c r="L729" s="2386"/>
      <c r="M729" s="2386"/>
      <c r="N729" s="2386"/>
      <c r="O729" s="2431"/>
      <c r="P729" s="2393"/>
    </row>
    <row r="730" spans="1:16" x14ac:dyDescent="0.4">
      <c r="A730" s="2444"/>
      <c r="B730" s="2444"/>
      <c r="C730" s="2445"/>
      <c r="D730" s="2444"/>
      <c r="E730" s="2444"/>
      <c r="F730" s="2444"/>
      <c r="G730" s="2386"/>
      <c r="H730" s="2386"/>
      <c r="I730" s="2386"/>
      <c r="J730" s="2386"/>
      <c r="K730" s="2386"/>
      <c r="L730" s="2386"/>
      <c r="M730" s="2386"/>
      <c r="N730" s="2386"/>
      <c r="O730" s="2431"/>
      <c r="P730" s="2393"/>
    </row>
    <row r="731" spans="1:16" x14ac:dyDescent="0.4">
      <c r="A731" s="2444"/>
      <c r="B731" s="2444"/>
      <c r="C731" s="2445"/>
      <c r="D731" s="2444"/>
      <c r="E731" s="2444"/>
      <c r="F731" s="2444"/>
      <c r="G731" s="2386"/>
      <c r="H731" s="2386"/>
      <c r="I731" s="2386"/>
      <c r="J731" s="2386"/>
      <c r="K731" s="2386"/>
      <c r="L731" s="2386"/>
      <c r="M731" s="2386"/>
      <c r="N731" s="2386"/>
      <c r="O731" s="2431"/>
      <c r="P731" s="2393"/>
    </row>
    <row r="732" spans="1:16" x14ac:dyDescent="0.4">
      <c r="A732" s="2444"/>
      <c r="B732" s="2444"/>
      <c r="C732" s="2445"/>
      <c r="D732" s="2444"/>
      <c r="E732" s="2444"/>
      <c r="F732" s="2444"/>
      <c r="G732" s="2386"/>
      <c r="H732" s="2386"/>
      <c r="I732" s="2386"/>
      <c r="J732" s="2386"/>
      <c r="K732" s="2386"/>
      <c r="L732" s="2386"/>
      <c r="M732" s="2386"/>
      <c r="N732" s="2386"/>
      <c r="O732" s="2431"/>
      <c r="P732" s="2393"/>
    </row>
    <row r="733" spans="1:16" x14ac:dyDescent="0.4">
      <c r="A733" s="2444"/>
      <c r="B733" s="2444"/>
      <c r="C733" s="2445"/>
      <c r="D733" s="2444"/>
      <c r="E733" s="2444"/>
      <c r="F733" s="2444"/>
      <c r="G733" s="2386"/>
      <c r="H733" s="2386"/>
      <c r="I733" s="2386"/>
      <c r="J733" s="2386"/>
      <c r="K733" s="2386"/>
      <c r="L733" s="2386"/>
      <c r="M733" s="2386"/>
      <c r="N733" s="2386"/>
      <c r="O733" s="2431"/>
      <c r="P733" s="2393"/>
    </row>
    <row r="734" spans="1:16" x14ac:dyDescent="0.4">
      <c r="A734" s="2444"/>
      <c r="B734" s="2444"/>
      <c r="C734" s="2445"/>
      <c r="D734" s="2444"/>
      <c r="E734" s="2444"/>
      <c r="F734" s="2444"/>
      <c r="G734" s="2386"/>
      <c r="H734" s="2386"/>
      <c r="I734" s="2386"/>
      <c r="J734" s="2386"/>
      <c r="K734" s="2386"/>
      <c r="L734" s="2386"/>
      <c r="M734" s="2386"/>
      <c r="N734" s="2386"/>
      <c r="O734" s="2431"/>
      <c r="P734" s="2393"/>
    </row>
    <row r="735" spans="1:16" x14ac:dyDescent="0.4">
      <c r="A735" s="2444"/>
      <c r="B735" s="2444"/>
      <c r="C735" s="2445"/>
      <c r="D735" s="2444"/>
      <c r="E735" s="2444"/>
      <c r="F735" s="2444"/>
      <c r="G735" s="2386"/>
      <c r="H735" s="2386"/>
      <c r="I735" s="2386"/>
      <c r="J735" s="2386"/>
      <c r="K735" s="2386"/>
      <c r="L735" s="2386"/>
      <c r="M735" s="2386"/>
      <c r="N735" s="2386"/>
      <c r="O735" s="2431"/>
      <c r="P735" s="2393"/>
    </row>
    <row r="736" spans="1:16" x14ac:dyDescent="0.4">
      <c r="A736" s="2444"/>
      <c r="B736" s="2444"/>
      <c r="C736" s="2445"/>
      <c r="D736" s="2444"/>
      <c r="E736" s="2444"/>
      <c r="F736" s="2444"/>
      <c r="G736" s="2386"/>
      <c r="H736" s="2386"/>
      <c r="I736" s="2386"/>
      <c r="J736" s="2386"/>
      <c r="K736" s="2386"/>
      <c r="L736" s="2386"/>
      <c r="M736" s="2386"/>
      <c r="N736" s="2386"/>
      <c r="O736" s="2431"/>
      <c r="P736" s="2393"/>
    </row>
    <row r="737" spans="1:16" x14ac:dyDescent="0.4">
      <c r="A737" s="2444"/>
      <c r="B737" s="2444"/>
      <c r="C737" s="2445"/>
      <c r="D737" s="2444"/>
      <c r="E737" s="2444"/>
      <c r="F737" s="2444"/>
      <c r="G737" s="2386"/>
      <c r="H737" s="2386"/>
      <c r="I737" s="2386"/>
      <c r="J737" s="2386"/>
      <c r="K737" s="2386"/>
      <c r="L737" s="2386"/>
      <c r="M737" s="2386"/>
      <c r="N737" s="2386"/>
      <c r="O737" s="2431"/>
      <c r="P737" s="2393"/>
    </row>
    <row r="738" spans="1:16" x14ac:dyDescent="0.4">
      <c r="A738" s="2444"/>
      <c r="B738" s="2444"/>
      <c r="C738" s="2445"/>
      <c r="D738" s="2444"/>
      <c r="E738" s="2444"/>
      <c r="F738" s="2444"/>
      <c r="G738" s="2386"/>
      <c r="H738" s="2386"/>
      <c r="I738" s="2386"/>
      <c r="J738" s="2386"/>
      <c r="K738" s="2386"/>
      <c r="L738" s="2386"/>
      <c r="M738" s="2386"/>
      <c r="N738" s="2386"/>
      <c r="O738" s="2431"/>
      <c r="P738" s="2393"/>
    </row>
    <row r="739" spans="1:16" x14ac:dyDescent="0.4">
      <c r="A739" s="2444"/>
      <c r="B739" s="2444"/>
      <c r="C739" s="2445"/>
      <c r="D739" s="2444"/>
      <c r="E739" s="2444"/>
      <c r="F739" s="2444"/>
      <c r="G739" s="2386"/>
      <c r="H739" s="2386"/>
      <c r="I739" s="2386"/>
      <c r="J739" s="2386"/>
      <c r="K739" s="2386"/>
      <c r="L739" s="2386"/>
      <c r="M739" s="2386"/>
      <c r="N739" s="2386"/>
      <c r="O739" s="2431"/>
      <c r="P739" s="2393"/>
    </row>
    <row r="740" spans="1:16" x14ac:dyDescent="0.4">
      <c r="A740" s="2444"/>
      <c r="B740" s="2444"/>
      <c r="C740" s="2445"/>
      <c r="D740" s="2444"/>
      <c r="E740" s="2444"/>
      <c r="F740" s="2444"/>
      <c r="G740" s="2386"/>
      <c r="H740" s="2386"/>
      <c r="I740" s="2386"/>
      <c r="J740" s="2386"/>
      <c r="K740" s="2386"/>
      <c r="L740" s="2386"/>
      <c r="M740" s="2386"/>
      <c r="N740" s="2386"/>
      <c r="O740" s="2431"/>
      <c r="P740" s="2393"/>
    </row>
    <row r="741" spans="1:16" x14ac:dyDescent="0.4">
      <c r="A741" s="2444"/>
      <c r="B741" s="2444"/>
      <c r="C741" s="2445"/>
      <c r="D741" s="2444"/>
      <c r="E741" s="2444"/>
      <c r="F741" s="2444"/>
      <c r="G741" s="2386"/>
      <c r="H741" s="2386"/>
      <c r="I741" s="2386"/>
      <c r="J741" s="2386"/>
      <c r="K741" s="2386"/>
      <c r="L741" s="2386"/>
      <c r="M741" s="2386"/>
      <c r="N741" s="2386"/>
      <c r="O741" s="2431"/>
      <c r="P741" s="2393"/>
    </row>
    <row r="742" spans="1:16" x14ac:dyDescent="0.4">
      <c r="A742" s="2444"/>
      <c r="B742" s="2444"/>
      <c r="C742" s="2445"/>
      <c r="D742" s="2444"/>
      <c r="E742" s="2444"/>
      <c r="F742" s="2444"/>
      <c r="G742" s="2386"/>
      <c r="H742" s="2386"/>
      <c r="I742" s="2386"/>
      <c r="J742" s="2386"/>
      <c r="K742" s="2386"/>
      <c r="L742" s="2386"/>
      <c r="M742" s="2386"/>
      <c r="N742" s="2386"/>
      <c r="O742" s="2431"/>
      <c r="P742" s="2393"/>
    </row>
    <row r="743" spans="1:16" x14ac:dyDescent="0.4">
      <c r="A743" s="2444"/>
      <c r="B743" s="2444"/>
      <c r="C743" s="2445"/>
      <c r="D743" s="2444"/>
      <c r="E743" s="2444"/>
      <c r="F743" s="2444"/>
      <c r="G743" s="2386"/>
      <c r="H743" s="2386"/>
      <c r="I743" s="2386"/>
      <c r="J743" s="2386"/>
      <c r="K743" s="2386"/>
      <c r="L743" s="2386"/>
      <c r="M743" s="2386"/>
      <c r="N743" s="2386"/>
      <c r="O743" s="2431"/>
      <c r="P743" s="2393"/>
    </row>
    <row r="744" spans="1:16" x14ac:dyDescent="0.4">
      <c r="A744" s="2444"/>
      <c r="B744" s="2444"/>
      <c r="C744" s="2445"/>
      <c r="D744" s="2444"/>
      <c r="E744" s="2444"/>
      <c r="F744" s="2444"/>
      <c r="G744" s="2386"/>
      <c r="H744" s="2386"/>
      <c r="I744" s="2386"/>
      <c r="J744" s="2386"/>
      <c r="K744" s="2386"/>
      <c r="L744" s="2386"/>
      <c r="M744" s="2386"/>
      <c r="N744" s="2386"/>
      <c r="O744" s="2431"/>
      <c r="P744" s="2393"/>
    </row>
    <row r="745" spans="1:16" x14ac:dyDescent="0.4">
      <c r="A745" s="2444"/>
      <c r="B745" s="2444"/>
      <c r="C745" s="2445"/>
      <c r="D745" s="2444"/>
      <c r="E745" s="2444"/>
      <c r="F745" s="2444"/>
      <c r="G745" s="2386"/>
      <c r="H745" s="2386"/>
      <c r="I745" s="2386"/>
      <c r="J745" s="2386"/>
      <c r="K745" s="2386"/>
      <c r="L745" s="2386"/>
      <c r="M745" s="2386"/>
      <c r="N745" s="2386"/>
      <c r="O745" s="2431"/>
      <c r="P745" s="2393"/>
    </row>
    <row r="746" spans="1:16" x14ac:dyDescent="0.4">
      <c r="A746" s="2444"/>
      <c r="B746" s="2444"/>
      <c r="C746" s="2445"/>
      <c r="D746" s="2444"/>
      <c r="E746" s="2444"/>
      <c r="F746" s="2444"/>
      <c r="G746" s="2386"/>
      <c r="H746" s="2386"/>
      <c r="I746" s="2386"/>
      <c r="J746" s="2386"/>
      <c r="K746" s="2386"/>
      <c r="L746" s="2386"/>
      <c r="M746" s="2386"/>
      <c r="N746" s="2386"/>
      <c r="O746" s="2431"/>
      <c r="P746" s="2393"/>
    </row>
    <row r="747" spans="1:16" x14ac:dyDescent="0.4">
      <c r="A747" s="2444"/>
      <c r="B747" s="2444"/>
      <c r="C747" s="2445"/>
      <c r="D747" s="2444"/>
      <c r="E747" s="2444"/>
      <c r="F747" s="2444"/>
      <c r="G747" s="2386"/>
      <c r="H747" s="2386"/>
      <c r="I747" s="2386"/>
      <c r="J747" s="2386"/>
      <c r="K747" s="2386"/>
      <c r="L747" s="2386"/>
      <c r="M747" s="2386"/>
      <c r="N747" s="2386"/>
      <c r="O747" s="2431"/>
      <c r="P747" s="2393"/>
    </row>
    <row r="748" spans="1:16" x14ac:dyDescent="0.4">
      <c r="A748" s="2444"/>
      <c r="B748" s="2444"/>
      <c r="C748" s="2445"/>
      <c r="D748" s="2444"/>
      <c r="E748" s="2444"/>
      <c r="F748" s="2444"/>
      <c r="G748" s="2386"/>
      <c r="H748" s="2386"/>
      <c r="I748" s="2386"/>
      <c r="J748" s="2386"/>
      <c r="K748" s="2386"/>
      <c r="L748" s="2386"/>
      <c r="M748" s="2386"/>
      <c r="N748" s="2386"/>
      <c r="O748" s="2431"/>
      <c r="P748" s="2393"/>
    </row>
    <row r="749" spans="1:16" x14ac:dyDescent="0.4">
      <c r="A749" s="2444"/>
      <c r="B749" s="2444"/>
      <c r="C749" s="2445"/>
      <c r="D749" s="2444"/>
      <c r="E749" s="2444"/>
      <c r="F749" s="2444"/>
      <c r="G749" s="2386"/>
      <c r="H749" s="2386"/>
      <c r="I749" s="2386"/>
      <c r="J749" s="2386"/>
      <c r="K749" s="2386"/>
      <c r="L749" s="2386"/>
      <c r="M749" s="2386"/>
      <c r="N749" s="2386"/>
      <c r="O749" s="2431"/>
      <c r="P749" s="2393"/>
    </row>
    <row r="750" spans="1:16" x14ac:dyDescent="0.4">
      <c r="A750" s="2444"/>
      <c r="B750" s="2444"/>
      <c r="C750" s="2445"/>
      <c r="D750" s="2444"/>
      <c r="E750" s="2444"/>
      <c r="F750" s="2444"/>
      <c r="G750" s="2386"/>
      <c r="H750" s="2386"/>
      <c r="I750" s="2386"/>
      <c r="J750" s="2386"/>
      <c r="K750" s="2386"/>
      <c r="L750" s="2386"/>
      <c r="M750" s="2386"/>
      <c r="N750" s="2386"/>
      <c r="O750" s="2431"/>
      <c r="P750" s="2393"/>
    </row>
    <row r="751" spans="1:16" x14ac:dyDescent="0.4">
      <c r="A751" s="2444"/>
      <c r="B751" s="2444"/>
      <c r="C751" s="2445"/>
      <c r="D751" s="2444"/>
      <c r="E751" s="2444"/>
      <c r="F751" s="2444"/>
      <c r="G751" s="2386"/>
      <c r="H751" s="2386"/>
      <c r="I751" s="2386"/>
      <c r="J751" s="2386"/>
      <c r="K751" s="2386"/>
      <c r="L751" s="2386"/>
      <c r="M751" s="2386"/>
      <c r="N751" s="2386"/>
      <c r="O751" s="2431"/>
      <c r="P751" s="2393"/>
    </row>
    <row r="752" spans="1:16" x14ac:dyDescent="0.4">
      <c r="A752" s="2444"/>
      <c r="B752" s="2444"/>
      <c r="C752" s="2445"/>
      <c r="D752" s="2444"/>
      <c r="E752" s="2444"/>
      <c r="F752" s="2444"/>
      <c r="G752" s="2386"/>
      <c r="H752" s="2386"/>
      <c r="I752" s="2386"/>
      <c r="J752" s="2386"/>
      <c r="K752" s="2386"/>
      <c r="L752" s="2386"/>
      <c r="M752" s="2386"/>
      <c r="N752" s="2386"/>
      <c r="O752" s="2431"/>
      <c r="P752" s="2393"/>
    </row>
    <row r="753" spans="1:16" x14ac:dyDescent="0.4">
      <c r="A753" s="2444"/>
      <c r="B753" s="2444"/>
      <c r="C753" s="2445"/>
      <c r="D753" s="2444"/>
      <c r="E753" s="2444"/>
      <c r="F753" s="2444"/>
      <c r="G753" s="2386"/>
      <c r="H753" s="2386"/>
      <c r="I753" s="2386"/>
      <c r="J753" s="2386"/>
      <c r="K753" s="2386"/>
      <c r="L753" s="2386"/>
      <c r="M753" s="2386"/>
      <c r="N753" s="2386"/>
      <c r="O753" s="2431"/>
      <c r="P753" s="2393"/>
    </row>
    <row r="754" spans="1:16" x14ac:dyDescent="0.4">
      <c r="A754" s="2444"/>
      <c r="B754" s="2444"/>
      <c r="C754" s="2445"/>
      <c r="D754" s="2444"/>
      <c r="E754" s="2444"/>
      <c r="F754" s="2444"/>
      <c r="G754" s="2386"/>
      <c r="H754" s="2386"/>
      <c r="I754" s="2386"/>
      <c r="J754" s="2386"/>
      <c r="K754" s="2386"/>
      <c r="L754" s="2386"/>
      <c r="M754" s="2386"/>
      <c r="N754" s="2386"/>
      <c r="O754" s="2431"/>
      <c r="P754" s="2393"/>
    </row>
    <row r="755" spans="1:16" x14ac:dyDescent="0.4">
      <c r="A755" s="2444"/>
      <c r="B755" s="2444"/>
      <c r="C755" s="2445"/>
      <c r="D755" s="2444"/>
      <c r="E755" s="2444"/>
      <c r="F755" s="2444"/>
      <c r="G755" s="2386"/>
      <c r="H755" s="2386"/>
      <c r="I755" s="2386"/>
      <c r="J755" s="2386"/>
      <c r="K755" s="2386"/>
      <c r="L755" s="2386"/>
      <c r="M755" s="2386"/>
      <c r="N755" s="2386"/>
      <c r="O755" s="2431"/>
      <c r="P755" s="2393"/>
    </row>
    <row r="756" spans="1:16" x14ac:dyDescent="0.4">
      <c r="A756" s="2444"/>
      <c r="B756" s="2444"/>
      <c r="C756" s="2445"/>
      <c r="D756" s="2444"/>
      <c r="E756" s="2444"/>
      <c r="F756" s="2444"/>
      <c r="G756" s="2386"/>
      <c r="H756" s="2386"/>
      <c r="I756" s="2386"/>
      <c r="J756" s="2386"/>
      <c r="K756" s="2386"/>
      <c r="L756" s="2386"/>
      <c r="M756" s="2386"/>
      <c r="N756" s="2386"/>
      <c r="O756" s="2431"/>
      <c r="P756" s="2393"/>
    </row>
    <row r="757" spans="1:16" x14ac:dyDescent="0.4">
      <c r="A757" s="2444"/>
      <c r="B757" s="2444"/>
      <c r="C757" s="2445"/>
      <c r="D757" s="2444"/>
      <c r="E757" s="2444"/>
      <c r="F757" s="2444"/>
      <c r="G757" s="2386"/>
      <c r="H757" s="2386"/>
      <c r="I757" s="2386"/>
      <c r="J757" s="2386"/>
      <c r="K757" s="2386"/>
      <c r="L757" s="2386"/>
      <c r="M757" s="2386"/>
      <c r="N757" s="2386"/>
      <c r="O757" s="2431"/>
      <c r="P757" s="2393"/>
    </row>
    <row r="758" spans="1:16" x14ac:dyDescent="0.4">
      <c r="A758" s="2444"/>
      <c r="B758" s="2444"/>
      <c r="C758" s="2445"/>
      <c r="D758" s="2444"/>
      <c r="E758" s="2444"/>
      <c r="F758" s="2444"/>
      <c r="G758" s="2386"/>
      <c r="H758" s="2386"/>
      <c r="I758" s="2386"/>
      <c r="J758" s="2386"/>
      <c r="K758" s="2386"/>
      <c r="L758" s="2386"/>
      <c r="M758" s="2386"/>
      <c r="N758" s="2386"/>
      <c r="O758" s="2431"/>
      <c r="P758" s="2393"/>
    </row>
    <row r="759" spans="1:16" x14ac:dyDescent="0.4">
      <c r="A759" s="2444"/>
      <c r="B759" s="2444"/>
      <c r="C759" s="2445"/>
      <c r="D759" s="2444"/>
      <c r="E759" s="2444"/>
      <c r="F759" s="2444"/>
      <c r="G759" s="2386"/>
      <c r="H759" s="2386"/>
      <c r="I759" s="2386"/>
      <c r="J759" s="2386"/>
      <c r="K759" s="2386"/>
      <c r="L759" s="2386"/>
      <c r="M759" s="2386"/>
      <c r="N759" s="2386"/>
      <c r="O759" s="2431"/>
      <c r="P759" s="2393"/>
    </row>
    <row r="760" spans="1:16" x14ac:dyDescent="0.4">
      <c r="A760" s="2444"/>
      <c r="B760" s="2444"/>
      <c r="C760" s="2445"/>
      <c r="D760" s="2444"/>
      <c r="E760" s="2444"/>
      <c r="F760" s="2444"/>
      <c r="G760" s="2386"/>
      <c r="H760" s="2386"/>
      <c r="I760" s="2386"/>
      <c r="J760" s="2386"/>
      <c r="K760" s="2386"/>
      <c r="L760" s="2386"/>
      <c r="M760" s="2386"/>
      <c r="N760" s="2386"/>
      <c r="O760" s="2431"/>
      <c r="P760" s="2393"/>
    </row>
    <row r="761" spans="1:16" x14ac:dyDescent="0.4">
      <c r="A761" s="2444"/>
      <c r="B761" s="2444"/>
      <c r="C761" s="2445"/>
      <c r="D761" s="2444"/>
      <c r="E761" s="2444"/>
      <c r="F761" s="2444"/>
      <c r="G761" s="2386"/>
      <c r="H761" s="2386"/>
      <c r="I761" s="2386"/>
      <c r="J761" s="2386"/>
      <c r="K761" s="2386"/>
      <c r="L761" s="2386"/>
      <c r="M761" s="2386"/>
      <c r="N761" s="2386"/>
      <c r="O761" s="2431"/>
      <c r="P761" s="2393"/>
    </row>
    <row r="762" spans="1:16" x14ac:dyDescent="0.4">
      <c r="A762" s="2444"/>
      <c r="B762" s="2444"/>
      <c r="C762" s="2445"/>
      <c r="D762" s="2444"/>
      <c r="E762" s="2444"/>
      <c r="F762" s="2444"/>
      <c r="G762" s="2386"/>
      <c r="H762" s="2386"/>
      <c r="I762" s="2386"/>
      <c r="J762" s="2386"/>
      <c r="K762" s="2386"/>
      <c r="L762" s="2386"/>
      <c r="M762" s="2386"/>
      <c r="N762" s="2386"/>
      <c r="O762" s="2431"/>
      <c r="P762" s="2393"/>
    </row>
    <row r="763" spans="1:16" x14ac:dyDescent="0.4">
      <c r="A763" s="2444"/>
      <c r="B763" s="2444"/>
      <c r="C763" s="2445"/>
      <c r="D763" s="2444"/>
      <c r="E763" s="2444"/>
      <c r="F763" s="2444"/>
      <c r="G763" s="2386"/>
      <c r="H763" s="2386"/>
      <c r="I763" s="2386"/>
      <c r="J763" s="2386"/>
      <c r="K763" s="2386"/>
      <c r="L763" s="2386"/>
      <c r="M763" s="2386"/>
      <c r="N763" s="2386"/>
      <c r="O763" s="2431"/>
      <c r="P763" s="2393"/>
    </row>
    <row r="764" spans="1:16" x14ac:dyDescent="0.4">
      <c r="A764" s="2444"/>
      <c r="B764" s="2444"/>
      <c r="C764" s="2445"/>
      <c r="D764" s="2444"/>
      <c r="E764" s="2444"/>
      <c r="F764" s="2444"/>
      <c r="G764" s="2386"/>
      <c r="H764" s="2386"/>
      <c r="I764" s="2386"/>
      <c r="J764" s="2386"/>
      <c r="K764" s="2386"/>
      <c r="L764" s="2386"/>
      <c r="M764" s="2386"/>
      <c r="N764" s="2386"/>
      <c r="O764" s="2431"/>
      <c r="P764" s="2393"/>
    </row>
    <row r="765" spans="1:16" x14ac:dyDescent="0.4">
      <c r="A765" s="2444"/>
      <c r="B765" s="2444"/>
      <c r="C765" s="2445"/>
      <c r="D765" s="2444"/>
      <c r="E765" s="2444"/>
      <c r="F765" s="2444"/>
      <c r="G765" s="2386"/>
      <c r="H765" s="2386"/>
      <c r="I765" s="2386"/>
      <c r="J765" s="2386"/>
      <c r="K765" s="2386"/>
      <c r="L765" s="2386"/>
      <c r="M765" s="2386"/>
      <c r="N765" s="2386"/>
      <c r="O765" s="2431"/>
      <c r="P765" s="2393"/>
    </row>
    <row r="766" spans="1:16" x14ac:dyDescent="0.4">
      <c r="A766" s="2444"/>
      <c r="B766" s="2444"/>
      <c r="C766" s="2445"/>
      <c r="D766" s="2444"/>
      <c r="E766" s="2444"/>
      <c r="F766" s="2444"/>
      <c r="G766" s="2386"/>
      <c r="H766" s="2386"/>
      <c r="I766" s="2386"/>
      <c r="J766" s="2386"/>
      <c r="K766" s="2386"/>
      <c r="L766" s="2386"/>
      <c r="M766" s="2386"/>
      <c r="N766" s="2386"/>
      <c r="O766" s="2431"/>
      <c r="P766" s="2393"/>
    </row>
    <row r="767" spans="1:16" x14ac:dyDescent="0.4">
      <c r="A767" s="2444"/>
      <c r="B767" s="2444"/>
      <c r="C767" s="2445"/>
      <c r="D767" s="2444"/>
      <c r="E767" s="2444"/>
      <c r="F767" s="2444"/>
      <c r="G767" s="2386"/>
      <c r="H767" s="2386"/>
      <c r="I767" s="2386"/>
      <c r="J767" s="2386"/>
      <c r="K767" s="2386"/>
      <c r="L767" s="2386"/>
      <c r="M767" s="2386"/>
      <c r="N767" s="2386"/>
      <c r="O767" s="2431"/>
      <c r="P767" s="2393"/>
    </row>
    <row r="768" spans="1:16" x14ac:dyDescent="0.4">
      <c r="A768" s="2444"/>
      <c r="B768" s="2444"/>
      <c r="C768" s="2445"/>
      <c r="D768" s="2444"/>
      <c r="E768" s="2444"/>
      <c r="F768" s="2444"/>
      <c r="G768" s="2386"/>
      <c r="H768" s="2386"/>
      <c r="I768" s="2386"/>
      <c r="J768" s="2386"/>
      <c r="K768" s="2386"/>
      <c r="L768" s="2386"/>
      <c r="M768" s="2386"/>
      <c r="N768" s="2386"/>
      <c r="O768" s="2431"/>
      <c r="P768" s="2393"/>
    </row>
    <row r="769" spans="1:16" x14ac:dyDescent="0.4">
      <c r="A769" s="2444"/>
      <c r="B769" s="2444"/>
      <c r="C769" s="2445"/>
      <c r="D769" s="2444"/>
      <c r="E769" s="2444"/>
      <c r="F769" s="2444"/>
      <c r="G769" s="2386"/>
      <c r="H769" s="2386"/>
      <c r="I769" s="2386"/>
      <c r="J769" s="2386"/>
      <c r="K769" s="2386"/>
      <c r="L769" s="2386"/>
      <c r="M769" s="2386"/>
      <c r="N769" s="2386"/>
      <c r="O769" s="2431"/>
      <c r="P769" s="2393"/>
    </row>
    <row r="770" spans="1:16" x14ac:dyDescent="0.4">
      <c r="A770" s="2444"/>
      <c r="B770" s="2444"/>
      <c r="C770" s="2445"/>
      <c r="D770" s="2444"/>
      <c r="E770" s="2444"/>
      <c r="F770" s="2444"/>
      <c r="G770" s="2386"/>
      <c r="H770" s="2386"/>
      <c r="I770" s="2386"/>
      <c r="J770" s="2386"/>
      <c r="K770" s="2386"/>
      <c r="L770" s="2386"/>
      <c r="M770" s="2386"/>
      <c r="N770" s="2386"/>
      <c r="O770" s="2431"/>
      <c r="P770" s="2393"/>
    </row>
  </sheetData>
  <autoFilter ref="A1:A272" xr:uid="{81A8E1C9-DA46-49E9-9D29-E8CC82A4C3A2}"/>
  <mergeCells count="95">
    <mergeCell ref="J97:J99"/>
    <mergeCell ref="L97:L99"/>
    <mergeCell ref="M97:M99"/>
    <mergeCell ref="J87:J93"/>
    <mergeCell ref="K87:K92"/>
    <mergeCell ref="J135:J137"/>
    <mergeCell ref="K135:K137"/>
    <mergeCell ref="L135:L137"/>
    <mergeCell ref="M135:M137"/>
    <mergeCell ref="J100:J102"/>
    <mergeCell ref="L100:L102"/>
    <mergeCell ref="M100:M102"/>
    <mergeCell ref="J103:J105"/>
    <mergeCell ref="L103:L105"/>
    <mergeCell ref="M103:M105"/>
    <mergeCell ref="L138:L139"/>
    <mergeCell ref="M138:M139"/>
    <mergeCell ref="L130:L131"/>
    <mergeCell ref="M130:M132"/>
    <mergeCell ref="M69:M70"/>
    <mergeCell ref="M94:M96"/>
    <mergeCell ref="K143:K165"/>
    <mergeCell ref="M143:M165"/>
    <mergeCell ref="L144:L165"/>
    <mergeCell ref="J106:J114"/>
    <mergeCell ref="L106:L114"/>
    <mergeCell ref="J117:J118"/>
    <mergeCell ref="L117:L118"/>
    <mergeCell ref="M117:M118"/>
    <mergeCell ref="M106:M115"/>
    <mergeCell ref="J119:J121"/>
    <mergeCell ref="L119:L122"/>
    <mergeCell ref="M119:M122"/>
    <mergeCell ref="J123:J127"/>
    <mergeCell ref="L123:L127"/>
    <mergeCell ref="M123:M128"/>
    <mergeCell ref="J138:J139"/>
    <mergeCell ref="J81:J83"/>
    <mergeCell ref="K81:K83"/>
    <mergeCell ref="L81:L83"/>
    <mergeCell ref="M81:M83"/>
    <mergeCell ref="L87:L92"/>
    <mergeCell ref="M87:M93"/>
    <mergeCell ref="M84:M86"/>
    <mergeCell ref="M59:M61"/>
    <mergeCell ref="J62:J64"/>
    <mergeCell ref="L62:L64"/>
    <mergeCell ref="M62:M64"/>
    <mergeCell ref="J65:J68"/>
    <mergeCell ref="L65:L68"/>
    <mergeCell ref="M65:M68"/>
    <mergeCell ref="J71:J72"/>
    <mergeCell ref="L71:L72"/>
    <mergeCell ref="M71:M73"/>
    <mergeCell ref="M74:M76"/>
    <mergeCell ref="J77:J79"/>
    <mergeCell ref="K77:K79"/>
    <mergeCell ref="L77:L80"/>
    <mergeCell ref="M77:M80"/>
    <mergeCell ref="J46:J50"/>
    <mergeCell ref="L46:L50"/>
    <mergeCell ref="M46:M50"/>
    <mergeCell ref="J52:J56"/>
    <mergeCell ref="L52:L57"/>
    <mergeCell ref="M52:M57"/>
    <mergeCell ref="K36:K38"/>
    <mergeCell ref="L36:L39"/>
    <mergeCell ref="M36:M39"/>
    <mergeCell ref="J40:J45"/>
    <mergeCell ref="L40:L45"/>
    <mergeCell ref="M40:M45"/>
    <mergeCell ref="J30:J32"/>
    <mergeCell ref="L30:L32"/>
    <mergeCell ref="M30:M32"/>
    <mergeCell ref="J34:J35"/>
    <mergeCell ref="L34:L35"/>
    <mergeCell ref="M34:M35"/>
    <mergeCell ref="J24:J27"/>
    <mergeCell ref="L24:L27"/>
    <mergeCell ref="M24:M27"/>
    <mergeCell ref="J28:J29"/>
    <mergeCell ref="L28:L29"/>
    <mergeCell ref="M28:M29"/>
    <mergeCell ref="M12:M13"/>
    <mergeCell ref="M14:M17"/>
    <mergeCell ref="M18:M20"/>
    <mergeCell ref="J21:J22"/>
    <mergeCell ref="L21:L23"/>
    <mergeCell ref="M21:M23"/>
    <mergeCell ref="J2:J5"/>
    <mergeCell ref="K2:K5"/>
    <mergeCell ref="L2:L5"/>
    <mergeCell ref="M2:M5"/>
    <mergeCell ref="L6:L10"/>
    <mergeCell ref="M6:M11"/>
  </mergeCells>
  <phoneticPr fontId="4"/>
  <conditionalFormatting sqref="A46:C50">
    <cfRule type="expression" dxfId="64" priority="27">
      <formula>NOT($A46=$B46)</formula>
    </cfRule>
    <cfRule type="expression" dxfId="63" priority="28">
      <formula>AND($A46=$B46,NOT($A46=""))</formula>
    </cfRule>
  </conditionalFormatting>
  <conditionalFormatting sqref="A2:F45">
    <cfRule type="expression" dxfId="62" priority="32">
      <formula>AND(LEFT($B2,1)="J")</formula>
    </cfRule>
    <cfRule type="expression" dxfId="61" priority="33">
      <formula>NOT($A2=$B2)</formula>
    </cfRule>
    <cfRule type="expression" dxfId="60" priority="34">
      <formula>AND($A2=$B2,NOT($A2=""))</formula>
    </cfRule>
  </conditionalFormatting>
  <conditionalFormatting sqref="A51:F1060">
    <cfRule type="expression" dxfId="59" priority="8">
      <formula>AND(LEFT($B51,1)="J")</formula>
    </cfRule>
    <cfRule type="expression" dxfId="58" priority="9">
      <formula>NOT($A51=$B51)</formula>
    </cfRule>
    <cfRule type="expression" dxfId="57" priority="10">
      <formula>AND($A51=$B51,NOT($A51=""))</formula>
    </cfRule>
  </conditionalFormatting>
  <conditionalFormatting sqref="C47:C50">
    <cfRule type="expression" dxfId="56" priority="26">
      <formula>AND(LEFT($B47,1)="J")</formula>
    </cfRule>
  </conditionalFormatting>
  <conditionalFormatting sqref="D46:F50">
    <cfRule type="expression" dxfId="55" priority="189">
      <formula>AND(LEFT($B46,1)="J")</formula>
    </cfRule>
    <cfRule type="expression" dxfId="54" priority="192">
      <formula>NOT($A46=$B46)</formula>
    </cfRule>
    <cfRule type="expression" dxfId="53" priority="193">
      <formula>AND($A46=$B46,NOT($A46=""))</formula>
    </cfRule>
  </conditionalFormatting>
  <conditionalFormatting sqref="N2:N1060">
    <cfRule type="cellIs" dxfId="52" priority="6" operator="equal">
      <formula>"S"</formula>
    </cfRule>
    <cfRule type="containsText" dxfId="51" priority="7" operator="containsText" text="L">
      <formula>NOT(ISERROR(SEARCH("L",N2)))</formula>
    </cfRule>
  </conditionalFormatting>
  <dataValidations disablePrompts="1" count="1">
    <dataValidation type="list" allowBlank="1" showInputMessage="1" showErrorMessage="1" sqref="N317:N321 N332:N335 N347 N302:N305 N359:N1048576 N160:N161 N146:N151 N287:N296 N274:N280 N75:N76 N104:N105 N116:N122 N91:N95 N107:N110 N127:N144 N2:N73" xr:uid="{B8024989-C6BE-4C56-8442-7821EAED23F2}">
      <formula1>"L,S"</formula1>
    </dataValidation>
  </dataValidations>
  <hyperlinks>
    <hyperlink ref="J166:J273" r:id="rId1" display="LINK" xr:uid="{8DC2B12F-E345-43CC-9C12-B18090587A2B}"/>
    <hyperlink ref="K2:K5" r:id="rId2" display="LINK" xr:uid="{087B25FB-049F-4364-BA55-15BB177DA112}"/>
    <hyperlink ref="K36:K38" r:id="rId3" display="RP LINK" xr:uid="{E8A71B17-1B50-4004-B09E-BD397DA1EB20}"/>
    <hyperlink ref="K135:K136" r:id="rId4" display="LINK" xr:uid="{DC42170D-37D9-4DB4-996B-4FBB3FC86246}"/>
    <hyperlink ref="J21:J22" r:id="rId5" display="LINK" xr:uid="{869D6FDE-84A6-4CC3-98B9-E59291DD2139}"/>
    <hyperlink ref="J24:J27" r:id="rId6" display="LINK" xr:uid="{2ECC7449-C7E9-462D-8E83-580D7C3A4985}"/>
    <hyperlink ref="J28:J29" r:id="rId7" display="LINK" xr:uid="{69096A6D-35A7-4DC7-9D54-9A15FA0DB7C6}"/>
    <hyperlink ref="J30:J32" r:id="rId8" display="LINK" xr:uid="{9E531235-70DC-4009-BED0-67E28766D482}"/>
    <hyperlink ref="J33" r:id="rId9" xr:uid="{1BD28F38-D6DD-425D-9A51-ECDAB8FD662E}"/>
    <hyperlink ref="J34:J35" r:id="rId10" display="LINK" xr:uid="{0CDA3ECD-58F9-40A5-ADAC-6AE697E6B56A}"/>
    <hyperlink ref="J46:J50" r:id="rId11" display="LINK" xr:uid="{6508BA4A-B156-4DDA-B13B-91E6C4F379A6}"/>
    <hyperlink ref="J52:J56" r:id="rId12" display="LINK" xr:uid="{2C1E8541-ACA7-47D8-9D97-564A30842F76}"/>
    <hyperlink ref="J58" r:id="rId13" xr:uid="{A652DB89-24CE-4F36-8EB9-AE38E2D7EE09}"/>
    <hyperlink ref="J62:J64" r:id="rId14" display="LINK" xr:uid="{C3EF4120-F0FC-44F9-9C9E-B3533C4BE29F}"/>
    <hyperlink ref="J65:J68" r:id="rId15" display="LINK" xr:uid="{C3033631-66A2-4FA2-91E3-B115A9D43FEF}"/>
    <hyperlink ref="J71:J72" r:id="rId16" display="LINK" xr:uid="{CE7DDEBD-64F0-464F-BB85-E51BB5B8AFB8}"/>
    <hyperlink ref="J77:J79" r:id="rId17" display="LINK" xr:uid="{F0416537-4B1C-4652-939A-A55A464D8A77}"/>
    <hyperlink ref="J87:J93" r:id="rId18" display="LINK" xr:uid="{A9EEC3BD-06BC-42D9-9AE9-AA69CDF7F137}"/>
    <hyperlink ref="J97:J99" r:id="rId19" display="LINK" xr:uid="{A06AAD12-3577-4A5F-9D1E-9B7BE38E719E}"/>
    <hyperlink ref="J100:J102" r:id="rId20" display="LINK" xr:uid="{DC212CB4-F648-437C-92C3-EE5CFCCA3329}"/>
    <hyperlink ref="J103:J105" r:id="rId21" display="LINK" xr:uid="{10D8DC2C-FC5A-42AA-BD5C-08C0DDE0F2AA}"/>
    <hyperlink ref="J106:J114" r:id="rId22" display="LINK" xr:uid="{059B0359-1BD8-43AE-B237-6652A0483610}"/>
    <hyperlink ref="J116" r:id="rId23" xr:uid="{48E6BDAD-62F3-410F-9AC1-7092F37D32B2}"/>
    <hyperlink ref="J117:J118" r:id="rId24" display="LINK" xr:uid="{571DF787-4425-495F-97AE-3EF5A9C0A542}"/>
    <hyperlink ref="J119" r:id="rId25" xr:uid="{A888C4CC-E435-4170-B571-7E490840EC7D}"/>
    <hyperlink ref="J123:J127" r:id="rId26" display="LINK" xr:uid="{158D9817-9005-4258-8EB6-4EE881912AF4}"/>
    <hyperlink ref="J129" r:id="rId27" xr:uid="{63346410-CB7D-4EE9-8D72-CC1295DEA831}"/>
    <hyperlink ref="J130" r:id="rId28" xr:uid="{5F95F004-58A2-49D6-82FE-09DF107783A6}"/>
    <hyperlink ref="J138" r:id="rId29" xr:uid="{11FBA2AF-CD55-4863-9D18-DB39DEA8857F}"/>
    <hyperlink ref="J143" r:id="rId30" xr:uid="{7BDDDD44-3BFE-46CE-8AA3-DF97650F32B5}"/>
    <hyperlink ref="J152" r:id="rId31" xr:uid="{14794433-1F15-4F5F-817A-913692C5FFC6}"/>
    <hyperlink ref="J161" r:id="rId32" xr:uid="{FC772DE7-158E-441B-9A9A-B2E15FBCCCDC}"/>
    <hyperlink ref="J163" r:id="rId33" xr:uid="{E328A38E-1E80-4874-AD96-89A25C5CDD11}"/>
    <hyperlink ref="J164" r:id="rId34" xr:uid="{2BAE5C8A-A9FB-454E-BF32-14D689DE86FB}"/>
    <hyperlink ref="J165" r:id="rId35" xr:uid="{76B9E92B-8C9C-4CB0-B366-B7BD18B64DF1}"/>
    <hyperlink ref="K143" r:id="rId36" display="LINK" xr:uid="{F33F8BB5-3F87-4E40-A10B-1B75AC55544A}"/>
    <hyperlink ref="K81:K83" r:id="rId37" display="RP LINK" xr:uid="{05948303-C7C8-4E4B-96E4-BFDA9DD1BDD8}"/>
    <hyperlink ref="K143:K165" r:id="rId38" display="RP LINK" xr:uid="{16AA112E-45D0-4907-8968-CB1C1F1464FF}"/>
    <hyperlink ref="J40:J45" r:id="rId39" display="Link" xr:uid="{1D661F83-CA58-49F4-88A8-D950E2D24CA5}"/>
    <hyperlink ref="J51" r:id="rId40" xr:uid="{DC9DD92E-809F-4303-919A-3E0F8B074274}"/>
    <hyperlink ref="K87:K92" r:id="rId41" display="RP LINK" xr:uid="{C682B8DA-96DC-49FE-91B3-FA611A8FE116}"/>
    <hyperlink ref="K77:K79" r:id="rId42" display="RP LINK" xr:uid="{95B6497E-20A3-4043-8234-85FCAA2F7E03}"/>
    <hyperlink ref="M36:M38" r:id="rId43" display="RP LINK" xr:uid="{FDF15B56-61AD-4C30-A5E0-76972BECD05A}"/>
    <hyperlink ref="M77:M79" r:id="rId44" display="RP LINK" xr:uid="{5EAE08C6-8CE5-417B-8958-DB36AA6C60FD}"/>
    <hyperlink ref="M135:M137" r:id="rId45" display="RP LINK" xr:uid="{B989AE88-FFBF-433B-9BCF-C256033DB0F4}"/>
    <hyperlink ref="M143:M165" r:id="rId46" display="RP LINK" xr:uid="{C64D4A31-DA06-46E4-A9EB-2AF5A7B24B5B}"/>
    <hyperlink ref="M51" r:id="rId47" xr:uid="{58CDDBF0-880B-4D9F-AD6B-56D07975163B}"/>
    <hyperlink ref="M52:M56" r:id="rId48" display="RP LINK" xr:uid="{502628FD-FC04-4393-97B8-C4DD63D39D9B}"/>
    <hyperlink ref="M58" r:id="rId49" xr:uid="{C5255E1C-8505-4CE2-80D1-B3C63C2E196F}"/>
    <hyperlink ref="J82" r:id="rId50" display="LINK" xr:uid="{7954B477-0F3A-4EFB-9B17-525813F1D367}"/>
    <hyperlink ref="K82" r:id="rId51" display="RP LINK" xr:uid="{5C014B69-0968-44F6-A182-B425E65D9909}"/>
    <hyperlink ref="M87:M92" r:id="rId52" display="RP LINK" xr:uid="{F1CE6CB8-BE8C-481F-B0FC-55C88052E7DE}"/>
    <hyperlink ref="M81:M83" r:id="rId53" display="RP LINK" xr:uid="{8A57EDFB-671B-47AC-B0EF-33A11101C9D5}"/>
    <hyperlink ref="M129" r:id="rId54" xr:uid="{BDD6BA3F-0D8E-4EF8-BE60-3E8777118591}"/>
    <hyperlink ref="J131" r:id="rId55" xr:uid="{A9F6495D-866A-47F3-9F29-76F10AD9D5BB}"/>
    <hyperlink ref="M6" r:id="rId56" xr:uid="{8BFB2858-F16C-4FF9-80A1-B37E7012B725}"/>
    <hyperlink ref="M30:M32" r:id="rId57" display="RP LINK" xr:uid="{8E817D75-214E-46E3-9E2B-E1D2913B6354}"/>
    <hyperlink ref="M117:M118" r:id="rId58" display="RP LINK " xr:uid="{49F1C263-9B58-473F-B591-3AE15EC2D681}"/>
    <hyperlink ref="M100:M102" r:id="rId59" display="RP LINK " xr:uid="{193A6A29-47A6-4146-9167-27FE3D8E97EA}"/>
    <hyperlink ref="M21:M22" r:id="rId60" display="RP LINK 4/25開始" xr:uid="{04A265B9-8528-4BE7-8E10-FE65F4644681}"/>
    <hyperlink ref="M24:M27" r:id="rId61" display="RP LINK" xr:uid="{1FECF876-B40D-4312-8FF6-11E264889FDB}"/>
    <hyperlink ref="M28:M29" r:id="rId62" display="RP LINK" xr:uid="{7DA2820A-B5D3-4E52-8426-0FE1549C8709}"/>
    <hyperlink ref="M46:M50" r:id="rId63" display="RP LINK" xr:uid="{2F60154D-1831-4E16-93B6-F14B2272006F}"/>
    <hyperlink ref="M138:M139" r:id="rId64" display="RP LINK " xr:uid="{EAB48656-2FAA-4403-A13D-1E7074E936FC}"/>
    <hyperlink ref="M103:M105" r:id="rId65" display="RP LINK  " xr:uid="{F54A6C7B-9B60-4E82-B8C9-3AFA56615957}"/>
    <hyperlink ref="M106:M114" r:id="rId66" display="RP LINK" xr:uid="{2BF464FE-EB59-4A20-9E4F-18083175DF25}"/>
    <hyperlink ref="M97:M99" r:id="rId67" display="RP LINK" xr:uid="{712A6725-38FB-41F2-B8D9-B6DB77DF51CE}"/>
    <hyperlink ref="M116" r:id="rId68" xr:uid="{D96A7635-C45F-4D63-B583-B79B6CB511C2}"/>
    <hyperlink ref="M65:M68" r:id="rId69" display="RP LINK " xr:uid="{E42AA474-496F-4AD1-A798-94701D8793A2}"/>
    <hyperlink ref="M40:M45" r:id="rId70" display="RP LINK " xr:uid="{74743927-6BEB-4AC7-B49C-C1D8E283245B}"/>
    <hyperlink ref="M34:M35" r:id="rId71" display="RP LINK" xr:uid="{1EF743E7-C9F4-4339-864B-8648ED83EF77}"/>
    <hyperlink ref="M71:M72" r:id="rId72" display="PR LINK 6/12開始" xr:uid="{0D15B135-75B6-4956-BA37-077F2C0E06B2}"/>
    <hyperlink ref="M123:M127" r:id="rId73" display="RP LINK" xr:uid="{EB330D96-2DB1-46CA-82E2-779175BEA7A1}"/>
    <hyperlink ref="M62:M64" r:id="rId74" display="RP LINK" xr:uid="{FF7DAA57-CC4B-4961-9B55-83789C8D0576}"/>
    <hyperlink ref="M33" r:id="rId75" xr:uid="{471B332D-AD2D-4091-BF63-44943E46F05D}"/>
    <hyperlink ref="M130:M131" r:id="rId76" display="RP LINK 6/25～" xr:uid="{B66C10FF-733E-463D-8772-B43A1495687D}"/>
    <hyperlink ref="J84" r:id="rId77" display="LINK" xr:uid="{9EE4F04E-3A34-435B-818B-787EBE8AB096}"/>
    <hyperlink ref="M84:M86" r:id="rId78" display="RP LINK" xr:uid="{D28C1A2F-E3E0-4013-9FDA-321EA0F9A0D9}"/>
    <hyperlink ref="M94" r:id="rId79" xr:uid="{6DA88CAE-BEA0-4A0F-A96E-A43A9B194C34}"/>
    <hyperlink ref="J74" r:id="rId80" display="LINK" xr:uid="{2785BCF4-637B-43E5-8859-0C95F09035CC}"/>
    <hyperlink ref="K74" r:id="rId81" display="RP LINK" xr:uid="{2F9768ED-DF87-4872-82FD-21076F6F20EB}"/>
    <hyperlink ref="J76" r:id="rId82" display="LINK" xr:uid="{7863548D-8FBB-49B7-8DEB-90B91C309F0D}"/>
    <hyperlink ref="J75" r:id="rId83" display="LINK" xr:uid="{DE69D7D1-5C6A-4652-8689-D37A5F17DCA4}"/>
    <hyperlink ref="M133" r:id="rId84" xr:uid="{BAB0D16F-2086-457F-8548-80BFAD50B355}"/>
    <hyperlink ref="M74:M76" r:id="rId85" display="RP LINK" xr:uid="{E1B92620-958C-4FC4-883C-3E6CC06A5FBD}"/>
    <hyperlink ref="M14" r:id="rId86" xr:uid="{1A962AFA-8670-4C9E-BA4A-7FDF509084D6}"/>
    <hyperlink ref="M12" r:id="rId87" xr:uid="{2883B86A-4273-4DF5-9640-B5DC595D64CE}"/>
    <hyperlink ref="M18" r:id="rId88" xr:uid="{49E43853-EF5B-4C82-A41A-489C9B1CA2F4}"/>
    <hyperlink ref="J59" r:id="rId89" xr:uid="{740E11DA-8755-4296-AF1B-97C53AE94BCD}"/>
    <hyperlink ref="M59:M61" r:id="rId90" display="RP LINK" xr:uid="{C836B23D-0CB5-4B28-A7DF-A1270C24C789}"/>
    <hyperlink ref="M6:M11" r:id="rId91" display="RP LINK" xr:uid="{EF22A21F-DAA3-4523-8D9F-D82A289D2BA9}"/>
    <hyperlink ref="M12:M13" r:id="rId92" display="RP LINK" xr:uid="{44DB4EBC-D656-47F7-B041-E1330196BAD3}"/>
    <hyperlink ref="M14:M17" r:id="rId93" display="RP LINK" xr:uid="{4A30EDB4-589D-4C83-AAF2-D22BC233E748}"/>
    <hyperlink ref="M18:M20" r:id="rId94" display="RP LINK" xr:uid="{E647E78C-BAC8-4A94-80DE-36C26280331B}"/>
    <hyperlink ref="M21:M23" r:id="rId95" display="RP LINK" xr:uid="{9D76038D-E605-435D-AF0D-1BCB9C391374}"/>
    <hyperlink ref="M36:M39" r:id="rId96" display="RP LINK" xr:uid="{FEB3AE9E-6CD3-4E26-B8AC-4AF279713D44}"/>
    <hyperlink ref="M52:M57" r:id="rId97" display="RP LINK" xr:uid="{646EB1D3-0001-4FBA-A09C-FBB6FD98ED48}"/>
    <hyperlink ref="M71:M73" r:id="rId98" display="RP LINK " xr:uid="{893A3A1F-D10B-4E0C-9C43-DDFBFB298601}"/>
    <hyperlink ref="M77:M80" r:id="rId99" display="RP LINK" xr:uid="{0EB4624C-128B-4185-81CC-D25903A68513}"/>
    <hyperlink ref="M87:M93" r:id="rId100" display="RP LINK" xr:uid="{9F380BDB-3DE3-4DAC-83B5-5975CEB341F0}"/>
    <hyperlink ref="M123:M128" r:id="rId101" display="RP LINK" xr:uid="{759CBEEC-6E88-4F16-8873-789000886E0B}"/>
    <hyperlink ref="M130:M132" r:id="rId102" display="RP LINK" xr:uid="{A060A36B-FA84-42B7-B049-D481865363B8}"/>
    <hyperlink ref="M2:M5" r:id="rId103" display="RP LINK" xr:uid="{B3B97052-D96B-4015-8EE2-BC31B1172EBF}"/>
    <hyperlink ref="M141" r:id="rId104" xr:uid="{C120D6DC-FC4B-4DC4-88F6-DB0AB6380A7C}"/>
    <hyperlink ref="J96" r:id="rId105" display="LINK" xr:uid="{B8A39F65-25A5-4031-AD06-7650D0050988}"/>
    <hyperlink ref="M69" r:id="rId106" xr:uid="{D72EB917-B0D4-4697-9CDD-F002F5C45E62}"/>
    <hyperlink ref="M134" r:id="rId107" xr:uid="{F2F05FA1-552E-47E6-AA6D-33B19C110942}"/>
    <hyperlink ref="M119:M122" r:id="rId108" display="RP LINK" xr:uid="{3EF71915-EE7B-41A3-BCE6-C131005235D1}"/>
    <hyperlink ref="M94:M96" r:id="rId109" display="RP LINK" xr:uid="{AED3CDE4-C790-43DE-AC6E-85BEE3D7E479}"/>
    <hyperlink ref="M106:M115" r:id="rId110" display="RP LINK" xr:uid="{82F6E83F-D53C-40E7-9FF1-0376F3418895}"/>
    <hyperlink ref="M140" r:id="rId111" xr:uid="{5B7986BF-9585-45E0-8672-171257C0E75E}"/>
    <hyperlink ref="M142" r:id="rId112" xr:uid="{97E27D48-EB00-4F03-8E70-4FBC899AFE8A}"/>
  </hyperlinks>
  <pageMargins left="0.7" right="0.7" top="0.75" bottom="0.75" header="0.3" footer="0.3"/>
  <pageSetup paperSize="9" orientation="portrait" r:id="rId11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B6E7F5-A7E9-4FA9-B750-B3276CF52F34}">
  <sheetPr>
    <tabColor theme="5"/>
  </sheetPr>
  <dimension ref="A1:S1043"/>
  <sheetViews>
    <sheetView zoomScale="85" zoomScaleNormal="85" workbookViewId="0">
      <pane ySplit="1" topLeftCell="A10" activePane="bottomLeft" state="frozen"/>
      <selection activeCell="M2" sqref="M2:M5"/>
      <selection pane="bottomLeft" activeCell="I2" sqref="I2:I63"/>
    </sheetView>
  </sheetViews>
  <sheetFormatPr defaultColWidth="8.625" defaultRowHeight="19.5" x14ac:dyDescent="0.4"/>
  <cols>
    <col min="1" max="1" width="11.625" style="2509" customWidth="1"/>
    <col min="2" max="2" width="7.625" style="2508" customWidth="1"/>
    <col min="3" max="3" width="7.625" style="2381" customWidth="1"/>
    <col min="4" max="4" width="23.625" style="2508" customWidth="1"/>
    <col min="5" max="5" width="23.625" style="2510" customWidth="1"/>
    <col min="6" max="6" width="8.125" style="2511" customWidth="1"/>
    <col min="7" max="7" width="15.625" style="2446" customWidth="1"/>
    <col min="8" max="8" width="9.125" style="2446" customWidth="1"/>
    <col min="9" max="9" width="7.625" style="2446" customWidth="1"/>
    <col min="10" max="10" width="26.125" style="2446" customWidth="1"/>
    <col min="11" max="11" width="19" style="2446" customWidth="1"/>
    <col min="12" max="12" width="31.125" style="2445" customWidth="1"/>
    <col min="13" max="13" width="27.5" style="2444" customWidth="1"/>
    <col min="14" max="14" width="11.625" style="2508" customWidth="1"/>
    <col min="15" max="16384" width="8.625" style="2386"/>
  </cols>
  <sheetData>
    <row r="1" spans="1:19" ht="25.35" customHeight="1" x14ac:dyDescent="0.4">
      <c r="A1" s="2493" t="s">
        <v>1270</v>
      </c>
      <c r="B1" s="2378" t="s">
        <v>765</v>
      </c>
      <c r="C1" s="2379" t="s">
        <v>1271</v>
      </c>
      <c r="D1" s="2378" t="s">
        <v>767</v>
      </c>
      <c r="E1" s="2380" t="s">
        <v>768</v>
      </c>
      <c r="F1" s="2379" t="s">
        <v>1272</v>
      </c>
      <c r="G1" s="2494" t="s">
        <v>1273</v>
      </c>
      <c r="H1" s="2494" t="s">
        <v>771</v>
      </c>
      <c r="I1" s="2382" t="s">
        <v>772</v>
      </c>
      <c r="J1" s="2382" t="s">
        <v>1274</v>
      </c>
      <c r="K1" s="2382" t="s">
        <v>1275</v>
      </c>
      <c r="L1" s="2384" t="s">
        <v>776</v>
      </c>
      <c r="M1" s="2385" t="s">
        <v>777</v>
      </c>
      <c r="N1" s="2379" t="s">
        <v>778</v>
      </c>
      <c r="S1" s="2386" t="s">
        <v>779</v>
      </c>
    </row>
    <row r="2" spans="1:19" ht="25.35" customHeight="1" x14ac:dyDescent="0.4">
      <c r="A2" s="2493" t="s">
        <v>1160</v>
      </c>
      <c r="B2" s="2378" t="s">
        <v>1161</v>
      </c>
      <c r="C2" s="2379">
        <v>3</v>
      </c>
      <c r="D2" s="2378" t="s">
        <v>787</v>
      </c>
      <c r="E2" s="2380" t="s">
        <v>1162</v>
      </c>
      <c r="F2" s="2389"/>
      <c r="G2" s="2780" t="str">
        <f>IFERROR(HYPERLINK("https://logistics.amazon.co.jp/internal/operations/execution/itineraries?operationView=true&amp;provider=ALL_DRIVERS&amp;serviceAreaId="&amp;VLOOKUP($B2,'DS ID'!B:D,2,FALSE),$G$1),"")</f>
        <v>CORTEX ver2</v>
      </c>
      <c r="H2" s="2780" t="str">
        <f>IFERROR(HYPERLINK("https://logistics.amazon.co.jp/internal/capacity/rosterview?serviceAreaId="&amp;VLOOKUP($B2,'DS ID'!B:D,2,FALSE),$H$1),"")</f>
        <v>Roster</v>
      </c>
      <c r="I2" s="2783" t="str">
        <f>IFERROR(HYPERLINK("https://logistics.amazon.co.jp/internal/scheduling/dsps?serviceAreaId="&amp;VLOOKUP($B2,'DS ID'!B:D,2,FALSE),$I$1),"")</f>
        <v>SUI</v>
      </c>
      <c r="J2" s="2886" t="s">
        <v>835</v>
      </c>
      <c r="K2" s="2886" t="s">
        <v>835</v>
      </c>
      <c r="L2" s="2397" t="s">
        <v>785</v>
      </c>
      <c r="M2" s="2395"/>
      <c r="N2" s="2495"/>
    </row>
    <row r="3" spans="1:19" ht="0.6" customHeight="1" x14ac:dyDescent="0.4">
      <c r="A3" s="2493" t="s">
        <v>1160</v>
      </c>
      <c r="B3" s="2378" t="s">
        <v>1177</v>
      </c>
      <c r="C3" s="2379">
        <v>3</v>
      </c>
      <c r="D3" s="2378" t="s">
        <v>787</v>
      </c>
      <c r="E3" s="2380" t="s">
        <v>1178</v>
      </c>
      <c r="F3" s="2379"/>
      <c r="G3" s="2780" t="str">
        <f>IFERROR(HYPERLINK("https://logistics.amazon.co.jp/internal/operations/execution/itineraries?operationView=true&amp;provider=ALL_DRIVERS&amp;serviceAreaId="&amp;VLOOKUP($B3,'DS ID'!B:D,2,FALSE),$G$1),"")</f>
        <v>CORTEX ver2</v>
      </c>
      <c r="H3" s="2780" t="str">
        <f>IFERROR(HYPERLINK("https://logistics.amazon.co.jp/internal/capacity/rosterview?serviceAreaId="&amp;VLOOKUP($B3,'DS ID'!B:D,2,FALSE),$H$1),"")</f>
        <v>Roster</v>
      </c>
      <c r="I3" s="2783" t="str">
        <f>IFERROR(HYPERLINK("https://logistics.amazon.co.jp/internal/scheduling/dsps?serviceAreaId="&amp;VLOOKUP($B3,'DS ID'!B:D,2,FALSE),$I$1),"")</f>
        <v>SUI</v>
      </c>
      <c r="J3" s="2913"/>
      <c r="K3" s="2913"/>
      <c r="L3" s="2391" t="s">
        <v>967</v>
      </c>
      <c r="M3" s="2398"/>
      <c r="N3" s="2495"/>
    </row>
    <row r="4" spans="1:19" ht="22.35" customHeight="1" x14ac:dyDescent="0.4">
      <c r="A4" s="2493" t="s">
        <v>1160</v>
      </c>
      <c r="B4" s="2378" t="s">
        <v>1179</v>
      </c>
      <c r="C4" s="2379">
        <v>2</v>
      </c>
      <c r="D4" s="2378" t="s">
        <v>812</v>
      </c>
      <c r="E4" s="2380" t="s">
        <v>1180</v>
      </c>
      <c r="F4" s="2379"/>
      <c r="G4" s="2780" t="str">
        <f>IFERROR(HYPERLINK("https://logistics.amazon.co.jp/internal/operations/execution/itineraries?operationView=true&amp;provider=ALL_DRIVERS&amp;serviceAreaId="&amp;VLOOKUP($B4,'DS ID'!B:D,2,FALSE),$G$1),"")</f>
        <v>CORTEX ver2</v>
      </c>
      <c r="H4" s="2780" t="str">
        <f>IFERROR(HYPERLINK("https://logistics.amazon.co.jp/internal/capacity/rosterview?serviceAreaId="&amp;VLOOKUP($B4,'DS ID'!B:D,2,FALSE),$H$1),"")</f>
        <v>Roster</v>
      </c>
      <c r="I4" s="2783" t="str">
        <f>IFERROR(HYPERLINK("https://logistics.amazon.co.jp/internal/scheduling/dsps?serviceAreaId="&amp;VLOOKUP($B4,'DS ID'!B:D,2,FALSE),$I$1),"")</f>
        <v>SUI</v>
      </c>
      <c r="J4" s="2886"/>
      <c r="K4" s="2886"/>
      <c r="L4" s="2391" t="s">
        <v>785</v>
      </c>
      <c r="M4" s="2398"/>
      <c r="N4" s="2495"/>
    </row>
    <row r="5" spans="1:19" ht="22.35" customHeight="1" x14ac:dyDescent="0.4">
      <c r="A5" s="2493" t="s">
        <v>1160</v>
      </c>
      <c r="B5" s="2378" t="s">
        <v>1276</v>
      </c>
      <c r="C5" s="2379">
        <v>3</v>
      </c>
      <c r="D5" s="2378" t="s">
        <v>819</v>
      </c>
      <c r="E5" s="2380" t="s">
        <v>1277</v>
      </c>
      <c r="F5" s="2379"/>
      <c r="G5" s="2780" t="str">
        <f>IFERROR(HYPERLINK("https://logistics.amazon.co.jp/internal/operations/execution/itineraries?operationView=true&amp;provider=ALL_DRIVERS&amp;serviceAreaId="&amp;VLOOKUP($B5,'DS ID'!B:D,2,FALSE),$G$1),"")</f>
        <v>CORTEX ver2</v>
      </c>
      <c r="H5" s="2780" t="str">
        <f>IFERROR(HYPERLINK("https://logistics.amazon.co.jp/internal/capacity/rosterview?serviceAreaId="&amp;VLOOKUP($B5,'DS ID'!B:D,2,FALSE),$H$1),"")</f>
        <v>Roster</v>
      </c>
      <c r="I5" s="2783" t="str">
        <f>IFERROR(HYPERLINK("https://logistics.amazon.co.jp/internal/scheduling/dsps?serviceAreaId="&amp;VLOOKUP($B5,'DS ID'!B:D,2,FALSE),$I$1),"")</f>
        <v>SUI</v>
      </c>
      <c r="J5" s="2886"/>
      <c r="K5" s="2886"/>
      <c r="L5" s="2391" t="s">
        <v>785</v>
      </c>
      <c r="M5" s="2398"/>
      <c r="N5" s="2495"/>
    </row>
    <row r="6" spans="1:19" ht="22.35" customHeight="1" x14ac:dyDescent="0.4">
      <c r="A6" s="2493" t="s">
        <v>1160</v>
      </c>
      <c r="B6" s="2378" t="s">
        <v>1278</v>
      </c>
      <c r="C6" s="2379">
        <v>3</v>
      </c>
      <c r="D6" s="2378" t="s">
        <v>1279</v>
      </c>
      <c r="E6" s="2380" t="s">
        <v>1280</v>
      </c>
      <c r="F6" s="2379"/>
      <c r="G6" s="2780" t="str">
        <f>IFERROR(HYPERLINK("https://logistics.amazon.co.jp/internal/operations/execution/itineraries?operationView=true&amp;provider=ALL_DRIVERS&amp;serviceAreaId="&amp;VLOOKUP($B6,'DS ID'!B:D,2,FALSE),$G$1),"")</f>
        <v>CORTEX ver2</v>
      </c>
      <c r="H6" s="2780" t="str">
        <f>IFERROR(HYPERLINK("https://logistics.amazon.co.jp/internal/capacity/rosterview?serviceAreaId="&amp;VLOOKUP($B6,'DS ID'!B:D,2,FALSE),$H$1),"")</f>
        <v>Roster</v>
      </c>
      <c r="I6" s="2783" t="str">
        <f>IFERROR(HYPERLINK("https://logistics.amazon.co.jp/internal/scheduling/dsps?serviceAreaId="&amp;VLOOKUP($B6,'DS ID'!B:D,2,FALSE),$I$1),"")</f>
        <v>SUI</v>
      </c>
      <c r="J6" s="2886"/>
      <c r="K6" s="2886"/>
      <c r="L6" s="2391" t="s">
        <v>785</v>
      </c>
      <c r="M6" s="2398"/>
      <c r="N6" s="2495"/>
    </row>
    <row r="7" spans="1:19" ht="22.35" customHeight="1" x14ac:dyDescent="0.4">
      <c r="A7" s="2493" t="s">
        <v>1160</v>
      </c>
      <c r="B7" s="2378" t="s">
        <v>1281</v>
      </c>
      <c r="C7" s="2379">
        <v>3</v>
      </c>
      <c r="D7" s="2378" t="s">
        <v>1282</v>
      </c>
      <c r="E7" s="2380" t="s">
        <v>1283</v>
      </c>
      <c r="F7" s="2379"/>
      <c r="G7" s="2780" t="str">
        <f>IFERROR(HYPERLINK("https://logistics.amazon.co.jp/internal/operations/execution/itineraries?operationView=true&amp;provider=ALL_DRIVERS&amp;serviceAreaId="&amp;VLOOKUP($B7,'DS ID'!B:D,2,FALSE),$G$1),"")</f>
        <v>CORTEX ver2</v>
      </c>
      <c r="H7" s="2780" t="str">
        <f>IFERROR(HYPERLINK("https://logistics.amazon.co.jp/internal/capacity/rosterview?serviceAreaId="&amp;VLOOKUP($B7,'DS ID'!B:D,2,FALSE),$H$1),"")</f>
        <v>Roster</v>
      </c>
      <c r="I7" s="2783" t="str">
        <f>IFERROR(HYPERLINK("https://logistics.amazon.co.jp/internal/scheduling/dsps?serviceAreaId="&amp;VLOOKUP($B7,'DS ID'!B:D,2,FALSE),$I$1),"")</f>
        <v>SUI</v>
      </c>
      <c r="J7" s="2886"/>
      <c r="K7" s="2886"/>
      <c r="L7" s="2391" t="s">
        <v>785</v>
      </c>
      <c r="M7" s="2398"/>
      <c r="N7" s="2495"/>
    </row>
    <row r="8" spans="1:19" ht="22.35" customHeight="1" x14ac:dyDescent="0.4">
      <c r="A8" s="2493" t="s">
        <v>1142</v>
      </c>
      <c r="B8" s="2378" t="s">
        <v>1284</v>
      </c>
      <c r="C8" s="2379">
        <v>6</v>
      </c>
      <c r="D8" s="2378" t="s">
        <v>1141</v>
      </c>
      <c r="E8" s="2380" t="s">
        <v>1285</v>
      </c>
      <c r="F8" s="2379"/>
      <c r="G8" s="2780" t="str">
        <f>IFERROR(HYPERLINK("https://logistics.amazon.co.jp/internal/operations/execution/itineraries?operationView=true&amp;provider=ALL_DRIVERS&amp;serviceAreaId="&amp;VLOOKUP($B8,'DS ID'!B:D,2,FALSE),$G$1),"")</f>
        <v>CORTEX ver2</v>
      </c>
      <c r="H8" s="2780" t="str">
        <f>IFERROR(HYPERLINK("https://logistics.amazon.co.jp/internal/capacity/rosterview?serviceAreaId="&amp;VLOOKUP($B8,'DS ID'!B:D,2,FALSE),$H$1),"")</f>
        <v>Roster</v>
      </c>
      <c r="I8" s="2783" t="str">
        <f>IFERROR(HYPERLINK("https://logistics.amazon.co.jp/internal/scheduling/dsps?serviceAreaId="&amp;VLOOKUP($B8,'DS ID'!B:D,2,FALSE),$I$1),"")</f>
        <v>SUI</v>
      </c>
      <c r="J8" s="2886"/>
      <c r="K8" s="2886"/>
      <c r="L8" s="2391" t="s">
        <v>785</v>
      </c>
      <c r="M8" s="2398"/>
      <c r="N8" s="2495"/>
    </row>
    <row r="9" spans="1:19" ht="22.35" customHeight="1" x14ac:dyDescent="0.4">
      <c r="A9" s="2493" t="s">
        <v>1286</v>
      </c>
      <c r="B9" s="2378" t="s">
        <v>1287</v>
      </c>
      <c r="C9" s="2379">
        <v>6</v>
      </c>
      <c r="D9" s="2378" t="s">
        <v>1288</v>
      </c>
      <c r="E9" s="2380" t="s">
        <v>1289</v>
      </c>
      <c r="F9" s="2379"/>
      <c r="G9" s="2780" t="str">
        <f>IFERROR(HYPERLINK("https://logistics.amazon.co.jp/internal/operations/execution/itineraries?operationView=true&amp;provider=ALL_DRIVERS&amp;serviceAreaId="&amp;VLOOKUP($B9,'DS ID'!B:D,2,FALSE),$G$1),"")</f>
        <v>CORTEX ver2</v>
      </c>
      <c r="H9" s="2780" t="str">
        <f>IFERROR(HYPERLINK("https://logistics.amazon.co.jp/internal/capacity/rosterview?serviceAreaId="&amp;VLOOKUP($B9,'DS ID'!B:D,2,FALSE),$H$1),"")</f>
        <v>Roster</v>
      </c>
      <c r="I9" s="2783" t="str">
        <f>IFERROR(HYPERLINK("https://logistics.amazon.co.jp/internal/scheduling/dsps?serviceAreaId="&amp;VLOOKUP($B9,'DS ID'!B:D,2,FALSE),$I$1),"")</f>
        <v>SUI</v>
      </c>
      <c r="J9" s="2886"/>
      <c r="K9" s="2886"/>
      <c r="L9" s="2391" t="s">
        <v>785</v>
      </c>
      <c r="M9" s="2398"/>
      <c r="N9" s="2495"/>
    </row>
    <row r="10" spans="1:19" ht="22.35" customHeight="1" x14ac:dyDescent="0.4">
      <c r="A10" s="2493" t="s">
        <v>1142</v>
      </c>
      <c r="B10" s="2378" t="s">
        <v>1290</v>
      </c>
      <c r="C10" s="2379">
        <v>6</v>
      </c>
      <c r="D10" s="2378" t="s">
        <v>1291</v>
      </c>
      <c r="E10" s="2380" t="s">
        <v>1291</v>
      </c>
      <c r="F10" s="2496"/>
      <c r="G10" s="2780" t="str">
        <f>IFERROR(HYPERLINK("https://logistics.amazon.co.jp/internal/operations/execution/itineraries?operationView=true&amp;provider=ALL_DRIVERS&amp;serviceAreaId="&amp;VLOOKUP($B10,'DS ID'!B:D,2,FALSE),$G$1),"")</f>
        <v>CORTEX ver2</v>
      </c>
      <c r="H10" s="2780" t="str">
        <f>IFERROR(HYPERLINK("https://logistics.amazon.co.jp/internal/capacity/rosterview?serviceAreaId="&amp;VLOOKUP($B10,'DS ID'!B:D,2,FALSE),$H$1),"")</f>
        <v>Roster</v>
      </c>
      <c r="I10" s="2783" t="str">
        <f>IFERROR(HYPERLINK("https://logistics.amazon.co.jp/internal/scheduling/dsps?serviceAreaId="&amp;VLOOKUP($B10,'DS ID'!B:D,2,FALSE),$I$1),"")</f>
        <v>SUI</v>
      </c>
      <c r="J10" s="2886"/>
      <c r="K10" s="2886"/>
      <c r="L10" s="2391" t="s">
        <v>785</v>
      </c>
      <c r="M10" s="2431"/>
      <c r="N10" s="2495"/>
    </row>
    <row r="11" spans="1:19" ht="22.35" customHeight="1" x14ac:dyDescent="0.4">
      <c r="A11" s="2493" t="s">
        <v>1142</v>
      </c>
      <c r="B11" s="2378" t="s">
        <v>1292</v>
      </c>
      <c r="C11" s="2379">
        <v>6</v>
      </c>
      <c r="D11" s="2378" t="s">
        <v>875</v>
      </c>
      <c r="E11" s="2380" t="s">
        <v>1293</v>
      </c>
      <c r="F11" s="2496"/>
      <c r="G11" s="2780" t="str">
        <f>IFERROR(HYPERLINK("https://logistics.amazon.co.jp/internal/operations/execution/itineraries?operationView=true&amp;provider=ALL_DRIVERS&amp;serviceAreaId="&amp;VLOOKUP($B11,'DS ID'!B:D,2,FALSE),$G$1),"")</f>
        <v>CORTEX ver2</v>
      </c>
      <c r="H11" s="2780" t="str">
        <f>IFERROR(HYPERLINK("https://logistics.amazon.co.jp/internal/capacity/rosterview?serviceAreaId="&amp;VLOOKUP($B11,'DS ID'!B:D,2,FALSE),$H$1),"")</f>
        <v>Roster</v>
      </c>
      <c r="I11" s="2783" t="str">
        <f>IFERROR(HYPERLINK("https://logistics.amazon.co.jp/internal/scheduling/dsps?serviceAreaId="&amp;VLOOKUP($B11,'DS ID'!B:D,2,FALSE),$I$1),"")</f>
        <v>SUI</v>
      </c>
      <c r="J11" s="2886"/>
      <c r="K11" s="2886"/>
      <c r="L11" s="2391" t="s">
        <v>434</v>
      </c>
      <c r="M11" s="2431"/>
      <c r="N11" s="2378"/>
    </row>
    <row r="12" spans="1:19" ht="22.35" customHeight="1" x14ac:dyDescent="0.4">
      <c r="A12" s="2493" t="s">
        <v>1286</v>
      </c>
      <c r="B12" s="2378" t="s">
        <v>1294</v>
      </c>
      <c r="C12" s="2379">
        <v>3</v>
      </c>
      <c r="D12" s="2438" t="s">
        <v>1295</v>
      </c>
      <c r="E12" s="2438" t="s">
        <v>1265</v>
      </c>
      <c r="F12" s="2496"/>
      <c r="G12" s="2780" t="str">
        <f>IFERROR(HYPERLINK("https://logistics.amazon.co.jp/internal/operations/execution/itineraries?operationView=true&amp;provider=ALL_DRIVERS&amp;serviceAreaId="&amp;VLOOKUP($B12,'DS ID'!B:D,2,FALSE),$G$1),"")</f>
        <v>CORTEX ver2</v>
      </c>
      <c r="H12" s="2780" t="str">
        <f>IFERROR(HYPERLINK("https://logistics.amazon.co.jp/internal/capacity/rosterview?serviceAreaId="&amp;VLOOKUP($B12,'DS ID'!B:D,2,FALSE),$H$1),"")</f>
        <v>Roster</v>
      </c>
      <c r="I12" s="2783" t="str">
        <f>IFERROR(HYPERLINK("https://logistics.amazon.co.jp/internal/scheduling/dsps?serviceAreaId="&amp;VLOOKUP($B12,'DS ID'!B:D,2,FALSE),$I$1),"")</f>
        <v>SUI</v>
      </c>
      <c r="J12" s="2886"/>
      <c r="K12" s="2886"/>
      <c r="L12" s="2391" t="s">
        <v>434</v>
      </c>
      <c r="M12" s="2497"/>
      <c r="N12" s="2378"/>
    </row>
    <row r="13" spans="1:19" ht="22.35" customHeight="1" x14ac:dyDescent="0.4">
      <c r="A13" s="2493" t="s">
        <v>1286</v>
      </c>
      <c r="B13" s="2378" t="s">
        <v>1296</v>
      </c>
      <c r="C13" s="2379">
        <v>6</v>
      </c>
      <c r="D13" s="2438" t="s">
        <v>1297</v>
      </c>
      <c r="E13" s="2438" t="s">
        <v>1297</v>
      </c>
      <c r="F13" s="2496"/>
      <c r="G13" s="2780" t="str">
        <f>IFERROR(HYPERLINK("https://logistics.amazon.co.jp/internal/operations/execution/itineraries?operationView=true&amp;provider=ALL_DRIVERS&amp;serviceAreaId="&amp;VLOOKUP($B13,'DS ID'!B:D,2,FALSE),$G$1),"")</f>
        <v>CORTEX ver2</v>
      </c>
      <c r="H13" s="2780" t="str">
        <f>IFERROR(HYPERLINK("https://logistics.amazon.co.jp/internal/capacity/rosterview?serviceAreaId="&amp;VLOOKUP($B13,'DS ID'!B:D,2,FALSE),$H$1),"")</f>
        <v>Roster</v>
      </c>
      <c r="I13" s="2783" t="str">
        <f>IFERROR(HYPERLINK("https://logistics.amazon.co.jp/internal/scheduling/dsps?serviceAreaId="&amp;VLOOKUP($B13,'DS ID'!B:D,2,FALSE),$I$1),"")</f>
        <v>SUI</v>
      </c>
      <c r="J13" s="2886"/>
      <c r="K13" s="2886"/>
      <c r="L13" s="2391" t="s">
        <v>434</v>
      </c>
      <c r="M13" s="2497"/>
      <c r="N13" s="2378"/>
    </row>
    <row r="14" spans="1:19" ht="22.35" customHeight="1" x14ac:dyDescent="0.4">
      <c r="A14" s="2493" t="s">
        <v>1286</v>
      </c>
      <c r="B14" s="2378" t="s">
        <v>1298</v>
      </c>
      <c r="C14" s="2379">
        <v>5</v>
      </c>
      <c r="D14" s="2438" t="s">
        <v>1299</v>
      </c>
      <c r="E14" s="2438" t="s">
        <v>1300</v>
      </c>
      <c r="F14" s="2496"/>
      <c r="G14" s="2780" t="str">
        <f>IFERROR(HYPERLINK("https://logistics.amazon.co.jp/internal/operations/execution/itineraries?operationView=true&amp;provider=ALL_DRIVERS&amp;serviceAreaId="&amp;VLOOKUP($B14,'DS ID'!B:D,2,FALSE),$G$1),"")</f>
        <v>CORTEX ver2</v>
      </c>
      <c r="H14" s="2780" t="str">
        <f>IFERROR(HYPERLINK("https://logistics.amazon.co.jp/internal/capacity/rosterview?serviceAreaId="&amp;VLOOKUP($B14,'DS ID'!B:D,2,FALSE),$H$1),"")</f>
        <v>Roster</v>
      </c>
      <c r="I14" s="2783" t="str">
        <f>IFERROR(HYPERLINK("https://logistics.amazon.co.jp/internal/scheduling/dsps?serviceAreaId="&amp;VLOOKUP($B14,'DS ID'!B:D,2,FALSE),$I$1),"")</f>
        <v>SUI</v>
      </c>
      <c r="J14" s="2886"/>
      <c r="K14" s="2886"/>
      <c r="L14" s="2391" t="s">
        <v>434</v>
      </c>
      <c r="M14" s="2497"/>
      <c r="N14" s="2378"/>
    </row>
    <row r="15" spans="1:19" ht="22.35" hidden="1" customHeight="1" x14ac:dyDescent="0.4">
      <c r="A15" s="2493" t="s">
        <v>1301</v>
      </c>
      <c r="B15" s="2388" t="s">
        <v>1226</v>
      </c>
      <c r="C15" s="2389">
        <v>8</v>
      </c>
      <c r="D15" s="2378" t="s">
        <v>1123</v>
      </c>
      <c r="E15" s="2380" t="s">
        <v>1227</v>
      </c>
      <c r="F15" s="2496"/>
      <c r="G15" s="2780" t="str">
        <f>IFERROR(HYPERLINK("https://logistics.amazon.co.jp/internal/operations/execution/itineraries?operationView=true&amp;provider=ALL_DRIVERS&amp;serviceAreaId="&amp;VLOOKUP($B15,'DS ID'!B:D,2,FALSE),$G$1),"")</f>
        <v>CORTEX ver2</v>
      </c>
      <c r="H15" s="2780" t="str">
        <f>IFERROR(HYPERLINK("https://logistics.amazon.co.jp/internal/capacity/rosterview?serviceAreaId="&amp;VLOOKUP($B15,'DS ID'!B:D,2,FALSE),$H$1),"")</f>
        <v>Roster</v>
      </c>
      <c r="I15" s="2783" t="str">
        <f>IFERROR(HYPERLINK("https://logistics.amazon.co.jp/internal/scheduling/dsps?serviceAreaId="&amp;VLOOKUP($B15,'DS ID'!B:D,2,FALSE),$I$1),"")</f>
        <v>SUI</v>
      </c>
      <c r="J15" s="2913"/>
      <c r="K15" s="2913"/>
      <c r="L15" s="2391" t="s">
        <v>1302</v>
      </c>
      <c r="M15" s="2395"/>
      <c r="N15" s="2495"/>
    </row>
    <row r="16" spans="1:19" ht="22.35" customHeight="1" x14ac:dyDescent="0.4">
      <c r="A16" s="2493" t="s">
        <v>1301</v>
      </c>
      <c r="B16" s="2388" t="s">
        <v>1239</v>
      </c>
      <c r="C16" s="2389">
        <v>5</v>
      </c>
      <c r="D16" s="2378" t="s">
        <v>1050</v>
      </c>
      <c r="E16" s="2380" t="s">
        <v>1240</v>
      </c>
      <c r="F16" s="2496"/>
      <c r="G16" s="2780" t="str">
        <f>IFERROR(HYPERLINK("https://logistics.amazon.co.jp/internal/operations/execution/itineraries?operationView=true&amp;provider=ALL_DRIVERS&amp;serviceAreaId="&amp;VLOOKUP($B16,'DS ID'!B:D,2,FALSE),$G$1),"")</f>
        <v>CORTEX ver2</v>
      </c>
      <c r="H16" s="2780" t="str">
        <f>IFERROR(HYPERLINK("https://logistics.amazon.co.jp/internal/capacity/rosterview?serviceAreaId="&amp;VLOOKUP($B16,'DS ID'!B:D,2,FALSE),$H$1),"")</f>
        <v>Roster</v>
      </c>
      <c r="I16" s="2783" t="str">
        <f>IFERROR(HYPERLINK("https://logistics.amazon.co.jp/internal/scheduling/dsps?serviceAreaId="&amp;VLOOKUP($B16,'DS ID'!B:D,2,FALSE),$I$1),"")</f>
        <v>SUI</v>
      </c>
      <c r="J16" s="2886"/>
      <c r="K16" s="2886"/>
      <c r="L16" s="2391" t="s">
        <v>785</v>
      </c>
      <c r="M16" s="2395"/>
      <c r="N16" s="2495"/>
    </row>
    <row r="17" spans="1:14" ht="22.35" customHeight="1" x14ac:dyDescent="0.4">
      <c r="A17" s="2493" t="s">
        <v>1301</v>
      </c>
      <c r="B17" s="2388" t="s">
        <v>1303</v>
      </c>
      <c r="C17" s="2389">
        <v>1</v>
      </c>
      <c r="D17" s="2378" t="s">
        <v>1123</v>
      </c>
      <c r="E17" s="2380" t="s">
        <v>1304</v>
      </c>
      <c r="F17" s="2496"/>
      <c r="G17" s="2780" t="str">
        <f>IFERROR(HYPERLINK("https://logistics.amazon.co.jp/internal/operations/execution/itineraries?operationView=true&amp;provider=ALL_DRIVERS&amp;serviceAreaId="&amp;VLOOKUP($B17,'DS ID'!B:D,2,FALSE),$G$1),"")</f>
        <v>CORTEX ver2</v>
      </c>
      <c r="H17" s="2780" t="str">
        <f>IFERROR(HYPERLINK("https://logistics.amazon.co.jp/internal/capacity/rosterview?serviceAreaId="&amp;VLOOKUP($B17,'DS ID'!B:D,2,FALSE),$H$1),"")</f>
        <v>Roster</v>
      </c>
      <c r="I17" s="2783" t="str">
        <f>IFERROR(HYPERLINK("https://logistics.amazon.co.jp/internal/scheduling/dsps?serviceAreaId="&amp;VLOOKUP($B17,'DS ID'!B:D,2,FALSE),$I$1),"")</f>
        <v>SUI</v>
      </c>
      <c r="J17" s="2886"/>
      <c r="K17" s="2886"/>
      <c r="L17" s="2391" t="s">
        <v>785</v>
      </c>
      <c r="M17" s="2398"/>
      <c r="N17" s="2495"/>
    </row>
    <row r="18" spans="1:14" ht="22.35" customHeight="1" x14ac:dyDescent="0.4">
      <c r="A18" s="2493" t="s">
        <v>1301</v>
      </c>
      <c r="B18" s="2388" t="s">
        <v>1305</v>
      </c>
      <c r="C18" s="2389">
        <v>3</v>
      </c>
      <c r="D18" s="2378" t="s">
        <v>1279</v>
      </c>
      <c r="E18" s="2380" t="s">
        <v>1306</v>
      </c>
      <c r="F18" s="2496"/>
      <c r="G18" s="2780" t="str">
        <f>IFERROR(HYPERLINK("https://logistics.amazon.co.jp/internal/operations/execution/itineraries?operationView=true&amp;provider=ALL_DRIVERS&amp;serviceAreaId="&amp;VLOOKUP($B18,'DS ID'!B:D,2,FALSE),$G$1),"")</f>
        <v>CORTEX ver2</v>
      </c>
      <c r="H18" s="2780" t="str">
        <f>IFERROR(HYPERLINK("https://logistics.amazon.co.jp/internal/capacity/rosterview?serviceAreaId="&amp;VLOOKUP($B18,'DS ID'!B:D,2,FALSE),$H$1),"")</f>
        <v>Roster</v>
      </c>
      <c r="I18" s="2783" t="str">
        <f>IFERROR(HYPERLINK("https://logistics.amazon.co.jp/internal/scheduling/dsps?serviceAreaId="&amp;VLOOKUP($B18,'DS ID'!B:D,2,FALSE),$I$1),"")</f>
        <v>SUI</v>
      </c>
      <c r="J18" s="2886"/>
      <c r="K18" s="2886"/>
      <c r="L18" s="2391" t="s">
        <v>785</v>
      </c>
      <c r="M18" s="2398"/>
      <c r="N18" s="2495"/>
    </row>
    <row r="19" spans="1:14" x14ac:dyDescent="0.4">
      <c r="A19" s="2394" t="s">
        <v>1307</v>
      </c>
      <c r="B19" s="2388" t="s">
        <v>1308</v>
      </c>
      <c r="C19" s="2389">
        <v>5</v>
      </c>
      <c r="D19" s="2388" t="s">
        <v>978</v>
      </c>
      <c r="E19" s="2390" t="s">
        <v>1309</v>
      </c>
      <c r="F19" s="2379"/>
      <c r="G19" s="2780" t="str">
        <f>IFERROR(HYPERLINK("https://logistics.amazon.co.jp/internal/operations/execution/itineraries?operationView=true&amp;provider=ALL_DRIVERS&amp;serviceAreaId="&amp;VLOOKUP($B19,'DS ID'!B:D,2,FALSE),$G$1),"")</f>
        <v>CORTEX ver2</v>
      </c>
      <c r="H19" s="2780" t="str">
        <f>IFERROR(HYPERLINK("https://logistics.amazon.co.jp/internal/capacity/rosterview?serviceAreaId="&amp;VLOOKUP($B19,'DS ID'!B:D,2,FALSE),$H$1),"")</f>
        <v>Roster</v>
      </c>
      <c r="I19" s="2783" t="str">
        <f>IFERROR(HYPERLINK("https://logistics.amazon.co.jp/internal/scheduling/dsps?serviceAreaId="&amp;VLOOKUP($B19,'DS ID'!B:D,2,FALSE),$I$1),"")</f>
        <v>SUI</v>
      </c>
      <c r="J19" s="2886"/>
      <c r="K19" s="2886"/>
      <c r="L19" s="2397" t="s">
        <v>785</v>
      </c>
      <c r="M19" s="2395"/>
      <c r="N19" s="2378"/>
    </row>
    <row r="20" spans="1:14" x14ac:dyDescent="0.4">
      <c r="A20" s="2394" t="s">
        <v>1307</v>
      </c>
      <c r="B20" s="2388" t="s">
        <v>1310</v>
      </c>
      <c r="C20" s="2389">
        <v>6</v>
      </c>
      <c r="D20" s="2388" t="s">
        <v>1288</v>
      </c>
      <c r="E20" s="2390" t="s">
        <v>1311</v>
      </c>
      <c r="F20" s="2379"/>
      <c r="G20" s="2780" t="str">
        <f>IFERROR(HYPERLINK("https://logistics.amazon.co.jp/internal/operations/execution/itineraries?operationView=true&amp;provider=ALL_DRIVERS&amp;serviceAreaId="&amp;VLOOKUP($B20,'DS ID'!B:D,2,FALSE),$G$1),"")</f>
        <v>CORTEX ver2</v>
      </c>
      <c r="H20" s="2780" t="str">
        <f>IFERROR(HYPERLINK("https://logistics.amazon.co.jp/internal/capacity/rosterview?serviceAreaId="&amp;VLOOKUP($B20,'DS ID'!B:D,2,FALSE),$H$1),"")</f>
        <v>Roster</v>
      </c>
      <c r="I20" s="2783" t="str">
        <f>IFERROR(HYPERLINK("https://logistics.amazon.co.jp/internal/scheduling/dsps?serviceAreaId="&amp;VLOOKUP($B20,'DS ID'!B:D,2,FALSE),$I$1),"")</f>
        <v>SUI</v>
      </c>
      <c r="J20" s="2886"/>
      <c r="K20" s="2886"/>
      <c r="L20" s="2397" t="s">
        <v>785</v>
      </c>
      <c r="M20" s="2395"/>
      <c r="N20" s="2378"/>
    </row>
    <row r="21" spans="1:14" x14ac:dyDescent="0.4">
      <c r="A21" s="2394" t="s">
        <v>1307</v>
      </c>
      <c r="B21" s="2388" t="s">
        <v>1312</v>
      </c>
      <c r="C21" s="2389">
        <v>6</v>
      </c>
      <c r="D21" s="2388" t="s">
        <v>875</v>
      </c>
      <c r="E21" s="2390" t="s">
        <v>1313</v>
      </c>
      <c r="F21" s="2379"/>
      <c r="G21" s="2780" t="str">
        <f>IFERROR(HYPERLINK("https://logistics.amazon.co.jp/internal/operations/execution/itineraries?operationView=true&amp;provider=ALL_DRIVERS&amp;serviceAreaId="&amp;VLOOKUP($B21,'DS ID'!B:D,2,FALSE),$G$1),"")</f>
        <v>CORTEX ver2</v>
      </c>
      <c r="H21" s="2780" t="str">
        <f>IFERROR(HYPERLINK("https://logistics.amazon.co.jp/internal/capacity/rosterview?serviceAreaId="&amp;VLOOKUP($B21,'DS ID'!B:D,2,FALSE),$H$1),"")</f>
        <v>Roster</v>
      </c>
      <c r="I21" s="2783" t="str">
        <f>IFERROR(HYPERLINK("https://logistics.amazon.co.jp/internal/scheduling/dsps?serviceAreaId="&amp;VLOOKUP($B21,'DS ID'!B:D,2,FALSE),$I$1),"")</f>
        <v>SUI</v>
      </c>
      <c r="J21" s="2886"/>
      <c r="K21" s="2886"/>
      <c r="L21" s="2397" t="s">
        <v>785</v>
      </c>
      <c r="M21" s="2395"/>
      <c r="N21" s="2378"/>
    </row>
    <row r="22" spans="1:14" x14ac:dyDescent="0.4">
      <c r="A22" s="2394" t="s">
        <v>1307</v>
      </c>
      <c r="B22" s="2388" t="s">
        <v>1314</v>
      </c>
      <c r="C22" s="2389">
        <v>6</v>
      </c>
      <c r="D22" s="2388" t="s">
        <v>875</v>
      </c>
      <c r="E22" s="2390" t="s">
        <v>1315</v>
      </c>
      <c r="F22" s="2379"/>
      <c r="G22" s="2780" t="str">
        <f>IFERROR(HYPERLINK("https://logistics.amazon.co.jp/internal/operations/execution/itineraries?operationView=true&amp;provider=ALL_DRIVERS&amp;serviceAreaId="&amp;VLOOKUP($B22,'DS ID'!B:D,2,FALSE),$G$1),"")</f>
        <v>CORTEX ver2</v>
      </c>
      <c r="H22" s="2780" t="str">
        <f>IFERROR(HYPERLINK("https://logistics.amazon.co.jp/internal/capacity/rosterview?serviceAreaId="&amp;VLOOKUP($B22,'DS ID'!B:D,2,FALSE),$H$1),"")</f>
        <v>Roster</v>
      </c>
      <c r="I22" s="2783" t="str">
        <f>IFERROR(HYPERLINK("https://logistics.amazon.co.jp/internal/scheduling/dsps?serviceAreaId="&amp;VLOOKUP($B22,'DS ID'!B:D,2,FALSE),$I$1),"")</f>
        <v>SUI</v>
      </c>
      <c r="J22" s="2886"/>
      <c r="K22" s="2886"/>
      <c r="L22" s="2397" t="s">
        <v>785</v>
      </c>
      <c r="M22" s="2395"/>
      <c r="N22" s="2378"/>
    </row>
    <row r="23" spans="1:14" x14ac:dyDescent="0.4">
      <c r="A23" s="2394" t="s">
        <v>1307</v>
      </c>
      <c r="B23" s="2388" t="s">
        <v>1316</v>
      </c>
      <c r="C23" s="2389">
        <v>3</v>
      </c>
      <c r="D23" s="2402" t="s">
        <v>1279</v>
      </c>
      <c r="E23" s="2402" t="s">
        <v>1026</v>
      </c>
      <c r="F23" s="2379"/>
      <c r="G23" s="2780" t="str">
        <f>IFERROR(HYPERLINK("https://logistics.amazon.co.jp/internal/operations/execution/itineraries?operationView=true&amp;provider=ALL_DRIVERS&amp;serviceAreaId="&amp;VLOOKUP($B23,'DS ID'!B:D,2,FALSE),$G$1),"")</f>
        <v>CORTEX ver2</v>
      </c>
      <c r="H23" s="2780" t="str">
        <f>IFERROR(HYPERLINK("https://logistics.amazon.co.jp/internal/capacity/rosterview?serviceAreaId="&amp;VLOOKUP($B23,'DS ID'!B:D,2,FALSE),$H$1),"")</f>
        <v>Roster</v>
      </c>
      <c r="I23" s="2783" t="str">
        <f>IFERROR(HYPERLINK("https://logistics.amazon.co.jp/internal/scheduling/dsps?serviceAreaId="&amp;VLOOKUP($B23,'DS ID'!B:D,2,FALSE),$I$1),"")</f>
        <v>SUI</v>
      </c>
      <c r="J23" s="2886"/>
      <c r="K23" s="2886"/>
      <c r="L23" s="2397" t="s">
        <v>434</v>
      </c>
      <c r="M23" s="2395"/>
      <c r="N23" s="2378"/>
    </row>
    <row r="24" spans="1:14" x14ac:dyDescent="0.4">
      <c r="A24" s="2394" t="s">
        <v>1307</v>
      </c>
      <c r="B24" s="2388" t="s">
        <v>1317</v>
      </c>
      <c r="C24" s="2389">
        <v>2</v>
      </c>
      <c r="D24" s="2402" t="s">
        <v>925</v>
      </c>
      <c r="E24" s="2402" t="s">
        <v>1318</v>
      </c>
      <c r="F24" s="2379"/>
      <c r="G24" s="2780" t="str">
        <f>IFERROR(HYPERLINK("https://logistics.amazon.co.jp/internal/operations/execution/itineraries?operationView=true&amp;provider=ALL_DRIVERS&amp;serviceAreaId="&amp;VLOOKUP($B24,'DS ID'!B:D,2,FALSE),$G$1),"")</f>
        <v>CORTEX ver2</v>
      </c>
      <c r="H24" s="2780" t="str">
        <f>IFERROR(HYPERLINK("https://logistics.amazon.co.jp/internal/capacity/rosterview?serviceAreaId="&amp;VLOOKUP($B24,'DS ID'!B:D,2,FALSE),$H$1),"")</f>
        <v>Roster</v>
      </c>
      <c r="I24" s="2783" t="str">
        <f>IFERROR(HYPERLINK("https://logistics.amazon.co.jp/internal/scheduling/dsps?serviceAreaId="&amp;VLOOKUP($B24,'DS ID'!B:D,2,FALSE),$I$1),"")</f>
        <v>SUI</v>
      </c>
      <c r="J24" s="2886"/>
      <c r="K24" s="2886"/>
      <c r="L24" s="2397" t="s">
        <v>785</v>
      </c>
      <c r="M24" s="2395"/>
      <c r="N24" s="2378"/>
    </row>
    <row r="25" spans="1:14" x14ac:dyDescent="0.4">
      <c r="A25" s="2493" t="s">
        <v>1187</v>
      </c>
      <c r="B25" s="2378" t="s">
        <v>1319</v>
      </c>
      <c r="C25" s="2379">
        <v>9</v>
      </c>
      <c r="D25" s="2378" t="s">
        <v>833</v>
      </c>
      <c r="E25" s="2380" t="s">
        <v>1320</v>
      </c>
      <c r="F25" s="2389"/>
      <c r="G25" s="2780" t="str">
        <f>IFERROR(HYPERLINK("https://logistics.amazon.co.jp/internal/operations/execution/itineraries?operationView=true&amp;provider=ALL_DRIVERS&amp;serviceAreaId="&amp;VLOOKUP($B25,'DS ID'!B:D,2,FALSE),$G$1),"")</f>
        <v>CORTEX ver2</v>
      </c>
      <c r="H25" s="2780" t="str">
        <f>IFERROR(HYPERLINK("https://logistics.amazon.co.jp/internal/capacity/rosterview?serviceAreaId="&amp;VLOOKUP($B25,'DS ID'!B:D,2,FALSE),$H$1),"")</f>
        <v>Roster</v>
      </c>
      <c r="I25" s="2783" t="str">
        <f>IFERROR(HYPERLINK("https://logistics.amazon.co.jp/internal/scheduling/dsps?serviceAreaId="&amp;VLOOKUP($B25,'DS ID'!B:D,2,FALSE),$I$1),"")</f>
        <v>SUI</v>
      </c>
      <c r="J25" s="2913"/>
      <c r="K25" s="2913"/>
      <c r="L25" s="2397" t="s">
        <v>785</v>
      </c>
      <c r="M25" s="2398"/>
      <c r="N25" s="2495"/>
    </row>
    <row r="26" spans="1:14" x14ac:dyDescent="0.4">
      <c r="A26" s="2493" t="s">
        <v>1157</v>
      </c>
      <c r="B26" s="2378" t="s">
        <v>1321</v>
      </c>
      <c r="C26" s="2379">
        <v>9</v>
      </c>
      <c r="D26" s="2378" t="s">
        <v>1322</v>
      </c>
      <c r="E26" s="2380" t="s">
        <v>1323</v>
      </c>
      <c r="F26" s="2389"/>
      <c r="G26" s="2780" t="str">
        <f>IFERROR(HYPERLINK("https://logistics.amazon.co.jp/internal/operations/execution/itineraries?operationView=true&amp;provider=ALL_DRIVERS&amp;serviceAreaId="&amp;VLOOKUP($B26,'DS ID'!B:D,2,FALSE),$G$1),"")</f>
        <v>CORTEX ver2</v>
      </c>
      <c r="H26" s="2780" t="str">
        <f>IFERROR(HYPERLINK("https://logistics.amazon.co.jp/internal/capacity/rosterview?serviceAreaId="&amp;VLOOKUP($B26,'DS ID'!B:D,2,FALSE),$H$1),"")</f>
        <v>Roster</v>
      </c>
      <c r="I26" s="2783" t="str">
        <f>IFERROR(HYPERLINK("https://logistics.amazon.co.jp/internal/scheduling/dsps?serviceAreaId="&amp;VLOOKUP($B26,'DS ID'!B:D,2,FALSE),$I$1),"")</f>
        <v>SUI</v>
      </c>
      <c r="J26" s="2913"/>
      <c r="K26" s="2913"/>
      <c r="L26" s="2397" t="s">
        <v>785</v>
      </c>
      <c r="M26" s="2398"/>
      <c r="N26" s="2495"/>
    </row>
    <row r="27" spans="1:14" x14ac:dyDescent="0.4">
      <c r="A27" s="2493" t="s">
        <v>1157</v>
      </c>
      <c r="B27" s="2378" t="s">
        <v>1324</v>
      </c>
      <c r="C27" s="2379">
        <v>3</v>
      </c>
      <c r="D27" s="2378" t="s">
        <v>781</v>
      </c>
      <c r="E27" s="2380" t="s">
        <v>1325</v>
      </c>
      <c r="F27" s="2389"/>
      <c r="G27" s="2780" t="str">
        <f>IFERROR(HYPERLINK("https://logistics.amazon.co.jp/internal/operations/execution/itineraries?operationView=true&amp;provider=ALL_DRIVERS&amp;serviceAreaId="&amp;VLOOKUP($B27,'DS ID'!B:D,2,FALSE),$G$1),"")</f>
        <v>CORTEX ver2</v>
      </c>
      <c r="H27" s="2780" t="str">
        <f>IFERROR(HYPERLINK("https://logistics.amazon.co.jp/internal/capacity/rosterview?serviceAreaId="&amp;VLOOKUP($B27,'DS ID'!B:D,2,FALSE),$H$1),"")</f>
        <v>Roster</v>
      </c>
      <c r="I27" s="2783" t="str">
        <f>IFERROR(HYPERLINK("https://logistics.amazon.co.jp/internal/scheduling/dsps?serviceAreaId="&amp;VLOOKUP($B27,'DS ID'!B:D,2,FALSE),$I$1),"")</f>
        <v>SUI</v>
      </c>
      <c r="J27" s="2886"/>
      <c r="K27" s="2886"/>
      <c r="L27" s="2391" t="s">
        <v>785</v>
      </c>
      <c r="M27" s="2398"/>
      <c r="N27" s="2495"/>
    </row>
    <row r="28" spans="1:14" x14ac:dyDescent="0.4">
      <c r="A28" s="2493" t="s">
        <v>1157</v>
      </c>
      <c r="B28" s="2378" t="s">
        <v>1326</v>
      </c>
      <c r="C28" s="2379">
        <v>1</v>
      </c>
      <c r="D28" s="2378" t="s">
        <v>891</v>
      </c>
      <c r="E28" s="2380" t="s">
        <v>1327</v>
      </c>
      <c r="F28" s="2389"/>
      <c r="G28" s="2780" t="str">
        <f>IFERROR(HYPERLINK("https://logistics.amazon.co.jp/internal/operations/execution/itineraries?operationView=true&amp;provider=ALL_DRIVERS&amp;serviceAreaId="&amp;VLOOKUP($B28,'DS ID'!B:D,2,FALSE),$G$1),"")</f>
        <v>CORTEX ver2</v>
      </c>
      <c r="H28" s="2780" t="str">
        <f>IFERROR(HYPERLINK("https://logistics.amazon.co.jp/internal/capacity/rosterview?serviceAreaId="&amp;VLOOKUP($B28,'DS ID'!B:D,2,FALSE),$H$1),"")</f>
        <v>Roster</v>
      </c>
      <c r="I28" s="2783" t="str">
        <f>IFERROR(HYPERLINK("https://logistics.amazon.co.jp/internal/scheduling/dsps?serviceAreaId="&amp;VLOOKUP($B28,'DS ID'!B:D,2,FALSE),$I$1),"")</f>
        <v>SUI</v>
      </c>
      <c r="J28" s="2886"/>
      <c r="K28" s="2886"/>
      <c r="L28" s="2391" t="s">
        <v>785</v>
      </c>
      <c r="M28" s="2398"/>
      <c r="N28" s="2495"/>
    </row>
    <row r="29" spans="1:14" ht="22.35" customHeight="1" x14ac:dyDescent="0.4">
      <c r="A29" s="2493" t="s">
        <v>1071</v>
      </c>
      <c r="B29" s="2378" t="s">
        <v>1091</v>
      </c>
      <c r="C29" s="2379">
        <v>8</v>
      </c>
      <c r="D29" s="2378" t="s">
        <v>833</v>
      </c>
      <c r="E29" s="2380" t="s">
        <v>1092</v>
      </c>
      <c r="F29" s="2389"/>
      <c r="G29" s="2780" t="str">
        <f>IFERROR(HYPERLINK("https://logistics.amazon.co.jp/internal/operations/execution/itineraries?operationView=true&amp;provider=ALL_DRIVERS&amp;serviceAreaId="&amp;VLOOKUP($B29,'DS ID'!B:D,2,FALSE),$G$1),"")</f>
        <v>CORTEX ver2</v>
      </c>
      <c r="H29" s="2780" t="str">
        <f>IFERROR(HYPERLINK("https://logistics.amazon.co.jp/internal/capacity/rosterview?serviceAreaId="&amp;VLOOKUP($B29,'DS ID'!B:D,2,FALSE),$H$1),"")</f>
        <v>Roster</v>
      </c>
      <c r="I29" s="2783" t="str">
        <f>IFERROR(HYPERLINK("https://logistics.amazon.co.jp/internal/scheduling/dsps?serviceAreaId="&amp;VLOOKUP($B29,'DS ID'!B:D,2,FALSE),$I$1),"")</f>
        <v>SUI</v>
      </c>
      <c r="J29" s="2886"/>
      <c r="K29" s="2886"/>
      <c r="L29" s="2397" t="s">
        <v>785</v>
      </c>
      <c r="M29" s="2395"/>
      <c r="N29" s="2495"/>
    </row>
    <row r="30" spans="1:14" ht="22.35" customHeight="1" x14ac:dyDescent="0.4">
      <c r="A30" s="2493" t="s">
        <v>1071</v>
      </c>
      <c r="B30" s="2378" t="s">
        <v>1100</v>
      </c>
      <c r="C30" s="2379">
        <v>8</v>
      </c>
      <c r="D30" s="2378" t="s">
        <v>833</v>
      </c>
      <c r="E30" s="2380" t="s">
        <v>1101</v>
      </c>
      <c r="F30" s="2389"/>
      <c r="G30" s="2780" t="str">
        <f>IFERROR(HYPERLINK("https://logistics.amazon.co.jp/internal/operations/execution/itineraries?operationView=true&amp;provider=ALL_DRIVERS&amp;serviceAreaId="&amp;VLOOKUP($B30,'DS ID'!B:D,2,FALSE),$G$1),"")</f>
        <v>CORTEX ver2</v>
      </c>
      <c r="H30" s="2780" t="str">
        <f>IFERROR(HYPERLINK("https://logistics.amazon.co.jp/internal/capacity/rosterview?serviceAreaId="&amp;VLOOKUP($B30,'DS ID'!B:D,2,FALSE),$H$1),"")</f>
        <v>Roster</v>
      </c>
      <c r="I30" s="2783" t="str">
        <f>IFERROR(HYPERLINK("https://logistics.amazon.co.jp/internal/scheduling/dsps?serviceAreaId="&amp;VLOOKUP($B30,'DS ID'!B:D,2,FALSE),$I$1),"")</f>
        <v>SUI</v>
      </c>
      <c r="J30" s="2913"/>
      <c r="K30" s="2913"/>
      <c r="L30" s="2397" t="s">
        <v>785</v>
      </c>
      <c r="M30" s="2395"/>
      <c r="N30" s="2495"/>
    </row>
    <row r="31" spans="1:14" ht="22.35" customHeight="1" x14ac:dyDescent="0.4">
      <c r="A31" s="2493" t="s">
        <v>1071</v>
      </c>
      <c r="B31" s="2378" t="s">
        <v>1105</v>
      </c>
      <c r="C31" s="2379">
        <v>8</v>
      </c>
      <c r="D31" s="2378" t="s">
        <v>833</v>
      </c>
      <c r="E31" s="2380" t="s">
        <v>1106</v>
      </c>
      <c r="F31" s="2389"/>
      <c r="G31" s="2780" t="str">
        <f>IFERROR(HYPERLINK("https://logistics.amazon.co.jp/internal/operations/execution/itineraries?operationView=true&amp;provider=ALL_DRIVERS&amp;serviceAreaId="&amp;VLOOKUP($B31,'DS ID'!B:D,2,FALSE),$G$1),"")</f>
        <v>CORTEX ver2</v>
      </c>
      <c r="H31" s="2780" t="str">
        <f>IFERROR(HYPERLINK("https://logistics.amazon.co.jp/internal/capacity/rosterview?serviceAreaId="&amp;VLOOKUP($B31,'DS ID'!B:D,2,FALSE),$H$1),"")</f>
        <v>Roster</v>
      </c>
      <c r="I31" s="2783" t="str">
        <f>IFERROR(HYPERLINK("https://logistics.amazon.co.jp/internal/scheduling/dsps?serviceAreaId="&amp;VLOOKUP($B31,'DS ID'!B:D,2,FALSE),$I$1),"")</f>
        <v>SUI</v>
      </c>
      <c r="J31" s="2913"/>
      <c r="K31" s="2913"/>
      <c r="L31" s="2397" t="s">
        <v>785</v>
      </c>
      <c r="M31" s="2395"/>
      <c r="N31" s="2495"/>
    </row>
    <row r="32" spans="1:14" x14ac:dyDescent="0.4">
      <c r="A32" s="2394" t="s">
        <v>1328</v>
      </c>
      <c r="B32" s="2394" t="s">
        <v>1329</v>
      </c>
      <c r="C32" s="2379">
        <v>6</v>
      </c>
      <c r="D32" s="2394" t="s">
        <v>1330</v>
      </c>
      <c r="E32" s="2378" t="s">
        <v>1331</v>
      </c>
      <c r="F32" s="2379"/>
      <c r="G32" s="2780" t="str">
        <f>IFERROR(HYPERLINK("https://logistics.amazon.co.jp/internal/operations/execution/itineraries?operationView=true&amp;provider=ALL_DRIVERS&amp;serviceAreaId="&amp;VLOOKUP($B32,'DS ID'!B:D,2,FALSE),$G$1),"")</f>
        <v>CORTEX ver2</v>
      </c>
      <c r="H32" s="2780" t="str">
        <f>IFERROR(HYPERLINK("https://logistics.amazon.co.jp/internal/capacity/rosterview?serviceAreaId="&amp;VLOOKUP($B32,'DS ID'!B:D,2,FALSE),$H$1),"")</f>
        <v>Roster</v>
      </c>
      <c r="I32" s="2783" t="str">
        <f>IFERROR(HYPERLINK("https://logistics.amazon.co.jp/internal/scheduling/dsps?serviceAreaId="&amp;VLOOKUP($B32,'DS ID'!B:D,2,FALSE),$I$1),"")</f>
        <v>SUI</v>
      </c>
      <c r="J32" s="2886"/>
      <c r="K32" s="2886"/>
      <c r="L32" s="2397" t="s">
        <v>785</v>
      </c>
      <c r="M32" s="2395"/>
      <c r="N32" s="2378"/>
    </row>
    <row r="33" spans="1:14" x14ac:dyDescent="0.4">
      <c r="A33" s="2394" t="s">
        <v>1328</v>
      </c>
      <c r="B33" s="2394" t="s">
        <v>1332</v>
      </c>
      <c r="C33" s="2379">
        <v>7</v>
      </c>
      <c r="D33" s="2394" t="s">
        <v>911</v>
      </c>
      <c r="E33" s="2378" t="s">
        <v>1333</v>
      </c>
      <c r="F33" s="2379"/>
      <c r="G33" s="2780" t="str">
        <f>IFERROR(HYPERLINK("https://logistics.amazon.co.jp/internal/operations/execution/itineraries?operationView=true&amp;provider=ALL_DRIVERS&amp;serviceAreaId="&amp;VLOOKUP($B33,'DS ID'!B:D,2,FALSE),$G$1),"")</f>
        <v>CORTEX ver2</v>
      </c>
      <c r="H33" s="2780" t="str">
        <f>IFERROR(HYPERLINK("https://logistics.amazon.co.jp/internal/capacity/rosterview?serviceAreaId="&amp;VLOOKUP($B33,'DS ID'!B:D,2,FALSE),$H$1),"")</f>
        <v>Roster</v>
      </c>
      <c r="I33" s="2783" t="str">
        <f>IFERROR(HYPERLINK("https://logistics.amazon.co.jp/internal/scheduling/dsps?serviceAreaId="&amp;VLOOKUP($B33,'DS ID'!B:D,2,FALSE),$I$1),"")</f>
        <v>SUI</v>
      </c>
      <c r="J33" s="2886"/>
      <c r="K33" s="2886"/>
      <c r="L33" s="2397" t="s">
        <v>785</v>
      </c>
      <c r="M33" s="2395"/>
      <c r="N33" s="2378"/>
    </row>
    <row r="34" spans="1:14" ht="22.35" customHeight="1" x14ac:dyDescent="0.4">
      <c r="A34" s="2493" t="s">
        <v>1071</v>
      </c>
      <c r="B34" s="2388" t="s">
        <v>1223</v>
      </c>
      <c r="C34" s="2389">
        <v>6</v>
      </c>
      <c r="D34" s="2388" t="s">
        <v>869</v>
      </c>
      <c r="E34" s="2390" t="s">
        <v>1040</v>
      </c>
      <c r="F34" s="2389"/>
      <c r="G34" s="2780" t="str">
        <f>IFERROR(HYPERLINK("https://logistics.amazon.co.jp/internal/operations/execution/itineraries?operationView=true&amp;provider=ALL_DRIVERS&amp;serviceAreaId="&amp;VLOOKUP($B34,'DS ID'!B:D,2,FALSE),$G$1),"")</f>
        <v>CORTEX ver2</v>
      </c>
      <c r="H34" s="2780" t="str">
        <f>IFERROR(HYPERLINK("https://logistics.amazon.co.jp/internal/capacity/rosterview?serviceAreaId="&amp;VLOOKUP($B34,'DS ID'!B:D,2,FALSE),$H$1),"")</f>
        <v>Roster</v>
      </c>
      <c r="I34" s="2783" t="str">
        <f>IFERROR(HYPERLINK("https://logistics.amazon.co.jp/internal/scheduling/dsps?serviceAreaId="&amp;VLOOKUP($B34,'DS ID'!B:D,2,FALSE),$I$1),"")</f>
        <v>SUI</v>
      </c>
      <c r="J34" s="2886"/>
      <c r="K34" s="2886"/>
      <c r="L34" s="2391" t="s">
        <v>785</v>
      </c>
      <c r="M34" s="2395"/>
      <c r="N34" s="2495"/>
    </row>
    <row r="35" spans="1:14" x14ac:dyDescent="0.4">
      <c r="A35" s="2394" t="s">
        <v>1328</v>
      </c>
      <c r="B35" s="2394" t="s">
        <v>1334</v>
      </c>
      <c r="C35" s="2379">
        <v>7</v>
      </c>
      <c r="D35" s="2394" t="s">
        <v>911</v>
      </c>
      <c r="E35" s="2388" t="s">
        <v>1335</v>
      </c>
      <c r="F35" s="2379"/>
      <c r="G35" s="2780" t="str">
        <f>IFERROR(HYPERLINK("https://logistics.amazon.co.jp/internal/operations/execution/itineraries?operationView=true&amp;provider=ALL_DRIVERS&amp;serviceAreaId="&amp;VLOOKUP($B35,'DS ID'!B:D,2,FALSE),$G$1),"")</f>
        <v>CORTEX ver2</v>
      </c>
      <c r="H35" s="2780" t="str">
        <f>IFERROR(HYPERLINK("https://logistics.amazon.co.jp/internal/capacity/rosterview?serviceAreaId="&amp;VLOOKUP($B35,'DS ID'!B:D,2,FALSE),$H$1),"")</f>
        <v>Roster</v>
      </c>
      <c r="I35" s="2783" t="str">
        <f>IFERROR(HYPERLINK("https://logistics.amazon.co.jp/internal/scheduling/dsps?serviceAreaId="&amp;VLOOKUP($B35,'DS ID'!B:D,2,FALSE),$I$1),"")</f>
        <v>SUI</v>
      </c>
      <c r="J35" s="2886"/>
      <c r="K35" s="2886"/>
      <c r="L35" s="2397" t="s">
        <v>785</v>
      </c>
      <c r="M35" s="2395"/>
      <c r="N35" s="2378"/>
    </row>
    <row r="36" spans="1:14" x14ac:dyDescent="0.4">
      <c r="A36" s="2493" t="s">
        <v>1071</v>
      </c>
      <c r="B36" s="2388" t="s">
        <v>1248</v>
      </c>
      <c r="C36" s="2389">
        <v>9</v>
      </c>
      <c r="D36" s="2388" t="s">
        <v>1138</v>
      </c>
      <c r="E36" s="2390" t="s">
        <v>1249</v>
      </c>
      <c r="F36" s="2379"/>
      <c r="G36" s="2780" t="str">
        <f>IFERROR(HYPERLINK("https://logistics.amazon.co.jp/internal/operations/execution/itineraries?operationView=true&amp;provider=ALL_DRIVERS&amp;serviceAreaId="&amp;VLOOKUP($B36,'DS ID'!B:D,2,FALSE),$G$1),"")</f>
        <v>CORTEX ver2</v>
      </c>
      <c r="H36" s="2780" t="str">
        <f>IFERROR(HYPERLINK("https://logistics.amazon.co.jp/internal/capacity/rosterview?serviceAreaId="&amp;VLOOKUP($B36,'DS ID'!B:D,2,FALSE),$H$1),"")</f>
        <v>Roster</v>
      </c>
      <c r="I36" s="2783" t="str">
        <f>IFERROR(HYPERLINK("https://logistics.amazon.co.jp/internal/scheduling/dsps?serviceAreaId="&amp;VLOOKUP($B36,'DS ID'!B:D,2,FALSE),$I$1),"")</f>
        <v>SUI</v>
      </c>
      <c r="J36" s="2886"/>
      <c r="K36" s="2886"/>
      <c r="L36" s="2391" t="s">
        <v>785</v>
      </c>
      <c r="M36" s="2395"/>
      <c r="N36" s="2378"/>
    </row>
    <row r="37" spans="1:14" x14ac:dyDescent="0.4">
      <c r="A37" s="2493" t="s">
        <v>1071</v>
      </c>
      <c r="B37" s="2378" t="s">
        <v>1336</v>
      </c>
      <c r="C37" s="2379">
        <v>7</v>
      </c>
      <c r="D37" s="2378" t="s">
        <v>1337</v>
      </c>
      <c r="E37" s="2380" t="s">
        <v>911</v>
      </c>
      <c r="F37" s="2496"/>
      <c r="G37" s="2780" t="str">
        <f>IFERROR(HYPERLINK("https://logistics.amazon.co.jp/internal/operations/execution/itineraries?operationView=true&amp;provider=ALL_DRIVERS&amp;serviceAreaId="&amp;VLOOKUP($B37,'DS ID'!B:D,2,FALSE),$G$1),"")</f>
        <v>CORTEX ver2</v>
      </c>
      <c r="H37" s="2780" t="str">
        <f>IFERROR(HYPERLINK("https://logistics.amazon.co.jp/internal/capacity/rosterview?serviceAreaId="&amp;VLOOKUP($B37,'DS ID'!B:D,2,FALSE),$H$1),"")</f>
        <v>Roster</v>
      </c>
      <c r="I37" s="2783" t="str">
        <f>IFERROR(HYPERLINK("https://logistics.amazon.co.jp/internal/scheduling/dsps?serviceAreaId="&amp;VLOOKUP($B37,'DS ID'!B:D,2,FALSE),$I$1),"")</f>
        <v>SUI</v>
      </c>
      <c r="J37" s="2913"/>
      <c r="K37" s="2913"/>
      <c r="L37" s="2391" t="s">
        <v>434</v>
      </c>
      <c r="M37" s="2431"/>
      <c r="N37" s="2378"/>
    </row>
    <row r="38" spans="1:14" x14ac:dyDescent="0.4">
      <c r="A38" s="2493" t="s">
        <v>1071</v>
      </c>
      <c r="B38" s="2378" t="s">
        <v>1266</v>
      </c>
      <c r="C38" s="2379">
        <v>3</v>
      </c>
      <c r="D38" s="2378" t="s">
        <v>1267</v>
      </c>
      <c r="E38" s="2380" t="s">
        <v>1267</v>
      </c>
      <c r="F38" s="2496"/>
      <c r="G38" s="2780" t="str">
        <f>IFERROR(HYPERLINK("https://logistics.amazon.co.jp/internal/operations/execution/itineraries?operationView=true&amp;provider=ALL_DRIVERS&amp;serviceAreaId="&amp;VLOOKUP($B38,'DS ID'!B:D,2,FALSE),$G$1),"")</f>
        <v>CORTEX ver2</v>
      </c>
      <c r="H38" s="2780" t="str">
        <f>IFERROR(HYPERLINK("https://logistics.amazon.co.jp/internal/capacity/rosterview?serviceAreaId="&amp;VLOOKUP($B38,'DS ID'!B:D,2,FALSE),$H$1),"")</f>
        <v>Roster</v>
      </c>
      <c r="I38" s="2783" t="str">
        <f>IFERROR(HYPERLINK("https://logistics.amazon.co.jp/internal/scheduling/dsps?serviceAreaId="&amp;VLOOKUP($B38,'DS ID'!B:D,2,FALSE),$I$1),"")</f>
        <v>SUI</v>
      </c>
      <c r="J38" s="2913"/>
      <c r="K38" s="2913"/>
      <c r="L38" s="2391" t="s">
        <v>785</v>
      </c>
      <c r="M38" s="2431"/>
      <c r="N38" s="2378"/>
    </row>
    <row r="39" spans="1:14" x14ac:dyDescent="0.4">
      <c r="A39" s="2493" t="s">
        <v>1071</v>
      </c>
      <c r="B39" s="2378" t="s">
        <v>1338</v>
      </c>
      <c r="C39" s="2379">
        <v>5</v>
      </c>
      <c r="D39" s="2498" t="s">
        <v>1339</v>
      </c>
      <c r="E39" s="2499" t="s">
        <v>1340</v>
      </c>
      <c r="F39" s="2496"/>
      <c r="G39" s="2780" t="str">
        <f>IFERROR(HYPERLINK("https://logistics.amazon.co.jp/internal/operations/execution/itineraries?operationView=true&amp;provider=ALL_DRIVERS&amp;serviceAreaId="&amp;VLOOKUP($B39,'DS ID'!B:D,2,FALSE),$G$1),"")</f>
        <v>CORTEX ver2</v>
      </c>
      <c r="H39" s="2780" t="str">
        <f>IFERROR(HYPERLINK("https://logistics.amazon.co.jp/internal/capacity/rosterview?serviceAreaId="&amp;VLOOKUP($B39,'DS ID'!B:D,2,FALSE),$H$1),"")</f>
        <v>Roster</v>
      </c>
      <c r="I39" s="2783" t="str">
        <f>IFERROR(HYPERLINK("https://logistics.amazon.co.jp/internal/scheduling/dsps?serviceAreaId="&amp;VLOOKUP($B39,'DS ID'!B:D,2,FALSE),$I$1),"")</f>
        <v>SUI</v>
      </c>
      <c r="J39" s="2886"/>
      <c r="K39" s="2886"/>
      <c r="L39" s="2391" t="s">
        <v>785</v>
      </c>
      <c r="M39" s="2431"/>
      <c r="N39" s="2378"/>
    </row>
    <row r="40" spans="1:14" ht="22.35" customHeight="1" x14ac:dyDescent="0.4">
      <c r="A40" s="2493" t="s">
        <v>1071</v>
      </c>
      <c r="B40" s="2378" t="s">
        <v>1341</v>
      </c>
      <c r="C40" s="2379">
        <v>3</v>
      </c>
      <c r="D40" s="2378" t="s">
        <v>909</v>
      </c>
      <c r="E40" s="2380" t="s">
        <v>1342</v>
      </c>
      <c r="F40" s="2379"/>
      <c r="G40" s="2780" t="str">
        <f>IFERROR(HYPERLINK("https://logistics.amazon.co.jp/internal/operations/execution/itineraries?operationView=true&amp;provider=ALL_DRIVERS&amp;serviceAreaId="&amp;VLOOKUP($B40,'DS ID'!B:D,2,FALSE),$G$1),"")</f>
        <v>CORTEX ver2</v>
      </c>
      <c r="H40" s="2780" t="str">
        <f>IFERROR(HYPERLINK("https://logistics.amazon.co.jp/internal/capacity/rosterview?serviceAreaId="&amp;VLOOKUP($B40,'DS ID'!B:D,2,FALSE),$H$1),"")</f>
        <v>Roster</v>
      </c>
      <c r="I40" s="2783" t="str">
        <f>IFERROR(HYPERLINK("https://logistics.amazon.co.jp/internal/scheduling/dsps?serviceAreaId="&amp;VLOOKUP($B40,'DS ID'!B:D,2,FALSE),$I$1),"")</f>
        <v>SUI</v>
      </c>
      <c r="J40" s="2886"/>
      <c r="K40" s="2886"/>
      <c r="L40" s="2391" t="s">
        <v>785</v>
      </c>
      <c r="M40" s="2398"/>
      <c r="N40" s="2495"/>
    </row>
    <row r="41" spans="1:14" ht="22.35" customHeight="1" x14ac:dyDescent="0.4">
      <c r="A41" s="2493" t="s">
        <v>1071</v>
      </c>
      <c r="B41" s="2378" t="s">
        <v>1343</v>
      </c>
      <c r="C41" s="2379">
        <v>2</v>
      </c>
      <c r="D41" s="2402" t="s">
        <v>1152</v>
      </c>
      <c r="E41" s="2402" t="s">
        <v>1152</v>
      </c>
      <c r="F41" s="2379"/>
      <c r="G41" s="2780" t="str">
        <f>IFERROR(HYPERLINK("https://logistics.amazon.co.jp/internal/operations/execution/itineraries?operationView=true&amp;provider=ALL_DRIVERS&amp;serviceAreaId="&amp;VLOOKUP($B41,'DS ID'!B:D,2,FALSE),$G$1),"")</f>
        <v>CORTEX ver2</v>
      </c>
      <c r="H41" s="2780" t="str">
        <f>IFERROR(HYPERLINK("https://logistics.amazon.co.jp/internal/capacity/rosterview?serviceAreaId="&amp;VLOOKUP($B41,'DS ID'!B:D,2,FALSE),$H$1),"")</f>
        <v>Roster</v>
      </c>
      <c r="I41" s="2783" t="str">
        <f>IFERROR(HYPERLINK("https://logistics.amazon.co.jp/internal/scheduling/dsps?serviceAreaId="&amp;VLOOKUP($B41,'DS ID'!B:D,2,FALSE),$I$1),"")</f>
        <v>SUI</v>
      </c>
      <c r="J41" s="2886"/>
      <c r="K41" s="2886"/>
      <c r="L41" s="2391" t="s">
        <v>434</v>
      </c>
      <c r="M41" s="2398"/>
      <c r="N41" s="2495"/>
    </row>
    <row r="42" spans="1:14" ht="22.35" customHeight="1" x14ac:dyDescent="0.4">
      <c r="A42" s="2493" t="s">
        <v>1071</v>
      </c>
      <c r="B42" s="2378" t="s">
        <v>1344</v>
      </c>
      <c r="C42" s="2379">
        <v>3</v>
      </c>
      <c r="D42" s="2402" t="s">
        <v>833</v>
      </c>
      <c r="E42" s="2402" t="s">
        <v>1345</v>
      </c>
      <c r="F42" s="2379"/>
      <c r="G42" s="2780" t="str">
        <f>IFERROR(HYPERLINK("https://logistics.amazon.co.jp/internal/operations/execution/itineraries?operationView=true&amp;provider=ALL_DRIVERS&amp;serviceAreaId="&amp;VLOOKUP($B42,'DS ID'!B:D,2,FALSE),$G$1),"")</f>
        <v>CORTEX ver2</v>
      </c>
      <c r="H42" s="2780" t="str">
        <f>IFERROR(HYPERLINK("https://logistics.amazon.co.jp/internal/capacity/rosterview?serviceAreaId="&amp;VLOOKUP($B42,'DS ID'!B:D,2,FALSE),$H$1),"")</f>
        <v>Roster</v>
      </c>
      <c r="I42" s="2783" t="str">
        <f>IFERROR(HYPERLINK("https://logistics.amazon.co.jp/internal/scheduling/dsps?serviceAreaId="&amp;VLOOKUP($B42,'DS ID'!B:D,2,FALSE),$I$1),"")</f>
        <v>SUI</v>
      </c>
      <c r="J42" s="2886"/>
      <c r="K42" s="2886"/>
      <c r="L42" s="2391" t="s">
        <v>434</v>
      </c>
      <c r="M42" s="2398"/>
      <c r="N42" s="2495"/>
    </row>
    <row r="43" spans="1:14" ht="20.85" customHeight="1" x14ac:dyDescent="0.4">
      <c r="A43" s="2493" t="s">
        <v>1199</v>
      </c>
      <c r="B43" s="2378" t="s">
        <v>1200</v>
      </c>
      <c r="C43" s="2379">
        <v>7</v>
      </c>
      <c r="D43" s="2378" t="s">
        <v>833</v>
      </c>
      <c r="E43" s="2380" t="s">
        <v>1201</v>
      </c>
      <c r="F43" s="2379"/>
      <c r="G43" s="2780" t="str">
        <f>IFERROR(HYPERLINK("https://logistics.amazon.co.jp/internal/operations/execution/itineraries?operationView=true&amp;provider=ALL_DRIVERS&amp;serviceAreaId="&amp;VLOOKUP($B43,'DS ID'!B:D,2,FALSE),$G$1),"")</f>
        <v>CORTEX ver2</v>
      </c>
      <c r="H43" s="2780" t="str">
        <f>IFERROR(HYPERLINK("https://logistics.amazon.co.jp/internal/capacity/rosterview?serviceAreaId="&amp;VLOOKUP($B43,'DS ID'!B:D,2,FALSE),$H$1),"")</f>
        <v>Roster</v>
      </c>
      <c r="I43" s="2783" t="str">
        <f>IFERROR(HYPERLINK("https://logistics.amazon.co.jp/internal/scheduling/dsps?serviceAreaId="&amp;VLOOKUP($B43,'DS ID'!B:D,2,FALSE),$I$1),"")</f>
        <v>SUI</v>
      </c>
      <c r="J43" s="2886"/>
      <c r="K43" s="2886"/>
      <c r="L43" s="2397" t="s">
        <v>785</v>
      </c>
      <c r="M43" s="2395"/>
      <c r="N43" s="2495"/>
    </row>
    <row r="44" spans="1:14" ht="22.35" customHeight="1" x14ac:dyDescent="0.4">
      <c r="A44" s="2493" t="s">
        <v>1199</v>
      </c>
      <c r="B44" s="2378" t="s">
        <v>1257</v>
      </c>
      <c r="C44" s="2379">
        <v>1</v>
      </c>
      <c r="D44" s="2378" t="s">
        <v>886</v>
      </c>
      <c r="E44" s="2380" t="s">
        <v>1258</v>
      </c>
      <c r="F44" s="2496"/>
      <c r="G44" s="2780" t="str">
        <f>IFERROR(HYPERLINK("https://logistics.amazon.co.jp/internal/operations/execution/itineraries?operationView=true&amp;provider=ALL_DRIVERS&amp;serviceAreaId="&amp;VLOOKUP($B44,'DS ID'!B:D,2,FALSE),$G$1),"")</f>
        <v>CORTEX ver2</v>
      </c>
      <c r="H44" s="2780" t="str">
        <f>IFERROR(HYPERLINK("https://logistics.amazon.co.jp/internal/capacity/rosterview?serviceAreaId="&amp;VLOOKUP($B44,'DS ID'!B:D,2,FALSE),$H$1),"")</f>
        <v>Roster</v>
      </c>
      <c r="I44" s="2783" t="str">
        <f>IFERROR(HYPERLINK("https://logistics.amazon.co.jp/internal/scheduling/dsps?serviceAreaId="&amp;VLOOKUP($B44,'DS ID'!B:D,2,FALSE),$I$1),"")</f>
        <v>SUI</v>
      </c>
      <c r="J44" s="2913"/>
      <c r="K44" s="2913"/>
      <c r="L44" s="2391" t="s">
        <v>785</v>
      </c>
      <c r="M44" s="2431"/>
      <c r="N44" s="2378"/>
    </row>
    <row r="45" spans="1:14" ht="22.35" customHeight="1" x14ac:dyDescent="0.4">
      <c r="A45" s="2493" t="s">
        <v>1199</v>
      </c>
      <c r="B45" s="2378" t="s">
        <v>1259</v>
      </c>
      <c r="C45" s="2379">
        <v>1</v>
      </c>
      <c r="D45" s="2378" t="s">
        <v>886</v>
      </c>
      <c r="E45" s="2380" t="s">
        <v>1260</v>
      </c>
      <c r="F45" s="2496"/>
      <c r="G45" s="2780" t="str">
        <f>IFERROR(HYPERLINK("https://logistics.amazon.co.jp/internal/operations/execution/itineraries?operationView=true&amp;provider=ALL_DRIVERS&amp;serviceAreaId="&amp;VLOOKUP($B45,'DS ID'!B:D,2,FALSE),$G$1),"")</f>
        <v>CORTEX ver2</v>
      </c>
      <c r="H45" s="2780" t="str">
        <f>IFERROR(HYPERLINK("https://logistics.amazon.co.jp/internal/capacity/rosterview?serviceAreaId="&amp;VLOOKUP($B45,'DS ID'!B:D,2,FALSE),$H$1),"")</f>
        <v>Roster</v>
      </c>
      <c r="I45" s="2783" t="str">
        <f>IFERROR(HYPERLINK("https://logistics.amazon.co.jp/internal/scheduling/dsps?serviceAreaId="&amp;VLOOKUP($B45,'DS ID'!B:D,2,FALSE),$I$1),"")</f>
        <v>SUI</v>
      </c>
      <c r="J45" s="2913"/>
      <c r="K45" s="2913"/>
      <c r="L45" s="2391" t="s">
        <v>785</v>
      </c>
      <c r="M45" s="2431"/>
      <c r="N45" s="2378"/>
    </row>
    <row r="46" spans="1:14" ht="20.85" customHeight="1" x14ac:dyDescent="0.4">
      <c r="A46" s="2493" t="s">
        <v>1199</v>
      </c>
      <c r="B46" s="2378" t="s">
        <v>1261</v>
      </c>
      <c r="C46" s="2379">
        <v>1</v>
      </c>
      <c r="D46" s="2378" t="s">
        <v>886</v>
      </c>
      <c r="E46" s="2380" t="s">
        <v>1262</v>
      </c>
      <c r="F46" s="2496"/>
      <c r="G46" s="2780" t="str">
        <f>IFERROR(HYPERLINK("https://logistics.amazon.co.jp/internal/operations/execution/itineraries?operationView=true&amp;provider=ALL_DRIVERS&amp;serviceAreaId="&amp;VLOOKUP($B46,'DS ID'!B:D,2,FALSE),$G$1),"")</f>
        <v>CORTEX ver2</v>
      </c>
      <c r="H46" s="2780" t="str">
        <f>IFERROR(HYPERLINK("https://logistics.amazon.co.jp/internal/capacity/rosterview?serviceAreaId="&amp;VLOOKUP($B46,'DS ID'!B:D,2,FALSE),$H$1),"")</f>
        <v>Roster</v>
      </c>
      <c r="I46" s="2783" t="str">
        <f>IFERROR(HYPERLINK("https://logistics.amazon.co.jp/internal/scheduling/dsps?serviceAreaId="&amp;VLOOKUP($B46,'DS ID'!B:D,2,FALSE),$I$1),"")</f>
        <v>SUI</v>
      </c>
      <c r="J46" s="2913"/>
      <c r="K46" s="2913"/>
      <c r="L46" s="2391" t="s">
        <v>785</v>
      </c>
      <c r="M46" s="2431"/>
      <c r="N46" s="2378"/>
    </row>
    <row r="47" spans="1:14" x14ac:dyDescent="0.4">
      <c r="A47" s="2394" t="s">
        <v>1346</v>
      </c>
      <c r="B47" s="2388" t="s">
        <v>1347</v>
      </c>
      <c r="C47" s="2389">
        <v>1</v>
      </c>
      <c r="D47" s="2390" t="s">
        <v>891</v>
      </c>
      <c r="E47" s="2388" t="s">
        <v>1348</v>
      </c>
      <c r="F47" s="2379"/>
      <c r="G47" s="2780" t="str">
        <f>IFERROR(HYPERLINK("https://logistics.amazon.co.jp/internal/operations/execution/itineraries?operationView=true&amp;provider=ALL_DRIVERS&amp;serviceAreaId="&amp;VLOOKUP($B47,'DS ID'!B:D,2,FALSE),$G$1),"")</f>
        <v>CORTEX ver2</v>
      </c>
      <c r="H47" s="2780" t="str">
        <f>IFERROR(HYPERLINK("https://logistics.amazon.co.jp/internal/capacity/rosterview?serviceAreaId="&amp;VLOOKUP($B47,'DS ID'!B:D,2,FALSE),$H$1),"")</f>
        <v>Roster</v>
      </c>
      <c r="I47" s="2783" t="str">
        <f>IFERROR(HYPERLINK("https://logistics.amazon.co.jp/internal/scheduling/dsps?serviceAreaId="&amp;VLOOKUP($B47,'DS ID'!B:D,2,FALSE),$I$1),"")</f>
        <v>SUI</v>
      </c>
      <c r="J47" s="2886"/>
      <c r="K47" s="2886"/>
      <c r="L47" s="2397" t="s">
        <v>785</v>
      </c>
      <c r="M47" s="2395"/>
      <c r="N47" s="2378"/>
    </row>
    <row r="48" spans="1:14" x14ac:dyDescent="0.4">
      <c r="A48" s="2394" t="s">
        <v>1346</v>
      </c>
      <c r="B48" s="2388" t="s">
        <v>1349</v>
      </c>
      <c r="C48" s="2389">
        <v>1</v>
      </c>
      <c r="D48" s="2390" t="s">
        <v>891</v>
      </c>
      <c r="E48" s="2388" t="s">
        <v>1350</v>
      </c>
      <c r="F48" s="2379"/>
      <c r="G48" s="2780" t="str">
        <f>IFERROR(HYPERLINK("https://logistics.amazon.co.jp/internal/operations/execution/itineraries?operationView=true&amp;provider=ALL_DRIVERS&amp;serviceAreaId="&amp;VLOOKUP($B48,'DS ID'!B:D,2,FALSE),$G$1),"")</f>
        <v>CORTEX ver2</v>
      </c>
      <c r="H48" s="2780" t="str">
        <f>IFERROR(HYPERLINK("https://logistics.amazon.co.jp/internal/capacity/rosterview?serviceAreaId="&amp;VLOOKUP($B48,'DS ID'!B:D,2,FALSE),$H$1),"")</f>
        <v>Roster</v>
      </c>
      <c r="I48" s="2783" t="str">
        <f>IFERROR(HYPERLINK("https://logistics.amazon.co.jp/internal/scheduling/dsps?serviceAreaId="&amp;VLOOKUP($B48,'DS ID'!B:D,2,FALSE),$I$1),"")</f>
        <v>SUI</v>
      </c>
      <c r="J48" s="2886"/>
      <c r="K48" s="2886"/>
      <c r="L48" s="2397" t="s">
        <v>785</v>
      </c>
      <c r="M48" s="2395"/>
      <c r="N48" s="2378"/>
    </row>
    <row r="49" spans="1:14" ht="20.85" customHeight="1" x14ac:dyDescent="0.4">
      <c r="A49" s="2493" t="s">
        <v>1113</v>
      </c>
      <c r="B49" s="2378" t="s">
        <v>1120</v>
      </c>
      <c r="C49" s="2379">
        <v>9</v>
      </c>
      <c r="D49" s="2378" t="s">
        <v>833</v>
      </c>
      <c r="E49" s="2380" t="s">
        <v>1121</v>
      </c>
      <c r="F49" s="2379"/>
      <c r="G49" s="2780" t="str">
        <f>IFERROR(HYPERLINK("https://logistics.amazon.co.jp/internal/operations/execution/itineraries?operationView=true&amp;provider=ALL_DRIVERS&amp;serviceAreaId="&amp;VLOOKUP($B49,'DS ID'!B:D,2,FALSE),$G$1),"")</f>
        <v>CORTEX ver2</v>
      </c>
      <c r="H49" s="2780" t="str">
        <f>IFERROR(HYPERLINK("https://logistics.amazon.co.jp/internal/capacity/rosterview?serviceAreaId="&amp;VLOOKUP($B49,'DS ID'!B:D,2,FALSE),$H$1),"")</f>
        <v>Roster</v>
      </c>
      <c r="I49" s="2783" t="str">
        <f>IFERROR(HYPERLINK("https://logistics.amazon.co.jp/internal/scheduling/dsps?serviceAreaId="&amp;VLOOKUP($B49,'DS ID'!B:D,2,FALSE),$I$1),"")</f>
        <v>SUI</v>
      </c>
      <c r="J49" s="2886"/>
      <c r="K49" s="2886"/>
      <c r="L49" s="2397" t="s">
        <v>785</v>
      </c>
      <c r="M49" s="2395"/>
      <c r="N49" s="2495"/>
    </row>
    <row r="50" spans="1:14" ht="22.35" customHeight="1" x14ac:dyDescent="0.4">
      <c r="A50" s="2394" t="s">
        <v>1113</v>
      </c>
      <c r="B50" s="2378" t="s">
        <v>1129</v>
      </c>
      <c r="C50" s="2379">
        <v>7</v>
      </c>
      <c r="D50" s="2378" t="s">
        <v>855</v>
      </c>
      <c r="E50" s="2380" t="s">
        <v>1130</v>
      </c>
      <c r="F50" s="2379"/>
      <c r="G50" s="2780" t="str">
        <f>IFERROR(HYPERLINK("https://logistics.amazon.co.jp/internal/operations/execution/itineraries?operationView=true&amp;provider=ALL_DRIVERS&amp;serviceAreaId="&amp;VLOOKUP($B50,'DS ID'!B:D,2,FALSE),$G$1),"")</f>
        <v>CORTEX ver2</v>
      </c>
      <c r="H50" s="2780" t="str">
        <f>IFERROR(HYPERLINK("https://logistics.amazon.co.jp/internal/capacity/rosterview?serviceAreaId="&amp;VLOOKUP($B50,'DS ID'!B:D,2,FALSE),$H$1),"")</f>
        <v>Roster</v>
      </c>
      <c r="I50" s="2783" t="str">
        <f>IFERROR(HYPERLINK("https://logistics.amazon.co.jp/internal/scheduling/dsps?serviceAreaId="&amp;VLOOKUP($B50,'DS ID'!B:D,2,FALSE),$I$1),"")</f>
        <v>SUI</v>
      </c>
      <c r="J50" s="2886"/>
      <c r="K50" s="2886"/>
      <c r="L50" s="2397" t="s">
        <v>785</v>
      </c>
      <c r="M50" s="2395"/>
      <c r="N50" s="2495"/>
    </row>
    <row r="51" spans="1:14" ht="22.35" customHeight="1" x14ac:dyDescent="0.4">
      <c r="A51" s="2493" t="s">
        <v>1113</v>
      </c>
      <c r="B51" s="2378" t="s">
        <v>1133</v>
      </c>
      <c r="C51" s="2379">
        <v>7</v>
      </c>
      <c r="D51" s="2378" t="s">
        <v>909</v>
      </c>
      <c r="E51" s="2380" t="s">
        <v>1134</v>
      </c>
      <c r="F51" s="2379"/>
      <c r="G51" s="2780" t="str">
        <f>IFERROR(HYPERLINK("https://logistics.amazon.co.jp/internal/operations/execution/itineraries?operationView=true&amp;provider=ALL_DRIVERS&amp;serviceAreaId="&amp;VLOOKUP($B51,'DS ID'!B:D,2,FALSE),$G$1),"")</f>
        <v>CORTEX ver2</v>
      </c>
      <c r="H51" s="2780" t="str">
        <f>IFERROR(HYPERLINK("https://logistics.amazon.co.jp/internal/capacity/rosterview?serviceAreaId="&amp;VLOOKUP($B51,'DS ID'!B:D,2,FALSE),$H$1),"")</f>
        <v>Roster</v>
      </c>
      <c r="I51" s="2783" t="str">
        <f>IFERROR(HYPERLINK("https://logistics.amazon.co.jp/internal/scheduling/dsps?serviceAreaId="&amp;VLOOKUP($B51,'DS ID'!B:D,2,FALSE),$I$1),"")</f>
        <v>SUI</v>
      </c>
      <c r="J51" s="2886"/>
      <c r="K51" s="2886"/>
      <c r="L51" s="2397" t="s">
        <v>785</v>
      </c>
      <c r="M51" s="2395"/>
      <c r="N51" s="2495"/>
    </row>
    <row r="52" spans="1:14" x14ac:dyDescent="0.4">
      <c r="A52" s="2394" t="s">
        <v>1113</v>
      </c>
      <c r="B52" s="2378" t="s">
        <v>1137</v>
      </c>
      <c r="C52" s="2379">
        <v>9</v>
      </c>
      <c r="D52" s="2378" t="s">
        <v>1138</v>
      </c>
      <c r="E52" s="2396" t="s">
        <v>1139</v>
      </c>
      <c r="F52" s="2379"/>
      <c r="G52" s="2780" t="str">
        <f>IFERROR(HYPERLINK("https://logistics.amazon.co.jp/internal/operations/execution/itineraries?operationView=true&amp;provider=ALL_DRIVERS&amp;serviceAreaId="&amp;VLOOKUP($B52,'DS ID'!B:D,2,FALSE),$G$1),"")</f>
        <v>CORTEX ver2</v>
      </c>
      <c r="H52" s="2780" t="str">
        <f>IFERROR(HYPERLINK("https://logistics.amazon.co.jp/internal/capacity/rosterview?serviceAreaId="&amp;VLOOKUP($B52,'DS ID'!B:D,2,FALSE),$H$1),"")</f>
        <v>Roster</v>
      </c>
      <c r="I52" s="2783" t="str">
        <f>IFERROR(HYPERLINK("https://logistics.amazon.co.jp/internal/scheduling/dsps?serviceAreaId="&amp;VLOOKUP($B52,'DS ID'!B:D,2,FALSE),$I$1),"")</f>
        <v>SUI</v>
      </c>
      <c r="J52" s="2913"/>
      <c r="K52" s="2913"/>
      <c r="L52" s="2397" t="s">
        <v>785</v>
      </c>
      <c r="M52" s="2395"/>
      <c r="N52" s="2495"/>
    </row>
    <row r="53" spans="1:14" x14ac:dyDescent="0.4">
      <c r="A53" s="2394" t="s">
        <v>1113</v>
      </c>
      <c r="B53" s="2388" t="s">
        <v>1250</v>
      </c>
      <c r="C53" s="2389">
        <v>9</v>
      </c>
      <c r="D53" s="2388" t="s">
        <v>833</v>
      </c>
      <c r="E53" s="2390" t="s">
        <v>1251</v>
      </c>
      <c r="F53" s="2379"/>
      <c r="G53" s="2780" t="str">
        <f>IFERROR(HYPERLINK("https://logistics.amazon.co.jp/internal/operations/execution/itineraries?operationView=true&amp;provider=ALL_DRIVERS&amp;serviceAreaId="&amp;VLOOKUP($B53,'DS ID'!B:D,2,FALSE),$G$1),"")</f>
        <v>CORTEX ver2</v>
      </c>
      <c r="H53" s="2780" t="str">
        <f>IFERROR(HYPERLINK("https://logistics.amazon.co.jp/internal/capacity/rosterview?serviceAreaId="&amp;VLOOKUP($B53,'DS ID'!B:D,2,FALSE),$H$1),"")</f>
        <v>Roster</v>
      </c>
      <c r="I53" s="2783" t="str">
        <f>IFERROR(HYPERLINK("https://logistics.amazon.co.jp/internal/scheduling/dsps?serviceAreaId="&amp;VLOOKUP($B53,'DS ID'!B:D,2,FALSE),$I$1),"")</f>
        <v>SUI</v>
      </c>
      <c r="J53" s="2886"/>
      <c r="K53" s="2886"/>
      <c r="L53" s="2391" t="s">
        <v>785</v>
      </c>
      <c r="M53" s="2395"/>
      <c r="N53" s="2378"/>
    </row>
    <row r="54" spans="1:14" x14ac:dyDescent="0.4">
      <c r="A54" s="2394" t="s">
        <v>1113</v>
      </c>
      <c r="B54" s="2388" t="s">
        <v>1351</v>
      </c>
      <c r="C54" s="2389">
        <v>5</v>
      </c>
      <c r="D54" s="2388" t="s">
        <v>1053</v>
      </c>
      <c r="E54" s="2390" t="s">
        <v>1352</v>
      </c>
      <c r="F54" s="2379"/>
      <c r="G54" s="2780" t="str">
        <f>IFERROR(HYPERLINK("https://logistics.amazon.co.jp/internal/operations/execution/itineraries?operationView=true&amp;provider=ALL_DRIVERS&amp;serviceAreaId="&amp;VLOOKUP($B54,'DS ID'!B:D,2,FALSE),$G$1),"")</f>
        <v>CORTEX ver2</v>
      </c>
      <c r="H54" s="2780" t="str">
        <f>IFERROR(HYPERLINK("https://logistics.amazon.co.jp/internal/capacity/rosterview?serviceAreaId="&amp;VLOOKUP($B54,'DS ID'!B:D,2,FALSE),$H$1),"")</f>
        <v>Roster</v>
      </c>
      <c r="I54" s="2783" t="str">
        <f>IFERROR(HYPERLINK("https://logistics.amazon.co.jp/internal/scheduling/dsps?serviceAreaId="&amp;VLOOKUP($B54,'DS ID'!B:D,2,FALSE),$I$1),"")</f>
        <v>SUI</v>
      </c>
      <c r="J54" s="2886"/>
      <c r="K54" s="2886"/>
      <c r="L54" s="2391" t="s">
        <v>785</v>
      </c>
      <c r="M54" s="2395"/>
      <c r="N54" s="2378"/>
    </row>
    <row r="55" spans="1:14" x14ac:dyDescent="0.4">
      <c r="A55" s="2394" t="s">
        <v>1113</v>
      </c>
      <c r="B55" s="2388" t="s">
        <v>1353</v>
      </c>
      <c r="C55" s="2389">
        <v>3</v>
      </c>
      <c r="D55" s="2388" t="s">
        <v>1282</v>
      </c>
      <c r="E55" s="2390" t="s">
        <v>1354</v>
      </c>
      <c r="F55" s="2379"/>
      <c r="G55" s="2780" t="str">
        <f>IFERROR(HYPERLINK("https://logistics.amazon.co.jp/internal/operations/execution/itineraries?operationView=true&amp;provider=ALL_DRIVERS&amp;serviceAreaId="&amp;VLOOKUP($B55,'DS ID'!B:D,2,FALSE),$G$1),"")</f>
        <v>CORTEX ver2</v>
      </c>
      <c r="H55" s="2780" t="str">
        <f>IFERROR(HYPERLINK("https://logistics.amazon.co.jp/internal/capacity/rosterview?serviceAreaId="&amp;VLOOKUP($B55,'DS ID'!B:D,2,FALSE),$H$1),"")</f>
        <v>Roster</v>
      </c>
      <c r="I55" s="2783" t="str">
        <f>IFERROR(HYPERLINK("https://logistics.amazon.co.jp/internal/scheduling/dsps?serviceAreaId="&amp;VLOOKUP($B55,'DS ID'!B:D,2,FALSE),$I$1),"")</f>
        <v>SUI</v>
      </c>
      <c r="J55" s="2886"/>
      <c r="K55" s="2886"/>
      <c r="L55" s="2391" t="s">
        <v>785</v>
      </c>
      <c r="M55" s="2395"/>
      <c r="N55" s="2378"/>
    </row>
    <row r="56" spans="1:14" x14ac:dyDescent="0.4">
      <c r="A56" s="2394" t="s">
        <v>1113</v>
      </c>
      <c r="B56" s="2388" t="s">
        <v>1355</v>
      </c>
      <c r="C56" s="2389">
        <v>3</v>
      </c>
      <c r="D56" s="2388" t="s">
        <v>1295</v>
      </c>
      <c r="E56" s="2390" t="s">
        <v>1356</v>
      </c>
      <c r="F56" s="2379"/>
      <c r="G56" s="2780" t="str">
        <f>IFERROR(HYPERLINK("https://logistics.amazon.co.jp/internal/operations/execution/itineraries?operationView=true&amp;provider=ALL_DRIVERS&amp;serviceAreaId="&amp;VLOOKUP($B56,'DS ID'!B:D,2,FALSE),$G$1),"")</f>
        <v>CORTEX ver2</v>
      </c>
      <c r="H56" s="2780" t="str">
        <f>IFERROR(HYPERLINK("https://logistics.amazon.co.jp/internal/capacity/rosterview?serviceAreaId="&amp;VLOOKUP($B56,'DS ID'!B:D,2,FALSE),$H$1),"")</f>
        <v>Roster</v>
      </c>
      <c r="I56" s="2783" t="str">
        <f>IFERROR(HYPERLINK("https://logistics.amazon.co.jp/internal/scheduling/dsps?serviceAreaId="&amp;VLOOKUP($B56,'DS ID'!B:D,2,FALSE),$I$1),"")</f>
        <v>SUI</v>
      </c>
      <c r="J56" s="2886"/>
      <c r="K56" s="2886"/>
      <c r="L56" s="2391" t="s">
        <v>785</v>
      </c>
      <c r="M56" s="2398"/>
      <c r="N56" s="2495"/>
    </row>
    <row r="57" spans="1:14" x14ac:dyDescent="0.4">
      <c r="A57" s="2394" t="s">
        <v>1113</v>
      </c>
      <c r="B57" s="2388" t="s">
        <v>1357</v>
      </c>
      <c r="C57" s="2389">
        <v>5</v>
      </c>
      <c r="D57" s="2388" t="s">
        <v>1358</v>
      </c>
      <c r="E57" s="2390" t="s">
        <v>1358</v>
      </c>
      <c r="F57" s="2379"/>
      <c r="G57" s="2780" t="str">
        <f>IFERROR(HYPERLINK("https://logistics.amazon.co.jp/internal/operations/execution/itineraries?operationView=true&amp;provider=ALL_DRIVERS&amp;serviceAreaId="&amp;VLOOKUP($B57,'DS ID'!B:D,2,FALSE),$G$1),"")</f>
        <v>CORTEX ver2</v>
      </c>
      <c r="H57" s="2780" t="str">
        <f>IFERROR(HYPERLINK("https://logistics.amazon.co.jp/internal/capacity/rosterview?serviceAreaId="&amp;VLOOKUP($B57,'DS ID'!B:D,2,FALSE),$H$1),"")</f>
        <v>Roster</v>
      </c>
      <c r="I57" s="2783" t="str">
        <f>IFERROR(HYPERLINK("https://logistics.amazon.co.jp/internal/scheduling/dsps?serviceAreaId="&amp;VLOOKUP($B57,'DS ID'!B:D,2,FALSE),$I$1),"")</f>
        <v>SUI</v>
      </c>
      <c r="J57" s="2886"/>
      <c r="K57" s="2886"/>
      <c r="L57" s="2391" t="s">
        <v>785</v>
      </c>
      <c r="M57" s="2398"/>
      <c r="N57" s="2495"/>
    </row>
    <row r="58" spans="1:14" x14ac:dyDescent="0.4">
      <c r="A58" s="2394" t="s">
        <v>1359</v>
      </c>
      <c r="B58" s="2388" t="s">
        <v>1360</v>
      </c>
      <c r="C58" s="2389">
        <v>4</v>
      </c>
      <c r="D58" s="2500" t="s">
        <v>1361</v>
      </c>
      <c r="E58" s="2501" t="s">
        <v>1361</v>
      </c>
      <c r="F58" s="2379"/>
      <c r="G58" s="2780" t="str">
        <f>IFERROR(HYPERLINK("https://logistics.amazon.co.jp/internal/operations/execution/itineraries?operationView=true&amp;provider=ALL_DRIVERS&amp;serviceAreaId="&amp;VLOOKUP($B58,'DS ID'!B:D,2,FALSE),$G$1),"")</f>
        <v>CORTEX ver2</v>
      </c>
      <c r="H58" s="2780" t="str">
        <f>IFERROR(HYPERLINK("https://logistics.amazon.co.jp/internal/capacity/rosterview?serviceAreaId="&amp;VLOOKUP($B58,'DS ID'!B:D,2,FALSE),$H$1),"")</f>
        <v>Roster</v>
      </c>
      <c r="I58" s="2783" t="str">
        <f>IFERROR(HYPERLINK("https://logistics.amazon.co.jp/internal/scheduling/dsps?serviceAreaId="&amp;VLOOKUP($B58,'DS ID'!B:D,2,FALSE),$I$1),"")</f>
        <v>SUI</v>
      </c>
      <c r="J58" s="2886"/>
      <c r="K58" s="2886"/>
      <c r="L58" s="2391" t="s">
        <v>434</v>
      </c>
      <c r="M58" s="2398"/>
      <c r="N58" s="2495"/>
    </row>
    <row r="59" spans="1:14" x14ac:dyDescent="0.4">
      <c r="A59" s="2394" t="s">
        <v>1113</v>
      </c>
      <c r="B59" s="2388" t="s">
        <v>1362</v>
      </c>
      <c r="C59" s="2389">
        <v>3</v>
      </c>
      <c r="D59" s="2402" t="s">
        <v>1279</v>
      </c>
      <c r="E59" s="2402" t="s">
        <v>1026</v>
      </c>
      <c r="F59" s="2379"/>
      <c r="G59" s="2780" t="str">
        <f>IFERROR(HYPERLINK("https://logistics.amazon.co.jp/internal/operations/execution/itineraries?operationView=true&amp;provider=ALL_DRIVERS&amp;serviceAreaId="&amp;VLOOKUP($B59,'DS ID'!B:D,2,FALSE),$G$1),"")</f>
        <v>CORTEX ver2</v>
      </c>
      <c r="H59" s="2780" t="str">
        <f>IFERROR(HYPERLINK("https://logistics.amazon.co.jp/internal/capacity/rosterview?serviceAreaId="&amp;VLOOKUP($B59,'DS ID'!B:D,2,FALSE),$H$1),"")</f>
        <v>Roster</v>
      </c>
      <c r="I59" s="2783" t="str">
        <f>IFERROR(HYPERLINK("https://logistics.amazon.co.jp/internal/scheduling/dsps?serviceAreaId="&amp;VLOOKUP($B59,'DS ID'!B:D,2,FALSE),$I$1),"")</f>
        <v>SUI</v>
      </c>
      <c r="J59" s="2886"/>
      <c r="K59" s="2886"/>
      <c r="L59" s="2391" t="s">
        <v>434</v>
      </c>
      <c r="M59" s="2398"/>
      <c r="N59" s="2495"/>
    </row>
    <row r="60" spans="1:14" x14ac:dyDescent="0.4">
      <c r="A60" s="2394" t="s">
        <v>1359</v>
      </c>
      <c r="B60" s="2378" t="s">
        <v>1363</v>
      </c>
      <c r="C60" s="2379">
        <v>7</v>
      </c>
      <c r="D60" s="2380" t="s">
        <v>1364</v>
      </c>
      <c r="E60" s="2378" t="s">
        <v>911</v>
      </c>
      <c r="F60" s="2496"/>
      <c r="G60" s="2780" t="str">
        <f>IFERROR(HYPERLINK("https://logistics.amazon.co.jp/internal/operations/execution/itineraries?operationView=true&amp;provider=ALL_DRIVERS&amp;serviceAreaId="&amp;VLOOKUP($B60,'DS ID'!B:D,2,FALSE),$G$1),"")</f>
        <v>CORTEX ver2</v>
      </c>
      <c r="H60" s="2780" t="str">
        <f>IFERROR(HYPERLINK("https://logistics.amazon.co.jp/internal/capacity/rosterview?serviceAreaId="&amp;VLOOKUP($B60,'DS ID'!B:D,2,FALSE),$H$1),"")</f>
        <v>Roster</v>
      </c>
      <c r="I60" s="2783" t="str">
        <f>IFERROR(HYPERLINK("https://logistics.amazon.co.jp/internal/scheduling/dsps?serviceAreaId="&amp;VLOOKUP($B60,'DS ID'!B:D,2,FALSE),$I$1),"")</f>
        <v>SUI</v>
      </c>
      <c r="J60" s="2886"/>
      <c r="K60" s="2886"/>
      <c r="L60" s="2397" t="s">
        <v>785</v>
      </c>
      <c r="M60" s="2431"/>
      <c r="N60" s="2378"/>
    </row>
    <row r="61" spans="1:14" x14ac:dyDescent="0.4">
      <c r="A61" s="2394" t="s">
        <v>1365</v>
      </c>
      <c r="B61" s="2388" t="s">
        <v>1233</v>
      </c>
      <c r="C61" s="2389">
        <v>6</v>
      </c>
      <c r="D61" s="2378" t="s">
        <v>1234</v>
      </c>
      <c r="E61" s="2380" t="s">
        <v>1235</v>
      </c>
      <c r="F61" s="2496"/>
      <c r="G61" s="2780" t="str">
        <f>IFERROR(HYPERLINK("https://logistics.amazon.co.jp/internal/operations/execution/itineraries?operationView=true&amp;provider=ALL_DRIVERS&amp;serviceAreaId="&amp;VLOOKUP($B61,'DS ID'!B:D,2,FALSE),$G$1),"")</f>
        <v>CORTEX ver2</v>
      </c>
      <c r="H61" s="2780" t="str">
        <f>IFERROR(HYPERLINK("https://logistics.amazon.co.jp/internal/capacity/rosterview?serviceAreaId="&amp;VLOOKUP($B61,'DS ID'!B:D,2,FALSE),$H$1),"")</f>
        <v>Roster</v>
      </c>
      <c r="I61" s="2783" t="str">
        <f>IFERROR(HYPERLINK("https://logistics.amazon.co.jp/internal/scheduling/dsps?serviceAreaId="&amp;VLOOKUP($B61,'DS ID'!B:D,2,FALSE),$I$1),"")</f>
        <v>SUI</v>
      </c>
      <c r="J61" s="2913"/>
      <c r="K61" s="2913"/>
      <c r="L61" s="2391" t="s">
        <v>785</v>
      </c>
      <c r="M61" s="2395"/>
      <c r="N61" s="2495"/>
    </row>
    <row r="62" spans="1:14" x14ac:dyDescent="0.4">
      <c r="A62" s="2394" t="s">
        <v>1365</v>
      </c>
      <c r="B62" s="2388" t="s">
        <v>1236</v>
      </c>
      <c r="C62" s="2389">
        <v>6</v>
      </c>
      <c r="D62" s="2378" t="s">
        <v>1237</v>
      </c>
      <c r="E62" s="2380" t="s">
        <v>1238</v>
      </c>
      <c r="F62" s="2496"/>
      <c r="G62" s="2780" t="str">
        <f>IFERROR(HYPERLINK("https://logistics.amazon.co.jp/internal/operations/execution/itineraries?operationView=true&amp;provider=ALL_DRIVERS&amp;serviceAreaId="&amp;VLOOKUP($B62,'DS ID'!B:D,2,FALSE),$G$1),"")</f>
        <v>CORTEX ver2</v>
      </c>
      <c r="H62" s="2780" t="str">
        <f>IFERROR(HYPERLINK("https://logistics.amazon.co.jp/internal/capacity/rosterview?serviceAreaId="&amp;VLOOKUP($B62,'DS ID'!B:D,2,FALSE),$H$1),"")</f>
        <v>Roster</v>
      </c>
      <c r="I62" s="2783" t="str">
        <f>IFERROR(HYPERLINK("https://logistics.amazon.co.jp/internal/scheduling/dsps?serviceAreaId="&amp;VLOOKUP($B62,'DS ID'!B:D,2,FALSE),$I$1),"")</f>
        <v>SUI</v>
      </c>
      <c r="J62" s="2913"/>
      <c r="K62" s="2913"/>
      <c r="L62" s="2391" t="s">
        <v>785</v>
      </c>
      <c r="M62" s="2395"/>
      <c r="N62" s="2495"/>
    </row>
    <row r="63" spans="1:14" x14ac:dyDescent="0.4">
      <c r="A63" s="2394" t="s">
        <v>1145</v>
      </c>
      <c r="B63" s="2378" t="s">
        <v>1189</v>
      </c>
      <c r="C63" s="2379">
        <v>2</v>
      </c>
      <c r="D63" s="2378" t="s">
        <v>833</v>
      </c>
      <c r="E63" s="2380" t="s">
        <v>846</v>
      </c>
      <c r="F63" s="2496"/>
      <c r="G63" s="2780" t="str">
        <f>IFERROR(HYPERLINK("https://logistics.amazon.co.jp/internal/operations/execution/itineraries?operationView=true&amp;provider=ALL_DRIVERS&amp;serviceAreaId="&amp;VLOOKUP($B63,'DS ID'!B:D,2,FALSE),$G$1),"")</f>
        <v>CORTEX ver2</v>
      </c>
      <c r="H63" s="2780" t="str">
        <f>IFERROR(HYPERLINK("https://logistics.amazon.co.jp/internal/capacity/rosterview?serviceAreaId="&amp;VLOOKUP($B63,'DS ID'!B:D,2,FALSE),$H$1),"")</f>
        <v>Roster</v>
      </c>
      <c r="I63" s="2783" t="str">
        <f>IFERROR(HYPERLINK("https://logistics.amazon.co.jp/internal/scheduling/dsps?serviceAreaId="&amp;VLOOKUP($B63,'DS ID'!B:D,2,FALSE),$I$1),"")</f>
        <v>SUI</v>
      </c>
      <c r="J63" s="2913"/>
      <c r="K63" s="2913"/>
      <c r="L63" s="2397" t="s">
        <v>785</v>
      </c>
      <c r="M63" s="2431"/>
      <c r="N63" s="2495"/>
    </row>
    <row r="64" spans="1:14" x14ac:dyDescent="0.4">
      <c r="A64" s="2394"/>
      <c r="B64" s="2394"/>
      <c r="C64" s="2394"/>
      <c r="D64" s="2394"/>
      <c r="E64" s="2388"/>
      <c r="F64" s="2379"/>
      <c r="G64" s="2441" t="str">
        <f>IFERROR(HYPERLINK("https://logistics.amazon.co.jp/operations/execution/itineraries?cortexv2=true&amp;operationView=true&amp;progressStatusFilterValue&amp;providerFilter=ALL_DPS&amp;selectedDay=today&amp;serviceAreaId="&amp;VLOOKUP($B64,'[1]DS ID'!B:D,4,FALSE),$G$1),"")</f>
        <v/>
      </c>
      <c r="H64" s="2441" t="str">
        <f>IFERROR(HYPERLINK("https://logistics.amazon.co.jp/internal/capacity/rosterview?serviceAreaId="&amp;VLOOKUP($B64,'[1]DS ID'!B:D,4,FALSE),$H$1),"")</f>
        <v/>
      </c>
      <c r="I64" s="2418" t="str">
        <f>IFERROR(HYPERLINK("https://logistics.amazon.co.jp/internal/scheduling/dsps?serviceAreaId="&amp;VLOOKUP($B64,'[1]DS ID'!B:D,4,FALSE),$I$1),"")</f>
        <v/>
      </c>
      <c r="J64" s="2418"/>
      <c r="K64" s="2418"/>
      <c r="L64" s="2442"/>
      <c r="M64" s="2410"/>
      <c r="N64" s="2378"/>
    </row>
    <row r="65" spans="1:14" x14ac:dyDescent="0.4">
      <c r="A65" s="2394"/>
      <c r="B65" s="2378"/>
      <c r="C65" s="2378"/>
      <c r="D65" s="2378"/>
      <c r="E65" s="2380"/>
      <c r="F65" s="2496"/>
      <c r="G65" s="2441" t="str">
        <f>IFERROR(HYPERLINK("https://logistics.amazon.co.jp/operations/execution/itineraries?cortexv2=true&amp;operationView=true&amp;progressStatusFilterValue&amp;providerFilter=ALL_DPS&amp;selectedDay=today&amp;serviceAreaId="&amp;VLOOKUP($B65,'[1]DS ID'!B:D,4,FALSE),$G$1),"")</f>
        <v/>
      </c>
      <c r="H65" s="2441" t="str">
        <f>IFERROR(HYPERLINK("https://logistics.amazon.co.jp/internal/capacity/rosterview?serviceAreaId="&amp;VLOOKUP($B65,'[1]DS ID'!B:D,4,FALSE),$H$1),"")</f>
        <v/>
      </c>
      <c r="I65" s="2418" t="str">
        <f>IFERROR(HYPERLINK("https://logistics.amazon.co.jp/internal/scheduling/dsps?serviceAreaId="&amp;VLOOKUP($B65,'[1]DS ID'!B:D,4,FALSE),$I$1),"")</f>
        <v/>
      </c>
      <c r="J65" s="2418"/>
      <c r="K65" s="2418"/>
      <c r="L65" s="2397"/>
      <c r="M65" s="2431"/>
      <c r="N65" s="2378"/>
    </row>
    <row r="66" spans="1:14" x14ac:dyDescent="0.4">
      <c r="A66" s="2394"/>
      <c r="B66" s="2378"/>
      <c r="C66" s="2378"/>
      <c r="D66" s="2378"/>
      <c r="E66" s="2380"/>
      <c r="F66" s="2496"/>
      <c r="G66" s="2441" t="str">
        <f>IFERROR(HYPERLINK("https://logistics.amazon.co.jp/operations/execution/itineraries?cortexv2=true&amp;operationView=true&amp;progressStatusFilterValue&amp;providerFilter=ALL_DPS&amp;selectedDay=today&amp;serviceAreaId="&amp;VLOOKUP($B66,'[1]DS ID'!B:D,4,FALSE),$G$1),"")</f>
        <v/>
      </c>
      <c r="H66" s="2441" t="str">
        <f>IFERROR(HYPERLINK("https://logistics.amazon.co.jp/internal/capacity/rosterview?serviceAreaId="&amp;VLOOKUP($B66,'[1]DS ID'!B:D,4,FALSE),$H$1),"")</f>
        <v/>
      </c>
      <c r="I66" s="2418" t="str">
        <f>IFERROR(HYPERLINK("https://logistics.amazon.co.jp/internal/scheduling/dsps?serviceAreaId="&amp;VLOOKUP($B66,'[1]DS ID'!B:D,4,FALSE),$I$1),"")</f>
        <v/>
      </c>
      <c r="J66" s="2418"/>
      <c r="K66" s="2418"/>
      <c r="L66" s="2397"/>
      <c r="M66" s="2431"/>
      <c r="N66" s="2378"/>
    </row>
    <row r="67" spans="1:14" x14ac:dyDescent="0.4">
      <c r="A67" s="2394"/>
      <c r="B67" s="2378"/>
      <c r="C67" s="2378"/>
      <c r="D67" s="2378"/>
      <c r="E67" s="2380"/>
      <c r="F67" s="2496"/>
      <c r="G67" s="2441" t="str">
        <f>IFERROR(HYPERLINK("https://logistics.amazon.co.jp/operations/execution/itineraries?cortexv2=true&amp;operationView=true&amp;progressStatusFilterValue&amp;providerFilter=ALL_DPS&amp;selectedDay=today&amp;serviceAreaId="&amp;VLOOKUP($B67,'[1]DS ID'!B:D,4,FALSE),$G$1),"")</f>
        <v/>
      </c>
      <c r="H67" s="2441" t="str">
        <f>IFERROR(HYPERLINK("https://logistics.amazon.co.jp/internal/capacity/rosterview?serviceAreaId="&amp;VLOOKUP($B67,'[1]DS ID'!B:D,4,FALSE),$H$1),"")</f>
        <v/>
      </c>
      <c r="I67" s="2418" t="str">
        <f>IFERROR(HYPERLINK("https://logistics.amazon.co.jp/internal/scheduling/dsps?serviceAreaId="&amp;VLOOKUP($B67,'[1]DS ID'!B:D,4,FALSE),$I$1),"")</f>
        <v/>
      </c>
      <c r="J67" s="2418"/>
      <c r="K67" s="2418"/>
      <c r="L67" s="2397"/>
      <c r="M67" s="2431"/>
      <c r="N67" s="2378"/>
    </row>
    <row r="68" spans="1:14" x14ac:dyDescent="0.4">
      <c r="A68" s="2394"/>
      <c r="B68" s="2378"/>
      <c r="C68" s="2378"/>
      <c r="D68" s="2378"/>
      <c r="E68" s="2380"/>
      <c r="F68" s="2496"/>
      <c r="G68" s="2441" t="str">
        <f>IFERROR(HYPERLINK("https://logistics.amazon.co.jp/operations/execution/itineraries?cortexv2=true&amp;operationView=true&amp;progressStatusFilterValue&amp;providerFilter=ALL_DPS&amp;selectedDay=today&amp;serviceAreaId="&amp;VLOOKUP($B68,'[1]DS ID'!B:D,4,FALSE),$G$1),"")</f>
        <v/>
      </c>
      <c r="H68" s="2441" t="str">
        <f>IFERROR(HYPERLINK("https://logistics.amazon.co.jp/internal/capacity/rosterview?serviceAreaId="&amp;VLOOKUP($B68,'[1]DS ID'!B:D,4,FALSE),$H$1),"")</f>
        <v/>
      </c>
      <c r="I68" s="2418" t="str">
        <f>IFERROR(HYPERLINK("https://logistics.amazon.co.jp/internal/scheduling/dsps?serviceAreaId="&amp;VLOOKUP($B68,'[1]DS ID'!B:D,4,FALSE),$I$1),"")</f>
        <v/>
      </c>
      <c r="J68" s="2418"/>
      <c r="K68" s="2418"/>
      <c r="L68" s="2397"/>
      <c r="M68" s="2431"/>
      <c r="N68" s="2378"/>
    </row>
    <row r="69" spans="1:14" x14ac:dyDescent="0.4">
      <c r="A69" s="2394"/>
      <c r="B69" s="2378"/>
      <c r="C69" s="2378"/>
      <c r="D69" s="2378"/>
      <c r="E69" s="2380"/>
      <c r="F69" s="2496"/>
      <c r="G69" s="2441" t="str">
        <f>IFERROR(HYPERLINK("https://logistics.amazon.co.jp/operations/execution/itineraries?cortexv2=true&amp;operationView=true&amp;progressStatusFilterValue&amp;providerFilter=ALL_DPS&amp;selectedDay=today&amp;serviceAreaId="&amp;VLOOKUP($B69,'[1]DS ID'!B:D,4,FALSE),$G$1),"")</f>
        <v/>
      </c>
      <c r="H69" s="2441" t="str">
        <f>IFERROR(HYPERLINK("https://logistics.amazon.co.jp/internal/capacity/rosterview?serviceAreaId="&amp;VLOOKUP($B69,'[1]DS ID'!B:D,4,FALSE),$H$1),"")</f>
        <v/>
      </c>
      <c r="I69" s="2418" t="str">
        <f>IFERROR(HYPERLINK("https://logistics.amazon.co.jp/internal/scheduling/dsps?serviceAreaId="&amp;VLOOKUP($B69,'[1]DS ID'!B:D,4,FALSE),$I$1),"")</f>
        <v/>
      </c>
      <c r="J69" s="2418"/>
      <c r="K69" s="2418"/>
      <c r="L69" s="2397"/>
      <c r="M69" s="2431"/>
      <c r="N69" s="2378"/>
    </row>
    <row r="70" spans="1:14" x14ac:dyDescent="0.4">
      <c r="A70" s="2394"/>
      <c r="B70" s="2378"/>
      <c r="C70" s="2378"/>
      <c r="D70" s="2378"/>
      <c r="E70" s="2380"/>
      <c r="F70" s="2496"/>
      <c r="G70" s="2441" t="str">
        <f>IFERROR(HYPERLINK("https://logistics.amazon.co.jp/operations/execution/itineraries?cortexv2=true&amp;operationView=true&amp;progressStatusFilterValue&amp;providerFilter=ALL_DPS&amp;selectedDay=today&amp;serviceAreaId="&amp;VLOOKUP($B70,'[1]DS ID'!B:D,4,FALSE),$G$1),"")</f>
        <v/>
      </c>
      <c r="H70" s="2441" t="str">
        <f>IFERROR(HYPERLINK("https://logistics.amazon.co.jp/internal/capacity/rosterview?serviceAreaId="&amp;VLOOKUP($B70,'[1]DS ID'!B:D,4,FALSE),$H$1),"")</f>
        <v/>
      </c>
      <c r="I70" s="2418" t="str">
        <f>IFERROR(HYPERLINK("https://logistics.amazon.co.jp/internal/scheduling/dsps?serviceAreaId="&amp;VLOOKUP($B70,'[1]DS ID'!B:D,4,FALSE),$I$1),"")</f>
        <v/>
      </c>
      <c r="J70" s="2418"/>
      <c r="K70" s="2418"/>
      <c r="L70" s="2397"/>
      <c r="M70" s="2431"/>
      <c r="N70" s="2378"/>
    </row>
    <row r="71" spans="1:14" x14ac:dyDescent="0.4">
      <c r="A71" s="2394"/>
      <c r="B71" s="2394"/>
      <c r="C71" s="2394"/>
      <c r="D71" s="2394"/>
      <c r="E71" s="2396"/>
      <c r="F71" s="2379"/>
      <c r="G71" s="2441" t="str">
        <f>IFERROR(HYPERLINK("https://logistics.amazon.co.jp/operations/execution/itineraries?cortexv2=true&amp;operationView=true&amp;progressStatusFilterValue&amp;providerFilter=ALL_DPS&amp;selectedDay=today&amp;serviceAreaId="&amp;VLOOKUP($B71,'[1]DS ID'!B:D,4,FALSE),$G$1),"")</f>
        <v/>
      </c>
      <c r="H71" s="2441" t="str">
        <f>IFERROR(HYPERLINK("https://logistics.amazon.co.jp/internal/capacity/rosterview?serviceAreaId="&amp;VLOOKUP($B71,'[1]DS ID'!B:D,4,FALSE),$H$1),"")</f>
        <v/>
      </c>
      <c r="I71" s="2418" t="str">
        <f>IFERROR(HYPERLINK("https://logistics.amazon.co.jp/internal/scheduling/dsps?serviceAreaId="&amp;VLOOKUP($B71,'[1]DS ID'!B:D,4,FALSE),$I$1),"")</f>
        <v/>
      </c>
      <c r="J71" s="2418"/>
      <c r="K71" s="2418"/>
      <c r="L71" s="2442"/>
      <c r="M71" s="2395"/>
      <c r="N71" s="2378"/>
    </row>
    <row r="72" spans="1:14" x14ac:dyDescent="0.4">
      <c r="A72" s="2394"/>
      <c r="B72" s="2394"/>
      <c r="C72" s="2394"/>
      <c r="D72" s="2394"/>
      <c r="E72" s="2396"/>
      <c r="F72" s="2379"/>
      <c r="G72" s="2441" t="str">
        <f>IFERROR(HYPERLINK("https://logistics.amazon.co.jp/operations/execution/itineraries?cortexv2=true&amp;operationView=true&amp;progressStatusFilterValue&amp;providerFilter=ALL_DPS&amp;selectedDay=today&amp;serviceAreaId="&amp;VLOOKUP($B72,'[1]DS ID'!B:D,4,FALSE),$G$1),"")</f>
        <v/>
      </c>
      <c r="H72" s="2441" t="str">
        <f>IFERROR(HYPERLINK("https://logistics.amazon.co.jp/internal/capacity/rosterview?serviceAreaId="&amp;VLOOKUP($B72,'[1]DS ID'!B:D,4,FALSE),$H$1),"")</f>
        <v/>
      </c>
      <c r="I72" s="2418" t="str">
        <f>IFERROR(HYPERLINK("https://logistics.amazon.co.jp/internal/scheduling/dsps?serviceAreaId="&amp;VLOOKUP($B72,'[1]DS ID'!B:D,4,FALSE),$I$1),"")</f>
        <v/>
      </c>
      <c r="J72" s="2418"/>
      <c r="K72" s="2418"/>
      <c r="L72" s="2391"/>
      <c r="M72" s="2395"/>
      <c r="N72" s="2378"/>
    </row>
    <row r="73" spans="1:14" x14ac:dyDescent="0.4">
      <c r="A73" s="2394"/>
      <c r="B73" s="2394"/>
      <c r="C73" s="2394"/>
      <c r="D73" s="2394"/>
      <c r="E73" s="2396"/>
      <c r="F73" s="2379"/>
      <c r="G73" s="2441" t="str">
        <f>IFERROR(HYPERLINK("https://logistics.amazon.co.jp/operations/execution/itineraries?cortexv2=true&amp;operationView=true&amp;progressStatusFilterValue&amp;providerFilter=ALL_DPS&amp;selectedDay=today&amp;serviceAreaId="&amp;VLOOKUP($B73,'[1]DS ID'!B:D,4,FALSE),$G$1),"")</f>
        <v/>
      </c>
      <c r="H73" s="2441" t="str">
        <f>IFERROR(HYPERLINK("https://logistics.amazon.co.jp/internal/capacity/rosterview?serviceAreaId="&amp;VLOOKUP($B73,'[1]DS ID'!B:D,4,FALSE),$H$1),"")</f>
        <v/>
      </c>
      <c r="I73" s="2418" t="str">
        <f>IFERROR(HYPERLINK("https://logistics.amazon.co.jp/internal/scheduling/dsps?serviceAreaId="&amp;VLOOKUP($B73,'[1]DS ID'!B:D,4,FALSE),$I$1),"")</f>
        <v/>
      </c>
      <c r="J73" s="2418"/>
      <c r="K73" s="2418"/>
      <c r="L73" s="2442"/>
      <c r="M73" s="2395"/>
      <c r="N73" s="2378"/>
    </row>
    <row r="74" spans="1:14" x14ac:dyDescent="0.4">
      <c r="A74" s="2443"/>
      <c r="B74" s="2394"/>
      <c r="C74" s="2394"/>
      <c r="D74" s="2394"/>
      <c r="E74" s="2396"/>
      <c r="F74" s="2379"/>
      <c r="G74" s="2441" t="str">
        <f>IFERROR(HYPERLINK("https://logistics.amazon.co.jp/operations/execution/itineraries?cortexv2=true&amp;operationView=true&amp;progressStatusFilterValue&amp;providerFilter=ALL_DPS&amp;selectedDay=today&amp;serviceAreaId="&amp;VLOOKUP($B74,'[1]DS ID'!B:D,4,FALSE),$G$1),"")</f>
        <v/>
      </c>
      <c r="H74" s="2441" t="str">
        <f>IFERROR(HYPERLINK("https://logistics.amazon.co.jp/internal/capacity/rosterview?serviceAreaId="&amp;VLOOKUP($B74,'[1]DS ID'!B:D,4,FALSE),$H$1),"")</f>
        <v/>
      </c>
      <c r="I74" s="2418" t="str">
        <f>IFERROR(HYPERLINK("https://logistics.amazon.co.jp/internal/scheduling/dsps?serviceAreaId="&amp;VLOOKUP($B74,'[1]DS ID'!B:D,4,FALSE),$I$1),"")</f>
        <v/>
      </c>
      <c r="J74" s="2418"/>
      <c r="K74" s="2418"/>
      <c r="L74" s="2442"/>
      <c r="M74" s="2395"/>
      <c r="N74" s="2378"/>
    </row>
    <row r="75" spans="1:14" x14ac:dyDescent="0.4">
      <c r="A75" s="2394"/>
      <c r="B75" s="2378"/>
      <c r="C75" s="2378"/>
      <c r="D75" s="2378"/>
      <c r="E75" s="2380"/>
      <c r="F75" s="2379"/>
      <c r="G75" s="2441" t="str">
        <f>IFERROR(HYPERLINK("https://logistics.amazon.co.jp/operations/execution/itineraries?cortexv2=true&amp;operationView=true&amp;progressStatusFilterValue&amp;providerFilter=ALL_DPS&amp;selectedDay=today&amp;serviceAreaId="&amp;VLOOKUP($B75,'[1]DS ID'!B:D,4,FALSE),$G$1),"")</f>
        <v/>
      </c>
      <c r="H75" s="2441" t="str">
        <f>IFERROR(HYPERLINK("https://logistics.amazon.co.jp/internal/capacity/rosterview?serviceAreaId="&amp;VLOOKUP($B75,'[1]DS ID'!B:D,4,FALSE),$H$1),"")</f>
        <v/>
      </c>
      <c r="I75" s="2418" t="str">
        <f>IFERROR(HYPERLINK("https://logistics.amazon.co.jp/internal/scheduling/dsps?serviceAreaId="&amp;VLOOKUP($B75,'[1]DS ID'!B:D,4,FALSE),$I$1),"")</f>
        <v/>
      </c>
      <c r="J75" s="2418"/>
      <c r="K75" s="2418"/>
      <c r="L75" s="2442"/>
      <c r="M75" s="2395"/>
      <c r="N75" s="2378"/>
    </row>
    <row r="76" spans="1:14" x14ac:dyDescent="0.4">
      <c r="A76" s="2394"/>
      <c r="B76" s="2388"/>
      <c r="C76" s="2388"/>
      <c r="D76" s="2388"/>
      <c r="E76" s="2390"/>
      <c r="F76" s="2379"/>
      <c r="G76" s="2441" t="str">
        <f>IFERROR(HYPERLINK("https://logistics.amazon.co.jp/operations/execution/itineraries?cortexv2=true&amp;operationView=true&amp;progressStatusFilterValue&amp;providerFilter=ALL_DPS&amp;selectedDay=today&amp;serviceAreaId="&amp;VLOOKUP($B76,'[1]DS ID'!B:D,4,FALSE),$G$1),"")</f>
        <v/>
      </c>
      <c r="H76" s="2441" t="str">
        <f>IFERROR(HYPERLINK("https://logistics.amazon.co.jp/internal/capacity/rosterview?serviceAreaId="&amp;VLOOKUP($B76,'[1]DS ID'!B:D,4,FALSE),$H$1),"")</f>
        <v/>
      </c>
      <c r="I76" s="2418" t="str">
        <f>IFERROR(HYPERLINK("https://logistics.amazon.co.jp/internal/scheduling/dsps?serviceAreaId="&amp;VLOOKUP($B76,'[1]DS ID'!B:D,4,FALSE),$I$1),"")</f>
        <v/>
      </c>
      <c r="J76" s="2418"/>
      <c r="K76" s="2418"/>
      <c r="L76" s="2442"/>
      <c r="M76" s="2395"/>
      <c r="N76" s="2378"/>
    </row>
    <row r="77" spans="1:14" x14ac:dyDescent="0.4">
      <c r="A77" s="2394"/>
      <c r="B77" s="2394"/>
      <c r="C77" s="2394"/>
      <c r="D77" s="2394"/>
      <c r="E77" s="2396"/>
      <c r="F77" s="2379"/>
      <c r="G77" s="2441" t="str">
        <f>IFERROR(HYPERLINK("https://logistics.amazon.co.jp/operations/execution/itineraries?cortexv2=true&amp;operationView=true&amp;progressStatusFilterValue&amp;providerFilter=ALL_DPS&amp;selectedDay=today&amp;serviceAreaId="&amp;VLOOKUP($B77,'[1]DS ID'!B:D,4,FALSE),$G$1),"")</f>
        <v/>
      </c>
      <c r="H77" s="2441" t="str">
        <f>IFERROR(HYPERLINK("https://logistics.amazon.co.jp/internal/capacity/rosterview?serviceAreaId="&amp;VLOOKUP($B77,'[1]DS ID'!B:D,4,FALSE),$H$1),"")</f>
        <v/>
      </c>
      <c r="I77" s="2418" t="str">
        <f>IFERROR(HYPERLINK("https://logistics.amazon.co.jp/internal/scheduling/dsps?serviceAreaId="&amp;VLOOKUP($B77,'[1]DS ID'!B:D,4,FALSE),$I$1),"")</f>
        <v/>
      </c>
      <c r="J77" s="2418"/>
      <c r="K77" s="2418"/>
      <c r="L77" s="2405"/>
      <c r="M77" s="2395"/>
      <c r="N77" s="2378"/>
    </row>
    <row r="78" spans="1:14" x14ac:dyDescent="0.4">
      <c r="A78" s="2394"/>
      <c r="B78" s="2394"/>
      <c r="C78" s="2394"/>
      <c r="D78" s="2394"/>
      <c r="E78" s="2396"/>
      <c r="F78" s="2379"/>
      <c r="G78" s="2441" t="str">
        <f>IFERROR(HYPERLINK("https://logistics.amazon.co.jp/operations/execution/itineraries?cortexv2=true&amp;operationView=true&amp;progressStatusFilterValue&amp;providerFilter=ALL_DPS&amp;selectedDay=today&amp;serviceAreaId="&amp;VLOOKUP($B78,'[1]DS ID'!B:D,4,FALSE),$G$1),"")</f>
        <v/>
      </c>
      <c r="H78" s="2441" t="str">
        <f>IFERROR(HYPERLINK("https://logistics.amazon.co.jp/internal/capacity/rosterview?serviceAreaId="&amp;VLOOKUP($B78,'[1]DS ID'!B:D,4,FALSE),$H$1),"")</f>
        <v/>
      </c>
      <c r="I78" s="2418" t="str">
        <f>IFERROR(HYPERLINK("https://logistics.amazon.co.jp/internal/scheduling/dsps?serviceAreaId="&amp;VLOOKUP($B78,'[1]DS ID'!B:D,4,FALSE),$I$1),"")</f>
        <v/>
      </c>
      <c r="J78" s="2418"/>
      <c r="K78" s="2418"/>
      <c r="L78" s="2405"/>
      <c r="M78" s="2395"/>
      <c r="N78" s="2378"/>
    </row>
    <row r="79" spans="1:14" x14ac:dyDescent="0.4">
      <c r="A79" s="2394"/>
      <c r="B79" s="2394"/>
      <c r="C79" s="2394"/>
      <c r="D79" s="2394"/>
      <c r="E79" s="2396"/>
      <c r="F79" s="2379"/>
      <c r="G79" s="2441" t="str">
        <f>IFERROR(HYPERLINK("https://logistics.amazon.co.jp/operations/execution/itineraries?cortexv2=true&amp;operationView=true&amp;progressStatusFilterValue&amp;providerFilter=ALL_DPS&amp;selectedDay=today&amp;serviceAreaId="&amp;VLOOKUP($B79,'[1]DS ID'!B:D,4,FALSE),$G$1),"")</f>
        <v/>
      </c>
      <c r="H79" s="2441" t="str">
        <f>IFERROR(HYPERLINK("https://logistics.amazon.co.jp/internal/capacity/rosterview?serviceAreaId="&amp;VLOOKUP($B79,'[1]DS ID'!B:D,4,FALSE),$H$1),"")</f>
        <v/>
      </c>
      <c r="I79" s="2418" t="str">
        <f>IFERROR(HYPERLINK("https://logistics.amazon.co.jp/internal/scheduling/dsps?serviceAreaId="&amp;VLOOKUP($B79,'[1]DS ID'!B:D,4,FALSE),$I$1),"")</f>
        <v/>
      </c>
      <c r="J79" s="2418"/>
      <c r="K79" s="2418"/>
      <c r="L79" s="2405"/>
      <c r="M79" s="2395"/>
      <c r="N79" s="2378"/>
    </row>
    <row r="80" spans="1:14" x14ac:dyDescent="0.4">
      <c r="A80" s="2394"/>
      <c r="B80" s="2394"/>
      <c r="C80" s="2394"/>
      <c r="D80" s="2394"/>
      <c r="E80" s="2396"/>
      <c r="F80" s="2379"/>
      <c r="G80" s="2441" t="str">
        <f>IFERROR(HYPERLINK("https://logistics.amazon.co.jp/operations/execution/itineraries?cortexv2=true&amp;operationView=true&amp;progressStatusFilterValue&amp;providerFilter=ALL_DPS&amp;selectedDay=today&amp;serviceAreaId="&amp;VLOOKUP($B80,'[1]DS ID'!B:D,4,FALSE),$G$1),"")</f>
        <v/>
      </c>
      <c r="H80" s="2441" t="str">
        <f>IFERROR(HYPERLINK("https://logistics.amazon.co.jp/internal/capacity/rosterview?serviceAreaId="&amp;VLOOKUP($B80,'[1]DS ID'!B:D,4,FALSE),$H$1),"")</f>
        <v/>
      </c>
      <c r="I80" s="2418" t="str">
        <f>IFERROR(HYPERLINK("https://logistics.amazon.co.jp/internal/scheduling/dsps?serviceAreaId="&amp;VLOOKUP($B80,'[1]DS ID'!B:D,4,FALSE),$I$1),"")</f>
        <v/>
      </c>
      <c r="J80" s="2418"/>
      <c r="K80" s="2418"/>
      <c r="L80" s="2405"/>
      <c r="M80" s="2395"/>
      <c r="N80" s="2378"/>
    </row>
    <row r="81" spans="1:14" x14ac:dyDescent="0.4">
      <c r="A81" s="2394"/>
      <c r="B81" s="2378"/>
      <c r="C81" s="2378"/>
      <c r="D81" s="2378"/>
      <c r="E81" s="2380"/>
      <c r="F81" s="2496"/>
      <c r="G81" s="2441" t="str">
        <f>IFERROR(HYPERLINK("https://logistics.amazon.co.jp/operations/execution/itineraries?cortexv2=true&amp;operationView=true&amp;progressStatusFilterValue&amp;providerFilter=ALL_DPS&amp;selectedDay=today&amp;serviceAreaId="&amp;VLOOKUP($B81,'[1]DS ID'!B:D,4,FALSE),$G$1),"")</f>
        <v/>
      </c>
      <c r="H81" s="2441" t="str">
        <f>IFERROR(HYPERLINK("https://logistics.amazon.co.jp/internal/capacity/rosterview?serviceAreaId="&amp;VLOOKUP($B81,'[1]DS ID'!B:D,4,FALSE),$H$1),"")</f>
        <v/>
      </c>
      <c r="I81" s="2418" t="str">
        <f>IFERROR(HYPERLINK("https://logistics.amazon.co.jp/internal/scheduling/dsps?serviceAreaId="&amp;VLOOKUP($B81,'[1]DS ID'!B:D,4,FALSE),$I$1),"")</f>
        <v/>
      </c>
      <c r="J81" s="2418"/>
      <c r="K81" s="2418"/>
      <c r="L81" s="2397"/>
      <c r="M81" s="2431"/>
      <c r="N81" s="2378"/>
    </row>
    <row r="82" spans="1:14" x14ac:dyDescent="0.4">
      <c r="A82" s="2394"/>
      <c r="B82" s="2378"/>
      <c r="C82" s="2378"/>
      <c r="D82" s="2378"/>
      <c r="E82" s="2380"/>
      <c r="F82" s="2496"/>
      <c r="G82" s="2441" t="str">
        <f>IFERROR(HYPERLINK("https://logistics.amazon.co.jp/operations/execution/itineraries?cortexv2=true&amp;operationView=true&amp;progressStatusFilterValue&amp;providerFilter=ALL_DPS&amp;selectedDay=today&amp;serviceAreaId="&amp;VLOOKUP($B82,'[1]DS ID'!B:D,4,FALSE),$G$1),"")</f>
        <v/>
      </c>
      <c r="H82" s="2441" t="str">
        <f>IFERROR(HYPERLINK("https://logistics.amazon.co.jp/internal/capacity/rosterview?serviceAreaId="&amp;VLOOKUP($B82,'[1]DS ID'!B:D,4,FALSE),$H$1),"")</f>
        <v/>
      </c>
      <c r="I82" s="2418" t="str">
        <f>IFERROR(HYPERLINK("https://logistics.amazon.co.jp/internal/scheduling/dsps?serviceAreaId="&amp;VLOOKUP($B82,'[1]DS ID'!B:D,4,FALSE),$I$1),"")</f>
        <v/>
      </c>
      <c r="J82" s="2418"/>
      <c r="K82" s="2418"/>
      <c r="L82" s="2397"/>
      <c r="M82" s="2431"/>
      <c r="N82" s="2378"/>
    </row>
    <row r="83" spans="1:14" x14ac:dyDescent="0.4">
      <c r="A83" s="2394"/>
      <c r="B83" s="2378"/>
      <c r="C83" s="2378"/>
      <c r="D83" s="2378"/>
      <c r="E83" s="2380"/>
      <c r="F83" s="2496"/>
      <c r="G83" s="2441" t="str">
        <f>IFERROR(HYPERLINK("https://logistics.amazon.co.jp/operations/execution/itineraries?cortexv2=true&amp;operationView=true&amp;progressStatusFilterValue&amp;providerFilter=ALL_DPS&amp;selectedDay=today&amp;serviceAreaId="&amp;VLOOKUP($B83,'[1]DS ID'!B:D,4,FALSE),$G$1),"")</f>
        <v/>
      </c>
      <c r="H83" s="2441" t="str">
        <f>IFERROR(HYPERLINK("https://logistics.amazon.co.jp/internal/capacity/rosterview?serviceAreaId="&amp;VLOOKUP($B83,'[1]DS ID'!B:D,4,FALSE),$H$1),"")</f>
        <v/>
      </c>
      <c r="I83" s="2418" t="str">
        <f>IFERROR(HYPERLINK("https://logistics.amazon.co.jp/internal/scheduling/dsps?serviceAreaId="&amp;VLOOKUP($B83,'[1]DS ID'!B:D,4,FALSE),$I$1),"")</f>
        <v/>
      </c>
      <c r="J83" s="2418"/>
      <c r="K83" s="2418"/>
      <c r="L83" s="2397"/>
      <c r="M83" s="2431"/>
      <c r="N83" s="2378"/>
    </row>
    <row r="84" spans="1:14" x14ac:dyDescent="0.4">
      <c r="A84" s="2394"/>
      <c r="B84" s="2378"/>
      <c r="C84" s="2378"/>
      <c r="D84" s="2378"/>
      <c r="E84" s="2380"/>
      <c r="F84" s="2496"/>
      <c r="G84" s="2441" t="str">
        <f>IFERROR(HYPERLINK("https://logistics.amazon.co.jp/operations/execution/itineraries?cortexv2=true&amp;operationView=true&amp;progressStatusFilterValue&amp;providerFilter=ALL_DPS&amp;selectedDay=today&amp;serviceAreaId="&amp;VLOOKUP($B84,'[1]DS ID'!B:D,4,FALSE),$G$1),"")</f>
        <v/>
      </c>
      <c r="H84" s="2441" t="str">
        <f>IFERROR(HYPERLINK("https://logistics.amazon.co.jp/internal/capacity/rosterview?serviceAreaId="&amp;VLOOKUP($B84,'[1]DS ID'!B:D,4,FALSE),$H$1),"")</f>
        <v/>
      </c>
      <c r="I84" s="2418" t="str">
        <f>IFERROR(HYPERLINK("https://logistics.amazon.co.jp/internal/scheduling/dsps?serviceAreaId="&amp;VLOOKUP($B84,'[1]DS ID'!B:D,4,FALSE),$I$1),"")</f>
        <v/>
      </c>
      <c r="J84" s="2418"/>
      <c r="K84" s="2418"/>
      <c r="L84" s="2397"/>
      <c r="M84" s="2431"/>
      <c r="N84" s="2378"/>
    </row>
    <row r="85" spans="1:14" x14ac:dyDescent="0.4">
      <c r="A85" s="2394"/>
      <c r="B85" s="2378"/>
      <c r="C85" s="2378"/>
      <c r="D85" s="2378"/>
      <c r="E85" s="2380"/>
      <c r="F85" s="2496"/>
      <c r="G85" s="2441" t="str">
        <f>IFERROR(HYPERLINK("https://logistics.amazon.co.jp/operations/execution/itineraries?cortexv2=true&amp;operationView=true&amp;progressStatusFilterValue&amp;providerFilter=ALL_DPS&amp;selectedDay=today&amp;serviceAreaId="&amp;VLOOKUP($B85,'[1]DS ID'!B:D,4,FALSE),$G$1),"")</f>
        <v/>
      </c>
      <c r="H85" s="2441" t="str">
        <f>IFERROR(HYPERLINK("https://logistics.amazon.co.jp/internal/capacity/rosterview?serviceAreaId="&amp;VLOOKUP($B85,'[1]DS ID'!B:D,4,FALSE),$H$1),"")</f>
        <v/>
      </c>
      <c r="I85" s="2418" t="str">
        <f>IFERROR(HYPERLINK("https://logistics.amazon.co.jp/internal/scheduling/dsps?serviceAreaId="&amp;VLOOKUP($B85,'[1]DS ID'!B:D,4,FALSE),$I$1),"")</f>
        <v/>
      </c>
      <c r="J85" s="2418"/>
      <c r="K85" s="2418"/>
      <c r="L85" s="2397"/>
      <c r="M85" s="2431"/>
      <c r="N85" s="2378"/>
    </row>
    <row r="86" spans="1:14" x14ac:dyDescent="0.4">
      <c r="A86" s="2394"/>
      <c r="B86" s="2394"/>
      <c r="C86" s="2394"/>
      <c r="D86" s="2394"/>
      <c r="E86" s="2396"/>
      <c r="F86" s="2389"/>
      <c r="G86" s="2441" t="str">
        <f>IFERROR(HYPERLINK("https://logistics.amazon.co.jp/operations/execution/itineraries?cortexv2=true&amp;operationView=true&amp;progressStatusFilterValue&amp;providerFilter=ALL_DPS&amp;selectedDay=today&amp;serviceAreaId="&amp;VLOOKUP($B86,'[1]DS ID'!B:D,4,FALSE),$G$1),"")</f>
        <v/>
      </c>
      <c r="H86" s="2441" t="str">
        <f>IFERROR(HYPERLINK("https://logistics.amazon.co.jp/internal/capacity/rosterview?serviceAreaId="&amp;VLOOKUP($B86,'[1]DS ID'!B:D,4,FALSE),$H$1),"")</f>
        <v/>
      </c>
      <c r="I86" s="2418" t="str">
        <f>IFERROR(HYPERLINK("https://logistics.amazon.co.jp/internal/scheduling/dsps?serviceAreaId="&amp;VLOOKUP($B86,'[1]DS ID'!B:D,4,FALSE),$I$1),"")</f>
        <v/>
      </c>
      <c r="J86" s="2418"/>
      <c r="K86" s="2418"/>
      <c r="L86" s="2405"/>
      <c r="M86" s="2395"/>
      <c r="N86" s="2378"/>
    </row>
    <row r="87" spans="1:14" x14ac:dyDescent="0.4">
      <c r="A87" s="2394"/>
      <c r="B87" s="2394"/>
      <c r="C87" s="2394"/>
      <c r="D87" s="2394"/>
      <c r="E87" s="2396"/>
      <c r="F87" s="2389"/>
      <c r="G87" s="2441" t="str">
        <f>IFERROR(HYPERLINK("https://logistics.amazon.co.jp/operations/execution/itineraries?cortexv2=true&amp;operationView=true&amp;progressStatusFilterValue&amp;providerFilter=ALL_DPS&amp;selectedDay=today&amp;serviceAreaId="&amp;VLOOKUP($B87,'[1]DS ID'!B:D,4,FALSE),$G$1),"")</f>
        <v/>
      </c>
      <c r="H87" s="2441" t="str">
        <f>IFERROR(HYPERLINK("https://logistics.amazon.co.jp/internal/capacity/rosterview?serviceAreaId="&amp;VLOOKUP($B87,'[1]DS ID'!B:D,4,FALSE),$H$1),"")</f>
        <v/>
      </c>
      <c r="I87" s="2418" t="str">
        <f>IFERROR(HYPERLINK("https://logistics.amazon.co.jp/internal/scheduling/dsps?serviceAreaId="&amp;VLOOKUP($B87,'[1]DS ID'!B:D,4,FALSE),$I$1),"")</f>
        <v/>
      </c>
      <c r="J87" s="2418"/>
      <c r="K87" s="2418"/>
      <c r="L87" s="2405"/>
      <c r="M87" s="2410"/>
      <c r="N87" s="2378"/>
    </row>
    <row r="88" spans="1:14" x14ac:dyDescent="0.4">
      <c r="A88" s="2394"/>
      <c r="B88" s="2394"/>
      <c r="C88" s="2394"/>
      <c r="D88" s="2394"/>
      <c r="E88" s="2396"/>
      <c r="F88" s="2389"/>
      <c r="G88" s="2441" t="str">
        <f>IFERROR(HYPERLINK("https://logistics.amazon.co.jp/operations/execution/itineraries?cortexv2=true&amp;operationView=true&amp;progressStatusFilterValue&amp;providerFilter=ALL_DPS&amp;selectedDay=today&amp;serviceAreaId="&amp;VLOOKUP($B88,'[1]DS ID'!B:D,4,FALSE),$G$1),"")</f>
        <v/>
      </c>
      <c r="H88" s="2441" t="str">
        <f>IFERROR(HYPERLINK("https://logistics.amazon.co.jp/internal/capacity/rosterview?serviceAreaId="&amp;VLOOKUP($B88,'[1]DS ID'!B:D,4,FALSE),$H$1),"")</f>
        <v/>
      </c>
      <c r="I88" s="2418" t="str">
        <f>IFERROR(HYPERLINK("https://logistics.amazon.co.jp/internal/scheduling/dsps?serviceAreaId="&amp;VLOOKUP($B88,'[1]DS ID'!B:D,4,FALSE),$I$1),"")</f>
        <v/>
      </c>
      <c r="J88" s="2418"/>
      <c r="K88" s="2418"/>
      <c r="L88" s="2405"/>
      <c r="M88" s="2395"/>
      <c r="N88" s="2378"/>
    </row>
    <row r="89" spans="1:14" x14ac:dyDescent="0.4">
      <c r="A89" s="2394"/>
      <c r="B89" s="2394"/>
      <c r="C89" s="2394"/>
      <c r="D89" s="2394"/>
      <c r="E89" s="2396"/>
      <c r="F89" s="2389"/>
      <c r="G89" s="2441" t="str">
        <f>IFERROR(HYPERLINK("https://logistics.amazon.co.jp/operations/execution/itineraries?cortexv2=true&amp;operationView=true&amp;progressStatusFilterValue&amp;providerFilter=ALL_DPS&amp;selectedDay=today&amp;serviceAreaId="&amp;VLOOKUP($B89,'[1]DS ID'!B:D,4,FALSE),$G$1),"")</f>
        <v/>
      </c>
      <c r="H89" s="2441" t="str">
        <f>IFERROR(HYPERLINK("https://logistics.amazon.co.jp/internal/capacity/rosterview?serviceAreaId="&amp;VLOOKUP($B89,'[1]DS ID'!B:D,4,FALSE),$H$1),"")</f>
        <v/>
      </c>
      <c r="I89" s="2418" t="str">
        <f>IFERROR(HYPERLINK("https://logistics.amazon.co.jp/internal/scheduling/dsps?serviceAreaId="&amp;VLOOKUP($B89,'[1]DS ID'!B:D,4,FALSE),$I$1),"")</f>
        <v/>
      </c>
      <c r="J89" s="2418"/>
      <c r="K89" s="2418"/>
      <c r="L89" s="2405"/>
      <c r="M89" s="2395"/>
      <c r="N89" s="2378"/>
    </row>
    <row r="90" spans="1:14" x14ac:dyDescent="0.4">
      <c r="A90" s="2394"/>
      <c r="B90" s="2378"/>
      <c r="C90" s="2378"/>
      <c r="D90" s="2378"/>
      <c r="E90" s="2380"/>
      <c r="F90" s="2496"/>
      <c r="G90" s="2441" t="str">
        <f>IFERROR(HYPERLINK("https://logistics.amazon.co.jp/operations/execution/itineraries?cortexv2=true&amp;operationView=true&amp;progressStatusFilterValue&amp;providerFilter=ALL_DPS&amp;selectedDay=today&amp;serviceAreaId="&amp;VLOOKUP($B90,'[1]DS ID'!B:D,4,FALSE),$G$1),"")</f>
        <v/>
      </c>
      <c r="H90" s="2441" t="str">
        <f>IFERROR(HYPERLINK("https://logistics.amazon.co.jp/internal/capacity/rosterview?serviceAreaId="&amp;VLOOKUP($B90,'[1]DS ID'!B:D,4,FALSE),$H$1),"")</f>
        <v/>
      </c>
      <c r="I90" s="2418" t="str">
        <f>IFERROR(HYPERLINK("https://logistics.amazon.co.jp/internal/scheduling/dsps?serviceAreaId="&amp;VLOOKUP($B90,'[1]DS ID'!B:D,4,FALSE),$I$1),"")</f>
        <v/>
      </c>
      <c r="J90" s="2418"/>
      <c r="K90" s="2418"/>
      <c r="L90" s="2397"/>
      <c r="M90" s="2431"/>
      <c r="N90" s="2378"/>
    </row>
    <row r="91" spans="1:14" x14ac:dyDescent="0.4">
      <c r="A91" s="2394"/>
      <c r="B91" s="2378"/>
      <c r="C91" s="2378"/>
      <c r="D91" s="2378"/>
      <c r="E91" s="2380"/>
      <c r="F91" s="2496"/>
      <c r="G91" s="2441" t="str">
        <f>IFERROR(HYPERLINK("https://logistics.amazon.co.jp/operations/execution/itineraries?cortexv2=true&amp;operationView=true&amp;progressStatusFilterValue&amp;providerFilter=ALL_DPS&amp;selectedDay=today&amp;serviceAreaId="&amp;VLOOKUP($B91,'[1]DS ID'!B:D,4,FALSE),$G$1),"")</f>
        <v/>
      </c>
      <c r="H91" s="2441" t="str">
        <f>IFERROR(HYPERLINK("https://logistics.amazon.co.jp/internal/capacity/rosterview?serviceAreaId="&amp;VLOOKUP($B91,'[1]DS ID'!B:D,4,FALSE),$H$1),"")</f>
        <v/>
      </c>
      <c r="I91" s="2418" t="str">
        <f>IFERROR(HYPERLINK("https://logistics.amazon.co.jp/internal/scheduling/dsps?serviceAreaId="&amp;VLOOKUP($B91,'[1]DS ID'!B:D,4,FALSE),$I$1),"")</f>
        <v/>
      </c>
      <c r="J91" s="2418"/>
      <c r="K91" s="2418"/>
      <c r="L91" s="2397"/>
      <c r="M91" s="2431"/>
      <c r="N91" s="2378"/>
    </row>
    <row r="92" spans="1:14" x14ac:dyDescent="0.4">
      <c r="A92" s="2394"/>
      <c r="B92" s="2378"/>
      <c r="C92" s="2378"/>
      <c r="D92" s="2378"/>
      <c r="E92" s="2380"/>
      <c r="F92" s="2496"/>
      <c r="G92" s="2441" t="str">
        <f>IFERROR(HYPERLINK("https://logistics.amazon.co.jp/operations/execution/itineraries?cortexv2=true&amp;operationView=true&amp;progressStatusFilterValue&amp;providerFilter=ALL_DPS&amp;selectedDay=today&amp;serviceAreaId="&amp;VLOOKUP($B92,'[1]DS ID'!B:D,4,FALSE),$G$1),"")</f>
        <v/>
      </c>
      <c r="H92" s="2441" t="str">
        <f>IFERROR(HYPERLINK("https://logistics.amazon.co.jp/internal/capacity/rosterview?serviceAreaId="&amp;VLOOKUP($B92,'[1]DS ID'!B:D,4,FALSE),$H$1),"")</f>
        <v/>
      </c>
      <c r="I92" s="2418" t="str">
        <f>IFERROR(HYPERLINK("https://logistics.amazon.co.jp/internal/scheduling/dsps?serviceAreaId="&amp;VLOOKUP($B92,'[1]DS ID'!B:D,4,FALSE),$I$1),"")</f>
        <v/>
      </c>
      <c r="J92" s="2418"/>
      <c r="K92" s="2418"/>
      <c r="L92" s="2397"/>
      <c r="M92" s="2431"/>
      <c r="N92" s="2378"/>
    </row>
    <row r="93" spans="1:14" x14ac:dyDescent="0.4">
      <c r="A93" s="2394"/>
      <c r="B93" s="2378"/>
      <c r="C93" s="2378"/>
      <c r="D93" s="2378"/>
      <c r="E93" s="2380"/>
      <c r="F93" s="2496"/>
      <c r="G93" s="2441" t="str">
        <f>IFERROR(HYPERLINK("https://logistics.amazon.co.jp/operations/execution/itineraries?cortexv2=true&amp;operationView=true&amp;progressStatusFilterValue&amp;providerFilter=ALL_DPS&amp;selectedDay=today&amp;serviceAreaId="&amp;VLOOKUP($B93,'[1]DS ID'!B:D,4,FALSE),$G$1),"")</f>
        <v/>
      </c>
      <c r="H93" s="2441" t="str">
        <f>IFERROR(HYPERLINK("https://logistics.amazon.co.jp/internal/capacity/rosterview?serviceAreaId="&amp;VLOOKUP($B93,'[1]DS ID'!B:D,4,FALSE),$H$1),"")</f>
        <v/>
      </c>
      <c r="I93" s="2418" t="str">
        <f>IFERROR(HYPERLINK("https://logistics.amazon.co.jp/internal/scheduling/dsps?serviceAreaId="&amp;VLOOKUP($B93,'[1]DS ID'!B:D,4,FALSE),$I$1),"")</f>
        <v/>
      </c>
      <c r="J93" s="2418"/>
      <c r="K93" s="2418"/>
      <c r="L93" s="2397"/>
      <c r="M93" s="2431"/>
      <c r="N93" s="2378"/>
    </row>
    <row r="94" spans="1:14" x14ac:dyDescent="0.4">
      <c r="A94" s="2394"/>
      <c r="B94" s="2378"/>
      <c r="C94" s="2378"/>
      <c r="D94" s="2378"/>
      <c r="E94" s="2380"/>
      <c r="F94" s="2496"/>
      <c r="G94" s="2441" t="str">
        <f>IFERROR(HYPERLINK("https://logistics.amazon.co.jp/operations/execution/itineraries?cortexv2=true&amp;operationView=true&amp;progressStatusFilterValue&amp;providerFilter=ALL_DPS&amp;selectedDay=today&amp;serviceAreaId="&amp;VLOOKUP($B94,'[1]DS ID'!B:D,4,FALSE),$G$1),"")</f>
        <v/>
      </c>
      <c r="H94" s="2441" t="str">
        <f>IFERROR(HYPERLINK("https://logistics.amazon.co.jp/internal/capacity/rosterview?serviceAreaId="&amp;VLOOKUP($B94,'[1]DS ID'!B:D,4,FALSE),$H$1),"")</f>
        <v/>
      </c>
      <c r="I94" s="2418" t="str">
        <f>IFERROR(HYPERLINK("https://logistics.amazon.co.jp/internal/scheduling/dsps?serviceAreaId="&amp;VLOOKUP($B94,'[1]DS ID'!B:D,4,FALSE),$I$1),"")</f>
        <v/>
      </c>
      <c r="J94" s="2418"/>
      <c r="K94" s="2418"/>
      <c r="L94" s="2397"/>
      <c r="M94" s="2431"/>
      <c r="N94" s="2378"/>
    </row>
    <row r="95" spans="1:14" x14ac:dyDescent="0.4">
      <c r="A95" s="2394"/>
      <c r="B95" s="2378"/>
      <c r="C95" s="2378"/>
      <c r="D95" s="2378"/>
      <c r="E95" s="2380"/>
      <c r="F95" s="2496"/>
      <c r="G95" s="2441" t="str">
        <f>IFERROR(HYPERLINK("https://logistics.amazon.co.jp/operations/execution/itineraries?cortexv2=true&amp;operationView=true&amp;progressStatusFilterValue&amp;providerFilter=ALL_DPS&amp;selectedDay=today&amp;serviceAreaId="&amp;VLOOKUP($B95,'[1]DS ID'!B:D,4,FALSE),$G$1),"")</f>
        <v/>
      </c>
      <c r="H95" s="2441" t="str">
        <f>IFERROR(HYPERLINK("https://logistics.amazon.co.jp/internal/capacity/rosterview?serviceAreaId="&amp;VLOOKUP($B95,'[1]DS ID'!B:D,4,FALSE),$H$1),"")</f>
        <v/>
      </c>
      <c r="I95" s="2418" t="str">
        <f>IFERROR(HYPERLINK("https://logistics.amazon.co.jp/internal/scheduling/dsps?serviceAreaId="&amp;VLOOKUP($B95,'[1]DS ID'!B:D,4,FALSE),$I$1),"")</f>
        <v/>
      </c>
      <c r="J95" s="2418"/>
      <c r="K95" s="2418"/>
      <c r="L95" s="2397"/>
      <c r="M95" s="2431"/>
      <c r="N95" s="2378"/>
    </row>
    <row r="96" spans="1:14" x14ac:dyDescent="0.4">
      <c r="A96" s="2394"/>
      <c r="B96" s="2378"/>
      <c r="C96" s="2378"/>
      <c r="D96" s="2378"/>
      <c r="E96" s="2380"/>
      <c r="F96" s="2496"/>
      <c r="G96" s="2441" t="str">
        <f>IFERROR(HYPERLINK("https://logistics.amazon.co.jp/operations/execution/itineraries?cortexv2=true&amp;operationView=true&amp;progressStatusFilterValue&amp;providerFilter=ALL_DPS&amp;selectedDay=today&amp;serviceAreaId="&amp;VLOOKUP($B96,'[1]DS ID'!B:D,4,FALSE),$G$1),"")</f>
        <v/>
      </c>
      <c r="H96" s="2441" t="str">
        <f>IFERROR(HYPERLINK("https://logistics.amazon.co.jp/internal/capacity/rosterview?serviceAreaId="&amp;VLOOKUP($B96,'[1]DS ID'!B:D,4,FALSE),$H$1),"")</f>
        <v/>
      </c>
      <c r="I96" s="2418" t="str">
        <f>IFERROR(HYPERLINK("https://logistics.amazon.co.jp/internal/scheduling/dsps?serviceAreaId="&amp;VLOOKUP($B96,'[1]DS ID'!B:D,4,FALSE),$I$1),"")</f>
        <v/>
      </c>
      <c r="J96" s="2418"/>
      <c r="K96" s="2418"/>
      <c r="L96" s="2397"/>
      <c r="M96" s="2431"/>
      <c r="N96" s="2378"/>
    </row>
    <row r="97" spans="1:14" x14ac:dyDescent="0.4">
      <c r="A97" s="2394"/>
      <c r="B97" s="2378"/>
      <c r="C97" s="2378"/>
      <c r="D97" s="2378"/>
      <c r="E97" s="2380"/>
      <c r="F97" s="2496"/>
      <c r="G97" s="2441" t="str">
        <f>IFERROR(HYPERLINK("https://logistics.amazon.co.jp/operations/execution/itineraries?cortexv2=true&amp;operationView=true&amp;progressStatusFilterValue&amp;providerFilter=ALL_DPS&amp;selectedDay=today&amp;serviceAreaId="&amp;VLOOKUP($B97,'[1]DS ID'!B:D,4,FALSE),$G$1),"")</f>
        <v/>
      </c>
      <c r="H97" s="2441" t="str">
        <f>IFERROR(HYPERLINK("https://logistics.amazon.co.jp/internal/capacity/rosterview?serviceAreaId="&amp;VLOOKUP($B97,'[1]DS ID'!B:D,4,FALSE),$H$1),"")</f>
        <v/>
      </c>
      <c r="I97" s="2418" t="str">
        <f>IFERROR(HYPERLINK("https://logistics.amazon.co.jp/internal/scheduling/dsps?serviceAreaId="&amp;VLOOKUP($B97,'[1]DS ID'!B:D,4,FALSE),$I$1),"")</f>
        <v/>
      </c>
      <c r="J97" s="2418"/>
      <c r="K97" s="2418"/>
      <c r="L97" s="2397"/>
      <c r="M97" s="2431"/>
      <c r="N97" s="2378"/>
    </row>
    <row r="98" spans="1:14" x14ac:dyDescent="0.4">
      <c r="A98" s="2394"/>
      <c r="B98" s="2378"/>
      <c r="C98" s="2378"/>
      <c r="D98" s="2378"/>
      <c r="E98" s="2380"/>
      <c r="F98" s="2496"/>
      <c r="G98" s="2441" t="str">
        <f>IFERROR(HYPERLINK("https://logistics.amazon.co.jp/operations/execution/itineraries?cortexv2=true&amp;operationView=true&amp;progressStatusFilterValue&amp;providerFilter=ALL_DPS&amp;selectedDay=today&amp;serviceAreaId="&amp;VLOOKUP($B98,'[1]DS ID'!B:D,4,FALSE),$G$1),"")</f>
        <v/>
      </c>
      <c r="H98" s="2441" t="str">
        <f>IFERROR(HYPERLINK("https://logistics.amazon.co.jp/internal/capacity/rosterview?serviceAreaId="&amp;VLOOKUP($B98,'[1]DS ID'!B:D,4,FALSE),$H$1),"")</f>
        <v/>
      </c>
      <c r="I98" s="2418" t="str">
        <f>IFERROR(HYPERLINK("https://logistics.amazon.co.jp/internal/scheduling/dsps?serviceAreaId="&amp;VLOOKUP($B98,'[1]DS ID'!B:D,4,FALSE),$I$1),"")</f>
        <v/>
      </c>
      <c r="J98" s="2418"/>
      <c r="K98" s="2418"/>
      <c r="L98" s="2397"/>
      <c r="M98" s="2431"/>
      <c r="N98" s="2378"/>
    </row>
    <row r="99" spans="1:14" x14ac:dyDescent="0.4">
      <c r="A99" s="2394"/>
      <c r="B99" s="2378"/>
      <c r="C99" s="2378"/>
      <c r="D99" s="2378"/>
      <c r="E99" s="2380"/>
      <c r="F99" s="2496"/>
      <c r="G99" s="2441" t="str">
        <f>IFERROR(HYPERLINK("https://logistics.amazon.co.jp/operations/execution/itineraries?cortexv2=true&amp;operationView=true&amp;progressStatusFilterValue&amp;providerFilter=ALL_DPS&amp;selectedDay=today&amp;serviceAreaId="&amp;VLOOKUP($B99,'[1]DS ID'!B:D,4,FALSE),$G$1),"")</f>
        <v/>
      </c>
      <c r="H99" s="2441" t="str">
        <f>IFERROR(HYPERLINK("https://logistics.amazon.co.jp/internal/capacity/rosterview?serviceAreaId="&amp;VLOOKUP($B99,'[1]DS ID'!B:D,4,FALSE),$H$1),"")</f>
        <v/>
      </c>
      <c r="I99" s="2418" t="str">
        <f>IFERROR(HYPERLINK("https://logistics.amazon.co.jp/internal/scheduling/dsps?serviceAreaId="&amp;VLOOKUP($B99,'[1]DS ID'!B:D,4,FALSE),$I$1),"")</f>
        <v/>
      </c>
      <c r="J99" s="2418"/>
      <c r="K99" s="2418"/>
      <c r="L99" s="2397"/>
      <c r="M99" s="2431"/>
      <c r="N99" s="2378"/>
    </row>
    <row r="100" spans="1:14" x14ac:dyDescent="0.4">
      <c r="A100" s="2394"/>
      <c r="B100" s="2378"/>
      <c r="C100" s="2378"/>
      <c r="D100" s="2378"/>
      <c r="E100" s="2380"/>
      <c r="F100" s="2496"/>
      <c r="G100" s="2441" t="str">
        <f>IFERROR(HYPERLINK("https://logistics.amazon.co.jp/operations/execution/itineraries?cortexv2=true&amp;operationView=true&amp;progressStatusFilterValue&amp;providerFilter=ALL_DPS&amp;selectedDay=today&amp;serviceAreaId="&amp;VLOOKUP($B100,'[1]DS ID'!B:D,4,FALSE),$G$1),"")</f>
        <v/>
      </c>
      <c r="H100" s="2441" t="str">
        <f>IFERROR(HYPERLINK("https://logistics.amazon.co.jp/internal/capacity/rosterview?serviceAreaId="&amp;VLOOKUP($B100,'[1]DS ID'!B:D,4,FALSE),$H$1),"")</f>
        <v/>
      </c>
      <c r="I100" s="2418" t="str">
        <f>IFERROR(HYPERLINK("https://logistics.amazon.co.jp/internal/scheduling/dsps?serviceAreaId="&amp;VLOOKUP($B100,'[1]DS ID'!B:D,4,FALSE),$I$1),"")</f>
        <v/>
      </c>
      <c r="J100" s="2418"/>
      <c r="K100" s="2418"/>
      <c r="L100" s="2397"/>
      <c r="M100" s="2431"/>
      <c r="N100" s="2378"/>
    </row>
    <row r="101" spans="1:14" x14ac:dyDescent="0.4">
      <c r="A101" s="2394"/>
      <c r="B101" s="2394"/>
      <c r="C101" s="2394"/>
      <c r="D101" s="2394"/>
      <c r="E101" s="2396"/>
      <c r="F101" s="2389"/>
      <c r="G101" s="2441" t="str">
        <f>IFERROR(HYPERLINK("https://logistics.amazon.co.jp/operations/execution/itineraries?cortexv2=true&amp;operationView=true&amp;progressStatusFilterValue&amp;providerFilter=ALL_DPS&amp;selectedDay=today&amp;serviceAreaId="&amp;VLOOKUP($B101,'[1]DS ID'!B:D,4,FALSE),$G$1),"")</f>
        <v/>
      </c>
      <c r="H101" s="2441" t="str">
        <f>IFERROR(HYPERLINK("https://logistics.amazon.co.jp/internal/capacity/rosterview?serviceAreaId="&amp;VLOOKUP($B101,'[1]DS ID'!B:D,4,FALSE),$H$1),"")</f>
        <v/>
      </c>
      <c r="I101" s="2418" t="str">
        <f>IFERROR(HYPERLINK("https://logistics.amazon.co.jp/internal/scheduling/dsps?serviceAreaId="&amp;VLOOKUP($B101,'[1]DS ID'!B:D,4,FALSE),$I$1),"")</f>
        <v/>
      </c>
      <c r="J101" s="2418"/>
      <c r="K101" s="2418"/>
      <c r="L101" s="2405"/>
      <c r="M101" s="2395"/>
      <c r="N101" s="2378"/>
    </row>
    <row r="102" spans="1:14" x14ac:dyDescent="0.4">
      <c r="A102" s="2388"/>
      <c r="B102" s="2388"/>
      <c r="C102" s="2388"/>
      <c r="D102" s="2388"/>
      <c r="E102" s="2390"/>
      <c r="F102" s="2389"/>
      <c r="G102" s="2441" t="str">
        <f>IFERROR(HYPERLINK("https://logistics.amazon.co.jp/operations/execution/itineraries?cortexv2=true&amp;operationView=true&amp;progressStatusFilterValue&amp;providerFilter=ALL_DPS&amp;selectedDay=today&amp;serviceAreaId="&amp;VLOOKUP($B102,'[1]DS ID'!B:D,4,FALSE),$G$1),"")</f>
        <v/>
      </c>
      <c r="H102" s="2441" t="str">
        <f>IFERROR(HYPERLINK("https://logistics.amazon.co.jp/internal/capacity/rosterview?serviceAreaId="&amp;VLOOKUP($B102,'[1]DS ID'!B:D,4,FALSE),$H$1),"")</f>
        <v/>
      </c>
      <c r="I102" s="2418" t="str">
        <f>IFERROR(HYPERLINK("https://logistics.amazon.co.jp/internal/scheduling/dsps?serviceAreaId="&amp;VLOOKUP($B102,'[1]DS ID'!B:D,4,FALSE),$I$1),"")</f>
        <v/>
      </c>
      <c r="J102" s="2418"/>
      <c r="K102" s="2418"/>
      <c r="L102" s="2391"/>
      <c r="M102" s="2395"/>
      <c r="N102" s="2378"/>
    </row>
    <row r="103" spans="1:14" x14ac:dyDescent="0.4">
      <c r="A103" s="2388"/>
      <c r="B103" s="2388"/>
      <c r="C103" s="2388"/>
      <c r="D103" s="2388"/>
      <c r="E103" s="2390"/>
      <c r="F103" s="2389"/>
      <c r="G103" s="2441" t="str">
        <f>IFERROR(HYPERLINK("https://logistics.amazon.co.jp/operations/execution/itineraries?cortexv2=true&amp;operationView=true&amp;progressStatusFilterValue&amp;providerFilter=ALL_DPS&amp;selectedDay=today&amp;serviceAreaId="&amp;VLOOKUP($B103,'[1]DS ID'!B:D,4,FALSE),$G$1),"")</f>
        <v/>
      </c>
      <c r="H103" s="2441" t="str">
        <f>IFERROR(HYPERLINK("https://logistics.amazon.co.jp/internal/capacity/rosterview?serviceAreaId="&amp;VLOOKUP($B103,'[1]DS ID'!B:D,4,FALSE),$H$1),"")</f>
        <v/>
      </c>
      <c r="I103" s="2418" t="str">
        <f>IFERROR(HYPERLINK("https://logistics.amazon.co.jp/internal/scheduling/dsps?serviceAreaId="&amp;VLOOKUP($B103,'[1]DS ID'!B:D,4,FALSE),$I$1),"")</f>
        <v/>
      </c>
      <c r="J103" s="2418"/>
      <c r="K103" s="2418"/>
      <c r="L103" s="2391"/>
      <c r="M103" s="2395"/>
      <c r="N103" s="2378"/>
    </row>
    <row r="104" spans="1:14" x14ac:dyDescent="0.4">
      <c r="A104" s="2388"/>
      <c r="B104" s="2388"/>
      <c r="C104" s="2388"/>
      <c r="D104" s="2388"/>
      <c r="E104" s="2390"/>
      <c r="F104" s="2389"/>
      <c r="G104" s="2441" t="str">
        <f>IFERROR(HYPERLINK("https://logistics.amazon.co.jp/operations/execution/itineraries?cortexv2=true&amp;operationView=true&amp;progressStatusFilterValue&amp;providerFilter=ALL_DPS&amp;selectedDay=today&amp;serviceAreaId="&amp;VLOOKUP($B104,'[1]DS ID'!B:D,4,FALSE),$G$1),"")</f>
        <v/>
      </c>
      <c r="H104" s="2441" t="str">
        <f>IFERROR(HYPERLINK("https://logistics.amazon.co.jp/internal/capacity/rosterview?serviceAreaId="&amp;VLOOKUP($B104,'[1]DS ID'!B:D,4,FALSE),$H$1),"")</f>
        <v/>
      </c>
      <c r="I104" s="2418" t="str">
        <f>IFERROR(HYPERLINK("https://logistics.amazon.co.jp/internal/scheduling/dsps?serviceAreaId="&amp;VLOOKUP($B104,'[1]DS ID'!B:D,4,FALSE),$I$1),"")</f>
        <v/>
      </c>
      <c r="J104" s="2418"/>
      <c r="K104" s="2418"/>
      <c r="L104" s="2391"/>
      <c r="M104" s="2395"/>
      <c r="N104" s="2378"/>
    </row>
    <row r="105" spans="1:14" x14ac:dyDescent="0.4">
      <c r="A105" s="2388"/>
      <c r="B105" s="2388"/>
      <c r="C105" s="2388"/>
      <c r="D105" s="2388"/>
      <c r="E105" s="2390"/>
      <c r="F105" s="2389"/>
      <c r="G105" s="2441" t="str">
        <f>IFERROR(HYPERLINK("https://logistics.amazon.co.jp/operations/execution/itineraries?cortexv2=true&amp;operationView=true&amp;progressStatusFilterValue&amp;providerFilter=ALL_DPS&amp;selectedDay=today&amp;serviceAreaId="&amp;VLOOKUP($B105,'[1]DS ID'!B:D,4,FALSE),$G$1),"")</f>
        <v/>
      </c>
      <c r="H105" s="2441" t="str">
        <f>IFERROR(HYPERLINK("https://logistics.amazon.co.jp/internal/capacity/rosterview?serviceAreaId="&amp;VLOOKUP($B105,'[1]DS ID'!B:D,4,FALSE),$H$1),"")</f>
        <v/>
      </c>
      <c r="I105" s="2418" t="str">
        <f>IFERROR(HYPERLINK("https://logistics.amazon.co.jp/internal/scheduling/dsps?serviceAreaId="&amp;VLOOKUP($B105,'[1]DS ID'!B:D,4,FALSE),$I$1),"")</f>
        <v/>
      </c>
      <c r="J105" s="2418"/>
      <c r="K105" s="2418"/>
      <c r="L105" s="2391"/>
      <c r="M105" s="2395"/>
      <c r="N105" s="2378"/>
    </row>
    <row r="106" spans="1:14" x14ac:dyDescent="0.4">
      <c r="A106" s="2394"/>
      <c r="B106" s="2378"/>
      <c r="C106" s="2378"/>
      <c r="D106" s="2378"/>
      <c r="E106" s="2380"/>
      <c r="F106" s="2496"/>
      <c r="G106" s="2441" t="str">
        <f>IFERROR(HYPERLINK("https://logistics.amazon.co.jp/operations/execution/itineraries?cortexv2=true&amp;operationView=true&amp;progressStatusFilterValue&amp;providerFilter=ALL_DPS&amp;selectedDay=today&amp;serviceAreaId="&amp;VLOOKUP($B106,'[1]DS ID'!B:D,4,FALSE),$G$1),"")</f>
        <v/>
      </c>
      <c r="H106" s="2441" t="str">
        <f>IFERROR(HYPERLINK("https://logistics.amazon.co.jp/internal/capacity/rosterview?serviceAreaId="&amp;VLOOKUP($B106,'[1]DS ID'!B:D,4,FALSE),$H$1),"")</f>
        <v/>
      </c>
      <c r="I106" s="2418" t="str">
        <f>IFERROR(HYPERLINK("https://logistics.amazon.co.jp/internal/scheduling/dsps?serviceAreaId="&amp;VLOOKUP($B106,'[1]DS ID'!B:D,4,FALSE),$I$1),"")</f>
        <v/>
      </c>
      <c r="J106" s="2418"/>
      <c r="K106" s="2418"/>
      <c r="L106" s="2397"/>
      <c r="M106" s="2431"/>
      <c r="N106" s="2378"/>
    </row>
    <row r="107" spans="1:14" x14ac:dyDescent="0.4">
      <c r="A107" s="2394"/>
      <c r="B107" s="2378"/>
      <c r="C107" s="2378"/>
      <c r="D107" s="2378"/>
      <c r="E107" s="2380"/>
      <c r="F107" s="2496"/>
      <c r="G107" s="2441" t="str">
        <f>IFERROR(HYPERLINK("https://logistics.amazon.co.jp/operations/execution/itineraries?cortexv2=true&amp;operationView=true&amp;progressStatusFilterValue&amp;providerFilter=ALL_DPS&amp;selectedDay=today&amp;serviceAreaId="&amp;VLOOKUP($B107,'[1]DS ID'!B:D,4,FALSE),$G$1),"")</f>
        <v/>
      </c>
      <c r="H107" s="2441" t="str">
        <f>IFERROR(HYPERLINK("https://logistics.amazon.co.jp/internal/capacity/rosterview?serviceAreaId="&amp;VLOOKUP($B107,'[1]DS ID'!B:D,4,FALSE),$H$1),"")</f>
        <v/>
      </c>
      <c r="I107" s="2418" t="str">
        <f>IFERROR(HYPERLINK("https://logistics.amazon.co.jp/internal/scheduling/dsps?serviceAreaId="&amp;VLOOKUP($B107,'[1]DS ID'!B:D,4,FALSE),$I$1),"")</f>
        <v/>
      </c>
      <c r="J107" s="2418"/>
      <c r="K107" s="2418"/>
      <c r="L107" s="2397"/>
      <c r="M107" s="2431"/>
      <c r="N107" s="2378"/>
    </row>
    <row r="108" spans="1:14" x14ac:dyDescent="0.4">
      <c r="A108" s="2394"/>
      <c r="B108" s="2378"/>
      <c r="C108" s="2378"/>
      <c r="D108" s="2378"/>
      <c r="E108" s="2380"/>
      <c r="F108" s="2496"/>
      <c r="G108" s="2441" t="str">
        <f>IFERROR(HYPERLINK("https://logistics.amazon.co.jp/operations/execution/itineraries?cortexv2=true&amp;operationView=true&amp;progressStatusFilterValue&amp;providerFilter=ALL_DPS&amp;selectedDay=today&amp;serviceAreaId="&amp;VLOOKUP($B108,'[1]DS ID'!B:D,4,FALSE),$G$1),"")</f>
        <v/>
      </c>
      <c r="H108" s="2441" t="str">
        <f>IFERROR(HYPERLINK("https://logistics.amazon.co.jp/internal/capacity/rosterview?serviceAreaId="&amp;VLOOKUP($B108,'[1]DS ID'!B:D,4,FALSE),$H$1),"")</f>
        <v/>
      </c>
      <c r="I108" s="2418" t="str">
        <f>IFERROR(HYPERLINK("https://logistics.amazon.co.jp/internal/scheduling/dsps?serviceAreaId="&amp;VLOOKUP($B108,'[1]DS ID'!B:D,4,FALSE),$I$1),"")</f>
        <v/>
      </c>
      <c r="J108" s="2418"/>
      <c r="K108" s="2418"/>
      <c r="L108" s="2397"/>
      <c r="M108" s="2431"/>
      <c r="N108" s="2378"/>
    </row>
    <row r="109" spans="1:14" x14ac:dyDescent="0.4">
      <c r="A109" s="2394"/>
      <c r="B109" s="2378"/>
      <c r="C109" s="2378"/>
      <c r="D109" s="2378"/>
      <c r="E109" s="2380"/>
      <c r="F109" s="2496"/>
      <c r="G109" s="2441" t="str">
        <f>IFERROR(HYPERLINK("https://logistics.amazon.co.jp/operations/execution/itineraries?cortexv2=true&amp;operationView=true&amp;progressStatusFilterValue&amp;providerFilter=ALL_DPS&amp;selectedDay=today&amp;serviceAreaId="&amp;VLOOKUP($B109,'[1]DS ID'!B:D,4,FALSE),$G$1),"")</f>
        <v/>
      </c>
      <c r="H109" s="2441" t="str">
        <f>IFERROR(HYPERLINK("https://logistics.amazon.co.jp/internal/capacity/rosterview?serviceAreaId="&amp;VLOOKUP($B109,'[1]DS ID'!B:D,4,FALSE),$H$1),"")</f>
        <v/>
      </c>
      <c r="I109" s="2418" t="str">
        <f>IFERROR(HYPERLINK("https://logistics.amazon.co.jp/internal/scheduling/dsps?serviceAreaId="&amp;VLOOKUP($B109,'[1]DS ID'!B:D,4,FALSE),$I$1),"")</f>
        <v/>
      </c>
      <c r="J109" s="2418"/>
      <c r="K109" s="2418"/>
      <c r="L109" s="2397"/>
      <c r="M109" s="2431"/>
      <c r="N109" s="2378"/>
    </row>
    <row r="110" spans="1:14" x14ac:dyDescent="0.4">
      <c r="A110" s="2394"/>
      <c r="B110" s="2378"/>
      <c r="C110" s="2378"/>
      <c r="D110" s="2378"/>
      <c r="E110" s="2380"/>
      <c r="F110" s="2496"/>
      <c r="G110" s="2441" t="str">
        <f>IFERROR(HYPERLINK("https://logistics.amazon.co.jp/operations/execution/itineraries?cortexv2=true&amp;operationView=true&amp;progressStatusFilterValue&amp;providerFilter=ALL_DPS&amp;selectedDay=today&amp;serviceAreaId="&amp;VLOOKUP($B110,'[1]DS ID'!B:D,4,FALSE),$G$1),"")</f>
        <v/>
      </c>
      <c r="H110" s="2441" t="str">
        <f>IFERROR(HYPERLINK("https://logistics.amazon.co.jp/internal/capacity/rosterview?serviceAreaId="&amp;VLOOKUP($B110,'[1]DS ID'!B:D,4,FALSE),$H$1),"")</f>
        <v/>
      </c>
      <c r="I110" s="2418" t="str">
        <f>IFERROR(HYPERLINK("https://logistics.amazon.co.jp/internal/scheduling/dsps?serviceAreaId="&amp;VLOOKUP($B110,'[1]DS ID'!B:D,4,FALSE),$I$1),"")</f>
        <v/>
      </c>
      <c r="J110" s="2418"/>
      <c r="K110" s="2418"/>
      <c r="L110" s="2397"/>
      <c r="M110" s="2431"/>
      <c r="N110" s="2378"/>
    </row>
    <row r="111" spans="1:14" x14ac:dyDescent="0.4">
      <c r="A111" s="2394"/>
      <c r="B111" s="2378"/>
      <c r="C111" s="2378"/>
      <c r="D111" s="2378"/>
      <c r="E111" s="2380"/>
      <c r="F111" s="2496"/>
      <c r="G111" s="2441" t="str">
        <f>IFERROR(HYPERLINK("https://logistics.amazon.co.jp/operations/execution/itineraries?cortexv2=true&amp;operationView=true&amp;progressStatusFilterValue&amp;providerFilter=ALL_DPS&amp;selectedDay=today&amp;serviceAreaId="&amp;VLOOKUP($B111,'[1]DS ID'!B:D,4,FALSE),$G$1),"")</f>
        <v/>
      </c>
      <c r="H111" s="2441" t="str">
        <f>IFERROR(HYPERLINK("https://logistics.amazon.co.jp/internal/capacity/rosterview?serviceAreaId="&amp;VLOOKUP($B111,'[1]DS ID'!B:D,4,FALSE),$H$1),"")</f>
        <v/>
      </c>
      <c r="I111" s="2418" t="str">
        <f>IFERROR(HYPERLINK("https://logistics.amazon.co.jp/internal/scheduling/dsps?serviceAreaId="&amp;VLOOKUP($B111,'[1]DS ID'!B:D,4,FALSE),$I$1),"")</f>
        <v/>
      </c>
      <c r="J111" s="2418"/>
      <c r="K111" s="2418"/>
      <c r="L111" s="2397"/>
      <c r="M111" s="2431"/>
      <c r="N111" s="2378"/>
    </row>
    <row r="112" spans="1:14" x14ac:dyDescent="0.4">
      <c r="A112" s="2394"/>
      <c r="B112" s="2378"/>
      <c r="C112" s="2378"/>
      <c r="D112" s="2378"/>
      <c r="E112" s="2380"/>
      <c r="F112" s="2496"/>
      <c r="G112" s="2441" t="str">
        <f>IFERROR(HYPERLINK("https://logistics.amazon.co.jp/operations/execution/itineraries?cortexv2=true&amp;operationView=true&amp;progressStatusFilterValue&amp;providerFilter=ALL_DPS&amp;selectedDay=today&amp;serviceAreaId="&amp;VLOOKUP($B112,'[1]DS ID'!B:D,4,FALSE),$G$1),"")</f>
        <v/>
      </c>
      <c r="H112" s="2441" t="str">
        <f>IFERROR(HYPERLINK("https://logistics.amazon.co.jp/internal/capacity/rosterview?serviceAreaId="&amp;VLOOKUP($B112,'[1]DS ID'!B:D,4,FALSE),$H$1),"")</f>
        <v/>
      </c>
      <c r="I112" s="2418" t="str">
        <f>IFERROR(HYPERLINK("https://logistics.amazon.co.jp/internal/scheduling/dsps?serviceAreaId="&amp;VLOOKUP($B112,'[1]DS ID'!B:D,4,FALSE),$I$1),"")</f>
        <v/>
      </c>
      <c r="J112" s="2418"/>
      <c r="K112" s="2418"/>
      <c r="L112" s="2397"/>
      <c r="M112" s="2431"/>
      <c r="N112" s="2378"/>
    </row>
    <row r="113" spans="1:14" x14ac:dyDescent="0.4">
      <c r="A113" s="2394"/>
      <c r="B113" s="2378"/>
      <c r="C113" s="2378"/>
      <c r="D113" s="2378"/>
      <c r="E113" s="2380"/>
      <c r="F113" s="2496"/>
      <c r="G113" s="2441" t="str">
        <f>IFERROR(HYPERLINK("https://logistics.amazon.co.jp/operations/execution/itineraries?cortexv2=true&amp;operationView=true&amp;progressStatusFilterValue&amp;providerFilter=ALL_DPS&amp;selectedDay=today&amp;serviceAreaId="&amp;VLOOKUP($B113,'[1]DS ID'!B:D,4,FALSE),$G$1),"")</f>
        <v/>
      </c>
      <c r="H113" s="2441" t="str">
        <f>IFERROR(HYPERLINK("https://logistics.amazon.co.jp/internal/capacity/rosterview?serviceAreaId="&amp;VLOOKUP($B113,'[1]DS ID'!B:D,4,FALSE),$H$1),"")</f>
        <v/>
      </c>
      <c r="I113" s="2418" t="str">
        <f>IFERROR(HYPERLINK("https://logistics.amazon.co.jp/internal/scheduling/dsps?serviceAreaId="&amp;VLOOKUP($B113,'[1]DS ID'!B:D,4,FALSE),$I$1),"")</f>
        <v/>
      </c>
      <c r="J113" s="2418"/>
      <c r="K113" s="2418"/>
      <c r="L113" s="2397"/>
      <c r="M113" s="2431"/>
      <c r="N113" s="2378"/>
    </row>
    <row r="114" spans="1:14" x14ac:dyDescent="0.4">
      <c r="A114" s="2394"/>
      <c r="B114" s="2378"/>
      <c r="C114" s="2378"/>
      <c r="D114" s="2378"/>
      <c r="E114" s="2380"/>
      <c r="F114" s="2496"/>
      <c r="G114" s="2441" t="str">
        <f>IFERROR(HYPERLINK("https://logistics.amazon.co.jp/operations/execution/itineraries?cortexv2=true&amp;operationView=true&amp;progressStatusFilterValue&amp;providerFilter=ALL_DPS&amp;selectedDay=today&amp;serviceAreaId="&amp;VLOOKUP($B114,'[1]DS ID'!B:D,4,FALSE),$G$1),"")</f>
        <v/>
      </c>
      <c r="H114" s="2441" t="str">
        <f>IFERROR(HYPERLINK("https://logistics.amazon.co.jp/internal/capacity/rosterview?serviceAreaId="&amp;VLOOKUP($B114,'[1]DS ID'!B:D,4,FALSE),$H$1),"")</f>
        <v/>
      </c>
      <c r="I114" s="2418" t="str">
        <f>IFERROR(HYPERLINK("https://logistics.amazon.co.jp/internal/scheduling/dsps?serviceAreaId="&amp;VLOOKUP($B114,'[1]DS ID'!B:D,4,FALSE),$I$1),"")</f>
        <v/>
      </c>
      <c r="J114" s="2418"/>
      <c r="K114" s="2418"/>
      <c r="L114" s="2397"/>
      <c r="M114" s="2431"/>
      <c r="N114" s="2378"/>
    </row>
    <row r="115" spans="1:14" x14ac:dyDescent="0.4">
      <c r="A115" s="2394"/>
      <c r="B115" s="2378"/>
      <c r="C115" s="2378"/>
      <c r="D115" s="2378"/>
      <c r="E115" s="2380"/>
      <c r="F115" s="2496"/>
      <c r="G115" s="2441" t="str">
        <f>IFERROR(HYPERLINK("https://logistics.amazon.co.jp/operations/execution/itineraries?cortexv2=true&amp;operationView=true&amp;progressStatusFilterValue&amp;providerFilter=ALL_DPS&amp;selectedDay=today&amp;serviceAreaId="&amp;VLOOKUP($B115,'[1]DS ID'!B:D,4,FALSE),$G$1),"")</f>
        <v/>
      </c>
      <c r="H115" s="2441" t="str">
        <f>IFERROR(HYPERLINK("https://logistics.amazon.co.jp/internal/capacity/rosterview?serviceAreaId="&amp;VLOOKUP($B115,'[1]DS ID'!B:D,4,FALSE),$H$1),"")</f>
        <v/>
      </c>
      <c r="I115" s="2418" t="str">
        <f>IFERROR(HYPERLINK("https://logistics.amazon.co.jp/internal/scheduling/dsps?serviceAreaId="&amp;VLOOKUP($B115,'[1]DS ID'!B:D,4,FALSE),$I$1),"")</f>
        <v/>
      </c>
      <c r="J115" s="2418"/>
      <c r="K115" s="2418"/>
      <c r="L115" s="2397"/>
      <c r="M115" s="2431"/>
      <c r="N115" s="2378"/>
    </row>
    <row r="116" spans="1:14" x14ac:dyDescent="0.4">
      <c r="A116" s="2388"/>
      <c r="B116" s="2388"/>
      <c r="C116" s="2388"/>
      <c r="D116" s="2388"/>
      <c r="E116" s="2390"/>
      <c r="F116" s="2389"/>
      <c r="G116" s="2441" t="str">
        <f>IFERROR(HYPERLINK("https://logistics.amazon.co.jp/operations/execution/itineraries?cortexv2=true&amp;operationView=true&amp;progressStatusFilterValue&amp;providerFilter=ALL_DPS&amp;selectedDay=today&amp;serviceAreaId="&amp;VLOOKUP($B116,'[1]DS ID'!B:D,4,FALSE),$G$1),"")</f>
        <v/>
      </c>
      <c r="H116" s="2441" t="str">
        <f>IFERROR(HYPERLINK("https://logistics.amazon.co.jp/internal/capacity/rosterview?serviceAreaId="&amp;VLOOKUP($B116,'[1]DS ID'!B:D,4,FALSE),$H$1),"")</f>
        <v/>
      </c>
      <c r="I116" s="2418" t="str">
        <f>IFERROR(HYPERLINK("https://logistics.amazon.co.jp/internal/scheduling/dsps?serviceAreaId="&amp;VLOOKUP($B116,'[1]DS ID'!B:D,4,FALSE),$I$1),"")</f>
        <v/>
      </c>
      <c r="J116" s="2418"/>
      <c r="K116" s="2418"/>
      <c r="L116" s="2391"/>
      <c r="M116" s="2395"/>
      <c r="N116" s="2378"/>
    </row>
    <row r="117" spans="1:14" x14ac:dyDescent="0.4">
      <c r="A117" s="2388"/>
      <c r="B117" s="2388"/>
      <c r="C117" s="2388"/>
      <c r="D117" s="2388"/>
      <c r="E117" s="2390"/>
      <c r="F117" s="2389"/>
      <c r="G117" s="2441" t="str">
        <f>IFERROR(HYPERLINK("https://logistics.amazon.co.jp/operations/execution/itineraries?cortexv2=true&amp;operationView=true&amp;progressStatusFilterValue&amp;providerFilter=ALL_DPS&amp;selectedDay=today&amp;serviceAreaId="&amp;VLOOKUP($B117,'[1]DS ID'!B:D,4,FALSE),$G$1),"")</f>
        <v/>
      </c>
      <c r="H117" s="2441" t="str">
        <f>IFERROR(HYPERLINK("https://logistics.amazon.co.jp/internal/capacity/rosterview?serviceAreaId="&amp;VLOOKUP($B117,'[1]DS ID'!B:D,4,FALSE),$H$1),"")</f>
        <v/>
      </c>
      <c r="I117" s="2418" t="str">
        <f>IFERROR(HYPERLINK("https://logistics.amazon.co.jp/internal/scheduling/dsps?serviceAreaId="&amp;VLOOKUP($B117,'[1]DS ID'!B:D,4,FALSE),$I$1),"")</f>
        <v/>
      </c>
      <c r="J117" s="2418"/>
      <c r="K117" s="2418"/>
      <c r="L117" s="2391"/>
      <c r="M117" s="2410"/>
      <c r="N117" s="2378"/>
    </row>
    <row r="118" spans="1:14" x14ac:dyDescent="0.4">
      <c r="A118" s="2388"/>
      <c r="B118" s="2388"/>
      <c r="C118" s="2388"/>
      <c r="D118" s="2388"/>
      <c r="E118" s="2390"/>
      <c r="F118" s="2389"/>
      <c r="G118" s="2441" t="str">
        <f>IFERROR(HYPERLINK("https://logistics.amazon.co.jp/operations/execution/itineraries?cortexv2=true&amp;operationView=true&amp;progressStatusFilterValue&amp;providerFilter=ALL_DPS&amp;selectedDay=today&amp;serviceAreaId="&amp;VLOOKUP($B118,'[1]DS ID'!B:D,4,FALSE),$G$1),"")</f>
        <v/>
      </c>
      <c r="H118" s="2441" t="str">
        <f>IFERROR(HYPERLINK("https://logistics.amazon.co.jp/internal/capacity/rosterview?serviceAreaId="&amp;VLOOKUP($B118,'[1]DS ID'!B:D,4,FALSE),$H$1),"")</f>
        <v/>
      </c>
      <c r="I118" s="2418" t="str">
        <f>IFERROR(HYPERLINK("https://logistics.amazon.co.jp/internal/scheduling/dsps?serviceAreaId="&amp;VLOOKUP($B118,'[1]DS ID'!B:D,4,FALSE),$I$1),"")</f>
        <v/>
      </c>
      <c r="J118" s="2418"/>
      <c r="K118" s="2418"/>
      <c r="L118" s="2391"/>
      <c r="M118" s="2395"/>
      <c r="N118" s="2378"/>
    </row>
    <row r="119" spans="1:14" x14ac:dyDescent="0.4">
      <c r="A119" s="2388"/>
      <c r="B119" s="2388"/>
      <c r="C119" s="2388"/>
      <c r="D119" s="2388"/>
      <c r="E119" s="2390"/>
      <c r="F119" s="2389"/>
      <c r="G119" s="2441" t="str">
        <f>IFERROR(HYPERLINK("https://logistics.amazon.co.jp/operations/execution/itineraries?cortexv2=true&amp;operationView=true&amp;progressStatusFilterValue&amp;providerFilter=ALL_DPS&amp;selectedDay=today&amp;serviceAreaId="&amp;VLOOKUP($B119,'[1]DS ID'!B:D,4,FALSE),$G$1),"")</f>
        <v/>
      </c>
      <c r="H119" s="2441" t="str">
        <f>IFERROR(HYPERLINK("https://logistics.amazon.co.jp/internal/capacity/rosterview?serviceAreaId="&amp;VLOOKUP($B119,'[1]DS ID'!B:D,4,FALSE),$H$1),"")</f>
        <v/>
      </c>
      <c r="I119" s="2418" t="str">
        <f>IFERROR(HYPERLINK("https://logistics.amazon.co.jp/internal/scheduling/dsps?serviceAreaId="&amp;VLOOKUP($B119,'[1]DS ID'!B:D,4,FALSE),$I$1),"")</f>
        <v/>
      </c>
      <c r="J119" s="2418"/>
      <c r="K119" s="2418"/>
      <c r="L119" s="2391"/>
      <c r="M119" s="2410"/>
      <c r="N119" s="2378"/>
    </row>
    <row r="120" spans="1:14" x14ac:dyDescent="0.4">
      <c r="A120" s="2394"/>
      <c r="B120" s="2378"/>
      <c r="C120" s="2378"/>
      <c r="D120" s="2378"/>
      <c r="E120" s="2380"/>
      <c r="F120" s="2496"/>
      <c r="G120" s="2441" t="str">
        <f>IFERROR(HYPERLINK("https://logistics.amazon.co.jp/operations/execution/itineraries?cortexv2=true&amp;operationView=true&amp;progressStatusFilterValue&amp;providerFilter=ALL_DPS&amp;selectedDay=today&amp;serviceAreaId="&amp;VLOOKUP($B120,'[1]DS ID'!B:D,4,FALSE),$G$1),"")</f>
        <v/>
      </c>
      <c r="H120" s="2441" t="str">
        <f>IFERROR(HYPERLINK("https://logistics.amazon.co.jp/internal/capacity/rosterview?serviceAreaId="&amp;VLOOKUP($B120,'[1]DS ID'!B:D,4,FALSE),$H$1),"")</f>
        <v/>
      </c>
      <c r="I120" s="2418" t="str">
        <f>IFERROR(HYPERLINK("https://logistics.amazon.co.jp/internal/scheduling/dsps?serviceAreaId="&amp;VLOOKUP($B120,'[1]DS ID'!B:D,4,FALSE),$I$1),"")</f>
        <v/>
      </c>
      <c r="J120" s="2418"/>
      <c r="K120" s="2418"/>
      <c r="L120" s="2397"/>
      <c r="M120" s="2431"/>
      <c r="N120" s="2378"/>
    </row>
    <row r="121" spans="1:14" x14ac:dyDescent="0.4">
      <c r="A121" s="2394"/>
      <c r="B121" s="2378"/>
      <c r="C121" s="2378"/>
      <c r="D121" s="2378"/>
      <c r="E121" s="2380"/>
      <c r="F121" s="2496"/>
      <c r="G121" s="2441" t="str">
        <f>IFERROR(HYPERLINK("https://logistics.amazon.co.jp/operations/execution/itineraries?cortexv2=true&amp;operationView=true&amp;progressStatusFilterValue&amp;providerFilter=ALL_DPS&amp;selectedDay=today&amp;serviceAreaId="&amp;VLOOKUP($B121,'[1]DS ID'!B:D,4,FALSE),$G$1),"")</f>
        <v/>
      </c>
      <c r="H121" s="2441" t="str">
        <f>IFERROR(HYPERLINK("https://logistics.amazon.co.jp/internal/capacity/rosterview?serviceAreaId="&amp;VLOOKUP($B121,'[1]DS ID'!B:D,4,FALSE),$H$1),"")</f>
        <v/>
      </c>
      <c r="I121" s="2418" t="str">
        <f>IFERROR(HYPERLINK("https://logistics.amazon.co.jp/internal/scheduling/dsps?serviceAreaId="&amp;VLOOKUP($B121,'[1]DS ID'!B:D,4,FALSE),$I$1),"")</f>
        <v/>
      </c>
      <c r="J121" s="2418"/>
      <c r="K121" s="2418"/>
      <c r="L121" s="2397"/>
      <c r="M121" s="2431"/>
      <c r="N121" s="2378"/>
    </row>
    <row r="122" spans="1:14" x14ac:dyDescent="0.4">
      <c r="A122" s="2394"/>
      <c r="B122" s="2378"/>
      <c r="C122" s="2378"/>
      <c r="D122" s="2378"/>
      <c r="E122" s="2380"/>
      <c r="F122" s="2496"/>
      <c r="G122" s="2441" t="str">
        <f>IFERROR(HYPERLINK("https://logistics.amazon.co.jp/operations/execution/itineraries?cortexv2=true&amp;operationView=true&amp;progressStatusFilterValue&amp;providerFilter=ALL_DPS&amp;selectedDay=today&amp;serviceAreaId="&amp;VLOOKUP($B122,'[1]DS ID'!B:D,4,FALSE),$G$1),"")</f>
        <v/>
      </c>
      <c r="H122" s="2441" t="str">
        <f>IFERROR(HYPERLINK("https://logistics.amazon.co.jp/internal/capacity/rosterview?serviceAreaId="&amp;VLOOKUP($B122,'[1]DS ID'!B:D,4,FALSE),$H$1),"")</f>
        <v/>
      </c>
      <c r="I122" s="2418" t="str">
        <f>IFERROR(HYPERLINK("https://logistics.amazon.co.jp/internal/scheduling/dsps?serviceAreaId="&amp;VLOOKUP($B122,'[1]DS ID'!B:D,4,FALSE),$I$1),"")</f>
        <v/>
      </c>
      <c r="J122" s="2418"/>
      <c r="K122" s="2418"/>
      <c r="L122" s="2397"/>
      <c r="M122" s="2431"/>
      <c r="N122" s="2378"/>
    </row>
    <row r="123" spans="1:14" x14ac:dyDescent="0.4">
      <c r="A123" s="2394"/>
      <c r="B123" s="2378"/>
      <c r="C123" s="2378"/>
      <c r="D123" s="2378"/>
      <c r="E123" s="2380"/>
      <c r="F123" s="2496"/>
      <c r="G123" s="2441" t="str">
        <f>IFERROR(HYPERLINK("https://logistics.amazon.co.jp/operations/execution/itineraries?cortexv2=true&amp;operationView=true&amp;progressStatusFilterValue&amp;providerFilter=ALL_DPS&amp;selectedDay=today&amp;serviceAreaId="&amp;VLOOKUP($B123,'[1]DS ID'!B:D,4,FALSE),$G$1),"")</f>
        <v/>
      </c>
      <c r="H123" s="2441" t="str">
        <f>IFERROR(HYPERLINK("https://logistics.amazon.co.jp/internal/capacity/rosterview?serviceAreaId="&amp;VLOOKUP($B123,'[1]DS ID'!B:D,4,FALSE),$H$1),"")</f>
        <v/>
      </c>
      <c r="I123" s="2418" t="str">
        <f>IFERROR(HYPERLINK("https://logistics.amazon.co.jp/internal/scheduling/dsps?serviceAreaId="&amp;VLOOKUP($B123,'[1]DS ID'!B:D,4,FALSE),$I$1),"")</f>
        <v/>
      </c>
      <c r="J123" s="2418"/>
      <c r="K123" s="2418"/>
      <c r="L123" s="2397"/>
      <c r="M123" s="2431"/>
      <c r="N123" s="2378"/>
    </row>
    <row r="124" spans="1:14" x14ac:dyDescent="0.4">
      <c r="A124" s="2394"/>
      <c r="B124" s="2378"/>
      <c r="C124" s="2378"/>
      <c r="D124" s="2378"/>
      <c r="E124" s="2380"/>
      <c r="F124" s="2496"/>
      <c r="G124" s="2441" t="str">
        <f>IFERROR(HYPERLINK("https://logistics.amazon.co.jp/operations/execution/itineraries?cortexv2=true&amp;operationView=true&amp;progressStatusFilterValue&amp;providerFilter=ALL_DPS&amp;selectedDay=today&amp;serviceAreaId="&amp;VLOOKUP($B124,'[1]DS ID'!B:D,4,FALSE),$G$1),"")</f>
        <v/>
      </c>
      <c r="H124" s="2441" t="str">
        <f>IFERROR(HYPERLINK("https://logistics.amazon.co.jp/internal/capacity/rosterview?serviceAreaId="&amp;VLOOKUP($B124,'[1]DS ID'!B:D,4,FALSE),$H$1),"")</f>
        <v/>
      </c>
      <c r="I124" s="2418" t="str">
        <f>IFERROR(HYPERLINK("https://logistics.amazon.co.jp/internal/scheduling/dsps?serviceAreaId="&amp;VLOOKUP($B124,'[1]DS ID'!B:D,4,FALSE),$I$1),"")</f>
        <v/>
      </c>
      <c r="J124" s="2418"/>
      <c r="K124" s="2418"/>
      <c r="L124" s="2397"/>
      <c r="M124" s="2431"/>
      <c r="N124" s="2378"/>
    </row>
    <row r="125" spans="1:14" x14ac:dyDescent="0.4">
      <c r="A125" s="2394"/>
      <c r="B125" s="2378"/>
      <c r="C125" s="2378"/>
      <c r="D125" s="2378"/>
      <c r="E125" s="2380"/>
      <c r="F125" s="2496"/>
      <c r="G125" s="2441" t="str">
        <f>IFERROR(HYPERLINK("https://logistics.amazon.co.jp/operations/execution/itineraries?cortexv2=true&amp;operationView=true&amp;progressStatusFilterValue&amp;providerFilter=ALL_DPS&amp;selectedDay=today&amp;serviceAreaId="&amp;VLOOKUP($B125,'[1]DS ID'!B:D,4,FALSE),$G$1),"")</f>
        <v/>
      </c>
      <c r="H125" s="2441" t="str">
        <f>IFERROR(HYPERLINK("https://logistics.amazon.co.jp/internal/capacity/rosterview?serviceAreaId="&amp;VLOOKUP($B125,'[1]DS ID'!B:D,4,FALSE),$H$1),"")</f>
        <v/>
      </c>
      <c r="I125" s="2418" t="str">
        <f>IFERROR(HYPERLINK("https://logistics.amazon.co.jp/internal/scheduling/dsps?serviceAreaId="&amp;VLOOKUP($B125,'[1]DS ID'!B:D,4,FALSE),$I$1),"")</f>
        <v/>
      </c>
      <c r="J125" s="2418"/>
      <c r="K125" s="2418"/>
      <c r="L125" s="2397"/>
      <c r="M125" s="2431"/>
      <c r="N125" s="2378"/>
    </row>
    <row r="126" spans="1:14" x14ac:dyDescent="0.4">
      <c r="A126" s="2394"/>
      <c r="B126" s="2378"/>
      <c r="C126" s="2378"/>
      <c r="D126" s="2378"/>
      <c r="E126" s="2380"/>
      <c r="F126" s="2496"/>
      <c r="G126" s="2441" t="str">
        <f>IFERROR(HYPERLINK("https://logistics.amazon.co.jp/operations/execution/itineraries?cortexv2=true&amp;operationView=true&amp;progressStatusFilterValue&amp;providerFilter=ALL_DPS&amp;selectedDay=today&amp;serviceAreaId="&amp;VLOOKUP($B126,'[1]DS ID'!B:D,4,FALSE),$G$1),"")</f>
        <v/>
      </c>
      <c r="H126" s="2441" t="str">
        <f>IFERROR(HYPERLINK("https://logistics.amazon.co.jp/internal/capacity/rosterview?serviceAreaId="&amp;VLOOKUP($B126,'[1]DS ID'!B:D,4,FALSE),$H$1),"")</f>
        <v/>
      </c>
      <c r="I126" s="2418" t="str">
        <f>IFERROR(HYPERLINK("https://logistics.amazon.co.jp/internal/scheduling/dsps?serviceAreaId="&amp;VLOOKUP($B126,'[1]DS ID'!B:D,4,FALSE),$I$1),"")</f>
        <v/>
      </c>
      <c r="J126" s="2418"/>
      <c r="K126" s="2418"/>
      <c r="L126" s="2397"/>
      <c r="M126" s="2431"/>
      <c r="N126" s="2378"/>
    </row>
    <row r="127" spans="1:14" x14ac:dyDescent="0.4">
      <c r="A127" s="2394"/>
      <c r="B127" s="2378"/>
      <c r="C127" s="2378"/>
      <c r="D127" s="2378"/>
      <c r="E127" s="2380"/>
      <c r="F127" s="2496"/>
      <c r="G127" s="2441" t="str">
        <f>IFERROR(HYPERLINK("https://logistics.amazon.co.jp/operations/execution/itineraries?cortexv2=true&amp;operationView=true&amp;progressStatusFilterValue&amp;providerFilter=ALL_DPS&amp;selectedDay=today&amp;serviceAreaId="&amp;VLOOKUP($B127,'[1]DS ID'!B:D,4,FALSE),$G$1),"")</f>
        <v/>
      </c>
      <c r="H127" s="2441" t="str">
        <f>IFERROR(HYPERLINK("https://logistics.amazon.co.jp/internal/capacity/rosterview?serviceAreaId="&amp;VLOOKUP($B127,'[1]DS ID'!B:D,4,FALSE),$H$1),"")</f>
        <v/>
      </c>
      <c r="I127" s="2418" t="str">
        <f>IFERROR(HYPERLINK("https://logistics.amazon.co.jp/internal/scheduling/dsps?serviceAreaId="&amp;VLOOKUP($B127,'[1]DS ID'!B:D,4,FALSE),$I$1),"")</f>
        <v/>
      </c>
      <c r="J127" s="2418"/>
      <c r="K127" s="2418"/>
      <c r="L127" s="2397"/>
      <c r="M127" s="2431"/>
      <c r="N127" s="2378"/>
    </row>
    <row r="128" spans="1:14" x14ac:dyDescent="0.4">
      <c r="A128" s="2394"/>
      <c r="B128" s="2378"/>
      <c r="C128" s="2378"/>
      <c r="D128" s="2378"/>
      <c r="E128" s="2380"/>
      <c r="F128" s="2496"/>
      <c r="G128" s="2441" t="str">
        <f>IFERROR(HYPERLINK("https://logistics.amazon.co.jp/operations/execution/itineraries?cortexv2=true&amp;operationView=true&amp;progressStatusFilterValue&amp;providerFilter=ALL_DPS&amp;selectedDay=today&amp;serviceAreaId="&amp;VLOOKUP($B128,'[1]DS ID'!B:D,4,FALSE),$G$1),"")</f>
        <v/>
      </c>
      <c r="H128" s="2441" t="str">
        <f>IFERROR(HYPERLINK("https://logistics.amazon.co.jp/internal/capacity/rosterview?serviceAreaId="&amp;VLOOKUP($B128,'[1]DS ID'!B:D,4,FALSE),$H$1),"")</f>
        <v/>
      </c>
      <c r="I128" s="2418" t="str">
        <f>IFERROR(HYPERLINK("https://logistics.amazon.co.jp/internal/scheduling/dsps?serviceAreaId="&amp;VLOOKUP($B128,'[1]DS ID'!B:D,4,FALSE),$I$1),"")</f>
        <v/>
      </c>
      <c r="J128" s="2418"/>
      <c r="K128" s="2418"/>
      <c r="L128" s="2397"/>
      <c r="M128" s="2431"/>
      <c r="N128" s="2378"/>
    </row>
    <row r="129" spans="1:14" x14ac:dyDescent="0.4">
      <c r="A129" s="2394"/>
      <c r="B129" s="2378"/>
      <c r="C129" s="2378"/>
      <c r="D129" s="2378"/>
      <c r="E129" s="2380"/>
      <c r="F129" s="2496"/>
      <c r="G129" s="2441" t="str">
        <f>IFERROR(HYPERLINK("https://logistics.amazon.co.jp/operations/execution/itineraries?cortexv2=true&amp;operationView=true&amp;progressStatusFilterValue&amp;providerFilter=ALL_DPS&amp;selectedDay=today&amp;serviceAreaId="&amp;VLOOKUP($B129,'[1]DS ID'!B:D,4,FALSE),$G$1),"")</f>
        <v/>
      </c>
      <c r="H129" s="2441" t="str">
        <f>IFERROR(HYPERLINK("https://logistics.amazon.co.jp/internal/capacity/rosterview?serviceAreaId="&amp;VLOOKUP($B129,'[1]DS ID'!B:D,4,FALSE),$H$1),"")</f>
        <v/>
      </c>
      <c r="I129" s="2418" t="str">
        <f>IFERROR(HYPERLINK("https://logistics.amazon.co.jp/internal/scheduling/dsps?serviceAreaId="&amp;VLOOKUP($B129,'[1]DS ID'!B:D,4,FALSE),$I$1),"")</f>
        <v/>
      </c>
      <c r="J129" s="2418"/>
      <c r="K129" s="2418"/>
      <c r="L129" s="2397"/>
      <c r="M129" s="2431"/>
      <c r="N129" s="2378"/>
    </row>
    <row r="130" spans="1:14" x14ac:dyDescent="0.4">
      <c r="A130" s="2394"/>
      <c r="B130" s="2378"/>
      <c r="C130" s="2378"/>
      <c r="D130" s="2378"/>
      <c r="E130" s="2380"/>
      <c r="F130" s="2496"/>
      <c r="G130" s="2441" t="str">
        <f>IFERROR(HYPERLINK("https://logistics.amazon.co.jp/operations/execution/itineraries?cortexv2=true&amp;operationView=true&amp;progressStatusFilterValue&amp;providerFilter=ALL_DPS&amp;selectedDay=today&amp;serviceAreaId="&amp;VLOOKUP($B130,'[1]DS ID'!B:D,4,FALSE),$G$1),"")</f>
        <v/>
      </c>
      <c r="H130" s="2441" t="str">
        <f>IFERROR(HYPERLINK("https://logistics.amazon.co.jp/internal/capacity/rosterview?serviceAreaId="&amp;VLOOKUP($B130,'[1]DS ID'!B:D,4,FALSE),$H$1),"")</f>
        <v/>
      </c>
      <c r="I130" s="2418" t="str">
        <f>IFERROR(HYPERLINK("https://logistics.amazon.co.jp/internal/scheduling/dsps?serviceAreaId="&amp;VLOOKUP($B130,'[1]DS ID'!B:D,4,FALSE),$I$1),"")</f>
        <v/>
      </c>
      <c r="J130" s="2418"/>
      <c r="K130" s="2418"/>
      <c r="L130" s="2397"/>
      <c r="M130" s="2431"/>
      <c r="N130" s="2378"/>
    </row>
    <row r="131" spans="1:14" x14ac:dyDescent="0.4">
      <c r="A131" s="2388"/>
      <c r="B131" s="2388"/>
      <c r="C131" s="2388"/>
      <c r="D131" s="2388"/>
      <c r="E131" s="2390"/>
      <c r="F131" s="2389"/>
      <c r="G131" s="2441" t="str">
        <f>IFERROR(HYPERLINK("https://logistics.amazon.co.jp/operations/execution/itineraries?cortexv2=true&amp;operationView=true&amp;progressStatusFilterValue&amp;providerFilter=ALL_DPS&amp;selectedDay=today&amp;serviceAreaId="&amp;VLOOKUP($B131,'[1]DS ID'!B:D,4,FALSE),$G$1),"")</f>
        <v/>
      </c>
      <c r="H131" s="2441" t="str">
        <f>IFERROR(HYPERLINK("https://logistics.amazon.co.jp/internal/capacity/rosterview?serviceAreaId="&amp;VLOOKUP($B131,'[1]DS ID'!B:D,4,FALSE),$H$1),"")</f>
        <v/>
      </c>
      <c r="I131" s="2418" t="str">
        <f>IFERROR(HYPERLINK("https://logistics.amazon.co.jp/internal/scheduling/dsps?serviceAreaId="&amp;VLOOKUP($B131,'[1]DS ID'!B:D,4,FALSE),$I$1),"")</f>
        <v/>
      </c>
      <c r="J131" s="2418"/>
      <c r="K131" s="2418"/>
      <c r="L131" s="2391"/>
      <c r="M131" s="2395"/>
      <c r="N131" s="2378"/>
    </row>
    <row r="132" spans="1:14" x14ac:dyDescent="0.4">
      <c r="A132" s="2394"/>
      <c r="B132" s="2378"/>
      <c r="C132" s="2378"/>
      <c r="D132" s="2378"/>
      <c r="E132" s="2380"/>
      <c r="F132" s="2496"/>
      <c r="G132" s="2441" t="str">
        <f>IFERROR(HYPERLINK("https://logistics.amazon.co.jp/operations/execution/itineraries?cortexv2=true&amp;operationView=true&amp;progressStatusFilterValue&amp;providerFilter=ALL_DPS&amp;selectedDay=today&amp;serviceAreaId="&amp;VLOOKUP($B132,'[1]DS ID'!B:D,4,FALSE),$G$1),"")</f>
        <v/>
      </c>
      <c r="H132" s="2441" t="str">
        <f>IFERROR(HYPERLINK("https://logistics.amazon.co.jp/internal/capacity/rosterview?serviceAreaId="&amp;VLOOKUP($B132,'[1]DS ID'!B:D,4,FALSE),$H$1),"")</f>
        <v/>
      </c>
      <c r="I132" s="2418" t="str">
        <f>IFERROR(HYPERLINK("https://logistics.amazon.co.jp/internal/scheduling/dsps?serviceAreaId="&amp;VLOOKUP($B132,'[1]DS ID'!B:D,4,FALSE),$I$1),"")</f>
        <v/>
      </c>
      <c r="J132" s="2418"/>
      <c r="K132" s="2418"/>
      <c r="L132" s="2397"/>
      <c r="M132" s="2431"/>
      <c r="N132" s="2378"/>
    </row>
    <row r="133" spans="1:14" x14ac:dyDescent="0.4">
      <c r="A133" s="2394"/>
      <c r="B133" s="2378"/>
      <c r="C133" s="2378"/>
      <c r="D133" s="2378"/>
      <c r="E133" s="2380"/>
      <c r="F133" s="2496"/>
      <c r="G133" s="2441" t="str">
        <f>IFERROR(HYPERLINK("https://logistics.amazon.co.jp/operations/execution/itineraries?cortexv2=true&amp;operationView=true&amp;progressStatusFilterValue&amp;providerFilter=ALL_DPS&amp;selectedDay=today&amp;serviceAreaId="&amp;VLOOKUP($B133,'[1]DS ID'!B:D,4,FALSE),$G$1),"")</f>
        <v/>
      </c>
      <c r="H133" s="2441" t="str">
        <f>IFERROR(HYPERLINK("https://logistics.amazon.co.jp/internal/capacity/rosterview?serviceAreaId="&amp;VLOOKUP($B133,'[1]DS ID'!B:D,4,FALSE),$H$1),"")</f>
        <v/>
      </c>
      <c r="I133" s="2418" t="str">
        <f>IFERROR(HYPERLINK("https://logistics.amazon.co.jp/internal/scheduling/dsps?serviceAreaId="&amp;VLOOKUP($B133,'[1]DS ID'!B:D,4,FALSE),$I$1),"")</f>
        <v/>
      </c>
      <c r="J133" s="2418"/>
      <c r="K133" s="2418"/>
      <c r="L133" s="2397"/>
      <c r="M133" s="2431"/>
      <c r="N133" s="2378"/>
    </row>
    <row r="134" spans="1:14" x14ac:dyDescent="0.4">
      <c r="A134" s="2394"/>
      <c r="B134" s="2378"/>
      <c r="C134" s="2378"/>
      <c r="D134" s="2378"/>
      <c r="E134" s="2380"/>
      <c r="F134" s="2496"/>
      <c r="G134" s="2441" t="str">
        <f>IFERROR(HYPERLINK("https://logistics.amazon.co.jp/operations/execution/itineraries?cortexv2=true&amp;operationView=true&amp;progressStatusFilterValue&amp;providerFilter=ALL_DPS&amp;selectedDay=today&amp;serviceAreaId="&amp;VLOOKUP($B134,'[1]DS ID'!B:D,4,FALSE),$G$1),"")</f>
        <v/>
      </c>
      <c r="H134" s="2441" t="str">
        <f>IFERROR(HYPERLINK("https://logistics.amazon.co.jp/internal/capacity/rosterview?serviceAreaId="&amp;VLOOKUP($B134,'[1]DS ID'!B:D,4,FALSE),$H$1),"")</f>
        <v/>
      </c>
      <c r="I134" s="2418" t="str">
        <f>IFERROR(HYPERLINK("https://logistics.amazon.co.jp/internal/scheduling/dsps?serviceAreaId="&amp;VLOOKUP($B134,'[1]DS ID'!B:D,4,FALSE),$I$1),"")</f>
        <v/>
      </c>
      <c r="J134" s="2418"/>
      <c r="K134" s="2418"/>
      <c r="L134" s="2397"/>
      <c r="M134" s="2431"/>
      <c r="N134" s="2378"/>
    </row>
    <row r="135" spans="1:14" x14ac:dyDescent="0.4">
      <c r="A135" s="2394"/>
      <c r="B135" s="2378"/>
      <c r="C135" s="2378"/>
      <c r="D135" s="2378"/>
      <c r="E135" s="2380"/>
      <c r="F135" s="2496"/>
      <c r="G135" s="2441" t="str">
        <f>IFERROR(HYPERLINK("https://logistics.amazon.co.jp/operations/execution/itineraries?cortexv2=true&amp;operationView=true&amp;progressStatusFilterValue&amp;providerFilter=ALL_DPS&amp;selectedDay=today&amp;serviceAreaId="&amp;VLOOKUP($B135,'[1]DS ID'!B:D,4,FALSE),$G$1),"")</f>
        <v/>
      </c>
      <c r="H135" s="2441" t="str">
        <f>IFERROR(HYPERLINK("https://logistics.amazon.co.jp/internal/capacity/rosterview?serviceAreaId="&amp;VLOOKUP($B135,'[1]DS ID'!B:D,4,FALSE),$H$1),"")</f>
        <v/>
      </c>
      <c r="I135" s="2418" t="str">
        <f>IFERROR(HYPERLINK("https://logistics.amazon.co.jp/internal/scheduling/dsps?serviceAreaId="&amp;VLOOKUP($B135,'[1]DS ID'!B:D,4,FALSE),$I$1),"")</f>
        <v/>
      </c>
      <c r="J135" s="2418"/>
      <c r="K135" s="2418"/>
      <c r="L135" s="2397"/>
      <c r="M135" s="2431"/>
      <c r="N135" s="2378"/>
    </row>
    <row r="136" spans="1:14" x14ac:dyDescent="0.4">
      <c r="A136" s="2394"/>
      <c r="B136" s="2378"/>
      <c r="C136" s="2378"/>
      <c r="D136" s="2378"/>
      <c r="E136" s="2380"/>
      <c r="F136" s="2496"/>
      <c r="G136" s="2441" t="str">
        <f>IFERROR(HYPERLINK("https://logistics.amazon.co.jp/operations/execution/itineraries?cortexv2=true&amp;operationView=true&amp;progressStatusFilterValue&amp;providerFilter=ALL_DPS&amp;selectedDay=today&amp;serviceAreaId="&amp;VLOOKUP($B136,'[1]DS ID'!B:D,4,FALSE),$G$1),"")</f>
        <v/>
      </c>
      <c r="H136" s="2441" t="str">
        <f>IFERROR(HYPERLINK("https://logistics.amazon.co.jp/internal/capacity/rosterview?serviceAreaId="&amp;VLOOKUP($B136,'[1]DS ID'!B:D,4,FALSE),$H$1),"")</f>
        <v/>
      </c>
      <c r="I136" s="2418" t="str">
        <f>IFERROR(HYPERLINK("https://logistics.amazon.co.jp/internal/scheduling/dsps?serviceAreaId="&amp;VLOOKUP($B136,'[1]DS ID'!B:D,4,FALSE),$I$1),"")</f>
        <v/>
      </c>
      <c r="J136" s="2418"/>
      <c r="K136" s="2418"/>
      <c r="L136" s="2397"/>
      <c r="M136" s="2431"/>
      <c r="N136" s="2378"/>
    </row>
    <row r="137" spans="1:14" x14ac:dyDescent="0.4">
      <c r="A137" s="2394"/>
      <c r="B137" s="2378"/>
      <c r="C137" s="2378"/>
      <c r="D137" s="2378"/>
      <c r="E137" s="2380"/>
      <c r="F137" s="2496"/>
      <c r="G137" s="2441" t="str">
        <f>IFERROR(HYPERLINK("https://logistics.amazon.co.jp/operations/execution/itineraries?cortexv2=true&amp;operationView=true&amp;progressStatusFilterValue&amp;providerFilter=ALL_DPS&amp;selectedDay=today&amp;serviceAreaId="&amp;VLOOKUP($B137,'[1]DS ID'!B:D,4,FALSE),$G$1),"")</f>
        <v/>
      </c>
      <c r="H137" s="2441" t="str">
        <f>IFERROR(HYPERLINK("https://logistics.amazon.co.jp/internal/capacity/rosterview?serviceAreaId="&amp;VLOOKUP($B137,'[1]DS ID'!B:D,4,FALSE),$H$1),"")</f>
        <v/>
      </c>
      <c r="I137" s="2418" t="str">
        <f>IFERROR(HYPERLINK("https://logistics.amazon.co.jp/internal/scheduling/dsps?serviceAreaId="&amp;VLOOKUP($B137,'[1]DS ID'!B:D,4,FALSE),$I$1),"")</f>
        <v/>
      </c>
      <c r="J137" s="2418"/>
      <c r="K137" s="2418"/>
      <c r="L137" s="2397"/>
      <c r="M137" s="2431"/>
      <c r="N137" s="2378"/>
    </row>
    <row r="138" spans="1:14" x14ac:dyDescent="0.4">
      <c r="A138" s="2394"/>
      <c r="B138" s="2378"/>
      <c r="C138" s="2378"/>
      <c r="D138" s="2378"/>
      <c r="E138" s="2380"/>
      <c r="F138" s="2496"/>
      <c r="G138" s="2441" t="str">
        <f>IFERROR(HYPERLINK("https://logistics.amazon.co.jp/operations/execution/itineraries?cortexv2=true&amp;operationView=true&amp;progressStatusFilterValue&amp;providerFilter=ALL_DPS&amp;selectedDay=today&amp;serviceAreaId="&amp;VLOOKUP($B138,'[1]DS ID'!B:D,4,FALSE),$G$1),"")</f>
        <v/>
      </c>
      <c r="H138" s="2441" t="str">
        <f>IFERROR(HYPERLINK("https://logistics.amazon.co.jp/internal/capacity/rosterview?serviceAreaId="&amp;VLOOKUP($B138,'[1]DS ID'!B:D,4,FALSE),$H$1),"")</f>
        <v/>
      </c>
      <c r="I138" s="2418" t="str">
        <f>IFERROR(HYPERLINK("https://logistics.amazon.co.jp/internal/scheduling/dsps?serviceAreaId="&amp;VLOOKUP($B138,'[1]DS ID'!B:D,4,FALSE),$I$1),"")</f>
        <v/>
      </c>
      <c r="J138" s="2418"/>
      <c r="K138" s="2418"/>
      <c r="L138" s="2397"/>
      <c r="M138" s="2431"/>
      <c r="N138" s="2378"/>
    </row>
    <row r="139" spans="1:14" x14ac:dyDescent="0.4">
      <c r="A139" s="2394"/>
      <c r="B139" s="2378"/>
      <c r="C139" s="2378"/>
      <c r="D139" s="2378"/>
      <c r="E139" s="2380"/>
      <c r="F139" s="2496"/>
      <c r="G139" s="2441" t="str">
        <f>IFERROR(HYPERLINK("https://logistics.amazon.co.jp/operations/execution/itineraries?cortexv2=true&amp;operationView=true&amp;progressStatusFilterValue&amp;providerFilter=ALL_DPS&amp;selectedDay=today&amp;serviceAreaId="&amp;VLOOKUP($B139,'[1]DS ID'!B:D,4,FALSE),$G$1),"")</f>
        <v/>
      </c>
      <c r="H139" s="2441" t="str">
        <f>IFERROR(HYPERLINK("https://logistics.amazon.co.jp/internal/capacity/rosterview?serviceAreaId="&amp;VLOOKUP($B139,'[1]DS ID'!B:D,4,FALSE),$H$1),"")</f>
        <v/>
      </c>
      <c r="I139" s="2418" t="str">
        <f>IFERROR(HYPERLINK("https://logistics.amazon.co.jp/internal/scheduling/dsps?serviceAreaId="&amp;VLOOKUP($B139,'[1]DS ID'!B:D,4,FALSE),$I$1),"")</f>
        <v/>
      </c>
      <c r="J139" s="2418"/>
      <c r="K139" s="2418"/>
      <c r="L139" s="2397"/>
      <c r="M139" s="2431"/>
      <c r="N139" s="2378"/>
    </row>
    <row r="140" spans="1:14" x14ac:dyDescent="0.4">
      <c r="A140" s="2394"/>
      <c r="B140" s="2378"/>
      <c r="C140" s="2378"/>
      <c r="D140" s="2378"/>
      <c r="E140" s="2380"/>
      <c r="F140" s="2496"/>
      <c r="G140" s="2441" t="str">
        <f>IFERROR(HYPERLINK("https://logistics.amazon.co.jp/operations/execution/itineraries?cortexv2=true&amp;operationView=true&amp;progressStatusFilterValue&amp;providerFilter=ALL_DPS&amp;selectedDay=today&amp;serviceAreaId="&amp;VLOOKUP($B140,'[1]DS ID'!B:D,4,FALSE),$G$1),"")</f>
        <v/>
      </c>
      <c r="H140" s="2441" t="str">
        <f>IFERROR(HYPERLINK("https://logistics.amazon.co.jp/internal/capacity/rosterview?serviceAreaId="&amp;VLOOKUP($B140,'[1]DS ID'!B:D,4,FALSE),$H$1),"")</f>
        <v/>
      </c>
      <c r="I140" s="2418" t="str">
        <f>IFERROR(HYPERLINK("https://logistics.amazon.co.jp/internal/scheduling/dsps?serviceAreaId="&amp;VLOOKUP($B140,'[1]DS ID'!B:D,4,FALSE),$I$1),"")</f>
        <v/>
      </c>
      <c r="J140" s="2418"/>
      <c r="K140" s="2418"/>
      <c r="L140" s="2397"/>
      <c r="M140" s="2431"/>
      <c r="N140" s="2378"/>
    </row>
    <row r="141" spans="1:14" x14ac:dyDescent="0.4">
      <c r="A141" s="2394"/>
      <c r="B141" s="2378"/>
      <c r="C141" s="2378"/>
      <c r="D141" s="2378"/>
      <c r="E141" s="2380"/>
      <c r="F141" s="2496"/>
      <c r="G141" s="2441" t="str">
        <f>IFERROR(HYPERLINK("https://logistics.amazon.co.jp/operations/execution/itineraries?cortexv2=true&amp;operationView=true&amp;progressStatusFilterValue&amp;providerFilter=ALL_DPS&amp;selectedDay=today&amp;serviceAreaId="&amp;VLOOKUP($B141,'[1]DS ID'!B:D,4,FALSE),$G$1),"")</f>
        <v/>
      </c>
      <c r="H141" s="2441" t="str">
        <f>IFERROR(HYPERLINK("https://logistics.amazon.co.jp/internal/capacity/rosterview?serviceAreaId="&amp;VLOOKUP($B141,'[1]DS ID'!B:D,4,FALSE),$H$1),"")</f>
        <v/>
      </c>
      <c r="I141" s="2418" t="str">
        <f>IFERROR(HYPERLINK("https://logistics.amazon.co.jp/internal/scheduling/dsps?serviceAreaId="&amp;VLOOKUP($B141,'[1]DS ID'!B:D,4,FALSE),$I$1),"")</f>
        <v/>
      </c>
      <c r="J141" s="2418"/>
      <c r="K141" s="2418"/>
      <c r="L141" s="2397"/>
      <c r="M141" s="2431"/>
      <c r="N141" s="2378"/>
    </row>
    <row r="142" spans="1:14" x14ac:dyDescent="0.4">
      <c r="A142" s="2394"/>
      <c r="B142" s="2378"/>
      <c r="C142" s="2378"/>
      <c r="D142" s="2378"/>
      <c r="E142" s="2380"/>
      <c r="F142" s="2496"/>
      <c r="G142" s="2441" t="str">
        <f>IFERROR(HYPERLINK("https://logistics.amazon.co.jp/operations/execution/itineraries?cortexv2=true&amp;operationView=true&amp;progressStatusFilterValue&amp;providerFilter=ALL_DPS&amp;selectedDay=today&amp;serviceAreaId="&amp;VLOOKUP($B142,'[1]DS ID'!B:D,4,FALSE),$G$1),"")</f>
        <v/>
      </c>
      <c r="H142" s="2441" t="str">
        <f>IFERROR(HYPERLINK("https://logistics.amazon.co.jp/internal/capacity/rosterview?serviceAreaId="&amp;VLOOKUP($B142,'[1]DS ID'!B:D,4,FALSE),$H$1),"")</f>
        <v/>
      </c>
      <c r="I142" s="2418" t="str">
        <f>IFERROR(HYPERLINK("https://logistics.amazon.co.jp/internal/scheduling/dsps?serviceAreaId="&amp;VLOOKUP($B142,'[1]DS ID'!B:D,4,FALSE),$I$1),"")</f>
        <v/>
      </c>
      <c r="J142" s="2418"/>
      <c r="K142" s="2418"/>
      <c r="L142" s="2397"/>
      <c r="M142" s="2431"/>
      <c r="N142" s="2378"/>
    </row>
    <row r="143" spans="1:14" x14ac:dyDescent="0.4">
      <c r="A143" s="2394"/>
      <c r="B143" s="2378"/>
      <c r="C143" s="2378"/>
      <c r="D143" s="2378"/>
      <c r="E143" s="2380"/>
      <c r="F143" s="2496"/>
      <c r="G143" s="2441" t="str">
        <f>IFERROR(HYPERLINK("https://logistics.amazon.co.jp/operations/execution/itineraries?cortexv2=true&amp;operationView=true&amp;progressStatusFilterValue&amp;providerFilter=ALL_DPS&amp;selectedDay=today&amp;serviceAreaId="&amp;VLOOKUP($B143,'[1]DS ID'!B:D,4,FALSE),$G$1),"")</f>
        <v/>
      </c>
      <c r="H143" s="2441" t="str">
        <f>IFERROR(HYPERLINK("https://logistics.amazon.co.jp/internal/capacity/rosterview?serviceAreaId="&amp;VLOOKUP($B143,'[1]DS ID'!B:D,4,FALSE),$H$1),"")</f>
        <v/>
      </c>
      <c r="I143" s="2418" t="str">
        <f>IFERROR(HYPERLINK("https://logistics.amazon.co.jp/internal/scheduling/dsps?serviceAreaId="&amp;VLOOKUP($B143,'[1]DS ID'!B:D,4,FALSE),$I$1),"")</f>
        <v/>
      </c>
      <c r="J143" s="2418"/>
      <c r="K143" s="2418"/>
      <c r="L143" s="2397"/>
      <c r="M143" s="2431"/>
      <c r="N143" s="2378"/>
    </row>
    <row r="144" spans="1:14" x14ac:dyDescent="0.4">
      <c r="A144" s="2394"/>
      <c r="B144" s="2378"/>
      <c r="C144" s="2378"/>
      <c r="D144" s="2378"/>
      <c r="E144" s="2380"/>
      <c r="F144" s="2496"/>
      <c r="G144" s="2441" t="str">
        <f>IFERROR(HYPERLINK("https://logistics.amazon.co.jp/operations/execution/itineraries?cortexv2=true&amp;operationView=true&amp;progressStatusFilterValue&amp;providerFilter=ALL_DPS&amp;selectedDay=today&amp;serviceAreaId="&amp;VLOOKUP($B144,'[1]DS ID'!B:D,4,FALSE),$G$1),"")</f>
        <v/>
      </c>
      <c r="H144" s="2441" t="str">
        <f>IFERROR(HYPERLINK("https://logistics.amazon.co.jp/internal/capacity/rosterview?serviceAreaId="&amp;VLOOKUP($B144,'[1]DS ID'!B:D,4,FALSE),$H$1),"")</f>
        <v/>
      </c>
      <c r="I144" s="2418" t="str">
        <f>IFERROR(HYPERLINK("https://logistics.amazon.co.jp/internal/scheduling/dsps?serviceAreaId="&amp;VLOOKUP($B144,'[1]DS ID'!B:D,4,FALSE),$I$1),"")</f>
        <v/>
      </c>
      <c r="J144" s="2418"/>
      <c r="K144" s="2418"/>
      <c r="L144" s="2397"/>
      <c r="M144" s="2431"/>
      <c r="N144" s="2378"/>
    </row>
    <row r="145" spans="1:14" x14ac:dyDescent="0.4">
      <c r="A145" s="2394"/>
      <c r="B145" s="2378"/>
      <c r="C145" s="2378"/>
      <c r="D145" s="2378"/>
      <c r="E145" s="2380"/>
      <c r="F145" s="2496"/>
      <c r="G145" s="2441" t="str">
        <f>IFERROR(HYPERLINK("https://logistics.amazon.co.jp/operations/execution/itineraries?cortexv2=true&amp;operationView=true&amp;progressStatusFilterValue&amp;providerFilter=ALL_DPS&amp;selectedDay=today&amp;serviceAreaId="&amp;VLOOKUP($B145,'[1]DS ID'!B:D,4,FALSE),$G$1),"")</f>
        <v/>
      </c>
      <c r="H145" s="2441" t="str">
        <f>IFERROR(HYPERLINK("https://logistics.amazon.co.jp/internal/capacity/rosterview?serviceAreaId="&amp;VLOOKUP($B145,'[1]DS ID'!B:D,4,FALSE),$H$1),"")</f>
        <v/>
      </c>
      <c r="I145" s="2418" t="str">
        <f>IFERROR(HYPERLINK("https://logistics.amazon.co.jp/internal/scheduling/dsps?serviceAreaId="&amp;VLOOKUP($B145,'[1]DS ID'!B:D,4,FALSE),$I$1),"")</f>
        <v/>
      </c>
      <c r="J145" s="2418"/>
      <c r="K145" s="2418"/>
      <c r="L145" s="2397"/>
      <c r="M145" s="2431"/>
      <c r="N145" s="2378"/>
    </row>
    <row r="146" spans="1:14" x14ac:dyDescent="0.4">
      <c r="A146" s="2394"/>
      <c r="B146" s="2394"/>
      <c r="C146" s="2394"/>
      <c r="D146" s="2394"/>
      <c r="E146" s="2396"/>
      <c r="F146" s="2379"/>
      <c r="G146" s="2441" t="str">
        <f>IFERROR(HYPERLINK("https://logistics.amazon.co.jp/operations/execution/itineraries?cortexv2=true&amp;operationView=true&amp;progressStatusFilterValue&amp;providerFilter=ALL_DPS&amp;selectedDay=today&amp;serviceAreaId="&amp;VLOOKUP($B146,'[1]DS ID'!B:D,4,FALSE),$G$1),"")</f>
        <v/>
      </c>
      <c r="H146" s="2441" t="str">
        <f>IFERROR(HYPERLINK("https://logistics.amazon.co.jp/internal/capacity/rosterview?serviceAreaId="&amp;VLOOKUP($B146,'[1]DS ID'!B:D,4,FALSE),$H$1),"")</f>
        <v/>
      </c>
      <c r="I146" s="2418" t="str">
        <f>IFERROR(HYPERLINK("https://logistics.amazon.co.jp/internal/scheduling/dsps?serviceAreaId="&amp;VLOOKUP($B146,'[1]DS ID'!B:D,4,FALSE),$I$1),"")</f>
        <v/>
      </c>
      <c r="J146" s="2418"/>
      <c r="K146" s="2418"/>
      <c r="L146" s="2391"/>
      <c r="M146" s="2395"/>
      <c r="N146" s="2378"/>
    </row>
    <row r="147" spans="1:14" x14ac:dyDescent="0.4">
      <c r="A147" s="2396"/>
      <c r="B147" s="2394"/>
      <c r="C147" s="2394"/>
      <c r="D147" s="2394"/>
      <c r="E147" s="2396"/>
      <c r="F147" s="2379"/>
      <c r="G147" s="2441" t="str">
        <f>IFERROR(HYPERLINK("https://logistics.amazon.co.jp/operations/execution/itineraries?cortexv2=true&amp;operationView=true&amp;progressStatusFilterValue&amp;providerFilter=ALL_DPS&amp;selectedDay=today&amp;serviceAreaId="&amp;VLOOKUP($B147,'[1]DS ID'!B:D,4,FALSE),$G$1),"")</f>
        <v/>
      </c>
      <c r="H147" s="2441" t="str">
        <f>IFERROR(HYPERLINK("https://logistics.amazon.co.jp/internal/capacity/rosterview?serviceAreaId="&amp;VLOOKUP($B147,'[1]DS ID'!B:D,4,FALSE),$H$1),"")</f>
        <v/>
      </c>
      <c r="I147" s="2418" t="str">
        <f>IFERROR(HYPERLINK("https://logistics.amazon.co.jp/internal/scheduling/dsps?serviceAreaId="&amp;VLOOKUP($B147,'[1]DS ID'!B:D,4,FALSE),$I$1),"")</f>
        <v/>
      </c>
      <c r="J147" s="2418"/>
      <c r="K147" s="2418"/>
      <c r="L147" s="2391"/>
      <c r="M147" s="2395"/>
      <c r="N147" s="2378"/>
    </row>
    <row r="148" spans="1:14" x14ac:dyDescent="0.4">
      <c r="A148" s="2394"/>
      <c r="B148" s="2394"/>
      <c r="C148" s="2394"/>
      <c r="D148" s="2394"/>
      <c r="E148" s="2396"/>
      <c r="F148" s="2379"/>
      <c r="G148" s="2441" t="str">
        <f>IFERROR(HYPERLINK("https://logistics.amazon.co.jp/operations/execution/itineraries?cortexv2=true&amp;operationView=true&amp;progressStatusFilterValue&amp;providerFilter=ALL_DPS&amp;selectedDay=today&amp;serviceAreaId="&amp;VLOOKUP($B148,'[1]DS ID'!B:D,4,FALSE),$G$1),"")</f>
        <v/>
      </c>
      <c r="H148" s="2441" t="str">
        <f>IFERROR(HYPERLINK("https://logistics.amazon.co.jp/internal/capacity/rosterview?serviceAreaId="&amp;VLOOKUP($B148,'[1]DS ID'!B:D,4,FALSE),$H$1),"")</f>
        <v/>
      </c>
      <c r="I148" s="2418" t="str">
        <f>IFERROR(HYPERLINK("https://logistics.amazon.co.jp/internal/scheduling/dsps?serviceAreaId="&amp;VLOOKUP($B148,'[1]DS ID'!B:D,4,FALSE),$I$1),"")</f>
        <v/>
      </c>
      <c r="J148" s="2418"/>
      <c r="K148" s="2418"/>
      <c r="L148" s="2391"/>
      <c r="M148" s="2395"/>
      <c r="N148" s="2378"/>
    </row>
    <row r="149" spans="1:14" x14ac:dyDescent="0.4">
      <c r="A149" s="2394"/>
      <c r="B149" s="2394"/>
      <c r="C149" s="2394"/>
      <c r="D149" s="2394"/>
      <c r="E149" s="2396"/>
      <c r="F149" s="2379"/>
      <c r="G149" s="2441" t="str">
        <f>IFERROR(HYPERLINK("https://logistics.amazon.co.jp/operations/execution/itineraries?cortexv2=true&amp;operationView=true&amp;progressStatusFilterValue&amp;providerFilter=ALL_DPS&amp;selectedDay=today&amp;serviceAreaId="&amp;VLOOKUP($B149,'[1]DS ID'!B:D,4,FALSE),$G$1),"")</f>
        <v/>
      </c>
      <c r="H149" s="2441" t="str">
        <f>IFERROR(HYPERLINK("https://logistics.amazon.co.jp/internal/capacity/rosterview?serviceAreaId="&amp;VLOOKUP($B149,'[1]DS ID'!B:D,4,FALSE),$H$1),"")</f>
        <v/>
      </c>
      <c r="I149" s="2418" t="str">
        <f>IFERROR(HYPERLINK("https://logistics.amazon.co.jp/internal/scheduling/dsps?serviceAreaId="&amp;VLOOKUP($B149,'[1]DS ID'!B:D,4,FALSE),$I$1),"")</f>
        <v/>
      </c>
      <c r="J149" s="2418"/>
      <c r="K149" s="2418"/>
      <c r="L149" s="2391"/>
      <c r="M149" s="2395"/>
      <c r="N149" s="2378"/>
    </row>
    <row r="150" spans="1:14" x14ac:dyDescent="0.4">
      <c r="A150" s="2394"/>
      <c r="B150" s="2394"/>
      <c r="C150" s="2394"/>
      <c r="D150" s="2394"/>
      <c r="E150" s="2396"/>
      <c r="F150" s="2379"/>
      <c r="G150" s="2441" t="str">
        <f>IFERROR(HYPERLINK("https://logistics.amazon.co.jp/operations/execution/itineraries?cortexv2=true&amp;operationView=true&amp;progressStatusFilterValue&amp;providerFilter=ALL_DPS&amp;selectedDay=today&amp;serviceAreaId="&amp;VLOOKUP($B150,'[1]DS ID'!B:D,4,FALSE),$G$1),"")</f>
        <v/>
      </c>
      <c r="H150" s="2441" t="str">
        <f>IFERROR(HYPERLINK("https://logistics.amazon.co.jp/internal/capacity/rosterview?serviceAreaId="&amp;VLOOKUP($B150,'[1]DS ID'!B:D,4,FALSE),$H$1),"")</f>
        <v/>
      </c>
      <c r="I150" s="2418" t="str">
        <f>IFERROR(HYPERLINK("https://logistics.amazon.co.jp/internal/scheduling/dsps?serviceAreaId="&amp;VLOOKUP($B150,'[1]DS ID'!B:D,4,FALSE),$I$1),"")</f>
        <v/>
      </c>
      <c r="J150" s="2418"/>
      <c r="K150" s="2418"/>
      <c r="L150" s="2391"/>
      <c r="M150" s="2395"/>
      <c r="N150" s="2378"/>
    </row>
    <row r="151" spans="1:14" x14ac:dyDescent="0.4">
      <c r="A151" s="2394"/>
      <c r="B151" s="2394"/>
      <c r="C151" s="2394"/>
      <c r="D151" s="2394"/>
      <c r="E151" s="2396"/>
      <c r="F151" s="2379"/>
      <c r="G151" s="2441" t="str">
        <f>IFERROR(HYPERLINK("https://logistics.amazon.co.jp/operations/execution/itineraries?cortexv2=true&amp;operationView=true&amp;progressStatusFilterValue&amp;providerFilter=ALL_DPS&amp;selectedDay=today&amp;serviceAreaId="&amp;VLOOKUP($B151,'[1]DS ID'!B:D,4,FALSE),$G$1),"")</f>
        <v/>
      </c>
      <c r="H151" s="2441" t="str">
        <f>IFERROR(HYPERLINK("https://logistics.amazon.co.jp/internal/capacity/rosterview?serviceAreaId="&amp;VLOOKUP($B151,'[1]DS ID'!B:D,4,FALSE),$H$1),"")</f>
        <v/>
      </c>
      <c r="I151" s="2418" t="str">
        <f>IFERROR(HYPERLINK("https://logistics.amazon.co.jp/internal/scheduling/dsps?serviceAreaId="&amp;VLOOKUP($B151,'[1]DS ID'!B:D,4,FALSE),$I$1),"")</f>
        <v/>
      </c>
      <c r="J151" s="2418"/>
      <c r="K151" s="2418"/>
      <c r="L151" s="2391"/>
      <c r="M151" s="2395"/>
      <c r="N151" s="2378"/>
    </row>
    <row r="152" spans="1:14" x14ac:dyDescent="0.4">
      <c r="A152" s="2394"/>
      <c r="B152" s="2394"/>
      <c r="C152" s="2394"/>
      <c r="D152" s="2394"/>
      <c r="E152" s="2396"/>
      <c r="F152" s="2379"/>
      <c r="G152" s="2441" t="str">
        <f>IFERROR(HYPERLINK("https://logistics.amazon.co.jp/operations/execution/itineraries?cortexv2=true&amp;operationView=true&amp;progressStatusFilterValue&amp;providerFilter=ALL_DPS&amp;selectedDay=today&amp;serviceAreaId="&amp;VLOOKUP($B152,'[1]DS ID'!B:D,4,FALSE),$G$1),"")</f>
        <v/>
      </c>
      <c r="H152" s="2441" t="str">
        <f>IFERROR(HYPERLINK("https://logistics.amazon.co.jp/internal/capacity/rosterview?serviceAreaId="&amp;VLOOKUP($B152,'[1]DS ID'!B:D,4,FALSE),$H$1),"")</f>
        <v/>
      </c>
      <c r="I152" s="2418" t="str">
        <f>IFERROR(HYPERLINK("https://logistics.amazon.co.jp/internal/scheduling/dsps?serviceAreaId="&amp;VLOOKUP($B152,'[1]DS ID'!B:D,4,FALSE),$I$1),"")</f>
        <v/>
      </c>
      <c r="J152" s="2418"/>
      <c r="K152" s="2418"/>
      <c r="L152" s="2391"/>
      <c r="M152" s="2395"/>
      <c r="N152" s="2378"/>
    </row>
    <row r="153" spans="1:14" x14ac:dyDescent="0.4">
      <c r="A153" s="2394"/>
      <c r="B153" s="2394"/>
      <c r="C153" s="2394"/>
      <c r="D153" s="2394"/>
      <c r="E153" s="2396"/>
      <c r="F153" s="2379"/>
      <c r="G153" s="2441" t="str">
        <f>IFERROR(HYPERLINK("https://logistics.amazon.co.jp/operations/execution/itineraries?cortexv2=true&amp;operationView=true&amp;progressStatusFilterValue&amp;providerFilter=ALL_DPS&amp;selectedDay=today&amp;serviceAreaId="&amp;VLOOKUP($B153,'[1]DS ID'!B:D,4,FALSE),$G$1),"")</f>
        <v/>
      </c>
      <c r="H153" s="2441" t="str">
        <f>IFERROR(HYPERLINK("https://logistics.amazon.co.jp/internal/capacity/rosterview?serviceAreaId="&amp;VLOOKUP($B153,'[1]DS ID'!B:D,4,FALSE),$H$1),"")</f>
        <v/>
      </c>
      <c r="I153" s="2418" t="str">
        <f>IFERROR(HYPERLINK("https://logistics.amazon.co.jp/internal/scheduling/dsps?serviceAreaId="&amp;VLOOKUP($B153,'[1]DS ID'!B:D,4,FALSE),$I$1),"")</f>
        <v/>
      </c>
      <c r="J153" s="2418"/>
      <c r="K153" s="2418"/>
      <c r="L153" s="2391"/>
      <c r="M153" s="2395"/>
      <c r="N153" s="2378"/>
    </row>
    <row r="154" spans="1:14" x14ac:dyDescent="0.4">
      <c r="A154" s="2396"/>
      <c r="B154" s="2394"/>
      <c r="C154" s="2394"/>
      <c r="D154" s="2394"/>
      <c r="E154" s="2396"/>
      <c r="F154" s="2379"/>
      <c r="G154" s="2441" t="str">
        <f>IFERROR(HYPERLINK("https://logistics.amazon.co.jp/operations/execution/itineraries?cortexv2=true&amp;operationView=true&amp;progressStatusFilterValue&amp;providerFilter=ALL_DPS&amp;selectedDay=today&amp;serviceAreaId="&amp;VLOOKUP($B154,'[1]DS ID'!B:D,4,FALSE),$G$1),"")</f>
        <v/>
      </c>
      <c r="H154" s="2441" t="str">
        <f>IFERROR(HYPERLINK("https://logistics.amazon.co.jp/internal/capacity/rosterview?serviceAreaId="&amp;VLOOKUP($B154,'[1]DS ID'!B:D,4,FALSE),$H$1),"")</f>
        <v/>
      </c>
      <c r="I154" s="2418" t="str">
        <f>IFERROR(HYPERLINK("https://logistics.amazon.co.jp/internal/scheduling/dsps?serviceAreaId="&amp;VLOOKUP($B154,'[1]DS ID'!B:D,4,FALSE),$I$1),"")</f>
        <v/>
      </c>
      <c r="J154" s="2418"/>
      <c r="K154" s="2418"/>
      <c r="L154" s="2442"/>
      <c r="M154" s="2395"/>
      <c r="N154" s="2378"/>
    </row>
    <row r="155" spans="1:14" x14ac:dyDescent="0.4">
      <c r="A155" s="2394"/>
      <c r="B155" s="2394"/>
      <c r="C155" s="2394"/>
      <c r="D155" s="2394"/>
      <c r="E155" s="2396"/>
      <c r="F155" s="2379"/>
      <c r="G155" s="2441" t="str">
        <f>IFERROR(HYPERLINK("https://logistics.amazon.co.jp/operations/execution/itineraries?cortexv2=true&amp;operationView=true&amp;progressStatusFilterValue&amp;providerFilter=ALL_DPS&amp;selectedDay=today&amp;serviceAreaId="&amp;VLOOKUP($B155,'[1]DS ID'!B:D,4,FALSE),$G$1),"")</f>
        <v/>
      </c>
      <c r="H155" s="2441" t="str">
        <f>IFERROR(HYPERLINK("https://logistics.amazon.co.jp/internal/capacity/rosterview?serviceAreaId="&amp;VLOOKUP($B155,'[1]DS ID'!B:D,4,FALSE),$H$1),"")</f>
        <v/>
      </c>
      <c r="I155" s="2418" t="str">
        <f>IFERROR(HYPERLINK("https://logistics.amazon.co.jp/internal/scheduling/dsps?serviceAreaId="&amp;VLOOKUP($B155,'[1]DS ID'!B:D,4,FALSE),$I$1),"")</f>
        <v/>
      </c>
      <c r="J155" s="2418"/>
      <c r="K155" s="2418"/>
      <c r="L155" s="2391"/>
      <c r="M155" s="2395"/>
      <c r="N155" s="2378"/>
    </row>
    <row r="156" spans="1:14" x14ac:dyDescent="0.4">
      <c r="A156" s="2394"/>
      <c r="B156" s="2394"/>
      <c r="C156" s="2394"/>
      <c r="D156" s="2394"/>
      <c r="E156" s="2396"/>
      <c r="F156" s="2379"/>
      <c r="G156" s="2441" t="str">
        <f>IFERROR(HYPERLINK("https://logistics.amazon.co.jp/operations/execution/itineraries?cortexv2=true&amp;operationView=true&amp;progressStatusFilterValue&amp;providerFilter=ALL_DPS&amp;selectedDay=today&amp;serviceAreaId="&amp;VLOOKUP($B156,'[1]DS ID'!B:D,4,FALSE),$G$1),"")</f>
        <v/>
      </c>
      <c r="H156" s="2441" t="str">
        <f>IFERROR(HYPERLINK("https://logistics.amazon.co.jp/internal/capacity/rosterview?serviceAreaId="&amp;VLOOKUP($B156,'[1]DS ID'!B:D,4,FALSE),$H$1),"")</f>
        <v/>
      </c>
      <c r="I156" s="2418" t="str">
        <f>IFERROR(HYPERLINK("https://logistics.amazon.co.jp/internal/scheduling/dsps?serviceAreaId="&amp;VLOOKUP($B156,'[1]DS ID'!B:D,4,FALSE),$I$1),"")</f>
        <v/>
      </c>
      <c r="J156" s="2418"/>
      <c r="K156" s="2418"/>
      <c r="L156" s="2391"/>
      <c r="M156" s="2410"/>
      <c r="N156" s="2378"/>
    </row>
    <row r="157" spans="1:14" x14ac:dyDescent="0.4">
      <c r="A157" s="2394"/>
      <c r="B157" s="2378"/>
      <c r="C157" s="2378"/>
      <c r="D157" s="2378"/>
      <c r="E157" s="2380"/>
      <c r="F157" s="2496"/>
      <c r="G157" s="2441" t="str">
        <f>IFERROR(HYPERLINK("https://logistics.amazon.co.jp/operations/execution/itineraries?cortexv2=true&amp;operationView=true&amp;progressStatusFilterValue&amp;providerFilter=ALL_DPS&amp;selectedDay=today&amp;serviceAreaId="&amp;VLOOKUP($B157,'[1]DS ID'!B:D,4,FALSE),$G$1),"")</f>
        <v/>
      </c>
      <c r="H157" s="2441" t="str">
        <f>IFERROR(HYPERLINK("https://logistics.amazon.co.jp/internal/capacity/rosterview?serviceAreaId="&amp;VLOOKUP($B157,'[1]DS ID'!B:D,4,FALSE),$H$1),"")</f>
        <v/>
      </c>
      <c r="I157" s="2418" t="str">
        <f>IFERROR(HYPERLINK("https://logistics.amazon.co.jp/internal/scheduling/dsps?serviceAreaId="&amp;VLOOKUP($B157,'[1]DS ID'!B:D,4,FALSE),$I$1),"")</f>
        <v/>
      </c>
      <c r="J157" s="2418"/>
      <c r="K157" s="2418"/>
      <c r="L157" s="2397"/>
      <c r="M157" s="2431"/>
      <c r="N157" s="2378"/>
    </row>
    <row r="158" spans="1:14" x14ac:dyDescent="0.4">
      <c r="A158" s="2394"/>
      <c r="B158" s="2378"/>
      <c r="C158" s="2378"/>
      <c r="D158" s="2378"/>
      <c r="E158" s="2380"/>
      <c r="F158" s="2496"/>
      <c r="G158" s="2441" t="str">
        <f>IFERROR(HYPERLINK("https://logistics.amazon.co.jp/operations/execution/itineraries?cortexv2=true&amp;operationView=true&amp;progressStatusFilterValue&amp;providerFilter=ALL_DPS&amp;selectedDay=today&amp;serviceAreaId="&amp;VLOOKUP($B158,'[1]DS ID'!B:D,4,FALSE),$G$1),"")</f>
        <v/>
      </c>
      <c r="H158" s="2441" t="str">
        <f>IFERROR(HYPERLINK("https://logistics.amazon.co.jp/internal/capacity/rosterview?serviceAreaId="&amp;VLOOKUP($B158,'[1]DS ID'!B:D,4,FALSE),$H$1),"")</f>
        <v/>
      </c>
      <c r="I158" s="2418" t="str">
        <f>IFERROR(HYPERLINK("https://logistics.amazon.co.jp/internal/scheduling/dsps?serviceAreaId="&amp;VLOOKUP($B158,'[1]DS ID'!B:D,4,FALSE),$I$1),"")</f>
        <v/>
      </c>
      <c r="J158" s="2418"/>
      <c r="K158" s="2418"/>
      <c r="L158" s="2397"/>
      <c r="M158" s="2431"/>
      <c r="N158" s="2378"/>
    </row>
    <row r="159" spans="1:14" x14ac:dyDescent="0.4">
      <c r="A159" s="2394"/>
      <c r="B159" s="2378"/>
      <c r="C159" s="2378"/>
      <c r="D159" s="2378"/>
      <c r="E159" s="2380"/>
      <c r="F159" s="2496"/>
      <c r="G159" s="2441" t="str">
        <f>IFERROR(HYPERLINK("https://logistics.amazon.co.jp/operations/execution/itineraries?cortexv2=true&amp;operationView=true&amp;progressStatusFilterValue&amp;providerFilter=ALL_DPS&amp;selectedDay=today&amp;serviceAreaId="&amp;VLOOKUP($B159,'[1]DS ID'!B:D,4,FALSE),$G$1),"")</f>
        <v/>
      </c>
      <c r="H159" s="2441" t="str">
        <f>IFERROR(HYPERLINK("https://logistics.amazon.co.jp/internal/capacity/rosterview?serviceAreaId="&amp;VLOOKUP($B159,'[1]DS ID'!B:D,4,FALSE),$H$1),"")</f>
        <v/>
      </c>
      <c r="I159" s="2418" t="str">
        <f>IFERROR(HYPERLINK("https://logistics.amazon.co.jp/internal/scheduling/dsps?serviceAreaId="&amp;VLOOKUP($B159,'[1]DS ID'!B:D,4,FALSE),$I$1),"")</f>
        <v/>
      </c>
      <c r="J159" s="2418"/>
      <c r="K159" s="2418"/>
      <c r="L159" s="2397"/>
      <c r="M159" s="2431"/>
      <c r="N159" s="2378"/>
    </row>
    <row r="160" spans="1:14" x14ac:dyDescent="0.4">
      <c r="A160" s="2394"/>
      <c r="B160" s="2378"/>
      <c r="C160" s="2378"/>
      <c r="D160" s="2378"/>
      <c r="E160" s="2380"/>
      <c r="F160" s="2496"/>
      <c r="G160" s="2441" t="str">
        <f>IFERROR(HYPERLINK("https://logistics.amazon.co.jp/operations/execution/itineraries?cortexv2=true&amp;operationView=true&amp;progressStatusFilterValue&amp;providerFilter=ALL_DPS&amp;selectedDay=today&amp;serviceAreaId="&amp;VLOOKUP($B160,'[1]DS ID'!B:D,4,FALSE),$G$1),"")</f>
        <v/>
      </c>
      <c r="H160" s="2441" t="str">
        <f>IFERROR(HYPERLINK("https://logistics.amazon.co.jp/internal/capacity/rosterview?serviceAreaId="&amp;VLOOKUP($B160,'[1]DS ID'!B:D,4,FALSE),$H$1),"")</f>
        <v/>
      </c>
      <c r="I160" s="2418" t="str">
        <f>IFERROR(HYPERLINK("https://logistics.amazon.co.jp/internal/scheduling/dsps?serviceAreaId="&amp;VLOOKUP($B160,'[1]DS ID'!B:D,4,FALSE),$I$1),"")</f>
        <v/>
      </c>
      <c r="J160" s="2418"/>
      <c r="K160" s="2418"/>
      <c r="L160" s="2397"/>
      <c r="M160" s="2431"/>
      <c r="N160" s="2378"/>
    </row>
    <row r="161" spans="1:14" x14ac:dyDescent="0.4">
      <c r="A161" s="2394"/>
      <c r="B161" s="2378"/>
      <c r="C161" s="2378"/>
      <c r="D161" s="2378"/>
      <c r="E161" s="2380"/>
      <c r="F161" s="2496"/>
      <c r="G161" s="2441" t="str">
        <f>IFERROR(HYPERLINK("https://logistics.amazon.co.jp/operations/execution/itineraries?cortexv2=true&amp;operationView=true&amp;progressStatusFilterValue&amp;providerFilter=ALL_DPS&amp;selectedDay=today&amp;serviceAreaId="&amp;VLOOKUP($B161,'[1]DS ID'!B:D,4,FALSE),$G$1),"")</f>
        <v/>
      </c>
      <c r="H161" s="2441" t="str">
        <f>IFERROR(HYPERLINK("https://logistics.amazon.co.jp/internal/capacity/rosterview?serviceAreaId="&amp;VLOOKUP($B161,'[1]DS ID'!B:D,4,FALSE),$H$1),"")</f>
        <v/>
      </c>
      <c r="I161" s="2418" t="str">
        <f>IFERROR(HYPERLINK("https://logistics.amazon.co.jp/internal/scheduling/dsps?serviceAreaId="&amp;VLOOKUP($B161,'[1]DS ID'!B:D,4,FALSE),$I$1),"")</f>
        <v/>
      </c>
      <c r="J161" s="2418"/>
      <c r="K161" s="2418"/>
      <c r="L161" s="2397"/>
      <c r="M161" s="2431"/>
      <c r="N161" s="2378"/>
    </row>
    <row r="162" spans="1:14" x14ac:dyDescent="0.4">
      <c r="A162" s="2394"/>
      <c r="B162" s="2378"/>
      <c r="C162" s="2378"/>
      <c r="D162" s="2378"/>
      <c r="E162" s="2380"/>
      <c r="F162" s="2496"/>
      <c r="G162" s="2441" t="str">
        <f>IFERROR(HYPERLINK("https://logistics.amazon.co.jp/operations/execution/itineraries?cortexv2=true&amp;operationView=true&amp;progressStatusFilterValue&amp;providerFilter=ALL_DPS&amp;selectedDay=today&amp;serviceAreaId="&amp;VLOOKUP($B162,'[1]DS ID'!B:D,4,FALSE),$G$1),"")</f>
        <v/>
      </c>
      <c r="H162" s="2441" t="str">
        <f>IFERROR(HYPERLINK("https://logistics.amazon.co.jp/internal/capacity/rosterview?serviceAreaId="&amp;VLOOKUP($B162,'[1]DS ID'!B:D,4,FALSE),$H$1),"")</f>
        <v/>
      </c>
      <c r="I162" s="2418" t="str">
        <f>IFERROR(HYPERLINK("https://logistics.amazon.co.jp/internal/scheduling/dsps?serviceAreaId="&amp;VLOOKUP($B162,'[1]DS ID'!B:D,4,FALSE),$I$1),"")</f>
        <v/>
      </c>
      <c r="J162" s="2418"/>
      <c r="K162" s="2418"/>
      <c r="L162" s="2397"/>
      <c r="M162" s="2431"/>
      <c r="N162" s="2378"/>
    </row>
    <row r="163" spans="1:14" x14ac:dyDescent="0.4">
      <c r="A163" s="2394"/>
      <c r="B163" s="2378"/>
      <c r="C163" s="2378"/>
      <c r="D163" s="2378"/>
      <c r="E163" s="2380"/>
      <c r="F163" s="2496"/>
      <c r="G163" s="2441" t="str">
        <f>IFERROR(HYPERLINK("https://logistics.amazon.co.jp/operations/execution/itineraries?cortexv2=true&amp;operationView=true&amp;progressStatusFilterValue&amp;providerFilter=ALL_DPS&amp;selectedDay=today&amp;serviceAreaId="&amp;VLOOKUP($B163,'[1]DS ID'!B:D,4,FALSE),$G$1),"")</f>
        <v/>
      </c>
      <c r="H163" s="2441" t="str">
        <f>IFERROR(HYPERLINK("https://logistics.amazon.co.jp/internal/capacity/rosterview?serviceAreaId="&amp;VLOOKUP($B163,'[1]DS ID'!B:D,4,FALSE),$H$1),"")</f>
        <v/>
      </c>
      <c r="I163" s="2418" t="str">
        <f>IFERROR(HYPERLINK("https://logistics.amazon.co.jp/internal/scheduling/dsps?serviceAreaId="&amp;VLOOKUP($B163,'[1]DS ID'!B:D,4,FALSE),$I$1),"")</f>
        <v/>
      </c>
      <c r="J163" s="2418"/>
      <c r="K163" s="2418"/>
      <c r="L163" s="2397"/>
      <c r="M163" s="2431"/>
      <c r="N163" s="2378"/>
    </row>
    <row r="164" spans="1:14" x14ac:dyDescent="0.4">
      <c r="A164" s="2394"/>
      <c r="B164" s="2378"/>
      <c r="C164" s="2378"/>
      <c r="D164" s="2378"/>
      <c r="E164" s="2380"/>
      <c r="F164" s="2496"/>
      <c r="G164" s="2441" t="str">
        <f>IFERROR(HYPERLINK("https://logistics.amazon.co.jp/operations/execution/itineraries?cortexv2=true&amp;operationView=true&amp;progressStatusFilterValue&amp;providerFilter=ALL_DPS&amp;selectedDay=today&amp;serviceAreaId="&amp;VLOOKUP($B164,'[1]DS ID'!B:D,4,FALSE),$G$1),"")</f>
        <v/>
      </c>
      <c r="H164" s="2441" t="str">
        <f>IFERROR(HYPERLINK("https://logistics.amazon.co.jp/internal/capacity/rosterview?serviceAreaId="&amp;VLOOKUP($B164,'[1]DS ID'!B:D,4,FALSE),$H$1),"")</f>
        <v/>
      </c>
      <c r="I164" s="2418" t="str">
        <f>IFERROR(HYPERLINK("https://logistics.amazon.co.jp/internal/scheduling/dsps?serviceAreaId="&amp;VLOOKUP($B164,'[1]DS ID'!B:D,4,FALSE),$I$1),"")</f>
        <v/>
      </c>
      <c r="J164" s="2418"/>
      <c r="K164" s="2418"/>
      <c r="L164" s="2397"/>
      <c r="M164" s="2431"/>
      <c r="N164" s="2378"/>
    </row>
    <row r="165" spans="1:14" x14ac:dyDescent="0.4">
      <c r="A165" s="2394"/>
      <c r="B165" s="2378"/>
      <c r="C165" s="2378"/>
      <c r="D165" s="2378"/>
      <c r="E165" s="2380"/>
      <c r="F165" s="2496"/>
      <c r="G165" s="2441" t="str">
        <f>IFERROR(HYPERLINK("https://logistics.amazon.co.jp/operations/execution/itineraries?cortexv2=true&amp;operationView=true&amp;progressStatusFilterValue&amp;providerFilter=ALL_DPS&amp;selectedDay=today&amp;serviceAreaId="&amp;VLOOKUP($B165,'[1]DS ID'!B:D,4,FALSE),$G$1),"")</f>
        <v/>
      </c>
      <c r="H165" s="2441" t="str">
        <f>IFERROR(HYPERLINK("https://logistics.amazon.co.jp/internal/capacity/rosterview?serviceAreaId="&amp;VLOOKUP($B165,'[1]DS ID'!B:D,4,FALSE),$H$1),"")</f>
        <v/>
      </c>
      <c r="I165" s="2418" t="str">
        <f>IFERROR(HYPERLINK("https://logistics.amazon.co.jp/internal/scheduling/dsps?serviceAreaId="&amp;VLOOKUP($B165,'[1]DS ID'!B:D,4,FALSE),$I$1),"")</f>
        <v/>
      </c>
      <c r="J165" s="2418"/>
      <c r="K165" s="2418"/>
      <c r="L165" s="2397"/>
      <c r="M165" s="2431"/>
      <c r="N165" s="2378"/>
    </row>
    <row r="166" spans="1:14" x14ac:dyDescent="0.4">
      <c r="A166" s="2394"/>
      <c r="B166" s="2378"/>
      <c r="C166" s="2378"/>
      <c r="D166" s="2378"/>
      <c r="E166" s="2380"/>
      <c r="F166" s="2496"/>
      <c r="G166" s="2441" t="str">
        <f>IFERROR(HYPERLINK("https://logistics.amazon.co.jp/operations/execution/itineraries?cortexv2=true&amp;operationView=true&amp;progressStatusFilterValue&amp;providerFilter=ALL_DPS&amp;selectedDay=today&amp;serviceAreaId="&amp;VLOOKUP($B166,'[1]DS ID'!B:D,4,FALSE),$G$1),"")</f>
        <v/>
      </c>
      <c r="H166" s="2441" t="str">
        <f>IFERROR(HYPERLINK("https://logistics.amazon.co.jp/internal/capacity/rosterview?serviceAreaId="&amp;VLOOKUP($B166,'[1]DS ID'!B:D,4,FALSE),$H$1),"")</f>
        <v/>
      </c>
      <c r="I166" s="2418" t="str">
        <f>IFERROR(HYPERLINK("https://logistics.amazon.co.jp/internal/scheduling/dsps?serviceAreaId="&amp;VLOOKUP($B166,'[1]DS ID'!B:D,4,FALSE),$I$1),"")</f>
        <v/>
      </c>
      <c r="J166" s="2418"/>
      <c r="K166" s="2418"/>
      <c r="L166" s="2397"/>
      <c r="M166" s="2431"/>
      <c r="N166" s="2378"/>
    </row>
    <row r="167" spans="1:14" x14ac:dyDescent="0.4">
      <c r="A167" s="2394"/>
      <c r="B167" s="2378"/>
      <c r="C167" s="2378"/>
      <c r="D167" s="2378"/>
      <c r="E167" s="2380"/>
      <c r="F167" s="2496"/>
      <c r="G167" s="2441" t="str">
        <f>IFERROR(HYPERLINK("https://logistics.amazon.co.jp/operations/execution/itineraries?cortexv2=true&amp;operationView=true&amp;progressStatusFilterValue&amp;providerFilter=ALL_DPS&amp;selectedDay=today&amp;serviceAreaId="&amp;VLOOKUP($B167,'[1]DS ID'!B:D,4,FALSE),$G$1),"")</f>
        <v/>
      </c>
      <c r="H167" s="2441" t="str">
        <f>IFERROR(HYPERLINK("https://logistics.amazon.co.jp/internal/capacity/rosterview?serviceAreaId="&amp;VLOOKUP($B167,'[1]DS ID'!B:D,4,FALSE),$H$1),"")</f>
        <v/>
      </c>
      <c r="I167" s="2418" t="str">
        <f>IFERROR(HYPERLINK("https://logistics.amazon.co.jp/internal/scheduling/dsps?serviceAreaId="&amp;VLOOKUP($B167,'[1]DS ID'!B:D,4,FALSE),$I$1),"")</f>
        <v/>
      </c>
      <c r="J167" s="2418"/>
      <c r="K167" s="2418"/>
      <c r="L167" s="2397"/>
      <c r="M167" s="2431"/>
      <c r="N167" s="2378"/>
    </row>
    <row r="168" spans="1:14" x14ac:dyDescent="0.4">
      <c r="A168" s="2394"/>
      <c r="B168" s="2378"/>
      <c r="C168" s="2378"/>
      <c r="D168" s="2378"/>
      <c r="E168" s="2380"/>
      <c r="F168" s="2496"/>
      <c r="G168" s="2441" t="str">
        <f>IFERROR(HYPERLINK("https://logistics.amazon.co.jp/operations/execution/itineraries?cortexv2=true&amp;operationView=true&amp;progressStatusFilterValue&amp;providerFilter=ALL_DPS&amp;selectedDay=today&amp;serviceAreaId="&amp;VLOOKUP($B168,'[1]DS ID'!B:D,4,FALSE),$G$1),"")</f>
        <v/>
      </c>
      <c r="H168" s="2441" t="str">
        <f>IFERROR(HYPERLINK("https://logistics.amazon.co.jp/internal/capacity/rosterview?serviceAreaId="&amp;VLOOKUP($B168,'[1]DS ID'!B:D,4,FALSE),$H$1),"")</f>
        <v/>
      </c>
      <c r="I168" s="2418" t="str">
        <f>IFERROR(HYPERLINK("https://logistics.amazon.co.jp/internal/scheduling/dsps?serviceAreaId="&amp;VLOOKUP($B168,'[1]DS ID'!B:D,4,FALSE),$I$1),"")</f>
        <v/>
      </c>
      <c r="J168" s="2418"/>
      <c r="K168" s="2418"/>
      <c r="L168" s="2397"/>
      <c r="M168" s="2431"/>
      <c r="N168" s="2378"/>
    </row>
    <row r="169" spans="1:14" x14ac:dyDescent="0.4">
      <c r="A169" s="2394"/>
      <c r="B169" s="2378"/>
      <c r="C169" s="2378"/>
      <c r="D169" s="2378"/>
      <c r="E169" s="2380"/>
      <c r="F169" s="2496"/>
      <c r="G169" s="2441" t="str">
        <f>IFERROR(HYPERLINK("https://logistics.amazon.co.jp/operations/execution/itineraries?cortexv2=true&amp;operationView=true&amp;progressStatusFilterValue&amp;providerFilter=ALL_DPS&amp;selectedDay=today&amp;serviceAreaId="&amp;VLOOKUP($B169,'[1]DS ID'!B:D,4,FALSE),$G$1),"")</f>
        <v/>
      </c>
      <c r="H169" s="2441" t="str">
        <f>IFERROR(HYPERLINK("https://logistics.amazon.co.jp/internal/capacity/rosterview?serviceAreaId="&amp;VLOOKUP($B169,'[1]DS ID'!B:D,4,FALSE),$H$1),"")</f>
        <v/>
      </c>
      <c r="I169" s="2418" t="str">
        <f>IFERROR(HYPERLINK("https://logistics.amazon.co.jp/internal/scheduling/dsps?serviceAreaId="&amp;VLOOKUP($B169,'[1]DS ID'!B:D,4,FALSE),$I$1),"")</f>
        <v/>
      </c>
      <c r="J169" s="2418"/>
      <c r="K169" s="2418"/>
      <c r="L169" s="2397"/>
      <c r="M169" s="2431"/>
      <c r="N169" s="2378"/>
    </row>
    <row r="170" spans="1:14" x14ac:dyDescent="0.4">
      <c r="A170" s="2394"/>
      <c r="B170" s="2378"/>
      <c r="C170" s="2378"/>
      <c r="D170" s="2378"/>
      <c r="E170" s="2380"/>
      <c r="F170" s="2496"/>
      <c r="G170" s="2441" t="str">
        <f>IFERROR(HYPERLINK("https://logistics.amazon.co.jp/operations/execution/itineraries?cortexv2=true&amp;operationView=true&amp;progressStatusFilterValue&amp;providerFilter=ALL_DPS&amp;selectedDay=today&amp;serviceAreaId="&amp;VLOOKUP($B170,'[1]DS ID'!B:D,4,FALSE),$G$1),"")</f>
        <v/>
      </c>
      <c r="H170" s="2441" t="str">
        <f>IFERROR(HYPERLINK("https://logistics.amazon.co.jp/internal/capacity/rosterview?serviceAreaId="&amp;VLOOKUP($B170,'[1]DS ID'!B:D,4,FALSE),$H$1),"")</f>
        <v/>
      </c>
      <c r="I170" s="2418" t="str">
        <f>IFERROR(HYPERLINK("https://logistics.amazon.co.jp/internal/scheduling/dsps?serviceAreaId="&amp;VLOOKUP($B170,'[1]DS ID'!B:D,4,FALSE),$I$1),"")</f>
        <v/>
      </c>
      <c r="J170" s="2418"/>
      <c r="K170" s="2418"/>
      <c r="L170" s="2397"/>
      <c r="M170" s="2431"/>
      <c r="N170" s="2378"/>
    </row>
    <row r="171" spans="1:14" x14ac:dyDescent="0.4">
      <c r="A171" s="2502"/>
      <c r="B171" s="2503"/>
      <c r="C171" s="2503"/>
      <c r="D171" s="2503"/>
      <c r="E171" s="2504"/>
      <c r="F171" s="2505"/>
      <c r="G171" s="2441" t="str">
        <f>IFERROR(HYPERLINK("https://logistics.amazon.co.jp/operations/execution/itineraries?cortexv2=true&amp;operationView=true&amp;progressStatusFilterValue&amp;providerFilter=ALL_DPS&amp;selectedDay=today&amp;serviceAreaId="&amp;VLOOKUP($B171,'[1]DS ID'!B:D,4,FALSE),$G$1),"")</f>
        <v/>
      </c>
      <c r="H171" s="2441" t="str">
        <f>IFERROR(HYPERLINK("https://logistics.amazon.co.jp/internal/capacity/rosterview?serviceAreaId="&amp;VLOOKUP($B171,'[1]DS ID'!B:D,4,FALSE),$H$1),"")</f>
        <v/>
      </c>
      <c r="I171" s="2418" t="str">
        <f>IFERROR(HYPERLINK("https://logistics.amazon.co.jp/internal/scheduling/dsps?serviceAreaId="&amp;VLOOKUP($B171,'[1]DS ID'!B:D,4,FALSE),$I$1),"")</f>
        <v/>
      </c>
      <c r="J171" s="2418"/>
      <c r="K171" s="2418"/>
      <c r="L171" s="2506"/>
      <c r="M171" s="2507"/>
      <c r="N171" s="2503"/>
    </row>
    <row r="172" spans="1:14" hidden="1" x14ac:dyDescent="0.4">
      <c r="A172" s="2508"/>
      <c r="C172" s="2508"/>
      <c r="E172" s="2508"/>
      <c r="F172" s="2386"/>
      <c r="G172" s="2441"/>
      <c r="H172" s="2441"/>
      <c r="I172" s="2441"/>
      <c r="J172" s="2441"/>
      <c r="K172" s="2441"/>
      <c r="L172" s="2386"/>
      <c r="M172" s="2386"/>
    </row>
    <row r="173" spans="1:14" x14ac:dyDescent="0.4">
      <c r="A173" s="2508"/>
      <c r="C173" s="2508"/>
      <c r="E173" s="2508"/>
      <c r="F173" s="2386"/>
      <c r="G173" s="2441"/>
      <c r="H173" s="2441"/>
      <c r="I173" s="2441"/>
      <c r="J173" s="2441"/>
      <c r="K173" s="2441"/>
      <c r="L173" s="2386"/>
      <c r="M173" s="2386"/>
    </row>
    <row r="174" spans="1:14" x14ac:dyDescent="0.4">
      <c r="A174" s="2508"/>
      <c r="C174" s="2508"/>
      <c r="E174" s="2508"/>
      <c r="F174" s="2386"/>
      <c r="G174" s="2441"/>
      <c r="H174" s="2441"/>
      <c r="I174" s="2441"/>
      <c r="J174" s="2441"/>
      <c r="K174" s="2441"/>
      <c r="L174" s="2386"/>
      <c r="M174" s="2386"/>
    </row>
    <row r="175" spans="1:14" x14ac:dyDescent="0.4">
      <c r="A175" s="2508"/>
      <c r="C175" s="2508"/>
      <c r="E175" s="2508"/>
      <c r="F175" s="2386"/>
      <c r="G175" s="2441"/>
      <c r="H175" s="2441"/>
      <c r="I175" s="2441"/>
      <c r="J175" s="2441"/>
      <c r="K175" s="2441"/>
      <c r="L175" s="2386"/>
      <c r="M175" s="2386"/>
    </row>
    <row r="176" spans="1:14" x14ac:dyDescent="0.4">
      <c r="A176" s="2508"/>
      <c r="C176" s="2508"/>
      <c r="E176" s="2508"/>
      <c r="F176" s="2386"/>
      <c r="G176" s="2441"/>
      <c r="H176" s="2441"/>
      <c r="I176" s="2441"/>
      <c r="J176" s="2441"/>
      <c r="K176" s="2441"/>
      <c r="L176" s="2386"/>
      <c r="M176" s="2386"/>
    </row>
    <row r="177" spans="1:13" x14ac:dyDescent="0.4">
      <c r="A177" s="2508"/>
      <c r="C177" s="2508"/>
      <c r="E177" s="2508"/>
      <c r="F177" s="2386"/>
      <c r="G177" s="2441"/>
      <c r="H177" s="2441"/>
      <c r="I177" s="2441"/>
      <c r="J177" s="2441"/>
      <c r="K177" s="2441"/>
      <c r="L177" s="2386"/>
      <c r="M177" s="2386"/>
    </row>
    <row r="178" spans="1:13" x14ac:dyDescent="0.4">
      <c r="A178" s="2508"/>
      <c r="C178" s="2508"/>
      <c r="E178" s="2508"/>
      <c r="F178" s="2386"/>
      <c r="G178" s="2441"/>
      <c r="H178" s="2441"/>
      <c r="I178" s="2441"/>
      <c r="J178" s="2441"/>
      <c r="K178" s="2441"/>
      <c r="L178" s="2386"/>
      <c r="M178" s="2386"/>
    </row>
    <row r="179" spans="1:13" x14ac:dyDescent="0.4">
      <c r="A179" s="2508"/>
      <c r="C179" s="2508"/>
      <c r="E179" s="2508"/>
      <c r="F179" s="2386"/>
      <c r="G179" s="2441"/>
      <c r="H179" s="2441"/>
      <c r="I179" s="2441"/>
      <c r="J179" s="2441"/>
      <c r="K179" s="2441"/>
      <c r="L179" s="2386"/>
      <c r="M179" s="2386"/>
    </row>
    <row r="180" spans="1:13" x14ac:dyDescent="0.4">
      <c r="A180" s="2508"/>
      <c r="C180" s="2508"/>
      <c r="E180" s="2508"/>
      <c r="F180" s="2386"/>
      <c r="G180" s="2441"/>
      <c r="H180" s="2441"/>
      <c r="I180" s="2441"/>
      <c r="J180" s="2441"/>
      <c r="K180" s="2441"/>
      <c r="L180" s="2386"/>
      <c r="M180" s="2386"/>
    </row>
    <row r="181" spans="1:13" x14ac:dyDescent="0.4">
      <c r="A181" s="2508"/>
      <c r="C181" s="2508"/>
      <c r="E181" s="2508"/>
      <c r="F181" s="2386"/>
      <c r="G181" s="2441"/>
      <c r="H181" s="2441"/>
      <c r="I181" s="2441"/>
      <c r="J181" s="2441"/>
      <c r="K181" s="2441"/>
      <c r="L181" s="2386"/>
      <c r="M181" s="2386"/>
    </row>
    <row r="182" spans="1:13" x14ac:dyDescent="0.4">
      <c r="A182" s="2508"/>
      <c r="C182" s="2508"/>
      <c r="E182" s="2508"/>
      <c r="F182" s="2386"/>
      <c r="G182" s="2441"/>
      <c r="H182" s="2441"/>
      <c r="I182" s="2441"/>
      <c r="J182" s="2441"/>
      <c r="K182" s="2441"/>
      <c r="L182" s="2386"/>
      <c r="M182" s="2386"/>
    </row>
    <row r="183" spans="1:13" x14ac:dyDescent="0.4">
      <c r="A183" s="2508"/>
      <c r="C183" s="2508"/>
      <c r="E183" s="2508"/>
      <c r="F183" s="2386"/>
      <c r="G183" s="2441"/>
      <c r="H183" s="2441"/>
      <c r="I183" s="2441"/>
      <c r="J183" s="2441"/>
      <c r="K183" s="2441"/>
      <c r="L183" s="2386"/>
      <c r="M183" s="2386"/>
    </row>
    <row r="184" spans="1:13" x14ac:dyDescent="0.4">
      <c r="A184" s="2508"/>
      <c r="C184" s="2508"/>
      <c r="E184" s="2508"/>
      <c r="F184" s="2386"/>
      <c r="G184" s="2441"/>
      <c r="H184" s="2441"/>
      <c r="I184" s="2441"/>
      <c r="J184" s="2441"/>
      <c r="K184" s="2441"/>
      <c r="L184" s="2386"/>
      <c r="M184" s="2386"/>
    </row>
    <row r="185" spans="1:13" x14ac:dyDescent="0.4">
      <c r="A185" s="2508"/>
      <c r="C185" s="2508"/>
      <c r="E185" s="2508"/>
      <c r="F185" s="2386"/>
      <c r="G185" s="2441"/>
      <c r="H185" s="2441"/>
      <c r="I185" s="2441"/>
      <c r="J185" s="2441"/>
      <c r="K185" s="2441"/>
      <c r="L185" s="2386"/>
      <c r="M185" s="2386"/>
    </row>
    <row r="186" spans="1:13" x14ac:dyDescent="0.4">
      <c r="A186" s="2508"/>
      <c r="C186" s="2508"/>
      <c r="E186" s="2508"/>
      <c r="F186" s="2386"/>
      <c r="G186" s="2441"/>
      <c r="H186" s="2441"/>
      <c r="I186" s="2441"/>
      <c r="J186" s="2441"/>
      <c r="K186" s="2441"/>
      <c r="L186" s="2386"/>
      <c r="M186" s="2386"/>
    </row>
    <row r="187" spans="1:13" x14ac:dyDescent="0.4">
      <c r="A187" s="2508"/>
      <c r="C187" s="2508"/>
      <c r="E187" s="2508"/>
      <c r="F187" s="2386"/>
      <c r="G187" s="2441"/>
      <c r="H187" s="2441"/>
      <c r="I187" s="2441"/>
      <c r="J187" s="2441"/>
      <c r="K187" s="2441"/>
      <c r="L187" s="2386"/>
      <c r="M187" s="2386"/>
    </row>
    <row r="188" spans="1:13" x14ac:dyDescent="0.4">
      <c r="A188" s="2508"/>
      <c r="C188" s="2508"/>
      <c r="E188" s="2508"/>
      <c r="F188" s="2386"/>
      <c r="G188" s="2441"/>
      <c r="H188" s="2441"/>
      <c r="I188" s="2441"/>
      <c r="J188" s="2441"/>
      <c r="K188" s="2441"/>
      <c r="L188" s="2386"/>
      <c r="M188" s="2386"/>
    </row>
    <row r="189" spans="1:13" x14ac:dyDescent="0.4">
      <c r="A189" s="2508"/>
      <c r="C189" s="2508"/>
      <c r="E189" s="2508"/>
      <c r="F189" s="2386"/>
      <c r="G189" s="2441"/>
      <c r="H189" s="2441"/>
      <c r="I189" s="2441"/>
      <c r="J189" s="2441"/>
      <c r="K189" s="2441"/>
      <c r="L189" s="2386"/>
      <c r="M189" s="2386"/>
    </row>
    <row r="190" spans="1:13" x14ac:dyDescent="0.4">
      <c r="A190" s="2508"/>
      <c r="C190" s="2508"/>
      <c r="E190" s="2508"/>
      <c r="F190" s="2386"/>
      <c r="G190" s="2441"/>
      <c r="H190" s="2441"/>
      <c r="I190" s="2441"/>
      <c r="J190" s="2441"/>
      <c r="K190" s="2441"/>
      <c r="L190" s="2386"/>
      <c r="M190" s="2386"/>
    </row>
    <row r="191" spans="1:13" x14ac:dyDescent="0.4">
      <c r="A191" s="2508"/>
      <c r="C191" s="2508"/>
      <c r="E191" s="2508"/>
      <c r="F191" s="2386"/>
      <c r="G191" s="2441"/>
      <c r="H191" s="2441"/>
      <c r="I191" s="2441"/>
      <c r="J191" s="2441"/>
      <c r="K191" s="2441"/>
      <c r="L191" s="2386"/>
      <c r="M191" s="2386"/>
    </row>
    <row r="192" spans="1:13" x14ac:dyDescent="0.4">
      <c r="A192" s="2508"/>
      <c r="C192" s="2508"/>
      <c r="E192" s="2508"/>
      <c r="F192" s="2386"/>
      <c r="G192" s="2441"/>
      <c r="H192" s="2441"/>
      <c r="I192" s="2441"/>
      <c r="J192" s="2441"/>
      <c r="K192" s="2441"/>
      <c r="L192" s="2386"/>
      <c r="M192" s="2386"/>
    </row>
    <row r="193" spans="1:13" x14ac:dyDescent="0.4">
      <c r="A193" s="2508"/>
      <c r="C193" s="2508"/>
      <c r="E193" s="2508"/>
      <c r="F193" s="2386"/>
      <c r="G193" s="2441"/>
      <c r="H193" s="2441"/>
      <c r="I193" s="2441"/>
      <c r="J193" s="2441"/>
      <c r="K193" s="2441"/>
      <c r="L193" s="2386"/>
      <c r="M193" s="2386"/>
    </row>
    <row r="194" spans="1:13" x14ac:dyDescent="0.4">
      <c r="A194" s="2508"/>
      <c r="C194" s="2508"/>
      <c r="E194" s="2508"/>
      <c r="F194" s="2386"/>
      <c r="G194" s="2441"/>
      <c r="H194" s="2441"/>
      <c r="I194" s="2441"/>
      <c r="J194" s="2441"/>
      <c r="K194" s="2441"/>
      <c r="L194" s="2386"/>
      <c r="M194" s="2386"/>
    </row>
    <row r="195" spans="1:13" x14ac:dyDescent="0.4">
      <c r="A195" s="2508"/>
      <c r="C195" s="2508"/>
      <c r="E195" s="2508"/>
      <c r="F195" s="2386"/>
      <c r="G195" s="2441"/>
      <c r="H195" s="2441"/>
      <c r="I195" s="2441"/>
      <c r="J195" s="2441"/>
      <c r="K195" s="2441"/>
      <c r="L195" s="2386"/>
      <c r="M195" s="2386"/>
    </row>
    <row r="196" spans="1:13" x14ac:dyDescent="0.4">
      <c r="A196" s="2508"/>
      <c r="C196" s="2508"/>
      <c r="E196" s="2508"/>
      <c r="F196" s="2386"/>
      <c r="G196" s="2441"/>
      <c r="H196" s="2441"/>
      <c r="I196" s="2441"/>
      <c r="J196" s="2441"/>
      <c r="K196" s="2441"/>
      <c r="L196" s="2386"/>
      <c r="M196" s="2386"/>
    </row>
    <row r="197" spans="1:13" x14ac:dyDescent="0.4">
      <c r="A197" s="2508"/>
      <c r="C197" s="2508"/>
      <c r="E197" s="2508"/>
      <c r="F197" s="2386"/>
      <c r="G197" s="2441"/>
      <c r="H197" s="2441"/>
      <c r="I197" s="2441"/>
      <c r="J197" s="2441"/>
      <c r="K197" s="2441"/>
      <c r="L197" s="2386"/>
      <c r="M197" s="2386"/>
    </row>
    <row r="198" spans="1:13" x14ac:dyDescent="0.4">
      <c r="A198" s="2508"/>
      <c r="C198" s="2508"/>
      <c r="E198" s="2508"/>
      <c r="F198" s="2386"/>
      <c r="G198" s="2441"/>
      <c r="H198" s="2441"/>
      <c r="I198" s="2441"/>
      <c r="J198" s="2441"/>
      <c r="K198" s="2441"/>
      <c r="L198" s="2386"/>
      <c r="M198" s="2386"/>
    </row>
    <row r="199" spans="1:13" x14ac:dyDescent="0.4">
      <c r="A199" s="2508"/>
      <c r="C199" s="2508"/>
      <c r="E199" s="2508"/>
      <c r="F199" s="2386"/>
      <c r="G199" s="2441"/>
      <c r="H199" s="2441"/>
      <c r="I199" s="2441"/>
      <c r="J199" s="2441"/>
      <c r="K199" s="2441"/>
      <c r="L199" s="2386"/>
      <c r="M199" s="2386"/>
    </row>
    <row r="200" spans="1:13" x14ac:dyDescent="0.4">
      <c r="A200" s="2508"/>
      <c r="C200" s="2508"/>
      <c r="E200" s="2508"/>
      <c r="F200" s="2386"/>
      <c r="G200" s="2441"/>
      <c r="H200" s="2441"/>
      <c r="I200" s="2441"/>
      <c r="J200" s="2441"/>
      <c r="K200" s="2441"/>
      <c r="L200" s="2386"/>
      <c r="M200" s="2386"/>
    </row>
    <row r="201" spans="1:13" x14ac:dyDescent="0.4">
      <c r="A201" s="2508"/>
      <c r="C201" s="2508"/>
      <c r="E201" s="2508"/>
      <c r="F201" s="2386"/>
      <c r="G201" s="2441"/>
      <c r="H201" s="2441"/>
      <c r="I201" s="2441"/>
      <c r="J201" s="2441"/>
      <c r="K201" s="2441"/>
      <c r="L201" s="2386"/>
      <c r="M201" s="2386"/>
    </row>
    <row r="202" spans="1:13" x14ac:dyDescent="0.4">
      <c r="A202" s="2508"/>
      <c r="C202" s="2508"/>
      <c r="E202" s="2508"/>
      <c r="F202" s="2386"/>
      <c r="G202" s="2441"/>
      <c r="H202" s="2441"/>
      <c r="I202" s="2441"/>
      <c r="J202" s="2441"/>
      <c r="K202" s="2441"/>
      <c r="L202" s="2386"/>
      <c r="M202" s="2386"/>
    </row>
    <row r="203" spans="1:13" x14ac:dyDescent="0.4">
      <c r="A203" s="2508"/>
      <c r="C203" s="2508"/>
      <c r="E203" s="2508"/>
      <c r="F203" s="2386"/>
      <c r="G203" s="2441"/>
      <c r="H203" s="2441"/>
      <c r="I203" s="2441"/>
      <c r="J203" s="2441"/>
      <c r="K203" s="2441"/>
      <c r="L203" s="2386"/>
      <c r="M203" s="2386"/>
    </row>
    <row r="204" spans="1:13" x14ac:dyDescent="0.4">
      <c r="A204" s="2508"/>
      <c r="C204" s="2508"/>
      <c r="E204" s="2508"/>
      <c r="F204" s="2386"/>
      <c r="G204" s="2441"/>
      <c r="H204" s="2441"/>
      <c r="I204" s="2441"/>
      <c r="J204" s="2441"/>
      <c r="K204" s="2441"/>
      <c r="L204" s="2386"/>
      <c r="M204" s="2386"/>
    </row>
    <row r="205" spans="1:13" x14ac:dyDescent="0.4">
      <c r="A205" s="2508"/>
      <c r="C205" s="2508"/>
      <c r="E205" s="2508"/>
      <c r="F205" s="2386"/>
      <c r="G205" s="2441"/>
      <c r="H205" s="2441"/>
      <c r="I205" s="2441"/>
      <c r="J205" s="2441"/>
      <c r="K205" s="2441"/>
      <c r="L205" s="2386"/>
      <c r="M205" s="2386"/>
    </row>
    <row r="206" spans="1:13" x14ac:dyDescent="0.4">
      <c r="A206" s="2508"/>
      <c r="C206" s="2508"/>
      <c r="E206" s="2508"/>
      <c r="F206" s="2386"/>
      <c r="G206" s="2441"/>
      <c r="H206" s="2441"/>
      <c r="I206" s="2441"/>
      <c r="J206" s="2441"/>
      <c r="K206" s="2441"/>
      <c r="L206" s="2386"/>
      <c r="M206" s="2386"/>
    </row>
    <row r="207" spans="1:13" x14ac:dyDescent="0.4">
      <c r="A207" s="2508"/>
      <c r="C207" s="2508"/>
      <c r="E207" s="2508"/>
      <c r="F207" s="2386"/>
      <c r="G207" s="2441"/>
      <c r="H207" s="2441"/>
      <c r="I207" s="2441"/>
      <c r="J207" s="2441"/>
      <c r="K207" s="2441"/>
      <c r="L207" s="2386"/>
      <c r="M207" s="2386"/>
    </row>
    <row r="208" spans="1:13" x14ac:dyDescent="0.4">
      <c r="A208" s="2508"/>
      <c r="C208" s="2508"/>
      <c r="E208" s="2508"/>
      <c r="F208" s="2386"/>
      <c r="G208" s="2441"/>
      <c r="H208" s="2441"/>
      <c r="I208" s="2441"/>
      <c r="J208" s="2441"/>
      <c r="K208" s="2441"/>
      <c r="L208" s="2386"/>
      <c r="M208" s="2386"/>
    </row>
    <row r="209" spans="1:13" x14ac:dyDescent="0.4">
      <c r="A209" s="2508"/>
      <c r="C209" s="2508"/>
      <c r="E209" s="2508"/>
      <c r="F209" s="2386"/>
      <c r="G209" s="2441"/>
      <c r="H209" s="2441"/>
      <c r="I209" s="2441"/>
      <c r="J209" s="2441"/>
      <c r="K209" s="2441"/>
      <c r="L209" s="2386"/>
      <c r="M209" s="2386"/>
    </row>
    <row r="210" spans="1:13" x14ac:dyDescent="0.4">
      <c r="A210" s="2508"/>
      <c r="C210" s="2508"/>
      <c r="E210" s="2508"/>
      <c r="F210" s="2386"/>
      <c r="G210" s="2441"/>
      <c r="H210" s="2441"/>
      <c r="I210" s="2441"/>
      <c r="J210" s="2441"/>
      <c r="K210" s="2441"/>
      <c r="L210" s="2386"/>
      <c r="M210" s="2386"/>
    </row>
    <row r="211" spans="1:13" x14ac:dyDescent="0.4">
      <c r="A211" s="2508"/>
      <c r="C211" s="2508"/>
      <c r="E211" s="2508"/>
      <c r="F211" s="2386"/>
      <c r="G211" s="2441"/>
      <c r="H211" s="2441"/>
      <c r="I211" s="2441"/>
      <c r="J211" s="2441"/>
      <c r="K211" s="2441"/>
      <c r="L211" s="2386"/>
      <c r="M211" s="2386"/>
    </row>
    <row r="212" spans="1:13" x14ac:dyDescent="0.4">
      <c r="A212" s="2508"/>
      <c r="C212" s="2508"/>
      <c r="E212" s="2508"/>
      <c r="F212" s="2386"/>
      <c r="G212" s="2441"/>
      <c r="H212" s="2441"/>
      <c r="I212" s="2441"/>
      <c r="J212" s="2441"/>
      <c r="K212" s="2441"/>
      <c r="L212" s="2386"/>
      <c r="M212" s="2386"/>
    </row>
    <row r="213" spans="1:13" x14ac:dyDescent="0.4">
      <c r="A213" s="2508"/>
      <c r="C213" s="2508"/>
      <c r="E213" s="2508"/>
      <c r="F213" s="2386"/>
      <c r="G213" s="2441"/>
      <c r="H213" s="2441"/>
      <c r="I213" s="2441"/>
      <c r="J213" s="2441"/>
      <c r="K213" s="2441"/>
      <c r="L213" s="2386"/>
      <c r="M213" s="2386"/>
    </row>
    <row r="214" spans="1:13" x14ac:dyDescent="0.4">
      <c r="A214" s="2508"/>
      <c r="C214" s="2508"/>
      <c r="E214" s="2508"/>
      <c r="F214" s="2386"/>
      <c r="G214" s="2441"/>
      <c r="H214" s="2441"/>
      <c r="I214" s="2441"/>
      <c r="J214" s="2441"/>
      <c r="K214" s="2441"/>
      <c r="L214" s="2386"/>
      <c r="M214" s="2386"/>
    </row>
    <row r="215" spans="1:13" x14ac:dyDescent="0.4">
      <c r="A215" s="2508"/>
      <c r="C215" s="2508"/>
      <c r="E215" s="2508"/>
      <c r="F215" s="2386"/>
      <c r="G215" s="2441"/>
      <c r="H215" s="2441"/>
      <c r="I215" s="2441"/>
      <c r="J215" s="2441"/>
      <c r="K215" s="2441"/>
      <c r="L215" s="2386"/>
      <c r="M215" s="2386"/>
    </row>
    <row r="216" spans="1:13" x14ac:dyDescent="0.4">
      <c r="A216" s="2508"/>
      <c r="C216" s="2508"/>
      <c r="E216" s="2508"/>
      <c r="F216" s="2386"/>
      <c r="G216" s="2441"/>
      <c r="H216" s="2441"/>
      <c r="I216" s="2441"/>
      <c r="J216" s="2441"/>
      <c r="K216" s="2441"/>
      <c r="L216" s="2386"/>
      <c r="M216" s="2386"/>
    </row>
    <row r="217" spans="1:13" x14ac:dyDescent="0.4">
      <c r="A217" s="2508"/>
      <c r="C217" s="2508"/>
      <c r="E217" s="2508"/>
      <c r="F217" s="2386"/>
      <c r="G217" s="2441"/>
      <c r="H217" s="2441"/>
      <c r="I217" s="2441"/>
      <c r="J217" s="2441"/>
      <c r="K217" s="2441"/>
      <c r="L217" s="2386"/>
      <c r="M217" s="2386"/>
    </row>
    <row r="218" spans="1:13" x14ac:dyDescent="0.4">
      <c r="A218" s="2508"/>
      <c r="C218" s="2508"/>
      <c r="E218" s="2508"/>
      <c r="F218" s="2386"/>
      <c r="G218" s="2441"/>
      <c r="H218" s="2441"/>
      <c r="I218" s="2441"/>
      <c r="J218" s="2441"/>
      <c r="K218" s="2441"/>
      <c r="L218" s="2386"/>
      <c r="M218" s="2386"/>
    </row>
    <row r="219" spans="1:13" x14ac:dyDescent="0.4">
      <c r="A219" s="2508"/>
      <c r="C219" s="2508"/>
      <c r="E219" s="2508"/>
      <c r="F219" s="2386"/>
      <c r="G219" s="2441"/>
      <c r="H219" s="2441"/>
      <c r="I219" s="2441"/>
      <c r="J219" s="2441"/>
      <c r="K219" s="2441"/>
      <c r="L219" s="2386"/>
      <c r="M219" s="2386"/>
    </row>
    <row r="220" spans="1:13" x14ac:dyDescent="0.4">
      <c r="A220" s="2508"/>
      <c r="C220" s="2508"/>
      <c r="E220" s="2508"/>
      <c r="F220" s="2386"/>
      <c r="G220" s="2441"/>
      <c r="H220" s="2441"/>
      <c r="I220" s="2441"/>
      <c r="J220" s="2441"/>
      <c r="K220" s="2441"/>
      <c r="L220" s="2386"/>
      <c r="M220" s="2386"/>
    </row>
    <row r="221" spans="1:13" x14ac:dyDescent="0.4">
      <c r="A221" s="2508"/>
      <c r="C221" s="2508"/>
      <c r="E221" s="2508"/>
      <c r="F221" s="2386"/>
      <c r="G221" s="2441"/>
      <c r="H221" s="2441"/>
      <c r="I221" s="2441"/>
      <c r="J221" s="2441"/>
      <c r="K221" s="2441"/>
      <c r="L221" s="2386"/>
      <c r="M221" s="2386"/>
    </row>
    <row r="222" spans="1:13" x14ac:dyDescent="0.4">
      <c r="A222" s="2508"/>
      <c r="C222" s="2508"/>
      <c r="E222" s="2508"/>
      <c r="F222" s="2386"/>
      <c r="G222" s="2441"/>
      <c r="H222" s="2441"/>
      <c r="I222" s="2441"/>
      <c r="J222" s="2441"/>
      <c r="K222" s="2441"/>
      <c r="L222" s="2386"/>
      <c r="M222" s="2386"/>
    </row>
    <row r="223" spans="1:13" x14ac:dyDescent="0.4">
      <c r="A223" s="2508"/>
      <c r="C223" s="2508"/>
      <c r="E223" s="2508"/>
      <c r="F223" s="2386"/>
      <c r="G223" s="2441"/>
      <c r="H223" s="2441"/>
      <c r="I223" s="2441"/>
      <c r="J223" s="2441"/>
      <c r="K223" s="2441"/>
      <c r="L223" s="2386"/>
      <c r="M223" s="2386"/>
    </row>
    <row r="224" spans="1:13" x14ac:dyDescent="0.4">
      <c r="A224" s="2508"/>
      <c r="C224" s="2508"/>
      <c r="E224" s="2508"/>
      <c r="F224" s="2386"/>
      <c r="G224" s="2441"/>
      <c r="H224" s="2441"/>
      <c r="I224" s="2441"/>
      <c r="J224" s="2441"/>
      <c r="K224" s="2441"/>
      <c r="L224" s="2386"/>
      <c r="M224" s="2386"/>
    </row>
    <row r="225" spans="1:13" x14ac:dyDescent="0.4">
      <c r="A225" s="2508"/>
      <c r="C225" s="2508"/>
      <c r="E225" s="2508"/>
      <c r="F225" s="2386"/>
      <c r="G225" s="2441"/>
      <c r="H225" s="2441"/>
      <c r="I225" s="2441"/>
      <c r="J225" s="2441"/>
      <c r="K225" s="2441"/>
      <c r="L225" s="2386"/>
      <c r="M225" s="2386"/>
    </row>
    <row r="226" spans="1:13" x14ac:dyDescent="0.4">
      <c r="A226" s="2508"/>
      <c r="C226" s="2508"/>
      <c r="E226" s="2508"/>
      <c r="F226" s="2386"/>
      <c r="G226" s="2441"/>
      <c r="H226" s="2441"/>
      <c r="I226" s="2441"/>
      <c r="J226" s="2441"/>
      <c r="K226" s="2441"/>
      <c r="L226" s="2386"/>
      <c r="M226" s="2386"/>
    </row>
    <row r="227" spans="1:13" x14ac:dyDescent="0.4">
      <c r="A227" s="2508"/>
      <c r="C227" s="2508"/>
      <c r="E227" s="2508"/>
      <c r="F227" s="2386"/>
      <c r="G227" s="2441"/>
      <c r="H227" s="2441"/>
      <c r="I227" s="2441"/>
      <c r="J227" s="2441"/>
      <c r="K227" s="2441"/>
      <c r="L227" s="2386"/>
      <c r="M227" s="2386"/>
    </row>
    <row r="228" spans="1:13" x14ac:dyDescent="0.4">
      <c r="A228" s="2508"/>
      <c r="C228" s="2508"/>
      <c r="E228" s="2508"/>
      <c r="F228" s="2386"/>
      <c r="G228" s="2441"/>
      <c r="H228" s="2441"/>
      <c r="I228" s="2441"/>
      <c r="J228" s="2441"/>
      <c r="K228" s="2441"/>
      <c r="L228" s="2386"/>
      <c r="M228" s="2386"/>
    </row>
    <row r="229" spans="1:13" x14ac:dyDescent="0.4">
      <c r="A229" s="2508"/>
      <c r="C229" s="2508"/>
      <c r="E229" s="2508"/>
      <c r="F229" s="2386"/>
      <c r="G229" s="2441"/>
      <c r="H229" s="2441"/>
      <c r="I229" s="2441"/>
      <c r="J229" s="2441"/>
      <c r="K229" s="2441"/>
      <c r="L229" s="2386"/>
      <c r="M229" s="2386"/>
    </row>
    <row r="230" spans="1:13" x14ac:dyDescent="0.4">
      <c r="A230" s="2508"/>
      <c r="C230" s="2508"/>
      <c r="E230" s="2508"/>
      <c r="F230" s="2386"/>
      <c r="G230" s="2441"/>
      <c r="H230" s="2441"/>
      <c r="I230" s="2441"/>
      <c r="J230" s="2441"/>
      <c r="K230" s="2441"/>
      <c r="L230" s="2386"/>
      <c r="M230" s="2386"/>
    </row>
    <row r="231" spans="1:13" x14ac:dyDescent="0.4">
      <c r="A231" s="2508"/>
      <c r="C231" s="2508"/>
      <c r="E231" s="2508"/>
      <c r="F231" s="2386"/>
      <c r="G231" s="2441"/>
      <c r="H231" s="2441"/>
      <c r="I231" s="2441"/>
      <c r="J231" s="2441"/>
      <c r="K231" s="2441"/>
      <c r="L231" s="2386"/>
      <c r="M231" s="2386"/>
    </row>
    <row r="232" spans="1:13" x14ac:dyDescent="0.4">
      <c r="A232" s="2508"/>
      <c r="C232" s="2508"/>
      <c r="E232" s="2508"/>
      <c r="F232" s="2386"/>
      <c r="G232" s="2441"/>
      <c r="H232" s="2441"/>
      <c r="I232" s="2441"/>
      <c r="J232" s="2441"/>
      <c r="K232" s="2441"/>
      <c r="L232" s="2386"/>
      <c r="M232" s="2386"/>
    </row>
    <row r="233" spans="1:13" x14ac:dyDescent="0.4">
      <c r="A233" s="2508"/>
      <c r="C233" s="2508"/>
      <c r="E233" s="2508"/>
      <c r="F233" s="2386"/>
      <c r="G233" s="2441"/>
      <c r="H233" s="2441"/>
      <c r="I233" s="2441"/>
      <c r="J233" s="2441"/>
      <c r="K233" s="2441"/>
      <c r="L233" s="2386"/>
      <c r="M233" s="2386"/>
    </row>
    <row r="234" spans="1:13" x14ac:dyDescent="0.4">
      <c r="A234" s="2508"/>
      <c r="C234" s="2508"/>
      <c r="E234" s="2508"/>
      <c r="F234" s="2386"/>
      <c r="G234" s="2441"/>
      <c r="H234" s="2441"/>
      <c r="I234" s="2441"/>
      <c r="J234" s="2441"/>
      <c r="K234" s="2441"/>
      <c r="L234" s="2386"/>
      <c r="M234" s="2386"/>
    </row>
    <row r="235" spans="1:13" x14ac:dyDescent="0.4">
      <c r="A235" s="2508"/>
      <c r="C235" s="2508"/>
      <c r="E235" s="2508"/>
      <c r="F235" s="2386"/>
      <c r="G235" s="2441"/>
      <c r="H235" s="2441"/>
      <c r="I235" s="2441"/>
      <c r="J235" s="2441"/>
      <c r="K235" s="2441"/>
      <c r="L235" s="2386"/>
      <c r="M235" s="2386"/>
    </row>
    <row r="236" spans="1:13" x14ac:dyDescent="0.4">
      <c r="A236" s="2508"/>
      <c r="C236" s="2508"/>
      <c r="E236" s="2508"/>
      <c r="F236" s="2386"/>
      <c r="G236" s="2441"/>
      <c r="H236" s="2441"/>
      <c r="I236" s="2441"/>
      <c r="J236" s="2441"/>
      <c r="K236" s="2441"/>
      <c r="L236" s="2386"/>
      <c r="M236" s="2386"/>
    </row>
    <row r="237" spans="1:13" x14ac:dyDescent="0.4">
      <c r="A237" s="2508"/>
      <c r="C237" s="2508"/>
      <c r="E237" s="2508"/>
      <c r="F237" s="2386"/>
      <c r="G237" s="2441"/>
      <c r="H237" s="2441"/>
      <c r="I237" s="2441"/>
      <c r="J237" s="2441"/>
      <c r="K237" s="2441"/>
      <c r="L237" s="2386"/>
      <c r="M237" s="2386"/>
    </row>
    <row r="238" spans="1:13" x14ac:dyDescent="0.4">
      <c r="A238" s="2508"/>
      <c r="C238" s="2508"/>
      <c r="E238" s="2508"/>
      <c r="F238" s="2386"/>
      <c r="G238" s="2441"/>
      <c r="H238" s="2441"/>
      <c r="I238" s="2441"/>
      <c r="J238" s="2441"/>
      <c r="K238" s="2441"/>
      <c r="L238" s="2386"/>
      <c r="M238" s="2386"/>
    </row>
    <row r="239" spans="1:13" x14ac:dyDescent="0.4">
      <c r="A239" s="2508"/>
      <c r="C239" s="2508"/>
      <c r="E239" s="2508"/>
      <c r="F239" s="2386"/>
      <c r="G239" s="2441"/>
      <c r="H239" s="2441"/>
      <c r="I239" s="2441"/>
      <c r="J239" s="2441"/>
      <c r="K239" s="2441"/>
      <c r="L239" s="2386"/>
      <c r="M239" s="2386"/>
    </row>
    <row r="240" spans="1:13" x14ac:dyDescent="0.4">
      <c r="A240" s="2508"/>
      <c r="C240" s="2508"/>
      <c r="E240" s="2508"/>
      <c r="F240" s="2386"/>
      <c r="G240" s="2441"/>
      <c r="H240" s="2441"/>
      <c r="I240" s="2441"/>
      <c r="J240" s="2441"/>
      <c r="K240" s="2441"/>
      <c r="L240" s="2386"/>
      <c r="M240" s="2386"/>
    </row>
    <row r="241" spans="1:13" x14ac:dyDescent="0.4">
      <c r="A241" s="2508"/>
      <c r="C241" s="2508"/>
      <c r="E241" s="2508"/>
      <c r="F241" s="2386"/>
      <c r="G241" s="2441"/>
      <c r="H241" s="2441"/>
      <c r="I241" s="2441"/>
      <c r="J241" s="2441"/>
      <c r="K241" s="2441"/>
      <c r="L241" s="2386"/>
      <c r="M241" s="2386"/>
    </row>
    <row r="242" spans="1:13" x14ac:dyDescent="0.4">
      <c r="A242" s="2508"/>
      <c r="C242" s="2508"/>
      <c r="E242" s="2508"/>
      <c r="F242" s="2386"/>
      <c r="G242" s="2441"/>
      <c r="H242" s="2441"/>
      <c r="I242" s="2441"/>
      <c r="J242" s="2441"/>
      <c r="K242" s="2441"/>
      <c r="L242" s="2386"/>
      <c r="M242" s="2386"/>
    </row>
    <row r="243" spans="1:13" x14ac:dyDescent="0.4">
      <c r="A243" s="2508"/>
      <c r="C243" s="2508"/>
      <c r="E243" s="2508"/>
      <c r="F243" s="2386"/>
      <c r="G243" s="2441"/>
      <c r="H243" s="2441"/>
      <c r="I243" s="2441"/>
      <c r="J243" s="2441"/>
      <c r="K243" s="2441"/>
      <c r="L243" s="2386"/>
      <c r="M243" s="2386"/>
    </row>
    <row r="244" spans="1:13" x14ac:dyDescent="0.4">
      <c r="A244" s="2508"/>
      <c r="C244" s="2508"/>
      <c r="E244" s="2508"/>
      <c r="F244" s="2386"/>
      <c r="G244" s="2441"/>
      <c r="H244" s="2441"/>
      <c r="I244" s="2441"/>
      <c r="J244" s="2441"/>
      <c r="K244" s="2441"/>
      <c r="L244" s="2386"/>
      <c r="M244" s="2386"/>
    </row>
    <row r="245" spans="1:13" x14ac:dyDescent="0.4">
      <c r="A245" s="2508"/>
      <c r="C245" s="2508"/>
      <c r="E245" s="2508"/>
      <c r="F245" s="2386"/>
      <c r="G245" s="2441"/>
      <c r="H245" s="2441"/>
      <c r="I245" s="2441"/>
      <c r="J245" s="2441"/>
      <c r="K245" s="2441"/>
      <c r="L245" s="2386"/>
      <c r="M245" s="2386"/>
    </row>
    <row r="246" spans="1:13" x14ac:dyDescent="0.4">
      <c r="A246" s="2508"/>
      <c r="C246" s="2508"/>
      <c r="E246" s="2508"/>
      <c r="F246" s="2386"/>
      <c r="G246" s="2441"/>
      <c r="H246" s="2441"/>
      <c r="I246" s="2441"/>
      <c r="J246" s="2441"/>
      <c r="K246" s="2441"/>
      <c r="L246" s="2386"/>
      <c r="M246" s="2386"/>
    </row>
    <row r="247" spans="1:13" x14ac:dyDescent="0.4">
      <c r="A247" s="2508"/>
      <c r="C247" s="2508"/>
      <c r="E247" s="2508"/>
      <c r="F247" s="2386"/>
      <c r="G247" s="2441"/>
      <c r="H247" s="2441"/>
      <c r="I247" s="2441"/>
      <c r="J247" s="2441"/>
      <c r="K247" s="2441"/>
      <c r="L247" s="2386"/>
      <c r="M247" s="2386"/>
    </row>
    <row r="248" spans="1:13" x14ac:dyDescent="0.4">
      <c r="A248" s="2508"/>
      <c r="C248" s="2508"/>
      <c r="E248" s="2508"/>
      <c r="F248" s="2386"/>
      <c r="G248" s="2441"/>
      <c r="H248" s="2441"/>
      <c r="I248" s="2441"/>
      <c r="J248" s="2441"/>
      <c r="K248" s="2441"/>
      <c r="L248" s="2386"/>
      <c r="M248" s="2386"/>
    </row>
    <row r="249" spans="1:13" x14ac:dyDescent="0.4">
      <c r="A249" s="2508"/>
      <c r="C249" s="2508"/>
      <c r="E249" s="2508"/>
      <c r="F249" s="2386"/>
      <c r="G249" s="2441"/>
      <c r="H249" s="2441"/>
      <c r="I249" s="2441"/>
      <c r="J249" s="2441"/>
      <c r="K249" s="2441"/>
      <c r="L249" s="2386"/>
      <c r="M249" s="2386"/>
    </row>
    <row r="250" spans="1:13" x14ac:dyDescent="0.4">
      <c r="A250" s="2508"/>
      <c r="C250" s="2508"/>
      <c r="E250" s="2508"/>
      <c r="F250" s="2386"/>
      <c r="G250" s="2441"/>
      <c r="H250" s="2441"/>
      <c r="I250" s="2441"/>
      <c r="J250" s="2441"/>
      <c r="K250" s="2441"/>
      <c r="L250" s="2386"/>
      <c r="M250" s="2386"/>
    </row>
    <row r="251" spans="1:13" x14ac:dyDescent="0.4">
      <c r="A251" s="2508"/>
      <c r="C251" s="2508"/>
      <c r="E251" s="2508"/>
      <c r="F251" s="2386"/>
      <c r="G251" s="2441"/>
      <c r="H251" s="2441"/>
      <c r="I251" s="2441"/>
      <c r="J251" s="2441"/>
      <c r="K251" s="2441"/>
      <c r="L251" s="2386"/>
      <c r="M251" s="2386"/>
    </row>
    <row r="252" spans="1:13" x14ac:dyDescent="0.4">
      <c r="A252" s="2508"/>
      <c r="C252" s="2508"/>
      <c r="E252" s="2508"/>
      <c r="F252" s="2386"/>
      <c r="G252" s="2441"/>
      <c r="H252" s="2441"/>
      <c r="I252" s="2441"/>
      <c r="J252" s="2441"/>
      <c r="K252" s="2441"/>
      <c r="L252" s="2386"/>
      <c r="M252" s="2386"/>
    </row>
    <row r="253" spans="1:13" x14ac:dyDescent="0.4">
      <c r="A253" s="2508"/>
      <c r="C253" s="2508"/>
      <c r="E253" s="2508"/>
      <c r="F253" s="2386"/>
      <c r="G253" s="2441"/>
      <c r="H253" s="2441"/>
      <c r="I253" s="2441"/>
      <c r="J253" s="2441"/>
      <c r="K253" s="2441"/>
      <c r="L253" s="2386"/>
      <c r="M253" s="2386"/>
    </row>
    <row r="254" spans="1:13" x14ac:dyDescent="0.4">
      <c r="A254" s="2508"/>
      <c r="C254" s="2508"/>
      <c r="E254" s="2508"/>
      <c r="F254" s="2386"/>
      <c r="G254" s="2441"/>
      <c r="H254" s="2441"/>
      <c r="I254" s="2441"/>
      <c r="J254" s="2441"/>
      <c r="K254" s="2441"/>
      <c r="L254" s="2386"/>
      <c r="M254" s="2386"/>
    </row>
    <row r="255" spans="1:13" x14ac:dyDescent="0.4">
      <c r="A255" s="2508"/>
      <c r="C255" s="2508"/>
      <c r="E255" s="2508"/>
      <c r="F255" s="2386"/>
      <c r="G255" s="2441"/>
      <c r="H255" s="2441"/>
      <c r="I255" s="2441"/>
      <c r="J255" s="2441"/>
      <c r="K255" s="2441"/>
      <c r="L255" s="2386"/>
      <c r="M255" s="2386"/>
    </row>
    <row r="256" spans="1:13" x14ac:dyDescent="0.4">
      <c r="A256" s="2508"/>
      <c r="C256" s="2508"/>
      <c r="E256" s="2508"/>
      <c r="F256" s="2386"/>
      <c r="G256" s="2441"/>
      <c r="H256" s="2441"/>
      <c r="I256" s="2441"/>
      <c r="J256" s="2441"/>
      <c r="K256" s="2441"/>
      <c r="L256" s="2386"/>
      <c r="M256" s="2386"/>
    </row>
    <row r="257" spans="1:13" x14ac:dyDescent="0.4">
      <c r="A257" s="2508"/>
      <c r="C257" s="2508"/>
      <c r="E257" s="2508"/>
      <c r="F257" s="2386"/>
      <c r="G257" s="2441"/>
      <c r="H257" s="2441"/>
      <c r="I257" s="2441"/>
      <c r="J257" s="2441"/>
      <c r="K257" s="2441"/>
      <c r="L257" s="2386"/>
      <c r="M257" s="2386"/>
    </row>
    <row r="258" spans="1:13" x14ac:dyDescent="0.4">
      <c r="A258" s="2508"/>
      <c r="C258" s="2508"/>
      <c r="E258" s="2508"/>
      <c r="F258" s="2386"/>
      <c r="G258" s="2441"/>
      <c r="H258" s="2441"/>
      <c r="I258" s="2441"/>
      <c r="J258" s="2441"/>
      <c r="K258" s="2441"/>
      <c r="L258" s="2386"/>
      <c r="M258" s="2386"/>
    </row>
    <row r="259" spans="1:13" x14ac:dyDescent="0.4">
      <c r="A259" s="2508"/>
      <c r="C259" s="2508"/>
      <c r="E259" s="2508"/>
      <c r="F259" s="2386"/>
      <c r="G259" s="2441"/>
      <c r="H259" s="2441"/>
      <c r="I259" s="2441"/>
      <c r="J259" s="2441"/>
      <c r="K259" s="2441"/>
      <c r="L259" s="2386"/>
      <c r="M259" s="2386"/>
    </row>
    <row r="260" spans="1:13" x14ac:dyDescent="0.4">
      <c r="A260" s="2508"/>
      <c r="C260" s="2508"/>
      <c r="E260" s="2508"/>
      <c r="F260" s="2386"/>
      <c r="G260" s="2441"/>
      <c r="H260" s="2441"/>
      <c r="I260" s="2441"/>
      <c r="J260" s="2441"/>
      <c r="K260" s="2441"/>
      <c r="L260" s="2386"/>
      <c r="M260" s="2386"/>
    </row>
    <row r="261" spans="1:13" x14ac:dyDescent="0.4">
      <c r="A261" s="2508"/>
      <c r="C261" s="2508"/>
      <c r="E261" s="2508"/>
      <c r="F261" s="2386"/>
      <c r="G261" s="2441"/>
      <c r="H261" s="2441"/>
      <c r="I261" s="2441"/>
      <c r="J261" s="2441"/>
      <c r="K261" s="2441"/>
      <c r="L261" s="2386"/>
      <c r="M261" s="2386"/>
    </row>
    <row r="262" spans="1:13" x14ac:dyDescent="0.4">
      <c r="A262" s="2508"/>
      <c r="C262" s="2508"/>
      <c r="E262" s="2508"/>
      <c r="F262" s="2386"/>
      <c r="G262" s="2441"/>
      <c r="H262" s="2441"/>
      <c r="I262" s="2441"/>
      <c r="J262" s="2441"/>
      <c r="K262" s="2441"/>
      <c r="L262" s="2386"/>
      <c r="M262" s="2386"/>
    </row>
    <row r="263" spans="1:13" x14ac:dyDescent="0.4">
      <c r="A263" s="2508"/>
      <c r="C263" s="2508"/>
      <c r="E263" s="2508"/>
      <c r="F263" s="2386"/>
      <c r="G263" s="2441"/>
      <c r="H263" s="2441"/>
      <c r="I263" s="2441"/>
      <c r="J263" s="2441"/>
      <c r="K263" s="2441"/>
      <c r="L263" s="2386"/>
      <c r="M263" s="2386"/>
    </row>
    <row r="264" spans="1:13" x14ac:dyDescent="0.4">
      <c r="A264" s="2508"/>
      <c r="C264" s="2508"/>
      <c r="E264" s="2508"/>
      <c r="F264" s="2386"/>
      <c r="G264" s="2441"/>
      <c r="H264" s="2441"/>
      <c r="I264" s="2441"/>
      <c r="J264" s="2441"/>
      <c r="K264" s="2441"/>
      <c r="L264" s="2386"/>
      <c r="M264" s="2386"/>
    </row>
    <row r="265" spans="1:13" x14ac:dyDescent="0.4">
      <c r="A265" s="2508"/>
      <c r="C265" s="2508"/>
      <c r="E265" s="2508"/>
      <c r="F265" s="2386"/>
      <c r="G265" s="2441"/>
      <c r="H265" s="2441"/>
      <c r="I265" s="2441"/>
      <c r="J265" s="2441"/>
      <c r="K265" s="2441"/>
      <c r="L265" s="2386"/>
      <c r="M265" s="2386"/>
    </row>
    <row r="266" spans="1:13" x14ac:dyDescent="0.4">
      <c r="A266" s="2508"/>
      <c r="C266" s="2508"/>
      <c r="E266" s="2508"/>
      <c r="F266" s="2386"/>
      <c r="G266" s="2441"/>
      <c r="H266" s="2441"/>
      <c r="I266" s="2441"/>
      <c r="J266" s="2441"/>
      <c r="K266" s="2441"/>
      <c r="L266" s="2386"/>
      <c r="M266" s="2386"/>
    </row>
    <row r="267" spans="1:13" x14ac:dyDescent="0.4">
      <c r="A267" s="2508"/>
      <c r="C267" s="2508"/>
      <c r="E267" s="2508"/>
      <c r="F267" s="2386"/>
      <c r="G267" s="2441"/>
      <c r="H267" s="2441"/>
      <c r="I267" s="2441"/>
      <c r="J267" s="2441"/>
      <c r="K267" s="2441"/>
      <c r="L267" s="2386"/>
      <c r="M267" s="2386"/>
    </row>
    <row r="268" spans="1:13" x14ac:dyDescent="0.4">
      <c r="A268" s="2508"/>
      <c r="C268" s="2508"/>
      <c r="E268" s="2508"/>
      <c r="F268" s="2386"/>
      <c r="G268" s="2441"/>
      <c r="H268" s="2441"/>
      <c r="I268" s="2441"/>
      <c r="J268" s="2441"/>
      <c r="K268" s="2441"/>
      <c r="L268" s="2386"/>
      <c r="M268" s="2386"/>
    </row>
    <row r="269" spans="1:13" x14ac:dyDescent="0.4">
      <c r="A269" s="2508"/>
      <c r="C269" s="2508"/>
      <c r="E269" s="2508"/>
      <c r="F269" s="2386"/>
      <c r="G269" s="2441"/>
      <c r="H269" s="2441"/>
      <c r="I269" s="2441"/>
      <c r="J269" s="2441"/>
      <c r="K269" s="2441"/>
      <c r="L269" s="2386"/>
      <c r="M269" s="2386"/>
    </row>
    <row r="270" spans="1:13" x14ac:dyDescent="0.4">
      <c r="A270" s="2508"/>
      <c r="C270" s="2508"/>
      <c r="E270" s="2508"/>
      <c r="F270" s="2386"/>
      <c r="G270" s="2441"/>
      <c r="H270" s="2441"/>
      <c r="I270" s="2441"/>
      <c r="J270" s="2441"/>
      <c r="K270" s="2441"/>
      <c r="L270" s="2386"/>
      <c r="M270" s="2386"/>
    </row>
    <row r="271" spans="1:13" x14ac:dyDescent="0.4">
      <c r="A271" s="2508"/>
      <c r="C271" s="2508"/>
      <c r="E271" s="2508"/>
      <c r="F271" s="2386"/>
      <c r="G271" s="2441"/>
      <c r="H271" s="2441"/>
      <c r="I271" s="2441"/>
      <c r="J271" s="2441"/>
      <c r="K271" s="2441"/>
      <c r="L271" s="2386"/>
      <c r="M271" s="2386"/>
    </row>
    <row r="272" spans="1:13" x14ac:dyDescent="0.4">
      <c r="A272" s="2508"/>
      <c r="C272" s="2508"/>
      <c r="E272" s="2508"/>
      <c r="F272" s="2386"/>
      <c r="G272" s="2441"/>
      <c r="H272" s="2441"/>
      <c r="I272" s="2441"/>
      <c r="J272" s="2441"/>
      <c r="K272" s="2441"/>
      <c r="L272" s="2386"/>
      <c r="M272" s="2386"/>
    </row>
    <row r="273" spans="1:13" x14ac:dyDescent="0.4">
      <c r="A273" s="2508"/>
      <c r="C273" s="2508"/>
      <c r="E273" s="2508"/>
      <c r="F273" s="2386"/>
      <c r="G273" s="2441"/>
      <c r="H273" s="2441"/>
      <c r="I273" s="2441"/>
      <c r="J273" s="2441"/>
      <c r="K273" s="2441"/>
      <c r="L273" s="2386"/>
      <c r="M273" s="2386"/>
    </row>
    <row r="274" spans="1:13" x14ac:dyDescent="0.4">
      <c r="A274" s="2508"/>
      <c r="C274" s="2508"/>
      <c r="E274" s="2508"/>
      <c r="F274" s="2386"/>
      <c r="G274" s="2441"/>
      <c r="H274" s="2441"/>
      <c r="I274" s="2441"/>
      <c r="J274" s="2441"/>
      <c r="K274" s="2441"/>
      <c r="L274" s="2386"/>
      <c r="M274" s="2386"/>
    </row>
    <row r="275" spans="1:13" x14ac:dyDescent="0.4">
      <c r="A275" s="2508"/>
      <c r="C275" s="2508"/>
      <c r="E275" s="2508"/>
      <c r="F275" s="2386"/>
      <c r="G275" s="2441"/>
      <c r="H275" s="2441"/>
      <c r="I275" s="2441"/>
      <c r="J275" s="2441"/>
      <c r="K275" s="2441"/>
      <c r="L275" s="2386"/>
      <c r="M275" s="2386"/>
    </row>
    <row r="276" spans="1:13" x14ac:dyDescent="0.4">
      <c r="A276" s="2508"/>
      <c r="C276" s="2508"/>
      <c r="E276" s="2508"/>
      <c r="F276" s="2386"/>
      <c r="G276" s="2441"/>
      <c r="H276" s="2441"/>
      <c r="I276" s="2441"/>
      <c r="J276" s="2441"/>
      <c r="K276" s="2441"/>
      <c r="L276" s="2386"/>
      <c r="M276" s="2386"/>
    </row>
    <row r="277" spans="1:13" x14ac:dyDescent="0.4">
      <c r="A277" s="2508"/>
      <c r="C277" s="2508"/>
      <c r="E277" s="2508"/>
      <c r="F277" s="2386"/>
      <c r="G277" s="2441"/>
      <c r="H277" s="2441"/>
      <c r="I277" s="2441"/>
      <c r="J277" s="2441"/>
      <c r="K277" s="2441"/>
      <c r="L277" s="2386"/>
      <c r="M277" s="2386"/>
    </row>
    <row r="278" spans="1:13" x14ac:dyDescent="0.4">
      <c r="A278" s="2508"/>
      <c r="C278" s="2508"/>
      <c r="E278" s="2508"/>
      <c r="F278" s="2386"/>
      <c r="G278" s="2441"/>
      <c r="H278" s="2441"/>
      <c r="I278" s="2441"/>
      <c r="J278" s="2441"/>
      <c r="K278" s="2441"/>
      <c r="L278" s="2386"/>
      <c r="M278" s="2386"/>
    </row>
    <row r="279" spans="1:13" x14ac:dyDescent="0.4">
      <c r="A279" s="2508"/>
      <c r="C279" s="2508"/>
      <c r="E279" s="2508"/>
      <c r="F279" s="2386"/>
      <c r="G279" s="2441"/>
      <c r="H279" s="2441"/>
      <c r="I279" s="2441"/>
      <c r="J279" s="2441"/>
      <c r="K279" s="2441"/>
      <c r="L279" s="2386"/>
      <c r="M279" s="2386"/>
    </row>
    <row r="280" spans="1:13" x14ac:dyDescent="0.4">
      <c r="A280" s="2508"/>
      <c r="C280" s="2508"/>
      <c r="E280" s="2508"/>
      <c r="F280" s="2386"/>
      <c r="G280" s="2441"/>
      <c r="H280" s="2441"/>
      <c r="I280" s="2441"/>
      <c r="J280" s="2441"/>
      <c r="K280" s="2441"/>
      <c r="L280" s="2386"/>
      <c r="M280" s="2386"/>
    </row>
    <row r="281" spans="1:13" x14ac:dyDescent="0.4">
      <c r="A281" s="2508"/>
      <c r="C281" s="2508"/>
      <c r="E281" s="2508"/>
      <c r="F281" s="2386"/>
      <c r="G281" s="2441"/>
      <c r="H281" s="2441"/>
      <c r="I281" s="2441"/>
      <c r="J281" s="2441"/>
      <c r="K281" s="2441"/>
      <c r="L281" s="2386"/>
      <c r="M281" s="2386"/>
    </row>
    <row r="282" spans="1:13" x14ac:dyDescent="0.4">
      <c r="A282" s="2508"/>
      <c r="C282" s="2508"/>
      <c r="E282" s="2508"/>
      <c r="F282" s="2386"/>
      <c r="G282" s="2441"/>
      <c r="H282" s="2441"/>
      <c r="I282" s="2441"/>
      <c r="J282" s="2441"/>
      <c r="K282" s="2441"/>
      <c r="L282" s="2386"/>
      <c r="M282" s="2386"/>
    </row>
    <row r="283" spans="1:13" x14ac:dyDescent="0.4">
      <c r="A283" s="2508"/>
      <c r="C283" s="2508"/>
      <c r="E283" s="2508"/>
      <c r="F283" s="2386"/>
      <c r="G283" s="2441"/>
      <c r="H283" s="2441"/>
      <c r="I283" s="2441"/>
      <c r="J283" s="2441"/>
      <c r="K283" s="2441"/>
      <c r="L283" s="2386"/>
      <c r="M283" s="2386"/>
    </row>
    <row r="284" spans="1:13" x14ac:dyDescent="0.4">
      <c r="A284" s="2508"/>
      <c r="C284" s="2508"/>
      <c r="E284" s="2508"/>
      <c r="F284" s="2386"/>
      <c r="G284" s="2441"/>
      <c r="H284" s="2441"/>
      <c r="I284" s="2441"/>
      <c r="J284" s="2441"/>
      <c r="K284" s="2441"/>
      <c r="L284" s="2386"/>
      <c r="M284" s="2386"/>
    </row>
    <row r="285" spans="1:13" x14ac:dyDescent="0.4">
      <c r="A285" s="2508"/>
      <c r="C285" s="2508"/>
      <c r="E285" s="2508"/>
      <c r="F285" s="2386"/>
      <c r="G285" s="2441"/>
      <c r="H285" s="2441"/>
      <c r="I285" s="2441"/>
      <c r="J285" s="2441"/>
      <c r="K285" s="2441"/>
      <c r="L285" s="2386"/>
      <c r="M285" s="2386"/>
    </row>
    <row r="286" spans="1:13" x14ac:dyDescent="0.4">
      <c r="A286" s="2508"/>
      <c r="C286" s="2508"/>
      <c r="E286" s="2508"/>
      <c r="F286" s="2386"/>
      <c r="G286" s="2441"/>
      <c r="H286" s="2441"/>
      <c r="I286" s="2441"/>
      <c r="J286" s="2441"/>
      <c r="K286" s="2441"/>
      <c r="L286" s="2386"/>
      <c r="M286" s="2386"/>
    </row>
    <row r="287" spans="1:13" x14ac:dyDescent="0.4">
      <c r="A287" s="2508"/>
      <c r="C287" s="2508"/>
      <c r="E287" s="2508"/>
      <c r="F287" s="2386"/>
      <c r="G287" s="2441"/>
      <c r="H287" s="2441"/>
      <c r="I287" s="2441"/>
      <c r="J287" s="2441"/>
      <c r="K287" s="2441"/>
      <c r="L287" s="2386"/>
      <c r="M287" s="2386"/>
    </row>
    <row r="288" spans="1:13" x14ac:dyDescent="0.4">
      <c r="A288" s="2508"/>
      <c r="C288" s="2508"/>
      <c r="E288" s="2508"/>
      <c r="F288" s="2386"/>
      <c r="G288" s="2441"/>
      <c r="H288" s="2441"/>
      <c r="I288" s="2441"/>
      <c r="J288" s="2441"/>
      <c r="K288" s="2441"/>
      <c r="L288" s="2386"/>
      <c r="M288" s="2386"/>
    </row>
    <row r="289" spans="1:13" x14ac:dyDescent="0.4">
      <c r="A289" s="2508"/>
      <c r="C289" s="2508"/>
      <c r="E289" s="2508"/>
      <c r="F289" s="2386"/>
      <c r="G289" s="2441"/>
      <c r="H289" s="2441"/>
      <c r="I289" s="2441"/>
      <c r="J289" s="2441"/>
      <c r="K289" s="2441"/>
      <c r="L289" s="2386"/>
      <c r="M289" s="2386"/>
    </row>
    <row r="290" spans="1:13" x14ac:dyDescent="0.4">
      <c r="A290" s="2508"/>
      <c r="C290" s="2508"/>
      <c r="E290" s="2508"/>
      <c r="F290" s="2386"/>
      <c r="G290" s="2441"/>
      <c r="H290" s="2441"/>
      <c r="I290" s="2441"/>
      <c r="J290" s="2441"/>
      <c r="K290" s="2441"/>
      <c r="L290" s="2386"/>
      <c r="M290" s="2386"/>
    </row>
    <row r="291" spans="1:13" x14ac:dyDescent="0.4">
      <c r="A291" s="2508"/>
      <c r="C291" s="2508"/>
      <c r="E291" s="2508"/>
      <c r="F291" s="2386"/>
      <c r="G291" s="2441"/>
      <c r="H291" s="2441"/>
      <c r="I291" s="2441"/>
      <c r="J291" s="2441"/>
      <c r="K291" s="2441"/>
      <c r="L291" s="2386"/>
      <c r="M291" s="2386"/>
    </row>
    <row r="292" spans="1:13" x14ac:dyDescent="0.4">
      <c r="A292" s="2508"/>
      <c r="C292" s="2508"/>
      <c r="E292" s="2508"/>
      <c r="F292" s="2386"/>
      <c r="G292" s="2441"/>
      <c r="H292" s="2441"/>
      <c r="I292" s="2441"/>
      <c r="J292" s="2441"/>
      <c r="K292" s="2441"/>
      <c r="L292" s="2386"/>
      <c r="M292" s="2386"/>
    </row>
    <row r="293" spans="1:13" x14ac:dyDescent="0.4">
      <c r="A293" s="2508"/>
      <c r="C293" s="2508"/>
      <c r="E293" s="2508"/>
      <c r="F293" s="2386"/>
      <c r="G293" s="2441"/>
      <c r="H293" s="2441"/>
      <c r="I293" s="2441"/>
      <c r="J293" s="2441"/>
      <c r="K293" s="2441"/>
      <c r="L293" s="2386"/>
      <c r="M293" s="2386"/>
    </row>
    <row r="294" spans="1:13" x14ac:dyDescent="0.4">
      <c r="A294" s="2508"/>
      <c r="C294" s="2508"/>
      <c r="E294" s="2508"/>
      <c r="F294" s="2386"/>
      <c r="G294" s="2441"/>
      <c r="H294" s="2441"/>
      <c r="I294" s="2441"/>
      <c r="J294" s="2441"/>
      <c r="K294" s="2441"/>
      <c r="L294" s="2386"/>
      <c r="M294" s="2386"/>
    </row>
    <row r="295" spans="1:13" x14ac:dyDescent="0.4">
      <c r="A295" s="2508"/>
      <c r="C295" s="2508"/>
      <c r="E295" s="2508"/>
      <c r="F295" s="2386"/>
      <c r="G295" s="2441"/>
      <c r="H295" s="2441"/>
      <c r="I295" s="2441"/>
      <c r="J295" s="2441"/>
      <c r="K295" s="2441"/>
      <c r="L295" s="2386"/>
      <c r="M295" s="2386"/>
    </row>
    <row r="296" spans="1:13" x14ac:dyDescent="0.4">
      <c r="A296" s="2508"/>
      <c r="C296" s="2508"/>
      <c r="E296" s="2508"/>
      <c r="F296" s="2386"/>
      <c r="G296" s="2441"/>
      <c r="H296" s="2441"/>
      <c r="I296" s="2441"/>
      <c r="J296" s="2441"/>
      <c r="K296" s="2441"/>
      <c r="L296" s="2386"/>
      <c r="M296" s="2386"/>
    </row>
    <row r="297" spans="1:13" x14ac:dyDescent="0.4">
      <c r="A297" s="2508"/>
      <c r="C297" s="2508"/>
      <c r="E297" s="2508"/>
      <c r="F297" s="2386"/>
      <c r="G297" s="2441"/>
      <c r="H297" s="2441"/>
      <c r="I297" s="2441"/>
      <c r="J297" s="2441"/>
      <c r="K297" s="2441"/>
      <c r="L297" s="2386"/>
      <c r="M297" s="2386"/>
    </row>
    <row r="298" spans="1:13" x14ac:dyDescent="0.4">
      <c r="A298" s="2508"/>
      <c r="C298" s="2508"/>
      <c r="E298" s="2508"/>
      <c r="F298" s="2386"/>
      <c r="G298" s="2441"/>
      <c r="H298" s="2441"/>
      <c r="I298" s="2441"/>
      <c r="J298" s="2441"/>
      <c r="K298" s="2441"/>
      <c r="L298" s="2386"/>
      <c r="M298" s="2386"/>
    </row>
    <row r="299" spans="1:13" x14ac:dyDescent="0.4">
      <c r="A299" s="2508"/>
      <c r="C299" s="2508"/>
      <c r="E299" s="2508"/>
      <c r="F299" s="2386"/>
      <c r="G299" s="2441"/>
      <c r="H299" s="2441"/>
      <c r="I299" s="2441"/>
      <c r="J299" s="2441"/>
      <c r="K299" s="2441"/>
      <c r="L299" s="2386"/>
      <c r="M299" s="2386"/>
    </row>
    <row r="300" spans="1:13" x14ac:dyDescent="0.4">
      <c r="A300" s="2508"/>
      <c r="C300" s="2508"/>
      <c r="E300" s="2508"/>
      <c r="F300" s="2386"/>
      <c r="G300" s="2441"/>
      <c r="H300" s="2441"/>
      <c r="I300" s="2441"/>
      <c r="J300" s="2441"/>
      <c r="K300" s="2441"/>
      <c r="L300" s="2386"/>
      <c r="M300" s="2386"/>
    </row>
    <row r="301" spans="1:13" x14ac:dyDescent="0.4">
      <c r="A301" s="2508"/>
      <c r="C301" s="2508"/>
      <c r="E301" s="2508"/>
      <c r="F301" s="2386"/>
      <c r="G301" s="2441"/>
      <c r="H301" s="2441"/>
      <c r="I301" s="2441"/>
      <c r="J301" s="2441"/>
      <c r="K301" s="2441"/>
      <c r="L301" s="2386"/>
      <c r="M301" s="2386"/>
    </row>
    <row r="302" spans="1:13" x14ac:dyDescent="0.4">
      <c r="A302" s="2508"/>
      <c r="C302" s="2508"/>
      <c r="E302" s="2508"/>
      <c r="F302" s="2386"/>
      <c r="G302" s="2441"/>
      <c r="H302" s="2441"/>
      <c r="I302" s="2441"/>
      <c r="J302" s="2441"/>
      <c r="K302" s="2441"/>
      <c r="L302" s="2386"/>
      <c r="M302" s="2386"/>
    </row>
    <row r="303" spans="1:13" x14ac:dyDescent="0.4">
      <c r="A303" s="2508"/>
      <c r="C303" s="2508"/>
      <c r="E303" s="2508"/>
      <c r="F303" s="2386"/>
      <c r="G303" s="2441"/>
      <c r="H303" s="2441"/>
      <c r="I303" s="2441"/>
      <c r="J303" s="2441"/>
      <c r="K303" s="2441"/>
      <c r="L303" s="2386"/>
      <c r="M303" s="2386"/>
    </row>
    <row r="304" spans="1:13" x14ac:dyDescent="0.4">
      <c r="A304" s="2508"/>
      <c r="C304" s="2508"/>
      <c r="E304" s="2508"/>
      <c r="F304" s="2386"/>
      <c r="G304" s="2441"/>
      <c r="H304" s="2441"/>
      <c r="I304" s="2441"/>
      <c r="J304" s="2441"/>
      <c r="K304" s="2441"/>
      <c r="L304" s="2386"/>
      <c r="M304" s="2386"/>
    </row>
    <row r="305" spans="1:13" x14ac:dyDescent="0.4">
      <c r="A305" s="2508"/>
      <c r="C305" s="2508"/>
      <c r="E305" s="2508"/>
      <c r="F305" s="2386"/>
      <c r="G305" s="2441"/>
      <c r="H305" s="2441"/>
      <c r="I305" s="2441"/>
      <c r="J305" s="2441"/>
      <c r="K305" s="2441"/>
      <c r="L305" s="2386"/>
      <c r="M305" s="2386"/>
    </row>
    <row r="306" spans="1:13" x14ac:dyDescent="0.4">
      <c r="A306" s="2508"/>
      <c r="C306" s="2508"/>
      <c r="E306" s="2508"/>
      <c r="F306" s="2386"/>
      <c r="G306" s="2441"/>
      <c r="H306" s="2441"/>
      <c r="I306" s="2441"/>
      <c r="J306" s="2441"/>
      <c r="K306" s="2441"/>
      <c r="L306" s="2386"/>
      <c r="M306" s="2386"/>
    </row>
    <row r="307" spans="1:13" x14ac:dyDescent="0.4">
      <c r="A307" s="2508"/>
      <c r="C307" s="2508"/>
      <c r="E307" s="2508"/>
      <c r="F307" s="2386"/>
      <c r="G307" s="2441"/>
      <c r="H307" s="2441"/>
      <c r="I307" s="2441"/>
      <c r="J307" s="2441"/>
      <c r="K307" s="2441"/>
      <c r="L307" s="2386"/>
      <c r="M307" s="2386"/>
    </row>
    <row r="308" spans="1:13" x14ac:dyDescent="0.4">
      <c r="A308" s="2508"/>
      <c r="C308" s="2508"/>
      <c r="E308" s="2508"/>
      <c r="F308" s="2386"/>
      <c r="G308" s="2441"/>
      <c r="H308" s="2441"/>
      <c r="I308" s="2441"/>
      <c r="J308" s="2441"/>
      <c r="K308" s="2441"/>
      <c r="L308" s="2386"/>
      <c r="M308" s="2386"/>
    </row>
    <row r="309" spans="1:13" x14ac:dyDescent="0.4">
      <c r="A309" s="2508"/>
      <c r="C309" s="2508"/>
      <c r="E309" s="2508"/>
      <c r="F309" s="2386"/>
      <c r="G309" s="2441"/>
      <c r="H309" s="2441"/>
      <c r="I309" s="2441"/>
      <c r="J309" s="2441"/>
      <c r="K309" s="2441"/>
      <c r="L309" s="2386"/>
      <c r="M309" s="2386"/>
    </row>
    <row r="310" spans="1:13" x14ac:dyDescent="0.4">
      <c r="A310" s="2508"/>
      <c r="C310" s="2508"/>
      <c r="E310" s="2508"/>
      <c r="F310" s="2386"/>
      <c r="G310" s="2441"/>
      <c r="H310" s="2441"/>
      <c r="I310" s="2441"/>
      <c r="J310" s="2441"/>
      <c r="K310" s="2441"/>
      <c r="L310" s="2386"/>
      <c r="M310" s="2386"/>
    </row>
    <row r="311" spans="1:13" x14ac:dyDescent="0.4">
      <c r="A311" s="2508"/>
      <c r="C311" s="2508"/>
      <c r="E311" s="2508"/>
      <c r="F311" s="2386"/>
      <c r="G311" s="2441"/>
      <c r="H311" s="2441"/>
      <c r="I311" s="2441"/>
      <c r="J311" s="2441"/>
      <c r="K311" s="2441"/>
      <c r="L311" s="2386"/>
      <c r="M311" s="2386"/>
    </row>
    <row r="312" spans="1:13" x14ac:dyDescent="0.4">
      <c r="A312" s="2508"/>
      <c r="C312" s="2508"/>
      <c r="E312" s="2508"/>
      <c r="F312" s="2386"/>
      <c r="G312" s="2441"/>
      <c r="H312" s="2441"/>
      <c r="I312" s="2441"/>
      <c r="J312" s="2441"/>
      <c r="K312" s="2441"/>
      <c r="L312" s="2386"/>
      <c r="M312" s="2386"/>
    </row>
    <row r="313" spans="1:13" x14ac:dyDescent="0.4">
      <c r="A313" s="2508"/>
      <c r="C313" s="2508"/>
      <c r="E313" s="2508"/>
      <c r="F313" s="2386"/>
      <c r="G313" s="2441"/>
      <c r="H313" s="2441"/>
      <c r="I313" s="2441"/>
      <c r="J313" s="2441"/>
      <c r="K313" s="2441"/>
      <c r="L313" s="2386"/>
      <c r="M313" s="2386"/>
    </row>
    <row r="314" spans="1:13" x14ac:dyDescent="0.4">
      <c r="A314" s="2508"/>
      <c r="C314" s="2508"/>
      <c r="E314" s="2508"/>
      <c r="F314" s="2386"/>
      <c r="G314" s="2441"/>
      <c r="H314" s="2441"/>
      <c r="I314" s="2441"/>
      <c r="J314" s="2441"/>
      <c r="K314" s="2441"/>
      <c r="L314" s="2386"/>
      <c r="M314" s="2386"/>
    </row>
    <row r="315" spans="1:13" x14ac:dyDescent="0.4">
      <c r="A315" s="2508"/>
      <c r="C315" s="2508"/>
      <c r="E315" s="2508"/>
      <c r="F315" s="2386"/>
      <c r="G315" s="2441"/>
      <c r="H315" s="2441"/>
      <c r="I315" s="2441"/>
      <c r="J315" s="2441"/>
      <c r="K315" s="2441"/>
      <c r="L315" s="2386"/>
      <c r="M315" s="2386"/>
    </row>
    <row r="316" spans="1:13" x14ac:dyDescent="0.4">
      <c r="A316" s="2508"/>
      <c r="C316" s="2508"/>
      <c r="E316" s="2508"/>
      <c r="F316" s="2386"/>
      <c r="G316" s="2441"/>
      <c r="H316" s="2441"/>
      <c r="I316" s="2441"/>
      <c r="J316" s="2441"/>
      <c r="K316" s="2441"/>
      <c r="L316" s="2386"/>
      <c r="M316" s="2386"/>
    </row>
    <row r="317" spans="1:13" x14ac:dyDescent="0.4">
      <c r="A317" s="2508"/>
      <c r="C317" s="2508"/>
      <c r="E317" s="2508"/>
      <c r="F317" s="2386"/>
      <c r="G317" s="2441"/>
      <c r="H317" s="2441"/>
      <c r="I317" s="2441"/>
      <c r="J317" s="2441"/>
      <c r="K317" s="2441"/>
      <c r="L317" s="2386"/>
      <c r="M317" s="2386"/>
    </row>
    <row r="318" spans="1:13" x14ac:dyDescent="0.4">
      <c r="A318" s="2508"/>
      <c r="C318" s="2508"/>
      <c r="E318" s="2508"/>
      <c r="F318" s="2386"/>
      <c r="G318" s="2441"/>
      <c r="H318" s="2441"/>
      <c r="I318" s="2441"/>
      <c r="J318" s="2441"/>
      <c r="K318" s="2441"/>
      <c r="L318" s="2386"/>
      <c r="M318" s="2386"/>
    </row>
    <row r="319" spans="1:13" x14ac:dyDescent="0.4">
      <c r="A319" s="2508"/>
      <c r="C319" s="2508"/>
      <c r="E319" s="2508"/>
      <c r="F319" s="2386"/>
      <c r="G319" s="2441"/>
      <c r="H319" s="2441"/>
      <c r="I319" s="2441"/>
      <c r="J319" s="2441"/>
      <c r="K319" s="2441"/>
      <c r="L319" s="2386"/>
      <c r="M319" s="2386"/>
    </row>
    <row r="320" spans="1:13" x14ac:dyDescent="0.4">
      <c r="A320" s="2508"/>
      <c r="C320" s="2508"/>
      <c r="E320" s="2508"/>
      <c r="F320" s="2386"/>
      <c r="G320" s="2441"/>
      <c r="H320" s="2441"/>
      <c r="I320" s="2441"/>
      <c r="J320" s="2441"/>
      <c r="K320" s="2441"/>
      <c r="L320" s="2386"/>
      <c r="M320" s="2386"/>
    </row>
    <row r="321" spans="1:13" x14ac:dyDescent="0.4">
      <c r="A321" s="2508"/>
      <c r="C321" s="2508"/>
      <c r="E321" s="2508"/>
      <c r="F321" s="2386"/>
      <c r="G321" s="2441"/>
      <c r="H321" s="2441"/>
      <c r="I321" s="2441"/>
      <c r="J321" s="2441"/>
      <c r="K321" s="2441"/>
      <c r="L321" s="2386"/>
      <c r="M321" s="2386"/>
    </row>
    <row r="322" spans="1:13" x14ac:dyDescent="0.4">
      <c r="A322" s="2508"/>
      <c r="C322" s="2508"/>
      <c r="E322" s="2508"/>
      <c r="F322" s="2386"/>
      <c r="G322" s="2441"/>
      <c r="H322" s="2441"/>
      <c r="I322" s="2441"/>
      <c r="J322" s="2441"/>
      <c r="K322" s="2441"/>
      <c r="L322" s="2386"/>
      <c r="M322" s="2386"/>
    </row>
    <row r="323" spans="1:13" x14ac:dyDescent="0.4">
      <c r="A323" s="2508"/>
      <c r="C323" s="2508"/>
      <c r="E323" s="2508"/>
      <c r="F323" s="2386"/>
      <c r="G323" s="2441"/>
      <c r="H323" s="2441"/>
      <c r="I323" s="2441"/>
      <c r="J323" s="2441"/>
      <c r="K323" s="2441"/>
      <c r="L323" s="2386"/>
      <c r="M323" s="2386"/>
    </row>
    <row r="324" spans="1:13" x14ac:dyDescent="0.4">
      <c r="A324" s="2508"/>
      <c r="C324" s="2508"/>
      <c r="E324" s="2508"/>
      <c r="F324" s="2386"/>
      <c r="G324" s="2441"/>
      <c r="H324" s="2441"/>
      <c r="I324" s="2441"/>
      <c r="J324" s="2441"/>
      <c r="K324" s="2441"/>
      <c r="L324" s="2386"/>
      <c r="M324" s="2386"/>
    </row>
    <row r="325" spans="1:13" x14ac:dyDescent="0.4">
      <c r="A325" s="2508"/>
      <c r="C325" s="2508"/>
      <c r="E325" s="2508"/>
      <c r="F325" s="2386"/>
      <c r="G325" s="2441"/>
      <c r="H325" s="2441"/>
      <c r="I325" s="2441"/>
      <c r="J325" s="2441"/>
      <c r="K325" s="2441"/>
      <c r="L325" s="2386"/>
      <c r="M325" s="2386"/>
    </row>
    <row r="326" spans="1:13" x14ac:dyDescent="0.4">
      <c r="A326" s="2508"/>
      <c r="C326" s="2508"/>
      <c r="E326" s="2508"/>
      <c r="F326" s="2386"/>
      <c r="G326" s="2441"/>
      <c r="H326" s="2441"/>
      <c r="I326" s="2441"/>
      <c r="J326" s="2441"/>
      <c r="K326" s="2441"/>
      <c r="L326" s="2386"/>
      <c r="M326" s="2386"/>
    </row>
    <row r="327" spans="1:13" x14ac:dyDescent="0.4">
      <c r="A327" s="2508"/>
      <c r="C327" s="2508"/>
      <c r="E327" s="2508"/>
      <c r="F327" s="2386"/>
      <c r="G327" s="2441"/>
      <c r="H327" s="2441"/>
      <c r="I327" s="2441"/>
      <c r="J327" s="2441"/>
      <c r="K327" s="2441"/>
      <c r="L327" s="2386"/>
      <c r="M327" s="2386"/>
    </row>
    <row r="328" spans="1:13" x14ac:dyDescent="0.4">
      <c r="A328" s="2508"/>
      <c r="C328" s="2508"/>
      <c r="E328" s="2508"/>
      <c r="F328" s="2386"/>
      <c r="G328" s="2441"/>
      <c r="H328" s="2441"/>
      <c r="I328" s="2441"/>
      <c r="J328" s="2441"/>
      <c r="K328" s="2441"/>
      <c r="L328" s="2386"/>
      <c r="M328" s="2386"/>
    </row>
    <row r="329" spans="1:13" x14ac:dyDescent="0.4">
      <c r="A329" s="2508"/>
      <c r="C329" s="2508"/>
      <c r="E329" s="2508"/>
      <c r="F329" s="2386"/>
      <c r="G329" s="2441"/>
      <c r="H329" s="2441"/>
      <c r="I329" s="2441"/>
      <c r="J329" s="2441"/>
      <c r="K329" s="2441"/>
      <c r="L329" s="2386"/>
      <c r="M329" s="2386"/>
    </row>
    <row r="330" spans="1:13" x14ac:dyDescent="0.4">
      <c r="A330" s="2508"/>
      <c r="C330" s="2508"/>
      <c r="E330" s="2508"/>
      <c r="F330" s="2386"/>
      <c r="G330" s="2441"/>
      <c r="H330" s="2441"/>
      <c r="I330" s="2441"/>
      <c r="J330" s="2441"/>
      <c r="K330" s="2441"/>
      <c r="L330" s="2386"/>
      <c r="M330" s="2386"/>
    </row>
    <row r="331" spans="1:13" x14ac:dyDescent="0.4">
      <c r="A331" s="2508"/>
      <c r="C331" s="2508"/>
      <c r="E331" s="2508"/>
      <c r="F331" s="2386"/>
      <c r="G331" s="2441"/>
      <c r="H331" s="2441"/>
      <c r="I331" s="2441"/>
      <c r="J331" s="2441"/>
      <c r="K331" s="2441"/>
      <c r="L331" s="2386"/>
      <c r="M331" s="2386"/>
    </row>
    <row r="332" spans="1:13" x14ac:dyDescent="0.4">
      <c r="A332" s="2508"/>
      <c r="C332" s="2508"/>
      <c r="E332" s="2508"/>
      <c r="F332" s="2386"/>
      <c r="G332" s="2441"/>
      <c r="H332" s="2441"/>
      <c r="I332" s="2441"/>
      <c r="J332" s="2441"/>
      <c r="K332" s="2441"/>
      <c r="L332" s="2386"/>
      <c r="M332" s="2386"/>
    </row>
    <row r="333" spans="1:13" x14ac:dyDescent="0.4">
      <c r="A333" s="2508"/>
      <c r="C333" s="2508"/>
      <c r="E333" s="2508"/>
      <c r="F333" s="2386"/>
      <c r="G333" s="2441"/>
      <c r="H333" s="2441"/>
      <c r="I333" s="2441"/>
      <c r="J333" s="2441"/>
      <c r="K333" s="2441"/>
      <c r="L333" s="2386"/>
      <c r="M333" s="2386"/>
    </row>
    <row r="334" spans="1:13" x14ac:dyDescent="0.4">
      <c r="A334" s="2508"/>
      <c r="C334" s="2508"/>
      <c r="E334" s="2508"/>
      <c r="F334" s="2386"/>
      <c r="G334" s="2441"/>
      <c r="H334" s="2441"/>
      <c r="I334" s="2441"/>
      <c r="J334" s="2441"/>
      <c r="K334" s="2441"/>
      <c r="L334" s="2386"/>
      <c r="M334" s="2386"/>
    </row>
    <row r="335" spans="1:13" x14ac:dyDescent="0.4">
      <c r="A335" s="2508"/>
      <c r="C335" s="2508"/>
      <c r="E335" s="2508"/>
      <c r="F335" s="2386"/>
      <c r="G335" s="2441"/>
      <c r="H335" s="2441"/>
      <c r="I335" s="2441"/>
      <c r="J335" s="2441"/>
      <c r="K335" s="2441"/>
      <c r="L335" s="2386"/>
      <c r="M335" s="2386"/>
    </row>
    <row r="336" spans="1:13" x14ac:dyDescent="0.4">
      <c r="A336" s="2508"/>
      <c r="C336" s="2508"/>
      <c r="E336" s="2508"/>
      <c r="F336" s="2386"/>
      <c r="G336" s="2441"/>
      <c r="H336" s="2441"/>
      <c r="I336" s="2441"/>
      <c r="J336" s="2441"/>
      <c r="K336" s="2441"/>
      <c r="L336" s="2386"/>
      <c r="M336" s="2386"/>
    </row>
    <row r="337" spans="1:13" x14ac:dyDescent="0.4">
      <c r="A337" s="2508"/>
      <c r="C337" s="2508"/>
      <c r="E337" s="2508"/>
      <c r="F337" s="2386"/>
      <c r="G337" s="2441"/>
      <c r="H337" s="2441"/>
      <c r="I337" s="2441"/>
      <c r="J337" s="2441"/>
      <c r="K337" s="2441"/>
      <c r="L337" s="2386"/>
      <c r="M337" s="2386"/>
    </row>
    <row r="338" spans="1:13" x14ac:dyDescent="0.4">
      <c r="A338" s="2508"/>
      <c r="C338" s="2508"/>
      <c r="E338" s="2508"/>
      <c r="F338" s="2386"/>
      <c r="G338" s="2441"/>
      <c r="H338" s="2441"/>
      <c r="I338" s="2441"/>
      <c r="J338" s="2441"/>
      <c r="K338" s="2441"/>
      <c r="L338" s="2386"/>
      <c r="M338" s="2386"/>
    </row>
    <row r="339" spans="1:13" x14ac:dyDescent="0.4">
      <c r="A339" s="2508"/>
      <c r="C339" s="2508"/>
      <c r="E339" s="2508"/>
      <c r="F339" s="2386"/>
      <c r="G339" s="2441"/>
      <c r="H339" s="2441"/>
      <c r="I339" s="2441"/>
      <c r="J339" s="2441"/>
      <c r="K339" s="2441"/>
      <c r="L339" s="2386"/>
      <c r="M339" s="2386"/>
    </row>
    <row r="340" spans="1:13" x14ac:dyDescent="0.4">
      <c r="A340" s="2508"/>
      <c r="C340" s="2508"/>
      <c r="E340" s="2508"/>
      <c r="F340" s="2386"/>
      <c r="G340" s="2441"/>
      <c r="H340" s="2441"/>
      <c r="I340" s="2441"/>
      <c r="J340" s="2441"/>
      <c r="K340" s="2441"/>
      <c r="L340" s="2386"/>
      <c r="M340" s="2386"/>
    </row>
    <row r="341" spans="1:13" x14ac:dyDescent="0.4">
      <c r="A341" s="2508"/>
      <c r="C341" s="2508"/>
      <c r="E341" s="2508"/>
      <c r="F341" s="2386"/>
      <c r="G341" s="2441"/>
      <c r="H341" s="2441"/>
      <c r="I341" s="2441"/>
      <c r="J341" s="2441"/>
      <c r="K341" s="2441"/>
      <c r="L341" s="2386"/>
      <c r="M341" s="2386"/>
    </row>
    <row r="342" spans="1:13" x14ac:dyDescent="0.4">
      <c r="A342" s="2508"/>
      <c r="C342" s="2508"/>
      <c r="E342" s="2508"/>
      <c r="F342" s="2386"/>
      <c r="G342" s="2441"/>
      <c r="H342" s="2441"/>
      <c r="I342" s="2441"/>
      <c r="J342" s="2441"/>
      <c r="K342" s="2441"/>
      <c r="L342" s="2386"/>
      <c r="M342" s="2386"/>
    </row>
    <row r="343" spans="1:13" x14ac:dyDescent="0.4">
      <c r="A343" s="2508"/>
      <c r="C343" s="2508"/>
      <c r="E343" s="2508"/>
      <c r="F343" s="2386"/>
      <c r="G343" s="2441"/>
      <c r="H343" s="2441"/>
      <c r="I343" s="2441"/>
      <c r="J343" s="2441"/>
      <c r="K343" s="2441"/>
      <c r="L343" s="2386"/>
      <c r="M343" s="2386"/>
    </row>
    <row r="344" spans="1:13" x14ac:dyDescent="0.4">
      <c r="A344" s="2508"/>
      <c r="C344" s="2508"/>
      <c r="E344" s="2508"/>
      <c r="F344" s="2386"/>
      <c r="G344" s="2441"/>
      <c r="H344" s="2441"/>
      <c r="I344" s="2441"/>
      <c r="J344" s="2441"/>
      <c r="K344" s="2441"/>
      <c r="L344" s="2386"/>
      <c r="M344" s="2386"/>
    </row>
    <row r="345" spans="1:13" x14ac:dyDescent="0.4">
      <c r="A345" s="2508"/>
      <c r="C345" s="2508"/>
      <c r="E345" s="2508"/>
      <c r="F345" s="2386"/>
      <c r="G345" s="2441"/>
      <c r="H345" s="2441"/>
      <c r="I345" s="2441"/>
      <c r="J345" s="2441"/>
      <c r="K345" s="2441"/>
      <c r="L345" s="2386"/>
      <c r="M345" s="2386"/>
    </row>
    <row r="346" spans="1:13" x14ac:dyDescent="0.4">
      <c r="A346" s="2508"/>
      <c r="C346" s="2508"/>
      <c r="E346" s="2508"/>
      <c r="F346" s="2386"/>
      <c r="G346" s="2441"/>
      <c r="H346" s="2441"/>
      <c r="I346" s="2441"/>
      <c r="J346" s="2441"/>
      <c r="K346" s="2441"/>
      <c r="L346" s="2386"/>
      <c r="M346" s="2386"/>
    </row>
    <row r="347" spans="1:13" x14ac:dyDescent="0.4">
      <c r="A347" s="2508"/>
      <c r="C347" s="2508"/>
      <c r="E347" s="2508"/>
      <c r="F347" s="2386"/>
      <c r="G347" s="2441"/>
      <c r="H347" s="2441"/>
      <c r="I347" s="2441"/>
      <c r="J347" s="2441"/>
      <c r="K347" s="2441"/>
      <c r="L347" s="2386"/>
      <c r="M347" s="2386"/>
    </row>
    <row r="348" spans="1:13" x14ac:dyDescent="0.4">
      <c r="A348" s="2508"/>
      <c r="C348" s="2508"/>
      <c r="E348" s="2508"/>
      <c r="F348" s="2386"/>
      <c r="G348" s="2441"/>
      <c r="H348" s="2441"/>
      <c r="I348" s="2441"/>
      <c r="J348" s="2441"/>
      <c r="K348" s="2441"/>
      <c r="L348" s="2386"/>
      <c r="M348" s="2386"/>
    </row>
    <row r="349" spans="1:13" x14ac:dyDescent="0.4">
      <c r="A349" s="2508"/>
      <c r="C349" s="2508"/>
      <c r="E349" s="2508"/>
      <c r="F349" s="2386"/>
      <c r="G349" s="2441"/>
      <c r="H349" s="2441"/>
      <c r="I349" s="2441"/>
      <c r="J349" s="2441"/>
      <c r="K349" s="2441"/>
      <c r="L349" s="2386"/>
      <c r="M349" s="2386"/>
    </row>
    <row r="350" spans="1:13" x14ac:dyDescent="0.4">
      <c r="A350" s="2508"/>
      <c r="C350" s="2508"/>
      <c r="E350" s="2508"/>
      <c r="F350" s="2386"/>
      <c r="G350" s="2441"/>
      <c r="H350" s="2441"/>
      <c r="I350" s="2441"/>
      <c r="J350" s="2441"/>
      <c r="K350" s="2441"/>
      <c r="L350" s="2386"/>
      <c r="M350" s="2386"/>
    </row>
    <row r="351" spans="1:13" x14ac:dyDescent="0.4">
      <c r="A351" s="2508"/>
      <c r="C351" s="2508"/>
      <c r="E351" s="2508"/>
      <c r="F351" s="2386"/>
      <c r="G351" s="2441"/>
      <c r="H351" s="2441"/>
      <c r="I351" s="2441"/>
      <c r="J351" s="2441"/>
      <c r="K351" s="2441"/>
      <c r="L351" s="2386"/>
      <c r="M351" s="2386"/>
    </row>
    <row r="352" spans="1:13" x14ac:dyDescent="0.4">
      <c r="A352" s="2508"/>
      <c r="C352" s="2508"/>
      <c r="E352" s="2508"/>
      <c r="F352" s="2386"/>
      <c r="G352" s="2441"/>
      <c r="H352" s="2441"/>
      <c r="I352" s="2441"/>
      <c r="J352" s="2441"/>
      <c r="K352" s="2441"/>
      <c r="L352" s="2386"/>
      <c r="M352" s="2386"/>
    </row>
    <row r="353" spans="1:13" x14ac:dyDescent="0.4">
      <c r="A353" s="2508"/>
      <c r="C353" s="2508"/>
      <c r="E353" s="2508"/>
      <c r="F353" s="2386"/>
      <c r="G353" s="2441"/>
      <c r="H353" s="2441"/>
      <c r="I353" s="2441"/>
      <c r="J353" s="2441"/>
      <c r="K353" s="2441"/>
      <c r="L353" s="2386"/>
      <c r="M353" s="2386"/>
    </row>
    <row r="354" spans="1:13" x14ac:dyDescent="0.4">
      <c r="A354" s="2508"/>
      <c r="C354" s="2508"/>
      <c r="E354" s="2508"/>
      <c r="F354" s="2386"/>
      <c r="G354" s="2441"/>
      <c r="H354" s="2441"/>
      <c r="I354" s="2441"/>
      <c r="J354" s="2441"/>
      <c r="K354" s="2441"/>
      <c r="L354" s="2386"/>
      <c r="M354" s="2386"/>
    </row>
    <row r="355" spans="1:13" x14ac:dyDescent="0.4">
      <c r="A355" s="2508"/>
      <c r="C355" s="2508"/>
      <c r="E355" s="2508"/>
      <c r="F355" s="2386"/>
      <c r="G355" s="2441"/>
      <c r="H355" s="2441"/>
      <c r="I355" s="2441"/>
      <c r="J355" s="2441"/>
      <c r="K355" s="2441"/>
      <c r="L355" s="2386"/>
      <c r="M355" s="2386"/>
    </row>
    <row r="356" spans="1:13" x14ac:dyDescent="0.4">
      <c r="A356" s="2508"/>
      <c r="C356" s="2508"/>
      <c r="E356" s="2508"/>
      <c r="F356" s="2386"/>
      <c r="G356" s="2441"/>
      <c r="H356" s="2441"/>
      <c r="I356" s="2441"/>
      <c r="J356" s="2441"/>
      <c r="K356" s="2441"/>
      <c r="L356" s="2386"/>
      <c r="M356" s="2386"/>
    </row>
    <row r="357" spans="1:13" x14ac:dyDescent="0.4">
      <c r="A357" s="2508"/>
      <c r="C357" s="2508"/>
      <c r="E357" s="2508"/>
      <c r="F357" s="2386"/>
      <c r="G357" s="2441"/>
      <c r="H357" s="2441"/>
      <c r="I357" s="2441"/>
      <c r="J357" s="2441"/>
      <c r="K357" s="2441"/>
      <c r="L357" s="2386"/>
      <c r="M357" s="2386"/>
    </row>
    <row r="358" spans="1:13" x14ac:dyDescent="0.4">
      <c r="A358" s="2508"/>
      <c r="C358" s="2508"/>
      <c r="E358" s="2508"/>
      <c r="F358" s="2386"/>
      <c r="G358" s="2441"/>
      <c r="H358" s="2441"/>
      <c r="I358" s="2441"/>
      <c r="J358" s="2441"/>
      <c r="K358" s="2441"/>
      <c r="L358" s="2386"/>
      <c r="M358" s="2386"/>
    </row>
    <row r="359" spans="1:13" x14ac:dyDescent="0.4">
      <c r="A359" s="2508"/>
      <c r="C359" s="2508"/>
      <c r="E359" s="2508"/>
      <c r="F359" s="2386"/>
      <c r="G359" s="2441"/>
      <c r="H359" s="2441"/>
      <c r="I359" s="2441"/>
      <c r="J359" s="2441"/>
      <c r="K359" s="2441"/>
      <c r="L359" s="2386"/>
      <c r="M359" s="2386"/>
    </row>
    <row r="360" spans="1:13" x14ac:dyDescent="0.4">
      <c r="A360" s="2508"/>
      <c r="C360" s="2508"/>
      <c r="E360" s="2508"/>
      <c r="F360" s="2386"/>
      <c r="G360" s="2441"/>
      <c r="H360" s="2441"/>
      <c r="I360" s="2441"/>
      <c r="J360" s="2441"/>
      <c r="K360" s="2441"/>
      <c r="L360" s="2386"/>
      <c r="M360" s="2386"/>
    </row>
    <row r="361" spans="1:13" x14ac:dyDescent="0.4">
      <c r="A361" s="2508"/>
      <c r="C361" s="2508"/>
      <c r="E361" s="2508"/>
      <c r="F361" s="2386"/>
      <c r="G361" s="2441"/>
      <c r="H361" s="2441"/>
      <c r="I361" s="2441"/>
      <c r="J361" s="2441"/>
      <c r="K361" s="2441"/>
      <c r="L361" s="2386"/>
      <c r="M361" s="2386"/>
    </row>
    <row r="362" spans="1:13" x14ac:dyDescent="0.4">
      <c r="A362" s="2508"/>
      <c r="C362" s="2508"/>
      <c r="E362" s="2508"/>
      <c r="F362" s="2386"/>
      <c r="G362" s="2441"/>
      <c r="H362" s="2441"/>
      <c r="I362" s="2441"/>
      <c r="J362" s="2441"/>
      <c r="K362" s="2441"/>
      <c r="L362" s="2386"/>
      <c r="M362" s="2386"/>
    </row>
    <row r="363" spans="1:13" x14ac:dyDescent="0.4">
      <c r="A363" s="2508"/>
      <c r="C363" s="2508"/>
      <c r="E363" s="2508"/>
      <c r="F363" s="2386"/>
      <c r="G363" s="2441"/>
      <c r="H363" s="2441"/>
      <c r="I363" s="2441"/>
      <c r="J363" s="2441"/>
      <c r="K363" s="2441"/>
      <c r="L363" s="2386"/>
      <c r="M363" s="2386"/>
    </row>
    <row r="364" spans="1:13" x14ac:dyDescent="0.4">
      <c r="A364" s="2508"/>
      <c r="C364" s="2508"/>
      <c r="E364" s="2508"/>
      <c r="F364" s="2386"/>
      <c r="G364" s="2441"/>
      <c r="H364" s="2441"/>
      <c r="I364" s="2441"/>
      <c r="J364" s="2441"/>
      <c r="K364" s="2441"/>
      <c r="L364" s="2386"/>
      <c r="M364" s="2386"/>
    </row>
    <row r="365" spans="1:13" x14ac:dyDescent="0.4">
      <c r="A365" s="2508"/>
      <c r="C365" s="2508"/>
      <c r="E365" s="2508"/>
      <c r="F365" s="2386"/>
      <c r="G365" s="2441"/>
      <c r="H365" s="2441"/>
      <c r="I365" s="2441"/>
      <c r="J365" s="2441"/>
      <c r="K365" s="2441"/>
      <c r="L365" s="2386"/>
      <c r="M365" s="2386"/>
    </row>
    <row r="366" spans="1:13" x14ac:dyDescent="0.4">
      <c r="A366" s="2508"/>
      <c r="C366" s="2508"/>
      <c r="E366" s="2508"/>
      <c r="F366" s="2386"/>
      <c r="G366" s="2441"/>
      <c r="H366" s="2441"/>
      <c r="I366" s="2441"/>
      <c r="J366" s="2441"/>
      <c r="K366" s="2441"/>
      <c r="L366" s="2386"/>
      <c r="M366" s="2386"/>
    </row>
    <row r="367" spans="1:13" x14ac:dyDescent="0.4">
      <c r="A367" s="2508"/>
      <c r="C367" s="2508"/>
      <c r="E367" s="2508"/>
      <c r="F367" s="2386"/>
      <c r="G367" s="2441"/>
      <c r="H367" s="2441"/>
      <c r="I367" s="2441"/>
      <c r="J367" s="2441"/>
      <c r="K367" s="2441"/>
      <c r="L367" s="2386"/>
      <c r="M367" s="2386"/>
    </row>
    <row r="368" spans="1:13" x14ac:dyDescent="0.4">
      <c r="A368" s="2508"/>
      <c r="C368" s="2508"/>
      <c r="E368" s="2508"/>
      <c r="F368" s="2386"/>
      <c r="G368" s="2441"/>
      <c r="H368" s="2441"/>
      <c r="I368" s="2441"/>
      <c r="J368" s="2441"/>
      <c r="K368" s="2441"/>
      <c r="L368" s="2386"/>
      <c r="M368" s="2386"/>
    </row>
    <row r="369" spans="1:13" x14ac:dyDescent="0.4">
      <c r="A369" s="2508"/>
      <c r="C369" s="2508"/>
      <c r="E369" s="2508"/>
      <c r="F369" s="2386"/>
      <c r="G369" s="2441"/>
      <c r="H369" s="2441"/>
      <c r="I369" s="2441"/>
      <c r="J369" s="2441"/>
      <c r="K369" s="2441"/>
      <c r="L369" s="2386"/>
      <c r="M369" s="2386"/>
    </row>
    <row r="370" spans="1:13" x14ac:dyDescent="0.4">
      <c r="A370" s="2508"/>
      <c r="C370" s="2508"/>
      <c r="E370" s="2508"/>
      <c r="F370" s="2386"/>
      <c r="G370" s="2441"/>
      <c r="H370" s="2441"/>
      <c r="I370" s="2441"/>
      <c r="J370" s="2441"/>
      <c r="K370" s="2441"/>
      <c r="L370" s="2386"/>
      <c r="M370" s="2386"/>
    </row>
    <row r="371" spans="1:13" x14ac:dyDescent="0.4">
      <c r="A371" s="2508"/>
      <c r="C371" s="2508"/>
      <c r="E371" s="2508"/>
      <c r="F371" s="2386"/>
      <c r="G371" s="2441"/>
      <c r="H371" s="2441"/>
      <c r="I371" s="2441"/>
      <c r="J371" s="2441"/>
      <c r="K371" s="2441"/>
      <c r="L371" s="2386"/>
      <c r="M371" s="2386"/>
    </row>
    <row r="372" spans="1:13" x14ac:dyDescent="0.4">
      <c r="A372" s="2508"/>
      <c r="C372" s="2508"/>
      <c r="E372" s="2508"/>
      <c r="F372" s="2386"/>
      <c r="G372" s="2441"/>
      <c r="H372" s="2441"/>
      <c r="I372" s="2441"/>
      <c r="J372" s="2441"/>
      <c r="K372" s="2441"/>
      <c r="L372" s="2386"/>
      <c r="M372" s="2386"/>
    </row>
    <row r="373" spans="1:13" x14ac:dyDescent="0.4">
      <c r="A373" s="2508"/>
      <c r="C373" s="2508"/>
      <c r="E373" s="2508"/>
      <c r="F373" s="2386"/>
      <c r="G373" s="2441"/>
      <c r="H373" s="2441"/>
      <c r="I373" s="2441"/>
      <c r="J373" s="2441"/>
      <c r="K373" s="2441"/>
      <c r="L373" s="2386"/>
      <c r="M373" s="2386"/>
    </row>
    <row r="374" spans="1:13" x14ac:dyDescent="0.4">
      <c r="A374" s="2508"/>
      <c r="C374" s="2508"/>
      <c r="E374" s="2508"/>
      <c r="F374" s="2386"/>
      <c r="G374" s="2441"/>
      <c r="H374" s="2441"/>
      <c r="I374" s="2441"/>
      <c r="J374" s="2441"/>
      <c r="K374" s="2441"/>
      <c r="L374" s="2386"/>
      <c r="M374" s="2386"/>
    </row>
    <row r="375" spans="1:13" x14ac:dyDescent="0.4">
      <c r="A375" s="2508"/>
      <c r="C375" s="2508"/>
      <c r="E375" s="2508"/>
      <c r="F375" s="2386"/>
      <c r="G375" s="2441"/>
      <c r="H375" s="2441"/>
      <c r="I375" s="2441"/>
      <c r="J375" s="2441"/>
      <c r="K375" s="2441"/>
      <c r="L375" s="2386"/>
      <c r="M375" s="2386"/>
    </row>
    <row r="376" spans="1:13" x14ac:dyDescent="0.4">
      <c r="A376" s="2508"/>
      <c r="C376" s="2508"/>
      <c r="E376" s="2508"/>
      <c r="F376" s="2386"/>
      <c r="G376" s="2441"/>
      <c r="H376" s="2441"/>
      <c r="I376" s="2441"/>
      <c r="J376" s="2441"/>
      <c r="K376" s="2441"/>
      <c r="L376" s="2386"/>
      <c r="M376" s="2386"/>
    </row>
    <row r="377" spans="1:13" x14ac:dyDescent="0.4">
      <c r="A377" s="2508"/>
      <c r="C377" s="2508"/>
      <c r="E377" s="2508"/>
      <c r="F377" s="2386"/>
      <c r="G377" s="2441"/>
      <c r="H377" s="2441"/>
      <c r="I377" s="2441"/>
      <c r="J377" s="2441"/>
      <c r="K377" s="2441"/>
      <c r="L377" s="2386"/>
      <c r="M377" s="2386"/>
    </row>
    <row r="378" spans="1:13" x14ac:dyDescent="0.4">
      <c r="A378" s="2508"/>
      <c r="C378" s="2508"/>
      <c r="E378" s="2508"/>
      <c r="F378" s="2386"/>
      <c r="G378" s="2441"/>
      <c r="H378" s="2441"/>
      <c r="I378" s="2441"/>
      <c r="J378" s="2441"/>
      <c r="K378" s="2441"/>
      <c r="L378" s="2386"/>
      <c r="M378" s="2386"/>
    </row>
    <row r="379" spans="1:13" x14ac:dyDescent="0.4">
      <c r="A379" s="2508"/>
      <c r="C379" s="2508"/>
      <c r="E379" s="2508"/>
      <c r="F379" s="2386"/>
      <c r="G379" s="2441"/>
      <c r="H379" s="2441"/>
      <c r="I379" s="2441"/>
      <c r="J379" s="2441"/>
      <c r="K379" s="2441"/>
      <c r="L379" s="2386"/>
      <c r="M379" s="2386"/>
    </row>
    <row r="380" spans="1:13" x14ac:dyDescent="0.4">
      <c r="A380" s="2508"/>
      <c r="C380" s="2508"/>
      <c r="E380" s="2508"/>
      <c r="F380" s="2386"/>
      <c r="G380" s="2441"/>
      <c r="H380" s="2441"/>
      <c r="I380" s="2441"/>
      <c r="J380" s="2441"/>
      <c r="K380" s="2441"/>
      <c r="L380" s="2386"/>
      <c r="M380" s="2386"/>
    </row>
    <row r="381" spans="1:13" x14ac:dyDescent="0.4">
      <c r="A381" s="2508"/>
      <c r="C381" s="2508"/>
      <c r="E381" s="2508"/>
      <c r="F381" s="2386"/>
      <c r="G381" s="2441"/>
      <c r="H381" s="2441"/>
      <c r="I381" s="2441"/>
      <c r="J381" s="2441"/>
      <c r="K381" s="2441"/>
      <c r="L381" s="2386"/>
      <c r="M381" s="2386"/>
    </row>
    <row r="382" spans="1:13" x14ac:dyDescent="0.4">
      <c r="A382" s="2508"/>
      <c r="C382" s="2508"/>
      <c r="E382" s="2508"/>
      <c r="F382" s="2386"/>
      <c r="G382" s="2441"/>
      <c r="H382" s="2441"/>
      <c r="I382" s="2441"/>
      <c r="J382" s="2441"/>
      <c r="K382" s="2441"/>
      <c r="L382" s="2386"/>
      <c r="M382" s="2386"/>
    </row>
    <row r="383" spans="1:13" x14ac:dyDescent="0.4">
      <c r="A383" s="2508"/>
      <c r="C383" s="2508"/>
      <c r="E383" s="2508"/>
      <c r="F383" s="2386"/>
      <c r="G383" s="2441"/>
      <c r="H383" s="2441"/>
      <c r="I383" s="2441"/>
      <c r="J383" s="2441"/>
      <c r="K383" s="2441"/>
      <c r="L383" s="2386"/>
      <c r="M383" s="2386"/>
    </row>
    <row r="384" spans="1:13" x14ac:dyDescent="0.4">
      <c r="A384" s="2508"/>
      <c r="C384" s="2508"/>
      <c r="E384" s="2508"/>
      <c r="F384" s="2386"/>
      <c r="G384" s="2441"/>
      <c r="H384" s="2441"/>
      <c r="I384" s="2441"/>
      <c r="J384" s="2441"/>
      <c r="K384" s="2441"/>
      <c r="L384" s="2386"/>
      <c r="M384" s="2386"/>
    </row>
    <row r="385" spans="1:13" x14ac:dyDescent="0.4">
      <c r="A385" s="2508"/>
      <c r="C385" s="2508"/>
      <c r="E385" s="2508"/>
      <c r="F385" s="2386"/>
      <c r="G385" s="2441"/>
      <c r="H385" s="2441"/>
      <c r="I385" s="2441"/>
      <c r="J385" s="2441"/>
      <c r="K385" s="2441"/>
      <c r="L385" s="2386"/>
      <c r="M385" s="2386"/>
    </row>
    <row r="386" spans="1:13" x14ac:dyDescent="0.4">
      <c r="A386" s="2508"/>
      <c r="C386" s="2508"/>
      <c r="E386" s="2508"/>
      <c r="F386" s="2386"/>
      <c r="G386" s="2441"/>
      <c r="H386" s="2441"/>
      <c r="I386" s="2441"/>
      <c r="J386" s="2441"/>
      <c r="K386" s="2441"/>
      <c r="L386" s="2386"/>
      <c r="M386" s="2386"/>
    </row>
    <row r="387" spans="1:13" x14ac:dyDescent="0.4">
      <c r="A387" s="2508"/>
      <c r="C387" s="2508"/>
      <c r="E387" s="2508"/>
      <c r="F387" s="2386"/>
      <c r="G387" s="2441"/>
      <c r="H387" s="2441"/>
      <c r="I387" s="2441"/>
      <c r="J387" s="2441"/>
      <c r="K387" s="2441"/>
      <c r="L387" s="2386"/>
      <c r="M387" s="2386"/>
    </row>
    <row r="388" spans="1:13" x14ac:dyDescent="0.4">
      <c r="A388" s="2508"/>
      <c r="C388" s="2508"/>
      <c r="E388" s="2508"/>
      <c r="F388" s="2386"/>
      <c r="G388" s="2441"/>
      <c r="H388" s="2441"/>
      <c r="I388" s="2441"/>
      <c r="J388" s="2441"/>
      <c r="K388" s="2441"/>
      <c r="L388" s="2386"/>
      <c r="M388" s="2386"/>
    </row>
    <row r="389" spans="1:13" x14ac:dyDescent="0.4">
      <c r="A389" s="2508"/>
      <c r="C389" s="2508"/>
      <c r="E389" s="2508"/>
      <c r="F389" s="2386"/>
      <c r="G389" s="2441"/>
      <c r="H389" s="2441"/>
      <c r="I389" s="2441"/>
      <c r="J389" s="2441"/>
      <c r="K389" s="2441"/>
      <c r="L389" s="2386"/>
      <c r="M389" s="2386"/>
    </row>
    <row r="390" spans="1:13" x14ac:dyDescent="0.4">
      <c r="A390" s="2508"/>
      <c r="C390" s="2508"/>
      <c r="E390" s="2508"/>
      <c r="F390" s="2386"/>
      <c r="G390" s="2441"/>
      <c r="H390" s="2441"/>
      <c r="I390" s="2441"/>
      <c r="J390" s="2441"/>
      <c r="K390" s="2441"/>
      <c r="L390" s="2386"/>
      <c r="M390" s="2386"/>
    </row>
    <row r="391" spans="1:13" x14ac:dyDescent="0.4">
      <c r="A391" s="2508"/>
      <c r="C391" s="2508"/>
      <c r="E391" s="2508"/>
      <c r="F391" s="2386"/>
      <c r="G391" s="2441"/>
      <c r="H391" s="2441"/>
      <c r="I391" s="2441"/>
      <c r="J391" s="2441"/>
      <c r="K391" s="2441"/>
      <c r="L391" s="2386"/>
      <c r="M391" s="2386"/>
    </row>
    <row r="392" spans="1:13" x14ac:dyDescent="0.4">
      <c r="A392" s="2508"/>
      <c r="C392" s="2508"/>
      <c r="E392" s="2508"/>
      <c r="F392" s="2386"/>
      <c r="G392" s="2441"/>
      <c r="H392" s="2441"/>
      <c r="I392" s="2441"/>
      <c r="J392" s="2441"/>
      <c r="K392" s="2441"/>
      <c r="L392" s="2386"/>
      <c r="M392" s="2386"/>
    </row>
    <row r="393" spans="1:13" x14ac:dyDescent="0.4">
      <c r="A393" s="2508"/>
      <c r="C393" s="2508"/>
      <c r="E393" s="2508"/>
      <c r="F393" s="2386"/>
      <c r="G393" s="2441"/>
      <c r="H393" s="2441"/>
      <c r="I393" s="2441"/>
      <c r="J393" s="2441"/>
      <c r="K393" s="2441"/>
      <c r="L393" s="2386"/>
      <c r="M393" s="2386"/>
    </row>
    <row r="394" spans="1:13" x14ac:dyDescent="0.4">
      <c r="A394" s="2508"/>
      <c r="C394" s="2508"/>
      <c r="E394" s="2508"/>
      <c r="F394" s="2386"/>
      <c r="G394" s="2441"/>
      <c r="H394" s="2441"/>
      <c r="I394" s="2441"/>
      <c r="J394" s="2441"/>
      <c r="K394" s="2441"/>
      <c r="L394" s="2386"/>
      <c r="M394" s="2386"/>
    </row>
    <row r="395" spans="1:13" x14ac:dyDescent="0.4">
      <c r="A395" s="2508"/>
      <c r="C395" s="2508"/>
      <c r="E395" s="2508"/>
      <c r="F395" s="2386"/>
      <c r="G395" s="2441"/>
      <c r="H395" s="2441"/>
      <c r="I395" s="2441"/>
      <c r="J395" s="2441"/>
      <c r="K395" s="2441"/>
      <c r="L395" s="2386"/>
      <c r="M395" s="2386"/>
    </row>
    <row r="396" spans="1:13" x14ac:dyDescent="0.4">
      <c r="A396" s="2508"/>
      <c r="C396" s="2508"/>
      <c r="E396" s="2508"/>
      <c r="F396" s="2386"/>
      <c r="G396" s="2441"/>
      <c r="H396" s="2441"/>
      <c r="I396" s="2441"/>
      <c r="J396" s="2441"/>
      <c r="K396" s="2441"/>
      <c r="L396" s="2386"/>
      <c r="M396" s="2386"/>
    </row>
    <row r="397" spans="1:13" x14ac:dyDescent="0.4">
      <c r="A397" s="2508"/>
      <c r="C397" s="2508"/>
      <c r="E397" s="2508"/>
      <c r="F397" s="2386"/>
      <c r="G397" s="2441"/>
      <c r="H397" s="2441"/>
      <c r="I397" s="2441"/>
      <c r="J397" s="2441"/>
      <c r="K397" s="2441"/>
      <c r="L397" s="2386"/>
      <c r="M397" s="2386"/>
    </row>
    <row r="398" spans="1:13" x14ac:dyDescent="0.4">
      <c r="A398" s="2508"/>
      <c r="C398" s="2508"/>
      <c r="E398" s="2508"/>
      <c r="F398" s="2386"/>
      <c r="G398" s="2441"/>
      <c r="H398" s="2441"/>
      <c r="I398" s="2441"/>
      <c r="J398" s="2441"/>
      <c r="K398" s="2441"/>
      <c r="L398" s="2386"/>
      <c r="M398" s="2386"/>
    </row>
    <row r="399" spans="1:13" x14ac:dyDescent="0.4">
      <c r="A399" s="2508"/>
      <c r="C399" s="2508"/>
      <c r="E399" s="2508"/>
      <c r="F399" s="2386"/>
      <c r="G399" s="2441"/>
      <c r="H399" s="2441"/>
      <c r="I399" s="2441"/>
      <c r="J399" s="2441"/>
      <c r="K399" s="2441"/>
      <c r="L399" s="2386"/>
      <c r="M399" s="2386"/>
    </row>
    <row r="400" spans="1:13" x14ac:dyDescent="0.4">
      <c r="A400" s="2508"/>
      <c r="C400" s="2508"/>
      <c r="E400" s="2508"/>
      <c r="F400" s="2386"/>
      <c r="G400" s="2441"/>
      <c r="H400" s="2441"/>
      <c r="I400" s="2441"/>
      <c r="J400" s="2441"/>
      <c r="K400" s="2441"/>
      <c r="L400" s="2386"/>
      <c r="M400" s="2386"/>
    </row>
    <row r="401" spans="1:13" x14ac:dyDescent="0.4">
      <c r="A401" s="2508"/>
      <c r="C401" s="2508"/>
      <c r="E401" s="2508"/>
      <c r="F401" s="2386"/>
      <c r="G401" s="2441"/>
      <c r="H401" s="2441"/>
      <c r="I401" s="2441"/>
      <c r="J401" s="2441"/>
      <c r="K401" s="2441"/>
      <c r="L401" s="2386"/>
      <c r="M401" s="2386"/>
    </row>
    <row r="402" spans="1:13" x14ac:dyDescent="0.4">
      <c r="A402" s="2508"/>
      <c r="C402" s="2508"/>
      <c r="E402" s="2508"/>
      <c r="F402" s="2386"/>
      <c r="G402" s="2441"/>
      <c r="H402" s="2441"/>
      <c r="I402" s="2441"/>
      <c r="J402" s="2441"/>
      <c r="K402" s="2441"/>
      <c r="L402" s="2386"/>
      <c r="M402" s="2386"/>
    </row>
    <row r="403" spans="1:13" x14ac:dyDescent="0.4">
      <c r="A403" s="2508"/>
      <c r="C403" s="2508"/>
      <c r="E403" s="2508"/>
      <c r="F403" s="2386"/>
      <c r="G403" s="2441"/>
      <c r="H403" s="2441"/>
      <c r="I403" s="2441"/>
      <c r="J403" s="2441"/>
      <c r="K403" s="2441"/>
      <c r="L403" s="2386"/>
      <c r="M403" s="2386"/>
    </row>
    <row r="404" spans="1:13" x14ac:dyDescent="0.4">
      <c r="A404" s="2508"/>
      <c r="C404" s="2508"/>
      <c r="E404" s="2508"/>
      <c r="F404" s="2386"/>
      <c r="G404" s="2441"/>
      <c r="H404" s="2441"/>
      <c r="I404" s="2441"/>
      <c r="J404" s="2441"/>
      <c r="K404" s="2441"/>
      <c r="L404" s="2386"/>
      <c r="M404" s="2386"/>
    </row>
    <row r="405" spans="1:13" x14ac:dyDescent="0.4">
      <c r="A405" s="2508"/>
      <c r="C405" s="2508"/>
      <c r="E405" s="2508"/>
      <c r="F405" s="2386"/>
      <c r="G405" s="2441"/>
      <c r="H405" s="2441"/>
      <c r="I405" s="2441"/>
      <c r="J405" s="2441"/>
      <c r="K405" s="2441"/>
      <c r="L405" s="2386"/>
      <c r="M405" s="2386"/>
    </row>
    <row r="406" spans="1:13" x14ac:dyDescent="0.4">
      <c r="A406" s="2508"/>
      <c r="C406" s="2508"/>
      <c r="E406" s="2508"/>
      <c r="F406" s="2386"/>
      <c r="G406" s="2441"/>
      <c r="H406" s="2441"/>
      <c r="I406" s="2441"/>
      <c r="J406" s="2441"/>
      <c r="K406" s="2441"/>
      <c r="L406" s="2386"/>
      <c r="M406" s="2386"/>
    </row>
    <row r="407" spans="1:13" x14ac:dyDescent="0.4">
      <c r="A407" s="2508"/>
      <c r="C407" s="2508"/>
      <c r="E407" s="2508"/>
      <c r="F407" s="2386"/>
      <c r="G407" s="2441"/>
      <c r="H407" s="2441"/>
      <c r="I407" s="2441"/>
      <c r="J407" s="2441"/>
      <c r="K407" s="2441"/>
      <c r="L407" s="2386"/>
      <c r="M407" s="2386"/>
    </row>
    <row r="408" spans="1:13" x14ac:dyDescent="0.4">
      <c r="A408" s="2508"/>
      <c r="C408" s="2508"/>
      <c r="E408" s="2508"/>
      <c r="F408" s="2386"/>
      <c r="G408" s="2441"/>
      <c r="H408" s="2441"/>
      <c r="I408" s="2441"/>
      <c r="J408" s="2441"/>
      <c r="K408" s="2441"/>
      <c r="L408" s="2386"/>
      <c r="M408" s="2386"/>
    </row>
    <row r="409" spans="1:13" x14ac:dyDescent="0.4">
      <c r="A409" s="2508"/>
      <c r="C409" s="2508"/>
      <c r="E409" s="2508"/>
      <c r="F409" s="2386"/>
      <c r="G409" s="2441"/>
      <c r="H409" s="2441"/>
      <c r="I409" s="2441"/>
      <c r="J409" s="2441"/>
      <c r="K409" s="2441"/>
      <c r="L409" s="2386"/>
      <c r="M409" s="2386"/>
    </row>
    <row r="410" spans="1:13" x14ac:dyDescent="0.4">
      <c r="A410" s="2508"/>
      <c r="C410" s="2508"/>
      <c r="E410" s="2508"/>
      <c r="F410" s="2386"/>
      <c r="G410" s="2441"/>
      <c r="H410" s="2441"/>
      <c r="I410" s="2441"/>
      <c r="J410" s="2441"/>
      <c r="K410" s="2441"/>
      <c r="L410" s="2386"/>
      <c r="M410" s="2386"/>
    </row>
    <row r="411" spans="1:13" x14ac:dyDescent="0.4">
      <c r="A411" s="2508"/>
      <c r="C411" s="2508"/>
      <c r="E411" s="2508"/>
      <c r="F411" s="2386"/>
      <c r="G411" s="2441"/>
      <c r="H411" s="2441"/>
      <c r="I411" s="2441"/>
      <c r="J411" s="2441"/>
      <c r="K411" s="2441"/>
      <c r="L411" s="2386"/>
      <c r="M411" s="2386"/>
    </row>
    <row r="412" spans="1:13" x14ac:dyDescent="0.4">
      <c r="A412" s="2508"/>
      <c r="C412" s="2508"/>
      <c r="E412" s="2508"/>
      <c r="F412" s="2386"/>
      <c r="G412" s="2441"/>
      <c r="H412" s="2441"/>
      <c r="I412" s="2441"/>
      <c r="J412" s="2441"/>
      <c r="K412" s="2441"/>
      <c r="L412" s="2386"/>
      <c r="M412" s="2386"/>
    </row>
    <row r="413" spans="1:13" x14ac:dyDescent="0.4">
      <c r="A413" s="2508"/>
      <c r="C413" s="2508"/>
      <c r="E413" s="2508"/>
      <c r="F413" s="2386"/>
      <c r="G413" s="2441"/>
      <c r="H413" s="2441"/>
      <c r="I413" s="2441"/>
      <c r="J413" s="2441"/>
      <c r="K413" s="2441"/>
      <c r="L413" s="2386"/>
      <c r="M413" s="2386"/>
    </row>
    <row r="414" spans="1:13" x14ac:dyDescent="0.4">
      <c r="A414" s="2508"/>
      <c r="C414" s="2508"/>
      <c r="E414" s="2508"/>
      <c r="F414" s="2386"/>
      <c r="G414" s="2441"/>
      <c r="H414" s="2441"/>
      <c r="I414" s="2441"/>
      <c r="J414" s="2441"/>
      <c r="K414" s="2441"/>
      <c r="L414" s="2386"/>
      <c r="M414" s="2386"/>
    </row>
    <row r="415" spans="1:13" x14ac:dyDescent="0.4">
      <c r="A415" s="2508"/>
      <c r="C415" s="2508"/>
      <c r="E415" s="2508"/>
      <c r="F415" s="2386"/>
      <c r="G415" s="2441"/>
      <c r="H415" s="2441"/>
      <c r="I415" s="2441"/>
      <c r="J415" s="2441"/>
      <c r="K415" s="2441"/>
      <c r="L415" s="2386"/>
      <c r="M415" s="2386"/>
    </row>
    <row r="416" spans="1:13" x14ac:dyDescent="0.4">
      <c r="A416" s="2508"/>
      <c r="C416" s="2508"/>
      <c r="E416" s="2508"/>
      <c r="F416" s="2386"/>
      <c r="G416" s="2441"/>
      <c r="H416" s="2441"/>
      <c r="I416" s="2441"/>
      <c r="J416" s="2441"/>
      <c r="K416" s="2441"/>
      <c r="L416" s="2386"/>
      <c r="M416" s="2386"/>
    </row>
    <row r="417" spans="1:13" x14ac:dyDescent="0.4">
      <c r="A417" s="2508"/>
      <c r="C417" s="2508"/>
      <c r="E417" s="2508"/>
      <c r="F417" s="2386"/>
      <c r="G417" s="2441"/>
      <c r="H417" s="2441"/>
      <c r="I417" s="2441"/>
      <c r="J417" s="2441"/>
      <c r="K417" s="2441"/>
      <c r="L417" s="2386"/>
      <c r="M417" s="2386"/>
    </row>
    <row r="418" spans="1:13" x14ac:dyDescent="0.4">
      <c r="A418" s="2508"/>
      <c r="C418" s="2508"/>
      <c r="E418" s="2508"/>
      <c r="F418" s="2386"/>
      <c r="G418" s="2441"/>
      <c r="H418" s="2441"/>
      <c r="I418" s="2441"/>
      <c r="J418" s="2441"/>
      <c r="K418" s="2441"/>
      <c r="L418" s="2386"/>
      <c r="M418" s="2386"/>
    </row>
    <row r="419" spans="1:13" x14ac:dyDescent="0.4">
      <c r="A419" s="2508"/>
      <c r="C419" s="2508"/>
      <c r="E419" s="2508"/>
      <c r="F419" s="2386"/>
      <c r="G419" s="2441"/>
      <c r="H419" s="2441"/>
      <c r="I419" s="2441"/>
      <c r="J419" s="2441"/>
      <c r="K419" s="2441"/>
      <c r="L419" s="2386"/>
      <c r="M419" s="2386"/>
    </row>
    <row r="420" spans="1:13" x14ac:dyDescent="0.4">
      <c r="A420" s="2508"/>
      <c r="C420" s="2508"/>
      <c r="E420" s="2508"/>
      <c r="F420" s="2386"/>
      <c r="G420" s="2441"/>
      <c r="H420" s="2441"/>
      <c r="I420" s="2441"/>
      <c r="J420" s="2441"/>
      <c r="K420" s="2441"/>
      <c r="L420" s="2386"/>
      <c r="M420" s="2386"/>
    </row>
    <row r="421" spans="1:13" x14ac:dyDescent="0.4">
      <c r="A421" s="2508"/>
      <c r="C421" s="2508"/>
      <c r="E421" s="2508"/>
      <c r="F421" s="2386"/>
      <c r="G421" s="2441"/>
      <c r="H421" s="2441"/>
      <c r="I421" s="2441"/>
      <c r="J421" s="2441"/>
      <c r="K421" s="2441"/>
      <c r="L421" s="2386"/>
      <c r="M421" s="2386"/>
    </row>
    <row r="422" spans="1:13" x14ac:dyDescent="0.4">
      <c r="A422" s="2508"/>
      <c r="C422" s="2508"/>
      <c r="E422" s="2508"/>
      <c r="F422" s="2386"/>
      <c r="G422" s="2441"/>
      <c r="H422" s="2441"/>
      <c r="I422" s="2441"/>
      <c r="J422" s="2441"/>
      <c r="K422" s="2441"/>
      <c r="L422" s="2386"/>
      <c r="M422" s="2386"/>
    </row>
    <row r="423" spans="1:13" x14ac:dyDescent="0.4">
      <c r="A423" s="2508"/>
      <c r="C423" s="2508"/>
      <c r="E423" s="2508"/>
      <c r="F423" s="2386"/>
      <c r="G423" s="2441"/>
      <c r="H423" s="2441"/>
      <c r="I423" s="2441"/>
      <c r="J423" s="2441"/>
      <c r="K423" s="2441"/>
      <c r="L423" s="2386"/>
      <c r="M423" s="2386"/>
    </row>
    <row r="424" spans="1:13" x14ac:dyDescent="0.4">
      <c r="A424" s="2508"/>
      <c r="C424" s="2508"/>
      <c r="E424" s="2508"/>
      <c r="F424" s="2386"/>
      <c r="G424" s="2441"/>
      <c r="H424" s="2441"/>
      <c r="I424" s="2441"/>
      <c r="J424" s="2441"/>
      <c r="K424" s="2441"/>
      <c r="L424" s="2386"/>
      <c r="M424" s="2386"/>
    </row>
    <row r="425" spans="1:13" x14ac:dyDescent="0.4">
      <c r="A425" s="2508"/>
      <c r="C425" s="2508"/>
      <c r="E425" s="2508"/>
      <c r="F425" s="2386"/>
      <c r="G425" s="2441"/>
      <c r="H425" s="2441"/>
      <c r="I425" s="2441"/>
      <c r="J425" s="2441"/>
      <c r="K425" s="2441"/>
      <c r="L425" s="2386"/>
      <c r="M425" s="2386"/>
    </row>
    <row r="426" spans="1:13" x14ac:dyDescent="0.4">
      <c r="A426" s="2508"/>
      <c r="C426" s="2508"/>
      <c r="E426" s="2508"/>
      <c r="F426" s="2386"/>
      <c r="G426" s="2441"/>
      <c r="H426" s="2441"/>
      <c r="I426" s="2441"/>
      <c r="J426" s="2441"/>
      <c r="K426" s="2441"/>
      <c r="L426" s="2386"/>
      <c r="M426" s="2386"/>
    </row>
    <row r="427" spans="1:13" x14ac:dyDescent="0.4">
      <c r="A427" s="2508"/>
      <c r="C427" s="2508"/>
      <c r="E427" s="2508"/>
      <c r="F427" s="2386"/>
      <c r="G427" s="2441"/>
      <c r="H427" s="2441"/>
      <c r="I427" s="2441"/>
      <c r="J427" s="2441"/>
      <c r="K427" s="2441"/>
      <c r="L427" s="2386"/>
      <c r="M427" s="2386"/>
    </row>
    <row r="428" spans="1:13" x14ac:dyDescent="0.4">
      <c r="A428" s="2508"/>
      <c r="C428" s="2508"/>
      <c r="E428" s="2508"/>
      <c r="F428" s="2386"/>
      <c r="G428" s="2441"/>
      <c r="H428" s="2441"/>
      <c r="I428" s="2441"/>
      <c r="J428" s="2441"/>
      <c r="K428" s="2441"/>
      <c r="L428" s="2386"/>
      <c r="M428" s="2386"/>
    </row>
    <row r="429" spans="1:13" x14ac:dyDescent="0.4">
      <c r="A429" s="2508"/>
      <c r="C429" s="2508"/>
      <c r="E429" s="2508"/>
      <c r="F429" s="2386"/>
      <c r="G429" s="2441"/>
      <c r="H429" s="2441"/>
      <c r="I429" s="2441"/>
      <c r="J429" s="2441"/>
      <c r="K429" s="2441"/>
      <c r="L429" s="2386"/>
      <c r="M429" s="2386"/>
    </row>
    <row r="430" spans="1:13" x14ac:dyDescent="0.4">
      <c r="A430" s="2508"/>
      <c r="C430" s="2508"/>
      <c r="E430" s="2508"/>
      <c r="F430" s="2386"/>
      <c r="G430" s="2441"/>
      <c r="H430" s="2441"/>
      <c r="I430" s="2441"/>
      <c r="J430" s="2441"/>
      <c r="K430" s="2441"/>
      <c r="L430" s="2386"/>
      <c r="M430" s="2386"/>
    </row>
    <row r="431" spans="1:13" x14ac:dyDescent="0.4">
      <c r="A431" s="2508"/>
      <c r="C431" s="2508"/>
      <c r="E431" s="2508"/>
      <c r="F431" s="2386"/>
      <c r="G431" s="2441"/>
      <c r="H431" s="2441"/>
      <c r="I431" s="2441"/>
      <c r="J431" s="2441"/>
      <c r="K431" s="2441"/>
      <c r="L431" s="2386"/>
      <c r="M431" s="2386"/>
    </row>
    <row r="432" spans="1:13" x14ac:dyDescent="0.4">
      <c r="A432" s="2508"/>
      <c r="C432" s="2508"/>
      <c r="E432" s="2508"/>
      <c r="F432" s="2386"/>
      <c r="G432" s="2441"/>
      <c r="H432" s="2441"/>
      <c r="I432" s="2441"/>
      <c r="J432" s="2441"/>
      <c r="K432" s="2441"/>
      <c r="L432" s="2386"/>
      <c r="M432" s="2386"/>
    </row>
    <row r="433" spans="1:13" x14ac:dyDescent="0.4">
      <c r="A433" s="2508"/>
      <c r="C433" s="2508"/>
      <c r="E433" s="2508"/>
      <c r="F433" s="2386"/>
      <c r="G433" s="2441"/>
      <c r="H433" s="2441"/>
      <c r="I433" s="2441"/>
      <c r="J433" s="2441"/>
      <c r="K433" s="2441"/>
      <c r="L433" s="2386"/>
      <c r="M433" s="2386"/>
    </row>
    <row r="434" spans="1:13" x14ac:dyDescent="0.4">
      <c r="A434" s="2508"/>
      <c r="C434" s="2508"/>
      <c r="E434" s="2508"/>
      <c r="F434" s="2386"/>
      <c r="G434" s="2441"/>
      <c r="H434" s="2441"/>
      <c r="I434" s="2441"/>
      <c r="J434" s="2441"/>
      <c r="K434" s="2441"/>
      <c r="L434" s="2386"/>
      <c r="M434" s="2386"/>
    </row>
    <row r="435" spans="1:13" x14ac:dyDescent="0.4">
      <c r="A435" s="2508"/>
      <c r="C435" s="2508"/>
      <c r="E435" s="2508"/>
      <c r="F435" s="2386"/>
      <c r="G435" s="2441"/>
      <c r="H435" s="2441"/>
      <c r="I435" s="2441"/>
      <c r="J435" s="2441"/>
      <c r="K435" s="2441"/>
      <c r="L435" s="2386"/>
      <c r="M435" s="2386"/>
    </row>
    <row r="436" spans="1:13" x14ac:dyDescent="0.4">
      <c r="A436" s="2508"/>
      <c r="C436" s="2508"/>
      <c r="E436" s="2508"/>
      <c r="F436" s="2386"/>
      <c r="G436" s="2441"/>
      <c r="H436" s="2441"/>
      <c r="I436" s="2441"/>
      <c r="J436" s="2441"/>
      <c r="K436" s="2441"/>
      <c r="L436" s="2386"/>
      <c r="M436" s="2386"/>
    </row>
    <row r="437" spans="1:13" x14ac:dyDescent="0.4">
      <c r="A437" s="2508"/>
      <c r="C437" s="2508"/>
      <c r="E437" s="2508"/>
      <c r="F437" s="2386"/>
      <c r="G437" s="2441"/>
      <c r="H437" s="2441"/>
      <c r="I437" s="2441"/>
      <c r="J437" s="2441"/>
      <c r="K437" s="2441"/>
      <c r="L437" s="2386"/>
      <c r="M437" s="2386"/>
    </row>
    <row r="438" spans="1:13" x14ac:dyDescent="0.4">
      <c r="A438" s="2508"/>
      <c r="C438" s="2508"/>
      <c r="E438" s="2508"/>
      <c r="F438" s="2386"/>
      <c r="G438" s="2441"/>
      <c r="H438" s="2441"/>
      <c r="I438" s="2441"/>
      <c r="J438" s="2441"/>
      <c r="K438" s="2441"/>
      <c r="L438" s="2386"/>
      <c r="M438" s="2386"/>
    </row>
    <row r="439" spans="1:13" x14ac:dyDescent="0.4">
      <c r="A439" s="2508"/>
      <c r="C439" s="2508"/>
      <c r="E439" s="2508"/>
      <c r="F439" s="2386"/>
      <c r="G439" s="2441"/>
      <c r="H439" s="2441"/>
      <c r="I439" s="2441"/>
      <c r="J439" s="2441"/>
      <c r="K439" s="2441"/>
      <c r="L439" s="2386"/>
      <c r="M439" s="2386"/>
    </row>
    <row r="440" spans="1:13" x14ac:dyDescent="0.4">
      <c r="A440" s="2508"/>
      <c r="C440" s="2508"/>
      <c r="E440" s="2508"/>
      <c r="F440" s="2386"/>
      <c r="G440" s="2441"/>
      <c r="H440" s="2441"/>
      <c r="I440" s="2441"/>
      <c r="J440" s="2441"/>
      <c r="K440" s="2441"/>
      <c r="L440" s="2386"/>
      <c r="M440" s="2386"/>
    </row>
    <row r="441" spans="1:13" x14ac:dyDescent="0.4">
      <c r="A441" s="2508"/>
      <c r="C441" s="2508"/>
      <c r="E441" s="2508"/>
      <c r="F441" s="2386"/>
      <c r="G441" s="2441"/>
      <c r="H441" s="2441"/>
      <c r="I441" s="2441"/>
      <c r="J441" s="2441"/>
      <c r="K441" s="2441"/>
      <c r="L441" s="2386"/>
      <c r="M441" s="2386"/>
    </row>
    <row r="442" spans="1:13" x14ac:dyDescent="0.4">
      <c r="A442" s="2508"/>
      <c r="C442" s="2508"/>
      <c r="E442" s="2508"/>
      <c r="F442" s="2386"/>
      <c r="G442" s="2441"/>
      <c r="H442" s="2441"/>
      <c r="I442" s="2441"/>
      <c r="J442" s="2441"/>
      <c r="K442" s="2441"/>
      <c r="L442" s="2386"/>
      <c r="M442" s="2386"/>
    </row>
    <row r="443" spans="1:13" x14ac:dyDescent="0.4">
      <c r="A443" s="2508"/>
      <c r="C443" s="2508"/>
      <c r="E443" s="2508"/>
      <c r="F443" s="2386"/>
      <c r="G443" s="2441"/>
      <c r="H443" s="2441"/>
      <c r="I443" s="2441"/>
      <c r="J443" s="2441"/>
      <c r="K443" s="2441"/>
      <c r="L443" s="2386"/>
      <c r="M443" s="2386"/>
    </row>
    <row r="444" spans="1:13" x14ac:dyDescent="0.4">
      <c r="A444" s="2508"/>
      <c r="C444" s="2508"/>
      <c r="E444" s="2508"/>
      <c r="F444" s="2386"/>
      <c r="G444" s="2441"/>
      <c r="H444" s="2441"/>
      <c r="I444" s="2441"/>
      <c r="J444" s="2441"/>
      <c r="K444" s="2441"/>
    </row>
    <row r="445" spans="1:13" x14ac:dyDescent="0.4">
      <c r="A445" s="2508"/>
      <c r="C445" s="2508"/>
      <c r="E445" s="2508"/>
      <c r="F445" s="2386"/>
      <c r="G445" s="2780"/>
      <c r="H445" s="2780"/>
      <c r="I445" s="2780"/>
      <c r="J445" s="2780"/>
      <c r="K445" s="2780"/>
    </row>
    <row r="446" spans="1:13" x14ac:dyDescent="0.4">
      <c r="A446" s="2508"/>
      <c r="C446" s="2508"/>
      <c r="E446" s="2508"/>
      <c r="F446" s="2386"/>
      <c r="G446" s="2780"/>
      <c r="H446" s="2780"/>
      <c r="I446" s="2780"/>
      <c r="J446" s="2780"/>
      <c r="K446" s="2780"/>
    </row>
    <row r="447" spans="1:13" x14ac:dyDescent="0.4">
      <c r="A447" s="2508"/>
      <c r="C447" s="2508"/>
      <c r="E447" s="2508"/>
      <c r="F447" s="2386"/>
      <c r="G447" s="2780"/>
      <c r="H447" s="2780"/>
      <c r="I447" s="2780"/>
      <c r="J447" s="2780"/>
      <c r="K447" s="2780"/>
    </row>
    <row r="448" spans="1:13" x14ac:dyDescent="0.4">
      <c r="A448" s="2508"/>
      <c r="C448" s="2508"/>
      <c r="E448" s="2508"/>
      <c r="F448" s="2386"/>
      <c r="G448" s="2780"/>
      <c r="H448" s="2780"/>
      <c r="I448" s="2780"/>
      <c r="J448" s="2780"/>
      <c r="K448" s="2780"/>
    </row>
    <row r="449" spans="1:11" x14ac:dyDescent="0.4">
      <c r="A449" s="2508"/>
      <c r="C449" s="2508"/>
      <c r="E449" s="2508"/>
      <c r="F449" s="2386"/>
      <c r="G449" s="2780"/>
      <c r="H449" s="2780"/>
      <c r="I449" s="2780"/>
      <c r="J449" s="2780"/>
      <c r="K449" s="2780"/>
    </row>
    <row r="450" spans="1:11" x14ac:dyDescent="0.4">
      <c r="A450" s="2508"/>
      <c r="C450" s="2508"/>
      <c r="E450" s="2508"/>
      <c r="F450" s="2386"/>
      <c r="G450" s="2780"/>
      <c r="H450" s="2780"/>
      <c r="I450" s="2780"/>
      <c r="J450" s="2780"/>
      <c r="K450" s="2780"/>
    </row>
    <row r="451" spans="1:11" x14ac:dyDescent="0.4">
      <c r="A451" s="2508"/>
      <c r="C451" s="2508"/>
      <c r="E451" s="2508"/>
      <c r="F451" s="2386"/>
      <c r="G451" s="2780"/>
      <c r="H451" s="2780"/>
      <c r="I451" s="2780"/>
      <c r="J451" s="2780"/>
      <c r="K451" s="2780"/>
    </row>
    <row r="452" spans="1:11" x14ac:dyDescent="0.4">
      <c r="A452" s="2508"/>
      <c r="C452" s="2508"/>
      <c r="E452" s="2508"/>
      <c r="F452" s="2386"/>
      <c r="G452" s="2780"/>
      <c r="H452" s="2780"/>
      <c r="I452" s="2780"/>
      <c r="J452" s="2780"/>
      <c r="K452" s="2780"/>
    </row>
    <row r="453" spans="1:11" x14ac:dyDescent="0.4">
      <c r="A453" s="2508"/>
      <c r="C453" s="2508"/>
      <c r="E453" s="2508"/>
      <c r="F453" s="2386"/>
      <c r="G453" s="2780"/>
      <c r="H453" s="2780"/>
      <c r="I453" s="2780"/>
      <c r="J453" s="2780"/>
      <c r="K453" s="2780"/>
    </row>
    <row r="454" spans="1:11" x14ac:dyDescent="0.4">
      <c r="A454" s="2508"/>
      <c r="C454" s="2508"/>
      <c r="E454" s="2508"/>
      <c r="F454" s="2386"/>
      <c r="G454" s="2780"/>
      <c r="H454" s="2780"/>
      <c r="I454" s="2780"/>
      <c r="J454" s="2780"/>
      <c r="K454" s="2780"/>
    </row>
    <row r="455" spans="1:11" x14ac:dyDescent="0.4">
      <c r="A455" s="2508"/>
      <c r="C455" s="2508"/>
      <c r="E455" s="2508"/>
      <c r="F455" s="2386"/>
      <c r="G455" s="2780"/>
      <c r="H455" s="2780"/>
      <c r="I455" s="2780"/>
      <c r="J455" s="2780"/>
      <c r="K455" s="2780"/>
    </row>
    <row r="456" spans="1:11" x14ac:dyDescent="0.4">
      <c r="A456" s="2508"/>
      <c r="C456" s="2508"/>
      <c r="E456" s="2508"/>
      <c r="F456" s="2386"/>
      <c r="G456" s="2780"/>
      <c r="H456" s="2780"/>
      <c r="I456" s="2780"/>
      <c r="J456" s="2780"/>
      <c r="K456" s="2780"/>
    </row>
    <row r="457" spans="1:11" x14ac:dyDescent="0.4">
      <c r="A457" s="2508"/>
      <c r="C457" s="2508"/>
      <c r="E457" s="2508"/>
      <c r="F457" s="2386"/>
      <c r="G457" s="2780"/>
      <c r="H457" s="2780"/>
      <c r="I457" s="2780"/>
      <c r="J457" s="2780"/>
      <c r="K457" s="2780"/>
    </row>
    <row r="458" spans="1:11" x14ac:dyDescent="0.4">
      <c r="A458" s="2508"/>
      <c r="C458" s="2508"/>
      <c r="E458" s="2508"/>
      <c r="F458" s="2386"/>
      <c r="G458" s="2780"/>
      <c r="H458" s="2780"/>
      <c r="I458" s="2780"/>
      <c r="J458" s="2780"/>
      <c r="K458" s="2780"/>
    </row>
    <row r="459" spans="1:11" x14ac:dyDescent="0.4">
      <c r="A459" s="2508"/>
      <c r="C459" s="2508"/>
      <c r="E459" s="2508"/>
      <c r="F459" s="2386"/>
      <c r="G459" s="2780"/>
      <c r="H459" s="2780"/>
      <c r="I459" s="2780"/>
      <c r="J459" s="2780"/>
      <c r="K459" s="2780"/>
    </row>
    <row r="460" spans="1:11" x14ac:dyDescent="0.4">
      <c r="A460" s="2508"/>
      <c r="C460" s="2508"/>
      <c r="E460" s="2508"/>
      <c r="F460" s="2386"/>
      <c r="G460" s="2780"/>
      <c r="H460" s="2780"/>
      <c r="I460" s="2780"/>
      <c r="J460" s="2780"/>
      <c r="K460" s="2780"/>
    </row>
    <row r="461" spans="1:11" x14ac:dyDescent="0.4">
      <c r="A461" s="2508"/>
      <c r="C461" s="2508"/>
      <c r="E461" s="2508"/>
      <c r="F461" s="2386"/>
      <c r="G461" s="2780"/>
      <c r="H461" s="2780"/>
      <c r="I461" s="2780"/>
      <c r="J461" s="2780"/>
      <c r="K461" s="2780"/>
    </row>
    <row r="462" spans="1:11" x14ac:dyDescent="0.4">
      <c r="A462" s="2508"/>
      <c r="C462" s="2508"/>
      <c r="E462" s="2508"/>
      <c r="F462" s="2386"/>
      <c r="G462" s="2780"/>
      <c r="H462" s="2780"/>
      <c r="I462" s="2780"/>
      <c r="J462" s="2780"/>
      <c r="K462" s="2780"/>
    </row>
    <row r="463" spans="1:11" x14ac:dyDescent="0.4">
      <c r="A463" s="2508"/>
      <c r="C463" s="2508"/>
      <c r="E463" s="2508"/>
      <c r="F463" s="2386"/>
      <c r="G463" s="2780"/>
      <c r="H463" s="2780"/>
      <c r="I463" s="2780"/>
      <c r="J463" s="2780"/>
      <c r="K463" s="2780"/>
    </row>
    <row r="464" spans="1:11" x14ac:dyDescent="0.4">
      <c r="A464" s="2508"/>
      <c r="C464" s="2508"/>
      <c r="E464" s="2508"/>
      <c r="F464" s="2386"/>
      <c r="G464" s="2780"/>
      <c r="H464" s="2780"/>
      <c r="I464" s="2780"/>
      <c r="J464" s="2780"/>
      <c r="K464" s="2780"/>
    </row>
    <row r="465" spans="1:11" x14ac:dyDescent="0.4">
      <c r="A465" s="2508"/>
      <c r="C465" s="2508"/>
      <c r="E465" s="2508"/>
      <c r="F465" s="2386"/>
      <c r="G465" s="2780"/>
      <c r="H465" s="2780"/>
      <c r="I465" s="2780"/>
      <c r="J465" s="2780"/>
      <c r="K465" s="2780"/>
    </row>
    <row r="466" spans="1:11" x14ac:dyDescent="0.4">
      <c r="A466" s="2508"/>
      <c r="C466" s="2508"/>
      <c r="E466" s="2508"/>
      <c r="F466" s="2386"/>
      <c r="G466" s="2780"/>
      <c r="H466" s="2780"/>
      <c r="I466" s="2780"/>
      <c r="J466" s="2780"/>
      <c r="K466" s="2780"/>
    </row>
    <row r="467" spans="1:11" x14ac:dyDescent="0.4">
      <c r="A467" s="2508"/>
      <c r="C467" s="2508"/>
      <c r="E467" s="2508"/>
      <c r="F467" s="2386"/>
      <c r="G467" s="2780"/>
      <c r="H467" s="2780"/>
      <c r="I467" s="2780"/>
      <c r="J467" s="2780"/>
      <c r="K467" s="2780"/>
    </row>
    <row r="468" spans="1:11" x14ac:dyDescent="0.4">
      <c r="A468" s="2508"/>
      <c r="C468" s="2508"/>
      <c r="E468" s="2508"/>
      <c r="F468" s="2386"/>
      <c r="G468" s="2780"/>
      <c r="H468" s="2780"/>
      <c r="I468" s="2780"/>
      <c r="J468" s="2780"/>
      <c r="K468" s="2780"/>
    </row>
    <row r="469" spans="1:11" x14ac:dyDescent="0.4">
      <c r="A469" s="2508"/>
      <c r="C469" s="2508"/>
      <c r="E469" s="2508"/>
      <c r="F469" s="2386"/>
      <c r="G469" s="2780"/>
      <c r="H469" s="2780"/>
      <c r="I469" s="2780"/>
      <c r="J469" s="2780"/>
      <c r="K469" s="2780"/>
    </row>
    <row r="470" spans="1:11" x14ac:dyDescent="0.4">
      <c r="A470" s="2508"/>
      <c r="C470" s="2508"/>
      <c r="E470" s="2508"/>
      <c r="F470" s="2386"/>
      <c r="G470" s="2780"/>
      <c r="H470" s="2780"/>
      <c r="I470" s="2780"/>
      <c r="J470" s="2780"/>
      <c r="K470" s="2780"/>
    </row>
    <row r="471" spans="1:11" x14ac:dyDescent="0.4">
      <c r="A471" s="2508"/>
      <c r="C471" s="2508"/>
      <c r="E471" s="2508"/>
      <c r="F471" s="2386"/>
      <c r="G471" s="2780"/>
      <c r="H471" s="2780"/>
      <c r="I471" s="2780"/>
      <c r="J471" s="2780"/>
      <c r="K471" s="2780"/>
    </row>
    <row r="472" spans="1:11" x14ac:dyDescent="0.4">
      <c r="A472" s="2508"/>
      <c r="C472" s="2508"/>
      <c r="E472" s="2508"/>
      <c r="F472" s="2386"/>
      <c r="G472" s="2780"/>
      <c r="H472" s="2780"/>
      <c r="I472" s="2780"/>
      <c r="J472" s="2780"/>
      <c r="K472" s="2780"/>
    </row>
    <row r="473" spans="1:11" x14ac:dyDescent="0.4">
      <c r="A473" s="2508"/>
      <c r="C473" s="2508"/>
      <c r="E473" s="2508"/>
      <c r="F473" s="2386"/>
      <c r="G473" s="2780"/>
      <c r="H473" s="2780"/>
      <c r="I473" s="2780"/>
      <c r="J473" s="2780"/>
      <c r="K473" s="2780"/>
    </row>
    <row r="474" spans="1:11" x14ac:dyDescent="0.4">
      <c r="A474" s="2508"/>
      <c r="C474" s="2508"/>
      <c r="E474" s="2508"/>
      <c r="F474" s="2386"/>
      <c r="G474" s="2780"/>
      <c r="H474" s="2780"/>
      <c r="I474" s="2780"/>
      <c r="J474" s="2780"/>
      <c r="K474" s="2780"/>
    </row>
    <row r="475" spans="1:11" x14ac:dyDescent="0.4">
      <c r="A475" s="2508"/>
      <c r="C475" s="2508"/>
      <c r="E475" s="2508"/>
      <c r="F475" s="2386"/>
      <c r="G475" s="2780"/>
      <c r="H475" s="2780"/>
      <c r="I475" s="2780"/>
      <c r="J475" s="2780"/>
      <c r="K475" s="2780"/>
    </row>
    <row r="476" spans="1:11" x14ac:dyDescent="0.4">
      <c r="A476" s="2508"/>
      <c r="C476" s="2508"/>
      <c r="E476" s="2508"/>
      <c r="F476" s="2386"/>
      <c r="G476" s="2780"/>
      <c r="H476" s="2780"/>
      <c r="I476" s="2780"/>
      <c r="J476" s="2780"/>
      <c r="K476" s="2780"/>
    </row>
    <row r="477" spans="1:11" x14ac:dyDescent="0.4">
      <c r="A477" s="2508"/>
      <c r="C477" s="2508"/>
      <c r="E477" s="2508"/>
      <c r="F477" s="2386"/>
      <c r="G477" s="2780"/>
      <c r="H477" s="2780"/>
      <c r="I477" s="2780"/>
      <c r="J477" s="2780"/>
      <c r="K477" s="2780"/>
    </row>
    <row r="478" spans="1:11" x14ac:dyDescent="0.4">
      <c r="A478" s="2508"/>
      <c r="C478" s="2508"/>
      <c r="E478" s="2508"/>
      <c r="F478" s="2386"/>
      <c r="G478" s="2780"/>
      <c r="H478" s="2780"/>
      <c r="I478" s="2780"/>
      <c r="J478" s="2780"/>
      <c r="K478" s="2780"/>
    </row>
    <row r="479" spans="1:11" x14ac:dyDescent="0.4">
      <c r="A479" s="2508"/>
      <c r="C479" s="2508"/>
      <c r="E479" s="2508"/>
      <c r="F479" s="2386"/>
      <c r="G479" s="2780"/>
      <c r="H479" s="2780"/>
      <c r="I479" s="2780"/>
      <c r="J479" s="2780"/>
      <c r="K479" s="2780"/>
    </row>
    <row r="480" spans="1:11" x14ac:dyDescent="0.4">
      <c r="A480" s="2508"/>
      <c r="C480" s="2508"/>
      <c r="E480" s="2508"/>
      <c r="F480" s="2386"/>
      <c r="G480" s="2780"/>
      <c r="H480" s="2780"/>
      <c r="I480" s="2780"/>
      <c r="J480" s="2780"/>
      <c r="K480" s="2780"/>
    </row>
    <row r="481" spans="1:12" x14ac:dyDescent="0.4">
      <c r="A481" s="2508"/>
      <c r="C481" s="2508"/>
      <c r="E481" s="2508"/>
      <c r="F481" s="2386"/>
      <c r="G481" s="2780"/>
      <c r="H481" s="2780"/>
      <c r="I481" s="2780"/>
      <c r="J481" s="2780"/>
      <c r="K481" s="2780"/>
    </row>
    <row r="482" spans="1:12" x14ac:dyDescent="0.4">
      <c r="A482" s="2508"/>
      <c r="C482" s="2508"/>
      <c r="E482" s="2508"/>
      <c r="F482" s="2386"/>
      <c r="G482" s="2780"/>
      <c r="H482" s="2780"/>
      <c r="I482" s="2780"/>
      <c r="J482" s="2780"/>
      <c r="K482" s="2780"/>
    </row>
    <row r="483" spans="1:12" x14ac:dyDescent="0.4">
      <c r="A483" s="2508"/>
      <c r="C483" s="2508"/>
      <c r="E483" s="2508"/>
      <c r="F483" s="2386"/>
      <c r="G483" s="2780"/>
      <c r="H483" s="2780"/>
      <c r="I483" s="2780"/>
      <c r="J483" s="2780"/>
      <c r="K483" s="2780"/>
    </row>
    <row r="484" spans="1:12" x14ac:dyDescent="0.4">
      <c r="A484" s="2508"/>
      <c r="C484" s="2508"/>
      <c r="E484" s="2508"/>
      <c r="F484" s="2386"/>
      <c r="G484" s="2780"/>
      <c r="H484" s="2780"/>
      <c r="I484" s="2780"/>
      <c r="J484" s="2780"/>
      <c r="K484" s="2780"/>
    </row>
    <row r="485" spans="1:12" x14ac:dyDescent="0.4">
      <c r="A485" s="2508"/>
      <c r="C485" s="2508"/>
      <c r="E485" s="2508"/>
      <c r="F485" s="2386"/>
      <c r="G485" s="2780"/>
      <c r="H485" s="2780"/>
      <c r="I485" s="2780"/>
      <c r="J485" s="2780"/>
      <c r="K485" s="2780"/>
    </row>
    <row r="486" spans="1:12" x14ac:dyDescent="0.4">
      <c r="A486" s="2508"/>
      <c r="C486" s="2508"/>
      <c r="E486" s="2508"/>
      <c r="F486" s="2386"/>
      <c r="G486" s="2780"/>
      <c r="H486" s="2780"/>
      <c r="I486" s="2780"/>
      <c r="J486" s="2780"/>
      <c r="K486" s="2780"/>
    </row>
    <row r="487" spans="1:12" x14ac:dyDescent="0.4">
      <c r="A487" s="2508"/>
      <c r="C487" s="2508"/>
      <c r="E487" s="2508"/>
      <c r="F487" s="2386"/>
      <c r="G487" s="2780"/>
      <c r="H487" s="2780"/>
      <c r="I487" s="2780"/>
      <c r="J487" s="2780"/>
      <c r="K487" s="2780"/>
    </row>
    <row r="488" spans="1:12" x14ac:dyDescent="0.4">
      <c r="A488" s="2508"/>
      <c r="E488" s="2508"/>
      <c r="F488" s="2386"/>
      <c r="G488" s="2780"/>
      <c r="H488" s="2780"/>
      <c r="I488" s="2780"/>
    </row>
    <row r="489" spans="1:12" x14ac:dyDescent="0.4">
      <c r="A489" s="2508"/>
      <c r="E489" s="2508"/>
      <c r="F489" s="2386"/>
      <c r="G489" s="2780"/>
      <c r="H489" s="2780"/>
      <c r="I489" s="2780"/>
    </row>
    <row r="490" spans="1:12" x14ac:dyDescent="0.4">
      <c r="A490" s="2508"/>
      <c r="E490" s="2508"/>
      <c r="F490" s="2386"/>
      <c r="G490" s="2780"/>
      <c r="H490" s="2780"/>
      <c r="I490" s="2780"/>
    </row>
    <row r="491" spans="1:12" x14ac:dyDescent="0.4">
      <c r="A491" s="2508"/>
      <c r="E491" s="2508"/>
      <c r="F491" s="2386"/>
      <c r="G491" s="2780"/>
      <c r="H491" s="2780"/>
      <c r="I491" s="2780"/>
    </row>
    <row r="492" spans="1:12" x14ac:dyDescent="0.4">
      <c r="A492" s="2508"/>
      <c r="E492" s="2508"/>
      <c r="F492" s="2386"/>
      <c r="G492" s="2780"/>
      <c r="H492" s="2780"/>
      <c r="I492" s="2780"/>
      <c r="L492" s="2386"/>
    </row>
    <row r="493" spans="1:12" x14ac:dyDescent="0.4">
      <c r="A493" s="2508"/>
      <c r="E493" s="2508"/>
      <c r="F493" s="2386"/>
      <c r="G493" s="2780"/>
      <c r="H493" s="2780"/>
      <c r="I493" s="2780"/>
      <c r="L493" s="2386"/>
    </row>
    <row r="494" spans="1:12" x14ac:dyDescent="0.4">
      <c r="A494" s="2508"/>
      <c r="E494" s="2508"/>
      <c r="F494" s="2386"/>
      <c r="G494" s="2780"/>
      <c r="H494" s="2780"/>
      <c r="I494" s="2780"/>
      <c r="L494" s="2386"/>
    </row>
    <row r="495" spans="1:12" x14ac:dyDescent="0.4">
      <c r="A495" s="2508"/>
      <c r="E495" s="2508"/>
      <c r="F495" s="2386"/>
      <c r="G495" s="2780"/>
      <c r="H495" s="2780"/>
      <c r="I495" s="2780"/>
      <c r="L495" s="2386"/>
    </row>
    <row r="496" spans="1:12" x14ac:dyDescent="0.4">
      <c r="A496" s="2508"/>
      <c r="E496" s="2508"/>
      <c r="F496" s="2386"/>
      <c r="G496" s="2780"/>
      <c r="H496" s="2780"/>
      <c r="I496" s="2780"/>
      <c r="L496" s="2386"/>
    </row>
    <row r="497" spans="1:12" x14ac:dyDescent="0.4">
      <c r="A497" s="2508"/>
      <c r="E497" s="2508"/>
      <c r="F497" s="2386"/>
      <c r="G497" s="2780"/>
      <c r="H497" s="2780"/>
      <c r="I497" s="2780"/>
      <c r="L497" s="2386"/>
    </row>
    <row r="498" spans="1:12" x14ac:dyDescent="0.4">
      <c r="A498" s="2508"/>
      <c r="E498" s="2508"/>
      <c r="F498" s="2386"/>
      <c r="G498" s="2780"/>
      <c r="H498" s="2780"/>
      <c r="I498" s="2780"/>
      <c r="L498" s="2386"/>
    </row>
    <row r="499" spans="1:12" x14ac:dyDescent="0.4">
      <c r="A499" s="2508"/>
      <c r="E499" s="2508"/>
      <c r="F499" s="2386"/>
      <c r="G499" s="2780"/>
      <c r="H499" s="2780"/>
      <c r="I499" s="2780"/>
      <c r="L499" s="2386"/>
    </row>
    <row r="500" spans="1:12" x14ac:dyDescent="0.4">
      <c r="A500" s="2508"/>
      <c r="E500" s="2508"/>
      <c r="F500" s="2386"/>
      <c r="G500" s="2780"/>
      <c r="H500" s="2780"/>
      <c r="I500" s="2780"/>
      <c r="L500" s="2386"/>
    </row>
    <row r="501" spans="1:12" x14ac:dyDescent="0.4">
      <c r="A501" s="2508"/>
      <c r="E501" s="2508"/>
      <c r="F501" s="2386"/>
      <c r="G501" s="2780"/>
      <c r="H501" s="2780"/>
      <c r="I501" s="2780"/>
      <c r="L501" s="2386"/>
    </row>
    <row r="502" spans="1:12" x14ac:dyDescent="0.4">
      <c r="A502" s="2508"/>
      <c r="E502" s="2508"/>
      <c r="F502" s="2386"/>
      <c r="G502" s="2780"/>
      <c r="H502" s="2780"/>
      <c r="I502" s="2780"/>
      <c r="L502" s="2386"/>
    </row>
    <row r="503" spans="1:12" x14ac:dyDescent="0.4">
      <c r="A503" s="2508"/>
      <c r="E503" s="2508"/>
      <c r="F503" s="2386"/>
      <c r="G503" s="2780"/>
      <c r="H503" s="2780"/>
      <c r="I503" s="2780"/>
      <c r="L503" s="2386"/>
    </row>
    <row r="504" spans="1:12" x14ac:dyDescent="0.4">
      <c r="A504" s="2508"/>
      <c r="E504" s="2508"/>
      <c r="F504" s="2386"/>
      <c r="G504" s="2780"/>
      <c r="H504" s="2780"/>
      <c r="I504" s="2780"/>
      <c r="L504" s="2386"/>
    </row>
    <row r="505" spans="1:12" x14ac:dyDescent="0.4">
      <c r="A505" s="2508"/>
      <c r="E505" s="2508"/>
      <c r="F505" s="2386"/>
      <c r="G505" s="2780"/>
      <c r="H505" s="2780"/>
      <c r="I505" s="2780"/>
      <c r="L505" s="2386"/>
    </row>
    <row r="506" spans="1:12" x14ac:dyDescent="0.4">
      <c r="A506" s="2508"/>
      <c r="E506" s="2508"/>
      <c r="F506" s="2386"/>
      <c r="G506" s="2780"/>
      <c r="H506" s="2780"/>
      <c r="I506" s="2780"/>
      <c r="L506" s="2386"/>
    </row>
    <row r="507" spans="1:12" x14ac:dyDescent="0.4">
      <c r="A507" s="2508"/>
      <c r="E507" s="2508"/>
      <c r="F507" s="2386"/>
      <c r="G507" s="2780"/>
      <c r="H507" s="2780"/>
      <c r="I507" s="2780"/>
      <c r="L507" s="2386"/>
    </row>
    <row r="508" spans="1:12" x14ac:dyDescent="0.4">
      <c r="A508" s="2508"/>
      <c r="E508" s="2508"/>
      <c r="F508" s="2386"/>
      <c r="G508" s="2780"/>
      <c r="H508" s="2780"/>
      <c r="I508" s="2780"/>
      <c r="L508" s="2386"/>
    </row>
    <row r="509" spans="1:12" x14ac:dyDescent="0.4">
      <c r="A509" s="2508"/>
      <c r="E509" s="2508"/>
      <c r="F509" s="2386"/>
      <c r="G509" s="2780"/>
      <c r="H509" s="2780"/>
      <c r="I509" s="2780"/>
      <c r="L509" s="2386"/>
    </row>
    <row r="510" spans="1:12" x14ac:dyDescent="0.4">
      <c r="A510" s="2508"/>
      <c r="E510" s="2508"/>
      <c r="F510" s="2386"/>
      <c r="G510" s="2780"/>
      <c r="H510" s="2780"/>
      <c r="I510" s="2780"/>
      <c r="L510" s="2386"/>
    </row>
    <row r="511" spans="1:12" x14ac:dyDescent="0.4">
      <c r="A511" s="2508"/>
      <c r="E511" s="2508"/>
      <c r="F511" s="2386"/>
      <c r="G511" s="2780"/>
      <c r="H511" s="2780"/>
      <c r="I511" s="2780"/>
      <c r="L511" s="2386"/>
    </row>
    <row r="512" spans="1:12" x14ac:dyDescent="0.4">
      <c r="A512" s="2508"/>
      <c r="E512" s="2508"/>
      <c r="F512" s="2386"/>
      <c r="G512" s="2780"/>
      <c r="H512" s="2780"/>
      <c r="I512" s="2780"/>
      <c r="L512" s="2386"/>
    </row>
    <row r="513" spans="1:12" x14ac:dyDescent="0.4">
      <c r="A513" s="2508"/>
      <c r="E513" s="2508"/>
      <c r="F513" s="2386"/>
      <c r="G513" s="2780"/>
      <c r="H513" s="2780"/>
      <c r="I513" s="2780"/>
      <c r="L513" s="2386"/>
    </row>
    <row r="514" spans="1:12" x14ac:dyDescent="0.4">
      <c r="A514" s="2508"/>
      <c r="E514" s="2508"/>
      <c r="F514" s="2386"/>
      <c r="G514" s="2780"/>
      <c r="H514" s="2780"/>
      <c r="I514" s="2780"/>
      <c r="L514" s="2386"/>
    </row>
    <row r="515" spans="1:12" x14ac:dyDescent="0.4">
      <c r="A515" s="2508"/>
      <c r="E515" s="2508"/>
      <c r="F515" s="2386"/>
      <c r="G515" s="2780"/>
      <c r="H515" s="2780"/>
      <c r="I515" s="2780"/>
      <c r="L515" s="2386"/>
    </row>
    <row r="516" spans="1:12" x14ac:dyDescent="0.4">
      <c r="A516" s="2508"/>
      <c r="E516" s="2508"/>
      <c r="F516" s="2386"/>
      <c r="G516" s="2780"/>
      <c r="H516" s="2780"/>
      <c r="I516" s="2780"/>
      <c r="L516" s="2386"/>
    </row>
    <row r="517" spans="1:12" x14ac:dyDescent="0.4">
      <c r="A517" s="2508"/>
      <c r="E517" s="2508"/>
      <c r="F517" s="2386"/>
      <c r="G517" s="2780"/>
      <c r="H517" s="2780"/>
      <c r="I517" s="2780"/>
      <c r="L517" s="2386"/>
    </row>
    <row r="518" spans="1:12" x14ac:dyDescent="0.4">
      <c r="A518" s="2508"/>
      <c r="E518" s="2508"/>
      <c r="F518" s="2386"/>
      <c r="G518" s="2780"/>
      <c r="H518" s="2780"/>
      <c r="I518" s="2780"/>
      <c r="L518" s="2386"/>
    </row>
    <row r="519" spans="1:12" x14ac:dyDescent="0.4">
      <c r="A519" s="2508"/>
      <c r="E519" s="2508"/>
      <c r="F519" s="2386"/>
      <c r="G519" s="2780"/>
      <c r="H519" s="2780"/>
      <c r="I519" s="2780"/>
      <c r="L519" s="2386"/>
    </row>
    <row r="520" spans="1:12" x14ac:dyDescent="0.4">
      <c r="A520" s="2508"/>
      <c r="E520" s="2508"/>
      <c r="F520" s="2386"/>
      <c r="G520" s="2780"/>
      <c r="H520" s="2780"/>
      <c r="I520" s="2780"/>
      <c r="L520" s="2386"/>
    </row>
    <row r="521" spans="1:12" x14ac:dyDescent="0.4">
      <c r="A521" s="2508"/>
      <c r="E521" s="2508"/>
      <c r="F521" s="2386"/>
      <c r="G521" s="2780"/>
      <c r="H521" s="2780"/>
      <c r="I521" s="2780"/>
      <c r="L521" s="2386"/>
    </row>
    <row r="522" spans="1:12" x14ac:dyDescent="0.4">
      <c r="A522" s="2508"/>
      <c r="E522" s="2508"/>
      <c r="F522" s="2386"/>
      <c r="G522" s="2780"/>
      <c r="H522" s="2780"/>
      <c r="I522" s="2780"/>
      <c r="L522" s="2386"/>
    </row>
    <row r="523" spans="1:12" x14ac:dyDescent="0.4">
      <c r="A523" s="2508"/>
      <c r="E523" s="2508"/>
      <c r="F523" s="2386"/>
      <c r="G523" s="2780"/>
      <c r="H523" s="2780"/>
      <c r="I523" s="2780"/>
      <c r="L523" s="2386"/>
    </row>
    <row r="524" spans="1:12" x14ac:dyDescent="0.4">
      <c r="A524" s="2508"/>
      <c r="E524" s="2508"/>
      <c r="F524" s="2386"/>
      <c r="G524" s="2780"/>
      <c r="H524" s="2780"/>
      <c r="I524" s="2780"/>
      <c r="L524" s="2386"/>
    </row>
    <row r="525" spans="1:12" x14ac:dyDescent="0.4">
      <c r="A525" s="2508"/>
      <c r="E525" s="2508"/>
      <c r="F525" s="2386"/>
      <c r="G525" s="2780"/>
      <c r="H525" s="2780"/>
      <c r="I525" s="2780"/>
      <c r="L525" s="2386"/>
    </row>
    <row r="526" spans="1:12" x14ac:dyDescent="0.4">
      <c r="A526" s="2508"/>
      <c r="E526" s="2508"/>
      <c r="F526" s="2386"/>
      <c r="G526" s="2780"/>
      <c r="H526" s="2780"/>
      <c r="I526" s="2780"/>
      <c r="L526" s="2386"/>
    </row>
    <row r="527" spans="1:12" x14ac:dyDescent="0.4">
      <c r="A527" s="2508"/>
      <c r="E527" s="2508"/>
      <c r="F527" s="2386"/>
      <c r="G527" s="2780"/>
      <c r="H527" s="2780"/>
      <c r="I527" s="2780"/>
      <c r="L527" s="2386"/>
    </row>
    <row r="528" spans="1:12" x14ac:dyDescent="0.4">
      <c r="A528" s="2508"/>
      <c r="E528" s="2508"/>
      <c r="F528" s="2386"/>
      <c r="G528" s="2780"/>
      <c r="H528" s="2780"/>
      <c r="I528" s="2780"/>
      <c r="L528" s="2386"/>
    </row>
    <row r="529" spans="1:12" x14ac:dyDescent="0.4">
      <c r="A529" s="2508"/>
      <c r="E529" s="2508"/>
      <c r="F529" s="2386"/>
      <c r="G529" s="2780"/>
      <c r="H529" s="2780"/>
      <c r="I529" s="2780"/>
      <c r="L529" s="2386"/>
    </row>
    <row r="530" spans="1:12" x14ac:dyDescent="0.4">
      <c r="A530" s="2508"/>
      <c r="E530" s="2508"/>
      <c r="F530" s="2386"/>
      <c r="G530" s="2780"/>
      <c r="H530" s="2780"/>
      <c r="I530" s="2780"/>
      <c r="L530" s="2386"/>
    </row>
    <row r="531" spans="1:12" x14ac:dyDescent="0.4">
      <c r="A531" s="2508"/>
      <c r="E531" s="2508"/>
      <c r="F531" s="2386"/>
      <c r="G531" s="2780"/>
      <c r="H531" s="2780"/>
      <c r="I531" s="2780"/>
      <c r="L531" s="2386"/>
    </row>
    <row r="532" spans="1:12" x14ac:dyDescent="0.4">
      <c r="A532" s="2508"/>
      <c r="E532" s="2508"/>
      <c r="F532" s="2386"/>
      <c r="G532" s="2780"/>
      <c r="H532" s="2780"/>
      <c r="I532" s="2780"/>
      <c r="L532" s="2386"/>
    </row>
    <row r="533" spans="1:12" x14ac:dyDescent="0.4">
      <c r="A533" s="2508"/>
      <c r="E533" s="2508"/>
      <c r="F533" s="2386"/>
      <c r="G533" s="2780"/>
      <c r="H533" s="2780"/>
      <c r="I533" s="2780"/>
      <c r="L533" s="2386"/>
    </row>
    <row r="534" spans="1:12" x14ac:dyDescent="0.4">
      <c r="A534" s="2508"/>
      <c r="E534" s="2508"/>
      <c r="F534" s="2386"/>
      <c r="G534" s="2780"/>
      <c r="H534" s="2780"/>
      <c r="I534" s="2780"/>
      <c r="L534" s="2386"/>
    </row>
    <row r="535" spans="1:12" x14ac:dyDescent="0.4">
      <c r="A535" s="2508"/>
      <c r="E535" s="2508"/>
      <c r="F535" s="2386"/>
      <c r="G535" s="2780"/>
      <c r="H535" s="2780"/>
      <c r="I535" s="2780"/>
      <c r="L535" s="2386"/>
    </row>
    <row r="536" spans="1:12" x14ac:dyDescent="0.4">
      <c r="A536" s="2508"/>
      <c r="E536" s="2508"/>
      <c r="F536" s="2386"/>
      <c r="G536" s="2780"/>
      <c r="H536" s="2780"/>
      <c r="I536" s="2780"/>
      <c r="L536" s="2386"/>
    </row>
    <row r="537" spans="1:12" x14ac:dyDescent="0.4">
      <c r="A537" s="2508"/>
      <c r="E537" s="2508"/>
      <c r="F537" s="2386"/>
      <c r="G537" s="2780"/>
      <c r="H537" s="2780"/>
      <c r="I537" s="2780"/>
      <c r="L537" s="2386"/>
    </row>
    <row r="538" spans="1:12" x14ac:dyDescent="0.4">
      <c r="A538" s="2508"/>
      <c r="E538" s="2508"/>
      <c r="F538" s="2386"/>
      <c r="G538" s="2780"/>
      <c r="H538" s="2780"/>
      <c r="I538" s="2780"/>
      <c r="L538" s="2386"/>
    </row>
    <row r="539" spans="1:12" x14ac:dyDescent="0.4">
      <c r="A539" s="2508"/>
      <c r="E539" s="2508"/>
      <c r="F539" s="2386"/>
      <c r="G539" s="2780"/>
      <c r="H539" s="2780"/>
      <c r="I539" s="2780"/>
      <c r="L539" s="2386"/>
    </row>
    <row r="540" spans="1:12" x14ac:dyDescent="0.4">
      <c r="A540" s="2508"/>
      <c r="E540" s="2508"/>
      <c r="F540" s="2386"/>
      <c r="G540" s="2780"/>
      <c r="H540" s="2780"/>
      <c r="I540" s="2780"/>
      <c r="L540" s="2386"/>
    </row>
    <row r="541" spans="1:12" x14ac:dyDescent="0.4">
      <c r="A541" s="2508"/>
      <c r="E541" s="2508"/>
      <c r="F541" s="2386"/>
      <c r="G541" s="2780"/>
      <c r="H541" s="2780"/>
      <c r="I541" s="2780"/>
      <c r="L541" s="2386"/>
    </row>
    <row r="542" spans="1:12" x14ac:dyDescent="0.4">
      <c r="A542" s="2508"/>
      <c r="E542" s="2508"/>
      <c r="F542" s="2386"/>
      <c r="G542" s="2780"/>
      <c r="H542" s="2780"/>
      <c r="I542" s="2780"/>
      <c r="L542" s="2386"/>
    </row>
    <row r="543" spans="1:12" x14ac:dyDescent="0.4">
      <c r="A543" s="2508"/>
      <c r="E543" s="2508"/>
      <c r="F543" s="2386"/>
      <c r="G543" s="2780"/>
      <c r="H543" s="2780"/>
      <c r="I543" s="2780"/>
      <c r="L543" s="2386"/>
    </row>
    <row r="544" spans="1:12" x14ac:dyDescent="0.4">
      <c r="A544" s="2508"/>
      <c r="E544" s="2508"/>
      <c r="F544" s="2386"/>
      <c r="G544" s="2780"/>
      <c r="H544" s="2780"/>
      <c r="I544" s="2780"/>
      <c r="L544" s="2386"/>
    </row>
    <row r="545" spans="1:12" x14ac:dyDescent="0.4">
      <c r="A545" s="2508"/>
      <c r="E545" s="2508"/>
      <c r="F545" s="2386"/>
      <c r="G545" s="2780"/>
      <c r="H545" s="2780"/>
      <c r="I545" s="2780"/>
      <c r="L545" s="2386"/>
    </row>
    <row r="546" spans="1:12" x14ac:dyDescent="0.4">
      <c r="A546" s="2508"/>
      <c r="E546" s="2508"/>
      <c r="F546" s="2386"/>
      <c r="G546" s="2780"/>
      <c r="H546" s="2780"/>
      <c r="I546" s="2780"/>
      <c r="L546" s="2386"/>
    </row>
    <row r="547" spans="1:12" x14ac:dyDescent="0.4">
      <c r="A547" s="2508"/>
      <c r="E547" s="2508"/>
      <c r="F547" s="2386"/>
      <c r="G547" s="2780"/>
      <c r="H547" s="2780"/>
      <c r="I547" s="2780"/>
      <c r="L547" s="2386"/>
    </row>
    <row r="548" spans="1:12" x14ac:dyDescent="0.4">
      <c r="A548" s="2508"/>
      <c r="E548" s="2508"/>
      <c r="F548" s="2386"/>
      <c r="G548" s="2780"/>
      <c r="H548" s="2780"/>
      <c r="I548" s="2780"/>
      <c r="L548" s="2386"/>
    </row>
    <row r="549" spans="1:12" x14ac:dyDescent="0.4">
      <c r="A549" s="2508"/>
      <c r="E549" s="2508"/>
      <c r="F549" s="2386"/>
      <c r="G549" s="2780"/>
      <c r="H549" s="2780"/>
      <c r="I549" s="2780"/>
      <c r="L549" s="2386"/>
    </row>
    <row r="550" spans="1:12" x14ac:dyDescent="0.4">
      <c r="A550" s="2508"/>
      <c r="E550" s="2508"/>
      <c r="F550" s="2386"/>
      <c r="G550" s="2780"/>
      <c r="H550" s="2780"/>
      <c r="I550" s="2780"/>
      <c r="L550" s="2386"/>
    </row>
    <row r="551" spans="1:12" x14ac:dyDescent="0.4">
      <c r="A551" s="2508"/>
      <c r="E551" s="2508"/>
      <c r="F551" s="2386"/>
      <c r="G551" s="2780"/>
      <c r="H551" s="2780"/>
      <c r="I551" s="2780"/>
      <c r="L551" s="2386"/>
    </row>
    <row r="552" spans="1:12" x14ac:dyDescent="0.4">
      <c r="A552" s="2508"/>
      <c r="E552" s="2508"/>
      <c r="F552" s="2386"/>
      <c r="G552" s="2780"/>
      <c r="H552" s="2780"/>
      <c r="I552" s="2780"/>
      <c r="L552" s="2386"/>
    </row>
    <row r="553" spans="1:12" x14ac:dyDescent="0.4">
      <c r="A553" s="2508"/>
      <c r="E553" s="2508"/>
      <c r="F553" s="2386"/>
      <c r="G553" s="2780"/>
      <c r="H553" s="2780"/>
      <c r="I553" s="2780"/>
      <c r="L553" s="2386"/>
    </row>
    <row r="554" spans="1:12" x14ac:dyDescent="0.4">
      <c r="A554" s="2508"/>
      <c r="E554" s="2508"/>
      <c r="F554" s="2386"/>
      <c r="G554" s="2780"/>
      <c r="H554" s="2780"/>
      <c r="I554" s="2780"/>
      <c r="L554" s="2386"/>
    </row>
    <row r="555" spans="1:12" x14ac:dyDescent="0.4">
      <c r="G555" s="2780"/>
      <c r="H555" s="2780"/>
      <c r="I555" s="2780"/>
    </row>
    <row r="556" spans="1:12" x14ac:dyDescent="0.4">
      <c r="G556" s="2780"/>
      <c r="H556" s="2780"/>
      <c r="I556" s="2780"/>
    </row>
    <row r="557" spans="1:12" x14ac:dyDescent="0.4">
      <c r="G557" s="2780"/>
      <c r="H557" s="2780"/>
      <c r="I557" s="2780"/>
    </row>
    <row r="558" spans="1:12" x14ac:dyDescent="0.4">
      <c r="G558" s="2780"/>
      <c r="H558" s="2780"/>
      <c r="I558" s="2780"/>
    </row>
    <row r="559" spans="1:12" x14ac:dyDescent="0.4">
      <c r="G559" s="2780"/>
      <c r="H559" s="2780"/>
      <c r="I559" s="2780"/>
    </row>
    <row r="560" spans="1:12" x14ac:dyDescent="0.4">
      <c r="G560" s="2780"/>
      <c r="H560" s="2780"/>
      <c r="I560" s="2780"/>
    </row>
    <row r="561" spans="7:9" x14ac:dyDescent="0.4">
      <c r="G561" s="2780"/>
      <c r="H561" s="2780"/>
      <c r="I561" s="2780"/>
    </row>
    <row r="562" spans="7:9" x14ac:dyDescent="0.4">
      <c r="G562" s="2780"/>
      <c r="H562" s="2780"/>
      <c r="I562" s="2780"/>
    </row>
    <row r="563" spans="7:9" x14ac:dyDescent="0.4">
      <c r="G563" s="2780"/>
      <c r="H563" s="2780"/>
      <c r="I563" s="2780"/>
    </row>
    <row r="564" spans="7:9" x14ac:dyDescent="0.4">
      <c r="G564" s="2780"/>
      <c r="H564" s="2780"/>
      <c r="I564" s="2780"/>
    </row>
    <row r="565" spans="7:9" x14ac:dyDescent="0.4">
      <c r="G565" s="2780"/>
      <c r="H565" s="2780"/>
      <c r="I565" s="2780"/>
    </row>
    <row r="566" spans="7:9" x14ac:dyDescent="0.4">
      <c r="G566" s="2780"/>
      <c r="H566" s="2780"/>
      <c r="I566" s="2780"/>
    </row>
    <row r="567" spans="7:9" x14ac:dyDescent="0.4">
      <c r="G567" s="2780"/>
      <c r="H567" s="2780"/>
      <c r="I567" s="2780"/>
    </row>
    <row r="568" spans="7:9" x14ac:dyDescent="0.4">
      <c r="G568" s="2780"/>
      <c r="H568" s="2780"/>
      <c r="I568" s="2780"/>
    </row>
    <row r="569" spans="7:9" x14ac:dyDescent="0.4">
      <c r="G569" s="2780"/>
      <c r="H569" s="2780"/>
      <c r="I569" s="2780"/>
    </row>
    <row r="570" spans="7:9" x14ac:dyDescent="0.4">
      <c r="G570" s="2780"/>
      <c r="H570" s="2780"/>
      <c r="I570" s="2780"/>
    </row>
    <row r="571" spans="7:9" x14ac:dyDescent="0.4">
      <c r="G571" s="2780"/>
      <c r="H571" s="2780"/>
      <c r="I571" s="2780"/>
    </row>
    <row r="572" spans="7:9" x14ac:dyDescent="0.4">
      <c r="G572" s="2780"/>
      <c r="H572" s="2780"/>
      <c r="I572" s="2780"/>
    </row>
    <row r="573" spans="7:9" x14ac:dyDescent="0.4">
      <c r="G573" s="2780"/>
      <c r="H573" s="2780"/>
      <c r="I573" s="2780"/>
    </row>
    <row r="574" spans="7:9" x14ac:dyDescent="0.4">
      <c r="G574" s="2780"/>
      <c r="H574" s="2780"/>
      <c r="I574" s="2780"/>
    </row>
    <row r="575" spans="7:9" x14ac:dyDescent="0.4">
      <c r="G575" s="2780"/>
      <c r="H575" s="2780"/>
      <c r="I575" s="2780"/>
    </row>
    <row r="576" spans="7:9" x14ac:dyDescent="0.4">
      <c r="G576" s="2780"/>
      <c r="H576" s="2780"/>
      <c r="I576" s="2780"/>
    </row>
    <row r="577" spans="7:9" x14ac:dyDescent="0.4">
      <c r="G577" s="2780"/>
      <c r="H577" s="2780"/>
      <c r="I577" s="2780"/>
    </row>
    <row r="578" spans="7:9" x14ac:dyDescent="0.4">
      <c r="G578" s="2780"/>
      <c r="H578" s="2780"/>
      <c r="I578" s="2780"/>
    </row>
    <row r="579" spans="7:9" x14ac:dyDescent="0.4">
      <c r="G579" s="2780"/>
      <c r="H579" s="2780"/>
      <c r="I579" s="2780"/>
    </row>
    <row r="580" spans="7:9" x14ac:dyDescent="0.4">
      <c r="G580" s="2780"/>
      <c r="H580" s="2780"/>
      <c r="I580" s="2780"/>
    </row>
    <row r="581" spans="7:9" x14ac:dyDescent="0.4">
      <c r="G581" s="2780"/>
      <c r="H581" s="2780"/>
      <c r="I581" s="2780"/>
    </row>
    <row r="582" spans="7:9" x14ac:dyDescent="0.4">
      <c r="G582" s="2780"/>
      <c r="H582" s="2780"/>
      <c r="I582" s="2780"/>
    </row>
    <row r="583" spans="7:9" x14ac:dyDescent="0.4">
      <c r="G583" s="2780"/>
      <c r="H583" s="2780"/>
      <c r="I583" s="2780"/>
    </row>
    <row r="584" spans="7:9" x14ac:dyDescent="0.4">
      <c r="G584" s="2780"/>
      <c r="H584" s="2780"/>
      <c r="I584" s="2780"/>
    </row>
    <row r="585" spans="7:9" x14ac:dyDescent="0.4">
      <c r="G585" s="2780"/>
      <c r="H585" s="2780"/>
      <c r="I585" s="2780"/>
    </row>
    <row r="586" spans="7:9" x14ac:dyDescent="0.4">
      <c r="G586" s="2780"/>
      <c r="H586" s="2780"/>
      <c r="I586" s="2780"/>
    </row>
    <row r="587" spans="7:9" x14ac:dyDescent="0.4">
      <c r="G587" s="2780"/>
      <c r="H587" s="2780"/>
      <c r="I587" s="2780"/>
    </row>
    <row r="588" spans="7:9" x14ac:dyDescent="0.4">
      <c r="G588" s="2780"/>
      <c r="H588" s="2780"/>
      <c r="I588" s="2780"/>
    </row>
    <row r="589" spans="7:9" x14ac:dyDescent="0.4">
      <c r="G589" s="2780"/>
      <c r="H589" s="2780"/>
      <c r="I589" s="2780"/>
    </row>
    <row r="590" spans="7:9" x14ac:dyDescent="0.4">
      <c r="G590" s="2780"/>
      <c r="H590" s="2780"/>
      <c r="I590" s="2780"/>
    </row>
    <row r="591" spans="7:9" x14ac:dyDescent="0.4">
      <c r="G591" s="2780"/>
      <c r="H591" s="2780"/>
      <c r="I591" s="2780"/>
    </row>
    <row r="592" spans="7:9" x14ac:dyDescent="0.4">
      <c r="G592" s="2780"/>
      <c r="H592" s="2780"/>
      <c r="I592" s="2780"/>
    </row>
    <row r="593" spans="7:9" x14ac:dyDescent="0.4">
      <c r="G593" s="2780"/>
      <c r="H593" s="2780"/>
      <c r="I593" s="2780"/>
    </row>
    <row r="594" spans="7:9" x14ac:dyDescent="0.4">
      <c r="G594" s="2780"/>
      <c r="H594" s="2780"/>
      <c r="I594" s="2780"/>
    </row>
    <row r="595" spans="7:9" x14ac:dyDescent="0.4">
      <c r="G595" s="2780"/>
      <c r="H595" s="2780"/>
      <c r="I595" s="2780"/>
    </row>
    <row r="596" spans="7:9" x14ac:dyDescent="0.4">
      <c r="G596" s="2780"/>
      <c r="H596" s="2780"/>
      <c r="I596" s="2780"/>
    </row>
    <row r="597" spans="7:9" x14ac:dyDescent="0.4">
      <c r="G597" s="2780"/>
      <c r="H597" s="2780"/>
      <c r="I597" s="2780"/>
    </row>
    <row r="598" spans="7:9" x14ac:dyDescent="0.4">
      <c r="G598" s="2780"/>
      <c r="H598" s="2780"/>
      <c r="I598" s="2780"/>
    </row>
    <row r="599" spans="7:9" x14ac:dyDescent="0.4">
      <c r="G599" s="2780"/>
      <c r="H599" s="2780"/>
      <c r="I599" s="2780"/>
    </row>
    <row r="600" spans="7:9" x14ac:dyDescent="0.4">
      <c r="G600" s="2780"/>
      <c r="H600" s="2780"/>
      <c r="I600" s="2780"/>
    </row>
    <row r="601" spans="7:9" x14ac:dyDescent="0.4">
      <c r="G601" s="2780"/>
      <c r="H601" s="2780"/>
      <c r="I601" s="2780"/>
    </row>
    <row r="602" spans="7:9" x14ac:dyDescent="0.4">
      <c r="G602" s="2780"/>
      <c r="H602" s="2780"/>
      <c r="I602" s="2780"/>
    </row>
    <row r="603" spans="7:9" x14ac:dyDescent="0.4">
      <c r="G603" s="2780"/>
      <c r="H603" s="2780"/>
      <c r="I603" s="2780"/>
    </row>
    <row r="604" spans="7:9" x14ac:dyDescent="0.4">
      <c r="G604" s="2780"/>
      <c r="H604" s="2780"/>
      <c r="I604" s="2780"/>
    </row>
    <row r="605" spans="7:9" x14ac:dyDescent="0.4">
      <c r="G605" s="2780"/>
      <c r="H605" s="2780"/>
      <c r="I605" s="2780"/>
    </row>
    <row r="606" spans="7:9" x14ac:dyDescent="0.4">
      <c r="G606" s="2780"/>
      <c r="H606" s="2780"/>
      <c r="I606" s="2780"/>
    </row>
    <row r="607" spans="7:9" x14ac:dyDescent="0.4">
      <c r="G607" s="2780"/>
      <c r="H607" s="2780"/>
      <c r="I607" s="2780"/>
    </row>
    <row r="608" spans="7:9" x14ac:dyDescent="0.4">
      <c r="G608" s="2780"/>
      <c r="H608" s="2780"/>
      <c r="I608" s="2780"/>
    </row>
    <row r="609" spans="7:9" x14ac:dyDescent="0.4">
      <c r="G609" s="2780"/>
      <c r="H609" s="2780"/>
      <c r="I609" s="2780"/>
    </row>
    <row r="610" spans="7:9" x14ac:dyDescent="0.4">
      <c r="G610" s="2780"/>
      <c r="H610" s="2780"/>
      <c r="I610" s="2780"/>
    </row>
    <row r="611" spans="7:9" x14ac:dyDescent="0.4">
      <c r="G611" s="2780"/>
      <c r="H611" s="2780"/>
      <c r="I611" s="2780"/>
    </row>
    <row r="612" spans="7:9" x14ac:dyDescent="0.4">
      <c r="G612" s="2780"/>
      <c r="H612" s="2780"/>
      <c r="I612" s="2780"/>
    </row>
    <row r="613" spans="7:9" x14ac:dyDescent="0.4">
      <c r="G613" s="2780"/>
      <c r="H613" s="2780"/>
      <c r="I613" s="2780"/>
    </row>
    <row r="614" spans="7:9" x14ac:dyDescent="0.4">
      <c r="G614" s="2780"/>
      <c r="H614" s="2780"/>
      <c r="I614" s="2780"/>
    </row>
    <row r="615" spans="7:9" x14ac:dyDescent="0.4">
      <c r="G615" s="2780"/>
      <c r="H615" s="2780"/>
      <c r="I615" s="2780"/>
    </row>
    <row r="616" spans="7:9" x14ac:dyDescent="0.4">
      <c r="G616" s="2780"/>
      <c r="H616" s="2780"/>
      <c r="I616" s="2780"/>
    </row>
    <row r="617" spans="7:9" x14ac:dyDescent="0.4">
      <c r="G617" s="2780"/>
      <c r="H617" s="2780"/>
      <c r="I617" s="2780"/>
    </row>
    <row r="618" spans="7:9" x14ac:dyDescent="0.4">
      <c r="G618" s="2780"/>
      <c r="H618" s="2780"/>
      <c r="I618" s="2780"/>
    </row>
    <row r="619" spans="7:9" x14ac:dyDescent="0.4">
      <c r="G619" s="2780"/>
      <c r="H619" s="2780"/>
      <c r="I619" s="2780"/>
    </row>
    <row r="620" spans="7:9" x14ac:dyDescent="0.4">
      <c r="G620" s="2780"/>
      <c r="H620" s="2780"/>
      <c r="I620" s="2780"/>
    </row>
    <row r="621" spans="7:9" x14ac:dyDescent="0.4">
      <c r="G621" s="2780"/>
      <c r="H621" s="2780"/>
      <c r="I621" s="2780"/>
    </row>
    <row r="622" spans="7:9" x14ac:dyDescent="0.4">
      <c r="G622" s="2780"/>
      <c r="H622" s="2780"/>
      <c r="I622" s="2780"/>
    </row>
    <row r="623" spans="7:9" x14ac:dyDescent="0.4">
      <c r="G623" s="2780"/>
      <c r="H623" s="2780"/>
      <c r="I623" s="2780"/>
    </row>
    <row r="624" spans="7:9" x14ac:dyDescent="0.4">
      <c r="G624" s="2780"/>
      <c r="H624" s="2780"/>
      <c r="I624" s="2780"/>
    </row>
    <row r="625" spans="7:9" x14ac:dyDescent="0.4">
      <c r="G625" s="2780"/>
      <c r="H625" s="2780"/>
      <c r="I625" s="2780"/>
    </row>
    <row r="626" spans="7:9" x14ac:dyDescent="0.4">
      <c r="G626" s="2780"/>
      <c r="H626" s="2780"/>
      <c r="I626" s="2780"/>
    </row>
    <row r="627" spans="7:9" x14ac:dyDescent="0.4">
      <c r="G627" s="2780"/>
      <c r="H627" s="2780"/>
      <c r="I627" s="2780"/>
    </row>
    <row r="628" spans="7:9" x14ac:dyDescent="0.4">
      <c r="G628" s="2780"/>
      <c r="H628" s="2780"/>
      <c r="I628" s="2780"/>
    </row>
    <row r="629" spans="7:9" x14ac:dyDescent="0.4">
      <c r="G629" s="2780"/>
      <c r="H629" s="2780"/>
      <c r="I629" s="2780"/>
    </row>
    <row r="630" spans="7:9" x14ac:dyDescent="0.4">
      <c r="G630" s="2780"/>
      <c r="H630" s="2780"/>
      <c r="I630" s="2780"/>
    </row>
    <row r="631" spans="7:9" x14ac:dyDescent="0.4">
      <c r="G631" s="2780"/>
      <c r="H631" s="2780"/>
      <c r="I631" s="2780"/>
    </row>
    <row r="632" spans="7:9" x14ac:dyDescent="0.4">
      <c r="G632" s="2780"/>
      <c r="H632" s="2780"/>
      <c r="I632" s="2780"/>
    </row>
    <row r="633" spans="7:9" x14ac:dyDescent="0.4">
      <c r="G633" s="2780"/>
      <c r="H633" s="2780"/>
      <c r="I633" s="2780"/>
    </row>
    <row r="634" spans="7:9" x14ac:dyDescent="0.4">
      <c r="G634" s="2780"/>
      <c r="H634" s="2780"/>
      <c r="I634" s="2780"/>
    </row>
    <row r="635" spans="7:9" x14ac:dyDescent="0.4">
      <c r="G635" s="2780"/>
      <c r="H635" s="2780"/>
      <c r="I635" s="2780"/>
    </row>
    <row r="636" spans="7:9" x14ac:dyDescent="0.4">
      <c r="G636" s="2780"/>
      <c r="H636" s="2780"/>
      <c r="I636" s="2780"/>
    </row>
    <row r="637" spans="7:9" x14ac:dyDescent="0.4">
      <c r="G637" s="2780"/>
      <c r="H637" s="2780"/>
      <c r="I637" s="2780"/>
    </row>
    <row r="638" spans="7:9" x14ac:dyDescent="0.4">
      <c r="G638" s="2780"/>
      <c r="H638" s="2780"/>
      <c r="I638" s="2780"/>
    </row>
    <row r="639" spans="7:9" x14ac:dyDescent="0.4">
      <c r="G639" s="2780"/>
      <c r="H639" s="2780"/>
      <c r="I639" s="2780"/>
    </row>
    <row r="640" spans="7:9" x14ac:dyDescent="0.4">
      <c r="G640" s="2780"/>
      <c r="H640" s="2780"/>
      <c r="I640" s="2780"/>
    </row>
    <row r="641" spans="7:9" x14ac:dyDescent="0.4">
      <c r="G641" s="2780"/>
      <c r="H641" s="2780"/>
      <c r="I641" s="2780"/>
    </row>
    <row r="642" spans="7:9" x14ac:dyDescent="0.4">
      <c r="G642" s="2780"/>
      <c r="H642" s="2780"/>
      <c r="I642" s="2780"/>
    </row>
    <row r="643" spans="7:9" x14ac:dyDescent="0.4">
      <c r="G643" s="2780"/>
      <c r="H643" s="2780"/>
      <c r="I643" s="2780"/>
    </row>
    <row r="644" spans="7:9" x14ac:dyDescent="0.4">
      <c r="G644" s="2780"/>
      <c r="H644" s="2780"/>
      <c r="I644" s="2780"/>
    </row>
    <row r="645" spans="7:9" x14ac:dyDescent="0.4">
      <c r="G645" s="2780"/>
      <c r="H645" s="2780"/>
      <c r="I645" s="2780"/>
    </row>
    <row r="646" spans="7:9" x14ac:dyDescent="0.4">
      <c r="G646" s="2780"/>
      <c r="H646" s="2780"/>
      <c r="I646" s="2780"/>
    </row>
    <row r="647" spans="7:9" x14ac:dyDescent="0.4">
      <c r="G647" s="2780"/>
      <c r="H647" s="2780"/>
      <c r="I647" s="2780"/>
    </row>
    <row r="648" spans="7:9" x14ac:dyDescent="0.4">
      <c r="G648" s="2780"/>
      <c r="H648" s="2780"/>
      <c r="I648" s="2780"/>
    </row>
    <row r="649" spans="7:9" x14ac:dyDescent="0.4">
      <c r="G649" s="2780"/>
      <c r="H649" s="2780"/>
      <c r="I649" s="2780"/>
    </row>
    <row r="650" spans="7:9" x14ac:dyDescent="0.4">
      <c r="G650" s="2780"/>
      <c r="H650" s="2780"/>
      <c r="I650" s="2780"/>
    </row>
    <row r="651" spans="7:9" x14ac:dyDescent="0.4">
      <c r="G651" s="2780"/>
      <c r="H651" s="2780"/>
      <c r="I651" s="2780"/>
    </row>
    <row r="652" spans="7:9" x14ac:dyDescent="0.4">
      <c r="G652" s="2780"/>
      <c r="H652" s="2780"/>
      <c r="I652" s="2780"/>
    </row>
    <row r="653" spans="7:9" x14ac:dyDescent="0.4">
      <c r="G653" s="2780"/>
      <c r="H653" s="2780"/>
      <c r="I653" s="2780"/>
    </row>
    <row r="654" spans="7:9" x14ac:dyDescent="0.4">
      <c r="G654" s="2780"/>
      <c r="H654" s="2780"/>
      <c r="I654" s="2780"/>
    </row>
    <row r="655" spans="7:9" x14ac:dyDescent="0.4">
      <c r="G655" s="2780"/>
      <c r="H655" s="2780"/>
      <c r="I655" s="2780"/>
    </row>
    <row r="656" spans="7:9" x14ac:dyDescent="0.4">
      <c r="G656" s="2780"/>
      <c r="H656" s="2780"/>
      <c r="I656" s="2780"/>
    </row>
    <row r="657" spans="7:9" x14ac:dyDescent="0.4">
      <c r="G657" s="2780"/>
      <c r="H657" s="2780"/>
      <c r="I657" s="2780"/>
    </row>
    <row r="658" spans="7:9" x14ac:dyDescent="0.4">
      <c r="G658" s="2780"/>
      <c r="H658" s="2780"/>
      <c r="I658" s="2780"/>
    </row>
    <row r="659" spans="7:9" x14ac:dyDescent="0.4">
      <c r="G659" s="2780"/>
      <c r="H659" s="2780"/>
      <c r="I659" s="2780"/>
    </row>
    <row r="660" spans="7:9" x14ac:dyDescent="0.4">
      <c r="G660" s="2780"/>
      <c r="H660" s="2780"/>
      <c r="I660" s="2780"/>
    </row>
    <row r="661" spans="7:9" x14ac:dyDescent="0.4">
      <c r="G661" s="2780"/>
      <c r="H661" s="2780"/>
      <c r="I661" s="2780"/>
    </row>
    <row r="662" spans="7:9" x14ac:dyDescent="0.4">
      <c r="G662" s="2780"/>
      <c r="H662" s="2780"/>
      <c r="I662" s="2780"/>
    </row>
    <row r="663" spans="7:9" x14ac:dyDescent="0.4">
      <c r="G663" s="2780"/>
      <c r="H663" s="2780"/>
      <c r="I663" s="2780"/>
    </row>
    <row r="664" spans="7:9" x14ac:dyDescent="0.4">
      <c r="G664" s="2780"/>
      <c r="H664" s="2780"/>
      <c r="I664" s="2780"/>
    </row>
    <row r="665" spans="7:9" x14ac:dyDescent="0.4">
      <c r="G665" s="2780"/>
      <c r="H665" s="2780"/>
      <c r="I665" s="2780"/>
    </row>
    <row r="666" spans="7:9" x14ac:dyDescent="0.4">
      <c r="G666" s="2780"/>
      <c r="H666" s="2780"/>
      <c r="I666" s="2780"/>
    </row>
    <row r="667" spans="7:9" x14ac:dyDescent="0.4">
      <c r="G667" s="2780"/>
      <c r="H667" s="2780"/>
      <c r="I667" s="2780"/>
    </row>
    <row r="668" spans="7:9" x14ac:dyDescent="0.4">
      <c r="G668" s="2780"/>
      <c r="H668" s="2780"/>
      <c r="I668" s="2780"/>
    </row>
    <row r="669" spans="7:9" x14ac:dyDescent="0.4">
      <c r="G669" s="2780"/>
      <c r="H669" s="2780"/>
      <c r="I669" s="2780"/>
    </row>
    <row r="670" spans="7:9" x14ac:dyDescent="0.4">
      <c r="G670" s="2780"/>
      <c r="H670" s="2780"/>
      <c r="I670" s="2780"/>
    </row>
    <row r="671" spans="7:9" x14ac:dyDescent="0.4">
      <c r="G671" s="2780"/>
      <c r="H671" s="2780"/>
      <c r="I671" s="2780"/>
    </row>
    <row r="672" spans="7:9" x14ac:dyDescent="0.4">
      <c r="G672" s="2780"/>
      <c r="H672" s="2780"/>
      <c r="I672" s="2780"/>
    </row>
    <row r="673" spans="7:9" x14ac:dyDescent="0.4">
      <c r="G673" s="2780"/>
      <c r="H673" s="2780"/>
      <c r="I673" s="2780"/>
    </row>
    <row r="674" spans="7:9" x14ac:dyDescent="0.4">
      <c r="G674" s="2780"/>
      <c r="H674" s="2780"/>
      <c r="I674" s="2780"/>
    </row>
    <row r="675" spans="7:9" x14ac:dyDescent="0.4">
      <c r="G675" s="2780"/>
      <c r="H675" s="2780"/>
      <c r="I675" s="2780"/>
    </row>
    <row r="676" spans="7:9" x14ac:dyDescent="0.4">
      <c r="G676" s="2780"/>
      <c r="H676" s="2780"/>
      <c r="I676" s="2780"/>
    </row>
    <row r="677" spans="7:9" x14ac:dyDescent="0.4">
      <c r="G677" s="2780"/>
      <c r="H677" s="2780"/>
      <c r="I677" s="2780"/>
    </row>
    <row r="678" spans="7:9" x14ac:dyDescent="0.4">
      <c r="G678" s="2780"/>
      <c r="H678" s="2780"/>
      <c r="I678" s="2780"/>
    </row>
    <row r="679" spans="7:9" x14ac:dyDescent="0.4">
      <c r="G679" s="2780"/>
      <c r="H679" s="2780"/>
      <c r="I679" s="2780"/>
    </row>
    <row r="680" spans="7:9" x14ac:dyDescent="0.4">
      <c r="G680" s="2780"/>
      <c r="H680" s="2780"/>
      <c r="I680" s="2780"/>
    </row>
    <row r="681" spans="7:9" x14ac:dyDescent="0.4">
      <c r="G681" s="2780"/>
      <c r="H681" s="2780"/>
      <c r="I681" s="2780"/>
    </row>
    <row r="682" spans="7:9" x14ac:dyDescent="0.4">
      <c r="G682" s="2780"/>
      <c r="H682" s="2780"/>
      <c r="I682" s="2780"/>
    </row>
    <row r="683" spans="7:9" x14ac:dyDescent="0.4">
      <c r="G683" s="2780"/>
      <c r="H683" s="2780"/>
      <c r="I683" s="2780"/>
    </row>
    <row r="684" spans="7:9" x14ac:dyDescent="0.4">
      <c r="G684" s="2780"/>
      <c r="H684" s="2780"/>
      <c r="I684" s="2780"/>
    </row>
    <row r="685" spans="7:9" x14ac:dyDescent="0.4">
      <c r="G685" s="2780"/>
      <c r="H685" s="2780"/>
      <c r="I685" s="2780"/>
    </row>
    <row r="686" spans="7:9" x14ac:dyDescent="0.4">
      <c r="G686" s="2780"/>
      <c r="H686" s="2780"/>
      <c r="I686" s="2780"/>
    </row>
    <row r="687" spans="7:9" x14ac:dyDescent="0.4">
      <c r="G687" s="2780"/>
      <c r="H687" s="2780"/>
      <c r="I687" s="2780"/>
    </row>
    <row r="688" spans="7:9" x14ac:dyDescent="0.4">
      <c r="G688" s="2780"/>
      <c r="H688" s="2780"/>
      <c r="I688" s="2780"/>
    </row>
    <row r="689" spans="7:9" x14ac:dyDescent="0.4">
      <c r="G689" s="2780"/>
      <c r="H689" s="2780"/>
      <c r="I689" s="2780"/>
    </row>
    <row r="690" spans="7:9" x14ac:dyDescent="0.4">
      <c r="G690" s="2780"/>
      <c r="H690" s="2780"/>
      <c r="I690" s="2780"/>
    </row>
    <row r="691" spans="7:9" x14ac:dyDescent="0.4">
      <c r="G691" s="2780"/>
      <c r="H691" s="2780"/>
      <c r="I691" s="2780"/>
    </row>
    <row r="692" spans="7:9" x14ac:dyDescent="0.4">
      <c r="G692" s="2780"/>
      <c r="H692" s="2780"/>
      <c r="I692" s="2780"/>
    </row>
    <row r="693" spans="7:9" x14ac:dyDescent="0.4">
      <c r="G693" s="2780"/>
      <c r="H693" s="2780"/>
      <c r="I693" s="2780"/>
    </row>
    <row r="694" spans="7:9" x14ac:dyDescent="0.4">
      <c r="G694" s="2780"/>
      <c r="H694" s="2780"/>
      <c r="I694" s="2780"/>
    </row>
    <row r="695" spans="7:9" x14ac:dyDescent="0.4">
      <c r="G695" s="2780"/>
      <c r="H695" s="2780"/>
      <c r="I695" s="2780"/>
    </row>
    <row r="696" spans="7:9" x14ac:dyDescent="0.4">
      <c r="G696" s="2780"/>
      <c r="H696" s="2780"/>
      <c r="I696" s="2780"/>
    </row>
    <row r="697" spans="7:9" x14ac:dyDescent="0.4">
      <c r="G697" s="2780"/>
      <c r="H697" s="2780"/>
      <c r="I697" s="2780"/>
    </row>
    <row r="698" spans="7:9" x14ac:dyDescent="0.4">
      <c r="G698" s="2780"/>
      <c r="H698" s="2780"/>
      <c r="I698" s="2780"/>
    </row>
    <row r="699" spans="7:9" x14ac:dyDescent="0.4">
      <c r="G699" s="2780"/>
      <c r="H699" s="2780"/>
      <c r="I699" s="2780"/>
    </row>
    <row r="700" spans="7:9" x14ac:dyDescent="0.4">
      <c r="G700" s="2780"/>
      <c r="H700" s="2780"/>
      <c r="I700" s="2780"/>
    </row>
    <row r="701" spans="7:9" x14ac:dyDescent="0.4">
      <c r="G701" s="2780"/>
      <c r="H701" s="2780"/>
      <c r="I701" s="2780"/>
    </row>
    <row r="702" spans="7:9" x14ac:dyDescent="0.4">
      <c r="G702" s="2780"/>
      <c r="H702" s="2780"/>
      <c r="I702" s="2780"/>
    </row>
    <row r="703" spans="7:9" x14ac:dyDescent="0.4">
      <c r="G703" s="2780"/>
      <c r="H703" s="2780"/>
      <c r="I703" s="2780"/>
    </row>
    <row r="704" spans="7:9" x14ac:dyDescent="0.4">
      <c r="G704" s="2780"/>
      <c r="H704" s="2780"/>
      <c r="I704" s="2780"/>
    </row>
    <row r="705" spans="7:9" x14ac:dyDescent="0.4">
      <c r="G705" s="2780"/>
      <c r="H705" s="2780"/>
      <c r="I705" s="2780"/>
    </row>
    <row r="706" spans="7:9" x14ac:dyDescent="0.4">
      <c r="G706" s="2780"/>
      <c r="H706" s="2780"/>
      <c r="I706" s="2780"/>
    </row>
    <row r="707" spans="7:9" x14ac:dyDescent="0.4">
      <c r="G707" s="2780"/>
      <c r="H707" s="2780"/>
      <c r="I707" s="2780"/>
    </row>
    <row r="708" spans="7:9" x14ac:dyDescent="0.4">
      <c r="G708" s="2780"/>
      <c r="H708" s="2780"/>
      <c r="I708" s="2780"/>
    </row>
    <row r="709" spans="7:9" x14ac:dyDescent="0.4">
      <c r="G709" s="2780"/>
      <c r="H709" s="2780"/>
      <c r="I709" s="2780"/>
    </row>
    <row r="710" spans="7:9" x14ac:dyDescent="0.4">
      <c r="G710" s="2780"/>
      <c r="H710" s="2780"/>
      <c r="I710" s="2780"/>
    </row>
    <row r="711" spans="7:9" x14ac:dyDescent="0.4">
      <c r="G711" s="2780"/>
      <c r="H711" s="2780"/>
      <c r="I711" s="2780"/>
    </row>
    <row r="712" spans="7:9" x14ac:dyDescent="0.4">
      <c r="G712" s="2780"/>
      <c r="H712" s="2780"/>
      <c r="I712" s="2780"/>
    </row>
    <row r="713" spans="7:9" x14ac:dyDescent="0.4">
      <c r="G713" s="2780"/>
      <c r="H713" s="2780"/>
      <c r="I713" s="2780"/>
    </row>
    <row r="714" spans="7:9" x14ac:dyDescent="0.4">
      <c r="G714" s="2780"/>
      <c r="H714" s="2780"/>
      <c r="I714" s="2780"/>
    </row>
    <row r="715" spans="7:9" x14ac:dyDescent="0.4">
      <c r="G715" s="2780"/>
      <c r="H715" s="2780"/>
      <c r="I715" s="2780"/>
    </row>
    <row r="716" spans="7:9" x14ac:dyDescent="0.4">
      <c r="G716" s="2780"/>
      <c r="H716" s="2780"/>
      <c r="I716" s="2780"/>
    </row>
    <row r="717" spans="7:9" x14ac:dyDescent="0.4">
      <c r="G717" s="2780"/>
      <c r="H717" s="2780"/>
      <c r="I717" s="2780"/>
    </row>
    <row r="718" spans="7:9" x14ac:dyDescent="0.4">
      <c r="G718" s="2780"/>
      <c r="H718" s="2780"/>
      <c r="I718" s="2780"/>
    </row>
    <row r="719" spans="7:9" x14ac:dyDescent="0.4">
      <c r="G719" s="2780"/>
      <c r="H719" s="2780"/>
      <c r="I719" s="2780"/>
    </row>
    <row r="720" spans="7:9" x14ac:dyDescent="0.4">
      <c r="G720" s="2780"/>
      <c r="H720" s="2780"/>
      <c r="I720" s="2780"/>
    </row>
    <row r="721" spans="7:9" x14ac:dyDescent="0.4">
      <c r="G721" s="2780"/>
      <c r="H721" s="2780"/>
      <c r="I721" s="2780"/>
    </row>
    <row r="722" spans="7:9" x14ac:dyDescent="0.4">
      <c r="G722" s="2780"/>
      <c r="H722" s="2780"/>
      <c r="I722" s="2780"/>
    </row>
    <row r="723" spans="7:9" x14ac:dyDescent="0.4">
      <c r="G723" s="2780"/>
      <c r="H723" s="2780"/>
      <c r="I723" s="2780"/>
    </row>
    <row r="724" spans="7:9" x14ac:dyDescent="0.4">
      <c r="G724" s="2780"/>
      <c r="H724" s="2780"/>
      <c r="I724" s="2780"/>
    </row>
    <row r="725" spans="7:9" x14ac:dyDescent="0.4">
      <c r="G725" s="2780"/>
      <c r="H725" s="2780"/>
      <c r="I725" s="2780"/>
    </row>
    <row r="726" spans="7:9" x14ac:dyDescent="0.4">
      <c r="G726" s="2780"/>
      <c r="H726" s="2780"/>
      <c r="I726" s="2780"/>
    </row>
    <row r="727" spans="7:9" x14ac:dyDescent="0.4">
      <c r="G727" s="2780"/>
      <c r="H727" s="2780"/>
      <c r="I727" s="2780"/>
    </row>
    <row r="728" spans="7:9" x14ac:dyDescent="0.4">
      <c r="G728" s="2780"/>
      <c r="H728" s="2780"/>
      <c r="I728" s="2780"/>
    </row>
    <row r="729" spans="7:9" x14ac:dyDescent="0.4">
      <c r="G729" s="2780"/>
      <c r="H729" s="2780"/>
      <c r="I729" s="2780"/>
    </row>
    <row r="730" spans="7:9" x14ac:dyDescent="0.4">
      <c r="G730" s="2780"/>
      <c r="H730" s="2780"/>
      <c r="I730" s="2780"/>
    </row>
    <row r="731" spans="7:9" x14ac:dyDescent="0.4">
      <c r="G731" s="2780"/>
      <c r="H731" s="2780"/>
      <c r="I731" s="2780"/>
    </row>
    <row r="732" spans="7:9" x14ac:dyDescent="0.4">
      <c r="G732" s="2780"/>
      <c r="H732" s="2780"/>
      <c r="I732" s="2780"/>
    </row>
    <row r="733" spans="7:9" x14ac:dyDescent="0.4">
      <c r="G733" s="2780"/>
      <c r="H733" s="2780"/>
      <c r="I733" s="2780"/>
    </row>
    <row r="734" spans="7:9" x14ac:dyDescent="0.4">
      <c r="G734" s="2780"/>
      <c r="H734" s="2780"/>
      <c r="I734" s="2780"/>
    </row>
    <row r="735" spans="7:9" x14ac:dyDescent="0.4">
      <c r="G735" s="2780"/>
      <c r="H735" s="2780"/>
      <c r="I735" s="2780"/>
    </row>
    <row r="736" spans="7:9" x14ac:dyDescent="0.4">
      <c r="G736" s="2780"/>
      <c r="H736" s="2780"/>
      <c r="I736" s="2780"/>
    </row>
    <row r="737" spans="7:9" x14ac:dyDescent="0.4">
      <c r="G737" s="2780"/>
      <c r="H737" s="2780"/>
      <c r="I737" s="2780"/>
    </row>
    <row r="738" spans="7:9" x14ac:dyDescent="0.4">
      <c r="G738" s="2780"/>
      <c r="H738" s="2780"/>
      <c r="I738" s="2780"/>
    </row>
    <row r="739" spans="7:9" x14ac:dyDescent="0.4">
      <c r="G739" s="2780"/>
      <c r="H739" s="2780"/>
      <c r="I739" s="2780"/>
    </row>
    <row r="740" spans="7:9" x14ac:dyDescent="0.4">
      <c r="G740" s="2780"/>
      <c r="H740" s="2780"/>
      <c r="I740" s="2780"/>
    </row>
    <row r="741" spans="7:9" x14ac:dyDescent="0.4">
      <c r="G741" s="2780"/>
      <c r="H741" s="2780"/>
      <c r="I741" s="2780"/>
    </row>
    <row r="742" spans="7:9" x14ac:dyDescent="0.4">
      <c r="G742" s="2780"/>
      <c r="H742" s="2780"/>
      <c r="I742" s="2780"/>
    </row>
    <row r="743" spans="7:9" x14ac:dyDescent="0.4">
      <c r="G743" s="2780"/>
      <c r="H743" s="2780"/>
      <c r="I743" s="2780"/>
    </row>
    <row r="744" spans="7:9" x14ac:dyDescent="0.4">
      <c r="G744" s="2780"/>
      <c r="H744" s="2780"/>
      <c r="I744" s="2780"/>
    </row>
    <row r="745" spans="7:9" x14ac:dyDescent="0.4">
      <c r="G745" s="2780"/>
      <c r="H745" s="2780"/>
      <c r="I745" s="2780"/>
    </row>
    <row r="746" spans="7:9" x14ac:dyDescent="0.4">
      <c r="G746" s="2780"/>
      <c r="H746" s="2780"/>
      <c r="I746" s="2780"/>
    </row>
    <row r="747" spans="7:9" x14ac:dyDescent="0.4">
      <c r="G747" s="2780"/>
      <c r="H747" s="2780"/>
      <c r="I747" s="2780"/>
    </row>
    <row r="748" spans="7:9" x14ac:dyDescent="0.4">
      <c r="G748" s="2780"/>
      <c r="H748" s="2780"/>
      <c r="I748" s="2780"/>
    </row>
    <row r="749" spans="7:9" x14ac:dyDescent="0.4">
      <c r="G749" s="2780"/>
      <c r="H749" s="2780"/>
      <c r="I749" s="2780"/>
    </row>
    <row r="750" spans="7:9" x14ac:dyDescent="0.4">
      <c r="G750" s="2780"/>
      <c r="H750" s="2780"/>
      <c r="I750" s="2780"/>
    </row>
    <row r="751" spans="7:9" x14ac:dyDescent="0.4">
      <c r="G751" s="2780"/>
      <c r="H751" s="2780"/>
      <c r="I751" s="2780"/>
    </row>
    <row r="752" spans="7:9" x14ac:dyDescent="0.4">
      <c r="G752" s="2780"/>
      <c r="H752" s="2780"/>
      <c r="I752" s="2780"/>
    </row>
    <row r="753" spans="7:9" x14ac:dyDescent="0.4">
      <c r="G753" s="2780"/>
      <c r="H753" s="2780"/>
      <c r="I753" s="2780"/>
    </row>
    <row r="754" spans="7:9" x14ac:dyDescent="0.4">
      <c r="G754" s="2780"/>
      <c r="H754" s="2780"/>
      <c r="I754" s="2780"/>
    </row>
    <row r="755" spans="7:9" x14ac:dyDescent="0.4">
      <c r="G755" s="2780"/>
      <c r="H755" s="2780"/>
      <c r="I755" s="2780"/>
    </row>
    <row r="756" spans="7:9" x14ac:dyDescent="0.4">
      <c r="G756" s="2780"/>
      <c r="H756" s="2780"/>
      <c r="I756" s="2780"/>
    </row>
    <row r="757" spans="7:9" x14ac:dyDescent="0.4">
      <c r="G757" s="2780"/>
      <c r="H757" s="2780"/>
      <c r="I757" s="2780"/>
    </row>
    <row r="758" spans="7:9" x14ac:dyDescent="0.4">
      <c r="G758" s="2780"/>
      <c r="H758" s="2780"/>
      <c r="I758" s="2780"/>
    </row>
    <row r="759" spans="7:9" x14ac:dyDescent="0.4">
      <c r="G759" s="2780"/>
      <c r="H759" s="2780"/>
      <c r="I759" s="2780"/>
    </row>
    <row r="760" spans="7:9" x14ac:dyDescent="0.4">
      <c r="G760" s="2780"/>
      <c r="H760" s="2780"/>
      <c r="I760" s="2780"/>
    </row>
    <row r="761" spans="7:9" x14ac:dyDescent="0.4">
      <c r="G761" s="2780"/>
      <c r="H761" s="2780"/>
      <c r="I761" s="2780"/>
    </row>
    <row r="762" spans="7:9" x14ac:dyDescent="0.4">
      <c r="G762" s="2780"/>
      <c r="H762" s="2780"/>
      <c r="I762" s="2780"/>
    </row>
    <row r="763" spans="7:9" x14ac:dyDescent="0.4">
      <c r="G763" s="2780"/>
      <c r="H763" s="2780"/>
      <c r="I763" s="2780"/>
    </row>
    <row r="764" spans="7:9" x14ac:dyDescent="0.4">
      <c r="G764" s="2780"/>
      <c r="H764" s="2780"/>
      <c r="I764" s="2780"/>
    </row>
    <row r="765" spans="7:9" x14ac:dyDescent="0.4">
      <c r="G765" s="2780"/>
      <c r="H765" s="2780"/>
      <c r="I765" s="2780"/>
    </row>
    <row r="766" spans="7:9" x14ac:dyDescent="0.4">
      <c r="G766" s="2780"/>
      <c r="H766" s="2780"/>
      <c r="I766" s="2780"/>
    </row>
    <row r="767" spans="7:9" x14ac:dyDescent="0.4">
      <c r="G767" s="2780"/>
      <c r="H767" s="2780"/>
      <c r="I767" s="2780"/>
    </row>
    <row r="768" spans="7:9" x14ac:dyDescent="0.4">
      <c r="G768" s="2780"/>
      <c r="H768" s="2780"/>
      <c r="I768" s="2780"/>
    </row>
    <row r="769" spans="7:9" x14ac:dyDescent="0.4">
      <c r="G769" s="2780"/>
      <c r="H769" s="2780"/>
      <c r="I769" s="2780"/>
    </row>
    <row r="770" spans="7:9" x14ac:dyDescent="0.4">
      <c r="G770" s="2780"/>
      <c r="H770" s="2780"/>
      <c r="I770" s="2780"/>
    </row>
    <row r="771" spans="7:9" x14ac:dyDescent="0.4">
      <c r="G771" s="2780"/>
      <c r="H771" s="2780"/>
      <c r="I771" s="2780"/>
    </row>
    <row r="772" spans="7:9" x14ac:dyDescent="0.4">
      <c r="G772" s="2780"/>
      <c r="H772" s="2780"/>
      <c r="I772" s="2780"/>
    </row>
    <row r="773" spans="7:9" x14ac:dyDescent="0.4">
      <c r="G773" s="2780"/>
      <c r="H773" s="2780"/>
      <c r="I773" s="2780"/>
    </row>
    <row r="774" spans="7:9" x14ac:dyDescent="0.4">
      <c r="G774" s="2780"/>
      <c r="H774" s="2780"/>
      <c r="I774" s="2780"/>
    </row>
    <row r="775" spans="7:9" x14ac:dyDescent="0.4">
      <c r="G775" s="2780"/>
      <c r="H775" s="2780"/>
      <c r="I775" s="2780"/>
    </row>
    <row r="776" spans="7:9" x14ac:dyDescent="0.4">
      <c r="G776" s="2780"/>
      <c r="H776" s="2780"/>
      <c r="I776" s="2780"/>
    </row>
    <row r="777" spans="7:9" x14ac:dyDescent="0.4">
      <c r="G777" s="2780"/>
      <c r="H777" s="2780"/>
      <c r="I777" s="2780"/>
    </row>
    <row r="778" spans="7:9" x14ac:dyDescent="0.4">
      <c r="G778" s="2780"/>
      <c r="H778" s="2780"/>
      <c r="I778" s="2780"/>
    </row>
    <row r="779" spans="7:9" x14ac:dyDescent="0.4">
      <c r="G779" s="2780"/>
      <c r="H779" s="2780"/>
      <c r="I779" s="2780"/>
    </row>
    <row r="780" spans="7:9" x14ac:dyDescent="0.4">
      <c r="G780" s="2780"/>
      <c r="H780" s="2780"/>
      <c r="I780" s="2780"/>
    </row>
    <row r="781" spans="7:9" x14ac:dyDescent="0.4">
      <c r="G781" s="2780"/>
      <c r="H781" s="2780"/>
      <c r="I781" s="2780"/>
    </row>
    <row r="782" spans="7:9" x14ac:dyDescent="0.4">
      <c r="G782" s="2780"/>
      <c r="H782" s="2780"/>
      <c r="I782" s="2780"/>
    </row>
    <row r="783" spans="7:9" x14ac:dyDescent="0.4">
      <c r="G783" s="2780"/>
      <c r="H783" s="2780"/>
      <c r="I783" s="2780"/>
    </row>
    <row r="784" spans="7:9" x14ac:dyDescent="0.4">
      <c r="G784" s="2780"/>
      <c r="H784" s="2780"/>
      <c r="I784" s="2780"/>
    </row>
    <row r="785" spans="7:9" x14ac:dyDescent="0.4">
      <c r="G785" s="2780"/>
      <c r="H785" s="2780"/>
      <c r="I785" s="2780"/>
    </row>
    <row r="786" spans="7:9" x14ac:dyDescent="0.4">
      <c r="G786" s="2780"/>
      <c r="H786" s="2780"/>
      <c r="I786" s="2780"/>
    </row>
    <row r="787" spans="7:9" x14ac:dyDescent="0.4">
      <c r="G787" s="2780"/>
      <c r="H787" s="2780"/>
      <c r="I787" s="2780"/>
    </row>
    <row r="788" spans="7:9" x14ac:dyDescent="0.4">
      <c r="G788" s="2780"/>
      <c r="H788" s="2780"/>
      <c r="I788" s="2780"/>
    </row>
    <row r="789" spans="7:9" x14ac:dyDescent="0.4">
      <c r="G789" s="2780"/>
      <c r="H789" s="2780"/>
      <c r="I789" s="2780"/>
    </row>
    <row r="790" spans="7:9" x14ac:dyDescent="0.4">
      <c r="G790" s="2780"/>
      <c r="H790" s="2780"/>
      <c r="I790" s="2780"/>
    </row>
    <row r="791" spans="7:9" x14ac:dyDescent="0.4">
      <c r="G791" s="2780"/>
      <c r="H791" s="2780"/>
      <c r="I791" s="2780"/>
    </row>
    <row r="792" spans="7:9" x14ac:dyDescent="0.4">
      <c r="G792" s="2780"/>
      <c r="H792" s="2780"/>
      <c r="I792" s="2780"/>
    </row>
    <row r="793" spans="7:9" x14ac:dyDescent="0.4">
      <c r="G793" s="2780"/>
      <c r="H793" s="2780"/>
      <c r="I793" s="2780"/>
    </row>
    <row r="794" spans="7:9" x14ac:dyDescent="0.4">
      <c r="G794" s="2780"/>
      <c r="H794" s="2780"/>
      <c r="I794" s="2780"/>
    </row>
    <row r="795" spans="7:9" x14ac:dyDescent="0.4">
      <c r="G795" s="2780"/>
      <c r="H795" s="2780"/>
      <c r="I795" s="2780"/>
    </row>
    <row r="796" spans="7:9" x14ac:dyDescent="0.4">
      <c r="G796" s="2780"/>
      <c r="H796" s="2780"/>
      <c r="I796" s="2780"/>
    </row>
    <row r="797" spans="7:9" x14ac:dyDescent="0.4">
      <c r="G797" s="2780"/>
      <c r="H797" s="2780"/>
      <c r="I797" s="2780"/>
    </row>
    <row r="798" spans="7:9" x14ac:dyDescent="0.4">
      <c r="G798" s="2780"/>
      <c r="H798" s="2780"/>
      <c r="I798" s="2780"/>
    </row>
    <row r="799" spans="7:9" x14ac:dyDescent="0.4">
      <c r="G799" s="2780"/>
      <c r="H799" s="2780"/>
      <c r="I799" s="2780"/>
    </row>
    <row r="800" spans="7:9" x14ac:dyDescent="0.4">
      <c r="G800" s="2780"/>
      <c r="H800" s="2780"/>
      <c r="I800" s="2780"/>
    </row>
    <row r="801" spans="7:9" x14ac:dyDescent="0.4">
      <c r="G801" s="2780"/>
      <c r="H801" s="2780"/>
      <c r="I801" s="2780"/>
    </row>
    <row r="802" spans="7:9" x14ac:dyDescent="0.4">
      <c r="G802" s="2780"/>
      <c r="H802" s="2780"/>
      <c r="I802" s="2780"/>
    </row>
    <row r="803" spans="7:9" x14ac:dyDescent="0.4">
      <c r="G803" s="2780"/>
      <c r="H803" s="2780"/>
      <c r="I803" s="2780"/>
    </row>
    <row r="804" spans="7:9" x14ac:dyDescent="0.4">
      <c r="G804" s="2780"/>
      <c r="H804" s="2780"/>
      <c r="I804" s="2780"/>
    </row>
    <row r="805" spans="7:9" x14ac:dyDescent="0.4">
      <c r="G805" s="2780"/>
      <c r="H805" s="2780"/>
      <c r="I805" s="2780"/>
    </row>
    <row r="806" spans="7:9" x14ac:dyDescent="0.4">
      <c r="G806" s="2780"/>
      <c r="H806" s="2780"/>
      <c r="I806" s="2780"/>
    </row>
    <row r="807" spans="7:9" x14ac:dyDescent="0.4">
      <c r="G807" s="2780"/>
      <c r="H807" s="2780"/>
      <c r="I807" s="2780"/>
    </row>
    <row r="808" spans="7:9" x14ac:dyDescent="0.4">
      <c r="G808" s="2780"/>
      <c r="H808" s="2780"/>
      <c r="I808" s="2780"/>
    </row>
    <row r="809" spans="7:9" x14ac:dyDescent="0.4">
      <c r="G809" s="2780"/>
      <c r="H809" s="2780"/>
      <c r="I809" s="2780"/>
    </row>
    <row r="810" spans="7:9" x14ac:dyDescent="0.4">
      <c r="G810" s="2780"/>
      <c r="H810" s="2780"/>
      <c r="I810" s="2780"/>
    </row>
    <row r="811" spans="7:9" x14ac:dyDescent="0.4">
      <c r="G811" s="2780"/>
      <c r="H811" s="2780"/>
      <c r="I811" s="2780"/>
    </row>
    <row r="812" spans="7:9" x14ac:dyDescent="0.4">
      <c r="G812" s="2780"/>
      <c r="H812" s="2780"/>
      <c r="I812" s="2780"/>
    </row>
    <row r="813" spans="7:9" x14ac:dyDescent="0.4">
      <c r="G813" s="2780"/>
      <c r="H813" s="2780"/>
      <c r="I813" s="2780"/>
    </row>
    <row r="814" spans="7:9" x14ac:dyDescent="0.4">
      <c r="G814" s="2780"/>
      <c r="H814" s="2780"/>
      <c r="I814" s="2780"/>
    </row>
    <row r="815" spans="7:9" x14ac:dyDescent="0.4">
      <c r="G815" s="2780"/>
      <c r="H815" s="2780"/>
      <c r="I815" s="2780"/>
    </row>
    <row r="816" spans="7:9" x14ac:dyDescent="0.4">
      <c r="G816" s="2780"/>
      <c r="H816" s="2780"/>
      <c r="I816" s="2780"/>
    </row>
    <row r="817" spans="7:9" x14ac:dyDescent="0.4">
      <c r="G817" s="2780"/>
      <c r="H817" s="2780"/>
      <c r="I817" s="2780"/>
    </row>
    <row r="818" spans="7:9" x14ac:dyDescent="0.4">
      <c r="G818" s="2780"/>
      <c r="H818" s="2780"/>
      <c r="I818" s="2780"/>
    </row>
    <row r="819" spans="7:9" x14ac:dyDescent="0.4">
      <c r="G819" s="2780"/>
      <c r="H819" s="2780"/>
      <c r="I819" s="2780"/>
    </row>
    <row r="820" spans="7:9" x14ac:dyDescent="0.4">
      <c r="G820" s="2780"/>
      <c r="H820" s="2780"/>
      <c r="I820" s="2780"/>
    </row>
    <row r="821" spans="7:9" x14ac:dyDescent="0.4">
      <c r="G821" s="2780"/>
      <c r="H821" s="2780"/>
      <c r="I821" s="2780"/>
    </row>
    <row r="822" spans="7:9" x14ac:dyDescent="0.4">
      <c r="G822" s="2780"/>
      <c r="H822" s="2780"/>
      <c r="I822" s="2780"/>
    </row>
    <row r="823" spans="7:9" x14ac:dyDescent="0.4">
      <c r="G823" s="2780"/>
      <c r="H823" s="2780"/>
      <c r="I823" s="2780"/>
    </row>
    <row r="824" spans="7:9" x14ac:dyDescent="0.4">
      <c r="G824" s="2780"/>
      <c r="H824" s="2780"/>
      <c r="I824" s="2780"/>
    </row>
    <row r="825" spans="7:9" x14ac:dyDescent="0.4">
      <c r="G825" s="2780"/>
      <c r="H825" s="2780"/>
      <c r="I825" s="2780"/>
    </row>
    <row r="826" spans="7:9" x14ac:dyDescent="0.4">
      <c r="G826" s="2780"/>
      <c r="H826" s="2780"/>
      <c r="I826" s="2780"/>
    </row>
    <row r="827" spans="7:9" x14ac:dyDescent="0.4">
      <c r="G827" s="2780"/>
      <c r="H827" s="2780"/>
      <c r="I827" s="2780"/>
    </row>
    <row r="828" spans="7:9" x14ac:dyDescent="0.4">
      <c r="G828" s="2780"/>
      <c r="H828" s="2780"/>
      <c r="I828" s="2780"/>
    </row>
    <row r="829" spans="7:9" x14ac:dyDescent="0.4">
      <c r="G829" s="2780"/>
      <c r="H829" s="2780"/>
      <c r="I829" s="2780"/>
    </row>
    <row r="830" spans="7:9" x14ac:dyDescent="0.4">
      <c r="G830" s="2780"/>
      <c r="H830" s="2780"/>
      <c r="I830" s="2780"/>
    </row>
    <row r="831" spans="7:9" x14ac:dyDescent="0.4">
      <c r="G831" s="2780"/>
      <c r="H831" s="2780"/>
      <c r="I831" s="2780"/>
    </row>
    <row r="832" spans="7:9" x14ac:dyDescent="0.4">
      <c r="G832" s="2780"/>
      <c r="H832" s="2780"/>
      <c r="I832" s="2780"/>
    </row>
    <row r="833" spans="7:9" x14ac:dyDescent="0.4">
      <c r="G833" s="2780"/>
      <c r="H833" s="2780"/>
      <c r="I833" s="2780"/>
    </row>
    <row r="834" spans="7:9" x14ac:dyDescent="0.4">
      <c r="G834" s="2780"/>
      <c r="H834" s="2780"/>
      <c r="I834" s="2780"/>
    </row>
    <row r="835" spans="7:9" x14ac:dyDescent="0.4">
      <c r="G835" s="2780"/>
      <c r="H835" s="2780"/>
      <c r="I835" s="2780"/>
    </row>
    <row r="836" spans="7:9" x14ac:dyDescent="0.4">
      <c r="G836" s="2780"/>
      <c r="H836" s="2780"/>
      <c r="I836" s="2780"/>
    </row>
    <row r="837" spans="7:9" x14ac:dyDescent="0.4">
      <c r="G837" s="2780"/>
      <c r="H837" s="2780"/>
      <c r="I837" s="2780"/>
    </row>
    <row r="838" spans="7:9" x14ac:dyDescent="0.4">
      <c r="G838" s="2780"/>
      <c r="H838" s="2780"/>
      <c r="I838" s="2780"/>
    </row>
    <row r="839" spans="7:9" x14ac:dyDescent="0.4">
      <c r="G839" s="2780"/>
      <c r="H839" s="2780"/>
      <c r="I839" s="2780"/>
    </row>
    <row r="840" spans="7:9" x14ac:dyDescent="0.4">
      <c r="G840" s="2780"/>
      <c r="H840" s="2780"/>
      <c r="I840" s="2780"/>
    </row>
    <row r="841" spans="7:9" x14ac:dyDescent="0.4">
      <c r="G841" s="2780"/>
      <c r="H841" s="2780"/>
      <c r="I841" s="2780"/>
    </row>
    <row r="842" spans="7:9" x14ac:dyDescent="0.4">
      <c r="G842" s="2780"/>
      <c r="H842" s="2780"/>
      <c r="I842" s="2780"/>
    </row>
    <row r="843" spans="7:9" x14ac:dyDescent="0.4">
      <c r="G843" s="2780"/>
      <c r="H843" s="2780"/>
      <c r="I843" s="2780"/>
    </row>
    <row r="844" spans="7:9" x14ac:dyDescent="0.4">
      <c r="G844" s="2780"/>
      <c r="H844" s="2780"/>
      <c r="I844" s="2780"/>
    </row>
    <row r="845" spans="7:9" x14ac:dyDescent="0.4">
      <c r="G845" s="2780"/>
      <c r="H845" s="2780"/>
      <c r="I845" s="2780"/>
    </row>
    <row r="846" spans="7:9" x14ac:dyDescent="0.4">
      <c r="G846" s="2780"/>
      <c r="H846" s="2780"/>
      <c r="I846" s="2780"/>
    </row>
    <row r="847" spans="7:9" x14ac:dyDescent="0.4">
      <c r="G847" s="2780"/>
      <c r="H847" s="2780"/>
      <c r="I847" s="2780"/>
    </row>
    <row r="848" spans="7:9" x14ac:dyDescent="0.4">
      <c r="G848" s="2780"/>
      <c r="H848" s="2780"/>
      <c r="I848" s="2780"/>
    </row>
    <row r="849" spans="7:9" x14ac:dyDescent="0.4">
      <c r="G849" s="2780"/>
      <c r="H849" s="2780"/>
      <c r="I849" s="2780"/>
    </row>
    <row r="850" spans="7:9" x14ac:dyDescent="0.4">
      <c r="G850" s="2780"/>
      <c r="H850" s="2780"/>
      <c r="I850" s="2780"/>
    </row>
    <row r="851" spans="7:9" x14ac:dyDescent="0.4">
      <c r="G851" s="2780"/>
      <c r="H851" s="2780"/>
      <c r="I851" s="2780"/>
    </row>
    <row r="852" spans="7:9" x14ac:dyDescent="0.4">
      <c r="G852" s="2780"/>
      <c r="H852" s="2780"/>
      <c r="I852" s="2780"/>
    </row>
    <row r="853" spans="7:9" x14ac:dyDescent="0.4">
      <c r="G853" s="2780"/>
      <c r="H853" s="2780"/>
      <c r="I853" s="2780"/>
    </row>
    <row r="854" spans="7:9" x14ac:dyDescent="0.4">
      <c r="G854" s="2780"/>
      <c r="H854" s="2780"/>
      <c r="I854" s="2780"/>
    </row>
    <row r="855" spans="7:9" x14ac:dyDescent="0.4">
      <c r="G855" s="2780"/>
      <c r="H855" s="2780"/>
      <c r="I855" s="2780"/>
    </row>
    <row r="856" spans="7:9" x14ac:dyDescent="0.4">
      <c r="G856" s="2780"/>
      <c r="H856" s="2780"/>
      <c r="I856" s="2780"/>
    </row>
    <row r="857" spans="7:9" x14ac:dyDescent="0.4">
      <c r="G857" s="2780"/>
      <c r="H857" s="2780"/>
      <c r="I857" s="2780"/>
    </row>
    <row r="858" spans="7:9" x14ac:dyDescent="0.4">
      <c r="G858" s="2780"/>
      <c r="H858" s="2780"/>
      <c r="I858" s="2780"/>
    </row>
    <row r="859" spans="7:9" x14ac:dyDescent="0.4">
      <c r="G859" s="2780"/>
      <c r="H859" s="2780"/>
      <c r="I859" s="2780"/>
    </row>
    <row r="860" spans="7:9" x14ac:dyDescent="0.4">
      <c r="G860" s="2780"/>
      <c r="H860" s="2780"/>
      <c r="I860" s="2780"/>
    </row>
    <row r="861" spans="7:9" x14ac:dyDescent="0.4">
      <c r="G861" s="2780"/>
      <c r="H861" s="2780"/>
      <c r="I861" s="2780"/>
    </row>
    <row r="862" spans="7:9" x14ac:dyDescent="0.4">
      <c r="G862" s="2780"/>
      <c r="H862" s="2780"/>
      <c r="I862" s="2780"/>
    </row>
    <row r="863" spans="7:9" x14ac:dyDescent="0.4">
      <c r="G863" s="2780"/>
      <c r="H863" s="2780"/>
      <c r="I863" s="2780"/>
    </row>
    <row r="864" spans="7:9" x14ac:dyDescent="0.4">
      <c r="G864" s="2780"/>
      <c r="H864" s="2780"/>
      <c r="I864" s="2780"/>
    </row>
    <row r="865" spans="7:9" x14ac:dyDescent="0.4">
      <c r="G865" s="2780"/>
      <c r="H865" s="2780"/>
      <c r="I865" s="2780"/>
    </row>
    <row r="866" spans="7:9" x14ac:dyDescent="0.4">
      <c r="G866" s="2780"/>
      <c r="H866" s="2780"/>
      <c r="I866" s="2780"/>
    </row>
    <row r="867" spans="7:9" x14ac:dyDescent="0.4">
      <c r="G867" s="2780"/>
      <c r="H867" s="2780"/>
      <c r="I867" s="2780"/>
    </row>
    <row r="868" spans="7:9" x14ac:dyDescent="0.4">
      <c r="G868" s="2780"/>
      <c r="H868" s="2780"/>
      <c r="I868" s="2780"/>
    </row>
    <row r="869" spans="7:9" x14ac:dyDescent="0.4">
      <c r="G869" s="2780"/>
      <c r="H869" s="2780"/>
      <c r="I869" s="2780"/>
    </row>
    <row r="870" spans="7:9" x14ac:dyDescent="0.4">
      <c r="G870" s="2780"/>
      <c r="H870" s="2780"/>
      <c r="I870" s="2780"/>
    </row>
    <row r="871" spans="7:9" x14ac:dyDescent="0.4">
      <c r="G871" s="2780"/>
      <c r="H871" s="2780"/>
      <c r="I871" s="2780"/>
    </row>
    <row r="872" spans="7:9" x14ac:dyDescent="0.4">
      <c r="G872" s="2780"/>
      <c r="H872" s="2780"/>
      <c r="I872" s="2780"/>
    </row>
    <row r="873" spans="7:9" x14ac:dyDescent="0.4">
      <c r="G873" s="2780"/>
      <c r="H873" s="2780"/>
      <c r="I873" s="2780"/>
    </row>
    <row r="874" spans="7:9" x14ac:dyDescent="0.4">
      <c r="G874" s="2780"/>
      <c r="H874" s="2780"/>
      <c r="I874" s="2780"/>
    </row>
    <row r="875" spans="7:9" x14ac:dyDescent="0.4">
      <c r="G875" s="2780"/>
      <c r="H875" s="2780"/>
      <c r="I875" s="2780"/>
    </row>
    <row r="876" spans="7:9" x14ac:dyDescent="0.4">
      <c r="G876" s="2780"/>
      <c r="H876" s="2780"/>
      <c r="I876" s="2780"/>
    </row>
    <row r="877" spans="7:9" x14ac:dyDescent="0.4">
      <c r="G877" s="2780"/>
      <c r="H877" s="2780"/>
      <c r="I877" s="2780"/>
    </row>
    <row r="878" spans="7:9" x14ac:dyDescent="0.4">
      <c r="G878" s="2780"/>
      <c r="H878" s="2780"/>
      <c r="I878" s="2780"/>
    </row>
    <row r="879" spans="7:9" x14ac:dyDescent="0.4">
      <c r="G879" s="2780"/>
      <c r="H879" s="2780"/>
      <c r="I879" s="2780"/>
    </row>
    <row r="880" spans="7:9" x14ac:dyDescent="0.4">
      <c r="G880" s="2780"/>
      <c r="H880" s="2780"/>
      <c r="I880" s="2780"/>
    </row>
    <row r="881" spans="7:9" x14ac:dyDescent="0.4">
      <c r="G881" s="2780"/>
      <c r="H881" s="2780"/>
      <c r="I881" s="2780"/>
    </row>
    <row r="882" spans="7:9" x14ac:dyDescent="0.4">
      <c r="G882" s="2780"/>
      <c r="H882" s="2780"/>
      <c r="I882" s="2780"/>
    </row>
    <row r="883" spans="7:9" x14ac:dyDescent="0.4">
      <c r="G883" s="2780"/>
      <c r="H883" s="2780"/>
      <c r="I883" s="2780"/>
    </row>
    <row r="884" spans="7:9" x14ac:dyDescent="0.4">
      <c r="G884" s="2780"/>
      <c r="H884" s="2780"/>
      <c r="I884" s="2780"/>
    </row>
    <row r="885" spans="7:9" x14ac:dyDescent="0.4">
      <c r="G885" s="2780"/>
      <c r="H885" s="2780"/>
      <c r="I885" s="2780"/>
    </row>
    <row r="886" spans="7:9" x14ac:dyDescent="0.4">
      <c r="G886" s="2780"/>
      <c r="H886" s="2780"/>
      <c r="I886" s="2780"/>
    </row>
    <row r="887" spans="7:9" x14ac:dyDescent="0.4">
      <c r="G887" s="2780"/>
      <c r="H887" s="2780"/>
      <c r="I887" s="2780"/>
    </row>
    <row r="888" spans="7:9" x14ac:dyDescent="0.4">
      <c r="G888" s="2780"/>
      <c r="H888" s="2780"/>
      <c r="I888" s="2780"/>
    </row>
    <row r="889" spans="7:9" x14ac:dyDescent="0.4">
      <c r="G889" s="2780"/>
      <c r="H889" s="2780"/>
      <c r="I889" s="2780"/>
    </row>
    <row r="890" spans="7:9" x14ac:dyDescent="0.4">
      <c r="G890" s="2780"/>
      <c r="H890" s="2780"/>
      <c r="I890" s="2780"/>
    </row>
    <row r="891" spans="7:9" x14ac:dyDescent="0.4">
      <c r="G891" s="2780"/>
      <c r="H891" s="2780"/>
      <c r="I891" s="2780"/>
    </row>
    <row r="892" spans="7:9" x14ac:dyDescent="0.4">
      <c r="G892" s="2780"/>
      <c r="H892" s="2780"/>
      <c r="I892" s="2780"/>
    </row>
    <row r="893" spans="7:9" x14ac:dyDescent="0.4">
      <c r="G893" s="2780"/>
      <c r="H893" s="2780"/>
      <c r="I893" s="2780"/>
    </row>
    <row r="894" spans="7:9" x14ac:dyDescent="0.4">
      <c r="G894" s="2780"/>
      <c r="H894" s="2780"/>
      <c r="I894" s="2780"/>
    </row>
    <row r="895" spans="7:9" x14ac:dyDescent="0.4">
      <c r="G895" s="2780"/>
      <c r="H895" s="2780"/>
      <c r="I895" s="2780"/>
    </row>
    <row r="896" spans="7:9" x14ac:dyDescent="0.4">
      <c r="G896" s="2780"/>
      <c r="H896" s="2780"/>
      <c r="I896" s="2780"/>
    </row>
    <row r="897" spans="7:9" x14ac:dyDescent="0.4">
      <c r="G897" s="2780"/>
      <c r="H897" s="2780"/>
      <c r="I897" s="2780"/>
    </row>
    <row r="898" spans="7:9" x14ac:dyDescent="0.4">
      <c r="G898" s="2780"/>
      <c r="H898" s="2780"/>
      <c r="I898" s="2780"/>
    </row>
    <row r="899" spans="7:9" x14ac:dyDescent="0.4">
      <c r="G899" s="2780"/>
      <c r="H899" s="2780"/>
      <c r="I899" s="2780"/>
    </row>
    <row r="900" spans="7:9" x14ac:dyDescent="0.4">
      <c r="G900" s="2780"/>
      <c r="H900" s="2780"/>
      <c r="I900" s="2780"/>
    </row>
    <row r="901" spans="7:9" x14ac:dyDescent="0.4">
      <c r="G901" s="2780"/>
      <c r="H901" s="2780"/>
      <c r="I901" s="2780"/>
    </row>
    <row r="902" spans="7:9" x14ac:dyDescent="0.4">
      <c r="G902" s="2780"/>
      <c r="H902" s="2780"/>
      <c r="I902" s="2780"/>
    </row>
    <row r="903" spans="7:9" x14ac:dyDescent="0.4">
      <c r="G903" s="2780"/>
      <c r="H903" s="2780"/>
      <c r="I903" s="2780"/>
    </row>
    <row r="904" spans="7:9" x14ac:dyDescent="0.4">
      <c r="G904" s="2780"/>
      <c r="H904" s="2780"/>
      <c r="I904" s="2780"/>
    </row>
    <row r="905" spans="7:9" x14ac:dyDescent="0.4">
      <c r="G905" s="2780"/>
      <c r="H905" s="2780"/>
      <c r="I905" s="2780"/>
    </row>
    <row r="906" spans="7:9" x14ac:dyDescent="0.4">
      <c r="G906" s="2780"/>
      <c r="H906" s="2780"/>
      <c r="I906" s="2780"/>
    </row>
    <row r="907" spans="7:9" x14ac:dyDescent="0.4">
      <c r="G907" s="2780"/>
      <c r="H907" s="2780"/>
      <c r="I907" s="2780"/>
    </row>
    <row r="908" spans="7:9" x14ac:dyDescent="0.4">
      <c r="G908" s="2780"/>
      <c r="H908" s="2780"/>
      <c r="I908" s="2780"/>
    </row>
    <row r="909" spans="7:9" x14ac:dyDescent="0.4">
      <c r="G909" s="2780"/>
      <c r="H909" s="2780"/>
      <c r="I909" s="2780"/>
    </row>
    <row r="910" spans="7:9" x14ac:dyDescent="0.4">
      <c r="G910" s="2780"/>
      <c r="H910" s="2780"/>
      <c r="I910" s="2780"/>
    </row>
    <row r="911" spans="7:9" x14ac:dyDescent="0.4">
      <c r="G911" s="2780"/>
      <c r="H911" s="2780"/>
      <c r="I911" s="2780"/>
    </row>
    <row r="912" spans="7:9" x14ac:dyDescent="0.4">
      <c r="G912" s="2780"/>
      <c r="H912" s="2780"/>
      <c r="I912" s="2780"/>
    </row>
    <row r="913" spans="7:9" x14ac:dyDescent="0.4">
      <c r="G913" s="2780"/>
      <c r="H913" s="2780"/>
      <c r="I913" s="2780"/>
    </row>
    <row r="914" spans="7:9" x14ac:dyDescent="0.4">
      <c r="G914" s="2780"/>
      <c r="H914" s="2780"/>
      <c r="I914" s="2780"/>
    </row>
    <row r="915" spans="7:9" x14ac:dyDescent="0.4">
      <c r="G915" s="2780"/>
      <c r="H915" s="2780"/>
      <c r="I915" s="2780"/>
    </row>
    <row r="916" spans="7:9" x14ac:dyDescent="0.4">
      <c r="G916" s="2780"/>
      <c r="H916" s="2780"/>
      <c r="I916" s="2780"/>
    </row>
    <row r="917" spans="7:9" x14ac:dyDescent="0.4">
      <c r="G917" s="2780"/>
      <c r="H917" s="2780"/>
      <c r="I917" s="2780"/>
    </row>
    <row r="918" spans="7:9" x14ac:dyDescent="0.4">
      <c r="G918" s="2780"/>
      <c r="H918" s="2780"/>
      <c r="I918" s="2780"/>
    </row>
    <row r="919" spans="7:9" x14ac:dyDescent="0.4">
      <c r="G919" s="2780"/>
      <c r="H919" s="2780"/>
      <c r="I919" s="2780"/>
    </row>
    <row r="920" spans="7:9" x14ac:dyDescent="0.4">
      <c r="G920" s="2780"/>
      <c r="H920" s="2780"/>
      <c r="I920" s="2780"/>
    </row>
    <row r="921" spans="7:9" x14ac:dyDescent="0.4">
      <c r="G921" s="2780"/>
      <c r="H921" s="2780"/>
      <c r="I921" s="2780"/>
    </row>
    <row r="922" spans="7:9" x14ac:dyDescent="0.4">
      <c r="G922" s="2780"/>
      <c r="H922" s="2780"/>
      <c r="I922" s="2780"/>
    </row>
    <row r="923" spans="7:9" x14ac:dyDescent="0.4">
      <c r="G923" s="2780"/>
      <c r="H923" s="2780"/>
      <c r="I923" s="2780"/>
    </row>
    <row r="924" spans="7:9" x14ac:dyDescent="0.4">
      <c r="G924" s="2780"/>
      <c r="H924" s="2780"/>
      <c r="I924" s="2780"/>
    </row>
    <row r="925" spans="7:9" x14ac:dyDescent="0.4">
      <c r="G925" s="2780"/>
      <c r="H925" s="2780"/>
      <c r="I925" s="2780"/>
    </row>
    <row r="926" spans="7:9" x14ac:dyDescent="0.4">
      <c r="G926" s="2780"/>
      <c r="H926" s="2780"/>
      <c r="I926" s="2780"/>
    </row>
    <row r="927" spans="7:9" x14ac:dyDescent="0.4">
      <c r="G927" s="2780"/>
      <c r="H927" s="2780"/>
      <c r="I927" s="2780"/>
    </row>
    <row r="928" spans="7:9" x14ac:dyDescent="0.4">
      <c r="G928" s="2780"/>
      <c r="H928" s="2780"/>
      <c r="I928" s="2780"/>
    </row>
    <row r="929" spans="7:9" x14ac:dyDescent="0.4">
      <c r="G929" s="2780"/>
      <c r="H929" s="2780"/>
      <c r="I929" s="2780"/>
    </row>
    <row r="930" spans="7:9" x14ac:dyDescent="0.4">
      <c r="G930" s="2780"/>
      <c r="H930" s="2780"/>
      <c r="I930" s="2780"/>
    </row>
    <row r="931" spans="7:9" x14ac:dyDescent="0.4">
      <c r="G931" s="2780"/>
      <c r="H931" s="2780"/>
      <c r="I931" s="2780"/>
    </row>
    <row r="932" spans="7:9" x14ac:dyDescent="0.4">
      <c r="G932" s="2780"/>
      <c r="H932" s="2780"/>
      <c r="I932" s="2780"/>
    </row>
    <row r="933" spans="7:9" x14ac:dyDescent="0.4">
      <c r="G933" s="2780"/>
      <c r="H933" s="2780"/>
      <c r="I933" s="2780"/>
    </row>
    <row r="934" spans="7:9" x14ac:dyDescent="0.4">
      <c r="G934" s="2780"/>
      <c r="H934" s="2780"/>
      <c r="I934" s="2780"/>
    </row>
    <row r="935" spans="7:9" x14ac:dyDescent="0.4">
      <c r="G935" s="2780"/>
      <c r="H935" s="2780"/>
      <c r="I935" s="2780"/>
    </row>
    <row r="936" spans="7:9" x14ac:dyDescent="0.4">
      <c r="G936" s="2780"/>
      <c r="H936" s="2780"/>
      <c r="I936" s="2780"/>
    </row>
    <row r="937" spans="7:9" x14ac:dyDescent="0.4">
      <c r="G937" s="2780"/>
      <c r="H937" s="2780"/>
      <c r="I937" s="2780"/>
    </row>
    <row r="938" spans="7:9" x14ac:dyDescent="0.4">
      <c r="G938" s="2780"/>
      <c r="H938" s="2780"/>
      <c r="I938" s="2780"/>
    </row>
    <row r="939" spans="7:9" x14ac:dyDescent="0.4">
      <c r="G939" s="2780"/>
      <c r="H939" s="2780"/>
      <c r="I939" s="2780"/>
    </row>
    <row r="940" spans="7:9" x14ac:dyDescent="0.4">
      <c r="G940" s="2780"/>
      <c r="H940" s="2780"/>
      <c r="I940" s="2780"/>
    </row>
    <row r="941" spans="7:9" x14ac:dyDescent="0.4">
      <c r="G941" s="2780"/>
      <c r="H941" s="2780"/>
      <c r="I941" s="2780"/>
    </row>
    <row r="942" spans="7:9" x14ac:dyDescent="0.4">
      <c r="G942" s="2780"/>
      <c r="H942" s="2780"/>
      <c r="I942" s="2780"/>
    </row>
    <row r="943" spans="7:9" x14ac:dyDescent="0.4">
      <c r="G943" s="2780"/>
      <c r="H943" s="2780"/>
      <c r="I943" s="2780"/>
    </row>
    <row r="944" spans="7:9" x14ac:dyDescent="0.4">
      <c r="G944" s="2780"/>
      <c r="H944" s="2780"/>
      <c r="I944" s="2780"/>
    </row>
    <row r="945" spans="7:9" x14ac:dyDescent="0.4">
      <c r="G945" s="2780"/>
      <c r="H945" s="2780"/>
      <c r="I945" s="2780"/>
    </row>
    <row r="946" spans="7:9" x14ac:dyDescent="0.4">
      <c r="G946" s="2780"/>
      <c r="H946" s="2780"/>
      <c r="I946" s="2780"/>
    </row>
    <row r="947" spans="7:9" x14ac:dyDescent="0.4">
      <c r="G947" s="2780"/>
      <c r="H947" s="2780"/>
      <c r="I947" s="2780"/>
    </row>
    <row r="948" spans="7:9" x14ac:dyDescent="0.4">
      <c r="G948" s="2780"/>
      <c r="H948" s="2780"/>
      <c r="I948" s="2780"/>
    </row>
    <row r="949" spans="7:9" x14ac:dyDescent="0.4">
      <c r="G949" s="2780"/>
      <c r="H949" s="2780"/>
      <c r="I949" s="2780"/>
    </row>
    <row r="950" spans="7:9" x14ac:dyDescent="0.4">
      <c r="G950" s="2780"/>
      <c r="H950" s="2780"/>
      <c r="I950" s="2780"/>
    </row>
    <row r="951" spans="7:9" x14ac:dyDescent="0.4">
      <c r="G951" s="2780"/>
      <c r="H951" s="2780"/>
      <c r="I951" s="2780"/>
    </row>
    <row r="952" spans="7:9" x14ac:dyDescent="0.4">
      <c r="G952" s="2780"/>
      <c r="H952" s="2780"/>
      <c r="I952" s="2780"/>
    </row>
    <row r="953" spans="7:9" x14ac:dyDescent="0.4">
      <c r="G953" s="2780"/>
      <c r="H953" s="2780"/>
      <c r="I953" s="2780"/>
    </row>
    <row r="954" spans="7:9" x14ac:dyDescent="0.4">
      <c r="G954" s="2780"/>
      <c r="H954" s="2780"/>
      <c r="I954" s="2780"/>
    </row>
    <row r="955" spans="7:9" x14ac:dyDescent="0.4">
      <c r="G955" s="2780"/>
      <c r="H955" s="2780"/>
      <c r="I955" s="2780"/>
    </row>
    <row r="956" spans="7:9" x14ac:dyDescent="0.4">
      <c r="G956" s="2780"/>
      <c r="H956" s="2780"/>
      <c r="I956" s="2780"/>
    </row>
    <row r="957" spans="7:9" x14ac:dyDescent="0.4">
      <c r="G957" s="2780"/>
      <c r="H957" s="2780"/>
      <c r="I957" s="2780"/>
    </row>
    <row r="958" spans="7:9" x14ac:dyDescent="0.4">
      <c r="G958" s="2780"/>
      <c r="H958" s="2780"/>
      <c r="I958" s="2780"/>
    </row>
    <row r="959" spans="7:9" x14ac:dyDescent="0.4">
      <c r="G959" s="2780"/>
      <c r="H959" s="2780"/>
      <c r="I959" s="2780"/>
    </row>
    <row r="960" spans="7:9" x14ac:dyDescent="0.4">
      <c r="G960" s="2780"/>
      <c r="H960" s="2780"/>
      <c r="I960" s="2780"/>
    </row>
    <row r="961" spans="7:9" x14ac:dyDescent="0.4">
      <c r="G961" s="2780"/>
      <c r="H961" s="2780"/>
      <c r="I961" s="2780"/>
    </row>
    <row r="962" spans="7:9" x14ac:dyDescent="0.4">
      <c r="G962" s="2780"/>
      <c r="H962" s="2780"/>
      <c r="I962" s="2780"/>
    </row>
    <row r="963" spans="7:9" x14ac:dyDescent="0.4">
      <c r="G963" s="2780"/>
      <c r="H963" s="2780"/>
      <c r="I963" s="2780"/>
    </row>
    <row r="964" spans="7:9" x14ac:dyDescent="0.4">
      <c r="G964" s="2780"/>
      <c r="H964" s="2780"/>
      <c r="I964" s="2780"/>
    </row>
    <row r="965" spans="7:9" x14ac:dyDescent="0.4">
      <c r="G965" s="2780"/>
      <c r="H965" s="2780"/>
      <c r="I965" s="2780"/>
    </row>
    <row r="966" spans="7:9" x14ac:dyDescent="0.4">
      <c r="G966" s="2780"/>
      <c r="H966" s="2780"/>
      <c r="I966" s="2780"/>
    </row>
    <row r="967" spans="7:9" x14ac:dyDescent="0.4">
      <c r="G967" s="2780"/>
      <c r="H967" s="2780"/>
      <c r="I967" s="2780"/>
    </row>
    <row r="968" spans="7:9" x14ac:dyDescent="0.4">
      <c r="G968" s="2780"/>
      <c r="H968" s="2780"/>
      <c r="I968" s="2780"/>
    </row>
    <row r="969" spans="7:9" x14ac:dyDescent="0.4">
      <c r="G969" s="2780"/>
      <c r="H969" s="2780"/>
      <c r="I969" s="2780"/>
    </row>
    <row r="970" spans="7:9" x14ac:dyDescent="0.4">
      <c r="G970" s="2780"/>
      <c r="H970" s="2780"/>
      <c r="I970" s="2780"/>
    </row>
    <row r="971" spans="7:9" x14ac:dyDescent="0.4">
      <c r="G971" s="2780"/>
      <c r="H971" s="2780"/>
      <c r="I971" s="2780"/>
    </row>
    <row r="972" spans="7:9" x14ac:dyDescent="0.4">
      <c r="G972" s="2780"/>
      <c r="H972" s="2780"/>
      <c r="I972" s="2780"/>
    </row>
    <row r="973" spans="7:9" x14ac:dyDescent="0.4">
      <c r="G973" s="2780"/>
      <c r="H973" s="2780"/>
      <c r="I973" s="2780"/>
    </row>
    <row r="974" spans="7:9" x14ac:dyDescent="0.4">
      <c r="G974" s="2780"/>
      <c r="H974" s="2780"/>
      <c r="I974" s="2780"/>
    </row>
    <row r="975" spans="7:9" x14ac:dyDescent="0.4">
      <c r="G975" s="2780"/>
      <c r="H975" s="2780"/>
      <c r="I975" s="2780"/>
    </row>
    <row r="976" spans="7:9" x14ac:dyDescent="0.4">
      <c r="G976" s="2780"/>
      <c r="H976" s="2780"/>
      <c r="I976" s="2780"/>
    </row>
    <row r="977" spans="7:9" x14ac:dyDescent="0.4">
      <c r="G977" s="2780"/>
      <c r="H977" s="2780"/>
      <c r="I977" s="2780"/>
    </row>
    <row r="978" spans="7:9" x14ac:dyDescent="0.4">
      <c r="G978" s="2780"/>
      <c r="H978" s="2780"/>
      <c r="I978" s="2780"/>
    </row>
    <row r="979" spans="7:9" x14ac:dyDescent="0.4">
      <c r="G979" s="2780"/>
      <c r="H979" s="2780"/>
      <c r="I979" s="2780"/>
    </row>
    <row r="980" spans="7:9" x14ac:dyDescent="0.4">
      <c r="G980" s="2780"/>
      <c r="H980" s="2780"/>
      <c r="I980" s="2780"/>
    </row>
    <row r="981" spans="7:9" x14ac:dyDescent="0.4">
      <c r="G981" s="2780"/>
      <c r="H981" s="2780"/>
      <c r="I981" s="2780"/>
    </row>
    <row r="982" spans="7:9" x14ac:dyDescent="0.4">
      <c r="G982" s="2780"/>
      <c r="H982" s="2780"/>
      <c r="I982" s="2780"/>
    </row>
    <row r="983" spans="7:9" x14ac:dyDescent="0.4">
      <c r="G983" s="2780"/>
      <c r="H983" s="2780"/>
      <c r="I983" s="2780"/>
    </row>
    <row r="984" spans="7:9" x14ac:dyDescent="0.4">
      <c r="G984" s="2780"/>
      <c r="H984" s="2780"/>
      <c r="I984" s="2780"/>
    </row>
    <row r="985" spans="7:9" x14ac:dyDescent="0.4">
      <c r="G985" s="2780"/>
      <c r="H985" s="2780"/>
      <c r="I985" s="2780"/>
    </row>
    <row r="986" spans="7:9" x14ac:dyDescent="0.4">
      <c r="G986" s="2780"/>
      <c r="H986" s="2780"/>
      <c r="I986" s="2780"/>
    </row>
    <row r="987" spans="7:9" x14ac:dyDescent="0.4">
      <c r="G987" s="2780"/>
      <c r="H987" s="2780"/>
      <c r="I987" s="2780"/>
    </row>
    <row r="988" spans="7:9" x14ac:dyDescent="0.4">
      <c r="G988" s="2780"/>
      <c r="H988" s="2780"/>
      <c r="I988" s="2780"/>
    </row>
    <row r="989" spans="7:9" x14ac:dyDescent="0.4">
      <c r="G989" s="2780"/>
      <c r="H989" s="2780"/>
      <c r="I989" s="2780"/>
    </row>
    <row r="990" spans="7:9" x14ac:dyDescent="0.4">
      <c r="G990" s="2780"/>
      <c r="H990" s="2780"/>
      <c r="I990" s="2780"/>
    </row>
    <row r="991" spans="7:9" x14ac:dyDescent="0.4">
      <c r="G991" s="2780"/>
      <c r="H991" s="2780"/>
      <c r="I991" s="2780"/>
    </row>
    <row r="992" spans="7:9" x14ac:dyDescent="0.4">
      <c r="G992" s="2780"/>
      <c r="H992" s="2780"/>
      <c r="I992" s="2780"/>
    </row>
    <row r="993" spans="7:9" x14ac:dyDescent="0.4">
      <c r="G993" s="2780"/>
      <c r="H993" s="2780"/>
      <c r="I993" s="2780"/>
    </row>
    <row r="994" spans="7:9" x14ac:dyDescent="0.4">
      <c r="G994" s="2780"/>
      <c r="H994" s="2780"/>
      <c r="I994" s="2780"/>
    </row>
    <row r="995" spans="7:9" x14ac:dyDescent="0.4">
      <c r="G995" s="2780"/>
      <c r="H995" s="2780"/>
      <c r="I995" s="2780"/>
    </row>
    <row r="996" spans="7:9" x14ac:dyDescent="0.4">
      <c r="G996" s="2780"/>
      <c r="H996" s="2780"/>
      <c r="I996" s="2780"/>
    </row>
    <row r="997" spans="7:9" x14ac:dyDescent="0.4">
      <c r="G997" s="2780"/>
      <c r="H997" s="2780"/>
      <c r="I997" s="2780"/>
    </row>
    <row r="998" spans="7:9" x14ac:dyDescent="0.4">
      <c r="G998" s="2780"/>
      <c r="H998" s="2780"/>
      <c r="I998" s="2780"/>
    </row>
    <row r="999" spans="7:9" x14ac:dyDescent="0.4">
      <c r="G999" s="2780"/>
      <c r="H999" s="2780"/>
      <c r="I999" s="2780"/>
    </row>
    <row r="1000" spans="7:9" x14ac:dyDescent="0.4">
      <c r="G1000" s="2780"/>
      <c r="H1000" s="2780"/>
      <c r="I1000" s="2780"/>
    </row>
    <row r="1001" spans="7:9" x14ac:dyDescent="0.4">
      <c r="G1001" s="2780"/>
      <c r="H1001" s="2780"/>
      <c r="I1001" s="2780"/>
    </row>
    <row r="1002" spans="7:9" x14ac:dyDescent="0.4">
      <c r="G1002" s="2780"/>
      <c r="H1002" s="2780"/>
      <c r="I1002" s="2780"/>
    </row>
    <row r="1003" spans="7:9" x14ac:dyDescent="0.4">
      <c r="G1003" s="2780"/>
      <c r="H1003" s="2780"/>
      <c r="I1003" s="2780"/>
    </row>
    <row r="1004" spans="7:9" x14ac:dyDescent="0.4">
      <c r="G1004" s="2780"/>
      <c r="H1004" s="2780"/>
      <c r="I1004" s="2780"/>
    </row>
    <row r="1005" spans="7:9" x14ac:dyDescent="0.4">
      <c r="G1005" s="2780"/>
      <c r="H1005" s="2780"/>
      <c r="I1005" s="2780"/>
    </row>
    <row r="1006" spans="7:9" x14ac:dyDescent="0.4">
      <c r="G1006" s="2780"/>
      <c r="H1006" s="2780"/>
      <c r="I1006" s="2780"/>
    </row>
    <row r="1007" spans="7:9" x14ac:dyDescent="0.4">
      <c r="G1007" s="2780"/>
      <c r="H1007" s="2780"/>
      <c r="I1007" s="2780"/>
    </row>
    <row r="1008" spans="7:9" x14ac:dyDescent="0.4">
      <c r="G1008" s="2780"/>
      <c r="H1008" s="2780"/>
      <c r="I1008" s="2780"/>
    </row>
    <row r="1009" spans="7:9" x14ac:dyDescent="0.4">
      <c r="G1009" s="2780"/>
      <c r="H1009" s="2780"/>
      <c r="I1009" s="2780"/>
    </row>
    <row r="1010" spans="7:9" x14ac:dyDescent="0.4">
      <c r="G1010" s="2780"/>
      <c r="H1010" s="2780"/>
      <c r="I1010" s="2780"/>
    </row>
    <row r="1011" spans="7:9" x14ac:dyDescent="0.4">
      <c r="G1011" s="2780"/>
      <c r="H1011" s="2780"/>
      <c r="I1011" s="2780"/>
    </row>
    <row r="1012" spans="7:9" x14ac:dyDescent="0.4">
      <c r="G1012" s="2780"/>
      <c r="H1012" s="2780"/>
      <c r="I1012" s="2780"/>
    </row>
    <row r="1013" spans="7:9" x14ac:dyDescent="0.4">
      <c r="G1013" s="2780"/>
      <c r="H1013" s="2780"/>
      <c r="I1013" s="2780"/>
    </row>
    <row r="1014" spans="7:9" x14ac:dyDescent="0.4">
      <c r="G1014" s="2780"/>
      <c r="H1014" s="2780"/>
      <c r="I1014" s="2780"/>
    </row>
    <row r="1015" spans="7:9" x14ac:dyDescent="0.4">
      <c r="G1015" s="2780"/>
      <c r="H1015" s="2780"/>
      <c r="I1015" s="2780"/>
    </row>
    <row r="1016" spans="7:9" x14ac:dyDescent="0.4">
      <c r="G1016" s="2780"/>
      <c r="H1016" s="2780"/>
      <c r="I1016" s="2780"/>
    </row>
    <row r="1017" spans="7:9" x14ac:dyDescent="0.4">
      <c r="G1017" s="2780"/>
      <c r="H1017" s="2780"/>
      <c r="I1017" s="2780"/>
    </row>
    <row r="1018" spans="7:9" x14ac:dyDescent="0.4">
      <c r="G1018" s="2780"/>
      <c r="H1018" s="2780"/>
      <c r="I1018" s="2780"/>
    </row>
    <row r="1019" spans="7:9" x14ac:dyDescent="0.4">
      <c r="G1019" s="2780"/>
      <c r="H1019" s="2780"/>
      <c r="I1019" s="2780"/>
    </row>
    <row r="1020" spans="7:9" x14ac:dyDescent="0.4">
      <c r="G1020" s="2780"/>
      <c r="H1020" s="2780"/>
      <c r="I1020" s="2780"/>
    </row>
    <row r="1021" spans="7:9" x14ac:dyDescent="0.4">
      <c r="G1021" s="2780"/>
      <c r="H1021" s="2780"/>
      <c r="I1021" s="2780"/>
    </row>
    <row r="1022" spans="7:9" x14ac:dyDescent="0.4">
      <c r="G1022" s="2780"/>
      <c r="H1022" s="2780"/>
      <c r="I1022" s="2780"/>
    </row>
    <row r="1023" spans="7:9" x14ac:dyDescent="0.4">
      <c r="G1023" s="2780"/>
      <c r="H1023" s="2780"/>
      <c r="I1023" s="2780"/>
    </row>
    <row r="1024" spans="7:9" x14ac:dyDescent="0.4">
      <c r="G1024" s="2780"/>
      <c r="H1024" s="2780"/>
      <c r="I1024" s="2780"/>
    </row>
    <row r="1025" spans="7:9" x14ac:dyDescent="0.4">
      <c r="G1025" s="2780"/>
      <c r="H1025" s="2780"/>
      <c r="I1025" s="2780"/>
    </row>
    <row r="1026" spans="7:9" x14ac:dyDescent="0.4">
      <c r="G1026" s="2780"/>
      <c r="H1026" s="2780"/>
      <c r="I1026" s="2780"/>
    </row>
    <row r="1027" spans="7:9" x14ac:dyDescent="0.4">
      <c r="G1027" s="2780"/>
      <c r="H1027" s="2780"/>
      <c r="I1027" s="2780"/>
    </row>
    <row r="1028" spans="7:9" x14ac:dyDescent="0.4">
      <c r="G1028" s="2780"/>
      <c r="H1028" s="2780"/>
      <c r="I1028" s="2780"/>
    </row>
    <row r="1029" spans="7:9" x14ac:dyDescent="0.4">
      <c r="G1029" s="2780"/>
      <c r="H1029" s="2780"/>
      <c r="I1029" s="2780"/>
    </row>
    <row r="1030" spans="7:9" x14ac:dyDescent="0.4">
      <c r="G1030" s="2780"/>
      <c r="H1030" s="2780"/>
      <c r="I1030" s="2780"/>
    </row>
    <row r="1031" spans="7:9" x14ac:dyDescent="0.4">
      <c r="G1031" s="2780"/>
      <c r="H1031" s="2780"/>
      <c r="I1031" s="2780"/>
    </row>
    <row r="1032" spans="7:9" x14ac:dyDescent="0.4">
      <c r="G1032" s="2780"/>
      <c r="H1032" s="2780"/>
      <c r="I1032" s="2780"/>
    </row>
    <row r="1033" spans="7:9" x14ac:dyDescent="0.4">
      <c r="G1033" s="2780"/>
      <c r="H1033" s="2780"/>
      <c r="I1033" s="2780"/>
    </row>
    <row r="1034" spans="7:9" x14ac:dyDescent="0.4">
      <c r="G1034" s="2780"/>
      <c r="H1034" s="2780"/>
      <c r="I1034" s="2780"/>
    </row>
    <row r="1035" spans="7:9" x14ac:dyDescent="0.4">
      <c r="G1035" s="2780"/>
      <c r="H1035" s="2780"/>
      <c r="I1035" s="2780"/>
    </row>
    <row r="1036" spans="7:9" x14ac:dyDescent="0.4">
      <c r="G1036" s="2780"/>
      <c r="H1036" s="2780"/>
      <c r="I1036" s="2780"/>
    </row>
    <row r="1037" spans="7:9" x14ac:dyDescent="0.4">
      <c r="G1037" s="2780"/>
      <c r="H1037" s="2780"/>
      <c r="I1037" s="2780"/>
    </row>
    <row r="1038" spans="7:9" x14ac:dyDescent="0.4">
      <c r="G1038" s="2780"/>
      <c r="H1038" s="2780"/>
      <c r="I1038" s="2780"/>
    </row>
    <row r="1039" spans="7:9" x14ac:dyDescent="0.4">
      <c r="G1039" s="2780"/>
      <c r="H1039" s="2780"/>
      <c r="I1039" s="2780"/>
    </row>
    <row r="1040" spans="7:9" x14ac:dyDescent="0.4">
      <c r="G1040" s="2780"/>
      <c r="H1040" s="2780"/>
      <c r="I1040" s="2780"/>
    </row>
    <row r="1041" spans="7:9" x14ac:dyDescent="0.4">
      <c r="G1041" s="2780"/>
      <c r="H1041" s="2780"/>
      <c r="I1041" s="2780"/>
    </row>
    <row r="1042" spans="7:9" x14ac:dyDescent="0.4">
      <c r="G1042" s="2780"/>
      <c r="H1042" s="2780"/>
      <c r="I1042" s="2780"/>
    </row>
    <row r="1043" spans="7:9" x14ac:dyDescent="0.4">
      <c r="G1043" s="2780"/>
      <c r="H1043" s="2780"/>
      <c r="I1043" s="2780"/>
    </row>
  </sheetData>
  <autoFilter ref="A1:N171" xr:uid="{00000000-0001-0000-0200-000000000000}"/>
  <mergeCells count="2">
    <mergeCell ref="J2:J63"/>
    <mergeCell ref="K2:K63"/>
  </mergeCells>
  <phoneticPr fontId="4"/>
  <conditionalFormatting sqref="A1:A171">
    <cfRule type="containsText" dxfId="50" priority="1" operator="containsText" text="GION">
      <formula>NOT(ISERROR(SEARCH("GION",A1)))</formula>
    </cfRule>
    <cfRule type="containsText" dxfId="49" priority="2" operator="containsText" text="GDS">
      <formula>NOT(ISERROR(SEARCH("GDS",A1)))</formula>
    </cfRule>
    <cfRule type="containsText" dxfId="48" priority="3" operator="containsText" text="WKB">
      <formula>NOT(ISERROR(SEARCH("WKB",A1)))</formula>
    </cfRule>
    <cfRule type="containsText" dxfId="47" priority="4" operator="containsText" text="SBS">
      <formula>NOT(ISERROR(SEARCH("SBS",A1)))</formula>
    </cfRule>
    <cfRule type="containsText" dxfId="46" priority="5" operator="containsText" text="SATTSU">
      <formula>NOT(ISERROR(SEARCH("SATTSU",A1)))</formula>
    </cfRule>
    <cfRule type="containsText" dxfId="45" priority="6" operator="containsText" text="MARUWA">
      <formula>NOT(ISERROR(SEARCH("MARUWA",A1)))</formula>
    </cfRule>
    <cfRule type="containsText" dxfId="44" priority="7" operator="containsText" text="LOGINET">
      <formula>NOT(ISERROR(SEARCH("LOGINET",A1)))</formula>
    </cfRule>
    <cfRule type="containsText" dxfId="43" priority="8" operator="containsText" text="HIP">
      <formula>NOT(ISERROR(SEARCH("HIP",A1)))</formula>
    </cfRule>
    <cfRule type="containsText" dxfId="42" priority="9" operator="containsText" text="ENSHU">
      <formula>NOT(ISERROR(SEARCH("ENSHU",A1)))</formula>
    </cfRule>
  </conditionalFormatting>
  <conditionalFormatting sqref="L2:L171">
    <cfRule type="cellIs" dxfId="41" priority="10" operator="equal">
      <formula>"S"</formula>
    </cfRule>
    <cfRule type="containsText" dxfId="40" priority="11" operator="containsText" text="L">
      <formula>NOT(ISERROR(SEARCH("L",L2)))</formula>
    </cfRule>
  </conditionalFormatting>
  <dataValidations count="1">
    <dataValidation type="list" allowBlank="1" showInputMessage="1" showErrorMessage="1" sqref="L131 L71:L80 L86:L89 L101:L105 L116:L119 L143:L1048576 L19:L24 L27:L28 L32:L35 L46:L55 L60:L64" xr:uid="{A8BF2A0B-10E7-410B-A79E-DC63573ECB13}">
      <formula1>"L,S"</formula1>
    </dataValidation>
  </dataValidations>
  <hyperlinks>
    <hyperlink ref="K2:K63" r:id="rId1" display="LINK" xr:uid="{1AF55A39-9F8A-41C4-968D-A25ECDE31C8C}"/>
    <hyperlink ref="J2:J63" r:id="rId2" display="LINK" xr:uid="{7267C67B-CB02-4E10-A403-481B5293CBEC}"/>
  </hyperlinks>
  <pageMargins left="0.7" right="0.7" top="0.75" bottom="0.75" header="0.3" footer="0.3"/>
  <pageSetup paperSize="9" orientation="portrait"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C32481-88D7-466B-99E8-4F3ED36E787F}">
  <sheetPr>
    <tabColor rgb="FFFF66CC"/>
  </sheetPr>
  <dimension ref="A1:AE116"/>
  <sheetViews>
    <sheetView topLeftCell="A18" zoomScale="75" zoomScaleNormal="75" workbookViewId="0">
      <selection activeCell="H36" sqref="H36"/>
    </sheetView>
  </sheetViews>
  <sheetFormatPr defaultColWidth="8.125" defaultRowHeight="17.25" x14ac:dyDescent="0.3"/>
  <cols>
    <col min="1" max="16384" width="8.125" style="2513"/>
  </cols>
  <sheetData>
    <row r="1" spans="1:31" ht="14.25" customHeight="1" x14ac:dyDescent="0.3">
      <c r="A1" s="2512"/>
      <c r="B1" s="2512"/>
    </row>
    <row r="2" spans="1:31" ht="24" customHeight="1" x14ac:dyDescent="0.3">
      <c r="A2" s="2512"/>
      <c r="B2" s="2914" t="s">
        <v>1366</v>
      </c>
      <c r="C2" s="2914"/>
      <c r="L2" s="2514"/>
      <c r="M2" s="2515"/>
      <c r="N2" s="2915" t="s">
        <v>1367</v>
      </c>
      <c r="O2" s="2915"/>
      <c r="P2" s="2915"/>
      <c r="Q2" s="2915"/>
      <c r="R2" s="2915"/>
      <c r="S2" s="2915"/>
      <c r="T2" s="2915"/>
      <c r="U2" s="2915"/>
      <c r="V2" s="2915"/>
      <c r="W2" s="2915"/>
      <c r="X2" s="2915"/>
      <c r="Y2" s="2915"/>
      <c r="Z2" s="2915"/>
      <c r="AA2" s="2915"/>
      <c r="AB2" s="2915"/>
      <c r="AC2" s="2915"/>
      <c r="AD2" s="2915"/>
      <c r="AE2" s="2515"/>
    </row>
    <row r="3" spans="1:31" x14ac:dyDescent="0.3">
      <c r="A3" s="2516"/>
      <c r="B3" s="2516" t="s">
        <v>1368</v>
      </c>
      <c r="M3" s="2517"/>
      <c r="N3" s="2916" t="s">
        <v>1369</v>
      </c>
      <c r="O3" s="2916"/>
      <c r="P3" s="2916"/>
      <c r="Q3" s="2916"/>
      <c r="R3" s="2916"/>
      <c r="S3" s="2916"/>
      <c r="T3" s="2916"/>
      <c r="U3" s="2916"/>
      <c r="V3" s="2916"/>
      <c r="W3" s="2916"/>
      <c r="X3" s="2916"/>
      <c r="Y3" s="2916"/>
      <c r="Z3" s="2916"/>
      <c r="AA3" s="2916"/>
      <c r="AB3" s="2916"/>
      <c r="AC3" s="2916"/>
      <c r="AD3" s="2916"/>
    </row>
    <row r="4" spans="1:31" ht="25.5" x14ac:dyDescent="0.3">
      <c r="M4" s="2518"/>
      <c r="N4" s="2518"/>
      <c r="O4" s="2518"/>
      <c r="P4" s="2518"/>
      <c r="Q4" s="2518"/>
      <c r="R4" s="2518"/>
      <c r="S4" s="2518"/>
      <c r="T4" s="2796"/>
      <c r="U4" s="2796"/>
      <c r="V4" s="2796"/>
      <c r="W4" s="2796"/>
      <c r="X4" s="2796"/>
      <c r="Y4" s="2796"/>
      <c r="Z4" s="2796"/>
      <c r="AA4" s="2796"/>
      <c r="AB4" s="2796"/>
    </row>
    <row r="5" spans="1:31" ht="26.25" x14ac:dyDescent="0.3">
      <c r="A5" s="2519"/>
      <c r="B5" s="2917" t="s">
        <v>1370</v>
      </c>
      <c r="C5" s="2917"/>
      <c r="L5" s="2514"/>
      <c r="M5" s="2520"/>
      <c r="N5" s="2918" t="s">
        <v>1371</v>
      </c>
      <c r="O5" s="2918"/>
      <c r="P5" s="2918"/>
      <c r="Q5" s="2918"/>
      <c r="R5" s="2918"/>
      <c r="S5" s="2918"/>
      <c r="T5" s="2918"/>
      <c r="U5" s="2918"/>
      <c r="V5" s="2515"/>
      <c r="W5" s="2915" t="s">
        <v>1372</v>
      </c>
      <c r="X5" s="2915"/>
      <c r="Y5" s="2915"/>
      <c r="Z5" s="2915"/>
      <c r="AA5" s="2915"/>
      <c r="AB5" s="2915"/>
      <c r="AC5" s="2915"/>
      <c r="AD5" s="2915"/>
    </row>
    <row r="6" spans="1:31" ht="30" x14ac:dyDescent="0.3">
      <c r="A6" s="2517"/>
      <c r="B6" s="2517" t="s">
        <v>1373</v>
      </c>
      <c r="L6" s="2521"/>
      <c r="M6" s="2386"/>
      <c r="N6" s="2919" t="s">
        <v>1374</v>
      </c>
      <c r="O6" s="2919"/>
      <c r="P6" s="2919"/>
      <c r="Q6" s="2919"/>
      <c r="R6" s="2919"/>
      <c r="S6" s="2919"/>
      <c r="T6" s="2919"/>
      <c r="U6" s="2919"/>
      <c r="V6" s="2522"/>
      <c r="W6" s="2920" t="s">
        <v>1375</v>
      </c>
      <c r="X6" s="2920"/>
      <c r="Y6" s="2920"/>
      <c r="Z6" s="2920"/>
      <c r="AA6" s="2920"/>
      <c r="AB6" s="2920"/>
      <c r="AC6" s="2920"/>
      <c r="AD6" s="2920"/>
    </row>
    <row r="7" spans="1:31" x14ac:dyDescent="0.3">
      <c r="A7" s="2523"/>
      <c r="B7" s="2523"/>
      <c r="L7" s="2524"/>
      <c r="M7" s="2517"/>
      <c r="N7" s="2916" t="s">
        <v>1376</v>
      </c>
      <c r="O7" s="2916"/>
      <c r="P7" s="2916"/>
      <c r="Q7" s="2916"/>
      <c r="R7" s="2916"/>
      <c r="S7" s="2916"/>
      <c r="T7" s="2916"/>
      <c r="U7" s="2916"/>
      <c r="V7" s="2525"/>
      <c r="W7" s="2916" t="s">
        <v>1377</v>
      </c>
      <c r="X7" s="2916"/>
      <c r="Y7" s="2916"/>
      <c r="Z7" s="2916"/>
      <c r="AA7" s="2916"/>
      <c r="AB7" s="2916"/>
      <c r="AC7" s="2916"/>
      <c r="AD7" s="2916"/>
    </row>
    <row r="8" spans="1:31" ht="24.6" customHeight="1" x14ac:dyDescent="0.3">
      <c r="A8" s="2523"/>
      <c r="B8" s="2526" t="s">
        <v>1378</v>
      </c>
      <c r="L8" s="2527"/>
      <c r="M8" s="2528"/>
      <c r="N8" s="2919" t="s">
        <v>1379</v>
      </c>
      <c r="O8" s="2919"/>
      <c r="P8" s="2919"/>
      <c r="Q8" s="2919"/>
      <c r="R8" s="2919"/>
      <c r="S8" s="2919"/>
      <c r="T8" s="2919"/>
      <c r="U8" s="2919"/>
      <c r="V8" s="2522"/>
      <c r="W8" s="2796"/>
      <c r="X8" s="2796"/>
      <c r="Y8" s="2796"/>
      <c r="Z8" s="2796"/>
      <c r="AA8" s="2796"/>
      <c r="AB8" s="2796"/>
    </row>
    <row r="9" spans="1:31" ht="20.25" x14ac:dyDescent="0.3">
      <c r="A9" s="2519"/>
      <c r="B9" s="2529" t="s">
        <v>1379</v>
      </c>
      <c r="M9" s="2517"/>
      <c r="N9" s="2916" t="s">
        <v>1380</v>
      </c>
      <c r="O9" s="2916"/>
      <c r="P9" s="2916"/>
      <c r="Q9" s="2916"/>
      <c r="R9" s="2916"/>
      <c r="S9" s="2916"/>
      <c r="T9" s="2916"/>
      <c r="U9" s="2916"/>
      <c r="V9" s="2517"/>
      <c r="W9" s="2796"/>
      <c r="X9" s="2796"/>
      <c r="Y9" s="2796"/>
      <c r="Z9" s="2796"/>
      <c r="AA9" s="2796"/>
      <c r="AB9" s="2796"/>
    </row>
    <row r="10" spans="1:31" ht="24.6" customHeight="1" x14ac:dyDescent="0.3">
      <c r="A10" s="2519"/>
      <c r="B10" s="2529"/>
      <c r="M10" s="2386"/>
      <c r="N10" s="2386"/>
      <c r="O10" s="2386"/>
      <c r="P10" s="2386"/>
      <c r="Q10" s="2386"/>
      <c r="R10" s="2386"/>
      <c r="S10" s="2386"/>
      <c r="V10" s="2796"/>
      <c r="W10" s="2796"/>
      <c r="X10" s="2796"/>
      <c r="Y10" s="2796"/>
      <c r="Z10" s="2796"/>
      <c r="AA10" s="2796"/>
      <c r="AB10" s="2796"/>
    </row>
    <row r="11" spans="1:31" ht="20.25" x14ac:dyDescent="0.3">
      <c r="A11" s="2517"/>
      <c r="B11" s="2530"/>
      <c r="M11" s="2517"/>
      <c r="N11" s="2798"/>
      <c r="O11" s="2798"/>
      <c r="P11" s="2798"/>
      <c r="Q11" s="2798"/>
      <c r="R11" s="2798"/>
      <c r="S11" s="2798"/>
      <c r="V11" s="2796"/>
      <c r="W11" s="2796"/>
      <c r="X11" s="2796"/>
      <c r="Y11" s="2796"/>
      <c r="Z11" s="2796"/>
      <c r="AA11" s="2796"/>
      <c r="AB11" s="2796"/>
    </row>
    <row r="12" spans="1:31" ht="24.6" customHeight="1" x14ac:dyDescent="0.3">
      <c r="A12" s="2523"/>
      <c r="B12" s="2526" t="s">
        <v>1381</v>
      </c>
      <c r="M12" s="2386"/>
      <c r="N12" s="2386"/>
      <c r="O12" s="2386"/>
      <c r="P12" s="2386"/>
      <c r="Q12" s="2386"/>
      <c r="R12" s="2386"/>
      <c r="S12" s="2386"/>
      <c r="V12" s="2796"/>
      <c r="W12" s="2796"/>
      <c r="X12" s="2796"/>
      <c r="Y12" s="2796"/>
      <c r="Z12" s="2796"/>
      <c r="AA12" s="2796"/>
      <c r="AB12" s="2796"/>
    </row>
    <row r="13" spans="1:31" ht="20.25" x14ac:dyDescent="0.3">
      <c r="A13" s="2523"/>
      <c r="B13" s="2526" t="s">
        <v>1382</v>
      </c>
      <c r="C13" s="2526"/>
      <c r="D13" s="2526"/>
      <c r="E13" s="2526"/>
      <c r="F13" s="2526"/>
      <c r="G13" s="2526"/>
      <c r="H13" s="2526"/>
      <c r="I13" s="2526"/>
      <c r="J13" s="2526"/>
      <c r="K13" s="2526"/>
      <c r="L13" s="2526"/>
      <c r="M13" s="2517"/>
      <c r="N13" s="2798"/>
      <c r="O13" s="2798"/>
      <c r="P13" s="2798"/>
      <c r="Q13" s="2798"/>
      <c r="R13" s="2798"/>
      <c r="S13" s="2798"/>
      <c r="V13" s="2796"/>
      <c r="W13" s="2796"/>
      <c r="X13" s="2796"/>
      <c r="Y13" s="2796"/>
      <c r="Z13" s="2796"/>
      <c r="AA13" s="2796"/>
      <c r="AB13" s="2796"/>
    </row>
    <row r="14" spans="1:31" ht="25.5" x14ac:dyDescent="0.3">
      <c r="A14" s="2531"/>
      <c r="B14" s="2532" t="s">
        <v>1374</v>
      </c>
      <c r="M14" s="2533"/>
      <c r="N14" s="2796"/>
      <c r="O14" s="2796"/>
      <c r="P14" s="2796"/>
      <c r="Q14" s="2796"/>
      <c r="R14" s="2796"/>
      <c r="S14" s="2796"/>
    </row>
    <row r="15" spans="1:31" ht="25.5" x14ac:dyDescent="0.3">
      <c r="A15" s="2531"/>
      <c r="B15" s="2532"/>
      <c r="M15" s="2533"/>
      <c r="N15" s="2796"/>
      <c r="O15" s="2796"/>
      <c r="P15" s="2796"/>
      <c r="Q15" s="2796"/>
      <c r="R15" s="2796"/>
      <c r="S15" s="2796"/>
    </row>
    <row r="16" spans="1:31" ht="25.5" x14ac:dyDescent="0.3">
      <c r="A16" s="2531"/>
      <c r="B16" s="2532"/>
      <c r="M16" s="2533"/>
      <c r="N16" s="2796"/>
      <c r="O16" s="2796"/>
      <c r="P16" s="2796"/>
      <c r="Q16" s="2796"/>
      <c r="R16" s="2796"/>
      <c r="S16" s="2796"/>
    </row>
    <row r="17" spans="1:30" ht="25.5" x14ac:dyDescent="0.3">
      <c r="A17" s="2531"/>
      <c r="B17" s="2531" t="s">
        <v>1383</v>
      </c>
      <c r="M17" s="2533"/>
      <c r="N17" s="2796"/>
      <c r="O17" s="2796"/>
      <c r="P17" s="2796"/>
      <c r="Q17" s="2796"/>
      <c r="R17" s="2796"/>
      <c r="S17" s="2796"/>
    </row>
    <row r="18" spans="1:30" ht="25.5" x14ac:dyDescent="0.3">
      <c r="A18" s="2531"/>
      <c r="B18" s="2532" t="s">
        <v>1384</v>
      </c>
      <c r="M18" s="2533"/>
      <c r="N18" s="2796"/>
      <c r="O18" s="2796"/>
      <c r="P18" s="2796"/>
      <c r="Q18" s="2796"/>
      <c r="R18" s="2796"/>
      <c r="S18" s="2796"/>
    </row>
    <row r="19" spans="1:30" ht="25.5" x14ac:dyDescent="0.3">
      <c r="A19" s="2531"/>
      <c r="B19" s="2799" t="s">
        <v>1385</v>
      </c>
      <c r="C19" s="2800"/>
      <c r="D19" s="2800"/>
      <c r="E19" s="2800"/>
      <c r="F19" s="2800"/>
      <c r="G19" s="2800"/>
      <c r="H19" s="2800"/>
      <c r="I19" s="2800"/>
      <c r="J19" s="2800"/>
      <c r="K19" s="2800"/>
      <c r="M19" s="2533"/>
      <c r="N19" s="2796"/>
      <c r="O19" s="2796"/>
      <c r="P19" s="2796"/>
      <c r="Q19" s="2796"/>
      <c r="R19" s="2796"/>
      <c r="S19" s="2796"/>
    </row>
    <row r="20" spans="1:30" ht="15.6" customHeight="1" x14ac:dyDescent="0.3">
      <c r="A20" s="2531"/>
      <c r="B20" s="2799" t="s">
        <v>1386</v>
      </c>
      <c r="C20" s="2800"/>
      <c r="D20" s="2800"/>
      <c r="E20" s="2800"/>
      <c r="F20" s="2800"/>
      <c r="G20" s="2800"/>
      <c r="H20" s="2800"/>
      <c r="I20" s="2800"/>
      <c r="J20" s="2800"/>
      <c r="K20" s="2800"/>
      <c r="M20" s="2533"/>
      <c r="N20" s="2796"/>
      <c r="O20" s="2796"/>
      <c r="P20" s="2796"/>
      <c r="Q20" s="2796"/>
      <c r="R20" s="2796"/>
      <c r="S20" s="2796"/>
    </row>
    <row r="21" spans="1:30" x14ac:dyDescent="0.3">
      <c r="A21" s="2531"/>
      <c r="B21" s="2519"/>
      <c r="M21" s="2534"/>
      <c r="N21" s="2534"/>
      <c r="O21" s="2534"/>
      <c r="P21" s="2534"/>
      <c r="Q21" s="2534"/>
      <c r="R21" s="2534"/>
      <c r="S21" s="2534"/>
    </row>
    <row r="22" spans="1:30" ht="20.25" x14ac:dyDescent="0.35">
      <c r="B22" s="2535"/>
      <c r="M22" s="2536"/>
      <c r="N22" s="2536"/>
      <c r="O22" s="2536"/>
      <c r="P22" s="2536"/>
      <c r="Q22" s="2536"/>
      <c r="R22" s="2536"/>
      <c r="S22" s="2536"/>
    </row>
    <row r="23" spans="1:30" x14ac:dyDescent="0.3">
      <c r="A23" s="2517"/>
      <c r="B23" s="2517" t="s">
        <v>1387</v>
      </c>
      <c r="L23" s="2921" t="s">
        <v>1388</v>
      </c>
      <c r="M23" s="2921"/>
      <c r="N23" s="2921"/>
      <c r="O23" s="2921"/>
      <c r="P23" s="2921"/>
      <c r="Q23" s="2921"/>
      <c r="R23" s="2921"/>
      <c r="S23" s="2921"/>
      <c r="T23" s="2921"/>
      <c r="V23" s="2921" t="s">
        <v>1389</v>
      </c>
      <c r="W23" s="2921"/>
      <c r="X23" s="2921"/>
      <c r="Y23" s="2921"/>
      <c r="Z23" s="2921"/>
      <c r="AA23" s="2921"/>
      <c r="AB23" s="2921"/>
      <c r="AC23" s="2921"/>
      <c r="AD23" s="2921"/>
    </row>
    <row r="24" spans="1:30" x14ac:dyDescent="0.3">
      <c r="A24" s="2517"/>
      <c r="B24" s="2517" t="s">
        <v>1390</v>
      </c>
      <c r="M24" s="2796"/>
      <c r="N24" s="2796"/>
      <c r="O24" s="2796"/>
      <c r="P24" s="2796"/>
      <c r="Q24" s="2796"/>
      <c r="R24" s="2796"/>
      <c r="S24" s="2796"/>
    </row>
    <row r="25" spans="1:30" ht="25.5" customHeight="1" x14ac:dyDescent="0.3">
      <c r="A25" s="2517"/>
      <c r="B25" s="2517" t="s">
        <v>1391</v>
      </c>
      <c r="L25" s="2519"/>
      <c r="M25" s="2519"/>
      <c r="N25" s="2519"/>
      <c r="O25" s="2519"/>
      <c r="P25" s="2519"/>
      <c r="Q25" s="2519"/>
      <c r="R25" s="2519"/>
      <c r="S25" s="2519"/>
      <c r="T25" s="2519"/>
      <c r="V25" s="2519"/>
      <c r="W25" s="2519"/>
      <c r="X25" s="2519"/>
      <c r="Y25" s="2519"/>
      <c r="Z25" s="2519"/>
      <c r="AA25" s="2519"/>
      <c r="AB25" s="2519"/>
      <c r="AC25" s="2519"/>
      <c r="AD25" s="2519"/>
    </row>
    <row r="26" spans="1:30" ht="25.5" customHeight="1" x14ac:dyDescent="0.3">
      <c r="A26" s="2517"/>
      <c r="B26" s="2517" t="s">
        <v>1392</v>
      </c>
      <c r="M26" s="2519"/>
      <c r="N26" s="2517"/>
    </row>
    <row r="27" spans="1:30" ht="25.5" customHeight="1" x14ac:dyDescent="0.3">
      <c r="A27" s="2517"/>
      <c r="B27" s="2517" t="s">
        <v>1393</v>
      </c>
    </row>
    <row r="28" spans="1:30" ht="25.5" customHeight="1" x14ac:dyDescent="0.3">
      <c r="A28" s="2517"/>
      <c r="B28" s="2517"/>
    </row>
    <row r="29" spans="1:30" x14ac:dyDescent="0.3">
      <c r="A29" s="2517"/>
      <c r="B29" s="2517" t="s">
        <v>1394</v>
      </c>
    </row>
    <row r="30" spans="1:30" x14ac:dyDescent="0.3">
      <c r="A30" s="2517"/>
      <c r="B30" s="2513" t="s">
        <v>1395</v>
      </c>
    </row>
    <row r="31" spans="1:30" x14ac:dyDescent="0.3">
      <c r="A31" s="2519"/>
      <c r="B31" s="2513" t="s">
        <v>1396</v>
      </c>
    </row>
    <row r="33" spans="1:15" x14ac:dyDescent="0.3">
      <c r="B33" s="2519" t="s">
        <v>1397</v>
      </c>
    </row>
    <row r="34" spans="1:15" x14ac:dyDescent="0.3">
      <c r="A34" s="2512"/>
      <c r="B34" s="2519" t="s">
        <v>1398</v>
      </c>
      <c r="K34" s="2538"/>
      <c r="L34" s="2538"/>
      <c r="M34" s="2538"/>
      <c r="N34" s="2538"/>
      <c r="O34" s="2538"/>
    </row>
    <row r="35" spans="1:15" x14ac:dyDescent="0.3">
      <c r="A35" s="2539"/>
      <c r="B35" s="2519"/>
      <c r="K35" s="2540"/>
      <c r="L35" s="2540"/>
      <c r="M35" s="2540"/>
      <c r="N35" s="2540"/>
      <c r="O35" s="2540"/>
    </row>
    <row r="36" spans="1:15" x14ac:dyDescent="0.3">
      <c r="A36" s="2539"/>
      <c r="B36" s="2519"/>
      <c r="E36" s="2537"/>
      <c r="K36" s="2540"/>
      <c r="L36" s="2540"/>
      <c r="M36" s="2540"/>
      <c r="N36" s="2540"/>
      <c r="O36" s="2540"/>
    </row>
    <row r="37" spans="1:15" x14ac:dyDescent="0.3">
      <c r="A37" s="2539"/>
      <c r="B37" s="2801" t="s">
        <v>1399</v>
      </c>
      <c r="C37" s="2797"/>
      <c r="D37" s="2797"/>
      <c r="E37" s="2512"/>
      <c r="F37" s="2512"/>
      <c r="G37" s="2512"/>
      <c r="H37" s="2538"/>
      <c r="I37" s="2538"/>
      <c r="J37" s="2538"/>
      <c r="K37" s="2517"/>
      <c r="L37" s="2517"/>
      <c r="M37" s="2517"/>
      <c r="N37" s="2517"/>
      <c r="O37" s="2517"/>
    </row>
    <row r="38" spans="1:15" x14ac:dyDescent="0.3">
      <c r="A38" s="2539"/>
      <c r="B38" s="2513" t="s">
        <v>1400</v>
      </c>
      <c r="E38" s="2539"/>
      <c r="F38" s="2539"/>
      <c r="G38" s="2539"/>
      <c r="I38" s="2540"/>
      <c r="J38" s="2540"/>
    </row>
    <row r="39" spans="1:15" x14ac:dyDescent="0.3">
      <c r="B39" s="2513" t="s">
        <v>1401</v>
      </c>
      <c r="E39" s="2539"/>
      <c r="F39" s="2539"/>
      <c r="G39" s="2539"/>
      <c r="I39" s="2540"/>
      <c r="J39" s="2540"/>
    </row>
    <row r="40" spans="1:15" x14ac:dyDescent="0.3">
      <c r="B40" s="2541" t="s">
        <v>1402</v>
      </c>
      <c r="E40" s="2539"/>
      <c r="F40" s="2539"/>
      <c r="G40" s="2539"/>
      <c r="I40" s="2542"/>
      <c r="J40" s="2517"/>
    </row>
    <row r="41" spans="1:15" ht="20.25" x14ac:dyDescent="0.3">
      <c r="B41" s="2526"/>
    </row>
    <row r="42" spans="1:15" ht="20.25" x14ac:dyDescent="0.3">
      <c r="A42" s="2519"/>
      <c r="B42" s="2526"/>
    </row>
    <row r="43" spans="1:15" ht="20.25" x14ac:dyDescent="0.3">
      <c r="B43" s="2532"/>
    </row>
    <row r="44" spans="1:15" ht="20.25" x14ac:dyDescent="0.3">
      <c r="B44" s="2532"/>
      <c r="C44" s="2796"/>
      <c r="D44" s="2796"/>
      <c r="E44" s="2796"/>
      <c r="F44" s="2796"/>
      <c r="G44" s="2796"/>
    </row>
    <row r="45" spans="1:15" x14ac:dyDescent="0.3">
      <c r="A45" s="2543"/>
      <c r="B45" s="2796"/>
      <c r="C45" s="2796"/>
      <c r="D45" s="2796"/>
      <c r="E45" s="2796"/>
      <c r="F45" s="2796"/>
      <c r="G45" s="2796"/>
    </row>
    <row r="51" spans="1:12" x14ac:dyDescent="0.3">
      <c r="B51" s="2922" t="s">
        <v>1403</v>
      </c>
      <c r="C51" s="2922"/>
    </row>
    <row r="52" spans="1:12" x14ac:dyDescent="0.3">
      <c r="B52" s="2513" t="s">
        <v>1404</v>
      </c>
    </row>
    <row r="55" spans="1:12" x14ac:dyDescent="0.3">
      <c r="B55" s="2922" t="s">
        <v>1405</v>
      </c>
      <c r="C55" s="2922"/>
      <c r="K55" s="2922" t="s">
        <v>1406</v>
      </c>
      <c r="L55" s="2922"/>
    </row>
    <row r="56" spans="1:12" x14ac:dyDescent="0.3">
      <c r="B56" s="2513" t="s">
        <v>1407</v>
      </c>
      <c r="K56" s="2513" t="s">
        <v>1408</v>
      </c>
    </row>
    <row r="57" spans="1:12" x14ac:dyDescent="0.3">
      <c r="B57" s="2517" t="s">
        <v>1409</v>
      </c>
      <c r="C57" s="2519"/>
      <c r="K57" s="2519"/>
      <c r="L57" s="2519"/>
    </row>
    <row r="58" spans="1:12" x14ac:dyDescent="0.3">
      <c r="B58" s="2517"/>
      <c r="C58" s="2517"/>
      <c r="D58" s="2517"/>
      <c r="E58" s="2517"/>
      <c r="F58" s="2517"/>
      <c r="G58" s="2517"/>
      <c r="H58" s="2517"/>
    </row>
    <row r="59" spans="1:12" x14ac:dyDescent="0.3">
      <c r="B59" s="2916" t="s">
        <v>1410</v>
      </c>
      <c r="C59" s="2916"/>
      <c r="D59" s="2916"/>
      <c r="E59" s="2916"/>
      <c r="F59" s="2916"/>
      <c r="G59" s="2916"/>
      <c r="H59" s="2916"/>
    </row>
    <row r="60" spans="1:12" x14ac:dyDescent="0.3">
      <c r="A60" s="2798"/>
      <c r="B60" s="2517"/>
      <c r="C60" s="2517"/>
      <c r="D60" s="2517"/>
      <c r="E60" s="2517"/>
      <c r="F60" s="2517"/>
      <c r="G60" s="2517"/>
      <c r="H60" s="2517"/>
    </row>
    <row r="66" spans="1:12" x14ac:dyDescent="0.3">
      <c r="A66" s="2519"/>
      <c r="B66" s="2519"/>
    </row>
    <row r="67" spans="1:12" x14ac:dyDescent="0.3">
      <c r="A67" s="2519"/>
      <c r="B67" s="2519"/>
      <c r="K67" s="2541" t="s">
        <v>1411</v>
      </c>
    </row>
    <row r="68" spans="1:12" x14ac:dyDescent="0.3">
      <c r="A68" s="2519"/>
      <c r="B68" s="2519"/>
      <c r="K68" s="2513" t="s">
        <v>1412</v>
      </c>
    </row>
    <row r="69" spans="1:12" x14ac:dyDescent="0.3">
      <c r="K69" s="2544" t="s">
        <v>1413</v>
      </c>
    </row>
    <row r="71" spans="1:12" x14ac:dyDescent="0.3">
      <c r="K71" s="2544"/>
    </row>
    <row r="72" spans="1:12" x14ac:dyDescent="0.3">
      <c r="K72" s="2544"/>
    </row>
    <row r="73" spans="1:12" x14ac:dyDescent="0.3">
      <c r="A73" s="2541"/>
    </row>
    <row r="75" spans="1:12" x14ac:dyDescent="0.3">
      <c r="A75" s="2544"/>
    </row>
    <row r="76" spans="1:12" ht="19.5" x14ac:dyDescent="0.4">
      <c r="L76" s="2545"/>
    </row>
    <row r="77" spans="1:12" x14ac:dyDescent="0.3">
      <c r="A77" s="2541"/>
    </row>
    <row r="79" spans="1:12" x14ac:dyDescent="0.3">
      <c r="A79" s="2544"/>
    </row>
    <row r="80" spans="1:12" x14ac:dyDescent="0.3">
      <c r="A80" s="2541"/>
    </row>
    <row r="81" spans="1:12" x14ac:dyDescent="0.3">
      <c r="A81" s="2541"/>
    </row>
    <row r="83" spans="1:12" x14ac:dyDescent="0.3">
      <c r="A83" s="2544"/>
    </row>
    <row r="88" spans="1:12" ht="18.75" x14ac:dyDescent="0.4">
      <c r="L88" s="2546"/>
    </row>
    <row r="99" spans="1:3" x14ac:dyDescent="0.3">
      <c r="A99" s="2519"/>
      <c r="B99" s="2519"/>
      <c r="C99" s="2519"/>
    </row>
    <row r="111" spans="1:3" x14ac:dyDescent="0.3">
      <c r="A111" s="2541"/>
    </row>
    <row r="113" spans="1:3" x14ac:dyDescent="0.3">
      <c r="A113" s="2544"/>
    </row>
    <row r="116" spans="1:3" x14ac:dyDescent="0.3">
      <c r="A116" s="2519"/>
      <c r="B116" s="2519"/>
      <c r="C116" s="2519"/>
    </row>
  </sheetData>
  <mergeCells count="18">
    <mergeCell ref="B59:H59"/>
    <mergeCell ref="N6:U6"/>
    <mergeCell ref="W6:AD6"/>
    <mergeCell ref="N7:U7"/>
    <mergeCell ref="W7:AD7"/>
    <mergeCell ref="N8:U8"/>
    <mergeCell ref="N9:U9"/>
    <mergeCell ref="L23:T23"/>
    <mergeCell ref="V23:AD23"/>
    <mergeCell ref="B51:C51"/>
    <mergeCell ref="B55:C55"/>
    <mergeCell ref="K55:L55"/>
    <mergeCell ref="B2:C2"/>
    <mergeCell ref="N2:AD2"/>
    <mergeCell ref="N3:AD3"/>
    <mergeCell ref="B5:C5"/>
    <mergeCell ref="N5:U5"/>
    <mergeCell ref="W5:AD5"/>
  </mergeCells>
  <phoneticPr fontId="4"/>
  <hyperlinks>
    <hyperlink ref="V6:AB6" r:id="rId1" display="◎RescuePlanner Launch" xr:uid="{E63B7DD3-06A8-4B65-B7C5-3BADCCAA632E}"/>
    <hyperlink ref="M8:S8" r:id="rId2" display="◎ProjectTask　Launch/Shutdown/Change" xr:uid="{0115CE49-9426-410B-BAE4-21E3FE9ADA02}"/>
    <hyperlink ref="N8" r:id="rId3" xr:uid="{80F3C52A-2191-410D-8459-18B9C9D2E6BB}"/>
    <hyperlink ref="N6:S6" r:id="rId4" display="◎DS・XPT Launch/Shutdown/Change" xr:uid="{99815F1D-9CF3-4401-9997-D226AC322620}"/>
    <hyperlink ref="N6" r:id="rId5" xr:uid="{EA950AE9-633A-4BB0-846C-CBF42BDCF5EA}"/>
    <hyperlink ref="W6" r:id="rId6" xr:uid="{F7D62240-E932-4DA7-9071-2D6DF48A35B1}"/>
  </hyperlinks>
  <pageMargins left="0.7" right="0.7" top="0.75" bottom="0.75" header="0.3" footer="0.3"/>
  <pageSetup paperSize="9" orientation="portrait" r:id="rId7"/>
  <drawing r:id="rId8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4D52CE-7616-4890-B9D4-33AF86AF5699}">
  <sheetPr>
    <tabColor rgb="FFFF66CC"/>
  </sheetPr>
  <dimension ref="A1:A29"/>
  <sheetViews>
    <sheetView topLeftCell="A5" zoomScale="75" zoomScaleNormal="75" workbookViewId="0">
      <selection activeCell="AE21" sqref="AE21"/>
    </sheetView>
  </sheetViews>
  <sheetFormatPr defaultColWidth="8.125" defaultRowHeight="17.25" x14ac:dyDescent="0.3"/>
  <cols>
    <col min="1" max="1" width="8.125" style="2524"/>
    <col min="2" max="16384" width="8.125" style="2513"/>
  </cols>
  <sheetData>
    <row r="1" spans="1:1" s="2517" customFormat="1" ht="30" customHeight="1" x14ac:dyDescent="0.4">
      <c r="A1" s="2521" t="s">
        <v>1367</v>
      </c>
    </row>
    <row r="2" spans="1:1" s="2517" customFormat="1" ht="18.75" customHeight="1" x14ac:dyDescent="0.4">
      <c r="A2" s="2521"/>
    </row>
    <row r="3" spans="1:1" x14ac:dyDescent="0.3">
      <c r="A3" s="2524" t="s">
        <v>1414</v>
      </c>
    </row>
    <row r="4" spans="1:1" x14ac:dyDescent="0.3">
      <c r="A4" s="2527" t="s">
        <v>1415</v>
      </c>
    </row>
    <row r="5" spans="1:1" x14ac:dyDescent="0.3">
      <c r="A5" s="2547"/>
    </row>
    <row r="7" spans="1:1" x14ac:dyDescent="0.3">
      <c r="A7" s="2548" t="s">
        <v>1416</v>
      </c>
    </row>
    <row r="8" spans="1:1" x14ac:dyDescent="0.3">
      <c r="A8" s="2524" t="s">
        <v>1417</v>
      </c>
    </row>
    <row r="9" spans="1:1" ht="18.75" x14ac:dyDescent="0.4">
      <c r="A9" s="2549" t="s">
        <v>1418</v>
      </c>
    </row>
    <row r="11" spans="1:1" x14ac:dyDescent="0.3">
      <c r="A11" s="2548" t="s">
        <v>1419</v>
      </c>
    </row>
    <row r="12" spans="1:1" x14ac:dyDescent="0.3">
      <c r="A12" s="2524" t="s">
        <v>1376</v>
      </c>
    </row>
    <row r="13" spans="1:1" ht="18.75" x14ac:dyDescent="0.4">
      <c r="A13" s="2549" t="s">
        <v>1420</v>
      </c>
    </row>
    <row r="14" spans="1:1" x14ac:dyDescent="0.3">
      <c r="A14" s="2550"/>
    </row>
    <row r="15" spans="1:1" x14ac:dyDescent="0.3">
      <c r="A15" s="2548" t="s">
        <v>1421</v>
      </c>
    </row>
    <row r="16" spans="1:1" x14ac:dyDescent="0.3">
      <c r="A16" s="2524" t="s">
        <v>1377</v>
      </c>
    </row>
    <row r="17" spans="1:1" ht="18.75" x14ac:dyDescent="0.4">
      <c r="A17" s="2549" t="s">
        <v>1422</v>
      </c>
    </row>
    <row r="24" spans="1:1" x14ac:dyDescent="0.3">
      <c r="A24" s="2513"/>
    </row>
    <row r="25" spans="1:1" x14ac:dyDescent="0.3">
      <c r="A25" s="2513"/>
    </row>
    <row r="27" spans="1:1" x14ac:dyDescent="0.3">
      <c r="A27" s="2513"/>
    </row>
    <row r="28" spans="1:1" x14ac:dyDescent="0.3">
      <c r="A28" s="2513"/>
    </row>
    <row r="29" spans="1:1" x14ac:dyDescent="0.3">
      <c r="A29" s="2513"/>
    </row>
  </sheetData>
  <phoneticPr fontId="4"/>
  <hyperlinks>
    <hyperlink ref="A9" r:id="rId1" xr:uid="{D7309762-E0BA-4BAE-8ECF-D95D4705EC4E}"/>
    <hyperlink ref="A13" r:id="rId2" xr:uid="{9A0AE4ED-F304-4905-9AD7-7390F70BCB0C}"/>
    <hyperlink ref="A17" r:id="rId3" xr:uid="{17F9C0C2-CC5D-461F-91E6-51C8DC12D549}"/>
  </hyperlinks>
  <pageMargins left="0.7" right="0.7" top="0.75" bottom="0.75" header="0.3" footer="0.3"/>
  <pageSetup paperSize="9" orientation="portrait" r:id="rId4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CC3238-8125-4672-91FB-B1A81CB63555}">
  <dimension ref="A1:D774"/>
  <sheetViews>
    <sheetView zoomScale="76" zoomScaleNormal="76" workbookViewId="0">
      <pane ySplit="1" topLeftCell="A327" activePane="bottomLeft" state="frozen"/>
      <selection activeCell="D336" sqref="D336"/>
      <selection pane="bottomLeft" activeCell="C340" sqref="C340:C341"/>
    </sheetView>
  </sheetViews>
  <sheetFormatPr defaultColWidth="9" defaultRowHeight="18.75" x14ac:dyDescent="0.4"/>
  <cols>
    <col min="1" max="1" width="8.625" style="2386" customWidth="1"/>
    <col min="2" max="2" width="9" style="2386"/>
    <col min="3" max="3" width="38.125" style="2386" customWidth="1"/>
    <col min="4" max="4" width="54.5" style="2386" customWidth="1"/>
    <col min="5" max="16384" width="9" style="2386"/>
  </cols>
  <sheetData>
    <row r="1" spans="1:4" ht="19.5" x14ac:dyDescent="0.4">
      <c r="A1" s="2394" t="s">
        <v>1270</v>
      </c>
      <c r="B1" s="2378" t="s">
        <v>765</v>
      </c>
      <c r="D1" s="2402" t="s">
        <v>1423</v>
      </c>
    </row>
    <row r="2" spans="1:4" ht="19.5" x14ac:dyDescent="0.4">
      <c r="A2" s="2443" t="s">
        <v>622</v>
      </c>
      <c r="B2" s="2388" t="s">
        <v>622</v>
      </c>
      <c r="C2" s="2386" t="str">
        <f>RIGHT(D2,36)</f>
        <v>b3a55f49-bb47-4ea3-b862-15573f001cb2</v>
      </c>
      <c r="D2" s="2788" t="s">
        <v>1424</v>
      </c>
    </row>
    <row r="3" spans="1:4" ht="19.5" x14ac:dyDescent="0.4">
      <c r="A3" s="2443" t="s">
        <v>622</v>
      </c>
      <c r="B3" s="2388" t="s">
        <v>626</v>
      </c>
      <c r="C3" s="2386" t="str">
        <f t="shared" ref="C3:C65" si="0">RIGHT(D3,36)</f>
        <v>307ef0d7-3147-456c-b184-34e8e5ffa7ae</v>
      </c>
      <c r="D3" s="2780" t="s">
        <v>1425</v>
      </c>
    </row>
    <row r="4" spans="1:4" ht="19.5" x14ac:dyDescent="0.4">
      <c r="A4" s="2443" t="s">
        <v>622</v>
      </c>
      <c r="B4" s="2388" t="s">
        <v>628</v>
      </c>
      <c r="C4" s="2386" t="str">
        <f t="shared" si="0"/>
        <v>3cf5af5a-d6f7-4318-b2d4-86861d0b72ac</v>
      </c>
      <c r="D4" s="2780" t="s">
        <v>1426</v>
      </c>
    </row>
    <row r="5" spans="1:4" ht="19.5" x14ac:dyDescent="0.4">
      <c r="A5" s="2443" t="s">
        <v>780</v>
      </c>
      <c r="B5" s="2388" t="s">
        <v>624</v>
      </c>
      <c r="C5" s="2386" t="str">
        <f t="shared" si="0"/>
        <v>4891c74e-bc70-4055-8987-04846dd94bd7</v>
      </c>
      <c r="D5" s="2780" t="s">
        <v>1427</v>
      </c>
    </row>
    <row r="6" spans="1:4" ht="19.5" x14ac:dyDescent="0.4">
      <c r="A6" s="2443" t="s">
        <v>1428</v>
      </c>
      <c r="B6" s="2388" t="s">
        <v>1428</v>
      </c>
      <c r="C6" s="2386" t="str">
        <f t="shared" si="0"/>
        <v>9807b9f9-5b4a-4feb-b5da-f36daff053a6</v>
      </c>
      <c r="D6" s="2788" t="s">
        <v>1429</v>
      </c>
    </row>
    <row r="7" spans="1:4" ht="19.5" x14ac:dyDescent="0.4">
      <c r="A7" s="2443" t="s">
        <v>1428</v>
      </c>
      <c r="B7" s="2388" t="s">
        <v>1430</v>
      </c>
      <c r="C7" s="2386" t="str">
        <f t="shared" si="0"/>
        <v>2d6c9f1c-4728-4805-b823-e8c16b071503</v>
      </c>
      <c r="D7" s="2788" t="s">
        <v>1431</v>
      </c>
    </row>
    <row r="8" spans="1:4" ht="19.5" x14ac:dyDescent="0.4">
      <c r="A8" s="2443" t="s">
        <v>1428</v>
      </c>
      <c r="B8" s="2388" t="s">
        <v>1432</v>
      </c>
      <c r="C8" s="2386" t="str">
        <f t="shared" si="0"/>
        <v>038dcaef-f4c2-4a75-8372-ef4a46803b89</v>
      </c>
      <c r="D8" s="2788" t="s">
        <v>1433</v>
      </c>
    </row>
    <row r="9" spans="1:4" ht="19.5" x14ac:dyDescent="0.4">
      <c r="A9" s="2443" t="s">
        <v>647</v>
      </c>
      <c r="B9" s="2388" t="s">
        <v>647</v>
      </c>
      <c r="C9" s="2386" t="str">
        <f t="shared" si="0"/>
        <v>12dff135-eddb-4dea-af32-c2c336f0dd1f</v>
      </c>
      <c r="D9" s="2788" t="s">
        <v>1434</v>
      </c>
    </row>
    <row r="10" spans="1:4" ht="19.5" x14ac:dyDescent="0.4">
      <c r="A10" s="2443" t="s">
        <v>647</v>
      </c>
      <c r="B10" s="2388" t="s">
        <v>648</v>
      </c>
      <c r="C10" s="2386" t="str">
        <f t="shared" si="0"/>
        <v>efbcb1d1-04c8-4ebf-ac90-da0c0c4aa92a</v>
      </c>
      <c r="D10" s="2788" t="s">
        <v>1435</v>
      </c>
    </row>
    <row r="11" spans="1:4" ht="19.5" x14ac:dyDescent="0.4">
      <c r="A11" s="2443" t="s">
        <v>837</v>
      </c>
      <c r="B11" s="2388" t="s">
        <v>838</v>
      </c>
      <c r="C11" s="2386" t="str">
        <f t="shared" si="0"/>
        <v>1f34e182-43ae-420b-9b98-bebdfd7904bb</v>
      </c>
      <c r="D11" s="2788" t="s">
        <v>1436</v>
      </c>
    </row>
    <row r="12" spans="1:4" ht="19.5" x14ac:dyDescent="0.4">
      <c r="A12" s="2443" t="s">
        <v>650</v>
      </c>
      <c r="B12" s="2388" t="s">
        <v>650</v>
      </c>
      <c r="C12" s="2386" t="str">
        <f t="shared" si="0"/>
        <v>098c0bcc-fc72-4759-afff-ce288fc5bd75</v>
      </c>
      <c r="D12" s="2788" t="s">
        <v>1437</v>
      </c>
    </row>
    <row r="13" spans="1:4" ht="19.5" x14ac:dyDescent="0.4">
      <c r="A13" s="2443" t="s">
        <v>650</v>
      </c>
      <c r="B13" s="2388" t="s">
        <v>651</v>
      </c>
      <c r="C13" s="2386" t="str">
        <f t="shared" si="0"/>
        <v>41ac8f29-38de-41aa-96d7-e4dd81e7ee18</v>
      </c>
      <c r="D13" s="2788" t="s">
        <v>1438</v>
      </c>
    </row>
    <row r="14" spans="1:4" ht="19.5" x14ac:dyDescent="0.4">
      <c r="A14" s="2443" t="s">
        <v>650</v>
      </c>
      <c r="B14" s="2388" t="s">
        <v>652</v>
      </c>
      <c r="C14" s="2386" t="str">
        <f t="shared" si="0"/>
        <v>f731fad6-9a80-4505-90aa-ff64f465201f</v>
      </c>
      <c r="D14" s="2788" t="s">
        <v>1439</v>
      </c>
    </row>
    <row r="15" spans="1:4" ht="19.5" x14ac:dyDescent="0.4">
      <c r="A15" s="2443" t="s">
        <v>650</v>
      </c>
      <c r="B15" s="2388" t="s">
        <v>653</v>
      </c>
      <c r="C15" s="2386" t="str">
        <f t="shared" si="0"/>
        <v>e08194d9-3b20-4e8d-9ac4-fb2ee67774f8</v>
      </c>
      <c r="D15" s="2780" t="s">
        <v>1440</v>
      </c>
    </row>
    <row r="16" spans="1:4" ht="19.5" x14ac:dyDescent="0.4">
      <c r="A16" s="2443" t="s">
        <v>654</v>
      </c>
      <c r="B16" s="2388" t="s">
        <v>654</v>
      </c>
      <c r="C16" s="2386" t="str">
        <f t="shared" si="0"/>
        <v>87d1b9f0-9baf-468e-8c29-5082739a84b4</v>
      </c>
      <c r="D16" s="2780" t="s">
        <v>1441</v>
      </c>
    </row>
    <row r="17" spans="1:4" ht="19.5" x14ac:dyDescent="0.4">
      <c r="A17" s="2443" t="s">
        <v>654</v>
      </c>
      <c r="B17" s="2388" t="s">
        <v>655</v>
      </c>
      <c r="C17" s="2386" t="str">
        <f t="shared" si="0"/>
        <v>1068b140-7b4c-43e3-b2c8-a5e5e22c7697</v>
      </c>
      <c r="D17" s="2780" t="s">
        <v>1442</v>
      </c>
    </row>
    <row r="18" spans="1:4" ht="19.5" x14ac:dyDescent="0.4">
      <c r="A18" s="2443" t="s">
        <v>656</v>
      </c>
      <c r="B18" s="2388" t="s">
        <v>656</v>
      </c>
      <c r="C18" s="2386" t="str">
        <f t="shared" si="0"/>
        <v>c602037f-bc42-4022-a6c4-3a9726d28b8c</v>
      </c>
      <c r="D18" s="2780" t="s">
        <v>1443</v>
      </c>
    </row>
    <row r="19" spans="1:4" ht="19.5" x14ac:dyDescent="0.4">
      <c r="A19" s="2443" t="s">
        <v>656</v>
      </c>
      <c r="B19" s="2388" t="s">
        <v>657</v>
      </c>
      <c r="C19" s="2386" t="str">
        <f t="shared" si="0"/>
        <v>2593cc94-3b8f-494c-acb2-ae101a5367c4</v>
      </c>
      <c r="D19" s="2780" t="s">
        <v>1444</v>
      </c>
    </row>
    <row r="20" spans="1:4" ht="19.5" x14ac:dyDescent="0.4">
      <c r="A20" s="2443" t="s">
        <v>656</v>
      </c>
      <c r="B20" s="2388" t="s">
        <v>658</v>
      </c>
      <c r="C20" s="2386" t="str">
        <f t="shared" si="0"/>
        <v>35dd3fdb-e7c5-4fae-918d-1fcbd3ac43de</v>
      </c>
      <c r="D20" s="2788" t="s">
        <v>1445</v>
      </c>
    </row>
    <row r="21" spans="1:4" ht="19.5" x14ac:dyDescent="0.4">
      <c r="A21" s="2443" t="s">
        <v>587</v>
      </c>
      <c r="B21" s="2438" t="s">
        <v>587</v>
      </c>
      <c r="C21" s="2386" t="str">
        <f t="shared" si="0"/>
        <v>ca982ae8-45ca-4735-b439-c29bd2b9bd21</v>
      </c>
      <c r="D21" s="2788" t="s">
        <v>1446</v>
      </c>
    </row>
    <row r="22" spans="1:4" ht="19.5" x14ac:dyDescent="0.4">
      <c r="A22" s="2443" t="s">
        <v>587</v>
      </c>
      <c r="B22" s="2438" t="s">
        <v>1447</v>
      </c>
      <c r="C22" s="2386" t="str">
        <f t="shared" si="0"/>
        <v>2dcfcdc5-5269-4c94-a4af-115c9b8ac930</v>
      </c>
      <c r="D22" s="2780" t="s">
        <v>1448</v>
      </c>
    </row>
    <row r="23" spans="1:4" ht="19.5" x14ac:dyDescent="0.4">
      <c r="A23" s="2443" t="s">
        <v>587</v>
      </c>
      <c r="B23" s="2388" t="s">
        <v>1449</v>
      </c>
      <c r="C23" s="2386" t="str">
        <f t="shared" si="0"/>
        <v>5b6dc7ea-e6a4-4595-b306-9699a01e5cca</v>
      </c>
      <c r="D23" s="2788" t="s">
        <v>1450</v>
      </c>
    </row>
    <row r="24" spans="1:4" ht="19.5" x14ac:dyDescent="0.4">
      <c r="A24" s="2443" t="s">
        <v>659</v>
      </c>
      <c r="B24" s="2388" t="s">
        <v>659</v>
      </c>
      <c r="C24" s="2386" t="str">
        <f t="shared" si="0"/>
        <v>ba14f694-ccfd-465f-81cc-94533ea1ca4e</v>
      </c>
      <c r="D24" s="2788" t="s">
        <v>1451</v>
      </c>
    </row>
    <row r="25" spans="1:4" ht="19.5" x14ac:dyDescent="0.4">
      <c r="A25" s="2443" t="s">
        <v>659</v>
      </c>
      <c r="B25" s="2388" t="s">
        <v>660</v>
      </c>
      <c r="C25" s="2386" t="str">
        <f t="shared" si="0"/>
        <v>617650a0-6cbd-4da5-b803-caa7f9e651b4</v>
      </c>
      <c r="D25" s="2788" t="s">
        <v>1452</v>
      </c>
    </row>
    <row r="26" spans="1:4" ht="19.5" x14ac:dyDescent="0.4">
      <c r="A26" s="2443" t="s">
        <v>661</v>
      </c>
      <c r="B26" s="2388" t="s">
        <v>661</v>
      </c>
      <c r="C26" s="2386" t="str">
        <f t="shared" si="0"/>
        <v>2b96ce36-baba-4be3-9708-0103b5055907</v>
      </c>
      <c r="D26" s="2780" t="s">
        <v>1453</v>
      </c>
    </row>
    <row r="27" spans="1:4" ht="19.5" x14ac:dyDescent="0.4">
      <c r="A27" s="2443" t="s">
        <v>661</v>
      </c>
      <c r="B27" s="2388" t="s">
        <v>662</v>
      </c>
      <c r="C27" s="2386" t="str">
        <f t="shared" si="0"/>
        <v>90ca5176-693a-4603-903d-4436f38cc663</v>
      </c>
      <c r="D27" s="2780" t="s">
        <v>1454</v>
      </c>
    </row>
    <row r="28" spans="1:4" ht="19.5" x14ac:dyDescent="0.4">
      <c r="A28" s="2443" t="s">
        <v>661</v>
      </c>
      <c r="B28" s="2388" t="s">
        <v>663</v>
      </c>
      <c r="C28" s="2386" t="str">
        <f t="shared" si="0"/>
        <v>870fe0c6-5011-4f4b-ba28-cd71b44cca17</v>
      </c>
      <c r="D28" s="2788" t="s">
        <v>1455</v>
      </c>
    </row>
    <row r="29" spans="1:4" ht="19.5" x14ac:dyDescent="0.4">
      <c r="A29" s="2443" t="s">
        <v>1456</v>
      </c>
      <c r="B29" s="2388" t="s">
        <v>664</v>
      </c>
      <c r="C29" s="2386" t="str">
        <f t="shared" si="0"/>
        <v>a08d35cf-4369-4bd1-94e7-e953c06ea066</v>
      </c>
      <c r="D29" s="2788" t="s">
        <v>1457</v>
      </c>
    </row>
    <row r="30" spans="1:4" ht="19.5" x14ac:dyDescent="0.4">
      <c r="A30" s="2443" t="s">
        <v>665</v>
      </c>
      <c r="B30" s="2388" t="s">
        <v>665</v>
      </c>
      <c r="C30" s="2386" t="str">
        <f t="shared" si="0"/>
        <v>0cb2d63a-fea4-4267-9e74-c4317bdbdfb3</v>
      </c>
      <c r="D30" s="2788" t="s">
        <v>1458</v>
      </c>
    </row>
    <row r="31" spans="1:4" ht="19.5" x14ac:dyDescent="0.4">
      <c r="A31" s="2443" t="s">
        <v>665</v>
      </c>
      <c r="B31" s="2388" t="s">
        <v>666</v>
      </c>
      <c r="C31" s="2386" t="str">
        <f t="shared" si="0"/>
        <v>a3c360cc-ce30-48cc-9744-73071d9c39f8</v>
      </c>
      <c r="D31" s="2788" t="s">
        <v>1459</v>
      </c>
    </row>
    <row r="32" spans="1:4" ht="19.5" x14ac:dyDescent="0.4">
      <c r="A32" s="2443" t="s">
        <v>665</v>
      </c>
      <c r="B32" s="2388" t="s">
        <v>667</v>
      </c>
      <c r="C32" s="2386" t="str">
        <f t="shared" si="0"/>
        <v>468c4eaf-f67e-4aef-b164-117cd4be1d6a</v>
      </c>
      <c r="D32" s="2788" t="s">
        <v>1460</v>
      </c>
    </row>
    <row r="33" spans="1:4" ht="19.5" x14ac:dyDescent="0.4">
      <c r="A33" s="2394" t="s">
        <v>665</v>
      </c>
      <c r="B33" s="2388" t="s">
        <v>668</v>
      </c>
      <c r="C33" s="2386" t="str">
        <f t="shared" si="0"/>
        <v>4a435088-5ac4-4018-ac82-7e01f9c57197</v>
      </c>
      <c r="D33" s="2788" t="s">
        <v>1461</v>
      </c>
    </row>
    <row r="34" spans="1:4" ht="19.5" x14ac:dyDescent="0.4">
      <c r="A34" s="2394" t="s">
        <v>665</v>
      </c>
      <c r="B34" s="2388" t="s">
        <v>669</v>
      </c>
      <c r="C34" s="2386" t="str">
        <f t="shared" si="0"/>
        <v>93bdf769-7057-4d56-8dfa-2b69864c04a6</v>
      </c>
      <c r="D34" s="2788" t="s">
        <v>1462</v>
      </c>
    </row>
    <row r="35" spans="1:4" ht="19.5" x14ac:dyDescent="0.4">
      <c r="A35" s="2394" t="s">
        <v>665</v>
      </c>
      <c r="B35" s="2388" t="s">
        <v>670</v>
      </c>
      <c r="C35" s="2386" t="str">
        <f t="shared" si="0"/>
        <v>2eb5db5e-778f-49ec-a51a-db12c195ea90</v>
      </c>
      <c r="D35" s="2788" t="s">
        <v>1463</v>
      </c>
    </row>
    <row r="36" spans="1:4" ht="19.5" x14ac:dyDescent="0.4">
      <c r="A36" s="2394" t="s">
        <v>671</v>
      </c>
      <c r="B36" s="2388" t="s">
        <v>671</v>
      </c>
      <c r="C36" s="2386" t="str">
        <f t="shared" si="0"/>
        <v>6c267ad3-0201-4bf6-8905-9d3c1bf736b1</v>
      </c>
      <c r="D36" s="2788" t="s">
        <v>1464</v>
      </c>
    </row>
    <row r="37" spans="1:4" ht="19.5" x14ac:dyDescent="0.4">
      <c r="A37" s="2394" t="s">
        <v>671</v>
      </c>
      <c r="B37" s="2388" t="s">
        <v>672</v>
      </c>
      <c r="C37" s="2386" t="str">
        <f t="shared" si="0"/>
        <v>359ad6d6-5319-420e-839f-a892c1eef9a7</v>
      </c>
      <c r="D37" s="2788" t="s">
        <v>1465</v>
      </c>
    </row>
    <row r="38" spans="1:4" ht="19.5" x14ac:dyDescent="0.4">
      <c r="A38" s="2394" t="s">
        <v>671</v>
      </c>
      <c r="B38" s="2388" t="s">
        <v>673</v>
      </c>
      <c r="C38" s="2386" t="str">
        <f t="shared" si="0"/>
        <v>ff067663-3d95-4fdc-b6f6-1ada214a837e</v>
      </c>
      <c r="D38" s="2788" t="s">
        <v>1466</v>
      </c>
    </row>
    <row r="39" spans="1:4" ht="20.85" customHeight="1" x14ac:dyDescent="0.4">
      <c r="A39" s="2394" t="s">
        <v>671</v>
      </c>
      <c r="B39" s="2388" t="s">
        <v>674</v>
      </c>
      <c r="C39" s="2386" t="str">
        <f t="shared" si="0"/>
        <v>6a99db6d-34fb-4cae-b22e-d0a24df9269c</v>
      </c>
      <c r="D39" s="2788" t="s">
        <v>1467</v>
      </c>
    </row>
    <row r="40" spans="1:4" ht="20.85" customHeight="1" x14ac:dyDescent="0.4">
      <c r="A40" s="2394" t="s">
        <v>671</v>
      </c>
      <c r="B40" s="2388" t="s">
        <v>675</v>
      </c>
      <c r="C40" s="2386" t="str">
        <f t="shared" si="0"/>
        <v>a0439440-f1d8-47a8-bfa1-f28ca7e1189c</v>
      </c>
      <c r="D40" s="2788" t="s">
        <v>1468</v>
      </c>
    </row>
    <row r="41" spans="1:4" ht="19.5" x14ac:dyDescent="0.4">
      <c r="A41" s="2394" t="s">
        <v>676</v>
      </c>
      <c r="B41" s="2388" t="s">
        <v>676</v>
      </c>
      <c r="C41" s="2554" t="str">
        <f t="shared" si="0"/>
        <v>4a2b115e-34d3-4836-b841-049a67247e59</v>
      </c>
      <c r="D41" s="2788" t="s">
        <v>1469</v>
      </c>
    </row>
    <row r="42" spans="1:4" ht="19.5" x14ac:dyDescent="0.4">
      <c r="A42" s="2394" t="s">
        <v>676</v>
      </c>
      <c r="B42" s="2388" t="s">
        <v>1470</v>
      </c>
      <c r="C42" s="2386" t="str">
        <f t="shared" si="0"/>
        <v>1dac55ac-4242-45b2-8249-81db8278fd78</v>
      </c>
      <c r="D42" s="2788" t="s">
        <v>1471</v>
      </c>
    </row>
    <row r="43" spans="1:4" ht="19.5" x14ac:dyDescent="0.4">
      <c r="A43" s="2394" t="s">
        <v>677</v>
      </c>
      <c r="B43" s="2388" t="s">
        <v>677</v>
      </c>
      <c r="C43" s="2386" t="str">
        <f t="shared" si="0"/>
        <v>fd1ee245-da92-4c42-a06a-8fdcdf16e3a8</v>
      </c>
      <c r="D43" s="2788" t="s">
        <v>1472</v>
      </c>
    </row>
    <row r="44" spans="1:4" ht="19.5" x14ac:dyDescent="0.4">
      <c r="A44" s="2394" t="s">
        <v>677</v>
      </c>
      <c r="B44" s="2388" t="s">
        <v>874</v>
      </c>
      <c r="C44" s="2386" t="str">
        <f t="shared" si="0"/>
        <v>4b1373ef-71d3-4239-98e1-4d7fafc93877</v>
      </c>
      <c r="D44" s="2788" t="s">
        <v>1473</v>
      </c>
    </row>
    <row r="45" spans="1:4" ht="19.5" x14ac:dyDescent="0.4">
      <c r="A45" s="2394" t="s">
        <v>677</v>
      </c>
      <c r="B45" s="2388" t="s">
        <v>679</v>
      </c>
      <c r="C45" s="2386" t="str">
        <f t="shared" si="0"/>
        <v>cd5dcc48-6dba-409e-9173-5405dcd56c1f</v>
      </c>
      <c r="D45" s="2788" t="s">
        <v>1474</v>
      </c>
    </row>
    <row r="46" spans="1:4" ht="19.5" x14ac:dyDescent="0.4">
      <c r="A46" s="2394" t="s">
        <v>677</v>
      </c>
      <c r="B46" s="2388" t="s">
        <v>680</v>
      </c>
      <c r="C46" s="2386" t="str">
        <f t="shared" si="0"/>
        <v>41cf3aa7-3445-4991-bfad-901aefb5ac2e</v>
      </c>
      <c r="D46" s="2788" t="s">
        <v>1475</v>
      </c>
    </row>
    <row r="47" spans="1:4" ht="19.5" x14ac:dyDescent="0.4">
      <c r="A47" s="2394" t="s">
        <v>677</v>
      </c>
      <c r="B47" s="2388" t="s">
        <v>681</v>
      </c>
      <c r="C47" s="2386" t="str">
        <f t="shared" si="0"/>
        <v>3097c9ab-3a0b-481e-af9e-cb26b58f3975</v>
      </c>
      <c r="D47" s="2788" t="s">
        <v>1476</v>
      </c>
    </row>
    <row r="48" spans="1:4" ht="19.5" x14ac:dyDescent="0.4">
      <c r="A48" s="2394" t="s">
        <v>871</v>
      </c>
      <c r="B48" s="2388" t="s">
        <v>879</v>
      </c>
      <c r="C48" s="2386" t="str">
        <f t="shared" si="0"/>
        <v>241fed0e-ec48-4c01-9a62-885a76306f49</v>
      </c>
      <c r="D48" s="2788" t="s">
        <v>1477</v>
      </c>
    </row>
    <row r="49" spans="1:4" ht="19.5" x14ac:dyDescent="0.4">
      <c r="A49" s="2388" t="s">
        <v>683</v>
      </c>
      <c r="B49" s="2388" t="s">
        <v>683</v>
      </c>
      <c r="C49" s="2386" t="str">
        <f t="shared" si="0"/>
        <v>cfcc42ac-afb0-4d8b-b3d3-3f394256a1b9</v>
      </c>
      <c r="D49" s="2788" t="s">
        <v>1478</v>
      </c>
    </row>
    <row r="50" spans="1:4" ht="19.5" x14ac:dyDescent="0.4">
      <c r="A50" s="2388" t="s">
        <v>687</v>
      </c>
      <c r="B50" s="2388" t="s">
        <v>687</v>
      </c>
      <c r="C50" s="2386" t="str">
        <f t="shared" si="0"/>
        <v>f1e542dd-2abf-44c9-927e-56c9a17bd6f1</v>
      </c>
      <c r="D50" s="2788" t="s">
        <v>1479</v>
      </c>
    </row>
    <row r="51" spans="1:4" ht="19.5" x14ac:dyDescent="0.4">
      <c r="A51" s="2388" t="s">
        <v>687</v>
      </c>
      <c r="B51" s="2388" t="s">
        <v>688</v>
      </c>
      <c r="C51" s="2386" t="str">
        <f t="shared" si="0"/>
        <v>3baba50d-9d9c-44a0-8adb-4667c6f2439b</v>
      </c>
      <c r="D51" s="2788" t="s">
        <v>1480</v>
      </c>
    </row>
    <row r="52" spans="1:4" ht="19.5" x14ac:dyDescent="0.4">
      <c r="A52" s="2388" t="s">
        <v>889</v>
      </c>
      <c r="B52" s="2388" t="s">
        <v>890</v>
      </c>
      <c r="C52" s="2386" t="str">
        <f t="shared" si="0"/>
        <v>79aa660b-2101-47e4-89cb-a636dcaf81ff</v>
      </c>
      <c r="D52" s="2788" t="s">
        <v>1481</v>
      </c>
    </row>
    <row r="53" spans="1:4" ht="19.5" x14ac:dyDescent="0.4">
      <c r="A53" s="2388" t="s">
        <v>687</v>
      </c>
      <c r="B53" s="2388" t="s">
        <v>1482</v>
      </c>
      <c r="C53" s="2386" t="str">
        <f t="shared" si="0"/>
        <v>e4302272-74c7-4086-aecc-812660ffcafb</v>
      </c>
      <c r="D53" s="2788" t="s">
        <v>1483</v>
      </c>
    </row>
    <row r="54" spans="1:4" ht="19.5" x14ac:dyDescent="0.4">
      <c r="A54" s="2388" t="s">
        <v>690</v>
      </c>
      <c r="B54" s="2388" t="s">
        <v>690</v>
      </c>
      <c r="C54" s="2386" t="str">
        <f t="shared" si="0"/>
        <v>9c92f3b3-b26d-437e-bb2f-0bc59d516930</v>
      </c>
      <c r="D54" s="2788" t="s">
        <v>1484</v>
      </c>
    </row>
    <row r="55" spans="1:4" ht="19.5" x14ac:dyDescent="0.4">
      <c r="A55" s="2388" t="s">
        <v>690</v>
      </c>
      <c r="B55" s="2388" t="s">
        <v>691</v>
      </c>
      <c r="C55" s="2386" t="str">
        <f t="shared" si="0"/>
        <v>f87fbb74-526a-4bd4-8752-208dd9d22edb</v>
      </c>
      <c r="D55" s="2788" t="s">
        <v>1485</v>
      </c>
    </row>
    <row r="56" spans="1:4" ht="19.5" x14ac:dyDescent="0.4">
      <c r="A56" s="2388" t="s">
        <v>690</v>
      </c>
      <c r="B56" s="2388" t="s">
        <v>693</v>
      </c>
      <c r="C56" s="2386" t="str">
        <f t="shared" si="0"/>
        <v>0ef37ed0-1931-4211-80c2-dbf1da80752a</v>
      </c>
      <c r="D56" s="2555" t="s">
        <v>1486</v>
      </c>
    </row>
    <row r="57" spans="1:4" ht="19.5" x14ac:dyDescent="0.4">
      <c r="A57" s="2388" t="s">
        <v>690</v>
      </c>
      <c r="B57" s="2388" t="s">
        <v>694</v>
      </c>
      <c r="C57" s="2386" t="str">
        <f t="shared" si="0"/>
        <v>e87e511d-7322-4c98-9696-d87625272033</v>
      </c>
      <c r="D57" s="2788" t="s">
        <v>1487</v>
      </c>
    </row>
    <row r="58" spans="1:4" ht="19.5" x14ac:dyDescent="0.4">
      <c r="A58" s="2388" t="s">
        <v>235</v>
      </c>
      <c r="B58" s="2388" t="s">
        <v>235</v>
      </c>
      <c r="C58" s="2386" t="str">
        <f t="shared" si="0"/>
        <v>b05651e7-a12f-4469-9479-163ebb25779e</v>
      </c>
      <c r="D58" s="2788" t="s">
        <v>1488</v>
      </c>
    </row>
    <row r="59" spans="1:4" ht="19.5" x14ac:dyDescent="0.4">
      <c r="A59" s="2388" t="s">
        <v>698</v>
      </c>
      <c r="B59" s="2388" t="s">
        <v>698</v>
      </c>
      <c r="C59" s="2386" t="str">
        <f t="shared" si="0"/>
        <v>6b95cc4c-9689-4369-b821-ed1cbd66adf2</v>
      </c>
      <c r="D59" s="2788" t="s">
        <v>1489</v>
      </c>
    </row>
    <row r="60" spans="1:4" ht="19.5" x14ac:dyDescent="0.4">
      <c r="A60" s="2388" t="s">
        <v>698</v>
      </c>
      <c r="B60" s="2388" t="s">
        <v>699</v>
      </c>
      <c r="C60" s="2386" t="str">
        <f t="shared" si="0"/>
        <v>c667b799-492d-4600-8a15-45495d62d097</v>
      </c>
      <c r="D60" s="2788" t="s">
        <v>1490</v>
      </c>
    </row>
    <row r="61" spans="1:4" ht="19.5" x14ac:dyDescent="0.4">
      <c r="A61" s="2388" t="s">
        <v>698</v>
      </c>
      <c r="B61" s="2388" t="s">
        <v>700</v>
      </c>
      <c r="C61" s="2386" t="str">
        <f t="shared" si="0"/>
        <v>2fcbfe03-ffa5-4ef0-bbd7-19241c14776a</v>
      </c>
      <c r="D61" s="2788" t="s">
        <v>1491</v>
      </c>
    </row>
    <row r="62" spans="1:4" ht="19.5" x14ac:dyDescent="0.4">
      <c r="A62" s="2388" t="s">
        <v>701</v>
      </c>
      <c r="B62" s="2388" t="s">
        <v>701</v>
      </c>
      <c r="C62" s="2386" t="str">
        <f t="shared" si="0"/>
        <v>432098d2-611a-4306-b9bb-249fbd1b618c</v>
      </c>
      <c r="D62" s="2788" t="s">
        <v>1492</v>
      </c>
    </row>
    <row r="63" spans="1:4" ht="19.5" x14ac:dyDescent="0.4">
      <c r="A63" s="2388" t="s">
        <v>1015</v>
      </c>
      <c r="B63" s="2388" t="s">
        <v>1017</v>
      </c>
      <c r="C63" s="2386" t="str">
        <f t="shared" si="0"/>
        <v>a6b1fd2b-39d2-4064-81d9-da8431e1c136</v>
      </c>
      <c r="D63" s="2788" t="s">
        <v>1493</v>
      </c>
    </row>
    <row r="64" spans="1:4" ht="19.5" x14ac:dyDescent="0.4">
      <c r="A64" s="2388" t="s">
        <v>703</v>
      </c>
      <c r="B64" s="2388" t="s">
        <v>703</v>
      </c>
      <c r="C64" s="2386" t="str">
        <f t="shared" si="0"/>
        <v>d23763e2-be09-41ba-82a0-dca9ae9a640e</v>
      </c>
      <c r="D64" s="2788" t="s">
        <v>1494</v>
      </c>
    </row>
    <row r="65" spans="1:4" ht="19.5" x14ac:dyDescent="0.4">
      <c r="A65" s="2388" t="s">
        <v>703</v>
      </c>
      <c r="B65" s="2388" t="s">
        <v>704</v>
      </c>
      <c r="C65" s="2386" t="str">
        <f t="shared" si="0"/>
        <v>d7db73da-54dd-4645-aed5-b3f505db9225</v>
      </c>
      <c r="D65" s="2788" t="s">
        <v>1495</v>
      </c>
    </row>
    <row r="66" spans="1:4" ht="19.5" x14ac:dyDescent="0.4">
      <c r="A66" s="2388" t="s">
        <v>703</v>
      </c>
      <c r="B66" s="2438" t="s">
        <v>1496</v>
      </c>
      <c r="C66" s="2386" t="str">
        <f t="shared" ref="C66:C136" si="1">RIGHT(D66,36)</f>
        <v>e9d7f967-f4c4-42dd-b7eb-9d9328cdb7cb</v>
      </c>
      <c r="D66" s="2440" t="s">
        <v>1497</v>
      </c>
    </row>
    <row r="67" spans="1:4" ht="19.5" x14ac:dyDescent="0.4">
      <c r="A67" s="2388" t="s">
        <v>906</v>
      </c>
      <c r="B67" s="2438" t="s">
        <v>910</v>
      </c>
      <c r="C67" s="2386" t="str">
        <f t="shared" si="1"/>
        <v>c93b643e-3b0f-4b15-8c31-a0a08d841f11</v>
      </c>
      <c r="D67" s="2556" t="s">
        <v>1498</v>
      </c>
    </row>
    <row r="68" spans="1:4" ht="19.5" x14ac:dyDescent="0.4">
      <c r="A68" s="2388" t="s">
        <v>913</v>
      </c>
      <c r="B68" s="2438" t="s">
        <v>913</v>
      </c>
      <c r="C68" s="2386" t="str">
        <f t="shared" si="1"/>
        <v>4739f582-00c4-4a88-8da5-6410e95f137e</v>
      </c>
      <c r="D68" s="2439" t="s">
        <v>1499</v>
      </c>
    </row>
    <row r="69" spans="1:4" ht="19.5" x14ac:dyDescent="0.4">
      <c r="A69" s="2388" t="s">
        <v>913</v>
      </c>
      <c r="B69" s="2388" t="s">
        <v>915</v>
      </c>
      <c r="C69" s="2386" t="str">
        <f t="shared" si="1"/>
        <v>cc0e564e-0a40-4c1d-bc72-8c6dc9ac3f25</v>
      </c>
      <c r="D69" s="2788" t="s">
        <v>1500</v>
      </c>
    </row>
    <row r="70" spans="1:4" ht="19.5" x14ac:dyDescent="0.4">
      <c r="A70" s="2388" t="s">
        <v>913</v>
      </c>
      <c r="B70" s="2438" t="s">
        <v>917</v>
      </c>
      <c r="C70" s="2386" t="str">
        <f t="shared" si="1"/>
        <v>24c3b04e-29e7-4a72-ad86-e92574bb6766</v>
      </c>
      <c r="D70" s="2440" t="s">
        <v>1501</v>
      </c>
    </row>
    <row r="71" spans="1:4" ht="19.5" x14ac:dyDescent="0.4">
      <c r="A71" s="2388" t="s">
        <v>709</v>
      </c>
      <c r="B71" s="2438" t="s">
        <v>709</v>
      </c>
      <c r="C71" s="2386" t="str">
        <f t="shared" si="1"/>
        <v>3f2f0269-4515-46b9-b6cb-17a21efee7c2</v>
      </c>
      <c r="D71" s="2439" t="s">
        <v>1502</v>
      </c>
    </row>
    <row r="72" spans="1:4" ht="19.5" x14ac:dyDescent="0.4">
      <c r="A72" s="2388" t="s">
        <v>709</v>
      </c>
      <c r="B72" s="2438" t="s">
        <v>714</v>
      </c>
      <c r="C72" s="2386" t="str">
        <f t="shared" si="1"/>
        <v>d3e3ce19-5c73-4bca-b063-88b462896df8</v>
      </c>
      <c r="D72" s="2439" t="s">
        <v>1503</v>
      </c>
    </row>
    <row r="73" spans="1:4" x14ac:dyDescent="0.4">
      <c r="A73" s="2557" t="s">
        <v>709</v>
      </c>
      <c r="B73" s="2438" t="s">
        <v>710</v>
      </c>
      <c r="C73" s="2386" t="str">
        <f t="shared" si="1"/>
        <v>38ec882d-2122-4e12-90b6-2900d6cb3fb1</v>
      </c>
      <c r="D73" s="2788" t="s">
        <v>1504</v>
      </c>
    </row>
    <row r="74" spans="1:4" x14ac:dyDescent="0.4">
      <c r="A74" s="2557" t="s">
        <v>709</v>
      </c>
      <c r="B74" s="2438" t="s">
        <v>711</v>
      </c>
      <c r="C74" s="2386" t="str">
        <f t="shared" si="1"/>
        <v>e7da3285-4883-4bd0-a0cc-7a946e1f1090</v>
      </c>
      <c r="D74" s="2440" t="s">
        <v>1505</v>
      </c>
    </row>
    <row r="75" spans="1:4" x14ac:dyDescent="0.4">
      <c r="A75" s="2557" t="s">
        <v>919</v>
      </c>
      <c r="B75" s="2438" t="s">
        <v>924</v>
      </c>
      <c r="C75" s="2386" t="str">
        <f t="shared" si="1"/>
        <v>f361d472-8cca-4e5f-94aa-e2547c90660f</v>
      </c>
      <c r="D75" s="2440" t="s">
        <v>1506</v>
      </c>
    </row>
    <row r="76" spans="1:4" x14ac:dyDescent="0.4">
      <c r="A76" s="2557" t="s">
        <v>713</v>
      </c>
      <c r="B76" s="2438" t="s">
        <v>713</v>
      </c>
      <c r="C76" s="2386" t="str">
        <f t="shared" si="1"/>
        <v>15b5584e-1c8d-463f-8a4a-bd2363bba18f</v>
      </c>
      <c r="D76" s="2393" t="s">
        <v>1507</v>
      </c>
    </row>
    <row r="77" spans="1:4" x14ac:dyDescent="0.4">
      <c r="A77" s="2557" t="s">
        <v>713</v>
      </c>
      <c r="B77" s="2438" t="s">
        <v>1508</v>
      </c>
      <c r="C77" s="2386" t="str">
        <f t="shared" si="1"/>
        <v>88ec1386-c808-4480-9d48-bd171fc9257c</v>
      </c>
      <c r="D77" s="2393" t="s">
        <v>1509</v>
      </c>
    </row>
    <row r="78" spans="1:4" x14ac:dyDescent="0.4">
      <c r="A78" s="2557" t="s">
        <v>713</v>
      </c>
      <c r="B78" s="2438" t="s">
        <v>1510</v>
      </c>
      <c r="C78" s="2386" t="str">
        <f t="shared" si="1"/>
        <v>6b1213e0-98c4-428f-937f-19319ea0948e</v>
      </c>
      <c r="D78" s="2439" t="s">
        <v>1511</v>
      </c>
    </row>
    <row r="79" spans="1:4" x14ac:dyDescent="0.4">
      <c r="A79" s="2557" t="s">
        <v>713</v>
      </c>
      <c r="B79" s="2438" t="s">
        <v>1512</v>
      </c>
      <c r="C79" s="2386" t="str">
        <f t="shared" si="1"/>
        <v>56c60c15-f2fb-41c1-afaa-453b50aacd58</v>
      </c>
      <c r="D79" s="2439" t="s">
        <v>1513</v>
      </c>
    </row>
    <row r="80" spans="1:4" x14ac:dyDescent="0.4">
      <c r="A80" s="2557" t="s">
        <v>713</v>
      </c>
      <c r="B80" s="2438" t="s">
        <v>1514</v>
      </c>
      <c r="C80" s="2386" t="str">
        <f t="shared" si="1"/>
        <v>cf4e3dca-4a98-4d77-b4ea-b0b32d28bc03</v>
      </c>
      <c r="D80" s="2439" t="s">
        <v>1515</v>
      </c>
    </row>
    <row r="81" spans="1:4" x14ac:dyDescent="0.4">
      <c r="A81" s="2557" t="s">
        <v>926</v>
      </c>
      <c r="B81" s="2438" t="s">
        <v>929</v>
      </c>
      <c r="C81" s="2386" t="str">
        <f t="shared" si="1"/>
        <v>418e2c8e-d21c-4965-ad08-ef242173d98d</v>
      </c>
      <c r="D81" s="2408" t="s">
        <v>1516</v>
      </c>
    </row>
    <row r="82" spans="1:4" x14ac:dyDescent="0.4">
      <c r="A82" s="2557" t="s">
        <v>719</v>
      </c>
      <c r="B82" s="2438" t="s">
        <v>719</v>
      </c>
      <c r="C82" s="2386" t="str">
        <f t="shared" si="1"/>
        <v>786f02db-9c33-45be-9fee-067dde027e93</v>
      </c>
      <c r="D82" s="2408" t="s">
        <v>1517</v>
      </c>
    </row>
    <row r="83" spans="1:4" x14ac:dyDescent="0.4">
      <c r="A83" s="2557" t="s">
        <v>719</v>
      </c>
      <c r="B83" s="2438" t="s">
        <v>720</v>
      </c>
      <c r="C83" s="2386" t="str">
        <f t="shared" si="1"/>
        <v>d3b50969-1d2c-43e7-a4d3-3fbc281d1e92</v>
      </c>
      <c r="D83" s="2788" t="s">
        <v>1518</v>
      </c>
    </row>
    <row r="84" spans="1:4" x14ac:dyDescent="0.4">
      <c r="A84" s="2557" t="s">
        <v>719</v>
      </c>
      <c r="B84" s="2438" t="s">
        <v>721</v>
      </c>
      <c r="C84" s="2386" t="str">
        <f t="shared" si="1"/>
        <v>ab43a126-00a0-45eb-8bba-d7b3f7edc378</v>
      </c>
      <c r="D84" s="2788" t="s">
        <v>1519</v>
      </c>
    </row>
    <row r="85" spans="1:4" ht="19.5" x14ac:dyDescent="0.4">
      <c r="A85" s="2557" t="s">
        <v>719</v>
      </c>
      <c r="B85" s="2388" t="s">
        <v>722</v>
      </c>
      <c r="C85" s="2386" t="str">
        <f t="shared" si="1"/>
        <v>5f91f814-52ce-492d-9202-2bdf9c05a753</v>
      </c>
      <c r="D85" s="2780" t="s">
        <v>1520</v>
      </c>
    </row>
    <row r="86" spans="1:4" ht="19.5" x14ac:dyDescent="0.4">
      <c r="A86" s="2557" t="s">
        <v>719</v>
      </c>
      <c r="B86" s="2388" t="s">
        <v>1521</v>
      </c>
      <c r="C86" s="2386" t="str">
        <f t="shared" si="1"/>
        <v>a95a0318-bba0-4a93-a5b4-16a6627b69b5</v>
      </c>
      <c r="D86" s="2788" t="s">
        <v>1522</v>
      </c>
    </row>
    <row r="87" spans="1:4" x14ac:dyDescent="0.4">
      <c r="A87" s="2557" t="s">
        <v>719</v>
      </c>
      <c r="B87" s="2438" t="s">
        <v>1523</v>
      </c>
      <c r="C87" s="2386" t="str">
        <f t="shared" si="1"/>
        <v>200f4773-c4c8-40d6-9376-25b6d96241f4</v>
      </c>
      <c r="D87" s="2788" t="s">
        <v>1524</v>
      </c>
    </row>
    <row r="88" spans="1:4" x14ac:dyDescent="0.4">
      <c r="A88" s="2557" t="s">
        <v>719</v>
      </c>
      <c r="B88" s="2438" t="s">
        <v>723</v>
      </c>
      <c r="C88" s="2386" t="str">
        <f t="shared" si="1"/>
        <v>b9e93b39-59d8-4815-8e14-84e229a4913d</v>
      </c>
      <c r="D88" s="2788" t="s">
        <v>1525</v>
      </c>
    </row>
    <row r="89" spans="1:4" x14ac:dyDescent="0.4">
      <c r="A89" s="2557" t="s">
        <v>719</v>
      </c>
      <c r="B89" s="2438" t="s">
        <v>724</v>
      </c>
      <c r="C89" s="2386" t="str">
        <f t="shared" si="1"/>
        <v>90d9544c-d1f5-4065-a0b5-7822f6038f07</v>
      </c>
      <c r="D89" s="2788" t="s">
        <v>1526</v>
      </c>
    </row>
    <row r="90" spans="1:4" x14ac:dyDescent="0.4">
      <c r="A90" s="2557" t="s">
        <v>719</v>
      </c>
      <c r="B90" s="2438" t="s">
        <v>944</v>
      </c>
      <c r="C90" s="2386" t="str">
        <f t="shared" si="1"/>
        <v>58b5a3e0-11fb-494a-9f54-9dc88d70cc19</v>
      </c>
      <c r="D90" s="2788" t="s">
        <v>1527</v>
      </c>
    </row>
    <row r="91" spans="1:4" x14ac:dyDescent="0.4">
      <c r="A91" s="2557" t="s">
        <v>760</v>
      </c>
      <c r="B91" s="2438" t="s">
        <v>760</v>
      </c>
      <c r="C91" s="2386" t="str">
        <f t="shared" si="1"/>
        <v>41ac1005-1059-4dfe-ad97-a9e8a759820f</v>
      </c>
      <c r="D91" s="2788" t="s">
        <v>1528</v>
      </c>
    </row>
    <row r="92" spans="1:4" x14ac:dyDescent="0.4">
      <c r="A92" s="2557" t="s">
        <v>1529</v>
      </c>
      <c r="B92" s="2438" t="s">
        <v>1529</v>
      </c>
      <c r="C92" s="2386" t="str">
        <f t="shared" si="1"/>
        <v>0a653711-b8de-455a-a63c-37acbfff2e85</v>
      </c>
      <c r="D92" s="2788" t="s">
        <v>1530</v>
      </c>
    </row>
    <row r="93" spans="1:4" x14ac:dyDescent="0.4">
      <c r="A93" s="2557" t="s">
        <v>729</v>
      </c>
      <c r="B93" s="2438" t="s">
        <v>729</v>
      </c>
      <c r="C93" s="2386" t="str">
        <f t="shared" si="1"/>
        <v>1395af67-471a-4287-bcec-7d7c3303260b</v>
      </c>
      <c r="D93" s="2788" t="s">
        <v>1531</v>
      </c>
    </row>
    <row r="94" spans="1:4" ht="19.5" x14ac:dyDescent="0.4">
      <c r="A94" s="2394" t="s">
        <v>729</v>
      </c>
      <c r="B94" s="2388" t="s">
        <v>730</v>
      </c>
      <c r="C94" s="2386" t="str">
        <f t="shared" si="1"/>
        <v>0042ec5e-f298-40a5-b6cd-81949f096825</v>
      </c>
      <c r="D94" s="2788" t="s">
        <v>1532</v>
      </c>
    </row>
    <row r="95" spans="1:4" ht="19.5" x14ac:dyDescent="0.4">
      <c r="A95" s="2394" t="s">
        <v>729</v>
      </c>
      <c r="B95" s="2388" t="s">
        <v>731</v>
      </c>
      <c r="C95" s="2386" t="str">
        <f t="shared" si="1"/>
        <v>d2b0537b-f38c-4c4b-b38a-a7f90b543567</v>
      </c>
      <c r="D95" s="2788" t="s">
        <v>1533</v>
      </c>
    </row>
    <row r="96" spans="1:4" ht="19.5" x14ac:dyDescent="0.4">
      <c r="A96" s="2394" t="s">
        <v>732</v>
      </c>
      <c r="B96" s="2388" t="s">
        <v>732</v>
      </c>
      <c r="C96" s="2386" t="str">
        <f t="shared" si="1"/>
        <v>3c3baeda-e6d7-424b-ab84-dd8fb2e1489b</v>
      </c>
      <c r="D96" s="2780" t="s">
        <v>1534</v>
      </c>
    </row>
    <row r="97" spans="1:4" ht="19.5" x14ac:dyDescent="0.4">
      <c r="A97" s="2394" t="s">
        <v>732</v>
      </c>
      <c r="B97" s="2388" t="s">
        <v>733</v>
      </c>
      <c r="C97" s="2386" t="str">
        <f t="shared" si="1"/>
        <v>bfafab60-7c2d-4088-9d1c-2ad2b7259f18</v>
      </c>
      <c r="D97" s="2788" t="s">
        <v>1535</v>
      </c>
    </row>
    <row r="98" spans="1:4" ht="19.5" x14ac:dyDescent="0.4">
      <c r="A98" s="2394" t="s">
        <v>732</v>
      </c>
      <c r="B98" s="2438" t="s">
        <v>1536</v>
      </c>
      <c r="C98" s="2386" t="str">
        <f t="shared" si="1"/>
        <v>b43e9828-f26a-4f30-8f5b-4f4ddeadc34c</v>
      </c>
      <c r="D98" s="2780" t="s">
        <v>1537</v>
      </c>
    </row>
    <row r="99" spans="1:4" ht="19.5" x14ac:dyDescent="0.4">
      <c r="A99" s="2394" t="s">
        <v>732</v>
      </c>
      <c r="B99" s="2438" t="s">
        <v>734</v>
      </c>
      <c r="C99" s="2386" t="str">
        <f t="shared" si="1"/>
        <v>c5c3422c-710d-4d7a-bb19-6e9c6644cff7</v>
      </c>
      <c r="D99" s="2788" t="s">
        <v>1538</v>
      </c>
    </row>
    <row r="100" spans="1:4" ht="19.5" x14ac:dyDescent="0.4">
      <c r="A100" s="2394" t="s">
        <v>732</v>
      </c>
      <c r="B100" s="2438" t="s">
        <v>728</v>
      </c>
      <c r="C100" s="2386" t="str">
        <f t="shared" si="1"/>
        <v>bb0501bb-5865-4a0e-a1b5-55c57d64f438</v>
      </c>
      <c r="D100" s="2780" t="s">
        <v>1539</v>
      </c>
    </row>
    <row r="101" spans="1:4" ht="19.5" x14ac:dyDescent="0.4">
      <c r="A101" s="2394" t="s">
        <v>735</v>
      </c>
      <c r="B101" s="2438" t="s">
        <v>735</v>
      </c>
      <c r="C101" s="2386" t="str">
        <f t="shared" si="1"/>
        <v>f9cac106-463a-401f-8f26-1144d9c3999e</v>
      </c>
      <c r="D101" s="2788" t="s">
        <v>1540</v>
      </c>
    </row>
    <row r="102" spans="1:4" ht="19.5" x14ac:dyDescent="0.4">
      <c r="A102" s="2394" t="s">
        <v>735</v>
      </c>
      <c r="B102" s="2438" t="s">
        <v>1541</v>
      </c>
      <c r="C102" s="2386" t="str">
        <f t="shared" si="1"/>
        <v>937753c9-2776-4687-8915-86ca9ecd1161</v>
      </c>
      <c r="D102" s="2788" t="s">
        <v>1542</v>
      </c>
    </row>
    <row r="103" spans="1:4" ht="19.5" x14ac:dyDescent="0.4">
      <c r="A103" s="2557" t="s">
        <v>735</v>
      </c>
      <c r="B103" s="2388" t="s">
        <v>736</v>
      </c>
      <c r="C103" s="2386" t="str">
        <f t="shared" si="1"/>
        <v>a4d74334-20d3-4279-b463-9da78527d6bc</v>
      </c>
      <c r="D103" s="2788" t="s">
        <v>1543</v>
      </c>
    </row>
    <row r="104" spans="1:4" x14ac:dyDescent="0.4">
      <c r="A104" s="2557" t="s">
        <v>735</v>
      </c>
      <c r="B104" s="2438" t="s">
        <v>737</v>
      </c>
      <c r="C104" s="2386" t="str">
        <f t="shared" si="1"/>
        <v>7e8377fa-f118-41de-b1b7-583439ff75c8</v>
      </c>
      <c r="D104" s="2788" t="s">
        <v>1544</v>
      </c>
    </row>
    <row r="105" spans="1:4" x14ac:dyDescent="0.4">
      <c r="A105" s="2557" t="s">
        <v>738</v>
      </c>
      <c r="B105" s="2438" t="s">
        <v>738</v>
      </c>
      <c r="C105" s="2386" t="str">
        <f t="shared" si="1"/>
        <v>e0139fd4-3cac-49fe-a193-73c460f05a92</v>
      </c>
      <c r="D105" s="2788" t="s">
        <v>1545</v>
      </c>
    </row>
    <row r="106" spans="1:4" x14ac:dyDescent="0.4">
      <c r="A106" s="2557" t="s">
        <v>738</v>
      </c>
      <c r="B106" s="2438" t="s">
        <v>739</v>
      </c>
      <c r="C106" s="2386" t="str">
        <f t="shared" si="1"/>
        <v>8bac7a96-786f-41ef-97e8-3caba3631bb7</v>
      </c>
      <c r="D106" s="2788" t="s">
        <v>1546</v>
      </c>
    </row>
    <row r="107" spans="1:4" x14ac:dyDescent="0.4">
      <c r="A107" s="2557" t="s">
        <v>738</v>
      </c>
      <c r="B107" s="2438" t="s">
        <v>1547</v>
      </c>
      <c r="C107" s="2386" t="str">
        <f t="shared" si="1"/>
        <v>bedd4f56-74be-40a6-aaf4-7f53f587935e</v>
      </c>
      <c r="D107" s="2788" t="s">
        <v>1548</v>
      </c>
    </row>
    <row r="108" spans="1:4" x14ac:dyDescent="0.4">
      <c r="A108" s="2557" t="s">
        <v>738</v>
      </c>
      <c r="B108" s="2438" t="s">
        <v>740</v>
      </c>
      <c r="C108" s="2386" t="str">
        <f t="shared" si="1"/>
        <v>cd8e70ef-6569-4676-aa5d-fcba363c4c28</v>
      </c>
      <c r="D108" s="2788" t="s">
        <v>1549</v>
      </c>
    </row>
    <row r="109" spans="1:4" x14ac:dyDescent="0.4">
      <c r="A109" s="2557" t="s">
        <v>738</v>
      </c>
      <c r="B109" s="2438" t="s">
        <v>741</v>
      </c>
      <c r="C109" s="2386" t="str">
        <f t="shared" si="1"/>
        <v>c564d4ae-26a1-41fa-b436-03c8c35d8d89</v>
      </c>
      <c r="D109" s="2788" t="s">
        <v>1550</v>
      </c>
    </row>
    <row r="110" spans="1:4" ht="19.5" x14ac:dyDescent="0.4">
      <c r="A110" s="2557" t="s">
        <v>738</v>
      </c>
      <c r="B110" s="2388" t="s">
        <v>742</v>
      </c>
      <c r="C110" s="2386" t="str">
        <f t="shared" si="1"/>
        <v>add40db1-dbeb-476c-9bdd-957a26575aa4</v>
      </c>
      <c r="D110" s="2788" t="s">
        <v>1551</v>
      </c>
    </row>
    <row r="111" spans="1:4" ht="19.5" x14ac:dyDescent="0.4">
      <c r="A111" s="2557" t="s">
        <v>738</v>
      </c>
      <c r="B111" s="2388" t="s">
        <v>743</v>
      </c>
      <c r="C111" s="2386" t="str">
        <f t="shared" si="1"/>
        <v>02a2bf90-8916-4b8f-97a8-220b443f8515</v>
      </c>
      <c r="D111" s="2788" t="s">
        <v>1552</v>
      </c>
    </row>
    <row r="112" spans="1:4" ht="19.5" x14ac:dyDescent="0.4">
      <c r="A112" s="2557" t="s">
        <v>738</v>
      </c>
      <c r="B112" s="2388" t="s">
        <v>744</v>
      </c>
      <c r="C112" s="2386" t="str">
        <f t="shared" si="1"/>
        <v>bf8c4b47-f559-43b0-9675-5b7d87d65dcf</v>
      </c>
      <c r="D112" s="2788" t="s">
        <v>1553</v>
      </c>
    </row>
    <row r="113" spans="1:4" ht="19.5" x14ac:dyDescent="0.4">
      <c r="A113" s="2557" t="s">
        <v>738</v>
      </c>
      <c r="B113" s="2388" t="s">
        <v>745</v>
      </c>
      <c r="C113" s="2386" t="str">
        <f t="shared" si="1"/>
        <v>5cedb550-fbec-4e14-8c8e-04789e01adec</v>
      </c>
      <c r="D113" s="2788" t="s">
        <v>1554</v>
      </c>
    </row>
    <row r="114" spans="1:4" ht="19.5" x14ac:dyDescent="0.4">
      <c r="A114" s="2557" t="s">
        <v>738</v>
      </c>
      <c r="B114" s="2388" t="s">
        <v>1555</v>
      </c>
      <c r="C114" s="2386" t="str">
        <f t="shared" si="1"/>
        <v>c26efb51-1d7a-4a51-917a-e5b94d02f76a</v>
      </c>
      <c r="D114" s="2788" t="s">
        <v>1556</v>
      </c>
    </row>
    <row r="115" spans="1:4" ht="19.5" x14ac:dyDescent="0.4">
      <c r="A115" s="2557" t="s">
        <v>738</v>
      </c>
      <c r="B115" s="2388" t="s">
        <v>746</v>
      </c>
      <c r="C115" s="2386" t="str">
        <f t="shared" si="1"/>
        <v>4526bd04-0d95-4918-8d96-d26f5a479453</v>
      </c>
      <c r="D115" s="2788" t="s">
        <v>1557</v>
      </c>
    </row>
    <row r="116" spans="1:4" ht="20.25" thickBot="1" x14ac:dyDescent="0.45">
      <c r="A116" s="2557" t="s">
        <v>968</v>
      </c>
      <c r="B116" s="2388" t="s">
        <v>747</v>
      </c>
      <c r="C116" s="2386" t="str">
        <f t="shared" si="1"/>
        <v>b346f4d9-67c5-4113-b1ff-a3ac89abfc14</v>
      </c>
      <c r="D116" s="2694" t="s">
        <v>1558</v>
      </c>
    </row>
    <row r="117" spans="1:4" ht="19.5" x14ac:dyDescent="0.4">
      <c r="A117" s="2394" t="s">
        <v>216</v>
      </c>
      <c r="B117" s="2388" t="s">
        <v>216</v>
      </c>
      <c r="C117" s="2386" t="str">
        <f t="shared" si="1"/>
        <v>7c4e220a-b724-40f7-8ccb-836a38c4a376</v>
      </c>
      <c r="D117" s="2558" t="s">
        <v>1559</v>
      </c>
    </row>
    <row r="118" spans="1:4" ht="19.5" x14ac:dyDescent="0.4">
      <c r="A118" s="2394" t="s">
        <v>216</v>
      </c>
      <c r="B118" s="2388" t="s">
        <v>1560</v>
      </c>
      <c r="C118" s="2386" t="str">
        <f t="shared" si="1"/>
        <v>ed6f69ba-9c9f-433b-8388-b3dbec7c7396</v>
      </c>
      <c r="D118" s="2780" t="s">
        <v>1561</v>
      </c>
    </row>
    <row r="119" spans="1:4" ht="19.5" x14ac:dyDescent="0.4">
      <c r="A119" s="2394" t="s">
        <v>748</v>
      </c>
      <c r="B119" s="2388" t="s">
        <v>748</v>
      </c>
      <c r="C119" s="2386" t="str">
        <f t="shared" si="1"/>
        <v>889b6ea0-e443-44fe-aafa-fddcf0b701b4</v>
      </c>
      <c r="D119" s="2780" t="s">
        <v>1562</v>
      </c>
    </row>
    <row r="120" spans="1:4" ht="19.5" x14ac:dyDescent="0.4">
      <c r="A120" s="2394" t="s">
        <v>748</v>
      </c>
      <c r="B120" s="2388" t="s">
        <v>749</v>
      </c>
      <c r="C120" s="2386" t="str">
        <f t="shared" si="1"/>
        <v>e728a783-fdcd-4eea-a86c-a589ca02e074</v>
      </c>
      <c r="D120" s="2780" t="s">
        <v>1563</v>
      </c>
    </row>
    <row r="121" spans="1:4" ht="19.5" x14ac:dyDescent="0.4">
      <c r="A121" s="2394" t="s">
        <v>750</v>
      </c>
      <c r="B121" s="2388" t="s">
        <v>750</v>
      </c>
      <c r="C121" s="2386" t="str">
        <f t="shared" si="1"/>
        <v>85d7b491-9d83-41ca-b99d-b23bbd0d74c6</v>
      </c>
      <c r="D121" s="2788" t="s">
        <v>1564</v>
      </c>
    </row>
    <row r="122" spans="1:4" ht="19.5" x14ac:dyDescent="0.4">
      <c r="A122" s="2394" t="s">
        <v>750</v>
      </c>
      <c r="B122" s="2388" t="s">
        <v>751</v>
      </c>
      <c r="C122" s="2386" t="str">
        <f t="shared" si="1"/>
        <v>08aae9b1-88d1-4abf-803c-917854a6d7b8</v>
      </c>
      <c r="D122" s="2788" t="s">
        <v>1565</v>
      </c>
    </row>
    <row r="123" spans="1:4" ht="19.5" x14ac:dyDescent="0.4">
      <c r="A123" s="2394" t="s">
        <v>750</v>
      </c>
      <c r="B123" s="2388" t="s">
        <v>752</v>
      </c>
      <c r="C123" s="2386" t="str">
        <f t="shared" si="1"/>
        <v>af5d6211-6f71-4b2a-a0dd-b9142ada1629</v>
      </c>
      <c r="D123" s="2780" t="s">
        <v>1566</v>
      </c>
    </row>
    <row r="124" spans="1:4" ht="19.5" x14ac:dyDescent="0.4">
      <c r="A124" s="2394" t="s">
        <v>977</v>
      </c>
      <c r="B124" s="2388" t="s">
        <v>984</v>
      </c>
      <c r="C124" s="2386" t="str">
        <f t="shared" si="1"/>
        <v>ea9569a8-e80b-442c-a73b-b244c033c3cc</v>
      </c>
      <c r="D124" s="2780" t="s">
        <v>1567</v>
      </c>
    </row>
    <row r="125" spans="1:4" ht="19.5" x14ac:dyDescent="0.4">
      <c r="A125" s="2394" t="s">
        <v>754</v>
      </c>
      <c r="B125" s="2388" t="s">
        <v>754</v>
      </c>
      <c r="C125" s="2386" t="str">
        <f t="shared" si="1"/>
        <v>21303578-7d65-4662-b7e9-cff28863abc5</v>
      </c>
      <c r="D125" s="2780" t="s">
        <v>1568</v>
      </c>
    </row>
    <row r="126" spans="1:4" ht="19.5" x14ac:dyDescent="0.4">
      <c r="A126" s="2394" t="s">
        <v>754</v>
      </c>
      <c r="B126" s="2388" t="s">
        <v>756</v>
      </c>
      <c r="C126" s="2386" t="str">
        <f t="shared" si="1"/>
        <v>20bc0c87-e7f1-4fc7-ab55-ad122f674cb4</v>
      </c>
      <c r="D126" s="2788" t="s">
        <v>1569</v>
      </c>
    </row>
    <row r="127" spans="1:4" ht="19.5" x14ac:dyDescent="0.4">
      <c r="A127" s="2394" t="s">
        <v>754</v>
      </c>
      <c r="B127" s="2388" t="s">
        <v>757</v>
      </c>
      <c r="C127" s="2386" t="str">
        <f t="shared" si="1"/>
        <v>982f1f64-987a-4c62-9d95-1816faa38ee9</v>
      </c>
      <c r="D127" s="2788" t="s">
        <v>1570</v>
      </c>
    </row>
    <row r="128" spans="1:4" ht="19.5" x14ac:dyDescent="0.4">
      <c r="A128" s="2394" t="s">
        <v>754</v>
      </c>
      <c r="B128" s="2388" t="s">
        <v>1571</v>
      </c>
      <c r="C128" s="2386" t="str">
        <f t="shared" si="1"/>
        <v>db5ce6e6-38e6-4584-a8cb-0c92bf9f92db</v>
      </c>
      <c r="D128" s="2788" t="s">
        <v>1572</v>
      </c>
    </row>
    <row r="129" spans="1:4" ht="19.5" x14ac:dyDescent="0.4">
      <c r="A129" s="2394" t="s">
        <v>754</v>
      </c>
      <c r="B129" s="2388" t="s">
        <v>1573</v>
      </c>
      <c r="C129" s="2386" t="str">
        <f t="shared" si="1"/>
        <v>4a1b9e19-e1a4-46a9-9873-d8d3e26e88bc</v>
      </c>
      <c r="D129" s="2788" t="s">
        <v>1574</v>
      </c>
    </row>
    <row r="130" spans="1:4" ht="19.5" x14ac:dyDescent="0.4">
      <c r="A130" s="2394" t="s">
        <v>754</v>
      </c>
      <c r="B130" s="2438" t="s">
        <v>755</v>
      </c>
      <c r="C130" s="2386" t="str">
        <f t="shared" si="1"/>
        <v>2bcf57a1-ba44-4949-8518-42d68c328e0e</v>
      </c>
      <c r="D130" s="2788" t="s">
        <v>1575</v>
      </c>
    </row>
    <row r="131" spans="1:4" ht="19.5" x14ac:dyDescent="0.4">
      <c r="A131" s="2394" t="s">
        <v>754</v>
      </c>
      <c r="B131" s="2438" t="s">
        <v>758</v>
      </c>
      <c r="C131" s="2386" t="str">
        <f t="shared" si="1"/>
        <v>7c266549-6b13-404f-be03-c9cc3b5d3c42</v>
      </c>
      <c r="D131" s="2780" t="s">
        <v>1576</v>
      </c>
    </row>
    <row r="132" spans="1:4" ht="19.5" x14ac:dyDescent="0.4">
      <c r="A132" s="2394" t="s">
        <v>754</v>
      </c>
      <c r="B132" s="2438" t="s">
        <v>1577</v>
      </c>
      <c r="C132" s="2386" t="str">
        <f t="shared" si="1"/>
        <v>c2328099-15b0-4251-bf74-218677433725</v>
      </c>
      <c r="D132" s="2788" t="s">
        <v>1578</v>
      </c>
    </row>
    <row r="133" spans="1:4" ht="19.5" x14ac:dyDescent="0.4">
      <c r="A133" s="2394" t="s">
        <v>754</v>
      </c>
      <c r="B133" s="2438" t="s">
        <v>992</v>
      </c>
      <c r="C133" s="2386" t="str">
        <f t="shared" si="1"/>
        <v>8f3c82ed-0717-4ca9-aedf-6589b2943e24</v>
      </c>
      <c r="D133" s="2780" t="s">
        <v>1579</v>
      </c>
    </row>
    <row r="134" spans="1:4" ht="19.5" x14ac:dyDescent="0.4">
      <c r="A134" s="2394" t="s">
        <v>170</v>
      </c>
      <c r="B134" s="2438" t="s">
        <v>170</v>
      </c>
      <c r="C134" s="2386" t="str">
        <f t="shared" si="1"/>
        <v>85fef29e-2d31-4cc1-b6b6-b3db82d95290</v>
      </c>
      <c r="D134" s="2780" t="s">
        <v>1580</v>
      </c>
    </row>
    <row r="135" spans="1:4" ht="19.5" x14ac:dyDescent="0.4">
      <c r="A135" s="2394" t="s">
        <v>114</v>
      </c>
      <c r="B135" s="2438" t="s">
        <v>114</v>
      </c>
      <c r="C135" s="2386" t="str">
        <f t="shared" si="1"/>
        <v>ec5b8c5a-90df-444f-b977-b828f9d8351b</v>
      </c>
      <c r="D135" s="2788" t="s">
        <v>1581</v>
      </c>
    </row>
    <row r="136" spans="1:4" ht="19.5" x14ac:dyDescent="0.4">
      <c r="A136" s="2394" t="s">
        <v>1582</v>
      </c>
      <c r="B136" s="2438" t="s">
        <v>1582</v>
      </c>
      <c r="C136" s="2386" t="str">
        <f t="shared" si="1"/>
        <v>fc089426-6237-418d-80af-6fd0580ecdad</v>
      </c>
      <c r="D136" s="2788" t="s">
        <v>1583</v>
      </c>
    </row>
    <row r="137" spans="1:4" ht="19.5" x14ac:dyDescent="0.4">
      <c r="A137" s="2394" t="s">
        <v>1584</v>
      </c>
      <c r="B137" s="2438" t="s">
        <v>1584</v>
      </c>
      <c r="C137" s="2386" t="str">
        <f t="shared" ref="C137:C200" si="2">RIGHT(D137,36)</f>
        <v>4382c9fc-8400-4dcf-a6f4-2b5c7a7ce05a</v>
      </c>
      <c r="D137" s="2788" t="s">
        <v>1585</v>
      </c>
    </row>
    <row r="138" spans="1:4" x14ac:dyDescent="0.4">
      <c r="A138" s="2557" t="s">
        <v>137</v>
      </c>
      <c r="B138" s="2438" t="s">
        <v>137</v>
      </c>
      <c r="C138" s="2386" t="str">
        <f t="shared" si="2"/>
        <v>9fd10d82-7cbd-44cd-b303-1834a41a3c09</v>
      </c>
      <c r="D138" s="2788" t="s">
        <v>1586</v>
      </c>
    </row>
    <row r="139" spans="1:4" ht="19.5" x14ac:dyDescent="0.4">
      <c r="A139" s="2557" t="s">
        <v>150</v>
      </c>
      <c r="B139" s="2388" t="s">
        <v>150</v>
      </c>
      <c r="C139" s="2386" t="str">
        <f t="shared" si="2"/>
        <v>901399df-d23b-4ad8-a5fd-e65fdccd4225</v>
      </c>
      <c r="D139" s="2788" t="s">
        <v>1587</v>
      </c>
    </row>
    <row r="140" spans="1:4" ht="19.5" x14ac:dyDescent="0.4">
      <c r="A140" s="2557" t="s">
        <v>162</v>
      </c>
      <c r="B140" s="2388" t="s">
        <v>162</v>
      </c>
      <c r="C140" s="2386" t="str">
        <f t="shared" si="2"/>
        <v>3fb526e4-f09e-4934-aad3-74b9fe161c80</v>
      </c>
      <c r="D140" s="2788" t="s">
        <v>1588</v>
      </c>
    </row>
    <row r="141" spans="1:4" x14ac:dyDescent="0.4">
      <c r="A141" s="2557" t="s">
        <v>174</v>
      </c>
      <c r="B141" s="2438" t="s">
        <v>174</v>
      </c>
      <c r="C141" s="2386" t="str">
        <f t="shared" si="2"/>
        <v>1a02b1c6-2667-4225-9fb8-58c226392067</v>
      </c>
      <c r="D141" s="2788" t="s">
        <v>1589</v>
      </c>
    </row>
    <row r="142" spans="1:4" x14ac:dyDescent="0.4">
      <c r="A142" s="2557" t="s">
        <v>1033</v>
      </c>
      <c r="B142" s="2438" t="s">
        <v>1033</v>
      </c>
      <c r="C142" s="2386" t="str">
        <f t="shared" si="2"/>
        <v>078a3314-4b4d-4481-b512-fe97878bbd01</v>
      </c>
      <c r="D142" s="2788" t="s">
        <v>1590</v>
      </c>
    </row>
    <row r="143" spans="1:4" x14ac:dyDescent="0.4">
      <c r="A143" s="2557" t="s">
        <v>208</v>
      </c>
      <c r="B143" s="2438" t="s">
        <v>208</v>
      </c>
      <c r="C143" s="2386" t="str">
        <f t="shared" si="2"/>
        <v>5f9f0ce8-b940-479d-bf84-30c0fc928038</v>
      </c>
      <c r="D143" s="2788" t="s">
        <v>1591</v>
      </c>
    </row>
    <row r="144" spans="1:4" ht="19.5" x14ac:dyDescent="0.4">
      <c r="A144" s="2557" t="s">
        <v>147</v>
      </c>
      <c r="B144" s="2388" t="s">
        <v>147</v>
      </c>
      <c r="C144" s="2386" t="str">
        <f t="shared" si="2"/>
        <v>fa00bc2b-67f9-4c99-a8c3-07390c29c132</v>
      </c>
      <c r="D144" s="2788" t="s">
        <v>1592</v>
      </c>
    </row>
    <row r="145" spans="1:4" x14ac:dyDescent="0.4">
      <c r="A145" s="2557" t="s">
        <v>231</v>
      </c>
      <c r="B145" s="2438" t="s">
        <v>231</v>
      </c>
      <c r="C145" s="2386" t="str">
        <f t="shared" si="2"/>
        <v>8e74ea47-3eea-4efb-a394-2cc33aa8cb74</v>
      </c>
      <c r="D145" s="2788" t="s">
        <v>1593</v>
      </c>
    </row>
    <row r="146" spans="1:4" x14ac:dyDescent="0.4">
      <c r="A146" s="2557" t="s">
        <v>1044</v>
      </c>
      <c r="B146" s="2438" t="s">
        <v>1044</v>
      </c>
      <c r="C146" s="2386" t="str">
        <f t="shared" si="2"/>
        <v>5027a3e7-64db-4936-b46e-9899f8a9092d</v>
      </c>
      <c r="D146" s="2788" t="s">
        <v>1594</v>
      </c>
    </row>
    <row r="147" spans="1:4" x14ac:dyDescent="0.4">
      <c r="A147" s="2557" t="s">
        <v>1595</v>
      </c>
      <c r="B147" s="2438" t="s">
        <v>1595</v>
      </c>
      <c r="C147" s="2386" t="str">
        <f t="shared" si="2"/>
        <v>12420a0c-848b-4c0e-909a-03ea0a909301</v>
      </c>
      <c r="D147" s="2788" t="s">
        <v>1596</v>
      </c>
    </row>
    <row r="148" spans="1:4" x14ac:dyDescent="0.4">
      <c r="A148" s="2557" t="s">
        <v>250</v>
      </c>
      <c r="B148" s="2438" t="s">
        <v>250</v>
      </c>
      <c r="C148" s="2386" t="str">
        <f t="shared" si="2"/>
        <v>222070a2-6f48-48d8-b83d-14a32b5ba455</v>
      </c>
      <c r="D148" s="2788" t="s">
        <v>1597</v>
      </c>
    </row>
    <row r="149" spans="1:4" x14ac:dyDescent="0.4">
      <c r="A149" s="2557" t="s">
        <v>255</v>
      </c>
      <c r="B149" s="2438" t="s">
        <v>255</v>
      </c>
      <c r="C149" s="2386" t="str">
        <f t="shared" si="2"/>
        <v>70d8ddb0-5235-4da6-90d0-41c0b1a0db70</v>
      </c>
      <c r="D149" s="2788" t="s">
        <v>1598</v>
      </c>
    </row>
    <row r="150" spans="1:4" x14ac:dyDescent="0.4">
      <c r="A150" s="2557" t="s">
        <v>262</v>
      </c>
      <c r="B150" s="2438" t="s">
        <v>262</v>
      </c>
      <c r="C150" s="2386" t="str">
        <f t="shared" si="2"/>
        <v>1d0987d5-f90e-4d70-ab69-72b2326e8e9e</v>
      </c>
      <c r="D150" s="2788" t="s">
        <v>1599</v>
      </c>
    </row>
    <row r="151" spans="1:4" x14ac:dyDescent="0.4">
      <c r="A151" s="2557" t="s">
        <v>274</v>
      </c>
      <c r="B151" s="2438" t="s">
        <v>274</v>
      </c>
      <c r="C151" s="2386" t="str">
        <f t="shared" si="2"/>
        <v>09bf3475-261d-4167-9cfb-02afd1bf24a5</v>
      </c>
      <c r="D151" s="2788" t="s">
        <v>1600</v>
      </c>
    </row>
    <row r="152" spans="1:4" x14ac:dyDescent="0.4">
      <c r="A152" s="2557" t="s">
        <v>281</v>
      </c>
      <c r="B152" s="2438" t="s">
        <v>281</v>
      </c>
      <c r="C152" s="2386" t="str">
        <f t="shared" si="2"/>
        <v>522f5c9e-03c8-432c-8bd3-248ee905035e</v>
      </c>
      <c r="D152" s="2788" t="s">
        <v>1601</v>
      </c>
    </row>
    <row r="153" spans="1:4" x14ac:dyDescent="0.4">
      <c r="A153" s="2557" t="s">
        <v>289</v>
      </c>
      <c r="B153" s="2438" t="s">
        <v>289</v>
      </c>
      <c r="C153" s="2386" t="str">
        <f t="shared" si="2"/>
        <v>11e21a84-b910-4b58-a56a-196cb942b4fa</v>
      </c>
      <c r="D153" s="2788" t="s">
        <v>1602</v>
      </c>
    </row>
    <row r="154" spans="1:4" ht="75" x14ac:dyDescent="0.4">
      <c r="A154" s="2557" t="s">
        <v>295</v>
      </c>
      <c r="B154" s="2438" t="s">
        <v>295</v>
      </c>
      <c r="C154" s="2386" t="str">
        <f t="shared" si="2"/>
        <v>27768c1f-7451-4c57-a5bb-bf5634f8e90c</v>
      </c>
      <c r="D154" s="2559" t="s">
        <v>1603</v>
      </c>
    </row>
    <row r="155" spans="1:4" x14ac:dyDescent="0.4">
      <c r="A155" s="2557" t="s">
        <v>298</v>
      </c>
      <c r="B155" s="2438" t="s">
        <v>298</v>
      </c>
      <c r="C155" s="2386" t="str">
        <f t="shared" si="2"/>
        <v>a7f4f04a-adfa-4afd-8b9f-7858067978e0</v>
      </c>
      <c r="D155" s="2788" t="s">
        <v>1604</v>
      </c>
    </row>
    <row r="156" spans="1:4" ht="19.5" x14ac:dyDescent="0.4">
      <c r="A156" s="2557" t="s">
        <v>1091</v>
      </c>
      <c r="B156" s="2388" t="s">
        <v>1091</v>
      </c>
      <c r="C156" s="2386" t="str">
        <f t="shared" si="2"/>
        <v>ba94e152-90de-49fd-8623-5e97b202200c</v>
      </c>
      <c r="D156" s="2788" t="s">
        <v>1605</v>
      </c>
    </row>
    <row r="157" spans="1:4" x14ac:dyDescent="0.4">
      <c r="A157" s="2557" t="s">
        <v>1161</v>
      </c>
      <c r="B157" s="2438" t="s">
        <v>1161</v>
      </c>
      <c r="C157" s="2386" t="str">
        <f t="shared" si="2"/>
        <v>df69be21-d5cc-4b60-8fd7-04d26198853e</v>
      </c>
      <c r="D157" s="2788" t="s">
        <v>1606</v>
      </c>
    </row>
    <row r="158" spans="1:4" x14ac:dyDescent="0.4">
      <c r="A158" s="2557" t="s">
        <v>1173</v>
      </c>
      <c r="B158" s="2438" t="s">
        <v>1173</v>
      </c>
      <c r="C158" s="2386" t="str">
        <f t="shared" si="2"/>
        <v>f4cf0ba1-597e-47a4-90dc-f09bdeed6b3f</v>
      </c>
      <c r="D158" s="2788" t="s">
        <v>1607</v>
      </c>
    </row>
    <row r="159" spans="1:4" x14ac:dyDescent="0.4">
      <c r="A159" s="2557" t="s">
        <v>1114</v>
      </c>
      <c r="B159" s="2438" t="s">
        <v>1114</v>
      </c>
      <c r="C159" s="2386" t="str">
        <f t="shared" si="2"/>
        <v>bb82b4c0-d175-4087-9592-b5f4561604cc</v>
      </c>
      <c r="D159" s="2788" t="s">
        <v>1608</v>
      </c>
    </row>
    <row r="160" spans="1:4" x14ac:dyDescent="0.4">
      <c r="A160" s="2557" t="s">
        <v>1118</v>
      </c>
      <c r="B160" s="2438" t="s">
        <v>1118</v>
      </c>
      <c r="C160" s="2386" t="str">
        <f t="shared" si="2"/>
        <v>7b498b23-2397-422b-8133-917a61ad07fd</v>
      </c>
      <c r="D160" s="2788" t="s">
        <v>1609</v>
      </c>
    </row>
    <row r="161" spans="1:4" x14ac:dyDescent="0.4">
      <c r="A161" s="2557" t="s">
        <v>1116</v>
      </c>
      <c r="B161" s="2438" t="s">
        <v>1116</v>
      </c>
      <c r="C161" s="2386" t="str">
        <f t="shared" si="2"/>
        <v>85081d66-afae-43b7-bce3-c1f3535edf36</v>
      </c>
      <c r="D161" s="2788" t="s">
        <v>1610</v>
      </c>
    </row>
    <row r="162" spans="1:4" x14ac:dyDescent="0.4">
      <c r="A162" s="2557" t="s">
        <v>1129</v>
      </c>
      <c r="B162" s="2438" t="s">
        <v>1129</v>
      </c>
      <c r="C162" s="2386" t="str">
        <f t="shared" si="2"/>
        <v>9e8327d8-e7dd-4f7b-a417-dcdadd47f70a</v>
      </c>
      <c r="D162" s="2788" t="s">
        <v>1611</v>
      </c>
    </row>
    <row r="163" spans="1:4" x14ac:dyDescent="0.4">
      <c r="A163" s="2557" t="s">
        <v>1127</v>
      </c>
      <c r="B163" s="2438" t="s">
        <v>1127</v>
      </c>
      <c r="C163" s="2386" t="str">
        <f t="shared" si="2"/>
        <v>ab96ab9a-820e-490e-a193-90d331f3b038</v>
      </c>
      <c r="D163" s="2788" t="s">
        <v>1612</v>
      </c>
    </row>
    <row r="164" spans="1:4" x14ac:dyDescent="0.4">
      <c r="A164" s="2557" t="s">
        <v>1175</v>
      </c>
      <c r="B164" s="2438" t="s">
        <v>1175</v>
      </c>
      <c r="C164" s="2386" t="str">
        <f t="shared" si="2"/>
        <v>35e14d21-9d76-49b2-9404-e2aa201e54dd</v>
      </c>
      <c r="D164" s="2788" t="s">
        <v>1613</v>
      </c>
    </row>
    <row r="165" spans="1:4" x14ac:dyDescent="0.4">
      <c r="A165" s="2557" t="s">
        <v>1103</v>
      </c>
      <c r="B165" s="2438" t="s">
        <v>1103</v>
      </c>
      <c r="C165" s="2386" t="str">
        <f t="shared" si="2"/>
        <v>88451d6e-dc20-4b20-9124-68f0076edfac</v>
      </c>
      <c r="D165" s="2788" t="s">
        <v>1614</v>
      </c>
    </row>
    <row r="166" spans="1:4" x14ac:dyDescent="0.4">
      <c r="A166" s="2557" t="s">
        <v>1183</v>
      </c>
      <c r="B166" s="2438" t="s">
        <v>1183</v>
      </c>
      <c r="C166" s="2386" t="str">
        <f t="shared" si="2"/>
        <v>8027d08f-7a86-43de-8974-111c2cca8386</v>
      </c>
      <c r="D166" s="2788" t="s">
        <v>1615</v>
      </c>
    </row>
    <row r="167" spans="1:4" x14ac:dyDescent="0.4">
      <c r="A167" s="2557" t="s">
        <v>1075</v>
      </c>
      <c r="B167" s="2438" t="s">
        <v>1075</v>
      </c>
      <c r="C167" s="2386" t="str">
        <f t="shared" si="2"/>
        <v>f0304074-2078-4744-b3c8-c086f837b587</v>
      </c>
      <c r="D167" s="2788" t="s">
        <v>1616</v>
      </c>
    </row>
    <row r="168" spans="1:4" x14ac:dyDescent="0.4">
      <c r="A168" s="2557" t="s">
        <v>1189</v>
      </c>
      <c r="B168" s="2438" t="s">
        <v>1189</v>
      </c>
      <c r="C168" s="2386" t="str">
        <f t="shared" si="2"/>
        <v>d1c9449f-e3a0-485e-80e0-ae5357f4eab7</v>
      </c>
      <c r="D168" s="2788" t="s">
        <v>1617</v>
      </c>
    </row>
    <row r="169" spans="1:4" x14ac:dyDescent="0.4">
      <c r="A169" s="2557" t="s">
        <v>1149</v>
      </c>
      <c r="B169" s="2438" t="s">
        <v>1149</v>
      </c>
      <c r="C169" s="2386" t="str">
        <f t="shared" si="2"/>
        <v>9a76fed5-6d4a-407c-a508-8e6136e7cdbf</v>
      </c>
      <c r="D169" s="2788" t="s">
        <v>1618</v>
      </c>
    </row>
    <row r="170" spans="1:4" x14ac:dyDescent="0.4">
      <c r="A170" s="2557" t="s">
        <v>1619</v>
      </c>
      <c r="B170" s="2438" t="s">
        <v>1619</v>
      </c>
      <c r="C170" s="2386" t="str">
        <f t="shared" si="2"/>
        <v>1768fbc6-9746-4852-b776-066465fadb20</v>
      </c>
      <c r="D170" s="2788" t="s">
        <v>1620</v>
      </c>
    </row>
    <row r="171" spans="1:4" x14ac:dyDescent="0.4">
      <c r="A171" s="2557" t="s">
        <v>1177</v>
      </c>
      <c r="B171" s="2438" t="s">
        <v>1177</v>
      </c>
      <c r="C171" s="2386" t="str">
        <f t="shared" si="2"/>
        <v>18e5f619-0bb5-45a5-a475-666dc9883b83</v>
      </c>
      <c r="D171" s="2788" t="s">
        <v>1621</v>
      </c>
    </row>
    <row r="172" spans="1:4" x14ac:dyDescent="0.4">
      <c r="A172" s="2557" t="s">
        <v>1179</v>
      </c>
      <c r="B172" s="2438" t="s">
        <v>1179</v>
      </c>
      <c r="C172" s="2386" t="str">
        <f t="shared" si="2"/>
        <v>3b256365-cb05-4213-98c8-a60921fa83c4</v>
      </c>
      <c r="D172" s="2788" t="s">
        <v>1622</v>
      </c>
    </row>
    <row r="173" spans="1:4" x14ac:dyDescent="0.4">
      <c r="A173" s="2557" t="s">
        <v>1204</v>
      </c>
      <c r="B173" s="2438" t="s">
        <v>1204</v>
      </c>
      <c r="C173" s="2386" t="str">
        <f t="shared" si="2"/>
        <v>ee944bf7-a246-4131-b4c3-e5070da5407e</v>
      </c>
      <c r="D173" s="2788" t="s">
        <v>1623</v>
      </c>
    </row>
    <row r="174" spans="1:4" x14ac:dyDescent="0.4">
      <c r="A174" s="2560" t="s">
        <v>1207</v>
      </c>
      <c r="B174" s="2438" t="s">
        <v>1207</v>
      </c>
      <c r="C174" s="2386" t="str">
        <f t="shared" si="2"/>
        <v>3e6f2ba2-3f7c-4834-ab68-ef8437b4e214</v>
      </c>
      <c r="D174" s="2780" t="s">
        <v>1624</v>
      </c>
    </row>
    <row r="175" spans="1:4" x14ac:dyDescent="0.4">
      <c r="A175" s="2560" t="s">
        <v>1213</v>
      </c>
      <c r="B175" s="2402" t="s">
        <v>1213</v>
      </c>
      <c r="C175" s="2386" t="str">
        <f t="shared" si="2"/>
        <v>a063f571-363a-48db-baf8-0ec7afb6dfad</v>
      </c>
      <c r="D175" s="2780" t="s">
        <v>1625</v>
      </c>
    </row>
    <row r="176" spans="1:4" x14ac:dyDescent="0.4">
      <c r="A176" s="2560" t="s">
        <v>1170</v>
      </c>
      <c r="B176" s="2402" t="s">
        <v>1170</v>
      </c>
      <c r="C176" s="2386" t="str">
        <f t="shared" si="2"/>
        <v>95ac48a0-2b4d-4618-ab33-b1cbf18f1611</v>
      </c>
      <c r="D176" s="2780" t="s">
        <v>1626</v>
      </c>
    </row>
    <row r="177" spans="1:4" x14ac:dyDescent="0.4">
      <c r="A177" s="2560" t="s">
        <v>1215</v>
      </c>
      <c r="B177" s="2402" t="s">
        <v>1215</v>
      </c>
      <c r="C177" s="2386" t="str">
        <f t="shared" si="2"/>
        <v>c401ca44-05ad-46b1-a2c7-89af197e6cbf</v>
      </c>
      <c r="D177" s="2780" t="s">
        <v>1627</v>
      </c>
    </row>
    <row r="178" spans="1:4" x14ac:dyDescent="0.4">
      <c r="A178" s="2560" t="s">
        <v>1216</v>
      </c>
      <c r="B178" s="2402" t="s">
        <v>1216</v>
      </c>
      <c r="C178" s="301" t="str">
        <f t="shared" si="2"/>
        <v>d02eb31b-5384-4e5b-add4-349725c6de6c</v>
      </c>
      <c r="D178" s="2780" t="s">
        <v>1628</v>
      </c>
    </row>
    <row r="179" spans="1:4" x14ac:dyDescent="0.4">
      <c r="A179" s="2560" t="s">
        <v>1218</v>
      </c>
      <c r="B179" s="2402" t="s">
        <v>1218</v>
      </c>
      <c r="C179" s="301" t="str">
        <f t="shared" si="2"/>
        <v>6c548915-5be8-4c2c-88a0-2ea30dbe9204</v>
      </c>
      <c r="D179" s="2780" t="s">
        <v>1629</v>
      </c>
    </row>
    <row r="180" spans="1:4" x14ac:dyDescent="0.4">
      <c r="A180" s="2560" t="s">
        <v>1105</v>
      </c>
      <c r="B180" s="2402" t="s">
        <v>1105</v>
      </c>
      <c r="C180" s="301" t="str">
        <f t="shared" si="2"/>
        <v>5d676ffc-32f1-458c-b2dc-2010b9376d06</v>
      </c>
      <c r="D180" s="2780" t="s">
        <v>1630</v>
      </c>
    </row>
    <row r="181" spans="1:4" x14ac:dyDescent="0.4">
      <c r="A181" s="2560" t="s">
        <v>1198</v>
      </c>
      <c r="B181" s="2402" t="s">
        <v>1198</v>
      </c>
      <c r="C181" s="301" t="str">
        <f t="shared" si="2"/>
        <v>ed571468-154f-4589-967b-a2fb4da25947</v>
      </c>
      <c r="D181" s="2780" t="s">
        <v>1631</v>
      </c>
    </row>
    <row r="182" spans="1:4" x14ac:dyDescent="0.4">
      <c r="A182" s="2560" t="s">
        <v>1100</v>
      </c>
      <c r="B182" s="2402" t="s">
        <v>1100</v>
      </c>
      <c r="C182" s="301" t="str">
        <f t="shared" si="2"/>
        <v>7076bab7-31eb-40ce-b3fd-000691dfdd57</v>
      </c>
      <c r="D182" s="2780" t="s">
        <v>1632</v>
      </c>
    </row>
    <row r="183" spans="1:4" x14ac:dyDescent="0.4">
      <c r="A183" s="2560" t="s">
        <v>1223</v>
      </c>
      <c r="B183" s="2402" t="s">
        <v>1223</v>
      </c>
      <c r="C183" s="301" t="str">
        <f t="shared" si="2"/>
        <v>fb5f7b17-b363-4293-812a-790ce3d0c81b</v>
      </c>
      <c r="D183" s="2780" t="s">
        <v>1633</v>
      </c>
    </row>
    <row r="184" spans="1:4" x14ac:dyDescent="0.4">
      <c r="A184" s="2560" t="s">
        <v>1084</v>
      </c>
      <c r="B184" s="2402" t="s">
        <v>1084</v>
      </c>
      <c r="C184" s="301" t="str">
        <f t="shared" si="2"/>
        <v>9449a60d-fdab-4da0-b1e6-b4c29abe21ad</v>
      </c>
      <c r="D184" s="2780" t="s">
        <v>1634</v>
      </c>
    </row>
    <row r="185" spans="1:4" x14ac:dyDescent="0.4">
      <c r="A185" s="2560" t="s">
        <v>1086</v>
      </c>
      <c r="B185" s="2402" t="s">
        <v>1086</v>
      </c>
      <c r="C185" s="301" t="str">
        <f t="shared" si="2"/>
        <v>645a3f86-fd8f-45e4-8f6c-7150f014c725</v>
      </c>
      <c r="D185" s="2780" t="s">
        <v>1635</v>
      </c>
    </row>
    <row r="186" spans="1:4" x14ac:dyDescent="0.4">
      <c r="A186" s="2560" t="s">
        <v>1088</v>
      </c>
      <c r="B186" s="2402" t="s">
        <v>1088</v>
      </c>
      <c r="C186" s="301" t="str">
        <f t="shared" si="2"/>
        <v>8c161541-70df-4ac8-97af-506d956e237a</v>
      </c>
      <c r="D186" s="2780" t="s">
        <v>1636</v>
      </c>
    </row>
    <row r="187" spans="1:4" x14ac:dyDescent="0.4">
      <c r="A187" s="2560" t="s">
        <v>1072</v>
      </c>
      <c r="B187" s="2402" t="s">
        <v>1072</v>
      </c>
      <c r="C187" s="301" t="str">
        <f t="shared" si="2"/>
        <v>6d8e6780-b557-4be5-9c8c-95051b97d63d</v>
      </c>
      <c r="D187" s="2780" t="s">
        <v>1637</v>
      </c>
    </row>
    <row r="188" spans="1:4" x14ac:dyDescent="0.4">
      <c r="A188" s="2560" t="s">
        <v>1082</v>
      </c>
      <c r="B188" s="2402" t="s">
        <v>1082</v>
      </c>
      <c r="C188" s="301" t="str">
        <f t="shared" si="2"/>
        <v>f7b0bdc9-dadd-46a8-8f9f-9e97fd181c85</v>
      </c>
      <c r="D188" s="2780" t="s">
        <v>1638</v>
      </c>
    </row>
    <row r="189" spans="1:4" x14ac:dyDescent="0.4">
      <c r="A189" s="2560" t="s">
        <v>1120</v>
      </c>
      <c r="B189" s="2402" t="s">
        <v>1120</v>
      </c>
      <c r="C189" s="301" t="str">
        <f t="shared" si="2"/>
        <v>3a0aa760-60ad-4c67-8758-7932924079aa</v>
      </c>
      <c r="D189" s="2780" t="s">
        <v>1639</v>
      </c>
    </row>
    <row r="190" spans="1:4" x14ac:dyDescent="0.4">
      <c r="A190" s="2560" t="s">
        <v>1124</v>
      </c>
      <c r="B190" s="2402" t="s">
        <v>1124</v>
      </c>
      <c r="C190" s="301" t="str">
        <f t="shared" si="2"/>
        <v>41205e66-425d-4b40-ae87-24322fefba15</v>
      </c>
      <c r="D190" s="2780" t="s">
        <v>1640</v>
      </c>
    </row>
    <row r="191" spans="1:4" x14ac:dyDescent="0.4">
      <c r="A191" s="2560" t="s">
        <v>1200</v>
      </c>
      <c r="B191" s="2402" t="s">
        <v>1200</v>
      </c>
      <c r="C191" s="301" t="str">
        <f t="shared" si="2"/>
        <v>dc0ae190-1d9a-4977-8f1a-8110d3d4ce96</v>
      </c>
      <c r="D191" s="2780" t="s">
        <v>1641</v>
      </c>
    </row>
    <row r="192" spans="1:4" x14ac:dyDescent="0.4">
      <c r="A192" s="2560" t="s">
        <v>1155</v>
      </c>
      <c r="B192" s="2402" t="s">
        <v>1155</v>
      </c>
      <c r="C192" s="301" t="str">
        <f t="shared" si="2"/>
        <v>efb3b337-840e-46e3-9a0e-5509be030320</v>
      </c>
      <c r="D192" s="2780" t="s">
        <v>1642</v>
      </c>
    </row>
    <row r="193" spans="1:4" x14ac:dyDescent="0.4">
      <c r="A193" s="2560" t="s">
        <v>1253</v>
      </c>
      <c r="B193" s="2402" t="s">
        <v>1253</v>
      </c>
      <c r="C193" s="301" t="str">
        <f t="shared" si="2"/>
        <v>fed5a14a-20b9-477c-b1c0-e6b2a8f94d91</v>
      </c>
      <c r="D193" s="2780" t="s">
        <v>1643</v>
      </c>
    </row>
    <row r="194" spans="1:4" x14ac:dyDescent="0.4">
      <c r="A194" s="2560" t="s">
        <v>1137</v>
      </c>
      <c r="B194" s="2402" t="s">
        <v>1137</v>
      </c>
      <c r="C194" s="301" t="str">
        <f t="shared" si="2"/>
        <v>b4f2e771-7137-4854-bd31-2cff12a26129</v>
      </c>
      <c r="D194" s="2780" t="s">
        <v>1644</v>
      </c>
    </row>
    <row r="195" spans="1:4" x14ac:dyDescent="0.4">
      <c r="A195" s="2560" t="s">
        <v>1095</v>
      </c>
      <c r="B195" s="2402" t="s">
        <v>1095</v>
      </c>
      <c r="C195" s="301" t="str">
        <f t="shared" si="2"/>
        <v>18d4572b-e491-46b6-89c7-71711bb1e3b1</v>
      </c>
      <c r="D195" s="2780" t="s">
        <v>1645</v>
      </c>
    </row>
    <row r="196" spans="1:4" x14ac:dyDescent="0.4">
      <c r="A196" s="2560" t="s">
        <v>1133</v>
      </c>
      <c r="B196" s="2402" t="s">
        <v>1133</v>
      </c>
      <c r="C196" s="301" t="str">
        <f t="shared" si="2"/>
        <v>dbff5efb-aa67-408e-bf85-a4b698058de3</v>
      </c>
      <c r="D196" s="2780" t="s">
        <v>1646</v>
      </c>
    </row>
    <row r="197" spans="1:4" x14ac:dyDescent="0.4">
      <c r="A197" s="2560" t="s">
        <v>1146</v>
      </c>
      <c r="B197" s="2402" t="s">
        <v>1146</v>
      </c>
      <c r="C197" s="301" t="str">
        <f t="shared" si="2"/>
        <v>699e43be-e9c3-4ca7-92d1-09e561720d2d</v>
      </c>
      <c r="D197" s="2780" t="s">
        <v>1647</v>
      </c>
    </row>
    <row r="198" spans="1:4" x14ac:dyDescent="0.4">
      <c r="A198" s="2560" t="s">
        <v>1151</v>
      </c>
      <c r="B198" s="2402" t="s">
        <v>1151</v>
      </c>
      <c r="C198" s="301" t="str">
        <f t="shared" si="2"/>
        <v>f23fe327-edb9-49fb-bccc-03cfda4b0dc6</v>
      </c>
      <c r="D198" s="2780" t="s">
        <v>1648</v>
      </c>
    </row>
    <row r="199" spans="1:4" x14ac:dyDescent="0.4">
      <c r="A199" s="2560" t="s">
        <v>1228</v>
      </c>
      <c r="B199" s="2402" t="s">
        <v>1228</v>
      </c>
      <c r="C199" s="301" t="str">
        <f t="shared" si="2"/>
        <v>e33a8a1f-3099-443e-9c72-089b2b1806b0</v>
      </c>
      <c r="D199" s="2780" t="s">
        <v>1649</v>
      </c>
    </row>
    <row r="200" spans="1:4" x14ac:dyDescent="0.4">
      <c r="A200" s="2560" t="s">
        <v>1233</v>
      </c>
      <c r="B200" s="2402" t="s">
        <v>1233</v>
      </c>
      <c r="C200" s="301" t="str">
        <f t="shared" si="2"/>
        <v>18ee062c-a292-4678-b167-63676c866602</v>
      </c>
      <c r="D200" s="2780" t="s">
        <v>1650</v>
      </c>
    </row>
    <row r="201" spans="1:4" x14ac:dyDescent="0.4">
      <c r="A201" s="2560" t="s">
        <v>1239</v>
      </c>
      <c r="B201" s="2402" t="s">
        <v>1239</v>
      </c>
      <c r="C201" s="301" t="str">
        <f t="shared" ref="C201:C264" si="3">RIGHT(D201,36)</f>
        <v>bda61e8b-593b-4d82-b06a-74631b2de0b8</v>
      </c>
      <c r="D201" s="2780" t="s">
        <v>1651</v>
      </c>
    </row>
    <row r="202" spans="1:4" x14ac:dyDescent="0.4">
      <c r="A202" s="2560" t="s">
        <v>1122</v>
      </c>
      <c r="B202" s="2402" t="s">
        <v>1122</v>
      </c>
      <c r="C202" s="301" t="str">
        <f t="shared" si="3"/>
        <v>21d7eb81-45fa-4fc6-be2b-180fd8400e0b</v>
      </c>
      <c r="D202" s="2780" t="s">
        <v>1652</v>
      </c>
    </row>
    <row r="203" spans="1:4" x14ac:dyDescent="0.4">
      <c r="A203" s="2560" t="s">
        <v>1255</v>
      </c>
      <c r="B203" s="2402" t="s">
        <v>1255</v>
      </c>
      <c r="C203" s="301" t="str">
        <f t="shared" si="3"/>
        <v>30410755-4a54-4f3b-9012-4d1427ad4f3c</v>
      </c>
      <c r="D203" s="2780" t="s">
        <v>1653</v>
      </c>
    </row>
    <row r="204" spans="1:4" x14ac:dyDescent="0.4">
      <c r="A204" s="2560" t="s">
        <v>1230</v>
      </c>
      <c r="B204" s="2402" t="s">
        <v>1230</v>
      </c>
      <c r="C204" s="301" t="str">
        <f t="shared" si="3"/>
        <v>e7ff713c-f7ab-4468-8c7f-4db293c2727e</v>
      </c>
      <c r="D204" s="2780" t="s">
        <v>1654</v>
      </c>
    </row>
    <row r="205" spans="1:4" x14ac:dyDescent="0.4">
      <c r="A205" s="2560" t="s">
        <v>1236</v>
      </c>
      <c r="B205" s="2402" t="s">
        <v>1236</v>
      </c>
      <c r="C205" s="301" t="str">
        <f t="shared" si="3"/>
        <v>b5673d08-e750-48eb-9f50-e8f624a42b06</v>
      </c>
      <c r="D205" s="2780" t="s">
        <v>1655</v>
      </c>
    </row>
    <row r="206" spans="1:4" x14ac:dyDescent="0.4">
      <c r="A206" s="2560" t="s">
        <v>1153</v>
      </c>
      <c r="B206" s="2402" t="s">
        <v>1153</v>
      </c>
      <c r="C206" s="301" t="str">
        <f t="shared" si="3"/>
        <v>14f5a3c8-5cdb-4713-b303-ce0d954dcdee</v>
      </c>
      <c r="D206" s="2780" t="s">
        <v>1656</v>
      </c>
    </row>
    <row r="207" spans="1:4" x14ac:dyDescent="0.4">
      <c r="A207" s="2560" t="s">
        <v>1428</v>
      </c>
      <c r="B207" s="2402" t="s">
        <v>1428</v>
      </c>
      <c r="C207" s="301" t="str">
        <f t="shared" si="3"/>
        <v>9807b9f9-5b4a-4feb-b5da-f36daff053a6</v>
      </c>
      <c r="D207" s="2780" t="s">
        <v>1429</v>
      </c>
    </row>
    <row r="208" spans="1:4" x14ac:dyDescent="0.4">
      <c r="A208" s="2560" t="s">
        <v>1428</v>
      </c>
      <c r="B208" s="2402" t="s">
        <v>1430</v>
      </c>
      <c r="C208" s="301" t="str">
        <f t="shared" si="3"/>
        <v>2d6c9f1c-4728-4805-b823-e8c16b071503</v>
      </c>
      <c r="D208" s="2780" t="s">
        <v>1431</v>
      </c>
    </row>
    <row r="209" spans="1:4" x14ac:dyDescent="0.4">
      <c r="A209" s="2560" t="s">
        <v>1242</v>
      </c>
      <c r="B209" s="2402" t="s">
        <v>1242</v>
      </c>
      <c r="C209" s="301" t="str">
        <f t="shared" si="3"/>
        <v>33-bf900cd4063f&amp;summariesTextFilter=</v>
      </c>
      <c r="D209" s="2780" t="s">
        <v>1657</v>
      </c>
    </row>
    <row r="210" spans="1:4" x14ac:dyDescent="0.4">
      <c r="A210" s="2560" t="s">
        <v>1244</v>
      </c>
      <c r="B210" s="2402" t="s">
        <v>1244</v>
      </c>
      <c r="C210" s="301" t="str">
        <f t="shared" si="3"/>
        <v>d851b3bb-dc1f-4912-aefc-7153e183ac70</v>
      </c>
      <c r="D210" s="2780" t="s">
        <v>1658</v>
      </c>
    </row>
    <row r="211" spans="1:4" x14ac:dyDescent="0.4">
      <c r="A211" s="2560" t="s">
        <v>1246</v>
      </c>
      <c r="B211" s="2402" t="s">
        <v>1246</v>
      </c>
      <c r="C211" s="301" t="str">
        <f t="shared" si="3"/>
        <v>1fd1df81-556e-453b-aba5-fe38dd66709c</v>
      </c>
      <c r="D211" s="2780" t="s">
        <v>1659</v>
      </c>
    </row>
    <row r="212" spans="1:4" x14ac:dyDescent="0.4">
      <c r="A212" s="2560" t="s">
        <v>1248</v>
      </c>
      <c r="B212" s="2402" t="s">
        <v>1248</v>
      </c>
      <c r="C212" s="301" t="str">
        <f t="shared" si="3"/>
        <v>e1a05c1b-5689-4c7d-9446-fad83f277477</v>
      </c>
      <c r="D212" s="2780" t="s">
        <v>1660</v>
      </c>
    </row>
    <row r="213" spans="1:4" x14ac:dyDescent="0.4">
      <c r="A213" s="2560" t="s">
        <v>1250</v>
      </c>
      <c r="B213" s="2402" t="s">
        <v>1250</v>
      </c>
      <c r="C213" s="301" t="str">
        <f t="shared" si="3"/>
        <v>a8ea0d1f-6538-40cb-8e28-c5d8eca080da</v>
      </c>
      <c r="D213" s="2780" t="s">
        <v>1661</v>
      </c>
    </row>
    <row r="214" spans="1:4" x14ac:dyDescent="0.4">
      <c r="A214" s="2560" t="s">
        <v>1257</v>
      </c>
      <c r="B214" s="2402" t="s">
        <v>1257</v>
      </c>
      <c r="C214" s="301" t="str">
        <f t="shared" si="3"/>
        <v>823b0343-2ec3-4c17-9281-8d629971eb62</v>
      </c>
      <c r="D214" s="2780" t="s">
        <v>1662</v>
      </c>
    </row>
    <row r="215" spans="1:4" x14ac:dyDescent="0.4">
      <c r="A215" s="2560" t="s">
        <v>1259</v>
      </c>
      <c r="B215" s="2402" t="s">
        <v>1259</v>
      </c>
      <c r="C215" s="301" t="str">
        <f t="shared" si="3"/>
        <v>a40af997-1d2b-4252-af40-0b944246497d</v>
      </c>
      <c r="D215" s="2780" t="s">
        <v>1663</v>
      </c>
    </row>
    <row r="216" spans="1:4" x14ac:dyDescent="0.4">
      <c r="A216" s="2560" t="s">
        <v>1261</v>
      </c>
      <c r="B216" s="2402" t="s">
        <v>1261</v>
      </c>
      <c r="C216" s="301" t="str">
        <f t="shared" si="3"/>
        <v>470fece0-1837-411c-b506-d6f317ac1d8d</v>
      </c>
      <c r="D216" s="2780" t="s">
        <v>1664</v>
      </c>
    </row>
    <row r="217" spans="1:4" x14ac:dyDescent="0.4">
      <c r="A217" s="2560" t="s">
        <v>1266</v>
      </c>
      <c r="B217" s="2402" t="s">
        <v>1266</v>
      </c>
      <c r="C217" s="301" t="str">
        <f t="shared" si="3"/>
        <v>061aedf3-f0d0-4277-b19f-0508b398ff47</v>
      </c>
      <c r="D217" s="2780" t="s">
        <v>1665</v>
      </c>
    </row>
    <row r="218" spans="1:4" x14ac:dyDescent="0.4">
      <c r="A218" s="2560" t="s">
        <v>1666</v>
      </c>
      <c r="B218" s="2402" t="s">
        <v>1666</v>
      </c>
      <c r="C218" s="301" t="str">
        <f t="shared" si="3"/>
        <v>eaf81d81-f857-4681-9941-8e0bb6a4aa1c</v>
      </c>
      <c r="D218" s="2780" t="s">
        <v>1667</v>
      </c>
    </row>
    <row r="219" spans="1:4" x14ac:dyDescent="0.4">
      <c r="A219" s="2560" t="s">
        <v>1668</v>
      </c>
      <c r="B219" s="2402" t="s">
        <v>1668</v>
      </c>
      <c r="C219" s="301" t="str">
        <f t="shared" si="3"/>
        <v>cda79656-1068-4cdc-85e2-4783a5497f3b</v>
      </c>
      <c r="D219" s="2780" t="s">
        <v>1669</v>
      </c>
    </row>
    <row r="220" spans="1:4" x14ac:dyDescent="0.4">
      <c r="A220" s="2560" t="s">
        <v>1223</v>
      </c>
      <c r="B220" s="2402" t="s">
        <v>1223</v>
      </c>
      <c r="C220" s="301" t="str">
        <f t="shared" si="3"/>
        <v>fb5f7b17-b363-4293-812a-790ce3d0c81b</v>
      </c>
      <c r="D220" s="2780" t="s">
        <v>1633</v>
      </c>
    </row>
    <row r="221" spans="1:4" x14ac:dyDescent="0.4">
      <c r="A221" s="2560" t="s">
        <v>1084</v>
      </c>
      <c r="B221" s="2402" t="s">
        <v>1084</v>
      </c>
      <c r="C221" s="301" t="str">
        <f t="shared" si="3"/>
        <v>9449a60d-fdab-4da0-b1e6-b4c29abe21ad</v>
      </c>
      <c r="D221" s="2780" t="s">
        <v>1634</v>
      </c>
    </row>
    <row r="222" spans="1:4" x14ac:dyDescent="0.4">
      <c r="A222" s="2560" t="s">
        <v>1086</v>
      </c>
      <c r="B222" s="2402" t="s">
        <v>1086</v>
      </c>
      <c r="C222" s="301" t="str">
        <f t="shared" si="3"/>
        <v>645a3f86-fd8f-45e4-8f6c-7150f014c725</v>
      </c>
      <c r="D222" s="2780" t="s">
        <v>1635</v>
      </c>
    </row>
    <row r="223" spans="1:4" x14ac:dyDescent="0.4">
      <c r="A223" s="2560" t="s">
        <v>1088</v>
      </c>
      <c r="B223" s="2402" t="s">
        <v>1088</v>
      </c>
      <c r="C223" s="301" t="str">
        <f t="shared" si="3"/>
        <v>8c161541-70df-4ac8-97af-506d956e237a</v>
      </c>
      <c r="D223" s="2780" t="s">
        <v>1636</v>
      </c>
    </row>
    <row r="224" spans="1:4" x14ac:dyDescent="0.4">
      <c r="A224" s="2560" t="s">
        <v>1098</v>
      </c>
      <c r="B224" s="2402" t="s">
        <v>1098</v>
      </c>
      <c r="C224" s="301" t="str">
        <f t="shared" si="3"/>
        <v>d0b0f5f1-d31e-487d-b6d4-d70783e71024</v>
      </c>
      <c r="D224" s="2780" t="s">
        <v>1670</v>
      </c>
    </row>
    <row r="225" spans="1:4" x14ac:dyDescent="0.4">
      <c r="A225" s="2560" t="s">
        <v>1072</v>
      </c>
      <c r="B225" s="2402" t="s">
        <v>1072</v>
      </c>
      <c r="C225" s="301" t="str">
        <f t="shared" si="3"/>
        <v>6d8e6780-b557-4be5-9c8c-95051b97d63d</v>
      </c>
      <c r="D225" s="2780" t="s">
        <v>1637</v>
      </c>
    </row>
    <row r="226" spans="1:4" x14ac:dyDescent="0.4">
      <c r="A226" s="2560" t="s">
        <v>1082</v>
      </c>
      <c r="B226" s="2402" t="s">
        <v>1082</v>
      </c>
      <c r="C226" s="301" t="str">
        <f t="shared" si="3"/>
        <v>f7b0bdc9-dadd-46a8-8f9f-9e97fd181c85</v>
      </c>
      <c r="D226" s="2780" t="s">
        <v>1638</v>
      </c>
    </row>
    <row r="227" spans="1:4" x14ac:dyDescent="0.4">
      <c r="A227" s="2560" t="s">
        <v>1120</v>
      </c>
      <c r="B227" s="2402" t="s">
        <v>1120</v>
      </c>
      <c r="C227" s="301" t="str">
        <f t="shared" si="3"/>
        <v>3a0aa760-60ad-4c67-8758-7932924079aa</v>
      </c>
      <c r="D227" s="2780" t="s">
        <v>1639</v>
      </c>
    </row>
    <row r="228" spans="1:4" x14ac:dyDescent="0.4">
      <c r="A228" s="2560" t="s">
        <v>1124</v>
      </c>
      <c r="B228" s="2402" t="s">
        <v>1124</v>
      </c>
      <c r="C228" s="301" t="str">
        <f t="shared" si="3"/>
        <v>41205e66-425d-4b40-ae87-24322fefba15</v>
      </c>
      <c r="D228" s="2780" t="s">
        <v>1640</v>
      </c>
    </row>
    <row r="229" spans="1:4" x14ac:dyDescent="0.4">
      <c r="A229" s="2560" t="s">
        <v>1200</v>
      </c>
      <c r="B229" s="2402" t="s">
        <v>1200</v>
      </c>
      <c r="C229" s="301" t="str">
        <f t="shared" si="3"/>
        <v>dc0ae190-1d9a-4977-8f1a-8110d3d4ce96</v>
      </c>
      <c r="D229" s="2780" t="s">
        <v>1641</v>
      </c>
    </row>
    <row r="230" spans="1:4" x14ac:dyDescent="0.4">
      <c r="A230" s="2560" t="s">
        <v>1155</v>
      </c>
      <c r="B230" s="2402" t="s">
        <v>1155</v>
      </c>
      <c r="C230" s="301" t="str">
        <f t="shared" si="3"/>
        <v>efb3b337-840e-46e3-9a0e-5509be030320</v>
      </c>
      <c r="D230" s="2780" t="s">
        <v>1642</v>
      </c>
    </row>
    <row r="231" spans="1:4" x14ac:dyDescent="0.4">
      <c r="A231" s="2560" t="s">
        <v>1184</v>
      </c>
      <c r="B231" s="2402" t="s">
        <v>1184</v>
      </c>
      <c r="C231" s="301" t="str">
        <f t="shared" si="3"/>
        <v>aa76c571-7276-45b9-b018-597a0faa8bda</v>
      </c>
      <c r="D231" s="2780" t="s">
        <v>1671</v>
      </c>
    </row>
    <row r="232" spans="1:4" x14ac:dyDescent="0.4">
      <c r="A232" s="2560" t="s">
        <v>1135</v>
      </c>
      <c r="B232" s="2402" t="s">
        <v>1135</v>
      </c>
      <c r="C232" s="301" t="str">
        <f t="shared" si="3"/>
        <v>45f84225-5ada-4a39-8e00-8398d192fd79</v>
      </c>
      <c r="D232" s="2780" t="s">
        <v>1672</v>
      </c>
    </row>
    <row r="233" spans="1:4" x14ac:dyDescent="0.4">
      <c r="A233" s="2560" t="s">
        <v>1109</v>
      </c>
      <c r="B233" s="2402" t="s">
        <v>1109</v>
      </c>
      <c r="C233" s="301" t="str">
        <f t="shared" si="3"/>
        <v>304d46de-0ce8-41d5-b1a5-aff70cfbfa25</v>
      </c>
      <c r="D233" s="2780" t="s">
        <v>1673</v>
      </c>
    </row>
    <row r="234" spans="1:4" x14ac:dyDescent="0.4">
      <c r="A234" s="2560" t="s">
        <v>1137</v>
      </c>
      <c r="B234" s="2402" t="s">
        <v>1137</v>
      </c>
      <c r="C234" s="301" t="str">
        <f t="shared" si="3"/>
        <v>b4f2e771-7137-4854-bd31-2cff12a26129</v>
      </c>
      <c r="D234" s="2780" t="s">
        <v>1644</v>
      </c>
    </row>
    <row r="235" spans="1:4" x14ac:dyDescent="0.4">
      <c r="A235" s="2560" t="s">
        <v>1133</v>
      </c>
      <c r="B235" s="2402" t="s">
        <v>1133</v>
      </c>
      <c r="C235" s="301" t="str">
        <f t="shared" si="3"/>
        <v>dbff5efb-aa67-408e-bf85-a4b698058de3</v>
      </c>
      <c r="D235" s="2780" t="s">
        <v>1646</v>
      </c>
    </row>
    <row r="236" spans="1:4" x14ac:dyDescent="0.4">
      <c r="A236" s="2560" t="s">
        <v>1143</v>
      </c>
      <c r="B236" s="2402" t="s">
        <v>1143</v>
      </c>
      <c r="C236" s="301" t="str">
        <f t="shared" si="3"/>
        <v>0e96e6e2-8472-477b-9ef5-c520ea2a56fd</v>
      </c>
      <c r="D236" s="2780" t="s">
        <v>1674</v>
      </c>
    </row>
    <row r="237" spans="1:4" x14ac:dyDescent="0.4">
      <c r="A237" s="2560" t="s">
        <v>1224</v>
      </c>
      <c r="B237" s="2402" t="s">
        <v>1224</v>
      </c>
      <c r="C237" s="301" t="str">
        <f t="shared" si="3"/>
        <v>1e1dfaa0-8a70-4622-b580-4ab466294ba5</v>
      </c>
      <c r="D237" s="2780" t="s">
        <v>1675</v>
      </c>
    </row>
    <row r="238" spans="1:4" x14ac:dyDescent="0.4">
      <c r="A238" s="2560" t="s">
        <v>1228</v>
      </c>
      <c r="B238" s="2402" t="s">
        <v>1228</v>
      </c>
      <c r="C238" s="301" t="str">
        <f t="shared" si="3"/>
        <v>e33a8a1f-3099-443e-9c72-089b2b1806b0</v>
      </c>
      <c r="D238" s="2780" t="s">
        <v>1649</v>
      </c>
    </row>
    <row r="239" spans="1:4" x14ac:dyDescent="0.4">
      <c r="A239" s="2560" t="s">
        <v>1233</v>
      </c>
      <c r="B239" s="2402" t="s">
        <v>1233</v>
      </c>
      <c r="C239" s="301" t="str">
        <f t="shared" si="3"/>
        <v>18ee062c-a292-4678-b167-63676c866602</v>
      </c>
      <c r="D239" s="2780" t="s">
        <v>1676</v>
      </c>
    </row>
    <row r="240" spans="1:4" x14ac:dyDescent="0.4">
      <c r="A240" s="2560" t="s">
        <v>1239</v>
      </c>
      <c r="B240" s="2402" t="s">
        <v>1239</v>
      </c>
      <c r="C240" s="301" t="str">
        <f t="shared" si="3"/>
        <v>bda61e8b-593b-4d82-b06a-74631b2de0b8</v>
      </c>
      <c r="D240" s="2780" t="s">
        <v>1651</v>
      </c>
    </row>
    <row r="241" spans="1:4" x14ac:dyDescent="0.4">
      <c r="A241" s="2560" t="s">
        <v>1122</v>
      </c>
      <c r="B241" s="2402" t="s">
        <v>1122</v>
      </c>
      <c r="C241" s="301" t="str">
        <f t="shared" si="3"/>
        <v>21d7eb81-45fa-4fc6-be2b-180fd8400e0b</v>
      </c>
      <c r="D241" s="2780" t="s">
        <v>1652</v>
      </c>
    </row>
    <row r="242" spans="1:4" x14ac:dyDescent="0.4">
      <c r="A242" s="2560" t="s">
        <v>1255</v>
      </c>
      <c r="B242" s="2402" t="s">
        <v>1255</v>
      </c>
      <c r="C242" s="301" t="str">
        <f t="shared" si="3"/>
        <v>30410755-4a54-4f3b-9012-4d1427ad4f3c</v>
      </c>
      <c r="D242" s="2780" t="s">
        <v>1653</v>
      </c>
    </row>
    <row r="243" spans="1:4" x14ac:dyDescent="0.4">
      <c r="A243" s="2560" t="s">
        <v>1236</v>
      </c>
      <c r="B243" s="2402" t="s">
        <v>1236</v>
      </c>
      <c r="C243" s="301" t="str">
        <f t="shared" si="3"/>
        <v>b5673d08-e750-48eb-9f50-e8f624a42b06</v>
      </c>
      <c r="D243" s="2780" t="s">
        <v>1677</v>
      </c>
    </row>
    <row r="244" spans="1:4" x14ac:dyDescent="0.4">
      <c r="A244" s="2560" t="s">
        <v>1111</v>
      </c>
      <c r="B244" s="2402" t="s">
        <v>1111</v>
      </c>
      <c r="C244" s="301" t="str">
        <f t="shared" si="3"/>
        <v>4ecf2954-d74d-4aee-9ced-81ef1b313038</v>
      </c>
      <c r="D244" s="2780" t="s">
        <v>1678</v>
      </c>
    </row>
    <row r="245" spans="1:4" x14ac:dyDescent="0.4">
      <c r="A245" s="2560" t="s">
        <v>1153</v>
      </c>
      <c r="B245" s="2402" t="s">
        <v>1153</v>
      </c>
      <c r="C245" s="301" t="str">
        <f t="shared" si="3"/>
        <v>14f5a3c8-5cdb-4713-b303-ce0d954dcdee</v>
      </c>
      <c r="D245" s="2780" t="s">
        <v>1656</v>
      </c>
    </row>
    <row r="246" spans="1:4" x14ac:dyDescent="0.4">
      <c r="A246" s="2560" t="s">
        <v>1226</v>
      </c>
      <c r="B246" s="2402" t="s">
        <v>1226</v>
      </c>
      <c r="C246" s="301" t="str">
        <f t="shared" si="3"/>
        <v>fc8a39e7-7b05-4363-83d7-9255c46fcc4b</v>
      </c>
      <c r="D246" s="2780" t="s">
        <v>1679</v>
      </c>
    </row>
    <row r="247" spans="1:4" x14ac:dyDescent="0.4">
      <c r="A247" s="2560" t="s">
        <v>1428</v>
      </c>
      <c r="B247" s="2402" t="s">
        <v>1428</v>
      </c>
      <c r="C247" s="301" t="str">
        <f t="shared" si="3"/>
        <v>9807b9f9-5b4a-4feb-b5da-f36daff053a6</v>
      </c>
      <c r="D247" s="2780" t="s">
        <v>1429</v>
      </c>
    </row>
    <row r="248" spans="1:4" x14ac:dyDescent="0.4">
      <c r="A248" s="2560" t="s">
        <v>1428</v>
      </c>
      <c r="B248" s="2402" t="s">
        <v>1430</v>
      </c>
      <c r="C248" s="301" t="str">
        <f t="shared" si="3"/>
        <v>2d6c9f1c-4728-4805-b823-e8c16b071503</v>
      </c>
      <c r="D248" s="2780" t="s">
        <v>1431</v>
      </c>
    </row>
    <row r="249" spans="1:4" x14ac:dyDescent="0.4">
      <c r="A249" s="2560" t="s">
        <v>1242</v>
      </c>
      <c r="B249" s="2402" t="s">
        <v>1242</v>
      </c>
      <c r="C249" s="301" t="str">
        <f t="shared" si="3"/>
        <v>33-bf900cd4063f&amp;summariesTextFilter=</v>
      </c>
      <c r="D249" s="2780" t="s">
        <v>1657</v>
      </c>
    </row>
    <row r="250" spans="1:4" x14ac:dyDescent="0.4">
      <c r="A250" s="2560" t="s">
        <v>1244</v>
      </c>
      <c r="B250" s="2402" t="s">
        <v>1244</v>
      </c>
      <c r="C250" s="301" t="str">
        <f t="shared" si="3"/>
        <v>d851b3bb-dc1f-4912-aefc-7153e183ac70</v>
      </c>
      <c r="D250" s="2780" t="s">
        <v>1658</v>
      </c>
    </row>
    <row r="251" spans="1:4" x14ac:dyDescent="0.4">
      <c r="A251" s="2560" t="s">
        <v>1246</v>
      </c>
      <c r="B251" s="2402" t="s">
        <v>1246</v>
      </c>
      <c r="C251" s="301" t="str">
        <f t="shared" si="3"/>
        <v>1fd1df81-556e-453b-aba5-fe38dd66709c</v>
      </c>
      <c r="D251" s="2780" t="s">
        <v>1659</v>
      </c>
    </row>
    <row r="252" spans="1:4" x14ac:dyDescent="0.4">
      <c r="A252" s="2560" t="s">
        <v>1248</v>
      </c>
      <c r="B252" s="2402" t="s">
        <v>1248</v>
      </c>
      <c r="C252" s="301" t="str">
        <f t="shared" si="3"/>
        <v>e1a05c1b-5689-4c7d-9446-fad83f277477</v>
      </c>
      <c r="D252" s="2780" t="s">
        <v>1660</v>
      </c>
    </row>
    <row r="253" spans="1:4" x14ac:dyDescent="0.4">
      <c r="A253" s="2560" t="s">
        <v>1250</v>
      </c>
      <c r="B253" s="2402" t="s">
        <v>1250</v>
      </c>
      <c r="C253" s="301" t="str">
        <f t="shared" si="3"/>
        <v>a8ea0d1f-6538-40cb-8e28-c5d8eca080da</v>
      </c>
      <c r="D253" s="2780" t="s">
        <v>1661</v>
      </c>
    </row>
    <row r="254" spans="1:4" x14ac:dyDescent="0.4">
      <c r="A254" s="2560" t="s">
        <v>1252</v>
      </c>
      <c r="B254" s="2402" t="s">
        <v>1252</v>
      </c>
      <c r="C254" s="301" t="str">
        <f t="shared" si="3"/>
        <v>da41c446-9a10-4b0c-b96a-e9f23421e5d7</v>
      </c>
      <c r="D254" s="2780" t="s">
        <v>1680</v>
      </c>
    </row>
    <row r="255" spans="1:4" x14ac:dyDescent="0.4">
      <c r="A255" s="2560" t="s">
        <v>1256</v>
      </c>
      <c r="B255" s="2402" t="s">
        <v>1256</v>
      </c>
      <c r="C255" s="301" t="str">
        <f t="shared" si="3"/>
        <v>def2c6fb-c67f-4b5d-af70-71b46d579b80</v>
      </c>
      <c r="D255" s="2780" t="s">
        <v>1681</v>
      </c>
    </row>
    <row r="256" spans="1:4" x14ac:dyDescent="0.4">
      <c r="A256" s="2560" t="s">
        <v>1257</v>
      </c>
      <c r="B256" s="2402" t="s">
        <v>1257</v>
      </c>
      <c r="C256" s="301" t="str">
        <f t="shared" si="3"/>
        <v>823b0343-2ec3-4c17-9281-8d629971eb62</v>
      </c>
      <c r="D256" s="2780" t="s">
        <v>1662</v>
      </c>
    </row>
    <row r="257" spans="1:4" x14ac:dyDescent="0.4">
      <c r="A257" s="2560" t="s">
        <v>1259</v>
      </c>
      <c r="B257" s="2402" t="s">
        <v>1259</v>
      </c>
      <c r="C257" s="301" t="str">
        <f t="shared" si="3"/>
        <v>a40af997-1d2b-4252-af40-0b944246497d</v>
      </c>
      <c r="D257" s="2780" t="s">
        <v>1663</v>
      </c>
    </row>
    <row r="258" spans="1:4" x14ac:dyDescent="0.4">
      <c r="A258" s="2560" t="s">
        <v>1261</v>
      </c>
      <c r="B258" s="2402" t="s">
        <v>1261</v>
      </c>
      <c r="C258" s="301" t="str">
        <f t="shared" si="3"/>
        <v>470fece0-1837-411c-b506-d6f317ac1d8d</v>
      </c>
      <c r="D258" s="2780" t="s">
        <v>1664</v>
      </c>
    </row>
    <row r="259" spans="1:4" x14ac:dyDescent="0.4">
      <c r="A259" s="2560" t="s">
        <v>1263</v>
      </c>
      <c r="B259" s="2402" t="s">
        <v>1263</v>
      </c>
      <c r="C259" s="301" t="str">
        <f t="shared" si="3"/>
        <v>276e96be-cf6c-4bc0-a589-044779fb2581</v>
      </c>
      <c r="D259" s="2780" t="s">
        <v>1682</v>
      </c>
    </row>
    <row r="260" spans="1:4" x14ac:dyDescent="0.4">
      <c r="A260" s="2560" t="s">
        <v>1264</v>
      </c>
      <c r="B260" s="2402" t="s">
        <v>1264</v>
      </c>
      <c r="C260" s="301" t="str">
        <f t="shared" si="3"/>
        <v>f7b5e420-630e-40e7-9abe-2e80847939a9</v>
      </c>
      <c r="D260" s="2780" t="s">
        <v>1683</v>
      </c>
    </row>
    <row r="261" spans="1:4" x14ac:dyDescent="0.4">
      <c r="A261" s="2560" t="s">
        <v>1266</v>
      </c>
      <c r="B261" s="2402" t="s">
        <v>1266</v>
      </c>
      <c r="C261" s="301" t="str">
        <f t="shared" si="3"/>
        <v>061aedf3-f0d0-4277-b19f-0508b398ff47</v>
      </c>
      <c r="D261" s="2780" t="s">
        <v>1684</v>
      </c>
    </row>
    <row r="262" spans="1:4" x14ac:dyDescent="0.4">
      <c r="A262" s="2560" t="s">
        <v>1268</v>
      </c>
      <c r="B262" s="2402" t="s">
        <v>1268</v>
      </c>
      <c r="C262" s="301" t="str">
        <f t="shared" si="3"/>
        <v>6e2e8866-2db9-461e-b371-70c3c8e1950b</v>
      </c>
      <c r="D262" s="2780" t="s">
        <v>1685</v>
      </c>
    </row>
    <row r="263" spans="1:4" x14ac:dyDescent="0.4">
      <c r="A263" s="2560" t="s">
        <v>676</v>
      </c>
      <c r="B263" s="2402" t="s">
        <v>1470</v>
      </c>
      <c r="C263" s="301" t="str">
        <f t="shared" si="3"/>
        <v>1dac55ac-4242-45b2-8249-81db8278fd78</v>
      </c>
      <c r="D263" s="2780" t="s">
        <v>1471</v>
      </c>
    </row>
    <row r="264" spans="1:4" x14ac:dyDescent="0.4">
      <c r="A264" s="2560" t="s">
        <v>748</v>
      </c>
      <c r="B264" s="2402" t="s">
        <v>748</v>
      </c>
      <c r="C264" s="301" t="str">
        <f t="shared" si="3"/>
        <v>889b6ea0-e443-44fe-aafa-fddcf0b701b4</v>
      </c>
      <c r="D264" s="2780" t="s">
        <v>1562</v>
      </c>
    </row>
    <row r="265" spans="1:4" x14ac:dyDescent="0.4">
      <c r="A265" s="2560" t="s">
        <v>748</v>
      </c>
      <c r="B265" s="2402" t="s">
        <v>749</v>
      </c>
      <c r="C265" s="301" t="str">
        <f t="shared" ref="C265:C327" si="4">RIGHT(D265,36)</f>
        <v>e728a783-fdcd-4eea-a86c-a589ca02e074</v>
      </c>
      <c r="D265" s="2780" t="s">
        <v>1563</v>
      </c>
    </row>
    <row r="266" spans="1:4" x14ac:dyDescent="0.4">
      <c r="A266" s="2560" t="s">
        <v>1009</v>
      </c>
      <c r="B266" s="2402" t="s">
        <v>1009</v>
      </c>
      <c r="C266" s="301" t="str">
        <f t="shared" si="4"/>
        <v>6b95cc4c-9689-4369-b821-ed1cbd66adf2</v>
      </c>
      <c r="D266" s="2780" t="s">
        <v>1489</v>
      </c>
    </row>
    <row r="267" spans="1:4" x14ac:dyDescent="0.4">
      <c r="A267" s="2560" t="s">
        <v>1009</v>
      </c>
      <c r="B267" s="2402" t="s">
        <v>1011</v>
      </c>
      <c r="C267" s="301" t="str">
        <f t="shared" si="4"/>
        <v>c667b799-492d-4600-8a15-45495d62d097</v>
      </c>
      <c r="D267" s="2780" t="s">
        <v>1490</v>
      </c>
    </row>
    <row r="268" spans="1:4" x14ac:dyDescent="0.4">
      <c r="A268" s="2560" t="s">
        <v>1009</v>
      </c>
      <c r="B268" s="2402" t="s">
        <v>1013</v>
      </c>
      <c r="C268" s="301" t="str">
        <f t="shared" si="4"/>
        <v>c667b799-492d-4600-8a15-45495d62d097</v>
      </c>
      <c r="D268" s="2780" t="s">
        <v>1490</v>
      </c>
    </row>
    <row r="269" spans="1:4" x14ac:dyDescent="0.4">
      <c r="A269" s="2560" t="s">
        <v>1324</v>
      </c>
      <c r="B269" s="2402" t="s">
        <v>1324</v>
      </c>
      <c r="C269" s="301" t="str">
        <f t="shared" si="4"/>
        <v>eaf81d81-f857-4681-9941-8e0bb6a4aa1c</v>
      </c>
      <c r="D269" s="2780" t="s">
        <v>1667</v>
      </c>
    </row>
    <row r="270" spans="1:4" x14ac:dyDescent="0.4">
      <c r="A270" s="2560" t="s">
        <v>1292</v>
      </c>
      <c r="B270" s="2402" t="s">
        <v>1292</v>
      </c>
      <c r="C270" s="301" t="str">
        <f t="shared" si="4"/>
        <v>cda79656-1068-4cdc-85e2-4783a5497f3b</v>
      </c>
      <c r="D270" s="2780" t="s">
        <v>1669</v>
      </c>
    </row>
    <row r="271" spans="1:4" x14ac:dyDescent="0.4">
      <c r="A271" s="2560" t="s">
        <v>146</v>
      </c>
      <c r="B271" s="2402" t="s">
        <v>146</v>
      </c>
      <c r="C271" s="301" t="str">
        <f t="shared" si="4"/>
        <v>fa00bc2b-67f9-4c99-a8c3-07390c29c132</v>
      </c>
      <c r="D271" s="2780" t="s">
        <v>1592</v>
      </c>
    </row>
    <row r="272" spans="1:4" x14ac:dyDescent="0.4">
      <c r="A272" s="2560" t="s">
        <v>1290</v>
      </c>
      <c r="B272" s="2402" t="s">
        <v>1290</v>
      </c>
      <c r="C272" s="301" t="str">
        <f t="shared" si="4"/>
        <v>3a58ac61-870f-41e7-8f21-a30499f303e3</v>
      </c>
      <c r="D272" s="2780" t="s">
        <v>1686</v>
      </c>
    </row>
    <row r="273" spans="1:4" x14ac:dyDescent="0.4">
      <c r="A273" s="2560" t="s">
        <v>1351</v>
      </c>
      <c r="B273" s="2402" t="s">
        <v>1351</v>
      </c>
      <c r="C273" s="301" t="str">
        <f t="shared" si="4"/>
        <v>ddf1c2ec-20c2-43d0-88a2-71adac7b1f45</v>
      </c>
      <c r="D273" s="2780" t="s">
        <v>1687</v>
      </c>
    </row>
    <row r="274" spans="1:4" x14ac:dyDescent="0.4">
      <c r="A274" s="2560" t="s">
        <v>1276</v>
      </c>
      <c r="B274" s="2402" t="s">
        <v>1276</v>
      </c>
      <c r="C274" s="301" t="str">
        <f t="shared" si="4"/>
        <v>83470f8d-6344-4f6d-b2b8-7408698a8be9</v>
      </c>
      <c r="D274" s="2780" t="s">
        <v>1688</v>
      </c>
    </row>
    <row r="275" spans="1:4" x14ac:dyDescent="0.4">
      <c r="A275" s="2560" t="s">
        <v>1338</v>
      </c>
      <c r="B275" s="2402" t="s">
        <v>1338</v>
      </c>
      <c r="C275" s="301" t="str">
        <f t="shared" si="4"/>
        <v>946af397-1cf4-4eeb-881e-68e0de41b49a</v>
      </c>
      <c r="D275" s="2780" t="s">
        <v>1689</v>
      </c>
    </row>
    <row r="276" spans="1:4" x14ac:dyDescent="0.4">
      <c r="A276" s="2560" t="s">
        <v>995</v>
      </c>
      <c r="B276" s="2402" t="s">
        <v>998</v>
      </c>
      <c r="C276" s="301" t="str">
        <f t="shared" si="4"/>
        <v>729e869e-0e78-4cb7-aa60-d09f50d4aa7c</v>
      </c>
      <c r="D276" s="2780" t="s">
        <v>1690</v>
      </c>
    </row>
    <row r="277" spans="1:4" x14ac:dyDescent="0.4">
      <c r="A277" s="2560" t="s">
        <v>1303</v>
      </c>
      <c r="B277" s="2402" t="s">
        <v>1303</v>
      </c>
      <c r="C277" s="301" t="str">
        <f t="shared" si="4"/>
        <v>c76a63a2-418c-4d5b-963d-e229226edc9d</v>
      </c>
      <c r="D277" s="2780" t="s">
        <v>1691</v>
      </c>
    </row>
    <row r="278" spans="1:4" x14ac:dyDescent="0.4">
      <c r="A278" s="2560" t="s">
        <v>1305</v>
      </c>
      <c r="B278" s="2402" t="s">
        <v>1305</v>
      </c>
      <c r="C278" s="301" t="str">
        <f t="shared" si="4"/>
        <v>49c51e9e-60ef-437f-9f2d-8b02a860bc72</v>
      </c>
      <c r="D278" s="2780" t="s">
        <v>1692</v>
      </c>
    </row>
    <row r="279" spans="1:4" x14ac:dyDescent="0.4">
      <c r="A279" s="2560" t="s">
        <v>1278</v>
      </c>
      <c r="B279" s="2402" t="s">
        <v>1278</v>
      </c>
      <c r="C279" s="301" t="str">
        <f t="shared" si="4"/>
        <v>de22bc32-1b96-40e9-ac20-0f8b0fd6fcb4</v>
      </c>
      <c r="D279" s="2780" t="s">
        <v>1693</v>
      </c>
    </row>
    <row r="280" spans="1:4" x14ac:dyDescent="0.4">
      <c r="A280" s="2386" t="s">
        <v>1284</v>
      </c>
      <c r="B280" s="2386" t="s">
        <v>1284</v>
      </c>
      <c r="C280" s="2386" t="str">
        <f t="shared" si="4"/>
        <v>2547c690-4b46-4e07-8c6f-4a4d559f34c5</v>
      </c>
      <c r="D280" s="301" t="s">
        <v>1694</v>
      </c>
    </row>
    <row r="281" spans="1:4" x14ac:dyDescent="0.4">
      <c r="A281" s="2386" t="s">
        <v>1341</v>
      </c>
      <c r="B281" s="2386" t="s">
        <v>1341</v>
      </c>
      <c r="C281" s="2386" t="str">
        <f t="shared" si="4"/>
        <v>d05c0ab9-85eb-4543-9388-e2a87c1353a5</v>
      </c>
      <c r="D281" s="2386" t="s">
        <v>1695</v>
      </c>
    </row>
    <row r="282" spans="1:4" x14ac:dyDescent="0.4">
      <c r="A282" s="2386" t="s">
        <v>1355</v>
      </c>
      <c r="B282" s="2386" t="s">
        <v>1355</v>
      </c>
      <c r="C282" s="2386" t="str">
        <f t="shared" si="4"/>
        <v>0c757662-ae86-46a9-a516-fda1da7ac738</v>
      </c>
      <c r="D282" s="301" t="s">
        <v>1696</v>
      </c>
    </row>
    <row r="283" spans="1:4" x14ac:dyDescent="0.4">
      <c r="A283" s="2386" t="s">
        <v>793</v>
      </c>
      <c r="B283" s="2386" t="s">
        <v>793</v>
      </c>
      <c r="C283" s="2386" t="str">
        <f t="shared" si="4"/>
        <v>94a4cdee-bfc8-4347-8bee-2df0295f0910</v>
      </c>
      <c r="D283" s="2386" t="s">
        <v>1697</v>
      </c>
    </row>
    <row r="284" spans="1:4" x14ac:dyDescent="0.4">
      <c r="A284" s="2386" t="s">
        <v>793</v>
      </c>
      <c r="B284" s="2386" t="s">
        <v>799</v>
      </c>
      <c r="C284" s="2386" t="str">
        <f t="shared" si="4"/>
        <v>d0335ca8-4629-4968-a456-198f6f8788c3</v>
      </c>
      <c r="D284" s="301" t="s">
        <v>1698</v>
      </c>
    </row>
    <row r="285" spans="1:4" x14ac:dyDescent="0.4">
      <c r="A285" s="2386" t="s">
        <v>793</v>
      </c>
      <c r="B285" s="2386" t="s">
        <v>795</v>
      </c>
      <c r="C285" s="2386" t="str">
        <f t="shared" si="4"/>
        <v>3f927836-fa6e-499a-b653-bccc904f1bf5</v>
      </c>
      <c r="D285" s="2386" t="s">
        <v>1699</v>
      </c>
    </row>
    <row r="286" spans="1:4" x14ac:dyDescent="0.4">
      <c r="A286" s="2386" t="s">
        <v>793</v>
      </c>
      <c r="B286" s="2386" t="s">
        <v>802</v>
      </c>
      <c r="C286" s="2386" t="str">
        <f t="shared" si="4"/>
        <v>ff86ad37-2dd7-4a46-9f09-d8ca77df800f</v>
      </c>
      <c r="D286" s="2386" t="s">
        <v>1700</v>
      </c>
    </row>
    <row r="287" spans="1:4" x14ac:dyDescent="0.4">
      <c r="A287" s="2386" t="s">
        <v>793</v>
      </c>
      <c r="B287" s="2386" t="s">
        <v>805</v>
      </c>
      <c r="C287" s="2386" t="str">
        <f t="shared" si="4"/>
        <v>819fae7a-cb02-44c2-a66b-6dfa0e502e8f</v>
      </c>
      <c r="D287" s="2386" t="s">
        <v>1701</v>
      </c>
    </row>
    <row r="288" spans="1:4" x14ac:dyDescent="0.4">
      <c r="A288" s="2386" t="s">
        <v>793</v>
      </c>
      <c r="B288" s="2386" t="s">
        <v>808</v>
      </c>
      <c r="C288" s="2386" t="str">
        <f t="shared" si="4"/>
        <v>d53b4a2b-cf28-4f7e-b927-fea3009b1921</v>
      </c>
      <c r="D288" s="2386" t="s">
        <v>1702</v>
      </c>
    </row>
    <row r="289" spans="1:4" x14ac:dyDescent="0.4">
      <c r="A289" s="2386" t="s">
        <v>1353</v>
      </c>
      <c r="B289" s="2386" t="s">
        <v>1353</v>
      </c>
      <c r="C289" s="2386" t="str">
        <f t="shared" si="4"/>
        <v>9e7ce4d8-599a-44fb-8d9e-d69346ff933c</v>
      </c>
      <c r="D289" s="301" t="s">
        <v>1703</v>
      </c>
    </row>
    <row r="290" spans="1:4" x14ac:dyDescent="0.4">
      <c r="A290" s="2386" t="s">
        <v>1357</v>
      </c>
      <c r="B290" s="2386" t="s">
        <v>1357</v>
      </c>
      <c r="C290" s="2386" t="str">
        <f t="shared" si="4"/>
        <v>b0ca1208-cfa4-4e52-907f-4845e000ec0b</v>
      </c>
      <c r="D290" s="301" t="s">
        <v>1704</v>
      </c>
    </row>
    <row r="291" spans="1:4" x14ac:dyDescent="0.4">
      <c r="A291" s="2386" t="s">
        <v>1705</v>
      </c>
      <c r="B291" s="2386" t="s">
        <v>1705</v>
      </c>
      <c r="C291" s="2386" t="str">
        <f t="shared" si="4"/>
        <v>ddf1c2ec-20c2-43d0-88a2-71adac7b1f45</v>
      </c>
      <c r="D291" s="301" t="s">
        <v>1706</v>
      </c>
    </row>
    <row r="292" spans="1:4" x14ac:dyDescent="0.4">
      <c r="A292" s="2386" t="s">
        <v>1363</v>
      </c>
      <c r="B292" s="2386" t="s">
        <v>1363</v>
      </c>
      <c r="C292" s="2386" t="str">
        <f t="shared" si="4"/>
        <v>81f67534-5398-4bb9-be61-eb89459bb69b</v>
      </c>
      <c r="D292" s="2386" t="s">
        <v>1707</v>
      </c>
    </row>
    <row r="293" spans="1:4" x14ac:dyDescent="0.4">
      <c r="A293" s="2386" t="s">
        <v>1347</v>
      </c>
      <c r="B293" s="2386" t="s">
        <v>1347</v>
      </c>
      <c r="C293" s="2386" t="str">
        <f t="shared" si="4"/>
        <v>80e79bfd-75f3-4ac1-8885-908499427d28</v>
      </c>
      <c r="D293" s="301" t="s">
        <v>1708</v>
      </c>
    </row>
    <row r="294" spans="1:4" x14ac:dyDescent="0.4">
      <c r="A294" s="2386" t="s">
        <v>1349</v>
      </c>
      <c r="B294" s="2386" t="s">
        <v>1349</v>
      </c>
      <c r="C294" s="2386" t="str">
        <f t="shared" si="4"/>
        <v>ff638af1-2524-4b1e-9bff-9285baf9bd57</v>
      </c>
      <c r="D294" s="2386" t="s">
        <v>1709</v>
      </c>
    </row>
    <row r="295" spans="1:4" x14ac:dyDescent="0.4">
      <c r="A295" s="2386" t="s">
        <v>1308</v>
      </c>
      <c r="B295" s="2386" t="s">
        <v>1308</v>
      </c>
      <c r="C295" s="2386" t="str">
        <f t="shared" si="4"/>
        <v>93cadf83-9c79-4888-9b33-17b47378b577</v>
      </c>
      <c r="D295" s="2386" t="s">
        <v>1710</v>
      </c>
    </row>
    <row r="296" spans="1:4" x14ac:dyDescent="0.4">
      <c r="A296" s="2386" t="s">
        <v>1310</v>
      </c>
      <c r="B296" s="2386" t="s">
        <v>1310</v>
      </c>
      <c r="C296" s="2386" t="str">
        <f t="shared" si="4"/>
        <v>d876261a-84b4-41f1-aa4b-e55cd43de0d1</v>
      </c>
      <c r="D296" s="2386" t="s">
        <v>1711</v>
      </c>
    </row>
    <row r="297" spans="1:4" x14ac:dyDescent="0.4">
      <c r="A297" s="2386" t="s">
        <v>1312</v>
      </c>
      <c r="B297" s="2386" t="s">
        <v>1312</v>
      </c>
      <c r="C297" s="2386" t="str">
        <f t="shared" si="4"/>
        <v>a54db9a3-9906-46d4-9ac2-b2a5cb22ddce</v>
      </c>
      <c r="D297" s="2386" t="s">
        <v>1712</v>
      </c>
    </row>
    <row r="298" spans="1:4" x14ac:dyDescent="0.4">
      <c r="A298" s="2386" t="s">
        <v>1314</v>
      </c>
      <c r="B298" s="2386" t="s">
        <v>1314</v>
      </c>
      <c r="C298" s="2386" t="str">
        <f t="shared" si="4"/>
        <v>4b7b0cbc-a5be-44ff-8983-f1aad359a2b1</v>
      </c>
      <c r="D298" s="2386" t="s">
        <v>1713</v>
      </c>
    </row>
    <row r="299" spans="1:4" x14ac:dyDescent="0.4">
      <c r="A299" s="2386" t="s">
        <v>1329</v>
      </c>
      <c r="B299" s="2386" t="s">
        <v>1329</v>
      </c>
      <c r="C299" s="2386" t="str">
        <f t="shared" si="4"/>
        <v>ec5c4c63-614a-478e-8860-21e95b79a195</v>
      </c>
      <c r="D299" s="2386" t="s">
        <v>1714</v>
      </c>
    </row>
    <row r="300" spans="1:4" x14ac:dyDescent="0.4">
      <c r="A300" s="2386" t="s">
        <v>1334</v>
      </c>
      <c r="B300" s="2386" t="s">
        <v>1334</v>
      </c>
      <c r="C300" s="2386" t="str">
        <f t="shared" si="4"/>
        <v>4f29aee9-0620-4c6c-8ec6-c881bf9e2c98</v>
      </c>
      <c r="D300" s="2386" t="s">
        <v>1715</v>
      </c>
    </row>
    <row r="301" spans="1:4" x14ac:dyDescent="0.4">
      <c r="A301" s="2386" t="s">
        <v>1343</v>
      </c>
      <c r="B301" s="2386" t="s">
        <v>1343</v>
      </c>
      <c r="C301" s="2386" t="str">
        <f t="shared" si="4"/>
        <v>8251c561-b077-4a61-b1bc-b4372542f95c</v>
      </c>
      <c r="D301" s="2386" t="s">
        <v>1716</v>
      </c>
    </row>
    <row r="302" spans="1:4" x14ac:dyDescent="0.4">
      <c r="A302" s="2386" t="s">
        <v>1344</v>
      </c>
      <c r="B302" s="2386" t="s">
        <v>1344</v>
      </c>
      <c r="C302" s="2386" t="str">
        <f t="shared" si="4"/>
        <v>c9c61759-a9bd-49cc-8115-ff3e448ef9ec</v>
      </c>
      <c r="D302" s="2386" t="s">
        <v>1717</v>
      </c>
    </row>
    <row r="303" spans="1:4" x14ac:dyDescent="0.4">
      <c r="A303" s="2386" t="s">
        <v>1362</v>
      </c>
      <c r="B303" s="2386" t="s">
        <v>1362</v>
      </c>
      <c r="C303" s="2386" t="str">
        <f t="shared" si="4"/>
        <v>40ed7c89-dfa4-4beb-832c-13bca8f04e9c</v>
      </c>
      <c r="D303" s="2386" t="s">
        <v>1718</v>
      </c>
    </row>
    <row r="304" spans="1:4" x14ac:dyDescent="0.4">
      <c r="A304" s="2386" t="s">
        <v>1719</v>
      </c>
      <c r="B304" s="2386" t="s">
        <v>1719</v>
      </c>
      <c r="C304" s="2386" t="str">
        <f t="shared" si="4"/>
        <v>9ff2f4d5-512f-4645-8428-dc7ecdf0e4b1</v>
      </c>
      <c r="D304" s="2386" t="s">
        <v>1720</v>
      </c>
    </row>
    <row r="305" spans="1:4" x14ac:dyDescent="0.4">
      <c r="A305" s="2386" t="s">
        <v>1294</v>
      </c>
      <c r="B305" s="2386" t="s">
        <v>1294</v>
      </c>
      <c r="C305" s="2386" t="str">
        <f t="shared" si="4"/>
        <v>5355ab25-a28e-4e47-af0f-212675234bbf</v>
      </c>
      <c r="D305" s="2386" t="s">
        <v>1721</v>
      </c>
    </row>
    <row r="306" spans="1:4" x14ac:dyDescent="0.4">
      <c r="A306" s="2386" t="s">
        <v>1317</v>
      </c>
      <c r="B306" s="2386" t="s">
        <v>1722</v>
      </c>
      <c r="C306" s="2386" t="str">
        <f t="shared" si="4"/>
        <v>37c4e595-a471-41c4-9ea4-648558981796</v>
      </c>
      <c r="D306" s="2386" t="s">
        <v>1723</v>
      </c>
    </row>
    <row r="307" spans="1:4" x14ac:dyDescent="0.4">
      <c r="A307" s="2386" t="s">
        <v>814</v>
      </c>
      <c r="B307" s="2386" t="s">
        <v>816</v>
      </c>
      <c r="C307" s="2386" t="str">
        <f t="shared" si="4"/>
        <v>7e973a5c-6540-475c-8629-1045639f6982</v>
      </c>
      <c r="D307" s="301" t="s">
        <v>1724</v>
      </c>
    </row>
    <row r="308" spans="1:4" x14ac:dyDescent="0.4">
      <c r="A308" s="2386" t="s">
        <v>1296</v>
      </c>
      <c r="B308" s="2386" t="s">
        <v>1296</v>
      </c>
      <c r="C308" s="2386" t="str">
        <f t="shared" si="4"/>
        <v>4103f386-ae0f-4dd8-ac7f-3cfc67c8a327</v>
      </c>
      <c r="D308" s="301" t="s">
        <v>1725</v>
      </c>
    </row>
    <row r="309" spans="1:4" x14ac:dyDescent="0.4">
      <c r="A309" s="2386" t="s">
        <v>1281</v>
      </c>
      <c r="B309" s="2386" t="s">
        <v>1281</v>
      </c>
      <c r="C309" s="2386" t="str">
        <f t="shared" si="4"/>
        <v>0b241e4a-1858-4278-bcf0-f492c4e87199</v>
      </c>
      <c r="D309" s="301" t="s">
        <v>1726</v>
      </c>
    </row>
    <row r="310" spans="1:4" x14ac:dyDescent="0.4">
      <c r="A310" s="2386" t="s">
        <v>1035</v>
      </c>
      <c r="B310" s="2386" t="s">
        <v>1035</v>
      </c>
      <c r="C310" s="2386" t="str">
        <f t="shared" si="4"/>
        <v>51c33fc9-ad2b-4b32-851d-8570f8fd4f25</v>
      </c>
      <c r="D310" s="2386" t="s">
        <v>1727</v>
      </c>
    </row>
    <row r="311" spans="1:4" x14ac:dyDescent="0.4">
      <c r="A311" s="2386" t="s">
        <v>931</v>
      </c>
      <c r="B311" s="2386" t="s">
        <v>931</v>
      </c>
      <c r="C311" s="2386" t="str">
        <f t="shared" si="4"/>
        <v>cc56da96-1cf0-4e9d-ab9b-e0a24613803f</v>
      </c>
      <c r="D311" s="2386" t="s">
        <v>1728</v>
      </c>
    </row>
    <row r="312" spans="1:4" x14ac:dyDescent="0.4">
      <c r="A312" s="2386" t="s">
        <v>931</v>
      </c>
      <c r="B312" s="2386" t="s">
        <v>935</v>
      </c>
      <c r="C312" s="2386" t="str">
        <f t="shared" si="4"/>
        <v>e43f00ca-06f9-4ee2-b8d5-58a10c4cfbed</v>
      </c>
      <c r="D312" s="2386" t="s">
        <v>1729</v>
      </c>
    </row>
    <row r="313" spans="1:4" x14ac:dyDescent="0.4">
      <c r="A313" s="2386" t="s">
        <v>931</v>
      </c>
      <c r="B313" s="2386" t="s">
        <v>934</v>
      </c>
      <c r="C313" s="2386" t="str">
        <f t="shared" si="4"/>
        <v>e74b1813-6749-46e8-8a03-2e78bb88af8e</v>
      </c>
      <c r="D313" s="2386" t="s">
        <v>1730</v>
      </c>
    </row>
    <row r="314" spans="1:4" x14ac:dyDescent="0.4">
      <c r="A314" s="2386" t="s">
        <v>946</v>
      </c>
      <c r="B314" s="2386" t="s">
        <v>946</v>
      </c>
      <c r="C314" s="2386" t="str">
        <f t="shared" si="4"/>
        <v>1d0075ee-ec09-4c66-83f3-f3b9a8aa9cf3</v>
      </c>
      <c r="D314" s="2386" t="s">
        <v>1731</v>
      </c>
    </row>
    <row r="315" spans="1:4" x14ac:dyDescent="0.4">
      <c r="A315" s="2386" t="s">
        <v>946</v>
      </c>
      <c r="B315" s="2386" t="s">
        <v>948</v>
      </c>
      <c r="C315" s="2386" t="str">
        <f>RIGHT(D315,36)</f>
        <v>1b01d473-fd64-4152-a546-b2b09f84eba3</v>
      </c>
      <c r="D315" s="2788" t="s">
        <v>1732</v>
      </c>
    </row>
    <row r="316" spans="1:4" x14ac:dyDescent="0.4">
      <c r="A316" s="2386" t="s">
        <v>1332</v>
      </c>
      <c r="B316" s="2386" t="s">
        <v>1733</v>
      </c>
      <c r="C316" s="2386" t="str">
        <f t="shared" si="4"/>
        <v>391817c2-af3a-4881-85ae-6d17290de137</v>
      </c>
      <c r="D316" s="301" t="s">
        <v>1734</v>
      </c>
    </row>
    <row r="317" spans="1:4" x14ac:dyDescent="0.4">
      <c r="A317" s="2386" t="s">
        <v>1287</v>
      </c>
      <c r="B317" s="2386" t="s">
        <v>1735</v>
      </c>
      <c r="C317" s="2386" t="str">
        <f t="shared" si="4"/>
        <v>71b8b006-8e5d-4149-b745-451ef7e7c02b</v>
      </c>
      <c r="D317" s="2386" t="s">
        <v>1736</v>
      </c>
    </row>
    <row r="318" spans="1:4" x14ac:dyDescent="0.4">
      <c r="A318" s="2386" t="s">
        <v>814</v>
      </c>
      <c r="B318" s="2386" t="s">
        <v>814</v>
      </c>
      <c r="C318" s="2386" t="str">
        <f t="shared" si="4"/>
        <v>3aff95c8-bb13-4a87-96d9-aff06b9b205f</v>
      </c>
      <c r="D318" s="301" t="s">
        <v>1737</v>
      </c>
    </row>
    <row r="319" spans="1:4" x14ac:dyDescent="0.4">
      <c r="A319" s="2386" t="s">
        <v>638</v>
      </c>
      <c r="B319" s="2386" t="s">
        <v>638</v>
      </c>
      <c r="C319" s="2386" t="str">
        <f t="shared" si="4"/>
        <v>2fde8664-eb33-4c2c-a406-532fd037b810</v>
      </c>
      <c r="D319" s="301" t="s">
        <v>1738</v>
      </c>
    </row>
    <row r="320" spans="1:4" x14ac:dyDescent="0.4">
      <c r="A320" s="2386" t="s">
        <v>1041</v>
      </c>
      <c r="B320" s="2386" t="s">
        <v>1041</v>
      </c>
      <c r="C320" s="2386" t="str">
        <f t="shared" si="4"/>
        <v>7ba1b7d4-0fc3-437f-b7e6-71e268691f65</v>
      </c>
      <c r="D320" s="2386" t="s">
        <v>1739</v>
      </c>
    </row>
    <row r="321" spans="1:4" x14ac:dyDescent="0.4">
      <c r="A321" s="2386" t="s">
        <v>1326</v>
      </c>
      <c r="B321" s="2386" t="s">
        <v>1326</v>
      </c>
      <c r="C321" s="2386" t="str">
        <f t="shared" si="4"/>
        <v>93a608be-fe75-48b2-8cdf-a87e0aa20066</v>
      </c>
      <c r="D321" s="2386" t="s">
        <v>1740</v>
      </c>
    </row>
    <row r="322" spans="1:4" x14ac:dyDescent="0.4">
      <c r="A322" s="2386" t="s">
        <v>814</v>
      </c>
      <c r="B322" s="2386" t="s">
        <v>1741</v>
      </c>
      <c r="C322" s="2386" t="str">
        <f t="shared" si="4"/>
        <v>cb1ccc79-0dd8-4e8e-a1de-1f709007424f</v>
      </c>
      <c r="D322" s="2386" t="s">
        <v>1742</v>
      </c>
    </row>
    <row r="323" spans="1:4" x14ac:dyDescent="0.4">
      <c r="A323" s="2386" t="s">
        <v>824</v>
      </c>
      <c r="B323" s="2386" t="s">
        <v>824</v>
      </c>
      <c r="C323" s="2386" t="str">
        <f t="shared" si="4"/>
        <v>db031f70-ea25-4fce-bda0-a619601fa7f5</v>
      </c>
      <c r="D323" s="2386" t="s">
        <v>1743</v>
      </c>
    </row>
    <row r="324" spans="1:4" x14ac:dyDescent="0.4">
      <c r="A324" s="2386" t="s">
        <v>206</v>
      </c>
      <c r="B324" s="2386" t="s">
        <v>206</v>
      </c>
      <c r="C324" s="2386" t="str">
        <f t="shared" si="4"/>
        <v>f22f9db5-360c-41b8-b86b-5b9e8d166737</v>
      </c>
      <c r="D324" s="2386" t="s">
        <v>1744</v>
      </c>
    </row>
    <row r="325" spans="1:4" x14ac:dyDescent="0.4">
      <c r="A325" s="2386" t="s">
        <v>995</v>
      </c>
      <c r="B325" s="2386" t="s">
        <v>1745</v>
      </c>
      <c r="C325" s="2386" t="str">
        <f t="shared" si="4"/>
        <v>1a5f120f-4253-4c26-bb85-4e6ba47f1f90</v>
      </c>
      <c r="D325" s="2386" t="s">
        <v>1746</v>
      </c>
    </row>
    <row r="326" spans="1:4" x14ac:dyDescent="0.4">
      <c r="A326" s="2386" t="s">
        <v>1298</v>
      </c>
      <c r="B326" s="2386" t="s">
        <v>1298</v>
      </c>
      <c r="C326" s="2386" t="str">
        <f t="shared" si="4"/>
        <v>64fc2e6a-bf7d-4e5f-b9c6-464289daa809</v>
      </c>
      <c r="D326" s="2386" t="s">
        <v>1747</v>
      </c>
    </row>
    <row r="327" spans="1:4" ht="19.5" x14ac:dyDescent="0.4">
      <c r="A327" s="2443" t="s">
        <v>814</v>
      </c>
      <c r="B327" s="2388" t="s">
        <v>643</v>
      </c>
      <c r="C327" s="2386" t="str">
        <f t="shared" si="4"/>
        <v>bcc45cff-7379-4603-bbe9-193c141d2d96</v>
      </c>
      <c r="D327" s="2780" t="s">
        <v>1748</v>
      </c>
    </row>
    <row r="328" spans="1:4" x14ac:dyDescent="0.4">
      <c r="A328" s="2386" t="s">
        <v>824</v>
      </c>
      <c r="B328" s="2386" t="s">
        <v>830</v>
      </c>
      <c r="C328" s="2386" t="str">
        <f>RIGHT(D328,36)</f>
        <v>4ff15d30-941e-4046-8db0-99cd5fe84f1d</v>
      </c>
      <c r="D328" s="2386" t="s">
        <v>1749</v>
      </c>
    </row>
    <row r="329" spans="1:4" x14ac:dyDescent="0.4">
      <c r="A329" s="2386" t="s">
        <v>638</v>
      </c>
      <c r="B329" s="2386" t="s">
        <v>639</v>
      </c>
      <c r="C329" s="2386" t="str">
        <f t="shared" ref="C329:C395" si="5">RIGHT(D329,36)</f>
        <v>5730fe55-e085-47b0-9d90-368a2f262ccb</v>
      </c>
      <c r="D329" s="301" t="s">
        <v>1750</v>
      </c>
    </row>
    <row r="330" spans="1:4" x14ac:dyDescent="0.4">
      <c r="A330" s="2386" t="s">
        <v>1336</v>
      </c>
      <c r="B330" s="2386" t="s">
        <v>1336</v>
      </c>
      <c r="C330" s="2386" t="str">
        <f t="shared" si="5"/>
        <v>b97f4323-b659-475e-afbf-924f72d1bb28</v>
      </c>
      <c r="D330" s="2386" t="s">
        <v>1751</v>
      </c>
    </row>
    <row r="331" spans="1:4" x14ac:dyDescent="0.4">
      <c r="A331" s="2386" t="s">
        <v>282</v>
      </c>
      <c r="B331" s="2386" t="s">
        <v>282</v>
      </c>
      <c r="C331" s="2386" t="str">
        <f t="shared" si="5"/>
        <v>e0de3453-89ca-4961-8f74-5980f5579fbf</v>
      </c>
      <c r="D331" s="301" t="s">
        <v>1752</v>
      </c>
    </row>
    <row r="332" spans="1:4" x14ac:dyDescent="0.4">
      <c r="A332" s="2386" t="s">
        <v>282</v>
      </c>
      <c r="B332" s="2386" t="s">
        <v>882</v>
      </c>
      <c r="C332" s="2386" t="str">
        <f t="shared" si="5"/>
        <v>9c3143b2-9d73-45e4-8f4a-a77f9598d078</v>
      </c>
      <c r="D332" s="2386" t="s">
        <v>1753</v>
      </c>
    </row>
    <row r="333" spans="1:4" x14ac:dyDescent="0.4">
      <c r="A333" s="2386" t="s">
        <v>282</v>
      </c>
      <c r="B333" s="2386" t="s">
        <v>884</v>
      </c>
      <c r="C333" s="2386" t="str">
        <f t="shared" si="5"/>
        <v>96029db4-7254-4aa8-938c-a916d70615ae</v>
      </c>
      <c r="D333" s="2386" t="s">
        <v>1754</v>
      </c>
    </row>
    <row r="334" spans="1:4" x14ac:dyDescent="0.4">
      <c r="A334" s="2386" t="s">
        <v>1360</v>
      </c>
      <c r="B334" s="2386" t="s">
        <v>1360</v>
      </c>
      <c r="C334" s="2386" t="str">
        <f t="shared" si="5"/>
        <v>de274d4e-f586-44d6-8716-0dc6ce739500</v>
      </c>
      <c r="D334" s="2386" t="s">
        <v>1755</v>
      </c>
    </row>
    <row r="335" spans="1:4" x14ac:dyDescent="0.4">
      <c r="A335" s="2386" t="s">
        <v>1319</v>
      </c>
      <c r="B335" s="2386" t="s">
        <v>1319</v>
      </c>
      <c r="C335" s="2386" t="str">
        <f t="shared" si="5"/>
        <v>ef51b76f-f31b-43cd-a4e4-b3111a78d952</v>
      </c>
      <c r="D335" s="2386" t="s">
        <v>1756</v>
      </c>
    </row>
    <row r="336" spans="1:4" x14ac:dyDescent="0.4">
      <c r="A336" s="2386" t="s">
        <v>1321</v>
      </c>
      <c r="B336" s="2386" t="s">
        <v>1321</v>
      </c>
      <c r="C336" s="2386" t="str">
        <f t="shared" si="5"/>
        <v>8f5394a9-c33f-48bb-9681-1a18002e586a</v>
      </c>
      <c r="D336" s="2386" t="s">
        <v>1757</v>
      </c>
    </row>
    <row r="337" spans="1:4" x14ac:dyDescent="0.4">
      <c r="A337" s="2386" t="s">
        <v>1019</v>
      </c>
      <c r="B337" s="2386" t="s">
        <v>299</v>
      </c>
      <c r="C337" s="2386" t="str">
        <f t="shared" si="5"/>
        <v>550c5816-ff49-44b8-9776-4ce3e376e62d</v>
      </c>
      <c r="D337" s="2386" t="s">
        <v>1758</v>
      </c>
    </row>
    <row r="338" spans="1:4" x14ac:dyDescent="0.4">
      <c r="A338" s="2386" t="s">
        <v>1022</v>
      </c>
      <c r="B338" s="2386" t="s">
        <v>301</v>
      </c>
      <c r="C338" s="2386" t="str">
        <f t="shared" si="5"/>
        <v>a5723567-d1c6-4874-918c-cf82c14e9375</v>
      </c>
      <c r="D338" s="2386" t="s">
        <v>1759</v>
      </c>
    </row>
    <row r="339" spans="1:4" x14ac:dyDescent="0.4">
      <c r="A339" s="2386" t="s">
        <v>902</v>
      </c>
      <c r="B339" s="2386" t="s">
        <v>902</v>
      </c>
      <c r="C339" s="2386" t="str">
        <f>RIGHT(D339,36)</f>
        <v>f4807e4a-e5fa-4332-9f5c-3be7961c1e05</v>
      </c>
      <c r="D339" s="2386" t="s">
        <v>1760</v>
      </c>
    </row>
    <row r="340" spans="1:4" ht="19.5" x14ac:dyDescent="0.4">
      <c r="A340" s="2386" t="s">
        <v>902</v>
      </c>
      <c r="B340" s="2388" t="s">
        <v>692</v>
      </c>
      <c r="C340" s="2386" t="str">
        <f t="shared" ref="C340" si="6">RIGHT(D340,36)</f>
        <v>9d843565-9ed4-4ad5-9937-351ab940f21e</v>
      </c>
      <c r="D340" s="2829" t="s">
        <v>1767</v>
      </c>
    </row>
    <row r="341" spans="1:4" x14ac:dyDescent="0.4">
      <c r="A341" s="2386" t="s">
        <v>233</v>
      </c>
      <c r="B341" s="2386" t="s">
        <v>233</v>
      </c>
      <c r="C341" s="2386" t="str">
        <f>RIGHT(D341,36)</f>
        <v>4026ab3e-84be-426c-a4fb-e009fa0cb698</v>
      </c>
      <c r="D341" s="2386" t="s">
        <v>1761</v>
      </c>
    </row>
    <row r="342" spans="1:4" x14ac:dyDescent="0.4">
      <c r="A342" s="2386" t="s">
        <v>303</v>
      </c>
      <c r="B342" s="2386" t="s">
        <v>303</v>
      </c>
      <c r="C342" s="2386" t="str">
        <f>RIGHT(D342,36)</f>
        <v>0d793b93-52d8-4f61-8369-256e68b5d5f0</v>
      </c>
      <c r="D342" s="2386" t="s">
        <v>1762</v>
      </c>
    </row>
    <row r="343" spans="1:4" x14ac:dyDescent="0.4">
      <c r="A343" s="2386" t="s">
        <v>826</v>
      </c>
      <c r="B343" s="2386" t="s">
        <v>827</v>
      </c>
      <c r="C343" s="2386" t="str">
        <f t="shared" si="5"/>
        <v>7c179644-2819-4b6f-8460-8e052f3818cb</v>
      </c>
      <c r="D343" s="2386" t="s">
        <v>1763</v>
      </c>
    </row>
    <row r="344" spans="1:4" x14ac:dyDescent="0.4">
      <c r="A344" s="2386" t="s">
        <v>1764</v>
      </c>
      <c r="B344" s="2386" t="s">
        <v>1001</v>
      </c>
      <c r="C344" s="2386" t="str">
        <f t="shared" si="5"/>
        <v>6bc97676-ee0e-4d92-a500-d337bec70da1</v>
      </c>
      <c r="D344" s="2386" t="s">
        <v>1765</v>
      </c>
    </row>
    <row r="345" spans="1:4" x14ac:dyDescent="0.4">
      <c r="C345" s="2386" t="str">
        <f t="shared" si="5"/>
        <v/>
      </c>
    </row>
    <row r="346" spans="1:4" x14ac:dyDescent="0.4">
      <c r="C346" s="2386" t="str">
        <f t="shared" si="5"/>
        <v/>
      </c>
    </row>
    <row r="347" spans="1:4" x14ac:dyDescent="0.4">
      <c r="C347" s="2386" t="str">
        <f t="shared" si="5"/>
        <v/>
      </c>
    </row>
    <row r="348" spans="1:4" x14ac:dyDescent="0.4">
      <c r="C348" s="2386" t="str">
        <f t="shared" si="5"/>
        <v/>
      </c>
    </row>
    <row r="349" spans="1:4" x14ac:dyDescent="0.4">
      <c r="C349" s="2386" t="str">
        <f t="shared" si="5"/>
        <v/>
      </c>
    </row>
    <row r="350" spans="1:4" x14ac:dyDescent="0.4">
      <c r="C350" s="2386" t="str">
        <f t="shared" si="5"/>
        <v/>
      </c>
    </row>
    <row r="351" spans="1:4" x14ac:dyDescent="0.4">
      <c r="C351" s="2386" t="str">
        <f t="shared" si="5"/>
        <v/>
      </c>
    </row>
    <row r="352" spans="1:4" x14ac:dyDescent="0.4">
      <c r="C352" s="2386" t="str">
        <f t="shared" si="5"/>
        <v/>
      </c>
    </row>
    <row r="353" spans="3:3" x14ac:dyDescent="0.4">
      <c r="C353" s="2386" t="str">
        <f t="shared" si="5"/>
        <v/>
      </c>
    </row>
    <row r="354" spans="3:3" x14ac:dyDescent="0.4">
      <c r="C354" s="2386" t="str">
        <f t="shared" si="5"/>
        <v/>
      </c>
    </row>
    <row r="355" spans="3:3" x14ac:dyDescent="0.4">
      <c r="C355" s="2386" t="str">
        <f t="shared" si="5"/>
        <v/>
      </c>
    </row>
    <row r="356" spans="3:3" x14ac:dyDescent="0.4">
      <c r="C356" s="2386" t="str">
        <f t="shared" si="5"/>
        <v/>
      </c>
    </row>
    <row r="357" spans="3:3" x14ac:dyDescent="0.4">
      <c r="C357" s="2386" t="str">
        <f t="shared" si="5"/>
        <v/>
      </c>
    </row>
    <row r="358" spans="3:3" x14ac:dyDescent="0.4">
      <c r="C358" s="2386" t="str">
        <f t="shared" si="5"/>
        <v/>
      </c>
    </row>
    <row r="359" spans="3:3" x14ac:dyDescent="0.4">
      <c r="C359" s="2386" t="str">
        <f t="shared" si="5"/>
        <v/>
      </c>
    </row>
    <row r="360" spans="3:3" x14ac:dyDescent="0.4">
      <c r="C360" s="2386" t="str">
        <f t="shared" si="5"/>
        <v/>
      </c>
    </row>
    <row r="361" spans="3:3" x14ac:dyDescent="0.4">
      <c r="C361" s="2386" t="str">
        <f t="shared" si="5"/>
        <v/>
      </c>
    </row>
    <row r="362" spans="3:3" x14ac:dyDescent="0.4">
      <c r="C362" s="2386" t="str">
        <f t="shared" si="5"/>
        <v/>
      </c>
    </row>
    <row r="363" spans="3:3" x14ac:dyDescent="0.4">
      <c r="C363" s="2386" t="str">
        <f t="shared" si="5"/>
        <v/>
      </c>
    </row>
    <row r="364" spans="3:3" x14ac:dyDescent="0.4">
      <c r="C364" s="2386" t="str">
        <f t="shared" si="5"/>
        <v/>
      </c>
    </row>
    <row r="365" spans="3:3" x14ac:dyDescent="0.4">
      <c r="C365" s="2386" t="str">
        <f t="shared" si="5"/>
        <v/>
      </c>
    </row>
    <row r="366" spans="3:3" x14ac:dyDescent="0.4">
      <c r="C366" s="2386" t="str">
        <f t="shared" si="5"/>
        <v/>
      </c>
    </row>
    <row r="367" spans="3:3" x14ac:dyDescent="0.4">
      <c r="C367" s="2386" t="str">
        <f t="shared" si="5"/>
        <v/>
      </c>
    </row>
    <row r="368" spans="3:3" x14ac:dyDescent="0.4">
      <c r="C368" s="2386" t="str">
        <f t="shared" si="5"/>
        <v/>
      </c>
    </row>
    <row r="369" spans="3:3" x14ac:dyDescent="0.4">
      <c r="C369" s="2386" t="str">
        <f t="shared" si="5"/>
        <v/>
      </c>
    </row>
    <row r="370" spans="3:3" x14ac:dyDescent="0.4">
      <c r="C370" s="2386" t="str">
        <f t="shared" si="5"/>
        <v/>
      </c>
    </row>
    <row r="371" spans="3:3" x14ac:dyDescent="0.4">
      <c r="C371" s="2386" t="str">
        <f t="shared" si="5"/>
        <v/>
      </c>
    </row>
    <row r="372" spans="3:3" x14ac:dyDescent="0.4">
      <c r="C372" s="2386" t="str">
        <f t="shared" si="5"/>
        <v/>
      </c>
    </row>
    <row r="373" spans="3:3" x14ac:dyDescent="0.4">
      <c r="C373" s="2386" t="str">
        <f t="shared" si="5"/>
        <v/>
      </c>
    </row>
    <row r="374" spans="3:3" x14ac:dyDescent="0.4">
      <c r="C374" s="2386" t="str">
        <f t="shared" si="5"/>
        <v/>
      </c>
    </row>
    <row r="375" spans="3:3" x14ac:dyDescent="0.4">
      <c r="C375" s="2386" t="str">
        <f t="shared" si="5"/>
        <v/>
      </c>
    </row>
    <row r="376" spans="3:3" x14ac:dyDescent="0.4">
      <c r="C376" s="2386" t="str">
        <f t="shared" si="5"/>
        <v/>
      </c>
    </row>
    <row r="377" spans="3:3" x14ac:dyDescent="0.4">
      <c r="C377" s="2386" t="str">
        <f t="shared" si="5"/>
        <v/>
      </c>
    </row>
    <row r="378" spans="3:3" x14ac:dyDescent="0.4">
      <c r="C378" s="2386" t="str">
        <f t="shared" si="5"/>
        <v/>
      </c>
    </row>
    <row r="379" spans="3:3" x14ac:dyDescent="0.4">
      <c r="C379" s="2386" t="str">
        <f t="shared" si="5"/>
        <v/>
      </c>
    </row>
    <row r="380" spans="3:3" x14ac:dyDescent="0.4">
      <c r="C380" s="2386" t="str">
        <f t="shared" si="5"/>
        <v/>
      </c>
    </row>
    <row r="381" spans="3:3" x14ac:dyDescent="0.4">
      <c r="C381" s="2386" t="str">
        <f t="shared" si="5"/>
        <v/>
      </c>
    </row>
    <row r="382" spans="3:3" x14ac:dyDescent="0.4">
      <c r="C382" s="2386" t="str">
        <f t="shared" si="5"/>
        <v/>
      </c>
    </row>
    <row r="383" spans="3:3" x14ac:dyDescent="0.4">
      <c r="C383" s="2386" t="str">
        <f t="shared" si="5"/>
        <v/>
      </c>
    </row>
    <row r="384" spans="3:3" x14ac:dyDescent="0.4">
      <c r="C384" s="2386" t="str">
        <f t="shared" si="5"/>
        <v/>
      </c>
    </row>
    <row r="385" spans="3:3" x14ac:dyDescent="0.4">
      <c r="C385" s="2386" t="str">
        <f t="shared" si="5"/>
        <v/>
      </c>
    </row>
    <row r="386" spans="3:3" x14ac:dyDescent="0.4">
      <c r="C386" s="2386" t="str">
        <f t="shared" si="5"/>
        <v/>
      </c>
    </row>
    <row r="387" spans="3:3" x14ac:dyDescent="0.4">
      <c r="C387" s="2386" t="str">
        <f t="shared" si="5"/>
        <v/>
      </c>
    </row>
    <row r="388" spans="3:3" x14ac:dyDescent="0.4">
      <c r="C388" s="2386" t="str">
        <f t="shared" si="5"/>
        <v/>
      </c>
    </row>
    <row r="389" spans="3:3" x14ac:dyDescent="0.4">
      <c r="C389" s="2386" t="str">
        <f t="shared" si="5"/>
        <v/>
      </c>
    </row>
    <row r="390" spans="3:3" x14ac:dyDescent="0.4">
      <c r="C390" s="2386" t="str">
        <f t="shared" si="5"/>
        <v/>
      </c>
    </row>
    <row r="391" spans="3:3" x14ac:dyDescent="0.4">
      <c r="C391" s="2386" t="str">
        <f t="shared" si="5"/>
        <v/>
      </c>
    </row>
    <row r="392" spans="3:3" x14ac:dyDescent="0.4">
      <c r="C392" s="2386" t="str">
        <f t="shared" si="5"/>
        <v/>
      </c>
    </row>
    <row r="393" spans="3:3" x14ac:dyDescent="0.4">
      <c r="C393" s="2386" t="str">
        <f t="shared" si="5"/>
        <v/>
      </c>
    </row>
    <row r="394" spans="3:3" x14ac:dyDescent="0.4">
      <c r="C394" s="2386" t="str">
        <f t="shared" si="5"/>
        <v/>
      </c>
    </row>
    <row r="395" spans="3:3" x14ac:dyDescent="0.4">
      <c r="C395" s="2386" t="str">
        <f t="shared" si="5"/>
        <v/>
      </c>
    </row>
    <row r="396" spans="3:3" x14ac:dyDescent="0.4">
      <c r="C396" s="2386" t="str">
        <f t="shared" ref="C396:C459" si="7">RIGHT(D396,36)</f>
        <v/>
      </c>
    </row>
    <row r="397" spans="3:3" x14ac:dyDescent="0.4">
      <c r="C397" s="2386" t="str">
        <f t="shared" si="7"/>
        <v/>
      </c>
    </row>
    <row r="398" spans="3:3" x14ac:dyDescent="0.4">
      <c r="C398" s="2386" t="str">
        <f t="shared" si="7"/>
        <v/>
      </c>
    </row>
    <row r="399" spans="3:3" x14ac:dyDescent="0.4">
      <c r="C399" s="2386" t="str">
        <f t="shared" si="7"/>
        <v/>
      </c>
    </row>
    <row r="400" spans="3:3" x14ac:dyDescent="0.4">
      <c r="C400" s="2386" t="str">
        <f t="shared" si="7"/>
        <v/>
      </c>
    </row>
    <row r="401" spans="3:3" x14ac:dyDescent="0.4">
      <c r="C401" s="2386" t="str">
        <f t="shared" si="7"/>
        <v/>
      </c>
    </row>
    <row r="402" spans="3:3" x14ac:dyDescent="0.4">
      <c r="C402" s="2386" t="str">
        <f t="shared" si="7"/>
        <v/>
      </c>
    </row>
    <row r="403" spans="3:3" x14ac:dyDescent="0.4">
      <c r="C403" s="2386" t="str">
        <f t="shared" si="7"/>
        <v/>
      </c>
    </row>
    <row r="404" spans="3:3" x14ac:dyDescent="0.4">
      <c r="C404" s="2386" t="str">
        <f t="shared" si="7"/>
        <v/>
      </c>
    </row>
    <row r="405" spans="3:3" x14ac:dyDescent="0.4">
      <c r="C405" s="2386" t="str">
        <f t="shared" si="7"/>
        <v/>
      </c>
    </row>
    <row r="406" spans="3:3" x14ac:dyDescent="0.4">
      <c r="C406" s="2386" t="str">
        <f t="shared" si="7"/>
        <v/>
      </c>
    </row>
    <row r="407" spans="3:3" x14ac:dyDescent="0.4">
      <c r="C407" s="2386" t="str">
        <f t="shared" si="7"/>
        <v/>
      </c>
    </row>
    <row r="408" spans="3:3" x14ac:dyDescent="0.4">
      <c r="C408" s="2386" t="str">
        <f t="shared" si="7"/>
        <v/>
      </c>
    </row>
    <row r="409" spans="3:3" x14ac:dyDescent="0.4">
      <c r="C409" s="2386" t="str">
        <f t="shared" si="7"/>
        <v/>
      </c>
    </row>
    <row r="410" spans="3:3" x14ac:dyDescent="0.4">
      <c r="C410" s="2386" t="str">
        <f t="shared" si="7"/>
        <v/>
      </c>
    </row>
    <row r="411" spans="3:3" x14ac:dyDescent="0.4">
      <c r="C411" s="2386" t="str">
        <f t="shared" si="7"/>
        <v/>
      </c>
    </row>
    <row r="412" spans="3:3" x14ac:dyDescent="0.4">
      <c r="C412" s="2386" t="str">
        <f t="shared" si="7"/>
        <v/>
      </c>
    </row>
    <row r="413" spans="3:3" x14ac:dyDescent="0.4">
      <c r="C413" s="2386" t="str">
        <f t="shared" si="7"/>
        <v/>
      </c>
    </row>
    <row r="414" spans="3:3" x14ac:dyDescent="0.4">
      <c r="C414" s="2386" t="str">
        <f t="shared" si="7"/>
        <v/>
      </c>
    </row>
    <row r="415" spans="3:3" x14ac:dyDescent="0.4">
      <c r="C415" s="2386" t="str">
        <f t="shared" si="7"/>
        <v/>
      </c>
    </row>
    <row r="416" spans="3:3" x14ac:dyDescent="0.4">
      <c r="C416" s="2386" t="str">
        <f t="shared" si="7"/>
        <v/>
      </c>
    </row>
    <row r="417" spans="3:3" x14ac:dyDescent="0.4">
      <c r="C417" s="2386" t="str">
        <f t="shared" si="7"/>
        <v/>
      </c>
    </row>
    <row r="418" spans="3:3" x14ac:dyDescent="0.4">
      <c r="C418" s="2386" t="str">
        <f t="shared" si="7"/>
        <v/>
      </c>
    </row>
    <row r="419" spans="3:3" x14ac:dyDescent="0.4">
      <c r="C419" s="2386" t="str">
        <f t="shared" si="7"/>
        <v/>
      </c>
    </row>
    <row r="420" spans="3:3" x14ac:dyDescent="0.4">
      <c r="C420" s="2386" t="str">
        <f t="shared" si="7"/>
        <v/>
      </c>
    </row>
    <row r="421" spans="3:3" x14ac:dyDescent="0.4">
      <c r="C421" s="2386" t="str">
        <f t="shared" si="7"/>
        <v/>
      </c>
    </row>
    <row r="422" spans="3:3" x14ac:dyDescent="0.4">
      <c r="C422" s="2386" t="str">
        <f t="shared" si="7"/>
        <v/>
      </c>
    </row>
    <row r="423" spans="3:3" x14ac:dyDescent="0.4">
      <c r="C423" s="2386" t="str">
        <f t="shared" si="7"/>
        <v/>
      </c>
    </row>
    <row r="424" spans="3:3" x14ac:dyDescent="0.4">
      <c r="C424" s="2386" t="str">
        <f t="shared" si="7"/>
        <v/>
      </c>
    </row>
    <row r="425" spans="3:3" x14ac:dyDescent="0.4">
      <c r="C425" s="2386" t="str">
        <f t="shared" si="7"/>
        <v/>
      </c>
    </row>
    <row r="426" spans="3:3" x14ac:dyDescent="0.4">
      <c r="C426" s="2386" t="str">
        <f t="shared" si="7"/>
        <v/>
      </c>
    </row>
    <row r="427" spans="3:3" x14ac:dyDescent="0.4">
      <c r="C427" s="2386" t="str">
        <f t="shared" si="7"/>
        <v/>
      </c>
    </row>
    <row r="428" spans="3:3" x14ac:dyDescent="0.4">
      <c r="C428" s="2386" t="str">
        <f t="shared" si="7"/>
        <v/>
      </c>
    </row>
    <row r="429" spans="3:3" x14ac:dyDescent="0.4">
      <c r="C429" s="2386" t="str">
        <f t="shared" si="7"/>
        <v/>
      </c>
    </row>
    <row r="430" spans="3:3" x14ac:dyDescent="0.4">
      <c r="C430" s="2386" t="str">
        <f t="shared" si="7"/>
        <v/>
      </c>
    </row>
    <row r="431" spans="3:3" x14ac:dyDescent="0.4">
      <c r="C431" s="2386" t="str">
        <f t="shared" si="7"/>
        <v/>
      </c>
    </row>
    <row r="432" spans="3:3" x14ac:dyDescent="0.4">
      <c r="C432" s="2386" t="str">
        <f t="shared" si="7"/>
        <v/>
      </c>
    </row>
    <row r="433" spans="3:3" x14ac:dyDescent="0.4">
      <c r="C433" s="2386" t="str">
        <f t="shared" si="7"/>
        <v/>
      </c>
    </row>
    <row r="434" spans="3:3" x14ac:dyDescent="0.4">
      <c r="C434" s="2386" t="str">
        <f t="shared" si="7"/>
        <v/>
      </c>
    </row>
    <row r="435" spans="3:3" x14ac:dyDescent="0.4">
      <c r="C435" s="2386" t="str">
        <f t="shared" si="7"/>
        <v/>
      </c>
    </row>
    <row r="436" spans="3:3" x14ac:dyDescent="0.4">
      <c r="C436" s="2386" t="str">
        <f t="shared" si="7"/>
        <v/>
      </c>
    </row>
    <row r="437" spans="3:3" x14ac:dyDescent="0.4">
      <c r="C437" s="2386" t="str">
        <f t="shared" si="7"/>
        <v/>
      </c>
    </row>
    <row r="438" spans="3:3" x14ac:dyDescent="0.4">
      <c r="C438" s="2386" t="str">
        <f t="shared" si="7"/>
        <v/>
      </c>
    </row>
    <row r="439" spans="3:3" x14ac:dyDescent="0.4">
      <c r="C439" s="2386" t="str">
        <f t="shared" si="7"/>
        <v/>
      </c>
    </row>
    <row r="440" spans="3:3" x14ac:dyDescent="0.4">
      <c r="C440" s="2386" t="str">
        <f t="shared" si="7"/>
        <v/>
      </c>
    </row>
    <row r="441" spans="3:3" x14ac:dyDescent="0.4">
      <c r="C441" s="2386" t="str">
        <f t="shared" si="7"/>
        <v/>
      </c>
    </row>
    <row r="442" spans="3:3" x14ac:dyDescent="0.4">
      <c r="C442" s="2386" t="str">
        <f t="shared" si="7"/>
        <v/>
      </c>
    </row>
    <row r="443" spans="3:3" x14ac:dyDescent="0.4">
      <c r="C443" s="2386" t="str">
        <f t="shared" si="7"/>
        <v/>
      </c>
    </row>
    <row r="444" spans="3:3" x14ac:dyDescent="0.4">
      <c r="C444" s="2386" t="str">
        <f t="shared" si="7"/>
        <v/>
      </c>
    </row>
    <row r="445" spans="3:3" x14ac:dyDescent="0.4">
      <c r="C445" s="2386" t="str">
        <f t="shared" si="7"/>
        <v/>
      </c>
    </row>
    <row r="446" spans="3:3" x14ac:dyDescent="0.4">
      <c r="C446" s="2386" t="str">
        <f t="shared" si="7"/>
        <v/>
      </c>
    </row>
    <row r="447" spans="3:3" x14ac:dyDescent="0.4">
      <c r="C447" s="2386" t="str">
        <f t="shared" si="7"/>
        <v/>
      </c>
    </row>
    <row r="448" spans="3:3" x14ac:dyDescent="0.4">
      <c r="C448" s="2386" t="str">
        <f t="shared" si="7"/>
        <v/>
      </c>
    </row>
    <row r="449" spans="3:3" x14ac:dyDescent="0.4">
      <c r="C449" s="2386" t="str">
        <f t="shared" si="7"/>
        <v/>
      </c>
    </row>
    <row r="450" spans="3:3" x14ac:dyDescent="0.4">
      <c r="C450" s="2386" t="str">
        <f t="shared" si="7"/>
        <v/>
      </c>
    </row>
    <row r="451" spans="3:3" x14ac:dyDescent="0.4">
      <c r="C451" s="2386" t="str">
        <f t="shared" si="7"/>
        <v/>
      </c>
    </row>
    <row r="452" spans="3:3" x14ac:dyDescent="0.4">
      <c r="C452" s="2386" t="str">
        <f t="shared" si="7"/>
        <v/>
      </c>
    </row>
    <row r="453" spans="3:3" x14ac:dyDescent="0.4">
      <c r="C453" s="2386" t="str">
        <f t="shared" si="7"/>
        <v/>
      </c>
    </row>
    <row r="454" spans="3:3" x14ac:dyDescent="0.4">
      <c r="C454" s="2386" t="str">
        <f t="shared" si="7"/>
        <v/>
      </c>
    </row>
    <row r="455" spans="3:3" x14ac:dyDescent="0.4">
      <c r="C455" s="2386" t="str">
        <f t="shared" si="7"/>
        <v/>
      </c>
    </row>
    <row r="456" spans="3:3" x14ac:dyDescent="0.4">
      <c r="C456" s="2386" t="str">
        <f t="shared" si="7"/>
        <v/>
      </c>
    </row>
    <row r="457" spans="3:3" x14ac:dyDescent="0.4">
      <c r="C457" s="2386" t="str">
        <f t="shared" si="7"/>
        <v/>
      </c>
    </row>
    <row r="458" spans="3:3" x14ac:dyDescent="0.4">
      <c r="C458" s="2386" t="str">
        <f t="shared" si="7"/>
        <v/>
      </c>
    </row>
    <row r="459" spans="3:3" x14ac:dyDescent="0.4">
      <c r="C459" s="2386" t="str">
        <f t="shared" si="7"/>
        <v/>
      </c>
    </row>
    <row r="460" spans="3:3" x14ac:dyDescent="0.4">
      <c r="C460" s="2386" t="str">
        <f t="shared" ref="C460:C523" si="8">RIGHT(D460,36)</f>
        <v/>
      </c>
    </row>
    <row r="461" spans="3:3" x14ac:dyDescent="0.4">
      <c r="C461" s="2386" t="str">
        <f t="shared" si="8"/>
        <v/>
      </c>
    </row>
    <row r="462" spans="3:3" x14ac:dyDescent="0.4">
      <c r="C462" s="2386" t="str">
        <f t="shared" si="8"/>
        <v/>
      </c>
    </row>
    <row r="463" spans="3:3" x14ac:dyDescent="0.4">
      <c r="C463" s="2386" t="str">
        <f t="shared" si="8"/>
        <v/>
      </c>
    </row>
    <row r="464" spans="3:3" x14ac:dyDescent="0.4">
      <c r="C464" s="2386" t="str">
        <f t="shared" si="8"/>
        <v/>
      </c>
    </row>
    <row r="465" spans="3:3" x14ac:dyDescent="0.4">
      <c r="C465" s="2386" t="str">
        <f t="shared" si="8"/>
        <v/>
      </c>
    </row>
    <row r="466" spans="3:3" x14ac:dyDescent="0.4">
      <c r="C466" s="2386" t="str">
        <f t="shared" si="8"/>
        <v/>
      </c>
    </row>
    <row r="467" spans="3:3" x14ac:dyDescent="0.4">
      <c r="C467" s="2386" t="str">
        <f t="shared" si="8"/>
        <v/>
      </c>
    </row>
    <row r="468" spans="3:3" x14ac:dyDescent="0.4">
      <c r="C468" s="2386" t="str">
        <f t="shared" si="8"/>
        <v/>
      </c>
    </row>
    <row r="469" spans="3:3" x14ac:dyDescent="0.4">
      <c r="C469" s="2386" t="str">
        <f t="shared" si="8"/>
        <v/>
      </c>
    </row>
    <row r="470" spans="3:3" x14ac:dyDescent="0.4">
      <c r="C470" s="2386" t="str">
        <f t="shared" si="8"/>
        <v/>
      </c>
    </row>
    <row r="471" spans="3:3" x14ac:dyDescent="0.4">
      <c r="C471" s="2386" t="str">
        <f t="shared" si="8"/>
        <v/>
      </c>
    </row>
    <row r="472" spans="3:3" x14ac:dyDescent="0.4">
      <c r="C472" s="2386" t="str">
        <f t="shared" si="8"/>
        <v/>
      </c>
    </row>
    <row r="473" spans="3:3" x14ac:dyDescent="0.4">
      <c r="C473" s="2386" t="str">
        <f t="shared" si="8"/>
        <v/>
      </c>
    </row>
    <row r="474" spans="3:3" x14ac:dyDescent="0.4">
      <c r="C474" s="2386" t="str">
        <f t="shared" si="8"/>
        <v/>
      </c>
    </row>
    <row r="475" spans="3:3" x14ac:dyDescent="0.4">
      <c r="C475" s="2386" t="str">
        <f t="shared" si="8"/>
        <v/>
      </c>
    </row>
    <row r="476" spans="3:3" x14ac:dyDescent="0.4">
      <c r="C476" s="2386" t="str">
        <f t="shared" si="8"/>
        <v/>
      </c>
    </row>
    <row r="477" spans="3:3" x14ac:dyDescent="0.4">
      <c r="C477" s="2386" t="str">
        <f t="shared" si="8"/>
        <v/>
      </c>
    </row>
    <row r="478" spans="3:3" x14ac:dyDescent="0.4">
      <c r="C478" s="2386" t="str">
        <f t="shared" si="8"/>
        <v/>
      </c>
    </row>
    <row r="479" spans="3:3" x14ac:dyDescent="0.4">
      <c r="C479" s="2386" t="str">
        <f t="shared" si="8"/>
        <v/>
      </c>
    </row>
    <row r="480" spans="3:3" x14ac:dyDescent="0.4">
      <c r="C480" s="2386" t="str">
        <f t="shared" si="8"/>
        <v/>
      </c>
    </row>
    <row r="481" spans="3:3" x14ac:dyDescent="0.4">
      <c r="C481" s="2386" t="str">
        <f t="shared" si="8"/>
        <v/>
      </c>
    </row>
    <row r="482" spans="3:3" x14ac:dyDescent="0.4">
      <c r="C482" s="2386" t="str">
        <f t="shared" si="8"/>
        <v/>
      </c>
    </row>
    <row r="483" spans="3:3" x14ac:dyDescent="0.4">
      <c r="C483" s="2386" t="str">
        <f t="shared" si="8"/>
        <v/>
      </c>
    </row>
    <row r="484" spans="3:3" x14ac:dyDescent="0.4">
      <c r="C484" s="2386" t="str">
        <f t="shared" si="8"/>
        <v/>
      </c>
    </row>
    <row r="485" spans="3:3" x14ac:dyDescent="0.4">
      <c r="C485" s="2386" t="str">
        <f t="shared" si="8"/>
        <v/>
      </c>
    </row>
    <row r="486" spans="3:3" x14ac:dyDescent="0.4">
      <c r="C486" s="2386" t="str">
        <f t="shared" si="8"/>
        <v/>
      </c>
    </row>
    <row r="487" spans="3:3" x14ac:dyDescent="0.4">
      <c r="C487" s="2386" t="str">
        <f t="shared" si="8"/>
        <v/>
      </c>
    </row>
    <row r="488" spans="3:3" x14ac:dyDescent="0.4">
      <c r="C488" s="2386" t="str">
        <f t="shared" si="8"/>
        <v/>
      </c>
    </row>
    <row r="489" spans="3:3" x14ac:dyDescent="0.4">
      <c r="C489" s="2386" t="str">
        <f t="shared" si="8"/>
        <v/>
      </c>
    </row>
    <row r="490" spans="3:3" x14ac:dyDescent="0.4">
      <c r="C490" s="2386" t="str">
        <f t="shared" si="8"/>
        <v/>
      </c>
    </row>
    <row r="491" spans="3:3" x14ac:dyDescent="0.4">
      <c r="C491" s="2386" t="str">
        <f t="shared" si="8"/>
        <v/>
      </c>
    </row>
    <row r="492" spans="3:3" x14ac:dyDescent="0.4">
      <c r="C492" s="2386" t="str">
        <f t="shared" si="8"/>
        <v/>
      </c>
    </row>
    <row r="493" spans="3:3" x14ac:dyDescent="0.4">
      <c r="C493" s="2386" t="str">
        <f t="shared" si="8"/>
        <v/>
      </c>
    </row>
    <row r="494" spans="3:3" x14ac:dyDescent="0.4">
      <c r="C494" s="2386" t="str">
        <f t="shared" si="8"/>
        <v/>
      </c>
    </row>
    <row r="495" spans="3:3" x14ac:dyDescent="0.4">
      <c r="C495" s="2386" t="str">
        <f t="shared" si="8"/>
        <v/>
      </c>
    </row>
    <row r="496" spans="3:3" x14ac:dyDescent="0.4">
      <c r="C496" s="2386" t="str">
        <f t="shared" si="8"/>
        <v/>
      </c>
    </row>
    <row r="497" spans="3:3" x14ac:dyDescent="0.4">
      <c r="C497" s="2386" t="str">
        <f t="shared" si="8"/>
        <v/>
      </c>
    </row>
    <row r="498" spans="3:3" x14ac:dyDescent="0.4">
      <c r="C498" s="2386" t="str">
        <f t="shared" si="8"/>
        <v/>
      </c>
    </row>
    <row r="499" spans="3:3" x14ac:dyDescent="0.4">
      <c r="C499" s="2386" t="str">
        <f t="shared" si="8"/>
        <v/>
      </c>
    </row>
    <row r="500" spans="3:3" x14ac:dyDescent="0.4">
      <c r="C500" s="2386" t="str">
        <f t="shared" si="8"/>
        <v/>
      </c>
    </row>
    <row r="501" spans="3:3" x14ac:dyDescent="0.4">
      <c r="C501" s="2386" t="str">
        <f t="shared" si="8"/>
        <v/>
      </c>
    </row>
    <row r="502" spans="3:3" x14ac:dyDescent="0.4">
      <c r="C502" s="2386" t="str">
        <f t="shared" si="8"/>
        <v/>
      </c>
    </row>
    <row r="503" spans="3:3" x14ac:dyDescent="0.4">
      <c r="C503" s="2386" t="str">
        <f t="shared" si="8"/>
        <v/>
      </c>
    </row>
    <row r="504" spans="3:3" x14ac:dyDescent="0.4">
      <c r="C504" s="2386" t="str">
        <f t="shared" si="8"/>
        <v/>
      </c>
    </row>
    <row r="505" spans="3:3" x14ac:dyDescent="0.4">
      <c r="C505" s="2386" t="str">
        <f t="shared" si="8"/>
        <v/>
      </c>
    </row>
    <row r="506" spans="3:3" x14ac:dyDescent="0.4">
      <c r="C506" s="2386" t="str">
        <f t="shared" si="8"/>
        <v/>
      </c>
    </row>
    <row r="507" spans="3:3" x14ac:dyDescent="0.4">
      <c r="C507" s="2386" t="str">
        <f t="shared" si="8"/>
        <v/>
      </c>
    </row>
    <row r="508" spans="3:3" x14ac:dyDescent="0.4">
      <c r="C508" s="2386" t="str">
        <f t="shared" si="8"/>
        <v/>
      </c>
    </row>
    <row r="509" spans="3:3" x14ac:dyDescent="0.4">
      <c r="C509" s="2386" t="str">
        <f t="shared" si="8"/>
        <v/>
      </c>
    </row>
    <row r="510" spans="3:3" x14ac:dyDescent="0.4">
      <c r="C510" s="2386" t="str">
        <f t="shared" si="8"/>
        <v/>
      </c>
    </row>
    <row r="511" spans="3:3" x14ac:dyDescent="0.4">
      <c r="C511" s="2386" t="str">
        <f t="shared" si="8"/>
        <v/>
      </c>
    </row>
    <row r="512" spans="3:3" x14ac:dyDescent="0.4">
      <c r="C512" s="2386" t="str">
        <f t="shared" si="8"/>
        <v/>
      </c>
    </row>
    <row r="513" spans="3:3" x14ac:dyDescent="0.4">
      <c r="C513" s="2386" t="str">
        <f t="shared" si="8"/>
        <v/>
      </c>
    </row>
    <row r="514" spans="3:3" x14ac:dyDescent="0.4">
      <c r="C514" s="2386" t="str">
        <f t="shared" si="8"/>
        <v/>
      </c>
    </row>
    <row r="515" spans="3:3" x14ac:dyDescent="0.4">
      <c r="C515" s="2386" t="str">
        <f t="shared" si="8"/>
        <v/>
      </c>
    </row>
    <row r="516" spans="3:3" x14ac:dyDescent="0.4">
      <c r="C516" s="2386" t="str">
        <f t="shared" si="8"/>
        <v/>
      </c>
    </row>
    <row r="517" spans="3:3" x14ac:dyDescent="0.4">
      <c r="C517" s="2386" t="str">
        <f t="shared" si="8"/>
        <v/>
      </c>
    </row>
    <row r="518" spans="3:3" x14ac:dyDescent="0.4">
      <c r="C518" s="2386" t="str">
        <f t="shared" si="8"/>
        <v/>
      </c>
    </row>
    <row r="519" spans="3:3" x14ac:dyDescent="0.4">
      <c r="C519" s="2386" t="str">
        <f t="shared" si="8"/>
        <v/>
      </c>
    </row>
    <row r="520" spans="3:3" x14ac:dyDescent="0.4">
      <c r="C520" s="2386" t="str">
        <f t="shared" si="8"/>
        <v/>
      </c>
    </row>
    <row r="521" spans="3:3" x14ac:dyDescent="0.4">
      <c r="C521" s="2386" t="str">
        <f t="shared" si="8"/>
        <v/>
      </c>
    </row>
    <row r="522" spans="3:3" x14ac:dyDescent="0.4">
      <c r="C522" s="2386" t="str">
        <f t="shared" si="8"/>
        <v/>
      </c>
    </row>
    <row r="523" spans="3:3" x14ac:dyDescent="0.4">
      <c r="C523" s="2386" t="str">
        <f t="shared" si="8"/>
        <v/>
      </c>
    </row>
    <row r="524" spans="3:3" x14ac:dyDescent="0.4">
      <c r="C524" s="2386" t="str">
        <f t="shared" ref="C524:C587" si="9">RIGHT(D524,36)</f>
        <v/>
      </c>
    </row>
    <row r="525" spans="3:3" x14ac:dyDescent="0.4">
      <c r="C525" s="2386" t="str">
        <f t="shared" si="9"/>
        <v/>
      </c>
    </row>
    <row r="526" spans="3:3" x14ac:dyDescent="0.4">
      <c r="C526" s="2386" t="str">
        <f t="shared" si="9"/>
        <v/>
      </c>
    </row>
    <row r="527" spans="3:3" x14ac:dyDescent="0.4">
      <c r="C527" s="2386" t="str">
        <f t="shared" si="9"/>
        <v/>
      </c>
    </row>
    <row r="528" spans="3:3" x14ac:dyDescent="0.4">
      <c r="C528" s="2386" t="str">
        <f t="shared" si="9"/>
        <v/>
      </c>
    </row>
    <row r="529" spans="3:3" x14ac:dyDescent="0.4">
      <c r="C529" s="2386" t="str">
        <f t="shared" si="9"/>
        <v/>
      </c>
    </row>
    <row r="530" spans="3:3" x14ac:dyDescent="0.4">
      <c r="C530" s="2386" t="str">
        <f t="shared" si="9"/>
        <v/>
      </c>
    </row>
    <row r="531" spans="3:3" x14ac:dyDescent="0.4">
      <c r="C531" s="2386" t="str">
        <f t="shared" si="9"/>
        <v/>
      </c>
    </row>
    <row r="532" spans="3:3" x14ac:dyDescent="0.4">
      <c r="C532" s="2386" t="str">
        <f t="shared" si="9"/>
        <v/>
      </c>
    </row>
    <row r="533" spans="3:3" x14ac:dyDescent="0.4">
      <c r="C533" s="2386" t="str">
        <f t="shared" si="9"/>
        <v/>
      </c>
    </row>
    <row r="534" spans="3:3" x14ac:dyDescent="0.4">
      <c r="C534" s="2386" t="str">
        <f t="shared" si="9"/>
        <v/>
      </c>
    </row>
    <row r="535" spans="3:3" x14ac:dyDescent="0.4">
      <c r="C535" s="2386" t="str">
        <f t="shared" si="9"/>
        <v/>
      </c>
    </row>
    <row r="536" spans="3:3" x14ac:dyDescent="0.4">
      <c r="C536" s="2386" t="str">
        <f t="shared" si="9"/>
        <v/>
      </c>
    </row>
    <row r="537" spans="3:3" x14ac:dyDescent="0.4">
      <c r="C537" s="2386" t="str">
        <f t="shared" si="9"/>
        <v/>
      </c>
    </row>
    <row r="538" spans="3:3" x14ac:dyDescent="0.4">
      <c r="C538" s="2386" t="str">
        <f t="shared" si="9"/>
        <v/>
      </c>
    </row>
    <row r="539" spans="3:3" x14ac:dyDescent="0.4">
      <c r="C539" s="2386" t="str">
        <f t="shared" si="9"/>
        <v/>
      </c>
    </row>
    <row r="540" spans="3:3" x14ac:dyDescent="0.4">
      <c r="C540" s="2386" t="str">
        <f t="shared" si="9"/>
        <v/>
      </c>
    </row>
    <row r="541" spans="3:3" x14ac:dyDescent="0.4">
      <c r="C541" s="2386" t="str">
        <f t="shared" si="9"/>
        <v/>
      </c>
    </row>
    <row r="542" spans="3:3" x14ac:dyDescent="0.4">
      <c r="C542" s="2386" t="str">
        <f t="shared" si="9"/>
        <v/>
      </c>
    </row>
    <row r="543" spans="3:3" x14ac:dyDescent="0.4">
      <c r="C543" s="2386" t="str">
        <f t="shared" si="9"/>
        <v/>
      </c>
    </row>
    <row r="544" spans="3:3" x14ac:dyDescent="0.4">
      <c r="C544" s="2386" t="str">
        <f t="shared" si="9"/>
        <v/>
      </c>
    </row>
    <row r="545" spans="3:3" x14ac:dyDescent="0.4">
      <c r="C545" s="2386" t="str">
        <f t="shared" si="9"/>
        <v/>
      </c>
    </row>
    <row r="546" spans="3:3" x14ac:dyDescent="0.4">
      <c r="C546" s="2386" t="str">
        <f t="shared" si="9"/>
        <v/>
      </c>
    </row>
    <row r="547" spans="3:3" x14ac:dyDescent="0.4">
      <c r="C547" s="2386" t="str">
        <f t="shared" si="9"/>
        <v/>
      </c>
    </row>
    <row r="548" spans="3:3" x14ac:dyDescent="0.4">
      <c r="C548" s="2386" t="str">
        <f t="shared" si="9"/>
        <v/>
      </c>
    </row>
    <row r="549" spans="3:3" x14ac:dyDescent="0.4">
      <c r="C549" s="2386" t="str">
        <f t="shared" si="9"/>
        <v/>
      </c>
    </row>
    <row r="550" spans="3:3" x14ac:dyDescent="0.4">
      <c r="C550" s="2386" t="str">
        <f t="shared" si="9"/>
        <v/>
      </c>
    </row>
    <row r="551" spans="3:3" x14ac:dyDescent="0.4">
      <c r="C551" s="2386" t="str">
        <f t="shared" si="9"/>
        <v/>
      </c>
    </row>
    <row r="552" spans="3:3" x14ac:dyDescent="0.4">
      <c r="C552" s="2386" t="str">
        <f t="shared" si="9"/>
        <v/>
      </c>
    </row>
    <row r="553" spans="3:3" x14ac:dyDescent="0.4">
      <c r="C553" s="2386" t="str">
        <f t="shared" si="9"/>
        <v/>
      </c>
    </row>
    <row r="554" spans="3:3" x14ac:dyDescent="0.4">
      <c r="C554" s="2386" t="str">
        <f t="shared" si="9"/>
        <v/>
      </c>
    </row>
    <row r="555" spans="3:3" x14ac:dyDescent="0.4">
      <c r="C555" s="2386" t="str">
        <f t="shared" si="9"/>
        <v/>
      </c>
    </row>
    <row r="556" spans="3:3" x14ac:dyDescent="0.4">
      <c r="C556" s="2386" t="str">
        <f t="shared" si="9"/>
        <v/>
      </c>
    </row>
    <row r="557" spans="3:3" x14ac:dyDescent="0.4">
      <c r="C557" s="2386" t="str">
        <f t="shared" si="9"/>
        <v/>
      </c>
    </row>
    <row r="558" spans="3:3" x14ac:dyDescent="0.4">
      <c r="C558" s="2386" t="str">
        <f t="shared" si="9"/>
        <v/>
      </c>
    </row>
    <row r="559" spans="3:3" x14ac:dyDescent="0.4">
      <c r="C559" s="2386" t="str">
        <f t="shared" si="9"/>
        <v/>
      </c>
    </row>
    <row r="560" spans="3:3" x14ac:dyDescent="0.4">
      <c r="C560" s="2386" t="str">
        <f t="shared" si="9"/>
        <v/>
      </c>
    </row>
    <row r="561" spans="3:3" x14ac:dyDescent="0.4">
      <c r="C561" s="2386" t="str">
        <f t="shared" si="9"/>
        <v/>
      </c>
    </row>
    <row r="562" spans="3:3" x14ac:dyDescent="0.4">
      <c r="C562" s="2386" t="str">
        <f t="shared" si="9"/>
        <v/>
      </c>
    </row>
    <row r="563" spans="3:3" x14ac:dyDescent="0.4">
      <c r="C563" s="2386" t="str">
        <f t="shared" si="9"/>
        <v/>
      </c>
    </row>
    <row r="564" spans="3:3" x14ac:dyDescent="0.4">
      <c r="C564" s="2386" t="str">
        <f t="shared" si="9"/>
        <v/>
      </c>
    </row>
    <row r="565" spans="3:3" x14ac:dyDescent="0.4">
      <c r="C565" s="2386" t="str">
        <f t="shared" si="9"/>
        <v/>
      </c>
    </row>
    <row r="566" spans="3:3" x14ac:dyDescent="0.4">
      <c r="C566" s="2386" t="str">
        <f t="shared" si="9"/>
        <v/>
      </c>
    </row>
    <row r="567" spans="3:3" x14ac:dyDescent="0.4">
      <c r="C567" s="2386" t="str">
        <f t="shared" si="9"/>
        <v/>
      </c>
    </row>
    <row r="568" spans="3:3" x14ac:dyDescent="0.4">
      <c r="C568" s="2386" t="str">
        <f t="shared" si="9"/>
        <v/>
      </c>
    </row>
    <row r="569" spans="3:3" x14ac:dyDescent="0.4">
      <c r="C569" s="2386" t="str">
        <f t="shared" si="9"/>
        <v/>
      </c>
    </row>
    <row r="570" spans="3:3" x14ac:dyDescent="0.4">
      <c r="C570" s="2386" t="str">
        <f t="shared" si="9"/>
        <v/>
      </c>
    </row>
    <row r="571" spans="3:3" x14ac:dyDescent="0.4">
      <c r="C571" s="2386" t="str">
        <f t="shared" si="9"/>
        <v/>
      </c>
    </row>
    <row r="572" spans="3:3" x14ac:dyDescent="0.4">
      <c r="C572" s="2386" t="str">
        <f t="shared" si="9"/>
        <v/>
      </c>
    </row>
    <row r="573" spans="3:3" x14ac:dyDescent="0.4">
      <c r="C573" s="2386" t="str">
        <f t="shared" si="9"/>
        <v/>
      </c>
    </row>
    <row r="574" spans="3:3" x14ac:dyDescent="0.4">
      <c r="C574" s="2386" t="str">
        <f t="shared" si="9"/>
        <v/>
      </c>
    </row>
    <row r="575" spans="3:3" x14ac:dyDescent="0.4">
      <c r="C575" s="2386" t="str">
        <f t="shared" si="9"/>
        <v/>
      </c>
    </row>
    <row r="576" spans="3:3" x14ac:dyDescent="0.4">
      <c r="C576" s="2386" t="str">
        <f t="shared" si="9"/>
        <v/>
      </c>
    </row>
    <row r="577" spans="3:3" x14ac:dyDescent="0.4">
      <c r="C577" s="2386" t="str">
        <f t="shared" si="9"/>
        <v/>
      </c>
    </row>
    <row r="578" spans="3:3" x14ac:dyDescent="0.4">
      <c r="C578" s="2386" t="str">
        <f t="shared" si="9"/>
        <v/>
      </c>
    </row>
    <row r="579" spans="3:3" x14ac:dyDescent="0.4">
      <c r="C579" s="2386" t="str">
        <f t="shared" si="9"/>
        <v/>
      </c>
    </row>
    <row r="580" spans="3:3" x14ac:dyDescent="0.4">
      <c r="C580" s="2386" t="str">
        <f t="shared" si="9"/>
        <v/>
      </c>
    </row>
    <row r="581" spans="3:3" x14ac:dyDescent="0.4">
      <c r="C581" s="2386" t="str">
        <f t="shared" si="9"/>
        <v/>
      </c>
    </row>
    <row r="582" spans="3:3" x14ac:dyDescent="0.4">
      <c r="C582" s="2386" t="str">
        <f t="shared" si="9"/>
        <v/>
      </c>
    </row>
    <row r="583" spans="3:3" x14ac:dyDescent="0.4">
      <c r="C583" s="2386" t="str">
        <f t="shared" si="9"/>
        <v/>
      </c>
    </row>
    <row r="584" spans="3:3" x14ac:dyDescent="0.4">
      <c r="C584" s="2386" t="str">
        <f t="shared" si="9"/>
        <v/>
      </c>
    </row>
    <row r="585" spans="3:3" x14ac:dyDescent="0.4">
      <c r="C585" s="2386" t="str">
        <f t="shared" si="9"/>
        <v/>
      </c>
    </row>
    <row r="586" spans="3:3" x14ac:dyDescent="0.4">
      <c r="C586" s="2386" t="str">
        <f t="shared" si="9"/>
        <v/>
      </c>
    </row>
    <row r="587" spans="3:3" x14ac:dyDescent="0.4">
      <c r="C587" s="2386" t="str">
        <f t="shared" si="9"/>
        <v/>
      </c>
    </row>
    <row r="588" spans="3:3" x14ac:dyDescent="0.4">
      <c r="C588" s="2386" t="str">
        <f t="shared" ref="C588:C651" si="10">RIGHT(D588,36)</f>
        <v/>
      </c>
    </row>
    <row r="589" spans="3:3" x14ac:dyDescent="0.4">
      <c r="C589" s="2386" t="str">
        <f t="shared" si="10"/>
        <v/>
      </c>
    </row>
    <row r="590" spans="3:3" x14ac:dyDescent="0.4">
      <c r="C590" s="2386" t="str">
        <f t="shared" si="10"/>
        <v/>
      </c>
    </row>
    <row r="591" spans="3:3" x14ac:dyDescent="0.4">
      <c r="C591" s="2386" t="str">
        <f t="shared" si="10"/>
        <v/>
      </c>
    </row>
    <row r="592" spans="3:3" x14ac:dyDescent="0.4">
      <c r="C592" s="2386" t="str">
        <f t="shared" si="10"/>
        <v/>
      </c>
    </row>
    <row r="593" spans="3:3" x14ac:dyDescent="0.4">
      <c r="C593" s="2386" t="str">
        <f t="shared" si="10"/>
        <v/>
      </c>
    </row>
    <row r="594" spans="3:3" x14ac:dyDescent="0.4">
      <c r="C594" s="2386" t="str">
        <f t="shared" si="10"/>
        <v/>
      </c>
    </row>
    <row r="595" spans="3:3" x14ac:dyDescent="0.4">
      <c r="C595" s="2386" t="str">
        <f t="shared" si="10"/>
        <v/>
      </c>
    </row>
    <row r="596" spans="3:3" x14ac:dyDescent="0.4">
      <c r="C596" s="2386" t="str">
        <f t="shared" si="10"/>
        <v/>
      </c>
    </row>
    <row r="597" spans="3:3" x14ac:dyDescent="0.4">
      <c r="C597" s="2386" t="str">
        <f t="shared" si="10"/>
        <v/>
      </c>
    </row>
    <row r="598" spans="3:3" x14ac:dyDescent="0.4">
      <c r="C598" s="2386" t="str">
        <f t="shared" si="10"/>
        <v/>
      </c>
    </row>
    <row r="599" spans="3:3" x14ac:dyDescent="0.4">
      <c r="C599" s="2386" t="str">
        <f t="shared" si="10"/>
        <v/>
      </c>
    </row>
    <row r="600" spans="3:3" x14ac:dyDescent="0.4">
      <c r="C600" s="2386" t="str">
        <f t="shared" si="10"/>
        <v/>
      </c>
    </row>
    <row r="601" spans="3:3" x14ac:dyDescent="0.4">
      <c r="C601" s="2386" t="str">
        <f t="shared" si="10"/>
        <v/>
      </c>
    </row>
    <row r="602" spans="3:3" x14ac:dyDescent="0.4">
      <c r="C602" s="2386" t="str">
        <f t="shared" si="10"/>
        <v/>
      </c>
    </row>
    <row r="603" spans="3:3" x14ac:dyDescent="0.4">
      <c r="C603" s="2386" t="str">
        <f t="shared" si="10"/>
        <v/>
      </c>
    </row>
    <row r="604" spans="3:3" x14ac:dyDescent="0.4">
      <c r="C604" s="2386" t="str">
        <f t="shared" si="10"/>
        <v/>
      </c>
    </row>
    <row r="605" spans="3:3" x14ac:dyDescent="0.4">
      <c r="C605" s="2386" t="str">
        <f t="shared" si="10"/>
        <v/>
      </c>
    </row>
    <row r="606" spans="3:3" x14ac:dyDescent="0.4">
      <c r="C606" s="2386" t="str">
        <f t="shared" si="10"/>
        <v/>
      </c>
    </row>
    <row r="607" spans="3:3" x14ac:dyDescent="0.4">
      <c r="C607" s="2386" t="str">
        <f t="shared" si="10"/>
        <v/>
      </c>
    </row>
    <row r="608" spans="3:3" x14ac:dyDescent="0.4">
      <c r="C608" s="2386" t="str">
        <f t="shared" si="10"/>
        <v/>
      </c>
    </row>
    <row r="609" spans="3:3" x14ac:dyDescent="0.4">
      <c r="C609" s="2386" t="str">
        <f t="shared" si="10"/>
        <v/>
      </c>
    </row>
    <row r="610" spans="3:3" x14ac:dyDescent="0.4">
      <c r="C610" s="2386" t="str">
        <f t="shared" si="10"/>
        <v/>
      </c>
    </row>
    <row r="611" spans="3:3" x14ac:dyDescent="0.4">
      <c r="C611" s="2386" t="str">
        <f t="shared" si="10"/>
        <v/>
      </c>
    </row>
    <row r="612" spans="3:3" x14ac:dyDescent="0.4">
      <c r="C612" s="2386" t="str">
        <f t="shared" si="10"/>
        <v/>
      </c>
    </row>
    <row r="613" spans="3:3" x14ac:dyDescent="0.4">
      <c r="C613" s="2386" t="str">
        <f t="shared" si="10"/>
        <v/>
      </c>
    </row>
    <row r="614" spans="3:3" x14ac:dyDescent="0.4">
      <c r="C614" s="2386" t="str">
        <f t="shared" si="10"/>
        <v/>
      </c>
    </row>
    <row r="615" spans="3:3" x14ac:dyDescent="0.4">
      <c r="C615" s="2386" t="str">
        <f t="shared" si="10"/>
        <v/>
      </c>
    </row>
    <row r="616" spans="3:3" x14ac:dyDescent="0.4">
      <c r="C616" s="2386" t="str">
        <f t="shared" si="10"/>
        <v/>
      </c>
    </row>
    <row r="617" spans="3:3" x14ac:dyDescent="0.4">
      <c r="C617" s="2386" t="str">
        <f t="shared" si="10"/>
        <v/>
      </c>
    </row>
    <row r="618" spans="3:3" x14ac:dyDescent="0.4">
      <c r="C618" s="2386" t="str">
        <f t="shared" si="10"/>
        <v/>
      </c>
    </row>
    <row r="619" spans="3:3" x14ac:dyDescent="0.4">
      <c r="C619" s="2386" t="str">
        <f t="shared" si="10"/>
        <v/>
      </c>
    </row>
    <row r="620" spans="3:3" x14ac:dyDescent="0.4">
      <c r="C620" s="2386" t="str">
        <f t="shared" si="10"/>
        <v/>
      </c>
    </row>
    <row r="621" spans="3:3" x14ac:dyDescent="0.4">
      <c r="C621" s="2386" t="str">
        <f t="shared" si="10"/>
        <v/>
      </c>
    </row>
    <row r="622" spans="3:3" x14ac:dyDescent="0.4">
      <c r="C622" s="2386" t="str">
        <f t="shared" si="10"/>
        <v/>
      </c>
    </row>
    <row r="623" spans="3:3" x14ac:dyDescent="0.4">
      <c r="C623" s="2386" t="str">
        <f t="shared" si="10"/>
        <v/>
      </c>
    </row>
    <row r="624" spans="3:3" x14ac:dyDescent="0.4">
      <c r="C624" s="2386" t="str">
        <f t="shared" si="10"/>
        <v/>
      </c>
    </row>
    <row r="625" spans="3:3" x14ac:dyDescent="0.4">
      <c r="C625" s="2386" t="str">
        <f t="shared" si="10"/>
        <v/>
      </c>
    </row>
    <row r="626" spans="3:3" x14ac:dyDescent="0.4">
      <c r="C626" s="2386" t="str">
        <f t="shared" si="10"/>
        <v/>
      </c>
    </row>
    <row r="627" spans="3:3" x14ac:dyDescent="0.4">
      <c r="C627" s="2386" t="str">
        <f t="shared" si="10"/>
        <v/>
      </c>
    </row>
    <row r="628" spans="3:3" x14ac:dyDescent="0.4">
      <c r="C628" s="2386" t="str">
        <f t="shared" si="10"/>
        <v/>
      </c>
    </row>
    <row r="629" spans="3:3" x14ac:dyDescent="0.4">
      <c r="C629" s="2386" t="str">
        <f t="shared" si="10"/>
        <v/>
      </c>
    </row>
    <row r="630" spans="3:3" x14ac:dyDescent="0.4">
      <c r="C630" s="2386" t="str">
        <f t="shared" si="10"/>
        <v/>
      </c>
    </row>
    <row r="631" spans="3:3" x14ac:dyDescent="0.4">
      <c r="C631" s="2386" t="str">
        <f t="shared" si="10"/>
        <v/>
      </c>
    </row>
    <row r="632" spans="3:3" x14ac:dyDescent="0.4">
      <c r="C632" s="2386" t="str">
        <f t="shared" si="10"/>
        <v/>
      </c>
    </row>
    <row r="633" spans="3:3" x14ac:dyDescent="0.4">
      <c r="C633" s="2386" t="str">
        <f t="shared" si="10"/>
        <v/>
      </c>
    </row>
    <row r="634" spans="3:3" x14ac:dyDescent="0.4">
      <c r="C634" s="2386" t="str">
        <f t="shared" si="10"/>
        <v/>
      </c>
    </row>
    <row r="635" spans="3:3" x14ac:dyDescent="0.4">
      <c r="C635" s="2386" t="str">
        <f t="shared" si="10"/>
        <v/>
      </c>
    </row>
    <row r="636" spans="3:3" x14ac:dyDescent="0.4">
      <c r="C636" s="2386" t="str">
        <f t="shared" si="10"/>
        <v/>
      </c>
    </row>
    <row r="637" spans="3:3" x14ac:dyDescent="0.4">
      <c r="C637" s="2386" t="str">
        <f t="shared" si="10"/>
        <v/>
      </c>
    </row>
    <row r="638" spans="3:3" x14ac:dyDescent="0.4">
      <c r="C638" s="2386" t="str">
        <f t="shared" si="10"/>
        <v/>
      </c>
    </row>
    <row r="639" spans="3:3" x14ac:dyDescent="0.4">
      <c r="C639" s="2386" t="str">
        <f t="shared" si="10"/>
        <v/>
      </c>
    </row>
    <row r="640" spans="3:3" x14ac:dyDescent="0.4">
      <c r="C640" s="2386" t="str">
        <f t="shared" si="10"/>
        <v/>
      </c>
    </row>
    <row r="641" spans="3:3" x14ac:dyDescent="0.4">
      <c r="C641" s="2386" t="str">
        <f t="shared" si="10"/>
        <v/>
      </c>
    </row>
    <row r="642" spans="3:3" x14ac:dyDescent="0.4">
      <c r="C642" s="2386" t="str">
        <f t="shared" si="10"/>
        <v/>
      </c>
    </row>
    <row r="643" spans="3:3" x14ac:dyDescent="0.4">
      <c r="C643" s="2386" t="str">
        <f t="shared" si="10"/>
        <v/>
      </c>
    </row>
    <row r="644" spans="3:3" x14ac:dyDescent="0.4">
      <c r="C644" s="2386" t="str">
        <f t="shared" si="10"/>
        <v/>
      </c>
    </row>
    <row r="645" spans="3:3" x14ac:dyDescent="0.4">
      <c r="C645" s="2386" t="str">
        <f t="shared" si="10"/>
        <v/>
      </c>
    </row>
    <row r="646" spans="3:3" x14ac:dyDescent="0.4">
      <c r="C646" s="2386" t="str">
        <f t="shared" si="10"/>
        <v/>
      </c>
    </row>
    <row r="647" spans="3:3" x14ac:dyDescent="0.4">
      <c r="C647" s="2386" t="str">
        <f t="shared" si="10"/>
        <v/>
      </c>
    </row>
    <row r="648" spans="3:3" x14ac:dyDescent="0.4">
      <c r="C648" s="2386" t="str">
        <f t="shared" si="10"/>
        <v/>
      </c>
    </row>
    <row r="649" spans="3:3" x14ac:dyDescent="0.4">
      <c r="C649" s="2386" t="str">
        <f t="shared" si="10"/>
        <v/>
      </c>
    </row>
    <row r="650" spans="3:3" x14ac:dyDescent="0.4">
      <c r="C650" s="2386" t="str">
        <f t="shared" si="10"/>
        <v/>
      </c>
    </row>
    <row r="651" spans="3:3" x14ac:dyDescent="0.4">
      <c r="C651" s="2386" t="str">
        <f t="shared" si="10"/>
        <v/>
      </c>
    </row>
    <row r="652" spans="3:3" x14ac:dyDescent="0.4">
      <c r="C652" s="2386" t="str">
        <f t="shared" ref="C652:C715" si="11">RIGHT(D652,36)</f>
        <v/>
      </c>
    </row>
    <row r="653" spans="3:3" x14ac:dyDescent="0.4">
      <c r="C653" s="2386" t="str">
        <f t="shared" si="11"/>
        <v/>
      </c>
    </row>
    <row r="654" spans="3:3" x14ac:dyDescent="0.4">
      <c r="C654" s="2386" t="str">
        <f t="shared" si="11"/>
        <v/>
      </c>
    </row>
    <row r="655" spans="3:3" x14ac:dyDescent="0.4">
      <c r="C655" s="2386" t="str">
        <f t="shared" si="11"/>
        <v/>
      </c>
    </row>
    <row r="656" spans="3:3" x14ac:dyDescent="0.4">
      <c r="C656" s="2386" t="str">
        <f t="shared" si="11"/>
        <v/>
      </c>
    </row>
    <row r="657" spans="3:3" x14ac:dyDescent="0.4">
      <c r="C657" s="2386" t="str">
        <f t="shared" si="11"/>
        <v/>
      </c>
    </row>
    <row r="658" spans="3:3" x14ac:dyDescent="0.4">
      <c r="C658" s="2386" t="str">
        <f t="shared" si="11"/>
        <v/>
      </c>
    </row>
    <row r="659" spans="3:3" x14ac:dyDescent="0.4">
      <c r="C659" s="2386" t="str">
        <f t="shared" si="11"/>
        <v/>
      </c>
    </row>
    <row r="660" spans="3:3" x14ac:dyDescent="0.4">
      <c r="C660" s="2386" t="str">
        <f t="shared" si="11"/>
        <v/>
      </c>
    </row>
    <row r="661" spans="3:3" x14ac:dyDescent="0.4">
      <c r="C661" s="2386" t="str">
        <f t="shared" si="11"/>
        <v/>
      </c>
    </row>
    <row r="662" spans="3:3" x14ac:dyDescent="0.4">
      <c r="C662" s="2386" t="str">
        <f t="shared" si="11"/>
        <v/>
      </c>
    </row>
    <row r="663" spans="3:3" x14ac:dyDescent="0.4">
      <c r="C663" s="2386" t="str">
        <f t="shared" si="11"/>
        <v/>
      </c>
    </row>
    <row r="664" spans="3:3" x14ac:dyDescent="0.4">
      <c r="C664" s="2386" t="str">
        <f t="shared" si="11"/>
        <v/>
      </c>
    </row>
    <row r="665" spans="3:3" x14ac:dyDescent="0.4">
      <c r="C665" s="2386" t="str">
        <f t="shared" si="11"/>
        <v/>
      </c>
    </row>
    <row r="666" spans="3:3" x14ac:dyDescent="0.4">
      <c r="C666" s="2386" t="str">
        <f t="shared" si="11"/>
        <v/>
      </c>
    </row>
    <row r="667" spans="3:3" x14ac:dyDescent="0.4">
      <c r="C667" s="2386" t="str">
        <f t="shared" si="11"/>
        <v/>
      </c>
    </row>
    <row r="668" spans="3:3" x14ac:dyDescent="0.4">
      <c r="C668" s="2386" t="str">
        <f t="shared" si="11"/>
        <v/>
      </c>
    </row>
    <row r="669" spans="3:3" x14ac:dyDescent="0.4">
      <c r="C669" s="2386" t="str">
        <f t="shared" si="11"/>
        <v/>
      </c>
    </row>
    <row r="670" spans="3:3" x14ac:dyDescent="0.4">
      <c r="C670" s="2386" t="str">
        <f t="shared" si="11"/>
        <v/>
      </c>
    </row>
    <row r="671" spans="3:3" x14ac:dyDescent="0.4">
      <c r="C671" s="2386" t="str">
        <f t="shared" si="11"/>
        <v/>
      </c>
    </row>
    <row r="672" spans="3:3" x14ac:dyDescent="0.4">
      <c r="C672" s="2386" t="str">
        <f t="shared" si="11"/>
        <v/>
      </c>
    </row>
    <row r="673" spans="3:3" x14ac:dyDescent="0.4">
      <c r="C673" s="2386" t="str">
        <f t="shared" si="11"/>
        <v/>
      </c>
    </row>
    <row r="674" spans="3:3" x14ac:dyDescent="0.4">
      <c r="C674" s="2386" t="str">
        <f t="shared" si="11"/>
        <v/>
      </c>
    </row>
    <row r="675" spans="3:3" x14ac:dyDescent="0.4">
      <c r="C675" s="2386" t="str">
        <f t="shared" si="11"/>
        <v/>
      </c>
    </row>
    <row r="676" spans="3:3" x14ac:dyDescent="0.4">
      <c r="C676" s="2386" t="str">
        <f t="shared" si="11"/>
        <v/>
      </c>
    </row>
    <row r="677" spans="3:3" x14ac:dyDescent="0.4">
      <c r="C677" s="2386" t="str">
        <f t="shared" si="11"/>
        <v/>
      </c>
    </row>
    <row r="678" spans="3:3" x14ac:dyDescent="0.4">
      <c r="C678" s="2386" t="str">
        <f t="shared" si="11"/>
        <v/>
      </c>
    </row>
    <row r="679" spans="3:3" x14ac:dyDescent="0.4">
      <c r="C679" s="2386" t="str">
        <f t="shared" si="11"/>
        <v/>
      </c>
    </row>
    <row r="680" spans="3:3" x14ac:dyDescent="0.4">
      <c r="C680" s="2386" t="str">
        <f t="shared" si="11"/>
        <v/>
      </c>
    </row>
    <row r="681" spans="3:3" x14ac:dyDescent="0.4">
      <c r="C681" s="2386" t="str">
        <f t="shared" si="11"/>
        <v/>
      </c>
    </row>
    <row r="682" spans="3:3" x14ac:dyDescent="0.4">
      <c r="C682" s="2386" t="str">
        <f t="shared" si="11"/>
        <v/>
      </c>
    </row>
    <row r="683" spans="3:3" x14ac:dyDescent="0.4">
      <c r="C683" s="2386" t="str">
        <f t="shared" si="11"/>
        <v/>
      </c>
    </row>
    <row r="684" spans="3:3" x14ac:dyDescent="0.4">
      <c r="C684" s="2386" t="str">
        <f t="shared" si="11"/>
        <v/>
      </c>
    </row>
    <row r="685" spans="3:3" x14ac:dyDescent="0.4">
      <c r="C685" s="2386" t="str">
        <f t="shared" si="11"/>
        <v/>
      </c>
    </row>
    <row r="686" spans="3:3" x14ac:dyDescent="0.4">
      <c r="C686" s="2386" t="str">
        <f t="shared" si="11"/>
        <v/>
      </c>
    </row>
    <row r="687" spans="3:3" x14ac:dyDescent="0.4">
      <c r="C687" s="2386" t="str">
        <f t="shared" si="11"/>
        <v/>
      </c>
    </row>
    <row r="688" spans="3:3" x14ac:dyDescent="0.4">
      <c r="C688" s="2386" t="str">
        <f t="shared" si="11"/>
        <v/>
      </c>
    </row>
    <row r="689" spans="3:3" x14ac:dyDescent="0.4">
      <c r="C689" s="2386" t="str">
        <f t="shared" si="11"/>
        <v/>
      </c>
    </row>
    <row r="690" spans="3:3" x14ac:dyDescent="0.4">
      <c r="C690" s="2386" t="str">
        <f t="shared" si="11"/>
        <v/>
      </c>
    </row>
    <row r="691" spans="3:3" x14ac:dyDescent="0.4">
      <c r="C691" s="2386" t="str">
        <f t="shared" si="11"/>
        <v/>
      </c>
    </row>
    <row r="692" spans="3:3" x14ac:dyDescent="0.4">
      <c r="C692" s="2386" t="str">
        <f t="shared" si="11"/>
        <v/>
      </c>
    </row>
    <row r="693" spans="3:3" x14ac:dyDescent="0.4">
      <c r="C693" s="2386" t="str">
        <f t="shared" si="11"/>
        <v/>
      </c>
    </row>
    <row r="694" spans="3:3" x14ac:dyDescent="0.4">
      <c r="C694" s="2386" t="str">
        <f t="shared" si="11"/>
        <v/>
      </c>
    </row>
    <row r="695" spans="3:3" x14ac:dyDescent="0.4">
      <c r="C695" s="2386" t="str">
        <f t="shared" si="11"/>
        <v/>
      </c>
    </row>
    <row r="696" spans="3:3" x14ac:dyDescent="0.4">
      <c r="C696" s="2386" t="str">
        <f t="shared" si="11"/>
        <v/>
      </c>
    </row>
    <row r="697" spans="3:3" x14ac:dyDescent="0.4">
      <c r="C697" s="2386" t="str">
        <f t="shared" si="11"/>
        <v/>
      </c>
    </row>
    <row r="698" spans="3:3" x14ac:dyDescent="0.4">
      <c r="C698" s="2386" t="str">
        <f t="shared" si="11"/>
        <v/>
      </c>
    </row>
    <row r="699" spans="3:3" x14ac:dyDescent="0.4">
      <c r="C699" s="2386" t="str">
        <f t="shared" si="11"/>
        <v/>
      </c>
    </row>
    <row r="700" spans="3:3" x14ac:dyDescent="0.4">
      <c r="C700" s="2386" t="str">
        <f t="shared" si="11"/>
        <v/>
      </c>
    </row>
    <row r="701" spans="3:3" x14ac:dyDescent="0.4">
      <c r="C701" s="2386" t="str">
        <f t="shared" si="11"/>
        <v/>
      </c>
    </row>
    <row r="702" spans="3:3" x14ac:dyDescent="0.4">
      <c r="C702" s="2386" t="str">
        <f t="shared" si="11"/>
        <v/>
      </c>
    </row>
    <row r="703" spans="3:3" x14ac:dyDescent="0.4">
      <c r="C703" s="2386" t="str">
        <f t="shared" si="11"/>
        <v/>
      </c>
    </row>
    <row r="704" spans="3:3" x14ac:dyDescent="0.4">
      <c r="C704" s="2386" t="str">
        <f t="shared" si="11"/>
        <v/>
      </c>
    </row>
    <row r="705" spans="3:3" x14ac:dyDescent="0.4">
      <c r="C705" s="2386" t="str">
        <f t="shared" si="11"/>
        <v/>
      </c>
    </row>
    <row r="706" spans="3:3" x14ac:dyDescent="0.4">
      <c r="C706" s="2386" t="str">
        <f t="shared" si="11"/>
        <v/>
      </c>
    </row>
    <row r="707" spans="3:3" x14ac:dyDescent="0.4">
      <c r="C707" s="2386" t="str">
        <f t="shared" si="11"/>
        <v/>
      </c>
    </row>
    <row r="708" spans="3:3" x14ac:dyDescent="0.4">
      <c r="C708" s="2386" t="str">
        <f t="shared" si="11"/>
        <v/>
      </c>
    </row>
    <row r="709" spans="3:3" x14ac:dyDescent="0.4">
      <c r="C709" s="2386" t="str">
        <f t="shared" si="11"/>
        <v/>
      </c>
    </row>
    <row r="710" spans="3:3" x14ac:dyDescent="0.4">
      <c r="C710" s="2386" t="str">
        <f t="shared" si="11"/>
        <v/>
      </c>
    </row>
    <row r="711" spans="3:3" x14ac:dyDescent="0.4">
      <c r="C711" s="2386" t="str">
        <f t="shared" si="11"/>
        <v/>
      </c>
    </row>
    <row r="712" spans="3:3" x14ac:dyDescent="0.4">
      <c r="C712" s="2386" t="str">
        <f t="shared" si="11"/>
        <v/>
      </c>
    </row>
    <row r="713" spans="3:3" x14ac:dyDescent="0.4">
      <c r="C713" s="2386" t="str">
        <f t="shared" si="11"/>
        <v/>
      </c>
    </row>
    <row r="714" spans="3:3" x14ac:dyDescent="0.4">
      <c r="C714" s="2386" t="str">
        <f t="shared" si="11"/>
        <v/>
      </c>
    </row>
    <row r="715" spans="3:3" x14ac:dyDescent="0.4">
      <c r="C715" s="2386" t="str">
        <f t="shared" si="11"/>
        <v/>
      </c>
    </row>
    <row r="716" spans="3:3" x14ac:dyDescent="0.4">
      <c r="C716" s="2386" t="str">
        <f t="shared" ref="C716:C774" si="12">RIGHT(D716,36)</f>
        <v/>
      </c>
    </row>
    <row r="717" spans="3:3" x14ac:dyDescent="0.4">
      <c r="C717" s="2386" t="str">
        <f t="shared" si="12"/>
        <v/>
      </c>
    </row>
    <row r="718" spans="3:3" x14ac:dyDescent="0.4">
      <c r="C718" s="2386" t="str">
        <f t="shared" si="12"/>
        <v/>
      </c>
    </row>
    <row r="719" spans="3:3" x14ac:dyDescent="0.4">
      <c r="C719" s="2386" t="str">
        <f t="shared" si="12"/>
        <v/>
      </c>
    </row>
    <row r="720" spans="3:3" x14ac:dyDescent="0.4">
      <c r="C720" s="2386" t="str">
        <f t="shared" si="12"/>
        <v/>
      </c>
    </row>
    <row r="721" spans="3:3" x14ac:dyDescent="0.4">
      <c r="C721" s="2386" t="str">
        <f t="shared" si="12"/>
        <v/>
      </c>
    </row>
    <row r="722" spans="3:3" x14ac:dyDescent="0.4">
      <c r="C722" s="2386" t="str">
        <f t="shared" si="12"/>
        <v/>
      </c>
    </row>
    <row r="723" spans="3:3" x14ac:dyDescent="0.4">
      <c r="C723" s="2386" t="str">
        <f t="shared" si="12"/>
        <v/>
      </c>
    </row>
    <row r="724" spans="3:3" x14ac:dyDescent="0.4">
      <c r="C724" s="2386" t="str">
        <f t="shared" si="12"/>
        <v/>
      </c>
    </row>
    <row r="725" spans="3:3" x14ac:dyDescent="0.4">
      <c r="C725" s="2386" t="str">
        <f t="shared" si="12"/>
        <v/>
      </c>
    </row>
    <row r="726" spans="3:3" x14ac:dyDescent="0.4">
      <c r="C726" s="2386" t="str">
        <f t="shared" si="12"/>
        <v/>
      </c>
    </row>
    <row r="727" spans="3:3" x14ac:dyDescent="0.4">
      <c r="C727" s="2386" t="str">
        <f t="shared" si="12"/>
        <v/>
      </c>
    </row>
    <row r="728" spans="3:3" x14ac:dyDescent="0.4">
      <c r="C728" s="2386" t="str">
        <f t="shared" si="12"/>
        <v/>
      </c>
    </row>
    <row r="729" spans="3:3" x14ac:dyDescent="0.4">
      <c r="C729" s="2386" t="str">
        <f t="shared" si="12"/>
        <v/>
      </c>
    </row>
    <row r="730" spans="3:3" x14ac:dyDescent="0.4">
      <c r="C730" s="2386" t="str">
        <f t="shared" si="12"/>
        <v/>
      </c>
    </row>
    <row r="731" spans="3:3" x14ac:dyDescent="0.4">
      <c r="C731" s="2386" t="str">
        <f t="shared" si="12"/>
        <v/>
      </c>
    </row>
    <row r="732" spans="3:3" x14ac:dyDescent="0.4">
      <c r="C732" s="2386" t="str">
        <f t="shared" si="12"/>
        <v/>
      </c>
    </row>
    <row r="733" spans="3:3" x14ac:dyDescent="0.4">
      <c r="C733" s="2386" t="str">
        <f t="shared" si="12"/>
        <v/>
      </c>
    </row>
    <row r="734" spans="3:3" x14ac:dyDescent="0.4">
      <c r="C734" s="2386" t="str">
        <f t="shared" si="12"/>
        <v/>
      </c>
    </row>
    <row r="735" spans="3:3" x14ac:dyDescent="0.4">
      <c r="C735" s="2386" t="str">
        <f t="shared" si="12"/>
        <v/>
      </c>
    </row>
    <row r="736" spans="3:3" x14ac:dyDescent="0.4">
      <c r="C736" s="2386" t="str">
        <f t="shared" si="12"/>
        <v/>
      </c>
    </row>
    <row r="737" spans="3:3" x14ac:dyDescent="0.4">
      <c r="C737" s="2386" t="str">
        <f t="shared" si="12"/>
        <v/>
      </c>
    </row>
    <row r="738" spans="3:3" x14ac:dyDescent="0.4">
      <c r="C738" s="2386" t="str">
        <f t="shared" si="12"/>
        <v/>
      </c>
    </row>
    <row r="739" spans="3:3" x14ac:dyDescent="0.4">
      <c r="C739" s="2386" t="str">
        <f t="shared" si="12"/>
        <v/>
      </c>
    </row>
    <row r="740" spans="3:3" x14ac:dyDescent="0.4">
      <c r="C740" s="2386" t="str">
        <f t="shared" si="12"/>
        <v/>
      </c>
    </row>
    <row r="741" spans="3:3" x14ac:dyDescent="0.4">
      <c r="C741" s="2386" t="str">
        <f t="shared" si="12"/>
        <v/>
      </c>
    </row>
    <row r="742" spans="3:3" x14ac:dyDescent="0.4">
      <c r="C742" s="2386" t="str">
        <f t="shared" si="12"/>
        <v/>
      </c>
    </row>
    <row r="743" spans="3:3" x14ac:dyDescent="0.4">
      <c r="C743" s="2386" t="str">
        <f t="shared" si="12"/>
        <v/>
      </c>
    </row>
    <row r="744" spans="3:3" x14ac:dyDescent="0.4">
      <c r="C744" s="2386" t="str">
        <f t="shared" si="12"/>
        <v/>
      </c>
    </row>
    <row r="745" spans="3:3" x14ac:dyDescent="0.4">
      <c r="C745" s="2386" t="str">
        <f t="shared" si="12"/>
        <v/>
      </c>
    </row>
    <row r="746" spans="3:3" x14ac:dyDescent="0.4">
      <c r="C746" s="2386" t="str">
        <f t="shared" si="12"/>
        <v/>
      </c>
    </row>
    <row r="747" spans="3:3" x14ac:dyDescent="0.4">
      <c r="C747" s="2386" t="str">
        <f t="shared" si="12"/>
        <v/>
      </c>
    </row>
    <row r="748" spans="3:3" x14ac:dyDescent="0.4">
      <c r="C748" s="2386" t="str">
        <f t="shared" si="12"/>
        <v/>
      </c>
    </row>
    <row r="749" spans="3:3" x14ac:dyDescent="0.4">
      <c r="C749" s="2386" t="str">
        <f t="shared" si="12"/>
        <v/>
      </c>
    </row>
    <row r="750" spans="3:3" x14ac:dyDescent="0.4">
      <c r="C750" s="2386" t="str">
        <f t="shared" si="12"/>
        <v/>
      </c>
    </row>
    <row r="751" spans="3:3" x14ac:dyDescent="0.4">
      <c r="C751" s="2386" t="str">
        <f t="shared" si="12"/>
        <v/>
      </c>
    </row>
    <row r="752" spans="3:3" x14ac:dyDescent="0.4">
      <c r="C752" s="2386" t="str">
        <f t="shared" si="12"/>
        <v/>
      </c>
    </row>
    <row r="753" spans="3:3" x14ac:dyDescent="0.4">
      <c r="C753" s="2386" t="str">
        <f t="shared" si="12"/>
        <v/>
      </c>
    </row>
    <row r="754" spans="3:3" x14ac:dyDescent="0.4">
      <c r="C754" s="2386" t="str">
        <f t="shared" si="12"/>
        <v/>
      </c>
    </row>
    <row r="755" spans="3:3" x14ac:dyDescent="0.4">
      <c r="C755" s="2386" t="str">
        <f t="shared" si="12"/>
        <v/>
      </c>
    </row>
    <row r="756" spans="3:3" x14ac:dyDescent="0.4">
      <c r="C756" s="2386" t="str">
        <f t="shared" si="12"/>
        <v/>
      </c>
    </row>
    <row r="757" spans="3:3" x14ac:dyDescent="0.4">
      <c r="C757" s="2386" t="str">
        <f t="shared" si="12"/>
        <v/>
      </c>
    </row>
    <row r="758" spans="3:3" x14ac:dyDescent="0.4">
      <c r="C758" s="2386" t="str">
        <f t="shared" si="12"/>
        <v/>
      </c>
    </row>
    <row r="759" spans="3:3" x14ac:dyDescent="0.4">
      <c r="C759" s="2386" t="str">
        <f t="shared" si="12"/>
        <v/>
      </c>
    </row>
    <row r="760" spans="3:3" x14ac:dyDescent="0.4">
      <c r="C760" s="2386" t="str">
        <f t="shared" si="12"/>
        <v/>
      </c>
    </row>
    <row r="761" spans="3:3" x14ac:dyDescent="0.4">
      <c r="C761" s="2386" t="str">
        <f t="shared" si="12"/>
        <v/>
      </c>
    </row>
    <row r="762" spans="3:3" x14ac:dyDescent="0.4">
      <c r="C762" s="2386" t="str">
        <f t="shared" si="12"/>
        <v/>
      </c>
    </row>
    <row r="763" spans="3:3" x14ac:dyDescent="0.4">
      <c r="C763" s="2386" t="str">
        <f t="shared" si="12"/>
        <v/>
      </c>
    </row>
    <row r="764" spans="3:3" x14ac:dyDescent="0.4">
      <c r="C764" s="2386" t="str">
        <f t="shared" si="12"/>
        <v/>
      </c>
    </row>
    <row r="765" spans="3:3" x14ac:dyDescent="0.4">
      <c r="C765" s="2386" t="str">
        <f t="shared" si="12"/>
        <v/>
      </c>
    </row>
    <row r="766" spans="3:3" x14ac:dyDescent="0.4">
      <c r="C766" s="2386" t="str">
        <f t="shared" si="12"/>
        <v/>
      </c>
    </row>
    <row r="767" spans="3:3" x14ac:dyDescent="0.4">
      <c r="C767" s="2386" t="str">
        <f t="shared" si="12"/>
        <v/>
      </c>
    </row>
    <row r="768" spans="3:3" x14ac:dyDescent="0.4">
      <c r="C768" s="2386" t="str">
        <f t="shared" si="12"/>
        <v/>
      </c>
    </row>
    <row r="769" spans="3:3" x14ac:dyDescent="0.4">
      <c r="C769" s="2386" t="str">
        <f t="shared" si="12"/>
        <v/>
      </c>
    </row>
    <row r="770" spans="3:3" x14ac:dyDescent="0.4">
      <c r="C770" s="2386" t="str">
        <f t="shared" si="12"/>
        <v/>
      </c>
    </row>
    <row r="771" spans="3:3" x14ac:dyDescent="0.4">
      <c r="C771" s="2386" t="str">
        <f t="shared" si="12"/>
        <v/>
      </c>
    </row>
    <row r="772" spans="3:3" x14ac:dyDescent="0.4">
      <c r="C772" s="2386" t="str">
        <f t="shared" si="12"/>
        <v/>
      </c>
    </row>
    <row r="773" spans="3:3" x14ac:dyDescent="0.4">
      <c r="C773" s="2386" t="str">
        <f t="shared" si="12"/>
        <v/>
      </c>
    </row>
    <row r="774" spans="3:3" x14ac:dyDescent="0.4">
      <c r="C774" s="2386" t="str">
        <f t="shared" si="12"/>
        <v/>
      </c>
    </row>
  </sheetData>
  <autoFilter ref="A1:D774" xr:uid="{00000000-0009-0000-0000-000004000000}"/>
  <phoneticPr fontId="4"/>
  <conditionalFormatting sqref="A291">
    <cfRule type="duplicateValues" dxfId="39" priority="24"/>
  </conditionalFormatting>
  <conditionalFormatting sqref="A301:A305">
    <cfRule type="duplicateValues" dxfId="38" priority="23"/>
  </conditionalFormatting>
  <conditionalFormatting sqref="A68:B68">
    <cfRule type="expression" dxfId="37" priority="18">
      <formula>NOT($A68=$B68)</formula>
    </cfRule>
    <cfRule type="expression" dxfId="36" priority="19">
      <formula>AND($A68=$B68,NOT($A68=""))</formula>
    </cfRule>
  </conditionalFormatting>
  <conditionalFormatting sqref="A2:C67 A91:C314 A315:B315 A316:C326">
    <cfRule type="expression" dxfId="35" priority="35">
      <formula>NOT($A2=$B2)</formula>
    </cfRule>
    <cfRule type="expression" dxfId="34" priority="36">
      <formula>AND($A2=$B2,NOT($A2=""))</formula>
    </cfRule>
  </conditionalFormatting>
  <conditionalFormatting sqref="A69:C70">
    <cfRule type="expression" dxfId="33" priority="13">
      <formula>NOT($A69=$B69)</formula>
    </cfRule>
    <cfRule type="expression" dxfId="32" priority="14">
      <formula>AND($A69=$B69,NOT($A69=""))</formula>
    </cfRule>
  </conditionalFormatting>
  <conditionalFormatting sqref="A71:C89 A328:C330 A332:C339 A341:C453">
    <cfRule type="expression" dxfId="31" priority="37">
      <formula>NOT($A71=$B71)</formula>
    </cfRule>
    <cfRule type="expression" dxfId="30" priority="38">
      <formula>AND($A71=$B71,NOT($A71=""))</formula>
    </cfRule>
  </conditionalFormatting>
  <conditionalFormatting sqref="A72:C72">
    <cfRule type="expression" dxfId="29" priority="32">
      <formula>NOT($A72=$B72)</formula>
    </cfRule>
    <cfRule type="expression" dxfId="28" priority="33">
      <formula>AND($A72=$B72,NOT($A72=""))</formula>
    </cfRule>
  </conditionalFormatting>
  <conditionalFormatting sqref="A90:C90">
    <cfRule type="expression" dxfId="27" priority="21">
      <formula>NOT($A90=$B90)</formula>
    </cfRule>
    <cfRule type="expression" dxfId="26" priority="22">
      <formula>AND($A90=$B90,NOT($A90=""))</formula>
    </cfRule>
  </conditionalFormatting>
  <conditionalFormatting sqref="A276:C276">
    <cfRule type="expression" dxfId="25" priority="29">
      <formula>NOT($A276=$B276)</formula>
    </cfRule>
    <cfRule type="expression" dxfId="24" priority="30">
      <formula>AND($A276=$B276,NOT($A276=""))</formula>
    </cfRule>
  </conditionalFormatting>
  <conditionalFormatting sqref="A277:C279">
    <cfRule type="expression" dxfId="23" priority="27">
      <formula>AND($A277=$B277,NOT($A277=""))</formula>
    </cfRule>
    <cfRule type="expression" dxfId="22" priority="26">
      <formula>NOT($A277=$B277)</formula>
    </cfRule>
  </conditionalFormatting>
  <conditionalFormatting sqref="A327:C327">
    <cfRule type="expression" dxfId="21" priority="10">
      <formula>NOT($A327=$B327)</formula>
    </cfRule>
    <cfRule type="expression" dxfId="20" priority="11">
      <formula>AND($A327=$B327,NOT($A327=""))</formula>
    </cfRule>
  </conditionalFormatting>
  <conditionalFormatting sqref="A331:C331">
    <cfRule type="expression" dxfId="19" priority="7">
      <formula>NOT($A331=$B331)</formula>
    </cfRule>
    <cfRule type="expression" dxfId="18" priority="8">
      <formula>AND($A331=$B331,NOT($A331=""))</formula>
    </cfRule>
  </conditionalFormatting>
  <conditionalFormatting sqref="A340:C340">
    <cfRule type="expression" dxfId="17" priority="2">
      <formula>NOT($A340=$B340)</formula>
    </cfRule>
    <cfRule type="expression" dxfId="16" priority="3">
      <formula>AND($A340=$B340,NOT($A340=""))</formula>
    </cfRule>
  </conditionalFormatting>
  <conditionalFormatting sqref="B68">
    <cfRule type="duplicateValues" dxfId="15" priority="17"/>
  </conditionalFormatting>
  <conditionalFormatting sqref="B69:B70">
    <cfRule type="duplicateValues" dxfId="14" priority="12"/>
  </conditionalFormatting>
  <conditionalFormatting sqref="B72">
    <cfRule type="duplicateValues" dxfId="13" priority="31"/>
  </conditionalFormatting>
  <conditionalFormatting sqref="B90">
    <cfRule type="duplicateValues" dxfId="12" priority="20"/>
  </conditionalFormatting>
  <conditionalFormatting sqref="B157">
    <cfRule type="duplicateValues" dxfId="11" priority="39"/>
  </conditionalFormatting>
  <conditionalFormatting sqref="B181:B275">
    <cfRule type="duplicateValues" dxfId="10" priority="40"/>
  </conditionalFormatting>
  <conditionalFormatting sqref="B276">
    <cfRule type="duplicateValues" dxfId="9" priority="28"/>
  </conditionalFormatting>
  <conditionalFormatting sqref="B277:B279">
    <cfRule type="duplicateValues" dxfId="8" priority="25"/>
  </conditionalFormatting>
  <conditionalFormatting sqref="B327">
    <cfRule type="duplicateValues" dxfId="7" priority="9"/>
  </conditionalFormatting>
  <conditionalFormatting sqref="B328:B330 B291:B293 B158:B180 B73:B89 B1:B67 B301:B306 B310:B326 B283:B288 B91:B156 B71 B332:B339 B341:B1048576">
    <cfRule type="duplicateValues" dxfId="6" priority="34"/>
  </conditionalFormatting>
  <conditionalFormatting sqref="B331">
    <cfRule type="duplicateValues" dxfId="5" priority="6"/>
  </conditionalFormatting>
  <conditionalFormatting sqref="B340">
    <cfRule type="duplicateValues" dxfId="4" priority="1"/>
  </conditionalFormatting>
  <conditionalFormatting sqref="C68">
    <cfRule type="expression" dxfId="3" priority="15">
      <formula>NOT($A68=$B68)</formula>
    </cfRule>
    <cfRule type="expression" dxfId="2" priority="16">
      <formula>AND($A68=$B68,NOT($A68=""))</formula>
    </cfRule>
  </conditionalFormatting>
  <conditionalFormatting sqref="C315">
    <cfRule type="expression" dxfId="1" priority="5">
      <formula>AND($A315=$B315,NOT($A315=""))</formula>
    </cfRule>
    <cfRule type="expression" dxfId="0" priority="4">
      <formula>NOT($A315=$B315)</formula>
    </cfRule>
  </conditionalFormatting>
  <hyperlinks>
    <hyperlink ref="D158" r:id="rId1" display="https://logistics.amazon.co.jp/operations/execution/routes?providerFilter=UNASSIGNED&amp;routesFilter=InProgress&amp;serviceAreaId=20bc0c87-e7f1-4fc7-ab55-ad122f674cb4" xr:uid="{3780D619-1E5E-4894-BDE2-1B3046747009}"/>
    <hyperlink ref="D159" r:id="rId2" display="https://logistics.amazon.co.jp/operations/execution/routes?providerFilter=UNASSIGNED&amp;routesFilter=InProgress&amp;serviceAreaId=082d951d-3477-43bb-b2c6-5957ed375876" xr:uid="{D518F4A6-EA26-4580-9DA8-7A4DDDECD345}"/>
    <hyperlink ref="D160" r:id="rId3" display="https://logistics.amazon.co.jp/operations/execution/routes?providerFilter=UNASSIGNED&amp;routesFilter=InProgress&amp;serviceAreaId=23296570-cfd4-4133-9a38-2b085b1d160f" xr:uid="{A16BAAFF-02AA-47F8-B5AD-0B011E582009}"/>
    <hyperlink ref="D161" r:id="rId4" display="https://logistics.amazon.co.jp/operations/execution/routes?providerFilter=UNASSIGNED&amp;routesFilter=InProgress&amp;serviceAreaId=7c266549-6b13-404f-be03-c9cc3b5d3c42" xr:uid="{D0DF7A45-106E-4080-A2FB-BDBE2AF206A5}"/>
    <hyperlink ref="D162" r:id="rId5" display="https://logistics.amazon.co.jp/operations/execution/routes?providerFilter=UNASSIGNED&amp;routesFilter=InProgress&amp;serviceAreaId=c2328099-15b0-4251-bf74-218677433725" xr:uid="{980F383B-32C2-4C21-815B-336B6F3D950E}"/>
    <hyperlink ref="D168" r:id="rId6" display="https://logistics.amazon.co.jp/operations/execution/routes?providerFilter=UNASSIGNED&amp;routesFilter=InProgress&amp;serviceAreaId=fc089426-6237-418d-80af-6fd0580ecdad" xr:uid="{4F7B1EAD-84E6-4C76-9AB0-B2AD71564292}"/>
    <hyperlink ref="D170" r:id="rId7" display="https://logistics.amazon.co.jp/operations/execution/routes?providerFilter=UNASSIGNED&amp;routesFilter=InProgress&amp;serviceAreaId=bff17328-a270-4809-bac6-f6af06ecdb35" xr:uid="{923E1A3E-9802-4DB2-807C-1C2D159E270E}"/>
    <hyperlink ref="D171" r:id="rId8" display="https://logistics.amazon.co.jp/operations/execution/routes?providerFilter=UNASSIGNED&amp;routesFilter=InProgress&amp;serviceAreaId=8e74ea47-3eea-4efb-a394-2cc33aa8cb74" xr:uid="{F70E1748-9CD1-4AE1-A85C-14068E293156}"/>
    <hyperlink ref="D181" r:id="rId9" display="https://logistics.amazon.co.jp/operations/execution/routes?providerFilter=ALL_DSPS&amp;selectedDay=2022-02-23&amp;serviceAreaId=c30abc18-abcd-4fbb-839e-f00bd51f12a1" xr:uid="{7B3F5E52-D5AA-43BE-936A-D8E802DFA2EC}"/>
    <hyperlink ref="D183" r:id="rId10" display="https://logistics.amazon.co.jp/operations/execution/routes?providerFilter=ALL_DSPS&amp;selectedDay=2022-02-23&amp;serviceAreaId=fd796ca4-9624-4f2a-8160-818f5e6bc117" xr:uid="{E47DC59F-F7EE-45ED-9A0E-9266258764B2}"/>
    <hyperlink ref="D187" r:id="rId11" display="https://logistics.amazon.co.jp/operations/execution/routes?providerFilter=UNASSIGNED&amp;selectedDay=2022-02-23&amp;serviceAreaId=c87f6832-437c-4105-898f-101a90912c3e" xr:uid="{64D9552E-A604-483A-847E-C401948B6DE1}"/>
    <hyperlink ref="D190" r:id="rId12" display="https://logistics.amazon.co.jp/operations/execution/routes?providerFilter=UNASSIGNED&amp;selectedDay=2022-02-23&amp;serviceAreaId=ac616bda-f444-43a3-9f53-502a48914afc" xr:uid="{A79AC2C5-4A9F-4BF6-97CB-6AED0E42D3E5}"/>
    <hyperlink ref="D191" r:id="rId13" display="https://logistics.amazon.co.jp/operations/execution/routes?providerFilter=ALL_DSPS&amp;selectedDay=2022-02-23&amp;serviceAreaId=f4cf0ba1-597e-47a4-90dc-f09bdeed6b3f" xr:uid="{E4A40E19-390E-4D51-B7FE-91DC8FC57D96}"/>
    <hyperlink ref="D192" r:id="rId14" display="https://logistics.amazon.co.jp/operations/execution/routes?providerFilter=ALL_DSPS&amp;selectedDay=2022-02-23&amp;serviceAreaId=5eb698cb-cf70-4e5b-9d57-7e116aa7ef00" xr:uid="{7D7A9A7E-1532-4188-8166-A244B466091E}"/>
    <hyperlink ref="D194" r:id="rId15" display="https://logistics.amazon.co.jp/operations/execution/routes?providerFilter=ALL_DSPS&amp;selectedDay=2022-02-23&amp;serviceAreaId=85081d66-afae-43b7-bce3-c1f3535edf36" xr:uid="{D03FD858-E75E-4872-9859-BE4AF7F1DC4F}"/>
    <hyperlink ref="D195" r:id="rId16" display="https://logistics.amazon.co.jp/operations/execution/routes?providerFilter=ALL_DSPS&amp;selectedDay=2022-02-23&amp;serviceAreaId=9e8327d8-e7dd-4f7b-a417-dcdadd47f70a" xr:uid="{E405E1A8-2AA0-4879-8E11-3753745AF417}"/>
    <hyperlink ref="D196" r:id="rId17" display="https://logistics.amazon.co.jp/operations/execution/routes?providerFilter=ALL_DSPS&amp;selectedDay=2022-02-23&amp;serviceAreaId=ab96ab9a-820e-490e-a193-90d331f3b038" xr:uid="{02D04619-FC0A-4D82-BC82-C743207F12D3}"/>
    <hyperlink ref="D197" r:id="rId18" display="https://logistics.amazon.co.jp/operations/execution/routes?providerFilter=ALL_DSPS&amp;selectedDay=2022-02-23&amp;serviceAreaId=35e14d21-9d76-49b2-9404-e2aa201e54dd" xr:uid="{15DEA26C-3229-45F5-AD45-DAA6F509B156}"/>
    <hyperlink ref="D198" r:id="rId19" display="https://logistics.amazon.co.jp/operations/execution/routes?providerFilter=ALL_DSPS&amp;selectedDay=2022-02-23&amp;serviceAreaId=f26c0114-5a92-4c56-86a6-229fcd10d3e0" xr:uid="{91F59B5B-8978-4806-83C3-30F411EE8B7D}"/>
    <hyperlink ref="D199" r:id="rId20" display="https://logistics.amazon.co.jp/operations/execution/routes?providerFilter=UNASSIGNED&amp;selectedDay=2022-04-11&amp;serviceAreaId=fa4f9f12-8dda-4ae2-96ae-e5bdbb606e8d" xr:uid="{6A863A9C-4826-46A2-B9C1-5ECF56BAE357}"/>
    <hyperlink ref="D201" r:id="rId21" display="https://logistics.amazon.co.jp/operations/execution/routes?providerFilter=ALL_DSPS&amp;selectedDay=2022-02-23&amp;serviceAreaId=d1c9449f-e3a0-485e-80e0-ae5357f4eab7" xr:uid="{320D3F61-C0A8-4E70-8869-0C65C88C0481}"/>
    <hyperlink ref="D202" r:id="rId22" display="https://logistics.amazon.co.jp/operations/execution/routes?providerFilter=ALL_DSPS&amp;selectedDay=2022-02-23&amp;serviceAreaId=b675f418-2844-4fda-837f-2a92dc86a874" xr:uid="{D0AD769B-62EF-41AA-9151-07E0DDE6B273}"/>
    <hyperlink ref="D204" r:id="rId23" display="https://logistics.amazon.co.jp/operations/execution/routes?providerFilter=ALL_DSPS&amp;selectedDay=2022-02-23&amp;serviceAreaId=06f4b3c5-54b0-41ba-9b8c-ef6c8eff5b30" xr:uid="{15847EA0-EE93-48EC-B836-79E4C0680345}"/>
    <hyperlink ref="D174" r:id="rId24" display="https://logistics.amazon.co.jp/operations/execution/routes?providerFilter=UNASSIGNED&amp;routesFilter=InProgress&amp;serviceAreaId=a7f4f04a-adfa-4afd-8b9f-7858067978e0" xr:uid="{AB7CBC12-707E-4C90-A52D-9E9C98A81F37}"/>
    <hyperlink ref="D216" r:id="rId25" display="https://logistics.amazon.co.jp/operations/execution/routes?providerFilter=UNASSIGNED&amp;routesFilter=InProgress&amp;selectedDay=2022-06-13&amp;serviceAreaId=6c548915-5be8-4c2c-88a0-2ea30dbe9204" xr:uid="{597A4EA2-F169-422B-A009-365A6F280A9F}"/>
    <hyperlink ref="D218" r:id="rId26" display="https://logistics.amazon.co.jp/operations/execution/routes?providerFilter=UNASSIGNED&amp;routesFilter=InProgress&amp;selectedDay=2022-06-21&amp;serviceAreaId=bf9d4225-0fc6-43ec-acdc-c42b1302eea5" xr:uid="{1502FCF2-4DEF-48F9-ACF6-67F9319C4E39}"/>
    <hyperlink ref="D219" r:id="rId27" display="https://logistics.amazon.co.jp/operations/execution/routes?providerFilter=ALL_DSPS&amp;routesFilter=InProgress&amp;selectedDay=2022-06-21&amp;serviceAreaId=00d2c4c5-5385-4c6f-92e4-dbb13517f75c" xr:uid="{76E4803C-0B1E-453F-9D84-5C914F8787B8}"/>
    <hyperlink ref="D220" r:id="rId28" xr:uid="{01582A8B-EE8F-4961-A4DF-0367126B659A}"/>
    <hyperlink ref="D221" r:id="rId29" xr:uid="{1E5795A8-9EF5-4989-BC1E-11604D6EA831}"/>
    <hyperlink ref="D222" r:id="rId30" xr:uid="{EC43BCBE-8F81-43CA-A187-29A67469211B}"/>
    <hyperlink ref="D223" r:id="rId31" xr:uid="{F79654C7-2AC8-4DC4-B8A4-2995392D9CF0}"/>
    <hyperlink ref="D224" r:id="rId32" xr:uid="{02759EFB-0EA1-47E8-8735-14E0F8A24223}"/>
    <hyperlink ref="D225" r:id="rId33" xr:uid="{3712E1E6-EF01-4CEF-AFCA-F343748076B4}"/>
    <hyperlink ref="D226" r:id="rId34" xr:uid="{DF3C2343-3D2B-42DD-AB00-2704DCBE1760}"/>
    <hyperlink ref="D227" r:id="rId35" xr:uid="{F64D92C2-A7C8-411A-A16F-1E534745509F}"/>
    <hyperlink ref="D228" r:id="rId36" xr:uid="{E1F53A11-5ADC-4EBC-B5D0-D4F2841006A8}"/>
    <hyperlink ref="D229" r:id="rId37" xr:uid="{C60B4D3B-9926-47BD-A32B-664588DD6826}"/>
    <hyperlink ref="D230" r:id="rId38" xr:uid="{89F539EE-6C08-4A9F-B41F-475AC1483228}"/>
    <hyperlink ref="D231" r:id="rId39" xr:uid="{F1C968BC-6EFD-4FB6-A722-8602F04F7A57}"/>
    <hyperlink ref="D173" r:id="rId40" display="https://logistics.amazon.co.jp/operations/execution/routes?providerFilter=UNASSIGNED&amp;routesFilter=InProgress&amp;serviceAreaId=71a1a266-cc17-49f0-a740-ec504e8e0029" xr:uid="{8883C5EE-F9E5-441F-A59F-91BC41912A9F}"/>
    <hyperlink ref="D172" r:id="rId41" display="https://logistics.amazon.co.jp/operations/execution/routes?providerFilter=UNASSIGNED&amp;routesFilter=InProgress&amp;serviceAreaId=_x000a_27768c1f-7451-4c57-a5bb-bf5634f8e90c" xr:uid="{45685344-0F19-4105-87A4-BB6CA6748524}"/>
    <hyperlink ref="D206" r:id="rId42" display="https://logistics.amazon.co.jp/operations/execution/routes?providerFilter=UNASSIGNED&amp;selectedDay=2022-07-02&amp;serviceAreaId=3b256365-cb05-4213-98c8-a60921fa83c4" xr:uid="{00ED2AA0-5D2F-4B2A-8E18-593900B380D8}"/>
    <hyperlink ref="D232" r:id="rId43" xr:uid="{7B6A596E-42C2-4DDD-84B1-695E0A5E6B00}"/>
    <hyperlink ref="C178" r:id="rId44" display="=RIGHT(D172,36)" xr:uid="{0BB11345-BCF5-4DA6-8976-0019BC3FFF36}"/>
    <hyperlink ref="D178" r:id="rId45" display="https://logistics.amazon.co.jp/operations/execution/itineraries?operationView=true&amp;providerFilter=UNASSIGNED&amp;routesFilter=InProgress&amp;selectedDay=2022-07-17&amp;serviceAreaId=09bf3475-261d-4167-9cfb-02afd1bf24a5" xr:uid="{C3FB46C6-845C-47C2-AF44-FFDE826F0918}"/>
    <hyperlink ref="C179" r:id="rId46" display="=RIGHT(D173,36)" xr:uid="{BF456D6B-300E-4D2A-9C7B-C6B4DE52D33E}"/>
    <hyperlink ref="D179" r:id="rId47" display="https://logistics.amazon.co.jp/operations/execution/itineraries?operationView=true&amp;selectedDay=2022-07-17&amp;serviceAreaId=222070a2-6f48-48d8-b83d-14a32b5ba455" xr:uid="{57B40E3D-7BD1-4D5A-85F6-79B0422E7BD8}"/>
    <hyperlink ref="D164" r:id="rId48" display="https://logistics.amazon.co.jp/operations/execution/routes?providerFilter=UNASSIGNED&amp;routeTypeFilter=ALL&amp;selectedDay=2022-07-21&amp;serviceAreaId=359ad6d6-5319-420e-839f-a892c1eef9a7" xr:uid="{1843F803-2DCD-48B5-ADE2-6EC7F5263126}"/>
    <hyperlink ref="D165" r:id="rId49" display="https://logistics.amazon.co.jp/operations/execution/routes?providerFilter=UNASSIGNED&amp;routeTypeFilter=ALL&amp;selectedDay=2022-07-21&amp;serviceAreaId=6a99db6d-34fb-4cae-b22e-d0a24df9269c" xr:uid="{09035CB7-A5BC-4AB1-9717-BEF98DF7ED56}"/>
    <hyperlink ref="D166" r:id="rId50" display="https://logistics.amazon.co.jp/operations/execution/routes?providerFilter=UNASSIGNED&amp;routeTypeFilter=ALL&amp;selectedDay=2022-07-21&amp;serviceAreaId=a0439440-f1d8-47a8-bfa1-f28ca7e1189c" xr:uid="{D4B4C498-A810-4412-90DE-3C24C3F3CD0C}"/>
    <hyperlink ref="D233" r:id="rId51" xr:uid="{17A0954F-029F-46B4-9AA2-7B7E40CB135B}"/>
    <hyperlink ref="D234" r:id="rId52" xr:uid="{4781EB61-E7AA-4725-AEBD-8F61CA5B0438}"/>
    <hyperlink ref="D235" r:id="rId53" xr:uid="{C8026336-F0F9-4BD9-8EE1-337390344567}"/>
    <hyperlink ref="D236" r:id="rId54" xr:uid="{2145FC6C-AEFB-4A4A-9D01-B5349C04D885}"/>
    <hyperlink ref="D237" r:id="rId55" xr:uid="{077EEB50-2A1B-4365-8330-F1BB28DF86E7}"/>
    <hyperlink ref="D238" r:id="rId56" xr:uid="{795604AA-4296-4068-A2D5-5B090A461E4B}"/>
    <hyperlink ref="D239" r:id="rId57" xr:uid="{D2605321-1DF0-43F0-A7C8-436608215BB9}"/>
    <hyperlink ref="D240" r:id="rId58" xr:uid="{48B127C6-9685-4645-8624-C576EE4BF141}"/>
    <hyperlink ref="D241" r:id="rId59" xr:uid="{CAE4493D-969F-43D8-A9FB-9FAE6F66F715}"/>
    <hyperlink ref="D242" r:id="rId60" xr:uid="{E3B67357-08E1-417E-9ADD-28C43359EEF2}"/>
    <hyperlink ref="D243" r:id="rId61" xr:uid="{098D908B-01F2-4A93-B14E-03F8E01E28EB}"/>
    <hyperlink ref="D244" r:id="rId62" xr:uid="{BF717203-0B7D-47D9-8E4E-014854EF01E8}"/>
    <hyperlink ref="D245" r:id="rId63" xr:uid="{B0F5F21B-11E3-4D56-884E-C7017DD5D29C}"/>
    <hyperlink ref="D246" r:id="rId64" xr:uid="{6B787100-5622-4489-BD10-BA48E6F92870}"/>
    <hyperlink ref="D247" r:id="rId65" xr:uid="{6097B2F0-C7DC-453F-9CD3-395ADA33837D}"/>
    <hyperlink ref="C180" r:id="rId66" display="=RIGHT(D174,36)" xr:uid="{DF2EFB69-C7A9-4088-A3BE-5397BF3E98B0}"/>
    <hyperlink ref="D180" r:id="rId67" display="https://logistics.amazon.co.jp/operations/execution/itineraries?operationView=true&amp;selectedDay=2022-09-18&amp;serviceAreaId=70d8ddb0-5235-4da6-90d0-41c0b1a0db70" xr:uid="{5C7D9BE5-00CF-4773-A3BE-8B4D3F3ECE4F}"/>
    <hyperlink ref="D248" r:id="rId68" xr:uid="{6CCB36DC-4091-4EDD-89A6-A4DA4AED54DB}"/>
    <hyperlink ref="D263" r:id="rId69" xr:uid="{9A66C40B-8954-44BF-8EDE-B5B3A5587A04}"/>
    <hyperlink ref="D265" r:id="rId70" xr:uid="{37A7E3D8-C979-4BDD-AAA1-3D0001B93853}"/>
    <hyperlink ref="D264" r:id="rId71" xr:uid="{4AD84736-BFF1-417A-855F-3E3A6E247749}"/>
    <hyperlink ref="D266" r:id="rId72" xr:uid="{16DC280E-B757-4687-AE97-EBEF26DF5166}"/>
    <hyperlink ref="D267" r:id="rId73" xr:uid="{D101B7E1-A80E-441F-95CF-F7DA4B2D9623}"/>
    <hyperlink ref="D157" r:id="rId74" display="https://logistics.amazon.co.jp/operations/execution/routes?providerFilter=ALL_DSPS&amp;routesFilter=InProgress&amp;serviceAreaId=24918961-bdcc-4940-b4f9-e594595bfec9" xr:uid="{B1BBD96C-9674-4E98-9379-780C525FB5F2}"/>
    <hyperlink ref="D176" r:id="rId75" display="https://logistics.amazon.co.jp/operations/execution/itineraries?cortexv2=true&amp;operationView=true&amp;progressStatusFilterValue&amp;providerFilter=ALL_DPS&amp;selectedDay=2023-08-03&amp;serviceAreaId=1a02b1c6-2667-4225-9fb8-58c226392067" xr:uid="{B65E426B-8A77-41FD-B741-D6E3AE93D036}"/>
    <hyperlink ref="D269" r:id="rId76" xr:uid="{E76FBD23-3B4F-4541-8965-F4184D82B622}"/>
    <hyperlink ref="D271" r:id="rId77" xr:uid="{11E0CEC7-ABB6-48C1-96C0-55D7AAD6FDB6}"/>
    <hyperlink ref="D177" r:id="rId78" display="https://logistics.amazon.co.jp/operations/execution/itineraries?cortexv2=true&amp;operationView=true&amp;progressStatusFilterValue&amp;providerFilter=ALL_DPS&amp;selectedDay=2023-09-19&amp;serviceAreaId=5f9f0ce8-b940-479d-bf84-30c0fc928038" xr:uid="{B829B3F7-2B76-4C15-A005-0BDA1F273D76}"/>
    <hyperlink ref="D268" r:id="rId79" xr:uid="{4AF85391-2584-4407-A439-B79BB64A5592}"/>
    <hyperlink ref="D272" r:id="rId80" xr:uid="{46A0D0C0-D938-4C7B-8254-E26D97FAFDF9}"/>
    <hyperlink ref="D276" r:id="rId81" xr:uid="{DDEAFD02-ED7D-4D91-9FE4-F3C3813D8C36}"/>
    <hyperlink ref="D277" r:id="rId82" xr:uid="{0A89DF0E-D4B6-47E4-AE8C-69F72C2116A5}"/>
    <hyperlink ref="D278" r:id="rId83" xr:uid="{A3981066-6CF5-4A0F-A338-23250262CFCA}"/>
    <hyperlink ref="D280" r:id="rId84" xr:uid="{B361B293-FFDA-4625-9444-316BF9D80C81}"/>
    <hyperlink ref="D282" r:id="rId85" xr:uid="{299155FD-DFD9-47BD-A2D5-B990F07573C7}"/>
    <hyperlink ref="D290" r:id="rId86" xr:uid="{11627C18-A793-4A3A-A8C0-8FE4B27F72BF}"/>
    <hyperlink ref="D291" r:id="rId87" xr:uid="{D1E1735F-44F9-4683-8C9C-870FF2F27DCB}"/>
    <hyperlink ref="D293" r:id="rId88" xr:uid="{3F90C4BA-C6F6-4C0C-A86F-A8DC9ECA1F56}"/>
    <hyperlink ref="D308" r:id="rId89" xr:uid="{F27C9A1C-D169-476C-8A5B-B5A8BC7DDB5A}"/>
    <hyperlink ref="D309" r:id="rId90" xr:uid="{6DC46A32-DB91-4CFD-8791-4DFDBAFC5D9E}"/>
    <hyperlink ref="D2" r:id="rId91" xr:uid="{DEA1F96A-B722-48CF-B465-12D33E72A958}"/>
    <hyperlink ref="D284" r:id="rId92" xr:uid="{FA026765-593A-422D-BD69-B2C5B2CAC5D3}"/>
    <hyperlink ref="D90" r:id="rId93" xr:uid="{E7834F5A-7112-419F-AEF9-EA0238077CD4}"/>
    <hyperlink ref="D58" r:id="rId94" xr:uid="{F4F53EBE-0B73-4CF0-9315-9A089FE1B3D7}"/>
    <hyperlink ref="D81" r:id="rId95" xr:uid="{C6D6FBE3-4932-45AA-8925-7BB86B45AB51}"/>
    <hyperlink ref="D133" r:id="rId96" xr:uid="{B3F29126-9AEE-4199-91CA-FC38E2E2F406}"/>
    <hyperlink ref="D67" r:id="rId97" xr:uid="{876E0F91-18D3-4E45-91CA-9D095E842C67}"/>
    <hyperlink ref="D319" r:id="rId98" xr:uid="{4BE37C90-783E-4BC6-A5E2-6B42011F9E3C}"/>
    <hyperlink ref="D318" r:id="rId99" xr:uid="{9B47CACF-A57A-4A28-8B5F-535B1D8E4FB1}"/>
    <hyperlink ref="D327" r:id="rId100" xr:uid="{114CE5CC-ABF8-41E9-8483-C3D20A44A00C}"/>
    <hyperlink ref="D329" r:id="rId101" xr:uid="{16B562FA-04C5-4742-B6BC-E12AC12E5ECE}"/>
    <hyperlink ref="D200" r:id="rId102" xr:uid="{2D841014-0BA8-4D3D-8E36-33EC836A5092}"/>
    <hyperlink ref="D331" r:id="rId103" xr:uid="{2C4BE478-4403-4488-B4C7-0663BAC479E1}"/>
    <hyperlink ref="D169" r:id="rId104" display="https://logistics.amazon.co.jp/operations/execution/routes?providerFilter=UNASSIGNED&amp;routesFilter=InProgress&amp;serviceAreaId=dbe0070e-2ccf-45ad-b5eb-3a8ac3fb5a52" xr:uid="{FF068148-59FE-4B9A-86ED-374D4CE0C2C6}"/>
    <hyperlink ref="D316" r:id="rId105" xr:uid="{2DAD7170-0319-4103-841B-9C575236E540}"/>
    <hyperlink ref="D116" r:id="rId106" xr:uid="{3DD61B54-E882-49B8-AE75-0D1B791DD634}"/>
    <hyperlink ref="D342" r:id="rId107" xr:uid="{C7C611B5-B2F5-49FF-AF3A-16FE31BCDB01}"/>
    <hyperlink ref="D340" r:id="rId108" xr:uid="{B9CEE75D-8AD3-409B-AEC2-50ACA09F6BBD}"/>
  </hyperlinks>
  <pageMargins left="0.7" right="0.7" top="0.75" bottom="0.75" header="0.3" footer="0.3"/>
  <pageSetup paperSize="9" orientation="portrait" r:id="rId109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5443F050F7868C4F85464D68B8B7D73B" ma:contentTypeVersion="2" ma:contentTypeDescription="新しいドキュメントを作成します。" ma:contentTypeScope="" ma:versionID="7e881ab964ee68ec1da636df216e27f4">
  <xsd:schema xmlns:xsd="http://www.w3.org/2001/XMLSchema" xmlns:xs="http://www.w3.org/2001/XMLSchema" xmlns:p="http://schemas.microsoft.com/office/2006/metadata/properties" xmlns:ns2="78baf5e2-2871-4fb9-8696-57b1416806bc" targetNamespace="http://schemas.microsoft.com/office/2006/metadata/properties" ma:root="true" ma:fieldsID="52ffabb481791ab6034034f5aa4c388d" ns2:_="">
    <xsd:import namespace="78baf5e2-2871-4fb9-8696-57b1416806bc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8baf5e2-2871-4fb9-8696-57b1416806b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78baf5e2-2871-4fb9-8696-57b1416806bc">
      <UserInfo>
        <DisplayName>Shen, Chih Hsiu</DisplayName>
        <AccountId>622</AccountId>
        <AccountType/>
      </UserInfo>
      <UserInfo>
        <DisplayName>Ono, Kaoru</DisplayName>
        <AccountId>908</AccountId>
        <AccountType/>
      </UserInfo>
      <UserInfo>
        <DisplayName>Lu, Hsin</DisplayName>
        <AccountId>1034</AccountId>
        <AccountType/>
      </UserInfo>
    </SharedWithUsers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832C4A2-33BE-42C9-BA39-9C991C23CD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8baf5e2-2871-4fb9-8696-57b1416806b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B583E1F7-F8CD-4001-A357-0F4BAF26D41C}">
  <ds:schemaRefs>
    <ds:schemaRef ds:uri="http://purl.org/dc/dcmitype/"/>
    <ds:schemaRef ds:uri="78baf5e2-2871-4fb9-8696-57b1416806bc"/>
    <ds:schemaRef ds:uri="http://purl.org/dc/elements/1.1/"/>
    <ds:schemaRef ds:uri="http://purl.org/dc/terms/"/>
    <ds:schemaRef ds:uri="http://schemas.microsoft.com/office/2006/metadata/properties"/>
    <ds:schemaRef ds:uri="http://www.w3.org/XML/1998/namespace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1E9273BD-6B9F-47F2-B6D0-4D3950D96347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SOP</vt:lpstr>
      <vt:lpstr>Routine Board（-1）</vt:lpstr>
      <vt:lpstr>Routine Board</vt:lpstr>
      <vt:lpstr>Duplo</vt:lpstr>
      <vt:lpstr>Large, MiniDS LINK</vt:lpstr>
      <vt:lpstr>Shinka LINK</vt:lpstr>
      <vt:lpstr>SIM SOP</vt:lpstr>
      <vt:lpstr>SIM Link</vt:lpstr>
      <vt:lpstr>DS ID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Yuanyuan, Liu</dc:creator>
  <cp:keywords/>
  <dc:description/>
  <cp:lastModifiedBy>涛 湯</cp:lastModifiedBy>
  <cp:revision/>
  <dcterms:created xsi:type="dcterms:W3CDTF">2025-03-31T12:50:44Z</dcterms:created>
  <dcterms:modified xsi:type="dcterms:W3CDTF">2025-05-04T16:11:53Z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2052-11.1.0.13703</vt:lpwstr>
  </property>
  <property fmtid="{D5CDD505-2E9C-101B-9397-08002B2CF9AE}" pid="3" name="ContentTypeId">
    <vt:lpwstr>0x0101005443F050F7868C4F85464D68B8B7D73B</vt:lpwstr>
  </property>
  <property fmtid="{D5CDD505-2E9C-101B-9397-08002B2CF9AE}" pid="4" name="ICV">
    <vt:lpwstr>5AA52DDA77044C5C81DEE260E6FCB502</vt:lpwstr>
  </property>
</Properties>
</file>