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07B96A15-602E-4A12-8ACF-739359A79D07}" xr6:coauthVersionLast="36" xr6:coauthVersionMax="47" xr10:uidLastSave="{00000000-0000-0000-0000-000000000000}"/>
  <bookViews>
    <workbookView xWindow="36540" yWindow="2160" windowWidth="16050" windowHeight="10605" tabRatio="758" firstSheet="2" activeTab="2" xr2:uid="{46C7E05D-2187-4227-944F-2BBE767CD602}"/>
  </bookViews>
  <sheets>
    <sheet name="記入SOP　RP提案（Rescuee Chat可）" sheetId="8" r:id="rId1"/>
    <sheet name="BlockOpenChime報告" sheetId="45" r:id="rId2"/>
    <sheet name="0525" sheetId="107" r:id="rId3"/>
    <sheet name="DS使用中" sheetId="103" r:id="rId4"/>
    <sheet name="リスト" sheetId="106" state="hidden" r:id="rId5"/>
    <sheet name="Shinka一覧" sheetId="92" state="hidden" r:id="rId6"/>
  </sheets>
  <definedNames>
    <definedName name="_xlnm._FilterDatabase" localSheetId="5" hidden="1">Shinka一覧!$A$1:$C$2</definedName>
    <definedName name="_xlnm._FilterDatabase" localSheetId="0" hidden="1">'記入SOP　RP提案（Rescuee Chat可）'!$A$4:$AT$43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" i="107" l="1"/>
  <c r="D7" i="107"/>
  <c r="U6" i="107"/>
  <c r="D6" i="107"/>
  <c r="U5" i="107"/>
  <c r="D5" i="107"/>
  <c r="AO400" i="107"/>
  <c r="AN400" i="107"/>
  <c r="AM400" i="107"/>
  <c r="AG400" i="107"/>
  <c r="AE400" i="107"/>
  <c r="Z400" i="107"/>
  <c r="AO399" i="107"/>
  <c r="AN399" i="107"/>
  <c r="AM399" i="107"/>
  <c r="AG399" i="107"/>
  <c r="AE399" i="107"/>
  <c r="Z399" i="107"/>
  <c r="AO398" i="107"/>
  <c r="AN398" i="107"/>
  <c r="AM398" i="107"/>
  <c r="AG398" i="107"/>
  <c r="AE398" i="107"/>
  <c r="Z398" i="107"/>
  <c r="AO397" i="107"/>
  <c r="AN397" i="107"/>
  <c r="AM397" i="107"/>
  <c r="AG397" i="107"/>
  <c r="AE397" i="107"/>
  <c r="Z397" i="107"/>
  <c r="AO396" i="107"/>
  <c r="AN396" i="107"/>
  <c r="AM396" i="107"/>
  <c r="AG396" i="107"/>
  <c r="AE396" i="107"/>
  <c r="Z396" i="107"/>
  <c r="AO395" i="107"/>
  <c r="AN395" i="107"/>
  <c r="AM395" i="107"/>
  <c r="AG395" i="107"/>
  <c r="AE395" i="107"/>
  <c r="Z395" i="107"/>
  <c r="AO394" i="107"/>
  <c r="AN394" i="107"/>
  <c r="AM394" i="107"/>
  <c r="AG394" i="107"/>
  <c r="AE394" i="107"/>
  <c r="Z394" i="107"/>
  <c r="AO393" i="107"/>
  <c r="AN393" i="107"/>
  <c r="AM393" i="107"/>
  <c r="AG393" i="107"/>
  <c r="AE393" i="107"/>
  <c r="Z393" i="107"/>
  <c r="AO392" i="107"/>
  <c r="AN392" i="107"/>
  <c r="AM392" i="107"/>
  <c r="AG392" i="107"/>
  <c r="AE392" i="107"/>
  <c r="Z392" i="107"/>
  <c r="AO391" i="107"/>
  <c r="AN391" i="107"/>
  <c r="AM391" i="107"/>
  <c r="AG391" i="107"/>
  <c r="AE391" i="107"/>
  <c r="Z391" i="107"/>
  <c r="AO390" i="107"/>
  <c r="AN390" i="107"/>
  <c r="AM390" i="107"/>
  <c r="AG390" i="107"/>
  <c r="AE390" i="107"/>
  <c r="Z390" i="107"/>
  <c r="AO389" i="107"/>
  <c r="AN389" i="107"/>
  <c r="AM389" i="107"/>
  <c r="AG389" i="107"/>
  <c r="AE389" i="107"/>
  <c r="Z389" i="107"/>
  <c r="AO388" i="107"/>
  <c r="AN388" i="107"/>
  <c r="AM388" i="107"/>
  <c r="AG388" i="107"/>
  <c r="AE388" i="107"/>
  <c r="Z388" i="107"/>
  <c r="AO387" i="107"/>
  <c r="AN387" i="107"/>
  <c r="AM387" i="107"/>
  <c r="AG387" i="107"/>
  <c r="AE387" i="107"/>
  <c r="Z387" i="107"/>
  <c r="AO386" i="107"/>
  <c r="AN386" i="107"/>
  <c r="AM386" i="107"/>
  <c r="AG386" i="107"/>
  <c r="AE386" i="107"/>
  <c r="Z386" i="107"/>
  <c r="AO385" i="107"/>
  <c r="AN385" i="107"/>
  <c r="AM385" i="107"/>
  <c r="AG385" i="107"/>
  <c r="AE385" i="107"/>
  <c r="Z385" i="107"/>
  <c r="AO384" i="107"/>
  <c r="AN384" i="107"/>
  <c r="AM384" i="107"/>
  <c r="AG384" i="107"/>
  <c r="AE384" i="107"/>
  <c r="Z384" i="107"/>
  <c r="AO383" i="107"/>
  <c r="AN383" i="107"/>
  <c r="AM383" i="107"/>
  <c r="AG383" i="107"/>
  <c r="AE383" i="107"/>
  <c r="Z383" i="107"/>
  <c r="AO382" i="107"/>
  <c r="AN382" i="107"/>
  <c r="AM382" i="107"/>
  <c r="AG382" i="107"/>
  <c r="AE382" i="107"/>
  <c r="Z382" i="107"/>
  <c r="AO381" i="107"/>
  <c r="AN381" i="107"/>
  <c r="AM381" i="107"/>
  <c r="AG381" i="107"/>
  <c r="AE381" i="107"/>
  <c r="Z381" i="107"/>
  <c r="AO380" i="107"/>
  <c r="AN380" i="107"/>
  <c r="AM380" i="107"/>
  <c r="AG380" i="107"/>
  <c r="AE380" i="107"/>
  <c r="Z380" i="107"/>
  <c r="AO379" i="107"/>
  <c r="AN379" i="107"/>
  <c r="AM379" i="107"/>
  <c r="AG379" i="107"/>
  <c r="AE379" i="107"/>
  <c r="Z379" i="107"/>
  <c r="AO378" i="107"/>
  <c r="AN378" i="107"/>
  <c r="AM378" i="107"/>
  <c r="AG378" i="107"/>
  <c r="AE378" i="107"/>
  <c r="Z378" i="107"/>
  <c r="AO377" i="107"/>
  <c r="AN377" i="107"/>
  <c r="AM377" i="107"/>
  <c r="AG377" i="107"/>
  <c r="AE377" i="107"/>
  <c r="Z377" i="107"/>
  <c r="AO376" i="107"/>
  <c r="AN376" i="107"/>
  <c r="AM376" i="107"/>
  <c r="AG376" i="107"/>
  <c r="AE376" i="107"/>
  <c r="Z376" i="107"/>
  <c r="AO375" i="107"/>
  <c r="AN375" i="107"/>
  <c r="AM375" i="107"/>
  <c r="AG375" i="107"/>
  <c r="AE375" i="107"/>
  <c r="Z375" i="107"/>
  <c r="AO374" i="107"/>
  <c r="AN374" i="107"/>
  <c r="AM374" i="107"/>
  <c r="AG374" i="107"/>
  <c r="AE374" i="107"/>
  <c r="Z374" i="107"/>
  <c r="AO373" i="107"/>
  <c r="AN373" i="107"/>
  <c r="AM373" i="107"/>
  <c r="AG373" i="107"/>
  <c r="AE373" i="107"/>
  <c r="Z373" i="107"/>
  <c r="AO372" i="107"/>
  <c r="AN372" i="107"/>
  <c r="AM372" i="107"/>
  <c r="AG372" i="107"/>
  <c r="AE372" i="107"/>
  <c r="Z372" i="107"/>
  <c r="AO371" i="107"/>
  <c r="AN371" i="107"/>
  <c r="AM371" i="107"/>
  <c r="AG371" i="107"/>
  <c r="AE371" i="107"/>
  <c r="Z371" i="107"/>
  <c r="AO370" i="107"/>
  <c r="AN370" i="107"/>
  <c r="AM370" i="107"/>
  <c r="AG370" i="107"/>
  <c r="AE370" i="107"/>
  <c r="Z370" i="107"/>
  <c r="AO369" i="107"/>
  <c r="AN369" i="107"/>
  <c r="AM369" i="107"/>
  <c r="AG369" i="107"/>
  <c r="AE369" i="107"/>
  <c r="Z369" i="107"/>
  <c r="AO368" i="107"/>
  <c r="AN368" i="107"/>
  <c r="AM368" i="107"/>
  <c r="AG368" i="107"/>
  <c r="AE368" i="107"/>
  <c r="Z368" i="107"/>
  <c r="AO367" i="107"/>
  <c r="AN367" i="107"/>
  <c r="AM367" i="107"/>
  <c r="AG367" i="107"/>
  <c r="AE367" i="107"/>
  <c r="Z367" i="107"/>
  <c r="AO366" i="107"/>
  <c r="AN366" i="107"/>
  <c r="AM366" i="107"/>
  <c r="AG366" i="107"/>
  <c r="AE366" i="107"/>
  <c r="Z366" i="107"/>
  <c r="AO365" i="107"/>
  <c r="AN365" i="107"/>
  <c r="AM365" i="107"/>
  <c r="AG365" i="107"/>
  <c r="AE365" i="107"/>
  <c r="Z365" i="107"/>
  <c r="AO364" i="107"/>
  <c r="AN364" i="107"/>
  <c r="AM364" i="107"/>
  <c r="AG364" i="107"/>
  <c r="AE364" i="107"/>
  <c r="Z364" i="107"/>
  <c r="AO363" i="107"/>
  <c r="AN363" i="107"/>
  <c r="AM363" i="107"/>
  <c r="AG363" i="107"/>
  <c r="AE363" i="107"/>
  <c r="Z363" i="107"/>
  <c r="AO362" i="107"/>
  <c r="AN362" i="107"/>
  <c r="AM362" i="107"/>
  <c r="AG362" i="107"/>
  <c r="AE362" i="107"/>
  <c r="Z362" i="107"/>
  <c r="AO361" i="107"/>
  <c r="AN361" i="107"/>
  <c r="AM361" i="107"/>
  <c r="AG361" i="107"/>
  <c r="AE361" i="107"/>
  <c r="Z361" i="107"/>
  <c r="AO360" i="107"/>
  <c r="AN360" i="107"/>
  <c r="AM360" i="107"/>
  <c r="AG360" i="107"/>
  <c r="AE360" i="107"/>
  <c r="Z360" i="107"/>
  <c r="AO359" i="107"/>
  <c r="AN359" i="107"/>
  <c r="AM359" i="107"/>
  <c r="AG359" i="107"/>
  <c r="AE359" i="107"/>
  <c r="Z359" i="107"/>
  <c r="AO358" i="107"/>
  <c r="AN358" i="107"/>
  <c r="AM358" i="107"/>
  <c r="AG358" i="107"/>
  <c r="AE358" i="107"/>
  <c r="Z358" i="107"/>
  <c r="AO357" i="107"/>
  <c r="AN357" i="107"/>
  <c r="AM357" i="107"/>
  <c r="AG357" i="107"/>
  <c r="AE357" i="107"/>
  <c r="Z357" i="107"/>
  <c r="AO356" i="107"/>
  <c r="AN356" i="107"/>
  <c r="AM356" i="107"/>
  <c r="AG356" i="107"/>
  <c r="AE356" i="107"/>
  <c r="Z356" i="107"/>
  <c r="AO355" i="107"/>
  <c r="AN355" i="107"/>
  <c r="AM355" i="107"/>
  <c r="AG355" i="107"/>
  <c r="AE355" i="107"/>
  <c r="Z355" i="107"/>
  <c r="AO354" i="107"/>
  <c r="AN354" i="107"/>
  <c r="AM354" i="107"/>
  <c r="AG354" i="107"/>
  <c r="AE354" i="107"/>
  <c r="Z354" i="107"/>
  <c r="AO353" i="107"/>
  <c r="AN353" i="107"/>
  <c r="AM353" i="107"/>
  <c r="AG353" i="107"/>
  <c r="AE353" i="107"/>
  <c r="Z353" i="107"/>
  <c r="AO352" i="107"/>
  <c r="AN352" i="107"/>
  <c r="AM352" i="107"/>
  <c r="AG352" i="107"/>
  <c r="AE352" i="107"/>
  <c r="Z352" i="107"/>
  <c r="AO351" i="107"/>
  <c r="AN351" i="107"/>
  <c r="AM351" i="107"/>
  <c r="AG351" i="107"/>
  <c r="AE351" i="107"/>
  <c r="Z351" i="107"/>
  <c r="AO350" i="107"/>
  <c r="AN350" i="107"/>
  <c r="AM350" i="107"/>
  <c r="AG350" i="107"/>
  <c r="AE350" i="107"/>
  <c r="Z350" i="107"/>
  <c r="AO349" i="107"/>
  <c r="AN349" i="107"/>
  <c r="AM349" i="107"/>
  <c r="AG349" i="107"/>
  <c r="AE349" i="107"/>
  <c r="Z349" i="107"/>
  <c r="AO348" i="107"/>
  <c r="AN348" i="107"/>
  <c r="AM348" i="107"/>
  <c r="AG348" i="107"/>
  <c r="AE348" i="107"/>
  <c r="Z348" i="107"/>
  <c r="AO347" i="107"/>
  <c r="AN347" i="107"/>
  <c r="AM347" i="107"/>
  <c r="AG347" i="107"/>
  <c r="AE347" i="107"/>
  <c r="Z347" i="107"/>
  <c r="AO346" i="107"/>
  <c r="AN346" i="107"/>
  <c r="AM346" i="107"/>
  <c r="AG346" i="107"/>
  <c r="AE346" i="107"/>
  <c r="Z346" i="107"/>
  <c r="AO345" i="107"/>
  <c r="AN345" i="107"/>
  <c r="AM345" i="107"/>
  <c r="AG345" i="107"/>
  <c r="AE345" i="107"/>
  <c r="Z345" i="107"/>
  <c r="AO344" i="107"/>
  <c r="AN344" i="107"/>
  <c r="AM344" i="107"/>
  <c r="AG344" i="107"/>
  <c r="AE344" i="107"/>
  <c r="Z344" i="107"/>
  <c r="AO343" i="107"/>
  <c r="AN343" i="107"/>
  <c r="AM343" i="107"/>
  <c r="AG343" i="107"/>
  <c r="AE343" i="107"/>
  <c r="Z343" i="107"/>
  <c r="AO342" i="107"/>
  <c r="AN342" i="107"/>
  <c r="AM342" i="107"/>
  <c r="AG342" i="107"/>
  <c r="AE342" i="107"/>
  <c r="Z342" i="107"/>
  <c r="AO341" i="107"/>
  <c r="AN341" i="107"/>
  <c r="AM341" i="107"/>
  <c r="AG341" i="107"/>
  <c r="AE341" i="107"/>
  <c r="Z341" i="107"/>
  <c r="AO340" i="107"/>
  <c r="AN340" i="107"/>
  <c r="AM340" i="107"/>
  <c r="AG340" i="107"/>
  <c r="AE340" i="107"/>
  <c r="Z340" i="107"/>
  <c r="AO339" i="107"/>
  <c r="AN339" i="107"/>
  <c r="AM339" i="107"/>
  <c r="AG339" i="107"/>
  <c r="AE339" i="107"/>
  <c r="Z339" i="107"/>
  <c r="AO338" i="107"/>
  <c r="AN338" i="107"/>
  <c r="AM338" i="107"/>
  <c r="AG338" i="107"/>
  <c r="AE338" i="107"/>
  <c r="Z338" i="107"/>
  <c r="AO337" i="107"/>
  <c r="AN337" i="107"/>
  <c r="AM337" i="107"/>
  <c r="AG337" i="107"/>
  <c r="AE337" i="107"/>
  <c r="Z337" i="107"/>
  <c r="AO336" i="107"/>
  <c r="AN336" i="107"/>
  <c r="AM336" i="107"/>
  <c r="AG336" i="107"/>
  <c r="AE336" i="107"/>
  <c r="Z336" i="107"/>
  <c r="AO335" i="107"/>
  <c r="AN335" i="107"/>
  <c r="AM335" i="107"/>
  <c r="AG335" i="107"/>
  <c r="AE335" i="107"/>
  <c r="Z335" i="107"/>
  <c r="AO334" i="107"/>
  <c r="AN334" i="107"/>
  <c r="AM334" i="107"/>
  <c r="AG334" i="107"/>
  <c r="AE334" i="107"/>
  <c r="Z334" i="107"/>
  <c r="AO333" i="107"/>
  <c r="AN333" i="107"/>
  <c r="AM333" i="107"/>
  <c r="AG333" i="107"/>
  <c r="AE333" i="107"/>
  <c r="Z333" i="107"/>
  <c r="AO332" i="107"/>
  <c r="AN332" i="107"/>
  <c r="AM332" i="107"/>
  <c r="AG332" i="107"/>
  <c r="AE332" i="107"/>
  <c r="Z332" i="107"/>
  <c r="AO331" i="107"/>
  <c r="AN331" i="107"/>
  <c r="AM331" i="107"/>
  <c r="AG331" i="107"/>
  <c r="AE331" i="107"/>
  <c r="Z331" i="107"/>
  <c r="AO330" i="107"/>
  <c r="AN330" i="107"/>
  <c r="AM330" i="107"/>
  <c r="AG330" i="107"/>
  <c r="AE330" i="107"/>
  <c r="Z330" i="107"/>
  <c r="AO329" i="107"/>
  <c r="AN329" i="107"/>
  <c r="AM329" i="107"/>
  <c r="AG329" i="107"/>
  <c r="AE329" i="107"/>
  <c r="Z329" i="107"/>
  <c r="AO328" i="107"/>
  <c r="AN328" i="107"/>
  <c r="AM328" i="107"/>
  <c r="AG328" i="107"/>
  <c r="AE328" i="107"/>
  <c r="Z328" i="107"/>
  <c r="AO327" i="107"/>
  <c r="AN327" i="107"/>
  <c r="AM327" i="107"/>
  <c r="AG327" i="107"/>
  <c r="AE327" i="107"/>
  <c r="Z327" i="107"/>
  <c r="AO326" i="107"/>
  <c r="AN326" i="107"/>
  <c r="AM326" i="107"/>
  <c r="AG326" i="107"/>
  <c r="AE326" i="107"/>
  <c r="Z326" i="107"/>
  <c r="AO325" i="107"/>
  <c r="AN325" i="107"/>
  <c r="AM325" i="107"/>
  <c r="AG325" i="107"/>
  <c r="AE325" i="107"/>
  <c r="Z325" i="107"/>
  <c r="AO324" i="107"/>
  <c r="AN324" i="107"/>
  <c r="AM324" i="107"/>
  <c r="AG324" i="107"/>
  <c r="AE324" i="107"/>
  <c r="Z324" i="107"/>
  <c r="AO323" i="107"/>
  <c r="AN323" i="107"/>
  <c r="AM323" i="107"/>
  <c r="AG323" i="107"/>
  <c r="AE323" i="107"/>
  <c r="Z323" i="107"/>
  <c r="AO322" i="107"/>
  <c r="AN322" i="107"/>
  <c r="AM322" i="107"/>
  <c r="AG322" i="107"/>
  <c r="AE322" i="107"/>
  <c r="Z322" i="107"/>
  <c r="AO321" i="107"/>
  <c r="AN321" i="107"/>
  <c r="AM321" i="107"/>
  <c r="AG321" i="107"/>
  <c r="AE321" i="107"/>
  <c r="Z321" i="107"/>
  <c r="AO320" i="107"/>
  <c r="AN320" i="107"/>
  <c r="AM320" i="107"/>
  <c r="AG320" i="107"/>
  <c r="AE320" i="107"/>
  <c r="Z320" i="107"/>
  <c r="AO319" i="107"/>
  <c r="AN319" i="107"/>
  <c r="AM319" i="107"/>
  <c r="AG319" i="107"/>
  <c r="AE319" i="107"/>
  <c r="Z319" i="107"/>
  <c r="AO318" i="107"/>
  <c r="AN318" i="107"/>
  <c r="AM318" i="107"/>
  <c r="AG318" i="107"/>
  <c r="AE318" i="107"/>
  <c r="Z318" i="107"/>
  <c r="AO317" i="107"/>
  <c r="AN317" i="107"/>
  <c r="AM317" i="107"/>
  <c r="AG317" i="107"/>
  <c r="AE317" i="107"/>
  <c r="Z317" i="107"/>
  <c r="AO316" i="107"/>
  <c r="AN316" i="107"/>
  <c r="AM316" i="107"/>
  <c r="AG316" i="107"/>
  <c r="AE316" i="107"/>
  <c r="Z316" i="107"/>
  <c r="AO315" i="107"/>
  <c r="AN315" i="107"/>
  <c r="AM315" i="107"/>
  <c r="AG315" i="107"/>
  <c r="AE315" i="107"/>
  <c r="Z315" i="107"/>
  <c r="AO314" i="107"/>
  <c r="AN314" i="107"/>
  <c r="AM314" i="107"/>
  <c r="AG314" i="107"/>
  <c r="AE314" i="107"/>
  <c r="Z314" i="107"/>
  <c r="AO313" i="107"/>
  <c r="AN313" i="107"/>
  <c r="AM313" i="107"/>
  <c r="AG313" i="107"/>
  <c r="AE313" i="107"/>
  <c r="Z313" i="107"/>
  <c r="AO312" i="107"/>
  <c r="AN312" i="107"/>
  <c r="AM312" i="107"/>
  <c r="AG312" i="107"/>
  <c r="AE312" i="107"/>
  <c r="Z312" i="107"/>
  <c r="AO311" i="107"/>
  <c r="AN311" i="107"/>
  <c r="AM311" i="107"/>
  <c r="AG311" i="107"/>
  <c r="AE311" i="107"/>
  <c r="Z311" i="107"/>
  <c r="AO310" i="107"/>
  <c r="AN310" i="107"/>
  <c r="AM310" i="107"/>
  <c r="AG310" i="107"/>
  <c r="AE310" i="107"/>
  <c r="Z310" i="107"/>
  <c r="AO309" i="107"/>
  <c r="AN309" i="107"/>
  <c r="AM309" i="107"/>
  <c r="AG309" i="107"/>
  <c r="AE309" i="107"/>
  <c r="Z309" i="107"/>
  <c r="AO308" i="107"/>
  <c r="AN308" i="107"/>
  <c r="AM308" i="107"/>
  <c r="AG308" i="107"/>
  <c r="AE308" i="107"/>
  <c r="Z308" i="107"/>
  <c r="AO307" i="107"/>
  <c r="AN307" i="107"/>
  <c r="AM307" i="107"/>
  <c r="AG307" i="107"/>
  <c r="AE307" i="107"/>
  <c r="Z307" i="107"/>
  <c r="AO306" i="107"/>
  <c r="AN306" i="107"/>
  <c r="AM306" i="107"/>
  <c r="AG306" i="107"/>
  <c r="AE306" i="107"/>
  <c r="Z306" i="107"/>
  <c r="AO305" i="107"/>
  <c r="AN305" i="107"/>
  <c r="AM305" i="107"/>
  <c r="AG305" i="107"/>
  <c r="AE305" i="107"/>
  <c r="Z305" i="107"/>
  <c r="AO304" i="107"/>
  <c r="AN304" i="107"/>
  <c r="AM304" i="107"/>
  <c r="AG304" i="107"/>
  <c r="AE304" i="107"/>
  <c r="Z304" i="107"/>
  <c r="AO303" i="107"/>
  <c r="AN303" i="107"/>
  <c r="AM303" i="107"/>
  <c r="AG303" i="107"/>
  <c r="AE303" i="107"/>
  <c r="Z303" i="107"/>
  <c r="AO302" i="107"/>
  <c r="AN302" i="107"/>
  <c r="AM302" i="107"/>
  <c r="AG302" i="107"/>
  <c r="AE302" i="107"/>
  <c r="Z302" i="107"/>
  <c r="AO301" i="107"/>
  <c r="AN301" i="107"/>
  <c r="AM301" i="107"/>
  <c r="AG301" i="107"/>
  <c r="AE301" i="107"/>
  <c r="Z301" i="107"/>
  <c r="AO300" i="107"/>
  <c r="AN300" i="107"/>
  <c r="AM300" i="107"/>
  <c r="AG300" i="107"/>
  <c r="AE300" i="107"/>
  <c r="Z300" i="107"/>
  <c r="AO299" i="107"/>
  <c r="AN299" i="107"/>
  <c r="AM299" i="107"/>
  <c r="AG299" i="107"/>
  <c r="AE299" i="107"/>
  <c r="Z299" i="107"/>
  <c r="AO298" i="107"/>
  <c r="AN298" i="107"/>
  <c r="AM298" i="107"/>
  <c r="AG298" i="107"/>
  <c r="AE298" i="107"/>
  <c r="Z298" i="107"/>
  <c r="AO297" i="107"/>
  <c r="AN297" i="107"/>
  <c r="AM297" i="107"/>
  <c r="AG297" i="107"/>
  <c r="AE297" i="107"/>
  <c r="Z297" i="107"/>
  <c r="AO296" i="107"/>
  <c r="AN296" i="107"/>
  <c r="AM296" i="107"/>
  <c r="AG296" i="107"/>
  <c r="AE296" i="107"/>
  <c r="Z296" i="107"/>
  <c r="AO295" i="107"/>
  <c r="AN295" i="107"/>
  <c r="AM295" i="107"/>
  <c r="AG295" i="107"/>
  <c r="AE295" i="107"/>
  <c r="Z295" i="107"/>
  <c r="AO294" i="107"/>
  <c r="AN294" i="107"/>
  <c r="AM294" i="107"/>
  <c r="AG294" i="107"/>
  <c r="AE294" i="107"/>
  <c r="Z294" i="107"/>
  <c r="AO293" i="107"/>
  <c r="AN293" i="107"/>
  <c r="AM293" i="107"/>
  <c r="AG293" i="107"/>
  <c r="AE293" i="107"/>
  <c r="Z293" i="107"/>
  <c r="AO292" i="107"/>
  <c r="AN292" i="107"/>
  <c r="AM292" i="107"/>
  <c r="AG292" i="107"/>
  <c r="AE292" i="107"/>
  <c r="Z292" i="107"/>
  <c r="AO291" i="107"/>
  <c r="AN291" i="107"/>
  <c r="AM291" i="107"/>
  <c r="AG291" i="107"/>
  <c r="AE291" i="107"/>
  <c r="Z291" i="107"/>
  <c r="AO290" i="107"/>
  <c r="AN290" i="107"/>
  <c r="AM290" i="107"/>
  <c r="AG290" i="107"/>
  <c r="AE290" i="107"/>
  <c r="Z290" i="107"/>
  <c r="AO289" i="107"/>
  <c r="AN289" i="107"/>
  <c r="AM289" i="107"/>
  <c r="AG289" i="107"/>
  <c r="AE289" i="107"/>
  <c r="Z289" i="107"/>
  <c r="AO288" i="107"/>
  <c r="AN288" i="107"/>
  <c r="AM288" i="107"/>
  <c r="AG288" i="107"/>
  <c r="AE288" i="107"/>
  <c r="Z288" i="107"/>
  <c r="AO287" i="107"/>
  <c r="AN287" i="107"/>
  <c r="AM287" i="107"/>
  <c r="AG287" i="107"/>
  <c r="AE287" i="107"/>
  <c r="Z287" i="107"/>
  <c r="AO286" i="107"/>
  <c r="AN286" i="107"/>
  <c r="AM286" i="107"/>
  <c r="AG286" i="107"/>
  <c r="AE286" i="107"/>
  <c r="Z286" i="107"/>
  <c r="AO285" i="107"/>
  <c r="AN285" i="107"/>
  <c r="AM285" i="107"/>
  <c r="AG285" i="107"/>
  <c r="AE285" i="107"/>
  <c r="Z285" i="107"/>
  <c r="AO284" i="107"/>
  <c r="AN284" i="107"/>
  <c r="AM284" i="107"/>
  <c r="AG284" i="107"/>
  <c r="AE284" i="107"/>
  <c r="Z284" i="107"/>
  <c r="AO283" i="107"/>
  <c r="AN283" i="107"/>
  <c r="AM283" i="107"/>
  <c r="AG283" i="107"/>
  <c r="AE283" i="107"/>
  <c r="Z283" i="107"/>
  <c r="AO282" i="107"/>
  <c r="AN282" i="107"/>
  <c r="AM282" i="107"/>
  <c r="AG282" i="107"/>
  <c r="AE282" i="107"/>
  <c r="Z282" i="107"/>
  <c r="AO281" i="107"/>
  <c r="AN281" i="107"/>
  <c r="AM281" i="107"/>
  <c r="AG281" i="107"/>
  <c r="AE281" i="107"/>
  <c r="Z281" i="107"/>
  <c r="AO280" i="107"/>
  <c r="AN280" i="107"/>
  <c r="AM280" i="107"/>
  <c r="AG280" i="107"/>
  <c r="AE280" i="107"/>
  <c r="Z280" i="107"/>
  <c r="AO279" i="107"/>
  <c r="AN279" i="107"/>
  <c r="AM279" i="107"/>
  <c r="AG279" i="107"/>
  <c r="AE279" i="107"/>
  <c r="Z279" i="107"/>
  <c r="AO278" i="107"/>
  <c r="AN278" i="107"/>
  <c r="AM278" i="107"/>
  <c r="AG278" i="107"/>
  <c r="AE278" i="107"/>
  <c r="Z278" i="107"/>
  <c r="AO277" i="107"/>
  <c r="AN277" i="107"/>
  <c r="AM277" i="107"/>
  <c r="AG277" i="107"/>
  <c r="AE277" i="107"/>
  <c r="Z277" i="107"/>
  <c r="AO276" i="107"/>
  <c r="AN276" i="107"/>
  <c r="AM276" i="107"/>
  <c r="AG276" i="107"/>
  <c r="AE276" i="107"/>
  <c r="Z276" i="107"/>
  <c r="AO275" i="107"/>
  <c r="AN275" i="107"/>
  <c r="AM275" i="107"/>
  <c r="AG275" i="107"/>
  <c r="AE275" i="107"/>
  <c r="Z275" i="107"/>
  <c r="AO274" i="107"/>
  <c r="AN274" i="107"/>
  <c r="AM274" i="107"/>
  <c r="AG274" i="107"/>
  <c r="AE274" i="107"/>
  <c r="Z274" i="107"/>
  <c r="AO273" i="107"/>
  <c r="AN273" i="107"/>
  <c r="AM273" i="107"/>
  <c r="AG273" i="107"/>
  <c r="AE273" i="107"/>
  <c r="Z273" i="107"/>
  <c r="AO272" i="107"/>
  <c r="AN272" i="107"/>
  <c r="AM272" i="107"/>
  <c r="AG272" i="107"/>
  <c r="AE272" i="107"/>
  <c r="Z272" i="107"/>
  <c r="AO271" i="107"/>
  <c r="AN271" i="107"/>
  <c r="AM271" i="107"/>
  <c r="AG271" i="107"/>
  <c r="AE271" i="107"/>
  <c r="Z271" i="107"/>
  <c r="AO270" i="107"/>
  <c r="AN270" i="107"/>
  <c r="AM270" i="107"/>
  <c r="AG270" i="107"/>
  <c r="AE270" i="107"/>
  <c r="Z270" i="107"/>
  <c r="AO269" i="107"/>
  <c r="AN269" i="107"/>
  <c r="AM269" i="107"/>
  <c r="AG269" i="107"/>
  <c r="AE269" i="107"/>
  <c r="Z269" i="107"/>
  <c r="AO268" i="107"/>
  <c r="AN268" i="107"/>
  <c r="AM268" i="107"/>
  <c r="AG268" i="107"/>
  <c r="AE268" i="107"/>
  <c r="Z268" i="107"/>
  <c r="AO267" i="107"/>
  <c r="AN267" i="107"/>
  <c r="AM267" i="107"/>
  <c r="AG267" i="107"/>
  <c r="AE267" i="107"/>
  <c r="Z267" i="107"/>
  <c r="AO266" i="107"/>
  <c r="AN266" i="107"/>
  <c r="AM266" i="107"/>
  <c r="AG266" i="107"/>
  <c r="AE266" i="107"/>
  <c r="Z266" i="107"/>
  <c r="AO265" i="107"/>
  <c r="AN265" i="107"/>
  <c r="AM265" i="107"/>
  <c r="AG265" i="107"/>
  <c r="AE265" i="107"/>
  <c r="Z265" i="107"/>
  <c r="AO264" i="107"/>
  <c r="AN264" i="107"/>
  <c r="AM264" i="107"/>
  <c r="AG264" i="107"/>
  <c r="AE264" i="107"/>
  <c r="Z264" i="107"/>
  <c r="AO263" i="107"/>
  <c r="AN263" i="107"/>
  <c r="AM263" i="107"/>
  <c r="AG263" i="107"/>
  <c r="AE263" i="107"/>
  <c r="Z263" i="107"/>
  <c r="AO262" i="107"/>
  <c r="AN262" i="107"/>
  <c r="AM262" i="107"/>
  <c r="AG262" i="107"/>
  <c r="AE262" i="107"/>
  <c r="Z262" i="107"/>
  <c r="AO261" i="107"/>
  <c r="AN261" i="107"/>
  <c r="AM261" i="107"/>
  <c r="AG261" i="107"/>
  <c r="AE261" i="107"/>
  <c r="Z261" i="107"/>
  <c r="AO260" i="107"/>
  <c r="AN260" i="107"/>
  <c r="AM260" i="107"/>
  <c r="AG260" i="107"/>
  <c r="AE260" i="107"/>
  <c r="Z260" i="107"/>
  <c r="AO259" i="107"/>
  <c r="AN259" i="107"/>
  <c r="AM259" i="107"/>
  <c r="AG259" i="107"/>
  <c r="AE259" i="107"/>
  <c r="Z259" i="107"/>
  <c r="AO258" i="107"/>
  <c r="AN258" i="107"/>
  <c r="AM258" i="107"/>
  <c r="AG258" i="107"/>
  <c r="AE258" i="107"/>
  <c r="Z258" i="107"/>
  <c r="AO257" i="107"/>
  <c r="AN257" i="107"/>
  <c r="AM257" i="107"/>
  <c r="AG257" i="107"/>
  <c r="AE257" i="107"/>
  <c r="Z257" i="107"/>
  <c r="AO256" i="107"/>
  <c r="AN256" i="107"/>
  <c r="AM256" i="107"/>
  <c r="AG256" i="107"/>
  <c r="AE256" i="107"/>
  <c r="Z256" i="107"/>
  <c r="AO255" i="107"/>
  <c r="AN255" i="107"/>
  <c r="AM255" i="107"/>
  <c r="AG255" i="107"/>
  <c r="AE255" i="107"/>
  <c r="Z255" i="107"/>
  <c r="AO254" i="107"/>
  <c r="AN254" i="107"/>
  <c r="AM254" i="107"/>
  <c r="AG254" i="107"/>
  <c r="AE254" i="107"/>
  <c r="Z254" i="107"/>
  <c r="AO253" i="107"/>
  <c r="AN253" i="107"/>
  <c r="AM253" i="107"/>
  <c r="AG253" i="107"/>
  <c r="AE253" i="107"/>
  <c r="Z253" i="107"/>
  <c r="AO252" i="107"/>
  <c r="AN252" i="107"/>
  <c r="AM252" i="107"/>
  <c r="AG252" i="107"/>
  <c r="AE252" i="107"/>
  <c r="Z252" i="107"/>
  <c r="AO251" i="107"/>
  <c r="AN251" i="107"/>
  <c r="AM251" i="107"/>
  <c r="AG251" i="107"/>
  <c r="AE251" i="107"/>
  <c r="Z251" i="107"/>
  <c r="AO250" i="107"/>
  <c r="AN250" i="107"/>
  <c r="AM250" i="107"/>
  <c r="AG250" i="107"/>
  <c r="AE250" i="107"/>
  <c r="Z250" i="107"/>
  <c r="AO249" i="107"/>
  <c r="AN249" i="107"/>
  <c r="AM249" i="107"/>
  <c r="AG249" i="107"/>
  <c r="AE249" i="107"/>
  <c r="Z249" i="107"/>
  <c r="AO248" i="107"/>
  <c r="AN248" i="107"/>
  <c r="AM248" i="107"/>
  <c r="AG248" i="107"/>
  <c r="AE248" i="107"/>
  <c r="Z248" i="107"/>
  <c r="AO247" i="107"/>
  <c r="AN247" i="107"/>
  <c r="AM247" i="107"/>
  <c r="AG247" i="107"/>
  <c r="AE247" i="107"/>
  <c r="Z247" i="107"/>
  <c r="AO246" i="107"/>
  <c r="AN246" i="107"/>
  <c r="AM246" i="107"/>
  <c r="AG246" i="107"/>
  <c r="AE246" i="107"/>
  <c r="Z246" i="107"/>
  <c r="AO245" i="107"/>
  <c r="AN245" i="107"/>
  <c r="AM245" i="107"/>
  <c r="AG245" i="107"/>
  <c r="AE245" i="107"/>
  <c r="Z245" i="107"/>
  <c r="AO244" i="107"/>
  <c r="AN244" i="107"/>
  <c r="AM244" i="107"/>
  <c r="AG244" i="107"/>
  <c r="AE244" i="107"/>
  <c r="Z244" i="107"/>
  <c r="AO243" i="107"/>
  <c r="AN243" i="107"/>
  <c r="AM243" i="107"/>
  <c r="AG243" i="107"/>
  <c r="AE243" i="107"/>
  <c r="Z243" i="107"/>
  <c r="AO242" i="107"/>
  <c r="AN242" i="107"/>
  <c r="AM242" i="107"/>
  <c r="AG242" i="107"/>
  <c r="AE242" i="107"/>
  <c r="Z242" i="107"/>
  <c r="AO241" i="107"/>
  <c r="AN241" i="107"/>
  <c r="AM241" i="107"/>
  <c r="AG241" i="107"/>
  <c r="AE241" i="107"/>
  <c r="Z241" i="107"/>
  <c r="AO240" i="107"/>
  <c r="AN240" i="107"/>
  <c r="AM240" i="107"/>
  <c r="AG240" i="107"/>
  <c r="AE240" i="107"/>
  <c r="Z240" i="107"/>
  <c r="AO239" i="107"/>
  <c r="AN239" i="107"/>
  <c r="AM239" i="107"/>
  <c r="AG239" i="107"/>
  <c r="AE239" i="107"/>
  <c r="Z239" i="107"/>
  <c r="AO238" i="107"/>
  <c r="AN238" i="107"/>
  <c r="AM238" i="107"/>
  <c r="AG238" i="107"/>
  <c r="AE238" i="107"/>
  <c r="Z238" i="107"/>
  <c r="AO237" i="107"/>
  <c r="AN237" i="107"/>
  <c r="AM237" i="107"/>
  <c r="AG237" i="107"/>
  <c r="AE237" i="107"/>
  <c r="Z237" i="107"/>
  <c r="AO236" i="107"/>
  <c r="AN236" i="107"/>
  <c r="AM236" i="107"/>
  <c r="AG236" i="107"/>
  <c r="AE236" i="107"/>
  <c r="Z236" i="107"/>
  <c r="AO235" i="107"/>
  <c r="AN235" i="107"/>
  <c r="AM235" i="107"/>
  <c r="AG235" i="107"/>
  <c r="AE235" i="107"/>
  <c r="Z235" i="107"/>
  <c r="AO234" i="107"/>
  <c r="AN234" i="107"/>
  <c r="AM234" i="107"/>
  <c r="AG234" i="107"/>
  <c r="AE234" i="107"/>
  <c r="Z234" i="107"/>
  <c r="AO233" i="107"/>
  <c r="AN233" i="107"/>
  <c r="AM233" i="107"/>
  <c r="AG233" i="107"/>
  <c r="AE233" i="107"/>
  <c r="Z233" i="107"/>
  <c r="AO232" i="107"/>
  <c r="AN232" i="107"/>
  <c r="AM232" i="107"/>
  <c r="AG232" i="107"/>
  <c r="AE232" i="107"/>
  <c r="Z232" i="107"/>
  <c r="AO231" i="107"/>
  <c r="AN231" i="107"/>
  <c r="AM231" i="107"/>
  <c r="AG231" i="107"/>
  <c r="AE231" i="107"/>
  <c r="Z231" i="107"/>
  <c r="AO230" i="107"/>
  <c r="AN230" i="107"/>
  <c r="AM230" i="107"/>
  <c r="AG230" i="107"/>
  <c r="AE230" i="107"/>
  <c r="Z230" i="107"/>
  <c r="AO229" i="107"/>
  <c r="AN229" i="107"/>
  <c r="AM229" i="107"/>
  <c r="AG229" i="107"/>
  <c r="AE229" i="107"/>
  <c r="Z229" i="107"/>
  <c r="AO228" i="107"/>
  <c r="AN228" i="107"/>
  <c r="AM228" i="107"/>
  <c r="AG228" i="107"/>
  <c r="AE228" i="107"/>
  <c r="Z228" i="107"/>
  <c r="AO227" i="107"/>
  <c r="AN227" i="107"/>
  <c r="AM227" i="107"/>
  <c r="AG227" i="107"/>
  <c r="AE227" i="107"/>
  <c r="Z227" i="107"/>
  <c r="AO226" i="107"/>
  <c r="AN226" i="107"/>
  <c r="AM226" i="107"/>
  <c r="AG226" i="107"/>
  <c r="AE226" i="107"/>
  <c r="Z226" i="107"/>
  <c r="AO225" i="107"/>
  <c r="AN225" i="107"/>
  <c r="AM225" i="107"/>
  <c r="AG225" i="107"/>
  <c r="AE225" i="107"/>
  <c r="Z225" i="107"/>
  <c r="AO224" i="107"/>
  <c r="AN224" i="107"/>
  <c r="AM224" i="107"/>
  <c r="AG224" i="107"/>
  <c r="AE224" i="107"/>
  <c r="Z224" i="107"/>
  <c r="AO223" i="107"/>
  <c r="AN223" i="107"/>
  <c r="AM223" i="107"/>
  <c r="AG223" i="107"/>
  <c r="AE223" i="107"/>
  <c r="Z223" i="107"/>
  <c r="AO222" i="107"/>
  <c r="AN222" i="107"/>
  <c r="AM222" i="107"/>
  <c r="AG222" i="107"/>
  <c r="AE222" i="107"/>
  <c r="Z222" i="107"/>
  <c r="AO221" i="107"/>
  <c r="AN221" i="107"/>
  <c r="AM221" i="107"/>
  <c r="AG221" i="107"/>
  <c r="AE221" i="107"/>
  <c r="Z221" i="107"/>
  <c r="AO220" i="107"/>
  <c r="AN220" i="107"/>
  <c r="AM220" i="107"/>
  <c r="AG220" i="107"/>
  <c r="AE220" i="107"/>
  <c r="Z220" i="107"/>
  <c r="AO219" i="107"/>
  <c r="AN219" i="107"/>
  <c r="AM219" i="107"/>
  <c r="AG219" i="107"/>
  <c r="AE219" i="107"/>
  <c r="Z219" i="107"/>
  <c r="AO218" i="107"/>
  <c r="AN218" i="107"/>
  <c r="AM218" i="107"/>
  <c r="AG218" i="107"/>
  <c r="AE218" i="107"/>
  <c r="Z218" i="107"/>
  <c r="AO217" i="107"/>
  <c r="AN217" i="107"/>
  <c r="AM217" i="107"/>
  <c r="AG217" i="107"/>
  <c r="AE217" i="107"/>
  <c r="Z217" i="107"/>
  <c r="AO216" i="107"/>
  <c r="AN216" i="107"/>
  <c r="AM216" i="107"/>
  <c r="AG216" i="107"/>
  <c r="AE216" i="107"/>
  <c r="Z216" i="107"/>
  <c r="AO215" i="107"/>
  <c r="AN215" i="107"/>
  <c r="AM215" i="107"/>
  <c r="AG215" i="107"/>
  <c r="AE215" i="107"/>
  <c r="Z215" i="107"/>
  <c r="AO214" i="107"/>
  <c r="AN214" i="107"/>
  <c r="AM214" i="107"/>
  <c r="AG214" i="107"/>
  <c r="AE214" i="107"/>
  <c r="Z214" i="107"/>
  <c r="AO213" i="107"/>
  <c r="AN213" i="107"/>
  <c r="AM213" i="107"/>
  <c r="AG213" i="107"/>
  <c r="AE213" i="107"/>
  <c r="Z213" i="107"/>
  <c r="AO212" i="107"/>
  <c r="AN212" i="107"/>
  <c r="AM212" i="107"/>
  <c r="AG212" i="107"/>
  <c r="AE212" i="107"/>
  <c r="Z212" i="107"/>
  <c r="AO211" i="107"/>
  <c r="AN211" i="107"/>
  <c r="AM211" i="107"/>
  <c r="AG211" i="107"/>
  <c r="AE211" i="107"/>
  <c r="Z211" i="107"/>
  <c r="AO210" i="107"/>
  <c r="AN210" i="107"/>
  <c r="AM210" i="107"/>
  <c r="AG210" i="107"/>
  <c r="AE210" i="107"/>
  <c r="Z210" i="107"/>
  <c r="AO209" i="107"/>
  <c r="AN209" i="107"/>
  <c r="AM209" i="107"/>
  <c r="AG209" i="107"/>
  <c r="AE209" i="107"/>
  <c r="Z209" i="107"/>
  <c r="AO208" i="107"/>
  <c r="AN208" i="107"/>
  <c r="AM208" i="107"/>
  <c r="AG208" i="107"/>
  <c r="AE208" i="107"/>
  <c r="Z208" i="107"/>
  <c r="AO207" i="107"/>
  <c r="AN207" i="107"/>
  <c r="AM207" i="107"/>
  <c r="AG207" i="107"/>
  <c r="AE207" i="107"/>
  <c r="Z207" i="107"/>
  <c r="AO206" i="107"/>
  <c r="AN206" i="107"/>
  <c r="AM206" i="107"/>
  <c r="AG206" i="107"/>
  <c r="AE206" i="107"/>
  <c r="Z206" i="107"/>
  <c r="AO205" i="107"/>
  <c r="AN205" i="107"/>
  <c r="AM205" i="107"/>
  <c r="AG205" i="107"/>
  <c r="AE205" i="107"/>
  <c r="Z205" i="107"/>
  <c r="AO204" i="107"/>
  <c r="AN204" i="107"/>
  <c r="AM204" i="107"/>
  <c r="AG204" i="107"/>
  <c r="AE204" i="107"/>
  <c r="Z204" i="107"/>
  <c r="AO203" i="107"/>
  <c r="AN203" i="107"/>
  <c r="AM203" i="107"/>
  <c r="AG203" i="107"/>
  <c r="AE203" i="107"/>
  <c r="Z203" i="107"/>
  <c r="AO202" i="107"/>
  <c r="AN202" i="107"/>
  <c r="AM202" i="107"/>
  <c r="AG202" i="107"/>
  <c r="AE202" i="107"/>
  <c r="Z202" i="107"/>
  <c r="AO201" i="107"/>
  <c r="AN201" i="107"/>
  <c r="AM201" i="107"/>
  <c r="AG201" i="107"/>
  <c r="AE201" i="107"/>
  <c r="Z201" i="107"/>
  <c r="AO200" i="107"/>
  <c r="AN200" i="107"/>
  <c r="AM200" i="107"/>
  <c r="AG200" i="107"/>
  <c r="AE200" i="107"/>
  <c r="Z200" i="107"/>
  <c r="AO199" i="107"/>
  <c r="AN199" i="107"/>
  <c r="AM199" i="107"/>
  <c r="AG199" i="107"/>
  <c r="AE199" i="107"/>
  <c r="Z199" i="107"/>
  <c r="AO198" i="107"/>
  <c r="AN198" i="107"/>
  <c r="AM198" i="107"/>
  <c r="AG198" i="107"/>
  <c r="AE198" i="107"/>
  <c r="Z198" i="107"/>
  <c r="AO197" i="107"/>
  <c r="AN197" i="107"/>
  <c r="AM197" i="107"/>
  <c r="AG197" i="107"/>
  <c r="AE197" i="107"/>
  <c r="Z197" i="107"/>
  <c r="AO196" i="107"/>
  <c r="AN196" i="107"/>
  <c r="AM196" i="107"/>
  <c r="AG196" i="107"/>
  <c r="AE196" i="107"/>
  <c r="Z196" i="107"/>
  <c r="AO195" i="107"/>
  <c r="AN195" i="107"/>
  <c r="AM195" i="107"/>
  <c r="AG195" i="107"/>
  <c r="AE195" i="107"/>
  <c r="Z195" i="107"/>
  <c r="AO194" i="107"/>
  <c r="AN194" i="107"/>
  <c r="AM194" i="107"/>
  <c r="AG194" i="107"/>
  <c r="AE194" i="107"/>
  <c r="Z194" i="107"/>
  <c r="AO193" i="107"/>
  <c r="AN193" i="107"/>
  <c r="AM193" i="107"/>
  <c r="AG193" i="107"/>
  <c r="AE193" i="107"/>
  <c r="Z193" i="107"/>
  <c r="AO192" i="107"/>
  <c r="AN192" i="107"/>
  <c r="AM192" i="107"/>
  <c r="AG192" i="107"/>
  <c r="AE192" i="107"/>
  <c r="Z192" i="107"/>
  <c r="AO191" i="107"/>
  <c r="AN191" i="107"/>
  <c r="AM191" i="107"/>
  <c r="AG191" i="107"/>
  <c r="AE191" i="107"/>
  <c r="Z191" i="107"/>
  <c r="AO190" i="107"/>
  <c r="AN190" i="107"/>
  <c r="AM190" i="107"/>
  <c r="AG190" i="107"/>
  <c r="AE190" i="107"/>
  <c r="Z190" i="107"/>
  <c r="AO189" i="107"/>
  <c r="AN189" i="107"/>
  <c r="AM189" i="107"/>
  <c r="AG189" i="107"/>
  <c r="AE189" i="107"/>
  <c r="Z189" i="107"/>
  <c r="AO188" i="107"/>
  <c r="AN188" i="107"/>
  <c r="AM188" i="107"/>
  <c r="AG188" i="107"/>
  <c r="AE188" i="107"/>
  <c r="Z188" i="107"/>
  <c r="AO187" i="107"/>
  <c r="AN187" i="107"/>
  <c r="AM187" i="107"/>
  <c r="AG187" i="107"/>
  <c r="AE187" i="107"/>
  <c r="Z187" i="107"/>
  <c r="AO186" i="107"/>
  <c r="AN186" i="107"/>
  <c r="AM186" i="107"/>
  <c r="AG186" i="107"/>
  <c r="AE186" i="107"/>
  <c r="Z186" i="107"/>
  <c r="AO185" i="107"/>
  <c r="AN185" i="107"/>
  <c r="AM185" i="107"/>
  <c r="AG185" i="107"/>
  <c r="AE185" i="107"/>
  <c r="Z185" i="107"/>
  <c r="AO184" i="107"/>
  <c r="AN184" i="107"/>
  <c r="AM184" i="107"/>
  <c r="AG184" i="107"/>
  <c r="AE184" i="107"/>
  <c r="Z184" i="107"/>
  <c r="AO183" i="107"/>
  <c r="AN183" i="107"/>
  <c r="AM183" i="107"/>
  <c r="AG183" i="107"/>
  <c r="AE183" i="107"/>
  <c r="Z183" i="107"/>
  <c r="AO182" i="107"/>
  <c r="AN182" i="107"/>
  <c r="AM182" i="107"/>
  <c r="AG182" i="107"/>
  <c r="AE182" i="107"/>
  <c r="Z182" i="107"/>
  <c r="AO181" i="107"/>
  <c r="AN181" i="107"/>
  <c r="AM181" i="107"/>
  <c r="AG181" i="107"/>
  <c r="AE181" i="107"/>
  <c r="Z181" i="107"/>
  <c r="AO180" i="107"/>
  <c r="AN180" i="107"/>
  <c r="AM180" i="107"/>
  <c r="AG180" i="107"/>
  <c r="AE180" i="107"/>
  <c r="Z180" i="107"/>
  <c r="AO179" i="107"/>
  <c r="AN179" i="107"/>
  <c r="AM179" i="107"/>
  <c r="AG179" i="107"/>
  <c r="AE179" i="107"/>
  <c r="Z179" i="107"/>
  <c r="AO178" i="107"/>
  <c r="AN178" i="107"/>
  <c r="AM178" i="107"/>
  <c r="AG178" i="107"/>
  <c r="AE178" i="107"/>
  <c r="Z178" i="107"/>
  <c r="AO177" i="107"/>
  <c r="AN177" i="107"/>
  <c r="AM177" i="107"/>
  <c r="AG177" i="107"/>
  <c r="AE177" i="107"/>
  <c r="Z177" i="107"/>
  <c r="AO176" i="107"/>
  <c r="AN176" i="107"/>
  <c r="AM176" i="107"/>
  <c r="AG176" i="107"/>
  <c r="AE176" i="107"/>
  <c r="Z176" i="107"/>
  <c r="AO175" i="107"/>
  <c r="AN175" i="107"/>
  <c r="AM175" i="107"/>
  <c r="AG175" i="107"/>
  <c r="AE175" i="107"/>
  <c r="Z175" i="107"/>
  <c r="AO174" i="107"/>
  <c r="AN174" i="107"/>
  <c r="AM174" i="107"/>
  <c r="AG174" i="107"/>
  <c r="AE174" i="107"/>
  <c r="Z174" i="107"/>
  <c r="AO173" i="107"/>
  <c r="AN173" i="107"/>
  <c r="AM173" i="107"/>
  <c r="AG173" i="107"/>
  <c r="AE173" i="107"/>
  <c r="Z173" i="107"/>
  <c r="AO172" i="107"/>
  <c r="AN172" i="107"/>
  <c r="AM172" i="107"/>
  <c r="AG172" i="107"/>
  <c r="AE172" i="107"/>
  <c r="Z172" i="107"/>
  <c r="AO171" i="107"/>
  <c r="AN171" i="107"/>
  <c r="AM171" i="107"/>
  <c r="AG171" i="107"/>
  <c r="AE171" i="107"/>
  <c r="Z171" i="107"/>
  <c r="AO170" i="107"/>
  <c r="AN170" i="107"/>
  <c r="AM170" i="107"/>
  <c r="AG170" i="107"/>
  <c r="AE170" i="107"/>
  <c r="Z170" i="107"/>
  <c r="AO169" i="107"/>
  <c r="AN169" i="107"/>
  <c r="AM169" i="107"/>
  <c r="AG169" i="107"/>
  <c r="AE169" i="107"/>
  <c r="Z169" i="107"/>
  <c r="AO168" i="107"/>
  <c r="AN168" i="107"/>
  <c r="AM168" i="107"/>
  <c r="AG168" i="107"/>
  <c r="AE168" i="107"/>
  <c r="Z168" i="107"/>
  <c r="AO167" i="107"/>
  <c r="AN167" i="107"/>
  <c r="AM167" i="107"/>
  <c r="AG167" i="107"/>
  <c r="AE167" i="107"/>
  <c r="Z167" i="107"/>
  <c r="AO166" i="107"/>
  <c r="AN166" i="107"/>
  <c r="AM166" i="107"/>
  <c r="AG166" i="107"/>
  <c r="AE166" i="107"/>
  <c r="Z166" i="107"/>
  <c r="AO165" i="107"/>
  <c r="AN165" i="107"/>
  <c r="AM165" i="107"/>
  <c r="AG165" i="107"/>
  <c r="AE165" i="107"/>
  <c r="Z165" i="107"/>
  <c r="AO164" i="107"/>
  <c r="AN164" i="107"/>
  <c r="AM164" i="107"/>
  <c r="AG164" i="107"/>
  <c r="AE164" i="107"/>
  <c r="Z164" i="107"/>
  <c r="AO163" i="107"/>
  <c r="AN163" i="107"/>
  <c r="AM163" i="107"/>
  <c r="AG163" i="107"/>
  <c r="AE163" i="107"/>
  <c r="Z163" i="107"/>
  <c r="AO162" i="107"/>
  <c r="AN162" i="107"/>
  <c r="AM162" i="107"/>
  <c r="AG162" i="107"/>
  <c r="AE162" i="107"/>
  <c r="Z162" i="107"/>
  <c r="AO161" i="107"/>
  <c r="AN161" i="107"/>
  <c r="AM161" i="107"/>
  <c r="AG161" i="107"/>
  <c r="AE161" i="107"/>
  <c r="Z161" i="107"/>
  <c r="AO160" i="107"/>
  <c r="AN160" i="107"/>
  <c r="AM160" i="107"/>
  <c r="AG160" i="107"/>
  <c r="AE160" i="107"/>
  <c r="Z160" i="107"/>
  <c r="AO159" i="107"/>
  <c r="AN159" i="107"/>
  <c r="AM159" i="107"/>
  <c r="AG159" i="107"/>
  <c r="AE159" i="107"/>
  <c r="Z159" i="107"/>
  <c r="AO158" i="107"/>
  <c r="AN158" i="107"/>
  <c r="AM158" i="107"/>
  <c r="AG158" i="107"/>
  <c r="AE158" i="107"/>
  <c r="Z158" i="107"/>
  <c r="AO157" i="107"/>
  <c r="AN157" i="107"/>
  <c r="AM157" i="107"/>
  <c r="AG157" i="107"/>
  <c r="AE157" i="107"/>
  <c r="Z157" i="107"/>
  <c r="AO156" i="107"/>
  <c r="AN156" i="107"/>
  <c r="AM156" i="107"/>
  <c r="AG156" i="107"/>
  <c r="AE156" i="107"/>
  <c r="Z156" i="107"/>
  <c r="AO155" i="107"/>
  <c r="AN155" i="107"/>
  <c r="AM155" i="107"/>
  <c r="AG155" i="107"/>
  <c r="AE155" i="107"/>
  <c r="Z155" i="107"/>
  <c r="AO154" i="107"/>
  <c r="AN154" i="107"/>
  <c r="AM154" i="107"/>
  <c r="AG154" i="107"/>
  <c r="AE154" i="107"/>
  <c r="Z154" i="107"/>
  <c r="AO153" i="107"/>
  <c r="AN153" i="107"/>
  <c r="AM153" i="107"/>
  <c r="AG153" i="107"/>
  <c r="AE153" i="107"/>
  <c r="Z153" i="107"/>
  <c r="AO152" i="107"/>
  <c r="AN152" i="107"/>
  <c r="AM152" i="107"/>
  <c r="AG152" i="107"/>
  <c r="AE152" i="107"/>
  <c r="Z152" i="107"/>
  <c r="AO151" i="107"/>
  <c r="AN151" i="107"/>
  <c r="AM151" i="107"/>
  <c r="AG151" i="107"/>
  <c r="AE151" i="107"/>
  <c r="Z151" i="107"/>
  <c r="AO150" i="107"/>
  <c r="AN150" i="107"/>
  <c r="AM150" i="107"/>
  <c r="AG150" i="107"/>
  <c r="AE150" i="107"/>
  <c r="Z150" i="107"/>
  <c r="AO149" i="107"/>
  <c r="AN149" i="107"/>
  <c r="AM149" i="107"/>
  <c r="AG149" i="107"/>
  <c r="AE149" i="107"/>
  <c r="Z149" i="107"/>
  <c r="AO148" i="107"/>
  <c r="AN148" i="107"/>
  <c r="AM148" i="107"/>
  <c r="AG148" i="107"/>
  <c r="AE148" i="107"/>
  <c r="Z148" i="107"/>
  <c r="AO147" i="107"/>
  <c r="AN147" i="107"/>
  <c r="AM147" i="107"/>
  <c r="AG147" i="107"/>
  <c r="AE147" i="107"/>
  <c r="Z147" i="107"/>
  <c r="AO146" i="107"/>
  <c r="AN146" i="107"/>
  <c r="AM146" i="107"/>
  <c r="AG146" i="107"/>
  <c r="AE146" i="107"/>
  <c r="Z146" i="107"/>
  <c r="AO145" i="107"/>
  <c r="AN145" i="107"/>
  <c r="AM145" i="107"/>
  <c r="AG145" i="107"/>
  <c r="AE145" i="107"/>
  <c r="Z145" i="107"/>
  <c r="AO144" i="107"/>
  <c r="AN144" i="107"/>
  <c r="AM144" i="107"/>
  <c r="AG144" i="107"/>
  <c r="AE144" i="107"/>
  <c r="Z144" i="107"/>
  <c r="AO143" i="107"/>
  <c r="AN143" i="107"/>
  <c r="AM143" i="107"/>
  <c r="AG143" i="107"/>
  <c r="AE143" i="107"/>
  <c r="Z143" i="107"/>
  <c r="AO142" i="107"/>
  <c r="AN142" i="107"/>
  <c r="AM142" i="107"/>
  <c r="AG142" i="107"/>
  <c r="AE142" i="107"/>
  <c r="Z142" i="107"/>
  <c r="AO141" i="107"/>
  <c r="AN141" i="107"/>
  <c r="AM141" i="107"/>
  <c r="AG141" i="107"/>
  <c r="AE141" i="107"/>
  <c r="Z141" i="107"/>
  <c r="AO140" i="107"/>
  <c r="AN140" i="107"/>
  <c r="AM140" i="107"/>
  <c r="AG140" i="107"/>
  <c r="AE140" i="107"/>
  <c r="Z140" i="107"/>
  <c r="AO139" i="107"/>
  <c r="AN139" i="107"/>
  <c r="AM139" i="107"/>
  <c r="AG139" i="107"/>
  <c r="AE139" i="107"/>
  <c r="Z139" i="107"/>
  <c r="AO138" i="107"/>
  <c r="AN138" i="107"/>
  <c r="AM138" i="107"/>
  <c r="AG138" i="107"/>
  <c r="AE138" i="107"/>
  <c r="Z138" i="107"/>
  <c r="AO137" i="107"/>
  <c r="AN137" i="107"/>
  <c r="AM137" i="107"/>
  <c r="AG137" i="107"/>
  <c r="AE137" i="107"/>
  <c r="Z137" i="107"/>
  <c r="AO136" i="107"/>
  <c r="AN136" i="107"/>
  <c r="AM136" i="107"/>
  <c r="AG136" i="107"/>
  <c r="AE136" i="107"/>
  <c r="Z136" i="107"/>
  <c r="AO135" i="107"/>
  <c r="AN135" i="107"/>
  <c r="AM135" i="107"/>
  <c r="AG135" i="107"/>
  <c r="AE135" i="107"/>
  <c r="Z135" i="107"/>
  <c r="AO134" i="107"/>
  <c r="AN134" i="107"/>
  <c r="AM134" i="107"/>
  <c r="AG134" i="107"/>
  <c r="AE134" i="107"/>
  <c r="Z134" i="107"/>
  <c r="AO133" i="107"/>
  <c r="AN133" i="107"/>
  <c r="AM133" i="107"/>
  <c r="AG133" i="107"/>
  <c r="AE133" i="107"/>
  <c r="Z133" i="107"/>
  <c r="AO132" i="107"/>
  <c r="AN132" i="107"/>
  <c r="AM132" i="107"/>
  <c r="AG132" i="107"/>
  <c r="AE132" i="107"/>
  <c r="Z132" i="107"/>
  <c r="AO131" i="107"/>
  <c r="AN131" i="107"/>
  <c r="AM131" i="107"/>
  <c r="AG131" i="107"/>
  <c r="AE131" i="107"/>
  <c r="Z131" i="107"/>
  <c r="AO130" i="107"/>
  <c r="AN130" i="107"/>
  <c r="AM130" i="107"/>
  <c r="AG130" i="107"/>
  <c r="AE130" i="107"/>
  <c r="Z130" i="107"/>
  <c r="AO129" i="107"/>
  <c r="AN129" i="107"/>
  <c r="AM129" i="107"/>
  <c r="AG129" i="107"/>
  <c r="AE129" i="107"/>
  <c r="Z129" i="107"/>
  <c r="AO128" i="107"/>
  <c r="AN128" i="107"/>
  <c r="AM128" i="107"/>
  <c r="AG128" i="107"/>
  <c r="AE128" i="107"/>
  <c r="Z128" i="107"/>
  <c r="AO127" i="107"/>
  <c r="AN127" i="107"/>
  <c r="AM127" i="107"/>
  <c r="AG127" i="107"/>
  <c r="AE127" i="107"/>
  <c r="Z127" i="107"/>
  <c r="AO126" i="107"/>
  <c r="AN126" i="107"/>
  <c r="AM126" i="107"/>
  <c r="AG126" i="107"/>
  <c r="AE126" i="107"/>
  <c r="Z126" i="107"/>
  <c r="AO125" i="107"/>
  <c r="AN125" i="107"/>
  <c r="AM125" i="107"/>
  <c r="AG125" i="107"/>
  <c r="AE125" i="107"/>
  <c r="Z125" i="107"/>
  <c r="AO124" i="107"/>
  <c r="AN124" i="107"/>
  <c r="AM124" i="107"/>
  <c r="AG124" i="107"/>
  <c r="AE124" i="107"/>
  <c r="Z124" i="107"/>
  <c r="AO123" i="107"/>
  <c r="AN123" i="107"/>
  <c r="AM123" i="107"/>
  <c r="AG123" i="107"/>
  <c r="AE123" i="107"/>
  <c r="Z123" i="107"/>
  <c r="AO122" i="107"/>
  <c r="AN122" i="107"/>
  <c r="AM122" i="107"/>
  <c r="AG122" i="107"/>
  <c r="AE122" i="107"/>
  <c r="Z122" i="107"/>
  <c r="AO121" i="107"/>
  <c r="AN121" i="107"/>
  <c r="AM121" i="107"/>
  <c r="AG121" i="107"/>
  <c r="AE121" i="107"/>
  <c r="Z121" i="107"/>
  <c r="AO120" i="107"/>
  <c r="AN120" i="107"/>
  <c r="AM120" i="107"/>
  <c r="AG120" i="107"/>
  <c r="AE120" i="107"/>
  <c r="Z120" i="107"/>
  <c r="AO119" i="107"/>
  <c r="AN119" i="107"/>
  <c r="AM119" i="107"/>
  <c r="AG119" i="107"/>
  <c r="AE119" i="107"/>
  <c r="Z119" i="107"/>
  <c r="AO118" i="107"/>
  <c r="AN118" i="107"/>
  <c r="AM118" i="107"/>
  <c r="AG118" i="107"/>
  <c r="AE118" i="107"/>
  <c r="Z118" i="107"/>
  <c r="AO117" i="107"/>
  <c r="AN117" i="107"/>
  <c r="AM117" i="107"/>
  <c r="AG117" i="107"/>
  <c r="AE117" i="107"/>
  <c r="Z117" i="107"/>
  <c r="AO116" i="107"/>
  <c r="AN116" i="107"/>
  <c r="AM116" i="107"/>
  <c r="AG116" i="107"/>
  <c r="AE116" i="107"/>
  <c r="Z116" i="107"/>
  <c r="AO115" i="107"/>
  <c r="AN115" i="107"/>
  <c r="AM115" i="107"/>
  <c r="AG115" i="107"/>
  <c r="AE115" i="107"/>
  <c r="Z115" i="107"/>
  <c r="AO114" i="107"/>
  <c r="AN114" i="107"/>
  <c r="AM114" i="107"/>
  <c r="AG114" i="107"/>
  <c r="AE114" i="107"/>
  <c r="Z114" i="107"/>
  <c r="AO113" i="107"/>
  <c r="AN113" i="107"/>
  <c r="AM113" i="107"/>
  <c r="AG113" i="107"/>
  <c r="AE113" i="107"/>
  <c r="Z113" i="107"/>
  <c r="AO112" i="107"/>
  <c r="AN112" i="107"/>
  <c r="AM112" i="107"/>
  <c r="AG112" i="107"/>
  <c r="AE112" i="107"/>
  <c r="Z112" i="107"/>
  <c r="AO111" i="107"/>
  <c r="AN111" i="107"/>
  <c r="AM111" i="107"/>
  <c r="AG111" i="107"/>
  <c r="AE111" i="107"/>
  <c r="Z111" i="107"/>
  <c r="AO110" i="107"/>
  <c r="AN110" i="107"/>
  <c r="AM110" i="107"/>
  <c r="AG110" i="107"/>
  <c r="AE110" i="107"/>
  <c r="Z110" i="107"/>
  <c r="AO109" i="107"/>
  <c r="AN109" i="107"/>
  <c r="AM109" i="107"/>
  <c r="AG109" i="107"/>
  <c r="AE109" i="107"/>
  <c r="Z109" i="107"/>
  <c r="AO108" i="107"/>
  <c r="AN108" i="107"/>
  <c r="AM108" i="107"/>
  <c r="AG108" i="107"/>
  <c r="AE108" i="107"/>
  <c r="Z108" i="107"/>
  <c r="AO107" i="107"/>
  <c r="AN107" i="107"/>
  <c r="AM107" i="107"/>
  <c r="AG107" i="107"/>
  <c r="AE107" i="107"/>
  <c r="Z107" i="107"/>
  <c r="AO106" i="107"/>
  <c r="AN106" i="107"/>
  <c r="AM106" i="107"/>
  <c r="AG106" i="107"/>
  <c r="AE106" i="107"/>
  <c r="Z106" i="107"/>
  <c r="AO105" i="107"/>
  <c r="AN105" i="107"/>
  <c r="AM105" i="107"/>
  <c r="AG105" i="107"/>
  <c r="AE105" i="107"/>
  <c r="Z105" i="107"/>
  <c r="AO104" i="107"/>
  <c r="AN104" i="107"/>
  <c r="AM104" i="107"/>
  <c r="AG104" i="107"/>
  <c r="AE104" i="107"/>
  <c r="Z104" i="107"/>
  <c r="AO103" i="107"/>
  <c r="AN103" i="107"/>
  <c r="AM103" i="107"/>
  <c r="AG103" i="107"/>
  <c r="AE103" i="107"/>
  <c r="Z103" i="107"/>
  <c r="AO102" i="107"/>
  <c r="AN102" i="107"/>
  <c r="AM102" i="107"/>
  <c r="AG102" i="107"/>
  <c r="AE102" i="107"/>
  <c r="Z102" i="107"/>
  <c r="AO101" i="107"/>
  <c r="AN101" i="107"/>
  <c r="AM101" i="107"/>
  <c r="AG101" i="107"/>
  <c r="AE101" i="107"/>
  <c r="Z101" i="107"/>
  <c r="AO100" i="107"/>
  <c r="AN100" i="107"/>
  <c r="AM100" i="107"/>
  <c r="AG100" i="107"/>
  <c r="AE100" i="107"/>
  <c r="Z100" i="107"/>
  <c r="AO99" i="107"/>
  <c r="AN99" i="107"/>
  <c r="AM99" i="107"/>
  <c r="AG99" i="107"/>
  <c r="AE99" i="107"/>
  <c r="Z99" i="107"/>
  <c r="AO98" i="107"/>
  <c r="AN98" i="107"/>
  <c r="AM98" i="107"/>
  <c r="AG98" i="107"/>
  <c r="AE98" i="107"/>
  <c r="Z98" i="107"/>
  <c r="AO97" i="107"/>
  <c r="AN97" i="107"/>
  <c r="AM97" i="107"/>
  <c r="AG97" i="107"/>
  <c r="AE97" i="107"/>
  <c r="Z97" i="107"/>
  <c r="AO96" i="107"/>
  <c r="AN96" i="107"/>
  <c r="AM96" i="107"/>
  <c r="AG96" i="107"/>
  <c r="AE96" i="107"/>
  <c r="Z96" i="107"/>
  <c r="AO95" i="107"/>
  <c r="AN95" i="107"/>
  <c r="AM95" i="107"/>
  <c r="AG95" i="107"/>
  <c r="AE95" i="107"/>
  <c r="Z95" i="107"/>
  <c r="AO94" i="107"/>
  <c r="AN94" i="107"/>
  <c r="AM94" i="107"/>
  <c r="AG94" i="107"/>
  <c r="AE94" i="107"/>
  <c r="Z94" i="107"/>
  <c r="AO93" i="107"/>
  <c r="AN93" i="107"/>
  <c r="AM93" i="107"/>
  <c r="AG93" i="107"/>
  <c r="AE93" i="107"/>
  <c r="Z93" i="107"/>
  <c r="AO92" i="107"/>
  <c r="AN92" i="107"/>
  <c r="AM92" i="107"/>
  <c r="AG92" i="107"/>
  <c r="AE92" i="107"/>
  <c r="Z92" i="107"/>
  <c r="AO91" i="107"/>
  <c r="AN91" i="107"/>
  <c r="AM91" i="107"/>
  <c r="AG91" i="107"/>
  <c r="AE91" i="107"/>
  <c r="Z91" i="107"/>
  <c r="AO90" i="107"/>
  <c r="AN90" i="107"/>
  <c r="AM90" i="107"/>
  <c r="AG90" i="107"/>
  <c r="AE90" i="107"/>
  <c r="Z90" i="107"/>
  <c r="AO89" i="107"/>
  <c r="AN89" i="107"/>
  <c r="AM89" i="107"/>
  <c r="AG89" i="107"/>
  <c r="AE89" i="107"/>
  <c r="Z89" i="107"/>
  <c r="AO88" i="107"/>
  <c r="AN88" i="107"/>
  <c r="AM88" i="107"/>
  <c r="AG88" i="107"/>
  <c r="AE88" i="107"/>
  <c r="Z88" i="107"/>
  <c r="AO87" i="107"/>
  <c r="AN87" i="107"/>
  <c r="AM87" i="107"/>
  <c r="AG87" i="107"/>
  <c r="AE87" i="107"/>
  <c r="Z87" i="107"/>
  <c r="AO86" i="107"/>
  <c r="AN86" i="107"/>
  <c r="AM86" i="107"/>
  <c r="AG86" i="107"/>
  <c r="AE86" i="107"/>
  <c r="Z86" i="107"/>
  <c r="AO85" i="107"/>
  <c r="AN85" i="107"/>
  <c r="AM85" i="107"/>
  <c r="AG85" i="107"/>
  <c r="AE85" i="107"/>
  <c r="Z85" i="107"/>
  <c r="AO84" i="107"/>
  <c r="AN84" i="107"/>
  <c r="AM84" i="107"/>
  <c r="AG84" i="107"/>
  <c r="AE84" i="107"/>
  <c r="Z84" i="107"/>
  <c r="AO83" i="107"/>
  <c r="AN83" i="107"/>
  <c r="AM83" i="107"/>
  <c r="AG83" i="107"/>
  <c r="AE83" i="107"/>
  <c r="Z83" i="107"/>
  <c r="AO82" i="107"/>
  <c r="AN82" i="107"/>
  <c r="AM82" i="107"/>
  <c r="AG82" i="107"/>
  <c r="AE82" i="107"/>
  <c r="Z82" i="107"/>
  <c r="AO81" i="107"/>
  <c r="AN81" i="107"/>
  <c r="AM81" i="107"/>
  <c r="AG81" i="107"/>
  <c r="AE81" i="107"/>
  <c r="Z81" i="107"/>
  <c r="AO80" i="107"/>
  <c r="AN80" i="107"/>
  <c r="AM80" i="107"/>
  <c r="AG80" i="107"/>
  <c r="AE80" i="107"/>
  <c r="Z80" i="107"/>
  <c r="AO79" i="107"/>
  <c r="AN79" i="107"/>
  <c r="AM79" i="107"/>
  <c r="AG79" i="107"/>
  <c r="AE79" i="107"/>
  <c r="Z79" i="107"/>
  <c r="AO78" i="107"/>
  <c r="AN78" i="107"/>
  <c r="AM78" i="107"/>
  <c r="AG78" i="107"/>
  <c r="AE78" i="107"/>
  <c r="Z78" i="107"/>
  <c r="AO77" i="107"/>
  <c r="AN77" i="107"/>
  <c r="AM77" i="107"/>
  <c r="AG77" i="107"/>
  <c r="AE77" i="107"/>
  <c r="Z77" i="107"/>
  <c r="AO76" i="107"/>
  <c r="AN76" i="107"/>
  <c r="AM76" i="107"/>
  <c r="AG76" i="107"/>
  <c r="AE76" i="107"/>
  <c r="Z76" i="107"/>
  <c r="AO75" i="107"/>
  <c r="AN75" i="107"/>
  <c r="AM75" i="107"/>
  <c r="AG75" i="107"/>
  <c r="AE75" i="107"/>
  <c r="Z75" i="107"/>
  <c r="AO74" i="107"/>
  <c r="AN74" i="107"/>
  <c r="AM74" i="107"/>
  <c r="AG74" i="107"/>
  <c r="AE74" i="107"/>
  <c r="Z74" i="107"/>
  <c r="AO73" i="107"/>
  <c r="AN73" i="107"/>
  <c r="AM73" i="107"/>
  <c r="AG73" i="107"/>
  <c r="AE73" i="107"/>
  <c r="Z73" i="107"/>
  <c r="AO72" i="107"/>
  <c r="AN72" i="107"/>
  <c r="AM72" i="107"/>
  <c r="AG72" i="107"/>
  <c r="AE72" i="107"/>
  <c r="Z72" i="107"/>
  <c r="AO71" i="107"/>
  <c r="AN71" i="107"/>
  <c r="AM71" i="107"/>
  <c r="AG71" i="107"/>
  <c r="AE71" i="107"/>
  <c r="Z71" i="107"/>
  <c r="AO70" i="107"/>
  <c r="AN70" i="107"/>
  <c r="AM70" i="107"/>
  <c r="AG70" i="107"/>
  <c r="AE70" i="107"/>
  <c r="Z70" i="107"/>
  <c r="AO69" i="107"/>
  <c r="AN69" i="107"/>
  <c r="AM69" i="107"/>
  <c r="AG69" i="107"/>
  <c r="AE69" i="107"/>
  <c r="Z69" i="107"/>
  <c r="AO68" i="107"/>
  <c r="AN68" i="107"/>
  <c r="AM68" i="107"/>
  <c r="AG68" i="107"/>
  <c r="AE68" i="107"/>
  <c r="Z68" i="107"/>
  <c r="AO67" i="107"/>
  <c r="AN67" i="107"/>
  <c r="AM67" i="107"/>
  <c r="AG67" i="107"/>
  <c r="AE67" i="107"/>
  <c r="Z67" i="107"/>
  <c r="AO66" i="107"/>
  <c r="AN66" i="107"/>
  <c r="AM66" i="107"/>
  <c r="AG66" i="107"/>
  <c r="AE66" i="107"/>
  <c r="Z66" i="107"/>
  <c r="AO65" i="107"/>
  <c r="AN65" i="107"/>
  <c r="AM65" i="107"/>
  <c r="AG65" i="107"/>
  <c r="AE65" i="107"/>
  <c r="Z65" i="107"/>
  <c r="AO64" i="107"/>
  <c r="AN64" i="107"/>
  <c r="AM64" i="107"/>
  <c r="AG64" i="107"/>
  <c r="AE64" i="107"/>
  <c r="Z64" i="107"/>
  <c r="AO63" i="107"/>
  <c r="AN63" i="107"/>
  <c r="AM63" i="107"/>
  <c r="AG63" i="107"/>
  <c r="AE63" i="107"/>
  <c r="Z63" i="107"/>
  <c r="AO62" i="107"/>
  <c r="AN62" i="107"/>
  <c r="AM62" i="107"/>
  <c r="AG62" i="107"/>
  <c r="AE62" i="107"/>
  <c r="Z62" i="107"/>
  <c r="AO61" i="107"/>
  <c r="AN61" i="107"/>
  <c r="AM61" i="107"/>
  <c r="AG61" i="107"/>
  <c r="AE61" i="107"/>
  <c r="Z61" i="107"/>
  <c r="AO60" i="107"/>
  <c r="AN60" i="107"/>
  <c r="AM60" i="107"/>
  <c r="AG60" i="107"/>
  <c r="AE60" i="107"/>
  <c r="Z60" i="107"/>
  <c r="AO59" i="107"/>
  <c r="AN59" i="107"/>
  <c r="AM59" i="107"/>
  <c r="AG59" i="107"/>
  <c r="AE59" i="107"/>
  <c r="Z59" i="107"/>
  <c r="AO58" i="107"/>
  <c r="AN58" i="107"/>
  <c r="AM58" i="107"/>
  <c r="AG58" i="107"/>
  <c r="AE58" i="107"/>
  <c r="Z58" i="107"/>
  <c r="AO57" i="107"/>
  <c r="AN57" i="107"/>
  <c r="AM57" i="107"/>
  <c r="AG57" i="107"/>
  <c r="AE57" i="107"/>
  <c r="Z57" i="107"/>
  <c r="AO56" i="107"/>
  <c r="AN56" i="107"/>
  <c r="AM56" i="107"/>
  <c r="AG56" i="107"/>
  <c r="AE56" i="107"/>
  <c r="Z56" i="107"/>
  <c r="AO55" i="107"/>
  <c r="AN55" i="107"/>
  <c r="AM55" i="107"/>
  <c r="AG55" i="107"/>
  <c r="AE55" i="107"/>
  <c r="Z55" i="107"/>
  <c r="AO54" i="107"/>
  <c r="AN54" i="107"/>
  <c r="AM54" i="107"/>
  <c r="AG54" i="107"/>
  <c r="AE54" i="107"/>
  <c r="Z54" i="107"/>
  <c r="AO53" i="107"/>
  <c r="AN53" i="107"/>
  <c r="AM53" i="107"/>
  <c r="AG53" i="107"/>
  <c r="AE53" i="107"/>
  <c r="Z53" i="107"/>
  <c r="AO52" i="107"/>
  <c r="AN52" i="107"/>
  <c r="AM52" i="107"/>
  <c r="AG52" i="107"/>
  <c r="AE52" i="107"/>
  <c r="Z52" i="107"/>
  <c r="AO51" i="107"/>
  <c r="AN51" i="107"/>
  <c r="AM51" i="107"/>
  <c r="AG51" i="107"/>
  <c r="AE51" i="107"/>
  <c r="Z51" i="107"/>
  <c r="AO50" i="107"/>
  <c r="AN50" i="107"/>
  <c r="AM50" i="107"/>
  <c r="AG50" i="107"/>
  <c r="AE50" i="107"/>
  <c r="Z50" i="107"/>
  <c r="AO49" i="107"/>
  <c r="AN49" i="107"/>
  <c r="AM49" i="107"/>
  <c r="AG49" i="107"/>
  <c r="AE49" i="107"/>
  <c r="Z49" i="107"/>
  <c r="AO48" i="107"/>
  <c r="AN48" i="107"/>
  <c r="AM48" i="107"/>
  <c r="AG48" i="107"/>
  <c r="AE48" i="107"/>
  <c r="Z48" i="107"/>
  <c r="AO47" i="107"/>
  <c r="AN47" i="107"/>
  <c r="AM47" i="107"/>
  <c r="AG47" i="107"/>
  <c r="AE47" i="107"/>
  <c r="Z47" i="107"/>
  <c r="AO46" i="107"/>
  <c r="AN46" i="107"/>
  <c r="AM46" i="107"/>
  <c r="AG46" i="107"/>
  <c r="AE46" i="107"/>
  <c r="Z46" i="107"/>
  <c r="AO45" i="107"/>
  <c r="AN45" i="107"/>
  <c r="AM45" i="107"/>
  <c r="AG45" i="107"/>
  <c r="AE45" i="107"/>
  <c r="Z45" i="107"/>
  <c r="AO44" i="107"/>
  <c r="AN44" i="107"/>
  <c r="AM44" i="107"/>
  <c r="AG44" i="107"/>
  <c r="AE44" i="107"/>
  <c r="Z44" i="107"/>
  <c r="AO43" i="107"/>
  <c r="AN43" i="107"/>
  <c r="AM43" i="107"/>
  <c r="AG43" i="107"/>
  <c r="AE43" i="107"/>
  <c r="Z43" i="107"/>
  <c r="AO42" i="107"/>
  <c r="AN42" i="107"/>
  <c r="AM42" i="107"/>
  <c r="AG42" i="107"/>
  <c r="AE42" i="107"/>
  <c r="Z42" i="107"/>
  <c r="AO41" i="107"/>
  <c r="AN41" i="107"/>
  <c r="AM41" i="107"/>
  <c r="AG41" i="107"/>
  <c r="AE41" i="107"/>
  <c r="Z41" i="107"/>
  <c r="AO40" i="107"/>
  <c r="AN40" i="107"/>
  <c r="AM40" i="107"/>
  <c r="AG40" i="107"/>
  <c r="AE40" i="107"/>
  <c r="Z40" i="107"/>
  <c r="AO39" i="107"/>
  <c r="AN39" i="107"/>
  <c r="AM39" i="107"/>
  <c r="AG39" i="107"/>
  <c r="AE39" i="107"/>
  <c r="Z39" i="107"/>
  <c r="AO38" i="107"/>
  <c r="AN38" i="107"/>
  <c r="AM38" i="107"/>
  <c r="AG38" i="107"/>
  <c r="AE38" i="107"/>
  <c r="Z38" i="107"/>
  <c r="AO37" i="107"/>
  <c r="AN37" i="107"/>
  <c r="AM37" i="107"/>
  <c r="AG37" i="107"/>
  <c r="AE37" i="107"/>
  <c r="Z37" i="107"/>
  <c r="AO36" i="107"/>
  <c r="AN36" i="107"/>
  <c r="AM36" i="107"/>
  <c r="AG36" i="107"/>
  <c r="AE36" i="107"/>
  <c r="Z36" i="107"/>
  <c r="AO35" i="107"/>
  <c r="AN35" i="107"/>
  <c r="AM35" i="107"/>
  <c r="AG35" i="107"/>
  <c r="AE35" i="107"/>
  <c r="Z35" i="107"/>
  <c r="AO34" i="107"/>
  <c r="AN34" i="107"/>
  <c r="AM34" i="107"/>
  <c r="AG34" i="107"/>
  <c r="AE34" i="107"/>
  <c r="Z34" i="107"/>
  <c r="AO33" i="107"/>
  <c r="AN33" i="107"/>
  <c r="AM33" i="107"/>
  <c r="AG33" i="107"/>
  <c r="AE33" i="107"/>
  <c r="Z33" i="107"/>
  <c r="AO32" i="107"/>
  <c r="AN32" i="107"/>
  <c r="AM32" i="107"/>
  <c r="AG32" i="107"/>
  <c r="AE32" i="107"/>
  <c r="Z32" i="107"/>
  <c r="AO31" i="107"/>
  <c r="AN31" i="107"/>
  <c r="AM31" i="107"/>
  <c r="AG31" i="107"/>
  <c r="AE31" i="107"/>
  <c r="Z31" i="107"/>
  <c r="AO30" i="107"/>
  <c r="AN30" i="107"/>
  <c r="AM30" i="107"/>
  <c r="AG30" i="107"/>
  <c r="AE30" i="107"/>
  <c r="Z30" i="107"/>
  <c r="AO29" i="107"/>
  <c r="AN29" i="107"/>
  <c r="AM29" i="107"/>
  <c r="AG29" i="107"/>
  <c r="AE29" i="107"/>
  <c r="Z29" i="107"/>
  <c r="AO28" i="107"/>
  <c r="AN28" i="107"/>
  <c r="AM28" i="107"/>
  <c r="AG28" i="107"/>
  <c r="AE28" i="107"/>
  <c r="Z28" i="107"/>
  <c r="AO27" i="107"/>
  <c r="AN27" i="107"/>
  <c r="AM27" i="107"/>
  <c r="AG27" i="107"/>
  <c r="AE27" i="107"/>
  <c r="Z27" i="107"/>
  <c r="AO26" i="107"/>
  <c r="AN26" i="107"/>
  <c r="AM26" i="107"/>
  <c r="AG26" i="107"/>
  <c r="AE26" i="107"/>
  <c r="Z26" i="107"/>
  <c r="AO25" i="107"/>
  <c r="AN25" i="107"/>
  <c r="AM25" i="107"/>
  <c r="AG25" i="107"/>
  <c r="AE25" i="107"/>
  <c r="Z25" i="107"/>
  <c r="AO24" i="107"/>
  <c r="AN24" i="107"/>
  <c r="AM24" i="107"/>
  <c r="AG24" i="107"/>
  <c r="AE24" i="107"/>
  <c r="Z24" i="107"/>
  <c r="AO23" i="107"/>
  <c r="AN23" i="107"/>
  <c r="AM23" i="107"/>
  <c r="AG23" i="107"/>
  <c r="AE23" i="107"/>
  <c r="Z23" i="107"/>
  <c r="AO22" i="107"/>
  <c r="AN22" i="107"/>
  <c r="AM22" i="107"/>
  <c r="AG22" i="107"/>
  <c r="AE22" i="107"/>
  <c r="Z22" i="107"/>
  <c r="AO21" i="107"/>
  <c r="AN21" i="107"/>
  <c r="AM21" i="107"/>
  <c r="AG21" i="107"/>
  <c r="AE21" i="107"/>
  <c r="Z21" i="107"/>
  <c r="AO20" i="107"/>
  <c r="AN20" i="107"/>
  <c r="AM20" i="107"/>
  <c r="AG20" i="107"/>
  <c r="AE20" i="107"/>
  <c r="Z20" i="107"/>
  <c r="AO19" i="107"/>
  <c r="AN19" i="107"/>
  <c r="AM19" i="107"/>
  <c r="AG19" i="107"/>
  <c r="AE19" i="107"/>
  <c r="Z19" i="107"/>
  <c r="AO18" i="107"/>
  <c r="AN18" i="107"/>
  <c r="AM18" i="107"/>
  <c r="AG18" i="107"/>
  <c r="AE18" i="107"/>
  <c r="Z18" i="107"/>
  <c r="AO17" i="107"/>
  <c r="AN17" i="107"/>
  <c r="AM17" i="107"/>
  <c r="AG17" i="107"/>
  <c r="AE17" i="107"/>
  <c r="Z17" i="107"/>
  <c r="AO16" i="107"/>
  <c r="AN16" i="107"/>
  <c r="AM16" i="107"/>
  <c r="AG16" i="107"/>
  <c r="AE16" i="107"/>
  <c r="Z16" i="107"/>
  <c r="AO15" i="107"/>
  <c r="AN15" i="107"/>
  <c r="AM15" i="107"/>
  <c r="AG15" i="107"/>
  <c r="AE15" i="107"/>
  <c r="Z15" i="107"/>
  <c r="AO14" i="107"/>
  <c r="AN14" i="107"/>
  <c r="AM14" i="107"/>
  <c r="AG14" i="107"/>
  <c r="AE14" i="107"/>
  <c r="Z14" i="107"/>
  <c r="AO13" i="107"/>
  <c r="AN13" i="107"/>
  <c r="AM13" i="107"/>
  <c r="AG13" i="107"/>
  <c r="AE13" i="107"/>
  <c r="Z13" i="107"/>
  <c r="AO12" i="107"/>
  <c r="AN12" i="107"/>
  <c r="AM12" i="107"/>
  <c r="AG12" i="107"/>
  <c r="AE12" i="107"/>
  <c r="Z12" i="107"/>
  <c r="AO11" i="107"/>
  <c r="AN11" i="107"/>
  <c r="AM11" i="107"/>
  <c r="AG11" i="107"/>
  <c r="AE11" i="107"/>
  <c r="Z11" i="107"/>
  <c r="AO10" i="107"/>
  <c r="AN10" i="107"/>
  <c r="AM10" i="107"/>
  <c r="AG10" i="107"/>
  <c r="AE10" i="107"/>
  <c r="Z10" i="107"/>
  <c r="AO9" i="107"/>
  <c r="AN9" i="107"/>
  <c r="AM9" i="107"/>
  <c r="AG9" i="107"/>
  <c r="AE9" i="107"/>
  <c r="Z9" i="107"/>
  <c r="A6" i="107"/>
  <c r="A7" i="107"/>
  <c r="A8" i="107"/>
  <c r="AP8" i="107"/>
  <c r="AO8" i="107"/>
  <c r="AN8" i="107"/>
  <c r="AM8" i="107"/>
  <c r="AG8" i="107"/>
  <c r="AE8" i="107"/>
  <c r="Z8" i="107"/>
  <c r="AO7" i="107"/>
  <c r="AN7" i="107"/>
  <c r="AM7" i="107"/>
  <c r="AG7" i="107"/>
  <c r="AE7" i="107"/>
  <c r="Z7" i="107"/>
  <c r="AP6" i="107"/>
  <c r="AO6" i="107"/>
  <c r="AN6" i="107"/>
  <c r="AM6" i="107"/>
  <c r="AG6" i="107"/>
  <c r="AE6" i="107"/>
  <c r="Z6" i="107"/>
  <c r="AQ6" i="107"/>
  <c r="AQ5" i="107"/>
  <c r="AP5" i="107"/>
  <c r="AO5" i="107"/>
  <c r="AN5" i="107"/>
  <c r="AM5" i="107"/>
  <c r="AG5" i="107"/>
  <c r="AE5" i="107"/>
  <c r="Z5" i="107"/>
  <c r="AI2" i="107"/>
  <c r="H2" i="107"/>
  <c r="AB2" i="107"/>
  <c r="AA2" i="107"/>
  <c r="A2" i="107"/>
  <c r="Z2" i="107"/>
  <c r="V2" i="107"/>
  <c r="D2" i="107"/>
  <c r="U2" i="107"/>
  <c r="T2" i="107"/>
  <c r="C2" i="107"/>
  <c r="O2" i="107"/>
  <c r="E2" i="107"/>
  <c r="B2" i="107"/>
  <c r="AK394" i="107"/>
  <c r="AK386" i="107"/>
  <c r="AK378" i="107"/>
  <c r="AK370" i="107"/>
  <c r="AK362" i="107"/>
  <c r="AK354" i="107"/>
  <c r="AK346" i="107"/>
  <c r="AK338" i="107"/>
  <c r="AK330" i="107"/>
  <c r="AK322" i="107"/>
  <c r="AK314" i="107"/>
  <c r="AK306" i="107"/>
  <c r="AK298" i="107"/>
  <c r="AK290" i="107"/>
  <c r="AK282" i="107"/>
  <c r="AK274" i="107"/>
  <c r="AK266" i="107"/>
  <c r="AK258" i="107"/>
  <c r="AK399" i="107"/>
  <c r="AK391" i="107"/>
  <c r="AK383" i="107"/>
  <c r="AK375" i="107"/>
  <c r="AK367" i="107"/>
  <c r="AK359" i="107"/>
  <c r="AK351" i="107"/>
  <c r="AK343" i="107"/>
  <c r="AK335" i="107"/>
  <c r="AK327" i="107"/>
  <c r="AK319" i="107"/>
  <c r="AK311" i="107"/>
  <c r="AK303" i="107"/>
  <c r="AK295" i="107"/>
  <c r="AK287" i="107"/>
  <c r="AK279" i="107"/>
  <c r="AK271" i="107"/>
  <c r="AK263" i="107"/>
  <c r="AK396" i="107"/>
  <c r="AK388" i="107"/>
  <c r="AK380" i="107"/>
  <c r="AK372" i="107"/>
  <c r="AK364" i="107"/>
  <c r="AK356" i="107"/>
  <c r="AK348" i="107"/>
  <c r="AK340" i="107"/>
  <c r="AK332" i="107"/>
  <c r="AK324" i="107"/>
  <c r="AK316" i="107"/>
  <c r="AK308" i="107"/>
  <c r="AK300" i="107"/>
  <c r="AK292" i="107"/>
  <c r="AK284" i="107"/>
  <c r="AK276" i="107"/>
  <c r="AK268" i="107"/>
  <c r="AK260" i="107"/>
  <c r="AK393" i="107"/>
  <c r="AK385" i="107"/>
  <c r="AK377" i="107"/>
  <c r="AK369" i="107"/>
  <c r="AK361" i="107"/>
  <c r="AK353" i="107"/>
  <c r="AK345" i="107"/>
  <c r="AK337" i="107"/>
  <c r="AK329" i="107"/>
  <c r="AK321" i="107"/>
  <c r="AK313" i="107"/>
  <c r="AK305" i="107"/>
  <c r="AK297" i="107"/>
  <c r="AK289" i="107"/>
  <c r="AK281" i="107"/>
  <c r="AK273" i="107"/>
  <c r="AK265" i="107"/>
  <c r="AK398" i="107"/>
  <c r="AK390" i="107"/>
  <c r="AK382" i="107"/>
  <c r="AK374" i="107"/>
  <c r="AK366" i="107"/>
  <c r="AK358" i="107"/>
  <c r="AK350" i="107"/>
  <c r="AK342" i="107"/>
  <c r="AK334" i="107"/>
  <c r="AK326" i="107"/>
  <c r="AK318" i="107"/>
  <c r="AK310" i="107"/>
  <c r="AK302" i="107"/>
  <c r="AK294" i="107"/>
  <c r="AK286" i="107"/>
  <c r="AK278" i="107"/>
  <c r="AK395" i="107"/>
  <c r="AK387" i="107"/>
  <c r="AK379" i="107"/>
  <c r="AK371" i="107"/>
  <c r="AK363" i="107"/>
  <c r="AK355" i="107"/>
  <c r="AK347" i="107"/>
  <c r="AK339" i="107"/>
  <c r="AK331" i="107"/>
  <c r="AK323" i="107"/>
  <c r="AK315" i="107"/>
  <c r="AK307" i="107"/>
  <c r="AK299" i="107"/>
  <c r="AK291" i="107"/>
  <c r="AK283" i="107"/>
  <c r="AK400" i="107"/>
  <c r="AK392" i="107"/>
  <c r="AK384" i="107"/>
  <c r="AK376" i="107"/>
  <c r="AK368" i="107"/>
  <c r="AK360" i="107"/>
  <c r="AK352" i="107"/>
  <c r="AK344" i="107"/>
  <c r="AK336" i="107"/>
  <c r="AK328" i="107"/>
  <c r="AK320" i="107"/>
  <c r="AK312" i="107"/>
  <c r="AK304" i="107"/>
  <c r="AK296" i="107"/>
  <c r="AK288" i="107"/>
  <c r="AK280" i="107"/>
  <c r="AK272" i="107"/>
  <c r="AK264" i="107"/>
  <c r="AK381" i="107"/>
  <c r="AK317" i="107"/>
  <c r="AK270" i="107"/>
  <c r="AK267" i="107"/>
  <c r="AK259" i="107"/>
  <c r="AK252" i="107"/>
  <c r="AK244" i="107"/>
  <c r="AK236" i="107"/>
  <c r="AK228" i="107"/>
  <c r="AK220" i="107"/>
  <c r="AK212" i="107"/>
  <c r="AK204" i="107"/>
  <c r="AK196" i="107"/>
  <c r="AK188" i="107"/>
  <c r="AK180" i="107"/>
  <c r="AK172" i="107"/>
  <c r="AK164" i="107"/>
  <c r="AK156" i="107"/>
  <c r="AK341" i="107"/>
  <c r="AK277" i="107"/>
  <c r="AK275" i="107"/>
  <c r="AK249" i="107"/>
  <c r="AK241" i="107"/>
  <c r="AK233" i="107"/>
  <c r="AK225" i="107"/>
  <c r="AK217" i="107"/>
  <c r="AK209" i="107"/>
  <c r="AK201" i="107"/>
  <c r="AK193" i="107"/>
  <c r="AK185" i="107"/>
  <c r="AK177" i="107"/>
  <c r="AK169" i="107"/>
  <c r="AK161" i="107"/>
  <c r="AK153" i="107"/>
  <c r="AK145" i="107"/>
  <c r="AK365" i="107"/>
  <c r="AK301" i="107"/>
  <c r="AK257" i="107"/>
  <c r="AK254" i="107"/>
  <c r="AK246" i="107"/>
  <c r="AK238" i="107"/>
  <c r="AK230" i="107"/>
  <c r="AK222" i="107"/>
  <c r="AK214" i="107"/>
  <c r="AK206" i="107"/>
  <c r="AK198" i="107"/>
  <c r="AK190" i="107"/>
  <c r="AK182" i="107"/>
  <c r="AK174" i="107"/>
  <c r="AK166" i="107"/>
  <c r="AK158" i="107"/>
  <c r="AK150" i="107"/>
  <c r="AK389" i="107"/>
  <c r="AK325" i="107"/>
  <c r="AK251" i="107"/>
  <c r="AK243" i="107"/>
  <c r="AK235" i="107"/>
  <c r="AK227" i="107"/>
  <c r="AK219" i="107"/>
  <c r="AK211" i="107"/>
  <c r="AK203" i="107"/>
  <c r="AK195" i="107"/>
  <c r="AK187" i="107"/>
  <c r="AK179" i="107"/>
  <c r="AK171" i="107"/>
  <c r="AK163" i="107"/>
  <c r="AK349" i="107"/>
  <c r="AK285" i="107"/>
  <c r="AK256" i="107"/>
  <c r="AK248" i="107"/>
  <c r="AK240" i="107"/>
  <c r="AK232" i="107"/>
  <c r="AK224" i="107"/>
  <c r="AK216" i="107"/>
  <c r="AK208" i="107"/>
  <c r="AK200" i="107"/>
  <c r="AK192" i="107"/>
  <c r="AK184" i="107"/>
  <c r="AK176" i="107"/>
  <c r="AK168" i="107"/>
  <c r="AK160" i="107"/>
  <c r="AK152" i="107"/>
  <c r="AK373" i="107"/>
  <c r="AK309" i="107"/>
  <c r="AK253" i="107"/>
  <c r="AK245" i="107"/>
  <c r="AK237" i="107"/>
  <c r="AK229" i="107"/>
  <c r="AK221" i="107"/>
  <c r="AK213" i="107"/>
  <c r="AK205" i="107"/>
  <c r="AK197" i="107"/>
  <c r="AK189" i="107"/>
  <c r="AK181" i="107"/>
  <c r="AK173" i="107"/>
  <c r="AK165" i="107"/>
  <c r="AK157" i="107"/>
  <c r="AK269" i="107"/>
  <c r="AK155" i="107"/>
  <c r="AK147" i="107"/>
  <c r="AK143" i="107"/>
  <c r="AK135" i="107"/>
  <c r="AK127" i="107"/>
  <c r="AK119" i="107"/>
  <c r="AK111" i="107"/>
  <c r="AK103" i="107"/>
  <c r="AK95" i="107"/>
  <c r="AK87" i="107"/>
  <c r="AK79" i="107"/>
  <c r="AK71" i="107"/>
  <c r="AK63" i="107"/>
  <c r="AK55" i="107"/>
  <c r="AK47" i="107"/>
  <c r="AK39" i="107"/>
  <c r="AK247" i="107"/>
  <c r="AK226" i="107"/>
  <c r="AK215" i="107"/>
  <c r="AK194" i="107"/>
  <c r="AK183" i="107"/>
  <c r="AK162" i="107"/>
  <c r="AK159" i="107"/>
  <c r="AK154" i="107"/>
  <c r="AK140" i="107"/>
  <c r="AK132" i="107"/>
  <c r="AK124" i="107"/>
  <c r="AK116" i="107"/>
  <c r="AK108" i="107"/>
  <c r="AK100" i="107"/>
  <c r="AK92" i="107"/>
  <c r="AK84" i="107"/>
  <c r="AK76" i="107"/>
  <c r="AK68" i="107"/>
  <c r="AK60" i="107"/>
  <c r="AK52" i="107"/>
  <c r="AK146" i="107"/>
  <c r="AK137" i="107"/>
  <c r="AK129" i="107"/>
  <c r="AK121" i="107"/>
  <c r="AK113" i="107"/>
  <c r="AK105" i="107"/>
  <c r="AK97" i="107"/>
  <c r="AK89" i="107"/>
  <c r="AK81" i="107"/>
  <c r="AK357" i="107"/>
  <c r="AK250" i="107"/>
  <c r="AK239" i="107"/>
  <c r="AK218" i="107"/>
  <c r="AK207" i="107"/>
  <c r="AK186" i="107"/>
  <c r="AK175" i="107"/>
  <c r="AK142" i="107"/>
  <c r="AK134" i="107"/>
  <c r="AK126" i="107"/>
  <c r="AK118" i="107"/>
  <c r="AK110" i="107"/>
  <c r="AK102" i="107"/>
  <c r="AK94" i="107"/>
  <c r="AK86" i="107"/>
  <c r="AK78" i="107"/>
  <c r="AK70" i="107"/>
  <c r="AK62" i="107"/>
  <c r="AK54" i="107"/>
  <c r="AK46" i="107"/>
  <c r="AK262" i="107"/>
  <c r="AK149" i="107"/>
  <c r="AK141" i="107"/>
  <c r="AK133" i="107"/>
  <c r="AK125" i="107"/>
  <c r="AK117" i="107"/>
  <c r="AK109" i="107"/>
  <c r="AK101" i="107"/>
  <c r="AK93" i="107"/>
  <c r="AK85" i="107"/>
  <c r="AK77" i="107"/>
  <c r="AK69" i="107"/>
  <c r="AK61" i="107"/>
  <c r="AK53" i="107"/>
  <c r="AK45" i="107"/>
  <c r="AK231" i="107"/>
  <c r="AK130" i="107"/>
  <c r="AK123" i="107"/>
  <c r="AK120" i="107"/>
  <c r="AK65" i="107"/>
  <c r="AK49" i="107"/>
  <c r="AK41" i="107"/>
  <c r="AK36" i="107"/>
  <c r="AK28" i="107"/>
  <c r="AK20" i="107"/>
  <c r="AK12" i="107"/>
  <c r="AK293" i="107"/>
  <c r="AK255" i="107"/>
  <c r="AK178" i="107"/>
  <c r="AK167" i="107"/>
  <c r="AK138" i="107"/>
  <c r="AK131" i="107"/>
  <c r="AK128" i="107"/>
  <c r="AK64" i="107"/>
  <c r="AK48" i="107"/>
  <c r="AK40" i="107"/>
  <c r="AK33" i="107"/>
  <c r="AK25" i="107"/>
  <c r="AK17" i="107"/>
  <c r="AK9" i="107"/>
  <c r="AK13" i="107"/>
  <c r="AK242" i="107"/>
  <c r="AK199" i="107"/>
  <c r="AK151" i="107"/>
  <c r="AK139" i="107"/>
  <c r="AK136" i="107"/>
  <c r="AK82" i="107"/>
  <c r="AK30" i="107"/>
  <c r="AK22" i="107"/>
  <c r="AK14" i="107"/>
  <c r="AK6" i="107"/>
  <c r="AK397" i="107"/>
  <c r="AK234" i="107"/>
  <c r="AK170" i="107"/>
  <c r="AK148" i="107"/>
  <c r="AK106" i="107"/>
  <c r="AK99" i="107"/>
  <c r="AK72" i="107"/>
  <c r="AK21" i="107"/>
  <c r="AK223" i="107"/>
  <c r="AK144" i="107"/>
  <c r="AK90" i="107"/>
  <c r="AK83" i="107"/>
  <c r="AK80" i="107"/>
  <c r="AK75" i="107"/>
  <c r="AK74" i="107"/>
  <c r="AK59" i="107"/>
  <c r="AK58" i="107"/>
  <c r="AK35" i="107"/>
  <c r="AK27" i="107"/>
  <c r="AK19" i="107"/>
  <c r="AK11" i="107"/>
  <c r="AK261" i="107"/>
  <c r="AK210" i="107"/>
  <c r="AK98" i="107"/>
  <c r="AK91" i="107"/>
  <c r="AK88" i="107"/>
  <c r="AK73" i="107"/>
  <c r="AK57" i="107"/>
  <c r="AK44" i="107"/>
  <c r="AK38" i="107"/>
  <c r="AK32" i="107"/>
  <c r="AK24" i="107"/>
  <c r="AK16" i="107"/>
  <c r="AK8" i="107"/>
  <c r="AK96" i="107"/>
  <c r="AK56" i="107"/>
  <c r="AK43" i="107"/>
  <c r="AK29" i="107"/>
  <c r="AK191" i="107"/>
  <c r="AK114" i="107"/>
  <c r="AK107" i="107"/>
  <c r="AK104" i="107"/>
  <c r="AK42" i="107"/>
  <c r="AK37" i="107"/>
  <c r="AK34" i="107"/>
  <c r="AK26" i="107"/>
  <c r="AK18" i="107"/>
  <c r="AK10" i="107"/>
  <c r="AK333" i="107"/>
  <c r="AK202" i="107"/>
  <c r="AK122" i="107"/>
  <c r="AK115" i="107"/>
  <c r="AK112" i="107"/>
  <c r="AK66" i="107"/>
  <c r="AK5" i="107"/>
  <c r="AK67" i="107"/>
  <c r="AK15" i="107"/>
  <c r="AK51" i="107"/>
  <c r="AK31" i="107"/>
  <c r="AK23" i="107"/>
  <c r="AK50" i="107"/>
  <c r="AK7" i="107"/>
  <c r="AL7" i="107"/>
  <c r="AL50" i="107"/>
  <c r="AL23" i="107"/>
  <c r="AL31" i="107"/>
  <c r="AL51" i="107"/>
  <c r="AL15" i="107"/>
  <c r="AL67" i="107"/>
  <c r="AL5" i="107"/>
  <c r="AL66" i="107"/>
  <c r="AL112" i="107"/>
  <c r="AL115" i="107"/>
  <c r="AL122" i="107"/>
  <c r="AL202" i="107"/>
  <c r="AL333" i="107"/>
  <c r="AL10" i="107"/>
  <c r="AL18" i="107"/>
  <c r="AL26" i="107"/>
  <c r="AL34" i="107"/>
  <c r="AL37" i="107"/>
  <c r="AL42" i="107"/>
  <c r="AL104" i="107"/>
  <c r="AL107" i="107"/>
  <c r="AL114" i="107"/>
  <c r="AL191" i="107"/>
  <c r="AL29" i="107"/>
  <c r="AL43" i="107"/>
  <c r="AL56" i="107"/>
  <c r="AL96" i="107"/>
  <c r="AL8" i="107"/>
  <c r="AL16" i="107"/>
  <c r="AL24" i="107"/>
  <c r="AL32" i="107"/>
  <c r="AL38" i="107"/>
  <c r="AL44" i="107"/>
  <c r="AL57" i="107"/>
  <c r="AL73" i="107"/>
  <c r="AL88" i="107"/>
  <c r="AL91" i="107"/>
  <c r="AL98" i="107"/>
  <c r="AL210" i="107"/>
  <c r="AL261" i="107"/>
  <c r="AL11" i="107"/>
  <c r="AL19" i="107"/>
  <c r="AL27" i="107"/>
  <c r="AL35" i="107"/>
  <c r="AL58" i="107"/>
  <c r="AL59" i="107"/>
  <c r="AL74" i="107"/>
  <c r="AL75" i="107"/>
  <c r="AL80" i="107"/>
  <c r="AL83" i="107"/>
  <c r="AL90" i="107"/>
  <c r="AL144" i="107"/>
  <c r="AL223" i="107"/>
  <c r="AL21" i="107"/>
  <c r="AL72" i="107"/>
  <c r="AL99" i="107"/>
  <c r="AL106" i="107"/>
  <c r="AL148" i="107"/>
  <c r="AL170" i="107"/>
  <c r="AL234" i="107"/>
  <c r="AL397" i="107"/>
  <c r="AL6" i="107"/>
  <c r="AL14" i="107"/>
  <c r="AL22" i="107"/>
  <c r="AL30" i="107"/>
  <c r="AL82" i="107"/>
  <c r="AL136" i="107"/>
  <c r="AL139" i="107"/>
  <c r="AL151" i="107"/>
  <c r="AL199" i="107"/>
  <c r="AL242" i="107"/>
  <c r="AL13" i="107"/>
  <c r="AL9" i="107"/>
  <c r="AL17" i="107"/>
  <c r="AL25" i="107"/>
  <c r="AL33" i="107"/>
  <c r="AL40" i="107"/>
  <c r="AL48" i="107"/>
  <c r="AL64" i="107"/>
  <c r="AL128" i="107"/>
  <c r="AL131" i="107"/>
  <c r="AL138" i="107"/>
  <c r="AL167" i="107"/>
  <c r="AL178" i="107"/>
  <c r="AL255" i="107"/>
  <c r="AL293" i="107"/>
  <c r="AL12" i="107"/>
  <c r="AL20" i="107"/>
  <c r="AL28" i="107"/>
  <c r="AL36" i="107"/>
  <c r="AL41" i="107"/>
  <c r="AL49" i="107"/>
  <c r="AL65" i="107"/>
  <c r="AL120" i="107"/>
  <c r="AL123" i="107"/>
  <c r="AL130" i="107"/>
  <c r="AL231" i="107"/>
  <c r="AL45" i="107"/>
  <c r="AL53" i="107"/>
  <c r="AL61" i="107"/>
  <c r="AL69" i="107"/>
  <c r="AL77" i="107"/>
  <c r="AL85" i="107"/>
  <c r="AL93" i="107"/>
  <c r="AL101" i="107"/>
  <c r="AL109" i="107"/>
  <c r="AL117" i="107"/>
  <c r="AL125" i="107"/>
  <c r="AL133" i="107"/>
  <c r="AL141" i="107"/>
  <c r="AL149" i="107"/>
  <c r="AL262" i="107"/>
  <c r="AL46" i="107"/>
  <c r="AL54" i="107"/>
  <c r="AL62" i="107"/>
  <c r="AL70" i="107"/>
  <c r="AL78" i="107"/>
  <c r="AL86" i="107"/>
  <c r="AL94" i="107"/>
  <c r="AL102" i="107"/>
  <c r="AL110" i="107"/>
  <c r="AL118" i="107"/>
  <c r="AL126" i="107"/>
  <c r="AL134" i="107"/>
  <c r="AL142" i="107"/>
  <c r="AL175" i="107"/>
  <c r="AL186" i="107"/>
  <c r="AL207" i="107"/>
  <c r="AL218" i="107"/>
  <c r="AL239" i="107"/>
  <c r="AL250" i="107"/>
  <c r="AL357" i="107"/>
  <c r="AL81" i="107"/>
  <c r="AL89" i="107"/>
  <c r="AL97" i="107"/>
  <c r="AL105" i="107"/>
  <c r="AL113" i="107"/>
  <c r="AL121" i="107"/>
  <c r="AL129" i="107"/>
  <c r="AL137" i="107"/>
  <c r="AL146" i="107"/>
  <c r="AL52" i="107"/>
  <c r="AL60" i="107"/>
  <c r="AL68" i="107"/>
  <c r="AL76" i="107"/>
  <c r="AL84" i="107"/>
  <c r="AL92" i="107"/>
  <c r="AL100" i="107"/>
  <c r="AL108" i="107"/>
  <c r="AL116" i="107"/>
  <c r="AL124" i="107"/>
  <c r="AL132" i="107"/>
  <c r="AL140" i="107"/>
  <c r="AL154" i="107"/>
  <c r="AL159" i="107"/>
  <c r="AL162" i="107"/>
  <c r="AL183" i="107"/>
  <c r="AL194" i="107"/>
  <c r="AL215" i="107"/>
  <c r="AL226" i="107"/>
  <c r="AL247" i="107"/>
  <c r="AL39" i="107"/>
  <c r="AL47" i="107"/>
  <c r="AL55" i="107"/>
  <c r="AL63" i="107"/>
  <c r="AL71" i="107"/>
  <c r="AL79" i="107"/>
  <c r="AL87" i="107"/>
  <c r="AL95" i="107"/>
  <c r="AL103" i="107"/>
  <c r="AL111" i="107"/>
  <c r="AL119" i="107"/>
  <c r="AL127" i="107"/>
  <c r="AL135" i="107"/>
  <c r="AL143" i="107"/>
  <c r="AL147" i="107"/>
  <c r="AL155" i="107"/>
  <c r="AL269" i="107"/>
  <c r="AL157" i="107"/>
  <c r="AL165" i="107"/>
  <c r="AL173" i="107"/>
  <c r="AL181" i="107"/>
  <c r="AL189" i="107"/>
  <c r="AL197" i="107"/>
  <c r="AL205" i="107"/>
  <c r="AL213" i="107"/>
  <c r="AL221" i="107"/>
  <c r="AL229" i="107"/>
  <c r="AL237" i="107"/>
  <c r="AL245" i="107"/>
  <c r="AL253" i="107"/>
  <c r="AL309" i="107"/>
  <c r="AL373" i="107"/>
  <c r="AL152" i="107"/>
  <c r="AL160" i="107"/>
  <c r="AL168" i="107"/>
  <c r="AL176" i="107"/>
  <c r="AL184" i="107"/>
  <c r="AL192" i="107"/>
  <c r="AL200" i="107"/>
  <c r="AL208" i="107"/>
  <c r="AL216" i="107"/>
  <c r="AL224" i="107"/>
  <c r="AL232" i="107"/>
  <c r="AL240" i="107"/>
  <c r="AL248" i="107"/>
  <c r="AL256" i="107"/>
  <c r="AL285" i="107"/>
  <c r="AL349" i="107"/>
  <c r="AL163" i="107"/>
  <c r="AL171" i="107"/>
  <c r="AL179" i="107"/>
  <c r="AL187" i="107"/>
  <c r="AL195" i="107"/>
  <c r="AL203" i="107"/>
  <c r="AL211" i="107"/>
  <c r="AL219" i="107"/>
  <c r="AL227" i="107"/>
  <c r="AL235" i="107"/>
  <c r="AL243" i="107"/>
  <c r="AL251" i="107"/>
  <c r="AL325" i="107"/>
  <c r="AL389" i="107"/>
  <c r="AL150" i="107"/>
  <c r="AL158" i="107"/>
  <c r="AL166" i="107"/>
  <c r="AL174" i="107"/>
  <c r="AL182" i="107"/>
  <c r="AL190" i="107"/>
  <c r="AL198" i="107"/>
  <c r="AL206" i="107"/>
  <c r="AL214" i="107"/>
  <c r="AL222" i="107"/>
  <c r="AL230" i="107"/>
  <c r="AL238" i="107"/>
  <c r="AL246" i="107"/>
  <c r="AL254" i="107"/>
  <c r="AL257" i="107"/>
  <c r="AL301" i="107"/>
  <c r="AL365" i="107"/>
  <c r="AL145" i="107"/>
  <c r="AL153" i="107"/>
  <c r="AL161" i="107"/>
  <c r="AL169" i="107"/>
  <c r="AL177" i="107"/>
  <c r="AL185" i="107"/>
  <c r="AL193" i="107"/>
  <c r="AL201" i="107"/>
  <c r="AL209" i="107"/>
  <c r="AL217" i="107"/>
  <c r="AL225" i="107"/>
  <c r="AL233" i="107"/>
  <c r="AL241" i="107"/>
  <c r="AL249" i="107"/>
  <c r="AL275" i="107"/>
  <c r="AL277" i="107"/>
  <c r="AL341" i="107"/>
  <c r="AL156" i="107"/>
  <c r="AL164" i="107"/>
  <c r="AL172" i="107"/>
  <c r="AL180" i="107"/>
  <c r="AL188" i="107"/>
  <c r="AL196" i="107"/>
  <c r="AL204" i="107"/>
  <c r="AL212" i="107"/>
  <c r="AL220" i="107"/>
  <c r="AL228" i="107"/>
  <c r="AL236" i="107"/>
  <c r="AL244" i="107"/>
  <c r="AL252" i="107"/>
  <c r="AL259" i="107"/>
  <c r="AL267" i="107"/>
  <c r="AL270" i="107"/>
  <c r="AL317" i="107"/>
  <c r="AL381" i="107"/>
  <c r="AL264" i="107"/>
  <c r="AL272" i="107"/>
  <c r="AL280" i="107"/>
  <c r="AL288" i="107"/>
  <c r="AL296" i="107"/>
  <c r="AL304" i="107"/>
  <c r="AL312" i="107"/>
  <c r="AL320" i="107"/>
  <c r="AL328" i="107"/>
  <c r="AL336" i="107"/>
  <c r="AL344" i="107"/>
  <c r="AL352" i="107"/>
  <c r="AL360" i="107"/>
  <c r="AL368" i="107"/>
  <c r="AL376" i="107"/>
  <c r="AL384" i="107"/>
  <c r="AL392" i="107"/>
  <c r="AL400" i="107"/>
  <c r="AL283" i="107"/>
  <c r="AL291" i="107"/>
  <c r="AL299" i="107"/>
  <c r="AL307" i="107"/>
  <c r="AL315" i="107"/>
  <c r="AL323" i="107"/>
  <c r="AL331" i="107"/>
  <c r="AL339" i="107"/>
  <c r="AL347" i="107"/>
  <c r="AL355" i="107"/>
  <c r="AL363" i="107"/>
  <c r="AL371" i="107"/>
  <c r="AL379" i="107"/>
  <c r="AL387" i="107"/>
  <c r="AL395" i="107"/>
  <c r="AL278" i="107"/>
  <c r="AL286" i="107"/>
  <c r="AL294" i="107"/>
  <c r="AL302" i="107"/>
  <c r="AL310" i="107"/>
  <c r="AL318" i="107"/>
  <c r="AL326" i="107"/>
  <c r="AL334" i="107"/>
  <c r="AL342" i="107"/>
  <c r="AL350" i="107"/>
  <c r="AL358" i="107"/>
  <c r="AL366" i="107"/>
  <c r="AL374" i="107"/>
  <c r="AL382" i="107"/>
  <c r="AL390" i="107"/>
  <c r="AL398" i="107"/>
  <c r="AL265" i="107"/>
  <c r="AL273" i="107"/>
  <c r="AL281" i="107"/>
  <c r="AL289" i="107"/>
  <c r="AL297" i="107"/>
  <c r="AL305" i="107"/>
  <c r="AL313" i="107"/>
  <c r="AL321" i="107"/>
  <c r="AL329" i="107"/>
  <c r="AL337" i="107"/>
  <c r="AL345" i="107"/>
  <c r="AL353" i="107"/>
  <c r="AL361" i="107"/>
  <c r="AL369" i="107"/>
  <c r="AL377" i="107"/>
  <c r="AL385" i="107"/>
  <c r="AL393" i="107"/>
  <c r="AL260" i="107"/>
  <c r="AL268" i="107"/>
  <c r="AL276" i="107"/>
  <c r="AL284" i="107"/>
  <c r="AL292" i="107"/>
  <c r="AL300" i="107"/>
  <c r="AL308" i="107"/>
  <c r="AL316" i="107"/>
  <c r="AL324" i="107"/>
  <c r="AL332" i="107"/>
  <c r="AL340" i="107"/>
  <c r="AL348" i="107"/>
  <c r="AL356" i="107"/>
  <c r="AL364" i="107"/>
  <c r="AL372" i="107"/>
  <c r="AL380" i="107"/>
  <c r="AL388" i="107"/>
  <c r="AL396" i="107"/>
  <c r="AL263" i="107"/>
  <c r="AL271" i="107"/>
  <c r="AL279" i="107"/>
  <c r="AL287" i="107"/>
  <c r="AL295" i="107"/>
  <c r="AL303" i="107"/>
  <c r="AL311" i="107"/>
  <c r="AL319" i="107"/>
  <c r="AL327" i="107"/>
  <c r="AL335" i="107"/>
  <c r="AL343" i="107"/>
  <c r="AL351" i="107"/>
  <c r="AL359" i="107"/>
  <c r="AL367" i="107"/>
  <c r="AL375" i="107"/>
  <c r="AL383" i="107"/>
  <c r="AL391" i="107"/>
  <c r="AL399" i="107"/>
  <c r="AL258" i="107"/>
  <c r="AL266" i="107"/>
  <c r="AL274" i="107"/>
  <c r="AL282" i="107"/>
  <c r="AL290" i="107"/>
  <c r="AL298" i="107"/>
  <c r="AL306" i="107"/>
  <c r="AL314" i="107"/>
  <c r="AL322" i="107"/>
  <c r="AL330" i="107"/>
  <c r="AL338" i="107"/>
  <c r="AL346" i="107"/>
  <c r="AL354" i="107"/>
  <c r="AL362" i="107"/>
  <c r="AL370" i="107"/>
  <c r="AL378" i="107"/>
  <c r="AL386" i="107"/>
  <c r="AL394" i="107"/>
  <c r="A9" i="107"/>
  <c r="AQ8" i="107"/>
  <c r="AP7" i="107"/>
  <c r="AQ7" i="107"/>
  <c r="AG3" i="103"/>
  <c r="AI2" i="8"/>
  <c r="H2" i="8"/>
  <c r="AB2" i="8"/>
  <c r="AA2" i="8"/>
  <c r="Z2" i="8"/>
  <c r="V2" i="8"/>
  <c r="D2" i="8"/>
  <c r="U2" i="8"/>
  <c r="T2" i="8"/>
  <c r="C2" i="8"/>
  <c r="O2" i="8"/>
  <c r="B2" i="8"/>
  <c r="AG1037" i="8"/>
  <c r="AE1037" i="8"/>
  <c r="N1037" i="8"/>
  <c r="AG1036" i="8"/>
  <c r="AE1036" i="8"/>
  <c r="N1036" i="8"/>
  <c r="AG1035" i="8"/>
  <c r="AE1035" i="8"/>
  <c r="N1035" i="8"/>
  <c r="AG1034" i="8"/>
  <c r="AE1034" i="8"/>
  <c r="N1034" i="8"/>
  <c r="AG1033" i="8"/>
  <c r="AE1033" i="8"/>
  <c r="N1033" i="8"/>
  <c r="AG1032" i="8"/>
  <c r="AE1032" i="8"/>
  <c r="N1032" i="8"/>
  <c r="AG1031" i="8"/>
  <c r="AE1031" i="8"/>
  <c r="N1031" i="8"/>
  <c r="AG1030" i="8"/>
  <c r="AE1030" i="8"/>
  <c r="N1030" i="8"/>
  <c r="AG1029" i="8"/>
  <c r="AE1029" i="8"/>
  <c r="N1029" i="8"/>
  <c r="AG1028" i="8"/>
  <c r="AE1028" i="8"/>
  <c r="N1028" i="8"/>
  <c r="AG1027" i="8"/>
  <c r="AE1027" i="8"/>
  <c r="N1027" i="8"/>
  <c r="AG1026" i="8"/>
  <c r="AE1026" i="8"/>
  <c r="N1026" i="8"/>
  <c r="AG1025" i="8"/>
  <c r="AE1025" i="8"/>
  <c r="N1025" i="8"/>
  <c r="AG1024" i="8"/>
  <c r="AE1024" i="8"/>
  <c r="N1024" i="8"/>
  <c r="AG1023" i="8"/>
  <c r="AE1023" i="8"/>
  <c r="N1023" i="8"/>
  <c r="AG1022" i="8"/>
  <c r="AE1022" i="8"/>
  <c r="N1022" i="8"/>
  <c r="AG1021" i="8"/>
  <c r="AE1021" i="8"/>
  <c r="N1021" i="8"/>
  <c r="AG1020" i="8"/>
  <c r="AE1020" i="8"/>
  <c r="N1020" i="8"/>
  <c r="AG1019" i="8"/>
  <c r="AE1019" i="8"/>
  <c r="N1019" i="8"/>
  <c r="AG1018" i="8"/>
  <c r="AE1018" i="8"/>
  <c r="N1018" i="8"/>
  <c r="AG1017" i="8"/>
  <c r="AE1017" i="8"/>
  <c r="N1017" i="8"/>
  <c r="AG1016" i="8"/>
  <c r="AE1016" i="8"/>
  <c r="N1016" i="8"/>
  <c r="AG1015" i="8"/>
  <c r="AE1015" i="8"/>
  <c r="N1015" i="8"/>
  <c r="AG1014" i="8"/>
  <c r="AE1014" i="8"/>
  <c r="N1014" i="8"/>
  <c r="AG1013" i="8"/>
  <c r="AE1013" i="8"/>
  <c r="N1013" i="8"/>
  <c r="AG1012" i="8"/>
  <c r="AE1012" i="8"/>
  <c r="N1012" i="8"/>
  <c r="AG1011" i="8"/>
  <c r="AE1011" i="8"/>
  <c r="N1011" i="8"/>
  <c r="AG1010" i="8"/>
  <c r="AE1010" i="8"/>
  <c r="N1010" i="8"/>
  <c r="AG1009" i="8"/>
  <c r="AE1009" i="8"/>
  <c r="N1009" i="8"/>
  <c r="AG1008" i="8"/>
  <c r="AE1008" i="8"/>
  <c r="N1008" i="8"/>
  <c r="AG1007" i="8"/>
  <c r="AE1007" i="8"/>
  <c r="N1007" i="8"/>
  <c r="AG1006" i="8"/>
  <c r="AE1006" i="8"/>
  <c r="N1006" i="8"/>
  <c r="AG1005" i="8"/>
  <c r="AE1005" i="8"/>
  <c r="N1005" i="8"/>
  <c r="AG1004" i="8"/>
  <c r="AE1004" i="8"/>
  <c r="N1004" i="8"/>
  <c r="AG1003" i="8"/>
  <c r="AE1003" i="8"/>
  <c r="N1003" i="8"/>
  <c r="AG1002" i="8"/>
  <c r="AE1002" i="8"/>
  <c r="N1002" i="8"/>
  <c r="AG1001" i="8"/>
  <c r="AE1001" i="8"/>
  <c r="N1001" i="8"/>
  <c r="AG1000" i="8"/>
  <c r="AE1000" i="8"/>
  <c r="N1000" i="8"/>
  <c r="AG999" i="8"/>
  <c r="AE999" i="8"/>
  <c r="N999" i="8"/>
  <c r="AG998" i="8"/>
  <c r="AE998" i="8"/>
  <c r="N998" i="8"/>
  <c r="AG997" i="8"/>
  <c r="AE997" i="8"/>
  <c r="N997" i="8"/>
  <c r="AG996" i="8"/>
  <c r="AE996" i="8"/>
  <c r="N996" i="8"/>
  <c r="AG995" i="8"/>
  <c r="AE995" i="8"/>
  <c r="N995" i="8"/>
  <c r="AG994" i="8"/>
  <c r="AE994" i="8"/>
  <c r="N994" i="8"/>
  <c r="AG993" i="8"/>
  <c r="AE993" i="8"/>
  <c r="N993" i="8"/>
  <c r="AG992" i="8"/>
  <c r="AE992" i="8"/>
  <c r="N992" i="8"/>
  <c r="AG991" i="8"/>
  <c r="AE991" i="8"/>
  <c r="N991" i="8"/>
  <c r="AG990" i="8"/>
  <c r="AE990" i="8"/>
  <c r="N990" i="8"/>
  <c r="AG989" i="8"/>
  <c r="AE989" i="8"/>
  <c r="N989" i="8"/>
  <c r="AG988" i="8"/>
  <c r="AE988" i="8"/>
  <c r="N988" i="8"/>
  <c r="AG987" i="8"/>
  <c r="AE987" i="8"/>
  <c r="N987" i="8"/>
  <c r="AG986" i="8"/>
  <c r="AE986" i="8"/>
  <c r="N986" i="8"/>
  <c r="AG985" i="8"/>
  <c r="AE985" i="8"/>
  <c r="N985" i="8"/>
  <c r="AG984" i="8"/>
  <c r="AE984" i="8"/>
  <c r="N984" i="8"/>
  <c r="AG983" i="8"/>
  <c r="AE983" i="8"/>
  <c r="N983" i="8"/>
  <c r="AG982" i="8"/>
  <c r="AE982" i="8"/>
  <c r="N982" i="8"/>
  <c r="AG981" i="8"/>
  <c r="AE981" i="8"/>
  <c r="N981" i="8"/>
  <c r="AG980" i="8"/>
  <c r="AE980" i="8"/>
  <c r="N980" i="8"/>
  <c r="AG979" i="8"/>
  <c r="AE979" i="8"/>
  <c r="N979" i="8"/>
  <c r="AG978" i="8"/>
  <c r="AE978" i="8"/>
  <c r="N978" i="8"/>
  <c r="AG977" i="8"/>
  <c r="AE977" i="8"/>
  <c r="N977" i="8"/>
  <c r="AG976" i="8"/>
  <c r="AE976" i="8"/>
  <c r="N976" i="8"/>
  <c r="AG975" i="8"/>
  <c r="AE975" i="8"/>
  <c r="N975" i="8"/>
  <c r="AG974" i="8"/>
  <c r="AE974" i="8"/>
  <c r="N974" i="8"/>
  <c r="AG973" i="8"/>
  <c r="AE973" i="8"/>
  <c r="N973" i="8"/>
  <c r="AG972" i="8"/>
  <c r="AE972" i="8"/>
  <c r="N972" i="8"/>
  <c r="AG971" i="8"/>
  <c r="AE971" i="8"/>
  <c r="N971" i="8"/>
  <c r="AG970" i="8"/>
  <c r="AE970" i="8"/>
  <c r="N970" i="8"/>
  <c r="AG969" i="8"/>
  <c r="AE969" i="8"/>
  <c r="N969" i="8"/>
  <c r="AG968" i="8"/>
  <c r="AE968" i="8"/>
  <c r="N968" i="8"/>
  <c r="AG967" i="8"/>
  <c r="AE967" i="8"/>
  <c r="N967" i="8"/>
  <c r="AG966" i="8"/>
  <c r="AE966" i="8"/>
  <c r="N966" i="8"/>
  <c r="AG965" i="8"/>
  <c r="AE965" i="8"/>
  <c r="N965" i="8"/>
  <c r="AG964" i="8"/>
  <c r="AE964" i="8"/>
  <c r="N964" i="8"/>
  <c r="AG963" i="8"/>
  <c r="AE963" i="8"/>
  <c r="N963" i="8"/>
  <c r="AG962" i="8"/>
  <c r="AE962" i="8"/>
  <c r="N962" i="8"/>
  <c r="AG961" i="8"/>
  <c r="AE961" i="8"/>
  <c r="N961" i="8"/>
  <c r="AG960" i="8"/>
  <c r="AE960" i="8"/>
  <c r="N960" i="8"/>
  <c r="AG959" i="8"/>
  <c r="AE959" i="8"/>
  <c r="N959" i="8"/>
  <c r="AG958" i="8"/>
  <c r="AE958" i="8"/>
  <c r="N958" i="8"/>
  <c r="AG957" i="8"/>
  <c r="AE957" i="8"/>
  <c r="N957" i="8"/>
  <c r="AG956" i="8"/>
  <c r="AE956" i="8"/>
  <c r="N956" i="8"/>
  <c r="AG955" i="8"/>
  <c r="AE955" i="8"/>
  <c r="N955" i="8"/>
  <c r="AG954" i="8"/>
  <c r="AE954" i="8"/>
  <c r="N954" i="8"/>
  <c r="AG953" i="8"/>
  <c r="AE953" i="8"/>
  <c r="N953" i="8"/>
  <c r="AG952" i="8"/>
  <c r="AE952" i="8"/>
  <c r="N952" i="8"/>
  <c r="AG951" i="8"/>
  <c r="AE951" i="8"/>
  <c r="N951" i="8"/>
  <c r="AG950" i="8"/>
  <c r="AE950" i="8"/>
  <c r="N950" i="8"/>
  <c r="AG949" i="8"/>
  <c r="AE949" i="8"/>
  <c r="N949" i="8"/>
  <c r="AG948" i="8"/>
  <c r="AE948" i="8"/>
  <c r="N948" i="8"/>
  <c r="AG947" i="8"/>
  <c r="AE947" i="8"/>
  <c r="N947" i="8"/>
  <c r="AG946" i="8"/>
  <c r="AE946" i="8"/>
  <c r="N946" i="8"/>
  <c r="AG945" i="8"/>
  <c r="AE945" i="8"/>
  <c r="N945" i="8"/>
  <c r="AG944" i="8"/>
  <c r="AE944" i="8"/>
  <c r="N944" i="8"/>
  <c r="AG943" i="8"/>
  <c r="AE943" i="8"/>
  <c r="N943" i="8"/>
  <c r="AG942" i="8"/>
  <c r="AE942" i="8"/>
  <c r="N942" i="8"/>
  <c r="AG941" i="8"/>
  <c r="AE941" i="8"/>
  <c r="N941" i="8"/>
  <c r="AG940" i="8"/>
  <c r="AE940" i="8"/>
  <c r="N940" i="8"/>
  <c r="AG939" i="8"/>
  <c r="AE939" i="8"/>
  <c r="N939" i="8"/>
  <c r="AG938" i="8"/>
  <c r="AE938" i="8"/>
  <c r="N938" i="8"/>
  <c r="AG937" i="8"/>
  <c r="AE937" i="8"/>
  <c r="N937" i="8"/>
  <c r="AG936" i="8"/>
  <c r="AE936" i="8"/>
  <c r="N936" i="8"/>
  <c r="AG935" i="8"/>
  <c r="AE935" i="8"/>
  <c r="N935" i="8"/>
  <c r="AG934" i="8"/>
  <c r="AE934" i="8"/>
  <c r="N934" i="8"/>
  <c r="AG933" i="8"/>
  <c r="AE933" i="8"/>
  <c r="N933" i="8"/>
  <c r="AG932" i="8"/>
  <c r="AE932" i="8"/>
  <c r="N932" i="8"/>
  <c r="AG931" i="8"/>
  <c r="AE931" i="8"/>
  <c r="N931" i="8"/>
  <c r="AG930" i="8"/>
  <c r="AE930" i="8"/>
  <c r="N930" i="8"/>
  <c r="AG929" i="8"/>
  <c r="AE929" i="8"/>
  <c r="N929" i="8"/>
  <c r="AG928" i="8"/>
  <c r="AE928" i="8"/>
  <c r="N928" i="8"/>
  <c r="AG927" i="8"/>
  <c r="AE927" i="8"/>
  <c r="N927" i="8"/>
  <c r="AG926" i="8"/>
  <c r="AE926" i="8"/>
  <c r="N926" i="8"/>
  <c r="AG925" i="8"/>
  <c r="AE925" i="8"/>
  <c r="N925" i="8"/>
  <c r="AG924" i="8"/>
  <c r="AE924" i="8"/>
  <c r="N924" i="8"/>
  <c r="AG923" i="8"/>
  <c r="AE923" i="8"/>
  <c r="N923" i="8"/>
  <c r="AG922" i="8"/>
  <c r="AE922" i="8"/>
  <c r="N922" i="8"/>
  <c r="AG921" i="8"/>
  <c r="AE921" i="8"/>
  <c r="N921" i="8"/>
  <c r="AG920" i="8"/>
  <c r="AE920" i="8"/>
  <c r="N920" i="8"/>
  <c r="AG919" i="8"/>
  <c r="AE919" i="8"/>
  <c r="N919" i="8"/>
  <c r="AG918" i="8"/>
  <c r="AE918" i="8"/>
  <c r="N918" i="8"/>
  <c r="AG917" i="8"/>
  <c r="AE917" i="8"/>
  <c r="N917" i="8"/>
  <c r="AG916" i="8"/>
  <c r="AE916" i="8"/>
  <c r="N916" i="8"/>
  <c r="AG915" i="8"/>
  <c r="AE915" i="8"/>
  <c r="N915" i="8"/>
  <c r="AG914" i="8"/>
  <c r="AE914" i="8"/>
  <c r="N914" i="8"/>
  <c r="AG913" i="8"/>
  <c r="AE913" i="8"/>
  <c r="N913" i="8"/>
  <c r="AG912" i="8"/>
  <c r="AE912" i="8"/>
  <c r="N912" i="8"/>
  <c r="AG911" i="8"/>
  <c r="AE911" i="8"/>
  <c r="N911" i="8"/>
  <c r="AG910" i="8"/>
  <c r="AE910" i="8"/>
  <c r="N910" i="8"/>
  <c r="AG909" i="8"/>
  <c r="AE909" i="8"/>
  <c r="N909" i="8"/>
  <c r="AG908" i="8"/>
  <c r="AE908" i="8"/>
  <c r="N908" i="8"/>
  <c r="AG907" i="8"/>
  <c r="AE907" i="8"/>
  <c r="N907" i="8"/>
  <c r="AG906" i="8"/>
  <c r="AE906" i="8"/>
  <c r="N906" i="8"/>
  <c r="AG905" i="8"/>
  <c r="AE905" i="8"/>
  <c r="N905" i="8"/>
  <c r="AG904" i="8"/>
  <c r="AE904" i="8"/>
  <c r="N904" i="8"/>
  <c r="AG903" i="8"/>
  <c r="AE903" i="8"/>
  <c r="N903" i="8"/>
  <c r="AG902" i="8"/>
  <c r="AE902" i="8"/>
  <c r="N902" i="8"/>
  <c r="AG901" i="8"/>
  <c r="AE901" i="8"/>
  <c r="N901" i="8"/>
  <c r="AG900" i="8"/>
  <c r="AE900" i="8"/>
  <c r="N900" i="8"/>
  <c r="AG899" i="8"/>
  <c r="AE899" i="8"/>
  <c r="N899" i="8"/>
  <c r="AG898" i="8"/>
  <c r="AE898" i="8"/>
  <c r="N898" i="8"/>
  <c r="AG897" i="8"/>
  <c r="AE897" i="8"/>
  <c r="N897" i="8"/>
  <c r="AG896" i="8"/>
  <c r="AE896" i="8"/>
  <c r="N896" i="8"/>
  <c r="AG895" i="8"/>
  <c r="AE895" i="8"/>
  <c r="N895" i="8"/>
  <c r="AG894" i="8"/>
  <c r="AE894" i="8"/>
  <c r="N894" i="8"/>
  <c r="AG893" i="8"/>
  <c r="AE893" i="8"/>
  <c r="N893" i="8"/>
  <c r="AG892" i="8"/>
  <c r="AE892" i="8"/>
  <c r="N892" i="8"/>
  <c r="AG891" i="8"/>
  <c r="AE891" i="8"/>
  <c r="N891" i="8"/>
  <c r="AG890" i="8"/>
  <c r="AE890" i="8"/>
  <c r="N890" i="8"/>
  <c r="AG889" i="8"/>
  <c r="AE889" i="8"/>
  <c r="N889" i="8"/>
  <c r="AG888" i="8"/>
  <c r="AE888" i="8"/>
  <c r="N888" i="8"/>
  <c r="AG887" i="8"/>
  <c r="AE887" i="8"/>
  <c r="N887" i="8"/>
  <c r="AG886" i="8"/>
  <c r="AE886" i="8"/>
  <c r="N886" i="8"/>
  <c r="AG885" i="8"/>
  <c r="AE885" i="8"/>
  <c r="N885" i="8"/>
  <c r="AG884" i="8"/>
  <c r="AE884" i="8"/>
  <c r="N884" i="8"/>
  <c r="AG883" i="8"/>
  <c r="AE883" i="8"/>
  <c r="N883" i="8"/>
  <c r="AG882" i="8"/>
  <c r="AE882" i="8"/>
  <c r="N882" i="8"/>
  <c r="AG881" i="8"/>
  <c r="AE881" i="8"/>
  <c r="N881" i="8"/>
  <c r="AG880" i="8"/>
  <c r="AE880" i="8"/>
  <c r="N880" i="8"/>
  <c r="AG879" i="8"/>
  <c r="AE879" i="8"/>
  <c r="N879" i="8"/>
  <c r="AG878" i="8"/>
  <c r="AE878" i="8"/>
  <c r="N878" i="8"/>
  <c r="AG877" i="8"/>
  <c r="AE877" i="8"/>
  <c r="N877" i="8"/>
  <c r="AG876" i="8"/>
  <c r="AE876" i="8"/>
  <c r="N876" i="8"/>
  <c r="AG875" i="8"/>
  <c r="AE875" i="8"/>
  <c r="N875" i="8"/>
  <c r="AG874" i="8"/>
  <c r="AE874" i="8"/>
  <c r="N874" i="8"/>
  <c r="AG873" i="8"/>
  <c r="AE873" i="8"/>
  <c r="N873" i="8"/>
  <c r="AG872" i="8"/>
  <c r="AE872" i="8"/>
  <c r="N872" i="8"/>
  <c r="AG871" i="8"/>
  <c r="AE871" i="8"/>
  <c r="N871" i="8"/>
  <c r="AG870" i="8"/>
  <c r="AE870" i="8"/>
  <c r="N870" i="8"/>
  <c r="AG869" i="8"/>
  <c r="AE869" i="8"/>
  <c r="N869" i="8"/>
  <c r="AG868" i="8"/>
  <c r="AE868" i="8"/>
  <c r="N868" i="8"/>
  <c r="AG867" i="8"/>
  <c r="AE867" i="8"/>
  <c r="N867" i="8"/>
  <c r="AG866" i="8"/>
  <c r="AE866" i="8"/>
  <c r="N866" i="8"/>
  <c r="AG865" i="8"/>
  <c r="AE865" i="8"/>
  <c r="N865" i="8"/>
  <c r="AG864" i="8"/>
  <c r="AE864" i="8"/>
  <c r="N864" i="8"/>
  <c r="AG863" i="8"/>
  <c r="AE863" i="8"/>
  <c r="N863" i="8"/>
  <c r="AG862" i="8"/>
  <c r="AE862" i="8"/>
  <c r="N862" i="8"/>
  <c r="AG861" i="8"/>
  <c r="AE861" i="8"/>
  <c r="N861" i="8"/>
  <c r="AG860" i="8"/>
  <c r="AE860" i="8"/>
  <c r="N860" i="8"/>
  <c r="AG859" i="8"/>
  <c r="AE859" i="8"/>
  <c r="N859" i="8"/>
  <c r="AG858" i="8"/>
  <c r="AE858" i="8"/>
  <c r="N858" i="8"/>
  <c r="AG857" i="8"/>
  <c r="AE857" i="8"/>
  <c r="N857" i="8"/>
  <c r="AG856" i="8"/>
  <c r="AE856" i="8"/>
  <c r="N856" i="8"/>
  <c r="AG855" i="8"/>
  <c r="AE855" i="8"/>
  <c r="N855" i="8"/>
  <c r="AG854" i="8"/>
  <c r="AE854" i="8"/>
  <c r="N854" i="8"/>
  <c r="AG853" i="8"/>
  <c r="AE853" i="8"/>
  <c r="N853" i="8"/>
  <c r="AG852" i="8"/>
  <c r="AE852" i="8"/>
  <c r="N852" i="8"/>
  <c r="AG851" i="8"/>
  <c r="AE851" i="8"/>
  <c r="N851" i="8"/>
  <c r="AG850" i="8"/>
  <c r="AE850" i="8"/>
  <c r="N850" i="8"/>
  <c r="AG849" i="8"/>
  <c r="AE849" i="8"/>
  <c r="N849" i="8"/>
  <c r="AG848" i="8"/>
  <c r="AE848" i="8"/>
  <c r="N848" i="8"/>
  <c r="AG847" i="8"/>
  <c r="AE847" i="8"/>
  <c r="N847" i="8"/>
  <c r="AG846" i="8"/>
  <c r="AE846" i="8"/>
  <c r="N846" i="8"/>
  <c r="AG845" i="8"/>
  <c r="AE845" i="8"/>
  <c r="N845" i="8"/>
  <c r="AG844" i="8"/>
  <c r="AE844" i="8"/>
  <c r="N844" i="8"/>
  <c r="AG843" i="8"/>
  <c r="AE843" i="8"/>
  <c r="N843" i="8"/>
  <c r="AG842" i="8"/>
  <c r="AE842" i="8"/>
  <c r="N842" i="8"/>
  <c r="AG841" i="8"/>
  <c r="AE841" i="8"/>
  <c r="N841" i="8"/>
  <c r="AG840" i="8"/>
  <c r="AE840" i="8"/>
  <c r="N840" i="8"/>
  <c r="AG839" i="8"/>
  <c r="AE839" i="8"/>
  <c r="N839" i="8"/>
  <c r="AG838" i="8"/>
  <c r="AE838" i="8"/>
  <c r="N838" i="8"/>
  <c r="AG837" i="8"/>
  <c r="AE837" i="8"/>
  <c r="N837" i="8"/>
  <c r="AG836" i="8"/>
  <c r="AE836" i="8"/>
  <c r="N836" i="8"/>
  <c r="AG835" i="8"/>
  <c r="AE835" i="8"/>
  <c r="N835" i="8"/>
  <c r="AG834" i="8"/>
  <c r="AE834" i="8"/>
  <c r="N834" i="8"/>
  <c r="AG833" i="8"/>
  <c r="AE833" i="8"/>
  <c r="N833" i="8"/>
  <c r="AG832" i="8"/>
  <c r="AE832" i="8"/>
  <c r="N832" i="8"/>
  <c r="AG831" i="8"/>
  <c r="AE831" i="8"/>
  <c r="N831" i="8"/>
  <c r="AG830" i="8"/>
  <c r="AE830" i="8"/>
  <c r="N830" i="8"/>
  <c r="AG829" i="8"/>
  <c r="AE829" i="8"/>
  <c r="N829" i="8"/>
  <c r="AG828" i="8"/>
  <c r="AE828" i="8"/>
  <c r="N828" i="8"/>
  <c r="AG827" i="8"/>
  <c r="AE827" i="8"/>
  <c r="N827" i="8"/>
  <c r="AG826" i="8"/>
  <c r="AE826" i="8"/>
  <c r="N826" i="8"/>
  <c r="AG825" i="8"/>
  <c r="AE825" i="8"/>
  <c r="N825" i="8"/>
  <c r="AG824" i="8"/>
  <c r="AE824" i="8"/>
  <c r="N824" i="8"/>
  <c r="AG823" i="8"/>
  <c r="AE823" i="8"/>
  <c r="N823" i="8"/>
  <c r="AG822" i="8"/>
  <c r="AE822" i="8"/>
  <c r="N822" i="8"/>
  <c r="AG821" i="8"/>
  <c r="AE821" i="8"/>
  <c r="N821" i="8"/>
  <c r="AG820" i="8"/>
  <c r="AE820" i="8"/>
  <c r="N820" i="8"/>
  <c r="AG819" i="8"/>
  <c r="AE819" i="8"/>
  <c r="N819" i="8"/>
  <c r="AG818" i="8"/>
  <c r="AE818" i="8"/>
  <c r="N818" i="8"/>
  <c r="AG817" i="8"/>
  <c r="AE817" i="8"/>
  <c r="N817" i="8"/>
  <c r="AG816" i="8"/>
  <c r="AE816" i="8"/>
  <c r="N816" i="8"/>
  <c r="AG815" i="8"/>
  <c r="AE815" i="8"/>
  <c r="N815" i="8"/>
  <c r="AG814" i="8"/>
  <c r="AE814" i="8"/>
  <c r="N814" i="8"/>
  <c r="AG813" i="8"/>
  <c r="AE813" i="8"/>
  <c r="N813" i="8"/>
  <c r="AG812" i="8"/>
  <c r="AE812" i="8"/>
  <c r="N812" i="8"/>
  <c r="AG811" i="8"/>
  <c r="AE811" i="8"/>
  <c r="N811" i="8"/>
  <c r="AG810" i="8"/>
  <c r="AE810" i="8"/>
  <c r="N810" i="8"/>
  <c r="AG809" i="8"/>
  <c r="AE809" i="8"/>
  <c r="N809" i="8"/>
  <c r="AG808" i="8"/>
  <c r="AE808" i="8"/>
  <c r="N808" i="8"/>
  <c r="AG807" i="8"/>
  <c r="AE807" i="8"/>
  <c r="N807" i="8"/>
  <c r="AG806" i="8"/>
  <c r="AE806" i="8"/>
  <c r="N806" i="8"/>
  <c r="AG805" i="8"/>
  <c r="AE805" i="8"/>
  <c r="N805" i="8"/>
  <c r="AG804" i="8"/>
  <c r="AE804" i="8"/>
  <c r="N804" i="8"/>
  <c r="AG803" i="8"/>
  <c r="AE803" i="8"/>
  <c r="N803" i="8"/>
  <c r="AG802" i="8"/>
  <c r="AE802" i="8"/>
  <c r="N802" i="8"/>
  <c r="AG801" i="8"/>
  <c r="AE801" i="8"/>
  <c r="N801" i="8"/>
  <c r="AG800" i="8"/>
  <c r="AE800" i="8"/>
  <c r="N800" i="8"/>
  <c r="AG799" i="8"/>
  <c r="AE799" i="8"/>
  <c r="N799" i="8"/>
  <c r="AG798" i="8"/>
  <c r="AE798" i="8"/>
  <c r="N798" i="8"/>
  <c r="AG797" i="8"/>
  <c r="AE797" i="8"/>
  <c r="N797" i="8"/>
  <c r="AG796" i="8"/>
  <c r="AE796" i="8"/>
  <c r="N796" i="8"/>
  <c r="AG795" i="8"/>
  <c r="AE795" i="8"/>
  <c r="N795" i="8"/>
  <c r="AG794" i="8"/>
  <c r="AE794" i="8"/>
  <c r="N794" i="8"/>
  <c r="AG793" i="8"/>
  <c r="AE793" i="8"/>
  <c r="N793" i="8"/>
  <c r="AG792" i="8"/>
  <c r="AE792" i="8"/>
  <c r="N792" i="8"/>
  <c r="AG791" i="8"/>
  <c r="AE791" i="8"/>
  <c r="N791" i="8"/>
  <c r="AG790" i="8"/>
  <c r="AE790" i="8"/>
  <c r="N790" i="8"/>
  <c r="AG789" i="8"/>
  <c r="AE789" i="8"/>
  <c r="N789" i="8"/>
  <c r="AG788" i="8"/>
  <c r="AE788" i="8"/>
  <c r="N788" i="8"/>
  <c r="AG787" i="8"/>
  <c r="AE787" i="8"/>
  <c r="N787" i="8"/>
  <c r="AG786" i="8"/>
  <c r="AE786" i="8"/>
  <c r="N786" i="8"/>
  <c r="AG785" i="8"/>
  <c r="AE785" i="8"/>
  <c r="N785" i="8"/>
  <c r="AG784" i="8"/>
  <c r="AE784" i="8"/>
  <c r="N784" i="8"/>
  <c r="AG783" i="8"/>
  <c r="AE783" i="8"/>
  <c r="N783" i="8"/>
  <c r="AG782" i="8"/>
  <c r="AE782" i="8"/>
  <c r="N782" i="8"/>
  <c r="AG781" i="8"/>
  <c r="AE781" i="8"/>
  <c r="N781" i="8"/>
  <c r="AG780" i="8"/>
  <c r="AE780" i="8"/>
  <c r="N780" i="8"/>
  <c r="AG779" i="8"/>
  <c r="AE779" i="8"/>
  <c r="N779" i="8"/>
  <c r="AG778" i="8"/>
  <c r="AE778" i="8"/>
  <c r="N778" i="8"/>
  <c r="AG777" i="8"/>
  <c r="AE777" i="8"/>
  <c r="N777" i="8"/>
  <c r="AG776" i="8"/>
  <c r="AE776" i="8"/>
  <c r="N776" i="8"/>
  <c r="AG775" i="8"/>
  <c r="AE775" i="8"/>
  <c r="N775" i="8"/>
  <c r="AG774" i="8"/>
  <c r="AE774" i="8"/>
  <c r="N774" i="8"/>
  <c r="AG773" i="8"/>
  <c r="AE773" i="8"/>
  <c r="N773" i="8"/>
  <c r="AG772" i="8"/>
  <c r="AE772" i="8"/>
  <c r="N772" i="8"/>
  <c r="AG771" i="8"/>
  <c r="AE771" i="8"/>
  <c r="N771" i="8"/>
  <c r="AG770" i="8"/>
  <c r="AE770" i="8"/>
  <c r="N770" i="8"/>
  <c r="AG769" i="8"/>
  <c r="AE769" i="8"/>
  <c r="N769" i="8"/>
  <c r="AG768" i="8"/>
  <c r="AE768" i="8"/>
  <c r="N768" i="8"/>
  <c r="AG767" i="8"/>
  <c r="AE767" i="8"/>
  <c r="N767" i="8"/>
  <c r="AG766" i="8"/>
  <c r="AE766" i="8"/>
  <c r="N766" i="8"/>
  <c r="AG765" i="8"/>
  <c r="AE765" i="8"/>
  <c r="N765" i="8"/>
  <c r="AG764" i="8"/>
  <c r="AE764" i="8"/>
  <c r="N764" i="8"/>
  <c r="AG763" i="8"/>
  <c r="AE763" i="8"/>
  <c r="N763" i="8"/>
  <c r="AG762" i="8"/>
  <c r="AE762" i="8"/>
  <c r="N762" i="8"/>
  <c r="AG761" i="8"/>
  <c r="AE761" i="8"/>
  <c r="N761" i="8"/>
  <c r="AG760" i="8"/>
  <c r="AE760" i="8"/>
  <c r="N760" i="8"/>
  <c r="AG759" i="8"/>
  <c r="AE759" i="8"/>
  <c r="N759" i="8"/>
  <c r="AG758" i="8"/>
  <c r="AE758" i="8"/>
  <c r="N758" i="8"/>
  <c r="AG757" i="8"/>
  <c r="AE757" i="8"/>
  <c r="N757" i="8"/>
  <c r="AG756" i="8"/>
  <c r="AE756" i="8"/>
  <c r="N756" i="8"/>
  <c r="AG755" i="8"/>
  <c r="AE755" i="8"/>
  <c r="N755" i="8"/>
  <c r="AG754" i="8"/>
  <c r="AE754" i="8"/>
  <c r="N754" i="8"/>
  <c r="AG753" i="8"/>
  <c r="AE753" i="8"/>
  <c r="N753" i="8"/>
  <c r="AG752" i="8"/>
  <c r="AE752" i="8"/>
  <c r="N752" i="8"/>
  <c r="AG751" i="8"/>
  <c r="AE751" i="8"/>
  <c r="N751" i="8"/>
  <c r="AG750" i="8"/>
  <c r="AE750" i="8"/>
  <c r="N750" i="8"/>
  <c r="AG749" i="8"/>
  <c r="AE749" i="8"/>
  <c r="N749" i="8"/>
  <c r="AG748" i="8"/>
  <c r="AE748" i="8"/>
  <c r="N748" i="8"/>
  <c r="AG747" i="8"/>
  <c r="AE747" i="8"/>
  <c r="N747" i="8"/>
  <c r="AG746" i="8"/>
  <c r="AE746" i="8"/>
  <c r="N746" i="8"/>
  <c r="AG745" i="8"/>
  <c r="AE745" i="8"/>
  <c r="N745" i="8"/>
  <c r="AG744" i="8"/>
  <c r="AE744" i="8"/>
  <c r="N744" i="8"/>
  <c r="AG743" i="8"/>
  <c r="AE743" i="8"/>
  <c r="N743" i="8"/>
  <c r="AG742" i="8"/>
  <c r="AE742" i="8"/>
  <c r="N742" i="8"/>
  <c r="AG741" i="8"/>
  <c r="AE741" i="8"/>
  <c r="N741" i="8"/>
  <c r="AG740" i="8"/>
  <c r="AE740" i="8"/>
  <c r="N740" i="8"/>
  <c r="AG739" i="8"/>
  <c r="AE739" i="8"/>
  <c r="N739" i="8"/>
  <c r="AG738" i="8"/>
  <c r="AE738" i="8"/>
  <c r="N738" i="8"/>
  <c r="AG737" i="8"/>
  <c r="AE737" i="8"/>
  <c r="N737" i="8"/>
  <c r="AG736" i="8"/>
  <c r="AE736" i="8"/>
  <c r="N736" i="8"/>
  <c r="AG735" i="8"/>
  <c r="AE735" i="8"/>
  <c r="N735" i="8"/>
  <c r="AG734" i="8"/>
  <c r="AE734" i="8"/>
  <c r="N734" i="8"/>
  <c r="AG733" i="8"/>
  <c r="AE733" i="8"/>
  <c r="N733" i="8"/>
  <c r="AG732" i="8"/>
  <c r="AE732" i="8"/>
  <c r="N732" i="8"/>
  <c r="AG731" i="8"/>
  <c r="AE731" i="8"/>
  <c r="N731" i="8"/>
  <c r="AG730" i="8"/>
  <c r="AE730" i="8"/>
  <c r="N730" i="8"/>
  <c r="AG729" i="8"/>
  <c r="AE729" i="8"/>
  <c r="N729" i="8"/>
  <c r="AG728" i="8"/>
  <c r="AE728" i="8"/>
  <c r="N728" i="8"/>
  <c r="AG727" i="8"/>
  <c r="AE727" i="8"/>
  <c r="N727" i="8"/>
  <c r="AG726" i="8"/>
  <c r="AE726" i="8"/>
  <c r="N726" i="8"/>
  <c r="AG725" i="8"/>
  <c r="AE725" i="8"/>
  <c r="N725" i="8"/>
  <c r="AG724" i="8"/>
  <c r="AE724" i="8"/>
  <c r="N724" i="8"/>
  <c r="AG723" i="8"/>
  <c r="AE723" i="8"/>
  <c r="N723" i="8"/>
  <c r="AG722" i="8"/>
  <c r="AE722" i="8"/>
  <c r="N722" i="8"/>
  <c r="AG721" i="8"/>
  <c r="AE721" i="8"/>
  <c r="N721" i="8"/>
  <c r="AG720" i="8"/>
  <c r="AE720" i="8"/>
  <c r="N720" i="8"/>
  <c r="AG719" i="8"/>
  <c r="AE719" i="8"/>
  <c r="N719" i="8"/>
  <c r="AG718" i="8"/>
  <c r="AE718" i="8"/>
  <c r="N718" i="8"/>
  <c r="AG717" i="8"/>
  <c r="AE717" i="8"/>
  <c r="N717" i="8"/>
  <c r="AG716" i="8"/>
  <c r="AE716" i="8"/>
  <c r="N716" i="8"/>
  <c r="AG715" i="8"/>
  <c r="AE715" i="8"/>
  <c r="N715" i="8"/>
  <c r="AG714" i="8"/>
  <c r="AE714" i="8"/>
  <c r="N714" i="8"/>
  <c r="AG713" i="8"/>
  <c r="AE713" i="8"/>
  <c r="N713" i="8"/>
  <c r="AG712" i="8"/>
  <c r="AE712" i="8"/>
  <c r="N712" i="8"/>
  <c r="AG711" i="8"/>
  <c r="AE711" i="8"/>
  <c r="N711" i="8"/>
  <c r="AG710" i="8"/>
  <c r="AE710" i="8"/>
  <c r="N710" i="8"/>
  <c r="AG709" i="8"/>
  <c r="AE709" i="8"/>
  <c r="N709" i="8"/>
  <c r="AG708" i="8"/>
  <c r="AE708" i="8"/>
  <c r="N708" i="8"/>
  <c r="AG707" i="8"/>
  <c r="AE707" i="8"/>
  <c r="N707" i="8"/>
  <c r="AG706" i="8"/>
  <c r="AE706" i="8"/>
  <c r="N706" i="8"/>
  <c r="AG705" i="8"/>
  <c r="AE705" i="8"/>
  <c r="N705" i="8"/>
  <c r="AG704" i="8"/>
  <c r="AE704" i="8"/>
  <c r="N704" i="8"/>
  <c r="AG703" i="8"/>
  <c r="AE703" i="8"/>
  <c r="N703" i="8"/>
  <c r="AG702" i="8"/>
  <c r="AE702" i="8"/>
  <c r="N702" i="8"/>
  <c r="AG701" i="8"/>
  <c r="AE701" i="8"/>
  <c r="N701" i="8"/>
  <c r="AG700" i="8"/>
  <c r="AE700" i="8"/>
  <c r="N700" i="8"/>
  <c r="AG699" i="8"/>
  <c r="AE699" i="8"/>
  <c r="N699" i="8"/>
  <c r="AG698" i="8"/>
  <c r="AE698" i="8"/>
  <c r="N698" i="8"/>
  <c r="AG697" i="8"/>
  <c r="AE697" i="8"/>
  <c r="N697" i="8"/>
  <c r="AG696" i="8"/>
  <c r="AE696" i="8"/>
  <c r="N696" i="8"/>
  <c r="AG695" i="8"/>
  <c r="AE695" i="8"/>
  <c r="N695" i="8"/>
  <c r="AG694" i="8"/>
  <c r="AE694" i="8"/>
  <c r="N694" i="8"/>
  <c r="AG693" i="8"/>
  <c r="AE693" i="8"/>
  <c r="N693" i="8"/>
  <c r="AG692" i="8"/>
  <c r="AE692" i="8"/>
  <c r="N692" i="8"/>
  <c r="AG691" i="8"/>
  <c r="AE691" i="8"/>
  <c r="N691" i="8"/>
  <c r="AG690" i="8"/>
  <c r="AE690" i="8"/>
  <c r="N690" i="8"/>
  <c r="AG689" i="8"/>
  <c r="AE689" i="8"/>
  <c r="N689" i="8"/>
  <c r="AG688" i="8"/>
  <c r="AE688" i="8"/>
  <c r="N688" i="8"/>
  <c r="AG687" i="8"/>
  <c r="AE687" i="8"/>
  <c r="N687" i="8"/>
  <c r="AG686" i="8"/>
  <c r="AE686" i="8"/>
  <c r="N686" i="8"/>
  <c r="AG685" i="8"/>
  <c r="AE685" i="8"/>
  <c r="N685" i="8"/>
  <c r="AG684" i="8"/>
  <c r="AE684" i="8"/>
  <c r="N684" i="8"/>
  <c r="AG683" i="8"/>
  <c r="AE683" i="8"/>
  <c r="N683" i="8"/>
  <c r="AG682" i="8"/>
  <c r="AE682" i="8"/>
  <c r="N682" i="8"/>
  <c r="AG681" i="8"/>
  <c r="AE681" i="8"/>
  <c r="N681" i="8"/>
  <c r="AG680" i="8"/>
  <c r="AE680" i="8"/>
  <c r="N680" i="8"/>
  <c r="AG679" i="8"/>
  <c r="AE679" i="8"/>
  <c r="N679" i="8"/>
  <c r="AG678" i="8"/>
  <c r="AE678" i="8"/>
  <c r="N678" i="8"/>
  <c r="AG677" i="8"/>
  <c r="AE677" i="8"/>
  <c r="N677" i="8"/>
  <c r="AG676" i="8"/>
  <c r="AE676" i="8"/>
  <c r="N676" i="8"/>
  <c r="AG675" i="8"/>
  <c r="AE675" i="8"/>
  <c r="N675" i="8"/>
  <c r="AG674" i="8"/>
  <c r="AE674" i="8"/>
  <c r="N674" i="8"/>
  <c r="AG673" i="8"/>
  <c r="AE673" i="8"/>
  <c r="N673" i="8"/>
  <c r="AG672" i="8"/>
  <c r="AE672" i="8"/>
  <c r="N672" i="8"/>
  <c r="AG671" i="8"/>
  <c r="AE671" i="8"/>
  <c r="N671" i="8"/>
  <c r="AG670" i="8"/>
  <c r="AE670" i="8"/>
  <c r="N670" i="8"/>
  <c r="AG669" i="8"/>
  <c r="AE669" i="8"/>
  <c r="N669" i="8"/>
  <c r="AG668" i="8"/>
  <c r="AE668" i="8"/>
  <c r="N668" i="8"/>
  <c r="AG667" i="8"/>
  <c r="AE667" i="8"/>
  <c r="N667" i="8"/>
  <c r="AG666" i="8"/>
  <c r="AE666" i="8"/>
  <c r="N666" i="8"/>
  <c r="AG665" i="8"/>
  <c r="AE665" i="8"/>
  <c r="N665" i="8"/>
  <c r="AG664" i="8"/>
  <c r="AE664" i="8"/>
  <c r="N664" i="8"/>
  <c r="AG663" i="8"/>
  <c r="AE663" i="8"/>
  <c r="N663" i="8"/>
  <c r="AG662" i="8"/>
  <c r="AE662" i="8"/>
  <c r="N662" i="8"/>
  <c r="AG661" i="8"/>
  <c r="AE661" i="8"/>
  <c r="N661" i="8"/>
  <c r="AG660" i="8"/>
  <c r="AE660" i="8"/>
  <c r="N660" i="8"/>
  <c r="AG659" i="8"/>
  <c r="AE659" i="8"/>
  <c r="N659" i="8"/>
  <c r="AG658" i="8"/>
  <c r="AE658" i="8"/>
  <c r="N658" i="8"/>
  <c r="AG657" i="8"/>
  <c r="AE657" i="8"/>
  <c r="N657" i="8"/>
  <c r="AG656" i="8"/>
  <c r="AE656" i="8"/>
  <c r="N656" i="8"/>
  <c r="AG655" i="8"/>
  <c r="AE655" i="8"/>
  <c r="N655" i="8"/>
  <c r="AG654" i="8"/>
  <c r="AE654" i="8"/>
  <c r="N654" i="8"/>
  <c r="AG653" i="8"/>
  <c r="AE653" i="8"/>
  <c r="N653" i="8"/>
  <c r="AG652" i="8"/>
  <c r="AE652" i="8"/>
  <c r="N652" i="8"/>
  <c r="AG651" i="8"/>
  <c r="AE651" i="8"/>
  <c r="N651" i="8"/>
  <c r="AG650" i="8"/>
  <c r="AE650" i="8"/>
  <c r="N650" i="8"/>
  <c r="AG649" i="8"/>
  <c r="AE649" i="8"/>
  <c r="N649" i="8"/>
  <c r="AG648" i="8"/>
  <c r="AE648" i="8"/>
  <c r="N648" i="8"/>
  <c r="AG647" i="8"/>
  <c r="AE647" i="8"/>
  <c r="N647" i="8"/>
  <c r="AG646" i="8"/>
  <c r="AE646" i="8"/>
  <c r="N646" i="8"/>
  <c r="AG645" i="8"/>
  <c r="AE645" i="8"/>
  <c r="N645" i="8"/>
  <c r="AG644" i="8"/>
  <c r="AE644" i="8"/>
  <c r="N644" i="8"/>
  <c r="AG643" i="8"/>
  <c r="AE643" i="8"/>
  <c r="N643" i="8"/>
  <c r="AG642" i="8"/>
  <c r="AE642" i="8"/>
  <c r="N642" i="8"/>
  <c r="AG641" i="8"/>
  <c r="AE641" i="8"/>
  <c r="N641" i="8"/>
  <c r="AG640" i="8"/>
  <c r="AE640" i="8"/>
  <c r="N640" i="8"/>
  <c r="AG639" i="8"/>
  <c r="AE639" i="8"/>
  <c r="N639" i="8"/>
  <c r="AG638" i="8"/>
  <c r="AE638" i="8"/>
  <c r="N638" i="8"/>
  <c r="AG637" i="8"/>
  <c r="AE637" i="8"/>
  <c r="N637" i="8"/>
  <c r="AG636" i="8"/>
  <c r="AE636" i="8"/>
  <c r="N636" i="8"/>
  <c r="AG635" i="8"/>
  <c r="AE635" i="8"/>
  <c r="N635" i="8"/>
  <c r="AG634" i="8"/>
  <c r="AE634" i="8"/>
  <c r="N634" i="8"/>
  <c r="AG633" i="8"/>
  <c r="AE633" i="8"/>
  <c r="N633" i="8"/>
  <c r="AG632" i="8"/>
  <c r="AE632" i="8"/>
  <c r="N632" i="8"/>
  <c r="AG631" i="8"/>
  <c r="AE631" i="8"/>
  <c r="N631" i="8"/>
  <c r="AG630" i="8"/>
  <c r="AE630" i="8"/>
  <c r="N630" i="8"/>
  <c r="AG629" i="8"/>
  <c r="AE629" i="8"/>
  <c r="N629" i="8"/>
  <c r="AG628" i="8"/>
  <c r="AE628" i="8"/>
  <c r="N628" i="8"/>
  <c r="AG627" i="8"/>
  <c r="AE627" i="8"/>
  <c r="N627" i="8"/>
  <c r="AG626" i="8"/>
  <c r="AE626" i="8"/>
  <c r="N626" i="8"/>
  <c r="AG625" i="8"/>
  <c r="AE625" i="8"/>
  <c r="N625" i="8"/>
  <c r="AG624" i="8"/>
  <c r="AE624" i="8"/>
  <c r="N624" i="8"/>
  <c r="AG623" i="8"/>
  <c r="AE623" i="8"/>
  <c r="N623" i="8"/>
  <c r="AG622" i="8"/>
  <c r="AE622" i="8"/>
  <c r="N622" i="8"/>
  <c r="AG621" i="8"/>
  <c r="AE621" i="8"/>
  <c r="N621" i="8"/>
  <c r="AG620" i="8"/>
  <c r="AE620" i="8"/>
  <c r="N620" i="8"/>
  <c r="AG619" i="8"/>
  <c r="AE619" i="8"/>
  <c r="N619" i="8"/>
  <c r="AG618" i="8"/>
  <c r="AE618" i="8"/>
  <c r="N618" i="8"/>
  <c r="AG617" i="8"/>
  <c r="AE617" i="8"/>
  <c r="N617" i="8"/>
  <c r="AG616" i="8"/>
  <c r="AE616" i="8"/>
  <c r="N616" i="8"/>
  <c r="AG615" i="8"/>
  <c r="AE615" i="8"/>
  <c r="N615" i="8"/>
  <c r="AG614" i="8"/>
  <c r="AE614" i="8"/>
  <c r="N614" i="8"/>
  <c r="AG613" i="8"/>
  <c r="AE613" i="8"/>
  <c r="N613" i="8"/>
  <c r="AG612" i="8"/>
  <c r="AE612" i="8"/>
  <c r="N612" i="8"/>
  <c r="AG611" i="8"/>
  <c r="AE611" i="8"/>
  <c r="N611" i="8"/>
  <c r="AG610" i="8"/>
  <c r="AE610" i="8"/>
  <c r="N610" i="8"/>
  <c r="AG609" i="8"/>
  <c r="AE609" i="8"/>
  <c r="N609" i="8"/>
  <c r="AG608" i="8"/>
  <c r="AE608" i="8"/>
  <c r="N608" i="8"/>
  <c r="AG607" i="8"/>
  <c r="AE607" i="8"/>
  <c r="N607" i="8"/>
  <c r="AG606" i="8"/>
  <c r="AE606" i="8"/>
  <c r="N606" i="8"/>
  <c r="AG605" i="8"/>
  <c r="AE605" i="8"/>
  <c r="N605" i="8"/>
  <c r="AG604" i="8"/>
  <c r="AE604" i="8"/>
  <c r="N604" i="8"/>
  <c r="AE603" i="8"/>
  <c r="N603" i="8"/>
  <c r="AE602" i="8"/>
  <c r="N602" i="8"/>
  <c r="AG601" i="8"/>
  <c r="AE601" i="8"/>
  <c r="N601" i="8"/>
  <c r="AG600" i="8"/>
  <c r="AE600" i="8"/>
  <c r="N600" i="8"/>
  <c r="AG599" i="8"/>
  <c r="AE599" i="8"/>
  <c r="N599" i="8"/>
  <c r="AG598" i="8"/>
  <c r="AE598" i="8"/>
  <c r="N598" i="8"/>
  <c r="AG597" i="8"/>
  <c r="AE597" i="8"/>
  <c r="N597" i="8"/>
  <c r="AG596" i="8"/>
  <c r="AE596" i="8"/>
  <c r="N596" i="8"/>
  <c r="AG594" i="8"/>
  <c r="AE594" i="8"/>
  <c r="N594" i="8"/>
  <c r="AG593" i="8"/>
  <c r="AE593" i="8"/>
  <c r="N593" i="8"/>
  <c r="AG592" i="8"/>
  <c r="AE592" i="8"/>
  <c r="N592" i="8"/>
  <c r="AG591" i="8"/>
  <c r="AE591" i="8"/>
  <c r="N591" i="8"/>
  <c r="AG590" i="8"/>
  <c r="AE590" i="8"/>
  <c r="N590" i="8"/>
  <c r="AG589" i="8"/>
  <c r="AE589" i="8"/>
  <c r="N589" i="8"/>
  <c r="AG588" i="8"/>
  <c r="AE588" i="8"/>
  <c r="N588" i="8"/>
  <c r="AE586" i="8"/>
  <c r="AG585" i="8"/>
  <c r="AE585" i="8"/>
  <c r="AE584" i="8"/>
  <c r="AE583" i="8"/>
  <c r="AE582" i="8"/>
  <c r="N582" i="8"/>
  <c r="AE581" i="8"/>
  <c r="N581" i="8"/>
  <c r="AE580" i="8"/>
  <c r="N580" i="8"/>
  <c r="AE579" i="8"/>
  <c r="N579" i="8"/>
  <c r="AG578" i="8"/>
  <c r="AE578" i="8"/>
  <c r="N578" i="8"/>
  <c r="AG577" i="8"/>
  <c r="AE577" i="8"/>
  <c r="N577" i="8"/>
  <c r="AG576" i="8"/>
  <c r="AE576" i="8"/>
  <c r="N576" i="8"/>
  <c r="AG575" i="8"/>
  <c r="AE575" i="8"/>
  <c r="N575" i="8"/>
  <c r="AG574" i="8"/>
  <c r="AE574" i="8"/>
  <c r="N574" i="8"/>
  <c r="AG572" i="8"/>
  <c r="AE572" i="8"/>
  <c r="N572" i="8"/>
  <c r="AG571" i="8"/>
  <c r="AE571" i="8"/>
  <c r="N571" i="8"/>
  <c r="AE570" i="8"/>
  <c r="N570" i="8"/>
  <c r="AE569" i="8"/>
  <c r="N569" i="8"/>
  <c r="AE568" i="8"/>
  <c r="N568" i="8"/>
  <c r="AG567" i="8"/>
  <c r="AE567" i="8"/>
  <c r="N567" i="8"/>
  <c r="AG566" i="8"/>
  <c r="AE566" i="8"/>
  <c r="N566" i="8"/>
  <c r="AG565" i="8"/>
  <c r="AE565" i="8"/>
  <c r="N565" i="8"/>
  <c r="AG564" i="8"/>
  <c r="AE564" i="8"/>
  <c r="N564" i="8"/>
  <c r="AG563" i="8"/>
  <c r="AE563" i="8"/>
  <c r="N563" i="8"/>
  <c r="AG562" i="8"/>
  <c r="AE562" i="8"/>
  <c r="N562" i="8"/>
  <c r="AG561" i="8"/>
  <c r="AE561" i="8"/>
  <c r="N561" i="8"/>
  <c r="AE560" i="8"/>
  <c r="N560" i="8"/>
  <c r="AE559" i="8"/>
  <c r="N559" i="8"/>
  <c r="AG558" i="8"/>
  <c r="AE558" i="8"/>
  <c r="N558" i="8"/>
  <c r="AG557" i="8"/>
  <c r="AE557" i="8"/>
  <c r="N557" i="8"/>
  <c r="AG556" i="8"/>
  <c r="AE556" i="8"/>
  <c r="N556" i="8"/>
  <c r="AG555" i="8"/>
  <c r="AE555" i="8"/>
  <c r="N555" i="8"/>
  <c r="AG554" i="8"/>
  <c r="AE554" i="8"/>
  <c r="N554" i="8"/>
  <c r="AG553" i="8"/>
  <c r="AE553" i="8"/>
  <c r="N553" i="8"/>
  <c r="AG552" i="8"/>
  <c r="AE552" i="8"/>
  <c r="N552" i="8"/>
  <c r="AG551" i="8"/>
  <c r="AE551" i="8"/>
  <c r="N551" i="8"/>
  <c r="AE550" i="8"/>
  <c r="N550" i="8"/>
  <c r="AE549" i="8"/>
  <c r="N549" i="8"/>
  <c r="AG548" i="8"/>
  <c r="AE548" i="8"/>
  <c r="N548" i="8"/>
  <c r="AG547" i="8"/>
  <c r="AE547" i="8"/>
  <c r="N547" i="8"/>
  <c r="AG546" i="8"/>
  <c r="AE546" i="8"/>
  <c r="N546" i="8"/>
  <c r="AG545" i="8"/>
  <c r="AE545" i="8"/>
  <c r="N545" i="8"/>
  <c r="AG544" i="8"/>
  <c r="AE544" i="8"/>
  <c r="N544" i="8"/>
  <c r="AG543" i="8"/>
  <c r="AE543" i="8"/>
  <c r="N543" i="8"/>
  <c r="AG542" i="8"/>
  <c r="AE542" i="8"/>
  <c r="N542" i="8"/>
  <c r="AG539" i="8"/>
  <c r="AE539" i="8"/>
  <c r="N539" i="8"/>
  <c r="AG538" i="8"/>
  <c r="AE538" i="8"/>
  <c r="N538" i="8"/>
  <c r="AG537" i="8"/>
  <c r="AE537" i="8"/>
  <c r="N537" i="8"/>
  <c r="AG536" i="8"/>
  <c r="AE536" i="8"/>
  <c r="N536" i="8"/>
  <c r="AG535" i="8"/>
  <c r="AE535" i="8"/>
  <c r="N535" i="8"/>
  <c r="AG534" i="8"/>
  <c r="AE534" i="8"/>
  <c r="N534" i="8"/>
  <c r="AG533" i="8"/>
  <c r="N533" i="8"/>
  <c r="AG532" i="8"/>
  <c r="N532" i="8"/>
  <c r="AG531" i="8"/>
  <c r="N531" i="8"/>
  <c r="AG530" i="8"/>
  <c r="N530" i="8"/>
  <c r="AG529" i="8"/>
  <c r="N529" i="8"/>
  <c r="AG528" i="8"/>
  <c r="N528" i="8"/>
  <c r="AG527" i="8"/>
  <c r="N527" i="8"/>
  <c r="AG526" i="8"/>
  <c r="AE526" i="8"/>
  <c r="N526" i="8"/>
  <c r="AG525" i="8"/>
  <c r="AE525" i="8"/>
  <c r="N525" i="8"/>
  <c r="AG524" i="8"/>
  <c r="AE524" i="8"/>
  <c r="N524" i="8"/>
  <c r="AG523" i="8"/>
  <c r="AE523" i="8"/>
  <c r="N523" i="8"/>
  <c r="AG522" i="8"/>
  <c r="N522" i="8"/>
  <c r="AG521" i="8"/>
  <c r="N521" i="8"/>
  <c r="AG520" i="8"/>
  <c r="N520" i="8"/>
  <c r="AG519" i="8"/>
  <c r="N519" i="8"/>
  <c r="AG518" i="8"/>
  <c r="N518" i="8"/>
  <c r="AG517" i="8"/>
  <c r="N517" i="8"/>
  <c r="AG516" i="8"/>
  <c r="AE516" i="8"/>
  <c r="N516" i="8"/>
  <c r="AG515" i="8"/>
  <c r="AE515" i="8"/>
  <c r="N515" i="8"/>
  <c r="N514" i="8"/>
  <c r="AE513" i="8"/>
  <c r="N513" i="8"/>
  <c r="N512" i="8"/>
  <c r="N511" i="8"/>
  <c r="N510" i="8"/>
  <c r="N509" i="8"/>
  <c r="AG508" i="8"/>
  <c r="N508" i="8"/>
  <c r="AG507" i="8"/>
  <c r="N507" i="8"/>
  <c r="AG506" i="8"/>
  <c r="N506" i="8"/>
  <c r="AG505" i="8"/>
  <c r="N505" i="8"/>
  <c r="AG504" i="8"/>
  <c r="N504" i="8"/>
  <c r="AG503" i="8"/>
  <c r="N503" i="8"/>
  <c r="AG502" i="8"/>
  <c r="AE502" i="8"/>
  <c r="N502" i="8"/>
  <c r="AG501" i="8"/>
  <c r="AE501" i="8"/>
  <c r="N501" i="8"/>
  <c r="N500" i="8"/>
  <c r="AE499" i="8"/>
  <c r="N499" i="8"/>
  <c r="N498" i="8"/>
  <c r="N497" i="8"/>
  <c r="N496" i="8"/>
  <c r="N495" i="8"/>
  <c r="AG494" i="8"/>
  <c r="N494" i="8"/>
  <c r="AG493" i="8"/>
  <c r="N493" i="8"/>
  <c r="AG492" i="8"/>
  <c r="N492" i="8"/>
  <c r="AG491" i="8"/>
  <c r="N491" i="8"/>
  <c r="AG490" i="8"/>
  <c r="N490" i="8"/>
  <c r="AG489" i="8"/>
  <c r="N489" i="8"/>
  <c r="AG488" i="8"/>
  <c r="AE488" i="8"/>
  <c r="N488" i="8"/>
  <c r="AG487" i="8"/>
  <c r="AE487" i="8"/>
  <c r="N487" i="8"/>
  <c r="AG486" i="8"/>
  <c r="AE486" i="8"/>
  <c r="N486" i="8"/>
  <c r="AE485" i="8"/>
  <c r="N485" i="8"/>
  <c r="AG484" i="8"/>
  <c r="AE484" i="8"/>
  <c r="N484" i="8"/>
  <c r="N483" i="8"/>
  <c r="AE482" i="8"/>
  <c r="N482" i="8"/>
  <c r="AE481" i="8"/>
  <c r="N481" i="8"/>
  <c r="AE480" i="8"/>
  <c r="N480" i="8"/>
  <c r="N479" i="8"/>
  <c r="N478" i="8"/>
  <c r="N477" i="8"/>
  <c r="N476" i="8"/>
  <c r="AG475" i="8"/>
  <c r="N475" i="8"/>
  <c r="AG474" i="8"/>
  <c r="N474" i="8"/>
  <c r="AG473" i="8"/>
  <c r="N473" i="8"/>
  <c r="AG472" i="8"/>
  <c r="N472" i="8"/>
  <c r="AG471" i="8"/>
  <c r="N471" i="8"/>
  <c r="AG470" i="8"/>
  <c r="N470" i="8"/>
  <c r="AG469" i="8"/>
  <c r="AE469" i="8"/>
  <c r="N469" i="8"/>
  <c r="AG468" i="8"/>
  <c r="AE468" i="8"/>
  <c r="N468" i="8"/>
  <c r="AG467" i="8"/>
  <c r="AE467" i="8"/>
  <c r="N467" i="8"/>
  <c r="N466" i="8"/>
  <c r="N465" i="8"/>
  <c r="N464" i="8"/>
  <c r="N463" i="8"/>
  <c r="AG462" i="8"/>
  <c r="N462" i="8"/>
  <c r="AG461" i="8"/>
  <c r="N461" i="8"/>
  <c r="AG460" i="8"/>
  <c r="N460" i="8"/>
  <c r="AG459" i="8"/>
  <c r="N459" i="8"/>
  <c r="AG458" i="8"/>
  <c r="N458" i="8"/>
  <c r="AG457" i="8"/>
  <c r="N457" i="8"/>
  <c r="AG456" i="8"/>
  <c r="N456" i="8"/>
  <c r="AG455" i="8"/>
  <c r="N455" i="8"/>
  <c r="AG454" i="8"/>
  <c r="AE454" i="8"/>
  <c r="N454" i="8"/>
  <c r="AG453" i="8"/>
  <c r="AE453" i="8"/>
  <c r="N453" i="8"/>
  <c r="AG452" i="8"/>
  <c r="AE452" i="8"/>
  <c r="N452" i="8"/>
  <c r="N451" i="8"/>
  <c r="N450" i="8"/>
  <c r="N449" i="8"/>
  <c r="N448" i="8"/>
  <c r="AG447" i="8"/>
  <c r="N447" i="8"/>
  <c r="AG446" i="8"/>
  <c r="N446" i="8"/>
  <c r="AG445" i="8"/>
  <c r="N445" i="8"/>
  <c r="AG444" i="8"/>
  <c r="N444" i="8"/>
  <c r="AG443" i="8"/>
  <c r="N443" i="8"/>
  <c r="AG442" i="8"/>
  <c r="N442" i="8"/>
  <c r="AG441" i="8"/>
  <c r="AE441" i="8"/>
  <c r="N441" i="8"/>
  <c r="AG440" i="8"/>
  <c r="AE440" i="8"/>
  <c r="N440" i="8"/>
  <c r="AG436" i="8"/>
  <c r="AE436" i="8"/>
  <c r="N436" i="8"/>
  <c r="AG435" i="8"/>
  <c r="AE435" i="8"/>
  <c r="N435" i="8"/>
  <c r="AG434" i="8"/>
  <c r="AE434" i="8"/>
  <c r="N434" i="8"/>
  <c r="AG433" i="8"/>
  <c r="AE433" i="8"/>
  <c r="N433" i="8"/>
  <c r="AG432" i="8"/>
  <c r="AE432" i="8"/>
  <c r="N432" i="8"/>
  <c r="AG431" i="8"/>
  <c r="AE431" i="8"/>
  <c r="N431" i="8"/>
  <c r="AG430" i="8"/>
  <c r="AE430" i="8"/>
  <c r="N430" i="8"/>
  <c r="AG429" i="8"/>
  <c r="AE429" i="8"/>
  <c r="N429" i="8"/>
  <c r="AG428" i="8"/>
  <c r="AE428" i="8"/>
  <c r="N428" i="8"/>
  <c r="AG427" i="8"/>
  <c r="AE427" i="8"/>
  <c r="N427" i="8"/>
  <c r="AG426" i="8"/>
  <c r="AE426" i="8"/>
  <c r="N426" i="8"/>
  <c r="AG425" i="8"/>
  <c r="AE425" i="8"/>
  <c r="N425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22" i="8"/>
  <c r="N421" i="8"/>
  <c r="A421" i="8"/>
  <c r="N420" i="8"/>
  <c r="N419" i="8"/>
  <c r="A419" i="8"/>
  <c r="A420" i="8"/>
  <c r="AE418" i="8"/>
  <c r="AE417" i="8"/>
  <c r="AE416" i="8"/>
  <c r="AE415" i="8"/>
  <c r="N415" i="8"/>
  <c r="AE414" i="8"/>
  <c r="N414" i="8"/>
  <c r="A414" i="8"/>
  <c r="A415" i="8"/>
  <c r="A416" i="8"/>
  <c r="A413" i="8"/>
  <c r="AG412" i="8"/>
  <c r="AE412" i="8"/>
  <c r="N412" i="8"/>
  <c r="AG411" i="8"/>
  <c r="AE411" i="8"/>
  <c r="N411" i="8"/>
  <c r="AE410" i="8"/>
  <c r="N410" i="8"/>
  <c r="A410" i="8"/>
  <c r="A411" i="8"/>
  <c r="AG409" i="8"/>
  <c r="AE409" i="8"/>
  <c r="N409" i="8"/>
  <c r="AG408" i="8"/>
  <c r="AE408" i="8"/>
  <c r="N408" i="8"/>
  <c r="AG407" i="8"/>
  <c r="AE407" i="8"/>
  <c r="N407" i="8"/>
  <c r="AE406" i="8"/>
  <c r="N406" i="8"/>
  <c r="A406" i="8"/>
  <c r="A407" i="8"/>
  <c r="A408" i="8"/>
  <c r="A409" i="8"/>
  <c r="AG405" i="8"/>
  <c r="AE405" i="8"/>
  <c r="N405" i="8"/>
  <c r="AG404" i="8"/>
  <c r="AE404" i="8"/>
  <c r="N404" i="8"/>
  <c r="AE403" i="8"/>
  <c r="N403" i="8"/>
  <c r="AG402" i="8"/>
  <c r="AE402" i="8"/>
  <c r="N402" i="8"/>
  <c r="AE401" i="8"/>
  <c r="N401" i="8"/>
  <c r="AE400" i="8"/>
  <c r="N400" i="8"/>
  <c r="AG399" i="8"/>
  <c r="AE399" i="8"/>
  <c r="N399" i="8"/>
  <c r="AG398" i="8"/>
  <c r="AE398" i="8"/>
  <c r="N398" i="8"/>
  <c r="AG397" i="8"/>
  <c r="AE397" i="8"/>
  <c r="N397" i="8"/>
  <c r="AG396" i="8"/>
  <c r="AE396" i="8"/>
  <c r="N396" i="8"/>
  <c r="AG393" i="8"/>
  <c r="AE393" i="8"/>
  <c r="N393" i="8"/>
  <c r="AG392" i="8"/>
  <c r="AE392" i="8"/>
  <c r="N392" i="8"/>
  <c r="A392" i="8"/>
  <c r="A393" i="8"/>
  <c r="A396" i="8"/>
  <c r="A397" i="8"/>
  <c r="A340" i="8"/>
  <c r="A352" i="8"/>
  <c r="AG391" i="8"/>
  <c r="AE391" i="8"/>
  <c r="N391" i="8"/>
  <c r="A391" i="8"/>
  <c r="A390" i="8"/>
  <c r="N389" i="8"/>
  <c r="N388" i="8"/>
  <c r="N387" i="8"/>
  <c r="N386" i="8"/>
  <c r="N385" i="8"/>
  <c r="AE384" i="8"/>
  <c r="N384" i="8"/>
  <c r="AE383" i="8"/>
  <c r="N383" i="8"/>
  <c r="A383" i="8"/>
  <c r="AE382" i="8"/>
  <c r="N382" i="8"/>
  <c r="AE381" i="8"/>
  <c r="N381" i="8"/>
  <c r="A381" i="8"/>
  <c r="A382" i="8"/>
  <c r="A384" i="8"/>
  <c r="A385" i="8"/>
  <c r="A386" i="8"/>
  <c r="A387" i="8"/>
  <c r="A388" i="8"/>
  <c r="A389" i="8"/>
  <c r="AE380" i="8"/>
  <c r="N380" i="8"/>
  <c r="A380" i="8"/>
  <c r="AG379" i="8"/>
  <c r="AE379" i="8"/>
  <c r="N379" i="8"/>
  <c r="A379" i="8"/>
  <c r="AG378" i="8"/>
  <c r="AE378" i="8"/>
  <c r="N378" i="8"/>
  <c r="A378" i="8"/>
  <c r="AG377" i="8"/>
  <c r="AE377" i="8"/>
  <c r="N377" i="8"/>
  <c r="A377" i="8"/>
  <c r="AG376" i="8"/>
  <c r="AE376" i="8"/>
  <c r="N376" i="8"/>
  <c r="A376" i="8"/>
  <c r="AG375" i="8"/>
  <c r="N375" i="8"/>
  <c r="AG374" i="8"/>
  <c r="N374" i="8"/>
  <c r="AG373" i="8"/>
  <c r="AE373" i="8"/>
  <c r="N373" i="8"/>
  <c r="A373" i="8"/>
  <c r="A374" i="8"/>
  <c r="A375" i="8"/>
  <c r="AG372" i="8"/>
  <c r="AE372" i="8"/>
  <c r="N372" i="8"/>
  <c r="A372" i="8"/>
  <c r="AG371" i="8"/>
  <c r="N371" i="8"/>
  <c r="AG370" i="8"/>
  <c r="N370" i="8"/>
  <c r="AE369" i="8"/>
  <c r="N369" i="8"/>
  <c r="A369" i="8"/>
  <c r="AG368" i="8"/>
  <c r="AE368" i="8"/>
  <c r="N368" i="8"/>
  <c r="A368" i="8"/>
  <c r="A370" i="8"/>
  <c r="A371" i="8"/>
  <c r="AG367" i="8"/>
  <c r="AE367" i="8"/>
  <c r="N367" i="8"/>
  <c r="A367" i="8"/>
  <c r="AG366" i="8"/>
  <c r="AE366" i="8"/>
  <c r="N366" i="8"/>
  <c r="AG365" i="8"/>
  <c r="AE365" i="8"/>
  <c r="N365" i="8"/>
  <c r="AG362" i="8"/>
  <c r="AE362" i="8"/>
  <c r="N362" i="8"/>
  <c r="AG361" i="8"/>
  <c r="AE361" i="8"/>
  <c r="N361" i="8"/>
  <c r="A361" i="8"/>
  <c r="A362" i="8"/>
  <c r="A365" i="8"/>
  <c r="A366" i="8"/>
  <c r="AG358" i="8"/>
  <c r="AE358" i="8"/>
  <c r="N358" i="8"/>
  <c r="AG357" i="8"/>
  <c r="AE357" i="8"/>
  <c r="N357" i="8"/>
  <c r="AG356" i="8"/>
  <c r="AE356" i="8"/>
  <c r="N356" i="8"/>
  <c r="AG353" i="8"/>
  <c r="AE353" i="8"/>
  <c r="N353" i="8"/>
  <c r="AG352" i="8"/>
  <c r="AE352" i="8"/>
  <c r="N352" i="8"/>
  <c r="A350" i="8"/>
  <c r="AG349" i="8"/>
  <c r="AE349" i="8"/>
  <c r="N349" i="8"/>
  <c r="AG348" i="8"/>
  <c r="AE348" i="8"/>
  <c r="N348" i="8"/>
  <c r="AG347" i="8"/>
  <c r="AE347" i="8"/>
  <c r="N347" i="8"/>
  <c r="AG346" i="8"/>
  <c r="AE346" i="8"/>
  <c r="N346" i="8"/>
  <c r="AG345" i="8"/>
  <c r="AE345" i="8"/>
  <c r="N345" i="8"/>
  <c r="AG342" i="8"/>
  <c r="AE342" i="8"/>
  <c r="N342" i="8"/>
  <c r="AG341" i="8"/>
  <c r="AE341" i="8"/>
  <c r="N341" i="8"/>
  <c r="AG339" i="8"/>
  <c r="AE339" i="8"/>
  <c r="N339" i="8"/>
  <c r="A339" i="8"/>
  <c r="AG327" i="8"/>
  <c r="AE327" i="8"/>
  <c r="N327" i="8"/>
  <c r="AG324" i="8"/>
  <c r="AE324" i="8"/>
  <c r="N324" i="8"/>
  <c r="A324" i="8"/>
  <c r="A325" i="8"/>
  <c r="A326" i="8"/>
  <c r="A327" i="8"/>
  <c r="AG323" i="8"/>
  <c r="AE323" i="8"/>
  <c r="N323" i="8"/>
  <c r="AG322" i="8"/>
  <c r="AE322" i="8"/>
  <c r="N322" i="8"/>
  <c r="AE321" i="8"/>
  <c r="N321" i="8"/>
  <c r="A320" i="8"/>
  <c r="A321" i="8"/>
  <c r="A322" i="8"/>
  <c r="A323" i="8"/>
  <c r="AG320" i="8"/>
  <c r="AE320" i="8"/>
  <c r="N320" i="8"/>
  <c r="AE319" i="8"/>
  <c r="N319" i="8"/>
  <c r="A319" i="8"/>
  <c r="AE318" i="8"/>
  <c r="N318" i="8"/>
  <c r="AE317" i="8"/>
  <c r="N317" i="8"/>
  <c r="AE316" i="8"/>
  <c r="N316" i="8"/>
  <c r="A316" i="8"/>
  <c r="A317" i="8"/>
  <c r="A318" i="8"/>
  <c r="AE315" i="8"/>
  <c r="N315" i="8"/>
  <c r="A315" i="8"/>
  <c r="AE314" i="8"/>
  <c r="N314" i="8"/>
  <c r="A314" i="8"/>
  <c r="AE313" i="8"/>
  <c r="N313" i="8"/>
  <c r="A313" i="8"/>
  <c r="AG312" i="8"/>
  <c r="AE312" i="8"/>
  <c r="N312" i="8"/>
  <c r="AG311" i="8"/>
  <c r="AE311" i="8"/>
  <c r="N311" i="8"/>
  <c r="AG310" i="8"/>
  <c r="AE310" i="8"/>
  <c r="N310" i="8"/>
  <c r="AE309" i="8"/>
  <c r="N309" i="8"/>
  <c r="A309" i="8"/>
  <c r="A310" i="8"/>
  <c r="AG308" i="8"/>
  <c r="AE308" i="8"/>
  <c r="N308" i="8"/>
  <c r="AG306" i="8"/>
  <c r="AE306" i="8"/>
  <c r="N306" i="8"/>
  <c r="AE305" i="8"/>
  <c r="N305" i="8"/>
  <c r="A305" i="8"/>
  <c r="A306" i="8"/>
  <c r="A308" i="8"/>
  <c r="AG304" i="8"/>
  <c r="AE304" i="8"/>
  <c r="N304" i="8"/>
  <c r="AE302" i="8"/>
  <c r="N302" i="8"/>
  <c r="AG301" i="8"/>
  <c r="AE301" i="8"/>
  <c r="N301" i="8"/>
  <c r="AE300" i="8"/>
  <c r="N300" i="8"/>
  <c r="AE299" i="8"/>
  <c r="N299" i="8"/>
  <c r="AE298" i="8"/>
  <c r="N298" i="8"/>
  <c r="AE297" i="8"/>
  <c r="N297" i="8"/>
  <c r="AG296" i="8"/>
  <c r="AE296" i="8"/>
  <c r="N296" i="8"/>
  <c r="AG295" i="8"/>
  <c r="AE295" i="8"/>
  <c r="N295" i="8"/>
  <c r="AG294" i="8"/>
  <c r="AE294" i="8"/>
  <c r="N294" i="8"/>
  <c r="AG293" i="8"/>
  <c r="AE293" i="8"/>
  <c r="N293" i="8"/>
  <c r="AG292" i="8"/>
  <c r="AE292" i="8"/>
  <c r="N292" i="8"/>
  <c r="AG291" i="8"/>
  <c r="AE291" i="8"/>
  <c r="N291" i="8"/>
  <c r="AG290" i="8"/>
  <c r="AE290" i="8"/>
  <c r="N290" i="8"/>
  <c r="AE289" i="8"/>
  <c r="N289" i="8"/>
  <c r="AG288" i="8"/>
  <c r="AE288" i="8"/>
  <c r="N288" i="8"/>
  <c r="AE287" i="8"/>
  <c r="N287" i="8"/>
  <c r="AE286" i="8"/>
  <c r="N286" i="8"/>
  <c r="AE285" i="8"/>
  <c r="N285" i="8"/>
  <c r="AE284" i="8"/>
  <c r="N284" i="8"/>
  <c r="AE283" i="8"/>
  <c r="N283" i="8"/>
  <c r="AE282" i="8"/>
  <c r="N282" i="8"/>
  <c r="AE281" i="8"/>
  <c r="N281" i="8"/>
  <c r="A281" i="8"/>
  <c r="AG280" i="8"/>
  <c r="AE280" i="8"/>
  <c r="N280" i="8"/>
  <c r="AG279" i="8"/>
  <c r="AE279" i="8"/>
  <c r="N279" i="8"/>
  <c r="AG278" i="8"/>
  <c r="AE278" i="8"/>
  <c r="N278" i="8"/>
  <c r="AG277" i="8"/>
  <c r="AE277" i="8"/>
  <c r="N277" i="8"/>
  <c r="A277" i="8"/>
  <c r="A278" i="8"/>
  <c r="A279" i="8"/>
  <c r="A280" i="8"/>
  <c r="AG276" i="8"/>
  <c r="N276" i="8"/>
  <c r="AG275" i="8"/>
  <c r="N275" i="8"/>
  <c r="AG274" i="8"/>
  <c r="AE274" i="8"/>
  <c r="N274" i="8"/>
  <c r="AG273" i="8"/>
  <c r="AE273" i="8"/>
  <c r="N273" i="8"/>
  <c r="A273" i="8"/>
  <c r="A274" i="8"/>
  <c r="A275" i="8"/>
  <c r="A276" i="8"/>
  <c r="AG272" i="8"/>
  <c r="N272" i="8"/>
  <c r="N271" i="8"/>
  <c r="AG270" i="8"/>
  <c r="AE270" i="8"/>
  <c r="N270" i="8"/>
  <c r="AG269" i="8"/>
  <c r="AE269" i="8"/>
  <c r="N269" i="8"/>
  <c r="AG268" i="8"/>
  <c r="AE268" i="8"/>
  <c r="N268" i="8"/>
  <c r="AG267" i="8"/>
  <c r="AE267" i="8"/>
  <c r="N267" i="8"/>
  <c r="AG266" i="8"/>
  <c r="AE266" i="8"/>
  <c r="N266" i="8"/>
  <c r="AG265" i="8"/>
  <c r="AE265" i="8"/>
  <c r="N265" i="8"/>
  <c r="AG264" i="8"/>
  <c r="AE264" i="8"/>
  <c r="N264" i="8"/>
  <c r="AG263" i="8"/>
  <c r="AE263" i="8"/>
  <c r="N263" i="8"/>
  <c r="AG262" i="8"/>
  <c r="AE262" i="8"/>
  <c r="N262" i="8"/>
  <c r="A262" i="8"/>
  <c r="A263" i="8"/>
  <c r="A264" i="8"/>
  <c r="A265" i="8"/>
  <c r="A266" i="8"/>
  <c r="A267" i="8"/>
  <c r="A268" i="8"/>
  <c r="A269" i="8"/>
  <c r="A270" i="8"/>
  <c r="A271" i="8"/>
  <c r="A272" i="8"/>
  <c r="AG261" i="8"/>
  <c r="AE261" i="8"/>
  <c r="N261" i="8"/>
  <c r="AG260" i="8"/>
  <c r="AE260" i="8"/>
  <c r="N260" i="8"/>
  <c r="AG259" i="8"/>
  <c r="AE259" i="8"/>
  <c r="N259" i="8"/>
  <c r="AG258" i="8"/>
  <c r="AE258" i="8"/>
  <c r="N258" i="8"/>
  <c r="AG257" i="8"/>
  <c r="AE257" i="8"/>
  <c r="N257" i="8"/>
  <c r="AG256" i="8"/>
  <c r="AE256" i="8"/>
  <c r="N256" i="8"/>
  <c r="AG255" i="8"/>
  <c r="AE255" i="8"/>
  <c r="N255" i="8"/>
  <c r="AG254" i="8"/>
  <c r="N254" i="8"/>
  <c r="AG253" i="8"/>
  <c r="N253" i="8"/>
  <c r="AG252" i="8"/>
  <c r="AE252" i="8"/>
  <c r="N252" i="8"/>
  <c r="A252" i="8"/>
  <c r="A253" i="8"/>
  <c r="A254" i="8"/>
  <c r="A255" i="8"/>
  <c r="A256" i="8"/>
  <c r="A257" i="8"/>
  <c r="A258" i="8"/>
  <c r="A259" i="8"/>
  <c r="A261" i="8"/>
  <c r="AG251" i="8"/>
  <c r="AE251" i="8"/>
  <c r="N251" i="8"/>
  <c r="AG250" i="8"/>
  <c r="AE250" i="8"/>
  <c r="N250" i="8"/>
  <c r="AG249" i="8"/>
  <c r="AE249" i="8"/>
  <c r="N249" i="8"/>
  <c r="AG248" i="8"/>
  <c r="AE248" i="8"/>
  <c r="N248" i="8"/>
  <c r="AG247" i="8"/>
  <c r="AE247" i="8"/>
  <c r="N247" i="8"/>
  <c r="AG246" i="8"/>
  <c r="AE246" i="8"/>
  <c r="N246" i="8"/>
  <c r="AG245" i="8"/>
  <c r="AE245" i="8"/>
  <c r="N245" i="8"/>
  <c r="AG243" i="8"/>
  <c r="AE243" i="8"/>
  <c r="N243" i="8"/>
  <c r="AG242" i="8"/>
  <c r="AE242" i="8"/>
  <c r="N242" i="8"/>
  <c r="AG241" i="8"/>
  <c r="AE241" i="8"/>
  <c r="N241" i="8"/>
  <c r="A241" i="8"/>
  <c r="A242" i="8"/>
  <c r="A243" i="8"/>
  <c r="A244" i="8"/>
  <c r="A245" i="8"/>
  <c r="A246" i="8"/>
  <c r="A247" i="8"/>
  <c r="A248" i="8"/>
  <c r="A249" i="8"/>
  <c r="A251" i="8"/>
  <c r="AG240" i="8"/>
  <c r="AE240" i="8"/>
  <c r="N240" i="8"/>
  <c r="AG239" i="8"/>
  <c r="AE239" i="8"/>
  <c r="N239" i="8"/>
  <c r="AG238" i="8"/>
  <c r="AE238" i="8"/>
  <c r="N238" i="8"/>
  <c r="AG237" i="8"/>
  <c r="AE237" i="8"/>
  <c r="N237" i="8"/>
  <c r="AG236" i="8"/>
  <c r="AE236" i="8"/>
  <c r="N236" i="8"/>
  <c r="AG235" i="8"/>
  <c r="AE235" i="8"/>
  <c r="N235" i="8"/>
  <c r="AG234" i="8"/>
  <c r="AE234" i="8"/>
  <c r="N234" i="8"/>
  <c r="AG233" i="8"/>
  <c r="AE233" i="8"/>
  <c r="N233" i="8"/>
  <c r="AE232" i="8"/>
  <c r="N232" i="8"/>
  <c r="AG231" i="8"/>
  <c r="AE231" i="8"/>
  <c r="N231" i="8"/>
  <c r="AG230" i="8"/>
  <c r="AE230" i="8"/>
  <c r="N230" i="8"/>
  <c r="A230" i="8"/>
  <c r="A231" i="8"/>
  <c r="A232" i="8"/>
  <c r="A233" i="8"/>
  <c r="A234" i="8"/>
  <c r="A235" i="8"/>
  <c r="A236" i="8"/>
  <c r="A237" i="8"/>
  <c r="A238" i="8"/>
  <c r="A239" i="8"/>
  <c r="A240" i="8"/>
  <c r="AG229" i="8"/>
  <c r="AE229" i="8"/>
  <c r="N229" i="8"/>
  <c r="AG228" i="8"/>
  <c r="AE228" i="8"/>
  <c r="N228" i="8"/>
  <c r="AG227" i="8"/>
  <c r="AE227" i="8"/>
  <c r="N227" i="8"/>
  <c r="AG226" i="8"/>
  <c r="AE226" i="8"/>
  <c r="N226" i="8"/>
  <c r="AG225" i="8"/>
  <c r="AE225" i="8"/>
  <c r="N225" i="8"/>
  <c r="AG224" i="8"/>
  <c r="AE224" i="8"/>
  <c r="N224" i="8"/>
  <c r="AG223" i="8"/>
  <c r="AE223" i="8"/>
  <c r="N223" i="8"/>
  <c r="AG222" i="8"/>
  <c r="AE222" i="8"/>
  <c r="N222" i="8"/>
  <c r="AG221" i="8"/>
  <c r="AE221" i="8"/>
  <c r="N221" i="8"/>
  <c r="AE220" i="8"/>
  <c r="N220" i="8"/>
  <c r="AG219" i="8"/>
  <c r="AE219" i="8"/>
  <c r="N219" i="8"/>
  <c r="AG218" i="8"/>
  <c r="AE218" i="8"/>
  <c r="N218" i="8"/>
  <c r="AG217" i="8"/>
  <c r="AE217" i="8"/>
  <c r="N217" i="8"/>
  <c r="AG216" i="8"/>
  <c r="AE216" i="8"/>
  <c r="N216" i="8"/>
  <c r="AG215" i="8"/>
  <c r="AE215" i="8"/>
  <c r="N215" i="8"/>
  <c r="AG214" i="8"/>
  <c r="AE214" i="8"/>
  <c r="N214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G211" i="8"/>
  <c r="AE211" i="8"/>
  <c r="N211" i="8"/>
  <c r="AE210" i="8"/>
  <c r="N210" i="8"/>
  <c r="AE209" i="8"/>
  <c r="N209" i="8"/>
  <c r="AG208" i="8"/>
  <c r="AE208" i="8"/>
  <c r="N208" i="8"/>
  <c r="AG207" i="8"/>
  <c r="AE207" i="8"/>
  <c r="N207" i="8"/>
  <c r="AG206" i="8"/>
  <c r="AE206" i="8"/>
  <c r="N206" i="8"/>
  <c r="AG205" i="8"/>
  <c r="AE205" i="8"/>
  <c r="N205" i="8"/>
  <c r="AG204" i="8"/>
  <c r="AE204" i="8"/>
  <c r="N204" i="8"/>
  <c r="AG203" i="8"/>
  <c r="AE203" i="8"/>
  <c r="N203" i="8"/>
  <c r="AG201" i="8"/>
  <c r="AE201" i="8"/>
  <c r="N201" i="8"/>
  <c r="AG200" i="8"/>
  <c r="AE200" i="8"/>
  <c r="N200" i="8"/>
  <c r="AG199" i="8"/>
  <c r="AE199" i="8"/>
  <c r="N199" i="8"/>
  <c r="AG198" i="8"/>
  <c r="AE198" i="8"/>
  <c r="N198" i="8"/>
  <c r="AG197" i="8"/>
  <c r="AE197" i="8"/>
  <c r="N197" i="8"/>
  <c r="AG196" i="8"/>
  <c r="AE196" i="8"/>
  <c r="N196" i="8"/>
  <c r="AG195" i="8"/>
  <c r="AE195" i="8"/>
  <c r="N195" i="8"/>
  <c r="AE193" i="8"/>
  <c r="AG192" i="8"/>
  <c r="AE192" i="8"/>
  <c r="AE191" i="8"/>
  <c r="AE190" i="8"/>
  <c r="AE189" i="8"/>
  <c r="N189" i="8"/>
  <c r="AE188" i="8"/>
  <c r="N188" i="8"/>
  <c r="AE187" i="8"/>
  <c r="N187" i="8"/>
  <c r="AE186" i="8"/>
  <c r="N186" i="8"/>
  <c r="AG185" i="8"/>
  <c r="AE185" i="8"/>
  <c r="N185" i="8"/>
  <c r="AG184" i="8"/>
  <c r="AE184" i="8"/>
  <c r="N184" i="8"/>
  <c r="AG183" i="8"/>
  <c r="AE183" i="8"/>
  <c r="N183" i="8"/>
  <c r="AG182" i="8"/>
  <c r="AE182" i="8"/>
  <c r="N182" i="8"/>
  <c r="AG181" i="8"/>
  <c r="AE181" i="8"/>
  <c r="N181" i="8"/>
  <c r="AG179" i="8"/>
  <c r="AE179" i="8"/>
  <c r="N179" i="8"/>
  <c r="AG178" i="8"/>
  <c r="AE178" i="8"/>
  <c r="N178" i="8"/>
  <c r="AE177" i="8"/>
  <c r="N177" i="8"/>
  <c r="AE176" i="8"/>
  <c r="N176" i="8"/>
  <c r="AE175" i="8"/>
  <c r="N175" i="8"/>
  <c r="AG174" i="8"/>
  <c r="AE174" i="8"/>
  <c r="N174" i="8"/>
  <c r="AG173" i="8"/>
  <c r="AE173" i="8"/>
  <c r="N173" i="8"/>
  <c r="AG172" i="8"/>
  <c r="AE172" i="8"/>
  <c r="N172" i="8"/>
  <c r="AG171" i="8"/>
  <c r="AE171" i="8"/>
  <c r="N171" i="8"/>
  <c r="AG170" i="8"/>
  <c r="AE170" i="8"/>
  <c r="N170" i="8"/>
  <c r="AG169" i="8"/>
  <c r="AE169" i="8"/>
  <c r="N169" i="8"/>
  <c r="AG168" i="8"/>
  <c r="AE168" i="8"/>
  <c r="N168" i="8"/>
  <c r="AE167" i="8"/>
  <c r="N167" i="8"/>
  <c r="AE166" i="8"/>
  <c r="N166" i="8"/>
  <c r="AG165" i="8"/>
  <c r="AE165" i="8"/>
  <c r="N165" i="8"/>
  <c r="AG164" i="8"/>
  <c r="AE164" i="8"/>
  <c r="N164" i="8"/>
  <c r="AG163" i="8"/>
  <c r="AE163" i="8"/>
  <c r="N163" i="8"/>
  <c r="AG162" i="8"/>
  <c r="AE162" i="8"/>
  <c r="N162" i="8"/>
  <c r="AG161" i="8"/>
  <c r="AE161" i="8"/>
  <c r="N161" i="8"/>
  <c r="AG160" i="8"/>
  <c r="AE160" i="8"/>
  <c r="N160" i="8"/>
  <c r="AG159" i="8"/>
  <c r="AE159" i="8"/>
  <c r="N159" i="8"/>
  <c r="AG158" i="8"/>
  <c r="AE158" i="8"/>
  <c r="N158" i="8"/>
  <c r="AE157" i="8"/>
  <c r="N157" i="8"/>
  <c r="AE156" i="8"/>
  <c r="N156" i="8"/>
  <c r="AG155" i="8"/>
  <c r="AE155" i="8"/>
  <c r="N155" i="8"/>
  <c r="AG154" i="8"/>
  <c r="AE154" i="8"/>
  <c r="N154" i="8"/>
  <c r="AG153" i="8"/>
  <c r="AE153" i="8"/>
  <c r="N153" i="8"/>
  <c r="AG152" i="8"/>
  <c r="AE152" i="8"/>
  <c r="N152" i="8"/>
  <c r="AG151" i="8"/>
  <c r="AE151" i="8"/>
  <c r="N151" i="8"/>
  <c r="AG150" i="8"/>
  <c r="AE150" i="8"/>
  <c r="N150" i="8"/>
  <c r="AG149" i="8"/>
  <c r="AE149" i="8"/>
  <c r="N149" i="8"/>
  <c r="AG146" i="8"/>
  <c r="AE146" i="8"/>
  <c r="N146" i="8"/>
  <c r="AG145" i="8"/>
  <c r="AE145" i="8"/>
  <c r="N145" i="8"/>
  <c r="AG144" i="8"/>
  <c r="AE144" i="8"/>
  <c r="N144" i="8"/>
  <c r="AG143" i="8"/>
  <c r="AE143" i="8"/>
  <c r="N143" i="8"/>
  <c r="AG142" i="8"/>
  <c r="AE142" i="8"/>
  <c r="N142" i="8"/>
  <c r="AG141" i="8"/>
  <c r="AE141" i="8"/>
  <c r="N141" i="8"/>
  <c r="AG140" i="8"/>
  <c r="N140" i="8"/>
  <c r="AG139" i="8"/>
  <c r="N139" i="8"/>
  <c r="AG138" i="8"/>
  <c r="N138" i="8"/>
  <c r="AG137" i="8"/>
  <c r="N137" i="8"/>
  <c r="AG136" i="8"/>
  <c r="N136" i="8"/>
  <c r="AG135" i="8"/>
  <c r="N135" i="8"/>
  <c r="AG134" i="8"/>
  <c r="N134" i="8"/>
  <c r="AG133" i="8"/>
  <c r="AE133" i="8"/>
  <c r="N133" i="8"/>
  <c r="AG132" i="8"/>
  <c r="AE132" i="8"/>
  <c r="N132" i="8"/>
  <c r="AG131" i="8"/>
  <c r="AE131" i="8"/>
  <c r="N131" i="8"/>
  <c r="AG130" i="8"/>
  <c r="AE130" i="8"/>
  <c r="N130" i="8"/>
  <c r="AG129" i="8"/>
  <c r="N129" i="8"/>
  <c r="AG128" i="8"/>
  <c r="N128" i="8"/>
  <c r="AG127" i="8"/>
  <c r="N127" i="8"/>
  <c r="AG126" i="8"/>
  <c r="N126" i="8"/>
  <c r="AG125" i="8"/>
  <c r="N125" i="8"/>
  <c r="AG124" i="8"/>
  <c r="N124" i="8"/>
  <c r="AG123" i="8"/>
  <c r="AE123" i="8"/>
  <c r="N123" i="8"/>
  <c r="AG122" i="8"/>
  <c r="AE122" i="8"/>
  <c r="N122" i="8"/>
  <c r="N121" i="8"/>
  <c r="AE120" i="8"/>
  <c r="N120" i="8"/>
  <c r="N119" i="8"/>
  <c r="N118" i="8"/>
  <c r="N117" i="8"/>
  <c r="N116" i="8"/>
  <c r="AG115" i="8"/>
  <c r="N115" i="8"/>
  <c r="AG114" i="8"/>
  <c r="N114" i="8"/>
  <c r="AG113" i="8"/>
  <c r="N113" i="8"/>
  <c r="AG112" i="8"/>
  <c r="N112" i="8"/>
  <c r="AG111" i="8"/>
  <c r="N111" i="8"/>
  <c r="AG110" i="8"/>
  <c r="N110" i="8"/>
  <c r="AG109" i="8"/>
  <c r="AE109" i="8"/>
  <c r="N109" i="8"/>
  <c r="AG108" i="8"/>
  <c r="AE108" i="8"/>
  <c r="N108" i="8"/>
  <c r="N107" i="8"/>
  <c r="AE106" i="8"/>
  <c r="N106" i="8"/>
  <c r="N105" i="8"/>
  <c r="N104" i="8"/>
  <c r="N103" i="8"/>
  <c r="N102" i="8"/>
  <c r="AG101" i="8"/>
  <c r="N101" i="8"/>
  <c r="AG100" i="8"/>
  <c r="N100" i="8"/>
  <c r="AG99" i="8"/>
  <c r="N99" i="8"/>
  <c r="AG98" i="8"/>
  <c r="N98" i="8"/>
  <c r="AG97" i="8"/>
  <c r="N97" i="8"/>
  <c r="AG96" i="8"/>
  <c r="N96" i="8"/>
  <c r="AG95" i="8"/>
  <c r="AE95" i="8"/>
  <c r="N95" i="8"/>
  <c r="AG94" i="8"/>
  <c r="AE94" i="8"/>
  <c r="N94" i="8"/>
  <c r="AG93" i="8"/>
  <c r="AE93" i="8"/>
  <c r="N93" i="8"/>
  <c r="AE92" i="8"/>
  <c r="N92" i="8"/>
  <c r="AG91" i="8"/>
  <c r="AE91" i="8"/>
  <c r="N91" i="8"/>
  <c r="N90" i="8"/>
  <c r="AE89" i="8"/>
  <c r="N89" i="8"/>
  <c r="AE88" i="8"/>
  <c r="N88" i="8"/>
  <c r="AE87" i="8"/>
  <c r="N87" i="8"/>
  <c r="N86" i="8"/>
  <c r="N85" i="8"/>
  <c r="N84" i="8"/>
  <c r="N83" i="8"/>
  <c r="AG82" i="8"/>
  <c r="N82" i="8"/>
  <c r="AG81" i="8"/>
  <c r="N81" i="8"/>
  <c r="AG80" i="8"/>
  <c r="N80" i="8"/>
  <c r="AG79" i="8"/>
  <c r="N79" i="8"/>
  <c r="AG78" i="8"/>
  <c r="N78" i="8"/>
  <c r="AG77" i="8"/>
  <c r="N77" i="8"/>
  <c r="AG76" i="8"/>
  <c r="AE76" i="8"/>
  <c r="N76" i="8"/>
  <c r="AG75" i="8"/>
  <c r="AE75" i="8"/>
  <c r="N75" i="8"/>
  <c r="AG74" i="8"/>
  <c r="AE74" i="8"/>
  <c r="N74" i="8"/>
  <c r="N73" i="8"/>
  <c r="N72" i="8"/>
  <c r="N71" i="8"/>
  <c r="N70" i="8"/>
  <c r="AG69" i="8"/>
  <c r="N69" i="8"/>
  <c r="AG68" i="8"/>
  <c r="N68" i="8"/>
  <c r="AG67" i="8"/>
  <c r="N67" i="8"/>
  <c r="AG66" i="8"/>
  <c r="N66" i="8"/>
  <c r="AG65" i="8"/>
  <c r="N65" i="8"/>
  <c r="AG64" i="8"/>
  <c r="N64" i="8"/>
  <c r="AG63" i="8"/>
  <c r="N63" i="8"/>
  <c r="AG62" i="8"/>
  <c r="N62" i="8"/>
  <c r="AG61" i="8"/>
  <c r="AE61" i="8"/>
  <c r="N61" i="8"/>
  <c r="AG60" i="8"/>
  <c r="AE60" i="8"/>
  <c r="N60" i="8"/>
  <c r="AG59" i="8"/>
  <c r="AE59" i="8"/>
  <c r="N59" i="8"/>
  <c r="N58" i="8"/>
  <c r="N57" i="8"/>
  <c r="N56" i="8"/>
  <c r="N55" i="8"/>
  <c r="AG54" i="8"/>
  <c r="N54" i="8"/>
  <c r="AG53" i="8"/>
  <c r="N53" i="8"/>
  <c r="AG52" i="8"/>
  <c r="N52" i="8"/>
  <c r="AG51" i="8"/>
  <c r="N51" i="8"/>
  <c r="AG50" i="8"/>
  <c r="N50" i="8"/>
  <c r="AG49" i="8"/>
  <c r="N49" i="8"/>
  <c r="AG48" i="8"/>
  <c r="AE48" i="8"/>
  <c r="N48" i="8"/>
  <c r="AG47" i="8"/>
  <c r="AE47" i="8"/>
  <c r="N47" i="8"/>
  <c r="AG43" i="8"/>
  <c r="AE43" i="8"/>
  <c r="N43" i="8"/>
  <c r="AG42" i="8"/>
  <c r="AE42" i="8"/>
  <c r="N42" i="8"/>
  <c r="AG41" i="8"/>
  <c r="AE41" i="8"/>
  <c r="N41" i="8"/>
  <c r="AG40" i="8"/>
  <c r="AE40" i="8"/>
  <c r="N40" i="8"/>
  <c r="AG39" i="8"/>
  <c r="AE39" i="8"/>
  <c r="N39" i="8"/>
  <c r="AG38" i="8"/>
  <c r="AE38" i="8"/>
  <c r="N38" i="8"/>
  <c r="AG35" i="8"/>
  <c r="AE35" i="8"/>
  <c r="N35" i="8"/>
  <c r="AG34" i="8"/>
  <c r="AE34" i="8"/>
  <c r="N34" i="8"/>
  <c r="AG33" i="8"/>
  <c r="AE33" i="8"/>
  <c r="N33" i="8"/>
  <c r="AG30" i="8"/>
  <c r="AE30" i="8"/>
  <c r="N30" i="8"/>
  <c r="AG29" i="8"/>
  <c r="AE29" i="8"/>
  <c r="N29" i="8"/>
  <c r="AG28" i="8"/>
  <c r="AE28" i="8"/>
  <c r="N28" i="8"/>
  <c r="AG25" i="8"/>
  <c r="AE25" i="8"/>
  <c r="N25" i="8"/>
  <c r="AG22" i="8"/>
  <c r="AE22" i="8"/>
  <c r="N22" i="8"/>
  <c r="AG21" i="8"/>
  <c r="AE21" i="8"/>
  <c r="N21" i="8"/>
  <c r="AG20" i="8"/>
  <c r="AE20" i="8"/>
  <c r="N20" i="8"/>
  <c r="AG19" i="8"/>
  <c r="AE19" i="8"/>
  <c r="N19" i="8"/>
  <c r="AG15" i="8"/>
  <c r="AE15" i="8"/>
  <c r="N15" i="8"/>
  <c r="AG14" i="8"/>
  <c r="AE14" i="8"/>
  <c r="N14" i="8"/>
  <c r="AG13" i="8"/>
  <c r="AE13" i="8"/>
  <c r="N13" i="8"/>
  <c r="AG12" i="8"/>
  <c r="AE12" i="8"/>
  <c r="N12" i="8"/>
  <c r="AG11" i="8"/>
  <c r="AE11" i="8"/>
  <c r="N11" i="8"/>
  <c r="AG10" i="8"/>
  <c r="AE10" i="8"/>
  <c r="N10" i="8"/>
  <c r="AG9" i="8"/>
  <c r="AE9" i="8"/>
  <c r="N9" i="8"/>
  <c r="AG8" i="8"/>
  <c r="AE8" i="8"/>
  <c r="N8" i="8"/>
  <c r="AG7" i="8"/>
  <c r="AE7" i="8"/>
  <c r="N7" i="8"/>
  <c r="AG6" i="8"/>
  <c r="AE6" i="8"/>
  <c r="N6" i="8"/>
  <c r="A6" i="8"/>
  <c r="A7" i="8"/>
  <c r="A8" i="8"/>
  <c r="A9" i="8"/>
  <c r="A10" i="8"/>
  <c r="AG5" i="8"/>
  <c r="AE5" i="8"/>
  <c r="N5" i="8"/>
  <c r="A417" i="8"/>
  <c r="A418" i="8"/>
  <c r="A2" i="8"/>
  <c r="A341" i="8"/>
  <c r="A342" i="8"/>
  <c r="A345" i="8"/>
  <c r="A346" i="8"/>
  <c r="A347" i="8"/>
  <c r="A348" i="8"/>
  <c r="A349" i="8"/>
  <c r="A353" i="8"/>
  <c r="A356" i="8"/>
  <c r="A357" i="8"/>
  <c r="A358" i="8"/>
  <c r="A283" i="8"/>
  <c r="A282" i="8"/>
  <c r="A284" i="8"/>
  <c r="A285" i="8"/>
  <c r="A286" i="8"/>
  <c r="A288" i="8"/>
  <c r="E2" i="8"/>
  <c r="A229" i="8"/>
  <c r="A11" i="8"/>
  <c r="A12" i="8"/>
  <c r="A13" i="8"/>
  <c r="A14" i="8"/>
  <c r="A15" i="8"/>
  <c r="A289" i="8"/>
  <c r="A290" i="8"/>
  <c r="A291" i="8"/>
  <c r="A292" i="8"/>
  <c r="A293" i="8"/>
  <c r="A294" i="8"/>
  <c r="A295" i="8"/>
  <c r="A296" i="8"/>
  <c r="A297" i="8"/>
  <c r="A298" i="8"/>
  <c r="A287" i="8"/>
  <c r="A250" i="8"/>
  <c r="A19" i="8"/>
  <c r="A20" i="8"/>
  <c r="A21" i="8"/>
  <c r="A22" i="8"/>
  <c r="A23" i="8"/>
  <c r="A24" i="8"/>
  <c r="A25" i="8"/>
  <c r="A26" i="8"/>
  <c r="A37" i="8"/>
  <c r="A10" i="107"/>
  <c r="AQ9" i="107"/>
  <c r="AP9" i="107"/>
  <c r="A299" i="8"/>
  <c r="A300" i="8"/>
  <c r="A301" i="8"/>
  <c r="A462" i="8"/>
  <c r="A460" i="8"/>
  <c r="A212" i="8"/>
  <c r="A213" i="8"/>
  <c r="A38" i="8"/>
  <c r="A39" i="8"/>
  <c r="A40" i="8"/>
  <c r="A41" i="8"/>
  <c r="A42" i="8"/>
  <c r="A43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27" i="8"/>
  <c r="A36" i="8"/>
  <c r="A28" i="8"/>
  <c r="A29" i="8"/>
  <c r="A30" i="8"/>
  <c r="A31" i="8"/>
  <c r="A32" i="8"/>
  <c r="A33" i="8"/>
  <c r="A34" i="8"/>
  <c r="A35" i="8"/>
  <c r="A260" i="8"/>
  <c r="A398" i="8"/>
  <c r="A399" i="8"/>
  <c r="AQ10" i="107"/>
  <c r="AP10" i="107"/>
  <c r="A11" i="107"/>
  <c r="A461" i="8"/>
  <c r="A464" i="8"/>
  <c r="A465" i="8"/>
  <c r="A466" i="8"/>
  <c r="A467" i="8"/>
  <c r="A468" i="8"/>
  <c r="A469" i="8"/>
  <c r="A463" i="8"/>
  <c r="A401" i="8"/>
  <c r="A402" i="8"/>
  <c r="A400" i="8"/>
  <c r="A302" i="8"/>
  <c r="A304" i="8"/>
  <c r="A311" i="8"/>
  <c r="A312" i="8"/>
  <c r="A67" i="8"/>
  <c r="A69" i="8"/>
  <c r="AQ11" i="107"/>
  <c r="A12" i="107"/>
  <c r="AP11" i="107"/>
  <c r="A403" i="8"/>
  <c r="A404" i="8"/>
  <c r="A405" i="8"/>
  <c r="A412" i="8"/>
  <c r="A70" i="8"/>
  <c r="A68" i="8"/>
  <c r="A470" i="8"/>
  <c r="A471" i="8"/>
  <c r="A472" i="8"/>
  <c r="A473" i="8"/>
  <c r="A474" i="8"/>
  <c r="A475" i="8"/>
  <c r="A476" i="8"/>
  <c r="A477" i="8"/>
  <c r="A478" i="8"/>
  <c r="A479" i="8"/>
  <c r="A481" i="8"/>
  <c r="A480" i="8"/>
  <c r="A13" i="107"/>
  <c r="AQ12" i="107"/>
  <c r="AP12" i="107"/>
  <c r="A71" i="8"/>
  <c r="A72" i="8"/>
  <c r="A73" i="8"/>
  <c r="A74" i="8"/>
  <c r="A75" i="8"/>
  <c r="A76" i="8"/>
  <c r="A486" i="8"/>
  <c r="A487" i="8"/>
  <c r="A488" i="8"/>
  <c r="A482" i="8"/>
  <c r="A483" i="8"/>
  <c r="A484" i="8"/>
  <c r="A485" i="8"/>
  <c r="AP13" i="107"/>
  <c r="A14" i="107"/>
  <c r="AQ13" i="107"/>
  <c r="A87" i="8"/>
  <c r="A77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15" i="107"/>
  <c r="AQ14" i="107"/>
  <c r="AP14" i="107"/>
  <c r="A78" i="8"/>
  <c r="A93" i="8"/>
  <c r="A94" i="8"/>
  <c r="A95" i="8"/>
  <c r="A89" i="8"/>
  <c r="A90" i="8"/>
  <c r="A91" i="8"/>
  <c r="A9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16" i="107"/>
  <c r="AQ15" i="107"/>
  <c r="AP15" i="107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17" i="8"/>
  <c r="A518" i="8"/>
  <c r="A519" i="8"/>
  <c r="A520" i="8"/>
  <c r="A521" i="8"/>
  <c r="A522" i="8"/>
  <c r="A106" i="8"/>
  <c r="A107" i="8"/>
  <c r="A108" i="8"/>
  <c r="A109" i="8"/>
  <c r="A96" i="8"/>
  <c r="A97" i="8"/>
  <c r="A98" i="8"/>
  <c r="A99" i="8"/>
  <c r="A100" i="8"/>
  <c r="A101" i="8"/>
  <c r="A102" i="8"/>
  <c r="A103" i="8"/>
  <c r="A104" i="8"/>
  <c r="A105" i="8"/>
  <c r="A79" i="8"/>
  <c r="A17" i="107"/>
  <c r="AQ16" i="107"/>
  <c r="AP16" i="107"/>
  <c r="A80" i="8"/>
  <c r="A122" i="8"/>
  <c r="A123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572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563" i="8"/>
  <c r="A18" i="107"/>
  <c r="AQ17" i="107"/>
  <c r="AP17" i="107"/>
  <c r="A81" i="8"/>
  <c r="A82" i="8"/>
  <c r="A83" i="8"/>
  <c r="A84" i="8"/>
  <c r="A85" i="8"/>
  <c r="A86" i="8"/>
  <c r="A88" i="8"/>
  <c r="A564" i="8"/>
  <c r="A565" i="8"/>
  <c r="A566" i="8"/>
  <c r="A567" i="8"/>
  <c r="A568" i="8"/>
  <c r="A569" i="8"/>
  <c r="A570" i="8"/>
  <c r="A571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Q18" i="107"/>
  <c r="AP18" i="107"/>
  <c r="A19" i="107"/>
  <c r="A179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170" i="8"/>
  <c r="AQ19" i="107"/>
  <c r="A20" i="107"/>
  <c r="AP19" i="107"/>
  <c r="A171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21" i="107"/>
  <c r="AQ20" i="107"/>
  <c r="AP20" i="107"/>
  <c r="A172" i="8"/>
  <c r="AP21" i="107"/>
  <c r="A22" i="107"/>
  <c r="AQ21" i="107"/>
  <c r="A173" i="8"/>
  <c r="AP22" i="107"/>
  <c r="A23" i="107"/>
  <c r="AQ22" i="107"/>
  <c r="A174" i="8"/>
  <c r="A24" i="107"/>
  <c r="AQ23" i="107"/>
  <c r="AP23" i="107"/>
  <c r="A175" i="8"/>
  <c r="A25" i="107"/>
  <c r="AQ24" i="107"/>
  <c r="AP24" i="107"/>
  <c r="A176" i="8"/>
  <c r="A26" i="107"/>
  <c r="AQ25" i="107"/>
  <c r="AP25" i="107"/>
  <c r="A177" i="8"/>
  <c r="A178" i="8"/>
  <c r="AO1" i="8"/>
  <c r="AQ26" i="107"/>
  <c r="AP26" i="107"/>
  <c r="A27" i="107"/>
  <c r="AL1" i="8"/>
  <c r="AN1" i="8"/>
  <c r="AM1" i="8"/>
  <c r="AP1" i="8"/>
  <c r="AQ27" i="107"/>
  <c r="A28" i="107"/>
  <c r="AP27" i="107"/>
  <c r="A29" i="107"/>
  <c r="AQ28" i="107"/>
  <c r="AP28" i="107"/>
  <c r="AP29" i="107"/>
  <c r="A30" i="107"/>
  <c r="AQ29" i="107"/>
  <c r="AP30" i="107"/>
  <c r="A31" i="107"/>
  <c r="AQ30" i="107"/>
  <c r="A32" i="107"/>
  <c r="AQ31" i="107"/>
  <c r="AP31" i="107"/>
  <c r="A33" i="107"/>
  <c r="AQ32" i="107"/>
  <c r="AP32" i="107"/>
  <c r="A34" i="107"/>
  <c r="AQ33" i="107"/>
  <c r="AP33" i="107"/>
  <c r="AQ34" i="107"/>
  <c r="AP34" i="107"/>
  <c r="A35" i="107"/>
  <c r="AQ35" i="107"/>
  <c r="A36" i="107"/>
  <c r="AP35" i="107"/>
  <c r="A37" i="107"/>
  <c r="AQ36" i="107"/>
  <c r="AP36" i="107"/>
  <c r="AQ37" i="107"/>
  <c r="A38" i="107"/>
  <c r="AP37" i="107"/>
  <c r="AP38" i="107"/>
  <c r="A39" i="107"/>
  <c r="AQ38" i="107"/>
  <c r="AP39" i="107"/>
  <c r="A40" i="107"/>
  <c r="AQ39" i="107"/>
  <c r="AP40" i="107"/>
  <c r="A41" i="107"/>
  <c r="AQ40" i="107"/>
  <c r="A42" i="107"/>
  <c r="AQ41" i="107"/>
  <c r="AP41" i="107"/>
  <c r="A43" i="107"/>
  <c r="AQ42" i="107"/>
  <c r="AP42" i="107"/>
  <c r="AQ43" i="107"/>
  <c r="A44" i="107"/>
  <c r="AP43" i="107"/>
  <c r="AQ44" i="107"/>
  <c r="AP44" i="107"/>
  <c r="A45" i="107"/>
  <c r="AQ45" i="107"/>
  <c r="A46" i="107"/>
  <c r="AP45" i="107"/>
  <c r="AP46" i="107"/>
  <c r="A47" i="107"/>
  <c r="AQ46" i="107"/>
  <c r="A48" i="107"/>
  <c r="AP47" i="107"/>
  <c r="AQ47" i="107"/>
  <c r="AP48" i="107"/>
  <c r="A49" i="107"/>
  <c r="AQ48" i="107"/>
  <c r="A50" i="107"/>
  <c r="AQ49" i="107"/>
  <c r="AP49" i="107"/>
  <c r="A51" i="107"/>
  <c r="AQ50" i="107"/>
  <c r="AP50" i="107"/>
  <c r="AQ51" i="107"/>
  <c r="A52" i="107"/>
  <c r="AP51" i="107"/>
  <c r="AQ52" i="107"/>
  <c r="A53" i="107"/>
  <c r="AP52" i="107"/>
  <c r="AQ53" i="107"/>
  <c r="AP53" i="107"/>
  <c r="A54" i="107"/>
  <c r="AP54" i="107"/>
  <c r="A55" i="107"/>
  <c r="AQ54" i="107"/>
  <c r="A56" i="107"/>
  <c r="AP55" i="107"/>
  <c r="AQ55" i="107"/>
  <c r="AP56" i="107"/>
  <c r="A57" i="107"/>
  <c r="AQ56" i="107"/>
  <c r="A58" i="107"/>
  <c r="AP57" i="107"/>
  <c r="AQ57" i="107"/>
  <c r="A59" i="107"/>
  <c r="AQ58" i="107"/>
  <c r="AP58" i="107"/>
  <c r="AQ59" i="107"/>
  <c r="A60" i="107"/>
  <c r="AP59" i="107"/>
  <c r="AQ60" i="107"/>
  <c r="A61" i="107"/>
  <c r="AP60" i="107"/>
  <c r="AQ61" i="107"/>
  <c r="AP61" i="107"/>
  <c r="A62" i="107"/>
  <c r="AP62" i="107"/>
  <c r="A63" i="107"/>
  <c r="AQ62" i="107"/>
  <c r="A64" i="107"/>
  <c r="AP63" i="107"/>
  <c r="AQ63" i="107"/>
  <c r="AP64" i="107"/>
  <c r="A65" i="107"/>
  <c r="AQ64" i="107"/>
  <c r="A66" i="107"/>
  <c r="AQ65" i="107"/>
  <c r="AP65" i="107"/>
  <c r="A67" i="107"/>
  <c r="AQ66" i="107"/>
  <c r="AP66" i="107"/>
  <c r="AQ67" i="107"/>
  <c r="A68" i="107"/>
  <c r="AP67" i="107"/>
  <c r="AQ68" i="107"/>
  <c r="A69" i="107"/>
  <c r="AP68" i="107"/>
  <c r="AQ69" i="107"/>
  <c r="AP69" i="107"/>
  <c r="A70" i="107"/>
  <c r="AP70" i="107"/>
  <c r="A71" i="107"/>
  <c r="AQ70" i="107"/>
  <c r="A72" i="107"/>
  <c r="AP71" i="107"/>
  <c r="AQ71" i="107"/>
  <c r="AP72" i="107"/>
  <c r="A73" i="107"/>
  <c r="AQ72" i="107"/>
  <c r="A74" i="107"/>
  <c r="AP73" i="107"/>
  <c r="AQ73" i="107"/>
  <c r="A75" i="107"/>
  <c r="AQ74" i="107"/>
  <c r="AP74" i="107"/>
  <c r="AQ75" i="107"/>
  <c r="A76" i="107"/>
  <c r="AP75" i="107"/>
  <c r="AQ76" i="107"/>
  <c r="A77" i="107"/>
  <c r="AP76" i="107"/>
  <c r="AQ77" i="107"/>
  <c r="AP77" i="107"/>
  <c r="A78" i="107"/>
  <c r="AP78" i="107"/>
  <c r="A79" i="107"/>
  <c r="AQ78" i="107"/>
  <c r="A80" i="107"/>
  <c r="AQ79" i="107"/>
  <c r="AP79" i="107"/>
  <c r="AP80" i="107"/>
  <c r="A81" i="107"/>
  <c r="AQ80" i="107"/>
  <c r="A82" i="107"/>
  <c r="AQ81" i="107"/>
  <c r="AP81" i="107"/>
  <c r="A83" i="107"/>
  <c r="AQ82" i="107"/>
  <c r="AP82" i="107"/>
  <c r="AQ83" i="107"/>
  <c r="A84" i="107"/>
  <c r="AP83" i="107"/>
  <c r="A85" i="107"/>
  <c r="AQ84" i="107"/>
  <c r="AP84" i="107"/>
  <c r="AQ85" i="107"/>
  <c r="AP85" i="107"/>
  <c r="A86" i="107"/>
  <c r="AP86" i="107"/>
  <c r="AQ86" i="107"/>
  <c r="A87" i="107"/>
  <c r="A88" i="107"/>
  <c r="AQ87" i="107"/>
  <c r="AP87" i="107"/>
  <c r="AP88" i="107"/>
  <c r="A89" i="107"/>
  <c r="AQ88" i="107"/>
  <c r="A90" i="107"/>
  <c r="AP89" i="107"/>
  <c r="AQ89" i="107"/>
  <c r="A91" i="107"/>
  <c r="AQ90" i="107"/>
  <c r="AP90" i="107"/>
  <c r="AQ91" i="107"/>
  <c r="AP91" i="107"/>
  <c r="A92" i="107"/>
  <c r="A93" i="107"/>
  <c r="AQ92" i="107"/>
  <c r="AP92" i="107"/>
  <c r="AQ93" i="107"/>
  <c r="AP93" i="107"/>
  <c r="A94" i="107"/>
  <c r="AP94" i="107"/>
  <c r="A95" i="107"/>
  <c r="AQ94" i="107"/>
  <c r="A96" i="107"/>
  <c r="AQ95" i="107"/>
  <c r="AP95" i="107"/>
  <c r="AP96" i="107"/>
  <c r="A97" i="107"/>
  <c r="AQ96" i="107"/>
  <c r="A98" i="107"/>
  <c r="AQ97" i="107"/>
  <c r="AP97" i="107"/>
  <c r="A99" i="107"/>
  <c r="AQ98" i="107"/>
  <c r="AP98" i="107"/>
  <c r="AQ99" i="107"/>
  <c r="A100" i="107"/>
  <c r="AP99" i="107"/>
  <c r="A101" i="107"/>
  <c r="AQ100" i="107"/>
  <c r="AP100" i="107"/>
  <c r="AQ101" i="107"/>
  <c r="AP101" i="107"/>
  <c r="A102" i="107"/>
  <c r="AP102" i="107"/>
  <c r="A103" i="107"/>
  <c r="AQ102" i="107"/>
  <c r="A104" i="107"/>
  <c r="AQ103" i="107"/>
  <c r="AP103" i="107"/>
  <c r="AP104" i="107"/>
  <c r="A105" i="107"/>
  <c r="AQ104" i="107"/>
  <c r="A106" i="107"/>
  <c r="AQ105" i="107"/>
  <c r="AP105" i="107"/>
  <c r="A107" i="107"/>
  <c r="AQ106" i="107"/>
  <c r="AP106" i="107"/>
  <c r="AQ107" i="107"/>
  <c r="A108" i="107"/>
  <c r="AP107" i="107"/>
  <c r="A109" i="107"/>
  <c r="AQ108" i="107"/>
  <c r="AP108" i="107"/>
  <c r="AQ109" i="107"/>
  <c r="AP109" i="107"/>
  <c r="A110" i="107"/>
  <c r="AP110" i="107"/>
  <c r="A111" i="107"/>
  <c r="AQ110" i="107"/>
  <c r="A112" i="107"/>
  <c r="AQ111" i="107"/>
  <c r="AP111" i="107"/>
  <c r="AP112" i="107"/>
  <c r="A113" i="107"/>
  <c r="AQ112" i="107"/>
  <c r="A114" i="107"/>
  <c r="AQ113" i="107"/>
  <c r="AP113" i="107"/>
  <c r="A115" i="107"/>
  <c r="AQ114" i="107"/>
  <c r="AP114" i="107"/>
  <c r="AQ115" i="107"/>
  <c r="A116" i="107"/>
  <c r="AP115" i="107"/>
  <c r="A117" i="107"/>
  <c r="AQ116" i="107"/>
  <c r="AP116" i="107"/>
  <c r="AQ117" i="107"/>
  <c r="AP117" i="107"/>
  <c r="A118" i="107"/>
  <c r="AP118" i="107"/>
  <c r="A119" i="107"/>
  <c r="AQ118" i="107"/>
  <c r="A120" i="107"/>
  <c r="AQ119" i="107"/>
  <c r="AP119" i="107"/>
  <c r="AP120" i="107"/>
  <c r="A121" i="107"/>
  <c r="AQ120" i="107"/>
  <c r="A122" i="107"/>
  <c r="AQ121" i="107"/>
  <c r="AP121" i="107"/>
  <c r="A123" i="107"/>
  <c r="AQ122" i="107"/>
  <c r="AP122" i="107"/>
  <c r="AQ123" i="107"/>
  <c r="A124" i="107"/>
  <c r="AP123" i="107"/>
  <c r="A125" i="107"/>
  <c r="AQ124" i="107"/>
  <c r="AP124" i="107"/>
  <c r="AQ125" i="107"/>
  <c r="AP125" i="107"/>
  <c r="A126" i="107"/>
  <c r="AP126" i="107"/>
  <c r="A127" i="107"/>
  <c r="AQ126" i="107"/>
  <c r="A128" i="107"/>
  <c r="AQ127" i="107"/>
  <c r="AP127" i="107"/>
  <c r="AP128" i="107"/>
  <c r="A129" i="107"/>
  <c r="AQ128" i="107"/>
  <c r="A130" i="107"/>
  <c r="AQ129" i="107"/>
  <c r="AP129" i="107"/>
  <c r="A131" i="107"/>
  <c r="AQ130" i="107"/>
  <c r="AP130" i="107"/>
  <c r="AQ131" i="107"/>
  <c r="AP131" i="107"/>
  <c r="A132" i="107"/>
  <c r="A133" i="107"/>
  <c r="AQ132" i="107"/>
  <c r="AP132" i="107"/>
  <c r="AQ133" i="107"/>
  <c r="AP133" i="107"/>
  <c r="A134" i="107"/>
  <c r="AP134" i="107"/>
  <c r="A135" i="107"/>
  <c r="AQ134" i="107"/>
  <c r="A136" i="107"/>
  <c r="AQ135" i="107"/>
  <c r="AP135" i="107"/>
  <c r="AP136" i="107"/>
  <c r="A137" i="107"/>
  <c r="AQ136" i="107"/>
  <c r="A138" i="107"/>
  <c r="AQ137" i="107"/>
  <c r="AP137" i="107"/>
  <c r="A139" i="107"/>
  <c r="AQ138" i="107"/>
  <c r="AP138" i="107"/>
  <c r="AQ139" i="107"/>
  <c r="A140" i="107"/>
  <c r="AP139" i="107"/>
  <c r="A141" i="107"/>
  <c r="AQ140" i="107"/>
  <c r="AP140" i="107"/>
  <c r="AQ141" i="107"/>
  <c r="AP141" i="107"/>
  <c r="A142" i="107"/>
  <c r="AP142" i="107"/>
  <c r="A143" i="107"/>
  <c r="AQ142" i="107"/>
  <c r="A144" i="107"/>
  <c r="AQ143" i="107"/>
  <c r="AP143" i="107"/>
  <c r="AP144" i="107"/>
  <c r="A145" i="107"/>
  <c r="AQ144" i="107"/>
  <c r="A146" i="107"/>
  <c r="AP145" i="107"/>
  <c r="AQ145" i="107"/>
  <c r="AP146" i="107"/>
  <c r="A147" i="107"/>
  <c r="AQ146" i="107"/>
  <c r="A148" i="107"/>
  <c r="AQ147" i="107"/>
  <c r="AP147" i="107"/>
  <c r="A149" i="107"/>
  <c r="AQ148" i="107"/>
  <c r="AP148" i="107"/>
  <c r="A150" i="107"/>
  <c r="AQ149" i="107"/>
  <c r="AP149" i="107"/>
  <c r="AQ150" i="107"/>
  <c r="A151" i="107"/>
  <c r="AP150" i="107"/>
  <c r="AQ151" i="107"/>
  <c r="AP151" i="107"/>
  <c r="A152" i="107"/>
  <c r="AQ152" i="107"/>
  <c r="A153" i="107"/>
  <c r="AP152" i="107"/>
  <c r="A154" i="107"/>
  <c r="AP153" i="107"/>
  <c r="AQ153" i="107"/>
  <c r="AP154" i="107"/>
  <c r="AQ154" i="107"/>
  <c r="A155" i="107"/>
  <c r="A156" i="107"/>
  <c r="AQ155" i="107"/>
  <c r="AP155" i="107"/>
  <c r="A157" i="107"/>
  <c r="AQ156" i="107"/>
  <c r="AP156" i="107"/>
  <c r="AP157" i="107"/>
  <c r="A158" i="107"/>
  <c r="AQ157" i="107"/>
  <c r="AQ158" i="107"/>
  <c r="AP158" i="107"/>
  <c r="A159" i="107"/>
  <c r="A160" i="107"/>
  <c r="AQ159" i="107"/>
  <c r="AP159" i="107"/>
  <c r="A161" i="107"/>
  <c r="AP160" i="107"/>
  <c r="AQ160" i="107"/>
  <c r="A162" i="107"/>
  <c r="AP161" i="107"/>
  <c r="AQ161" i="107"/>
  <c r="AQ162" i="107"/>
  <c r="AP162" i="107"/>
  <c r="A163" i="107"/>
  <c r="A164" i="107"/>
  <c r="AQ163" i="107"/>
  <c r="AP163" i="107"/>
  <c r="A165" i="107"/>
  <c r="AQ164" i="107"/>
  <c r="AP164" i="107"/>
  <c r="AP165" i="107"/>
  <c r="AQ165" i="107"/>
  <c r="A166" i="107"/>
  <c r="A167" i="107"/>
  <c r="AQ166" i="107"/>
  <c r="AP166" i="107"/>
  <c r="A168" i="107"/>
  <c r="AQ167" i="107"/>
  <c r="AP167" i="107"/>
  <c r="A169" i="107"/>
  <c r="AQ168" i="107"/>
  <c r="AP168" i="107"/>
  <c r="A170" i="107"/>
  <c r="AQ169" i="107"/>
  <c r="AP169" i="107"/>
  <c r="AQ170" i="107"/>
  <c r="AP170" i="107"/>
  <c r="A171" i="107"/>
  <c r="A172" i="107"/>
  <c r="AQ171" i="107"/>
  <c r="AP171" i="107"/>
  <c r="A173" i="107"/>
  <c r="AQ172" i="107"/>
  <c r="AP172" i="107"/>
  <c r="AP173" i="107"/>
  <c r="AQ173" i="107"/>
  <c r="A174" i="107"/>
  <c r="A175" i="107"/>
  <c r="AQ174" i="107"/>
  <c r="AP174" i="107"/>
  <c r="A176" i="107"/>
  <c r="AQ175" i="107"/>
  <c r="AP175" i="107"/>
  <c r="A177" i="107"/>
  <c r="AP176" i="107"/>
  <c r="AQ176" i="107"/>
  <c r="A178" i="107"/>
  <c r="AQ177" i="107"/>
  <c r="AP177" i="107"/>
  <c r="AQ178" i="107"/>
  <c r="AP178" i="107"/>
  <c r="A179" i="107"/>
  <c r="A180" i="107"/>
  <c r="AQ179" i="107"/>
  <c r="AP179" i="107"/>
  <c r="A181" i="107"/>
  <c r="AQ180" i="107"/>
  <c r="AP180" i="107"/>
  <c r="AP181" i="107"/>
  <c r="A182" i="107"/>
  <c r="AQ181" i="107"/>
  <c r="A183" i="107"/>
  <c r="AQ182" i="107"/>
  <c r="AP182" i="107"/>
  <c r="A184" i="107"/>
  <c r="AQ183" i="107"/>
  <c r="AP183" i="107"/>
  <c r="A185" i="107"/>
  <c r="AP184" i="107"/>
  <c r="AQ184" i="107"/>
  <c r="A186" i="107"/>
  <c r="AQ185" i="107"/>
  <c r="AP185" i="107"/>
  <c r="AQ186" i="107"/>
  <c r="AP186" i="107"/>
  <c r="A187" i="107"/>
  <c r="A188" i="107"/>
  <c r="AQ187" i="107"/>
  <c r="AP187" i="107"/>
  <c r="A189" i="107"/>
  <c r="AQ188" i="107"/>
  <c r="AP188" i="107"/>
  <c r="AP189" i="107"/>
  <c r="A190" i="107"/>
  <c r="AQ189" i="107"/>
  <c r="A191" i="107"/>
  <c r="AQ190" i="107"/>
  <c r="AP190" i="107"/>
  <c r="A192" i="107"/>
  <c r="AQ191" i="107"/>
  <c r="AP191" i="107"/>
  <c r="A193" i="107"/>
  <c r="AQ192" i="107"/>
  <c r="AP192" i="107"/>
  <c r="A194" i="107"/>
  <c r="AQ193" i="107"/>
  <c r="AP193" i="107"/>
  <c r="AQ194" i="107"/>
  <c r="AP194" i="107"/>
  <c r="A195" i="107"/>
  <c r="A196" i="107"/>
  <c r="AQ195" i="107"/>
  <c r="AP195" i="107"/>
  <c r="A197" i="107"/>
  <c r="AQ196" i="107"/>
  <c r="AP196" i="107"/>
  <c r="AP197" i="107"/>
  <c r="AQ197" i="107"/>
  <c r="A198" i="107"/>
  <c r="A199" i="107"/>
  <c r="AQ198" i="107"/>
  <c r="AP198" i="107"/>
  <c r="A200" i="107"/>
  <c r="AQ199" i="107"/>
  <c r="AP199" i="107"/>
  <c r="A201" i="107"/>
  <c r="AQ200" i="107"/>
  <c r="AP200" i="107"/>
  <c r="A202" i="107"/>
  <c r="AQ201" i="107"/>
  <c r="AP201" i="107"/>
  <c r="AQ202" i="107"/>
  <c r="AP202" i="107"/>
  <c r="A203" i="107"/>
  <c r="A204" i="107"/>
  <c r="AQ203" i="107"/>
  <c r="AP203" i="107"/>
  <c r="A205" i="107"/>
  <c r="AQ204" i="107"/>
  <c r="AP204" i="107"/>
  <c r="AP205" i="107"/>
  <c r="AQ205" i="107"/>
  <c r="A206" i="107"/>
  <c r="A207" i="107"/>
  <c r="AQ206" i="107"/>
  <c r="AP206" i="107"/>
  <c r="A208" i="107"/>
  <c r="AQ207" i="107"/>
  <c r="AP207" i="107"/>
  <c r="A209" i="107"/>
  <c r="AP208" i="107"/>
  <c r="AQ208" i="107"/>
  <c r="A210" i="107"/>
  <c r="AQ209" i="107"/>
  <c r="AP209" i="107"/>
  <c r="AQ210" i="107"/>
  <c r="AP210" i="107"/>
  <c r="A211" i="107"/>
  <c r="A212" i="107"/>
  <c r="AQ211" i="107"/>
  <c r="AP211" i="107"/>
  <c r="A213" i="107"/>
  <c r="AQ212" i="107"/>
  <c r="AP212" i="107"/>
  <c r="AP213" i="107"/>
  <c r="A214" i="107"/>
  <c r="AQ213" i="107"/>
  <c r="A215" i="107"/>
  <c r="AQ214" i="107"/>
  <c r="AP214" i="107"/>
  <c r="A216" i="107"/>
  <c r="AQ215" i="107"/>
  <c r="AP215" i="107"/>
  <c r="A217" i="107"/>
  <c r="AP216" i="107"/>
  <c r="AQ216" i="107"/>
  <c r="A218" i="107"/>
  <c r="AQ217" i="107"/>
  <c r="AP217" i="107"/>
  <c r="AQ218" i="107"/>
  <c r="AP218" i="107"/>
  <c r="A219" i="107"/>
  <c r="A220" i="107"/>
  <c r="AQ219" i="107"/>
  <c r="AP219" i="107"/>
  <c r="A221" i="107"/>
  <c r="AQ220" i="107"/>
  <c r="AP220" i="107"/>
  <c r="AP221" i="107"/>
  <c r="A222" i="107"/>
  <c r="AQ221" i="107"/>
  <c r="A223" i="107"/>
  <c r="AQ222" i="107"/>
  <c r="AP222" i="107"/>
  <c r="A224" i="107"/>
  <c r="AQ223" i="107"/>
  <c r="AP223" i="107"/>
  <c r="A225" i="107"/>
  <c r="AQ224" i="107"/>
  <c r="AP224" i="107"/>
  <c r="A226" i="107"/>
  <c r="AQ225" i="107"/>
  <c r="AP225" i="107"/>
  <c r="AQ226" i="107"/>
  <c r="AP226" i="107"/>
  <c r="A227" i="107"/>
  <c r="A228" i="107"/>
  <c r="AQ227" i="107"/>
  <c r="AP227" i="107"/>
  <c r="A229" i="107"/>
  <c r="AQ228" i="107"/>
  <c r="AP228" i="107"/>
  <c r="AP229" i="107"/>
  <c r="AQ229" i="107"/>
  <c r="A230" i="107"/>
  <c r="A231" i="107"/>
  <c r="AQ230" i="107"/>
  <c r="AP230" i="107"/>
  <c r="A232" i="107"/>
  <c r="AQ231" i="107"/>
  <c r="AP231" i="107"/>
  <c r="A233" i="107"/>
  <c r="AQ232" i="107"/>
  <c r="AP232" i="107"/>
  <c r="A234" i="107"/>
  <c r="AQ233" i="107"/>
  <c r="AP233" i="107"/>
  <c r="AQ234" i="107"/>
  <c r="AP234" i="107"/>
  <c r="A235" i="107"/>
  <c r="A236" i="107"/>
  <c r="AQ235" i="107"/>
  <c r="AP235" i="107"/>
  <c r="A237" i="107"/>
  <c r="AQ236" i="107"/>
  <c r="AP236" i="107"/>
  <c r="AP237" i="107"/>
  <c r="AQ237" i="107"/>
  <c r="A238" i="107"/>
  <c r="A239" i="107"/>
  <c r="AQ238" i="107"/>
  <c r="AP238" i="107"/>
  <c r="A240" i="107"/>
  <c r="AQ239" i="107"/>
  <c r="AP239" i="107"/>
  <c r="A241" i="107"/>
  <c r="AP240" i="107"/>
  <c r="AQ240" i="107"/>
  <c r="A242" i="107"/>
  <c r="AQ241" i="107"/>
  <c r="AP241" i="107"/>
  <c r="AQ242" i="107"/>
  <c r="AP242" i="107"/>
  <c r="A243" i="107"/>
  <c r="A244" i="107"/>
  <c r="AQ243" i="107"/>
  <c r="AP243" i="107"/>
  <c r="A245" i="107"/>
  <c r="AQ244" i="107"/>
  <c r="AP244" i="107"/>
  <c r="AP245" i="107"/>
  <c r="A246" i="107"/>
  <c r="AQ245" i="107"/>
  <c r="A247" i="107"/>
  <c r="AQ246" i="107"/>
  <c r="AP246" i="107"/>
  <c r="A248" i="107"/>
  <c r="AQ247" i="107"/>
  <c r="AP247" i="107"/>
  <c r="A249" i="107"/>
  <c r="AP248" i="107"/>
  <c r="AQ248" i="107"/>
  <c r="A250" i="107"/>
  <c r="AQ249" i="107"/>
  <c r="AP249" i="107"/>
  <c r="AQ250" i="107"/>
  <c r="AP250" i="107"/>
  <c r="A251" i="107"/>
  <c r="A252" i="107"/>
  <c r="AQ251" i="107"/>
  <c r="AP251" i="107"/>
  <c r="A253" i="107"/>
  <c r="AQ252" i="107"/>
  <c r="AP252" i="107"/>
  <c r="AP253" i="107"/>
  <c r="A254" i="107"/>
  <c r="AQ253" i="107"/>
  <c r="A255" i="107"/>
  <c r="AQ254" i="107"/>
  <c r="AP254" i="107"/>
  <c r="A256" i="107"/>
  <c r="AQ255" i="107"/>
  <c r="AP255" i="107"/>
  <c r="AQ256" i="107"/>
  <c r="A257" i="107"/>
  <c r="AP256" i="107"/>
  <c r="A258" i="107"/>
  <c r="AQ257" i="107"/>
  <c r="AP257" i="107"/>
  <c r="A259" i="107"/>
  <c r="AQ258" i="107"/>
  <c r="AP258" i="107"/>
  <c r="AP259" i="107"/>
  <c r="A260" i="107"/>
  <c r="AQ259" i="107"/>
  <c r="A261" i="107"/>
  <c r="AQ260" i="107"/>
  <c r="AP260" i="107"/>
  <c r="A262" i="107"/>
  <c r="AQ261" i="107"/>
  <c r="AP261" i="107"/>
  <c r="AQ262" i="107"/>
  <c r="A263" i="107"/>
  <c r="AP262" i="107"/>
  <c r="A264" i="107"/>
  <c r="AQ263" i="107"/>
  <c r="AP263" i="107"/>
  <c r="AQ264" i="107"/>
  <c r="AP264" i="107"/>
  <c r="A265" i="107"/>
  <c r="AP265" i="107"/>
  <c r="A266" i="107"/>
  <c r="AQ265" i="107"/>
  <c r="A267" i="107"/>
  <c r="AQ266" i="107"/>
  <c r="AP266" i="107"/>
  <c r="AP267" i="107"/>
  <c r="A268" i="107"/>
  <c r="AQ267" i="107"/>
  <c r="A269" i="107"/>
  <c r="AQ268" i="107"/>
  <c r="AP268" i="107"/>
  <c r="A270" i="107"/>
  <c r="AQ269" i="107"/>
  <c r="AP269" i="107"/>
  <c r="AQ270" i="107"/>
  <c r="A271" i="107"/>
  <c r="AP270" i="107"/>
  <c r="A272" i="107"/>
  <c r="AQ271" i="107"/>
  <c r="AP271" i="107"/>
  <c r="AQ272" i="107"/>
  <c r="AP272" i="107"/>
  <c r="A273" i="107"/>
  <c r="AP273" i="107"/>
  <c r="A274" i="107"/>
  <c r="AQ273" i="107"/>
  <c r="A275" i="107"/>
  <c r="AQ274" i="107"/>
  <c r="AP274" i="107"/>
  <c r="AP275" i="107"/>
  <c r="A276" i="107"/>
  <c r="AQ275" i="107"/>
  <c r="A277" i="107"/>
  <c r="AP276" i="107"/>
  <c r="AQ276" i="107"/>
  <c r="A278" i="107"/>
  <c r="AQ277" i="107"/>
  <c r="AP277" i="107"/>
  <c r="A279" i="107"/>
  <c r="AQ278" i="107"/>
  <c r="AP278" i="107"/>
  <c r="A280" i="107"/>
  <c r="AQ279" i="107"/>
  <c r="AP279" i="107"/>
  <c r="AQ280" i="107"/>
  <c r="AP280" i="107"/>
  <c r="A281" i="107"/>
  <c r="A282" i="107"/>
  <c r="AQ281" i="107"/>
  <c r="AP281" i="107"/>
  <c r="A283" i="107"/>
  <c r="AQ282" i="107"/>
  <c r="AP282" i="107"/>
  <c r="AP283" i="107"/>
  <c r="A284" i="107"/>
  <c r="AQ283" i="107"/>
  <c r="A285" i="107"/>
  <c r="AQ284" i="107"/>
  <c r="AP284" i="107"/>
  <c r="A286" i="107"/>
  <c r="AQ285" i="107"/>
  <c r="AP285" i="107"/>
  <c r="A287" i="107"/>
  <c r="AQ286" i="107"/>
  <c r="AP286" i="107"/>
  <c r="A288" i="107"/>
  <c r="AQ287" i="107"/>
  <c r="AP287" i="107"/>
  <c r="AQ288" i="107"/>
  <c r="AP288" i="107"/>
  <c r="A289" i="107"/>
  <c r="A290" i="107"/>
  <c r="AQ289" i="107"/>
  <c r="AP289" i="107"/>
  <c r="A291" i="107"/>
  <c r="AQ290" i="107"/>
  <c r="AP290" i="107"/>
  <c r="AP291" i="107"/>
  <c r="A292" i="107"/>
  <c r="AQ291" i="107"/>
  <c r="A293" i="107"/>
  <c r="AQ292" i="107"/>
  <c r="AP292" i="107"/>
  <c r="A294" i="107"/>
  <c r="AQ293" i="107"/>
  <c r="AP293" i="107"/>
  <c r="A295" i="107"/>
  <c r="AQ294" i="107"/>
  <c r="AP294" i="107"/>
  <c r="A296" i="107"/>
  <c r="AQ295" i="107"/>
  <c r="AP295" i="107"/>
  <c r="AQ296" i="107"/>
  <c r="AP296" i="107"/>
  <c r="A297" i="107"/>
  <c r="A298" i="107"/>
  <c r="AQ297" i="107"/>
  <c r="AP297" i="107"/>
  <c r="A299" i="107"/>
  <c r="AQ298" i="107"/>
  <c r="AP298" i="107"/>
  <c r="AP299" i="107"/>
  <c r="A300" i="107"/>
  <c r="AQ299" i="107"/>
  <c r="A301" i="107"/>
  <c r="AQ300" i="107"/>
  <c r="AP300" i="107"/>
  <c r="A302" i="107"/>
  <c r="AQ301" i="107"/>
  <c r="AP301" i="107"/>
  <c r="A303" i="107"/>
  <c r="AQ302" i="107"/>
  <c r="AP302" i="107"/>
  <c r="A304" i="107"/>
  <c r="AQ303" i="107"/>
  <c r="AP303" i="107"/>
  <c r="AQ304" i="107"/>
  <c r="AP304" i="107"/>
  <c r="A305" i="107"/>
  <c r="A306" i="107"/>
  <c r="AQ305" i="107"/>
  <c r="AP305" i="107"/>
  <c r="A307" i="107"/>
  <c r="AQ306" i="107"/>
  <c r="AP306" i="107"/>
  <c r="AP307" i="107"/>
  <c r="A308" i="107"/>
  <c r="AQ307" i="107"/>
  <c r="A309" i="107"/>
  <c r="AQ308" i="107"/>
  <c r="AP308" i="107"/>
  <c r="A310" i="107"/>
  <c r="AQ309" i="107"/>
  <c r="AP309" i="107"/>
  <c r="A311" i="107"/>
  <c r="AQ310" i="107"/>
  <c r="AP310" i="107"/>
  <c r="A312" i="107"/>
  <c r="AQ311" i="107"/>
  <c r="AP311" i="107"/>
  <c r="AQ312" i="107"/>
  <c r="AP312" i="107"/>
  <c r="A313" i="107"/>
  <c r="A314" i="107"/>
  <c r="AQ313" i="107"/>
  <c r="AP313" i="107"/>
  <c r="A315" i="107"/>
  <c r="AQ314" i="107"/>
  <c r="AP314" i="107"/>
  <c r="AP315" i="107"/>
  <c r="A316" i="107"/>
  <c r="AQ315" i="107"/>
  <c r="A317" i="107"/>
  <c r="AQ316" i="107"/>
  <c r="AP316" i="107"/>
  <c r="A318" i="107"/>
  <c r="AQ317" i="107"/>
  <c r="AP317" i="107"/>
  <c r="A319" i="107"/>
  <c r="AQ318" i="107"/>
  <c r="AP318" i="107"/>
  <c r="A320" i="107"/>
  <c r="AQ319" i="107"/>
  <c r="AP319" i="107"/>
  <c r="AQ320" i="107"/>
  <c r="AP320" i="107"/>
  <c r="A321" i="107"/>
  <c r="A322" i="107"/>
  <c r="AQ321" i="107"/>
  <c r="AP321" i="107"/>
  <c r="A323" i="107"/>
  <c r="AQ322" i="107"/>
  <c r="AP322" i="107"/>
  <c r="AP323" i="107"/>
  <c r="A324" i="107"/>
  <c r="AQ323" i="107"/>
  <c r="A325" i="107"/>
  <c r="AQ324" i="107"/>
  <c r="AP324" i="107"/>
  <c r="A326" i="107"/>
  <c r="AQ325" i="107"/>
  <c r="AP325" i="107"/>
  <c r="A327" i="107"/>
  <c r="AQ326" i="107"/>
  <c r="AP326" i="107"/>
  <c r="A328" i="107"/>
  <c r="AQ327" i="107"/>
  <c r="AP327" i="107"/>
  <c r="AQ328" i="107"/>
  <c r="AP328" i="107"/>
  <c r="A329" i="107"/>
  <c r="A330" i="107"/>
  <c r="AQ329" i="107"/>
  <c r="AP329" i="107"/>
  <c r="A331" i="107"/>
  <c r="AQ330" i="107"/>
  <c r="AP330" i="107"/>
  <c r="AP331" i="107"/>
  <c r="A332" i="107"/>
  <c r="AQ331" i="107"/>
  <c r="A333" i="107"/>
  <c r="AQ332" i="107"/>
  <c r="AP332" i="107"/>
  <c r="A334" i="107"/>
  <c r="AQ333" i="107"/>
  <c r="AP333" i="107"/>
  <c r="A335" i="107"/>
  <c r="AQ334" i="107"/>
  <c r="AP334" i="107"/>
  <c r="A336" i="107"/>
  <c r="AQ335" i="107"/>
  <c r="AP335" i="107"/>
  <c r="AQ336" i="107"/>
  <c r="AP336" i="107"/>
  <c r="A337" i="107"/>
  <c r="A338" i="107"/>
  <c r="AQ337" i="107"/>
  <c r="AP337" i="107"/>
  <c r="A339" i="107"/>
  <c r="AQ338" i="107"/>
  <c r="AP338" i="107"/>
  <c r="AP339" i="107"/>
  <c r="A340" i="107"/>
  <c r="AQ339" i="107"/>
  <c r="A341" i="107"/>
  <c r="AQ340" i="107"/>
  <c r="AP340" i="107"/>
  <c r="A342" i="107"/>
  <c r="AQ341" i="107"/>
  <c r="AP341" i="107"/>
  <c r="A343" i="107"/>
  <c r="AQ342" i="107"/>
  <c r="AP342" i="107"/>
  <c r="A344" i="107"/>
  <c r="AQ343" i="107"/>
  <c r="AP343" i="107"/>
  <c r="AQ344" i="107"/>
  <c r="AP344" i="107"/>
  <c r="A345" i="107"/>
  <c r="A346" i="107"/>
  <c r="AQ345" i="107"/>
  <c r="AP345" i="107"/>
  <c r="A347" i="107"/>
  <c r="AQ346" i="107"/>
  <c r="AP346" i="107"/>
  <c r="AP347" i="107"/>
  <c r="A348" i="107"/>
  <c r="AQ347" i="107"/>
  <c r="A349" i="107"/>
  <c r="AQ348" i="107"/>
  <c r="AP348" i="107"/>
  <c r="A350" i="107"/>
  <c r="AQ349" i="107"/>
  <c r="AP349" i="107"/>
  <c r="A351" i="107"/>
  <c r="AQ350" i="107"/>
  <c r="AP350" i="107"/>
  <c r="A352" i="107"/>
  <c r="AQ351" i="107"/>
  <c r="AP351" i="107"/>
  <c r="AQ352" i="107"/>
  <c r="AP352" i="107"/>
  <c r="A353" i="107"/>
  <c r="A354" i="107"/>
  <c r="AQ353" i="107"/>
  <c r="AP353" i="107"/>
  <c r="A355" i="107"/>
  <c r="AQ354" i="107"/>
  <c r="AP354" i="107"/>
  <c r="AP355" i="107"/>
  <c r="A356" i="107"/>
  <c r="AQ355" i="107"/>
  <c r="A357" i="107"/>
  <c r="AQ356" i="107"/>
  <c r="AP356" i="107"/>
  <c r="A358" i="107"/>
  <c r="AQ357" i="107"/>
  <c r="AP357" i="107"/>
  <c r="A359" i="107"/>
  <c r="AQ358" i="107"/>
  <c r="AP358" i="107"/>
  <c r="A360" i="107"/>
  <c r="AQ359" i="107"/>
  <c r="AP359" i="107"/>
  <c r="AQ360" i="107"/>
  <c r="AP360" i="107"/>
  <c r="A361" i="107"/>
  <c r="A362" i="107"/>
  <c r="AQ361" i="107"/>
  <c r="AP361" i="107"/>
  <c r="A363" i="107"/>
  <c r="AQ362" i="107"/>
  <c r="AP362" i="107"/>
  <c r="AP363" i="107"/>
  <c r="A364" i="107"/>
  <c r="AQ363" i="107"/>
  <c r="A365" i="107"/>
  <c r="AQ364" i="107"/>
  <c r="AP364" i="107"/>
  <c r="A366" i="107"/>
  <c r="AQ365" i="107"/>
  <c r="AP365" i="107"/>
  <c r="A367" i="107"/>
  <c r="AQ366" i="107"/>
  <c r="AP366" i="107"/>
  <c r="A368" i="107"/>
  <c r="AQ367" i="107"/>
  <c r="AP367" i="107"/>
  <c r="AQ368" i="107"/>
  <c r="AP368" i="107"/>
  <c r="A369" i="107"/>
  <c r="A370" i="107"/>
  <c r="AQ369" i="107"/>
  <c r="AP369" i="107"/>
  <c r="A371" i="107"/>
  <c r="AQ370" i="107"/>
  <c r="AP370" i="107"/>
  <c r="AP371" i="107"/>
  <c r="A372" i="107"/>
  <c r="AQ371" i="107"/>
  <c r="A373" i="107"/>
  <c r="AQ372" i="107"/>
  <c r="AP372" i="107"/>
  <c r="A374" i="107"/>
  <c r="AQ373" i="107"/>
  <c r="AP373" i="107"/>
  <c r="A375" i="107"/>
  <c r="AQ374" i="107"/>
  <c r="AP374" i="107"/>
  <c r="A376" i="107"/>
  <c r="AQ375" i="107"/>
  <c r="AP375" i="107"/>
  <c r="AQ376" i="107"/>
  <c r="AP376" i="107"/>
  <c r="A377" i="107"/>
  <c r="A378" i="107"/>
  <c r="AQ377" i="107"/>
  <c r="AP377" i="107"/>
  <c r="A379" i="107"/>
  <c r="AQ378" i="107"/>
  <c r="AP378" i="107"/>
  <c r="AP379" i="107"/>
  <c r="A380" i="107"/>
  <c r="AQ379" i="107"/>
  <c r="A381" i="107"/>
  <c r="AQ380" i="107"/>
  <c r="AP380" i="107"/>
  <c r="A382" i="107"/>
  <c r="AQ381" i="107"/>
  <c r="AP381" i="107"/>
  <c r="A383" i="107"/>
  <c r="AQ382" i="107"/>
  <c r="AP382" i="107"/>
  <c r="A384" i="107"/>
  <c r="AQ383" i="107"/>
  <c r="AP383" i="107"/>
  <c r="AQ384" i="107"/>
  <c r="AP384" i="107"/>
  <c r="A385" i="107"/>
  <c r="A386" i="107"/>
  <c r="AQ385" i="107"/>
  <c r="AP385" i="107"/>
  <c r="A387" i="107"/>
  <c r="AQ386" i="107"/>
  <c r="AP386" i="107"/>
  <c r="AP387" i="107"/>
  <c r="A388" i="107"/>
  <c r="AQ387" i="107"/>
  <c r="A389" i="107"/>
  <c r="AQ388" i="107"/>
  <c r="AP388" i="107"/>
  <c r="A390" i="107"/>
  <c r="AQ389" i="107"/>
  <c r="AP389" i="107"/>
  <c r="A391" i="107"/>
  <c r="AQ390" i="107"/>
  <c r="AP390" i="107"/>
  <c r="A392" i="107"/>
  <c r="AQ391" i="107"/>
  <c r="AP391" i="107"/>
  <c r="AQ392" i="107"/>
  <c r="AP392" i="107"/>
  <c r="A393" i="107"/>
  <c r="A394" i="107"/>
  <c r="AQ393" i="107"/>
  <c r="AP393" i="107"/>
  <c r="A395" i="107"/>
  <c r="AQ394" i="107"/>
  <c r="AP394" i="107"/>
  <c r="AP395" i="107"/>
  <c r="A396" i="107"/>
  <c r="AQ395" i="107"/>
  <c r="A397" i="107"/>
  <c r="AQ396" i="107"/>
  <c r="AP396" i="107"/>
  <c r="A398" i="107"/>
  <c r="AQ397" i="107"/>
  <c r="AP397" i="107"/>
  <c r="A399" i="107"/>
  <c r="AQ398" i="107"/>
  <c r="AP398" i="107"/>
  <c r="A400" i="107"/>
  <c r="AQ399" i="107"/>
  <c r="AP399" i="107"/>
  <c r="AQ400" i="107"/>
  <c r="AP400" i="107"/>
  <c r="AN3" i="107"/>
  <c r="AP3" i="107"/>
  <c r="AL3" i="107"/>
  <c r="AQ3" i="107"/>
  <c r="AO3" i="107"/>
  <c r="AM3" i="10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Yin, Aye Khant Bo</author>
    <author>Ogata, Kohei</author>
  </authors>
  <commentList>
    <comment ref="AF178" authorId="0" shapeId="0" xr:uid="{3D856054-8DE8-4859-93F3-F66DAD1DBFFB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消す？</t>
        </r>
      </text>
    </comment>
    <comment ref="AA200" authorId="1" shapeId="0" xr:uid="{2F256D84-B515-4E85-B46E-B73AEEDB9A7D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62" authorId="1" shapeId="0" xr:uid="{40A8DE0D-CE57-4152-9213-EB2ACCB8E2DA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69" authorId="1" shapeId="0" xr:uid="{5C5921DE-1309-40BB-B675-FC791DA3C33B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70" authorId="1" shapeId="0" xr:uid="{83888A13-49A8-4598-8ED5-52201D63B67A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71" authorId="1" shapeId="0" xr:uid="{C7B4E9A9-E104-407E-92AE-EE4A11DDC591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73" authorId="1" shapeId="0" xr:uid="{91B9C448-6ACC-4010-ACE8-D301396345C7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74" authorId="1" shapeId="0" xr:uid="{82D60F63-5642-429D-97DC-22AAB7D2D691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77" authorId="1" shapeId="0" xr:uid="{A1311088-76E3-4466-8308-5C32777C71F4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278" authorId="1" shapeId="0" xr:uid="{44061245-D7CC-4B00-99E3-920146A9FC4F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F301" authorId="0" shapeId="0" xr:uid="{43BC3DBE-FCBD-4A25-BF34-E5DE4468A1E7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消す？</t>
        </r>
      </text>
    </comment>
    <comment ref="AG301" authorId="0" shapeId="0" xr:uid="{8BFAF8E0-C5D3-4FC2-83B7-051E25412CC4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セルと文字何色にする？</t>
        </r>
      </text>
    </comment>
    <comment ref="AF306" authorId="0" shapeId="0" xr:uid="{F737B4B7-FE2F-4F19-A419-8AE35CD6A375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消す？</t>
        </r>
      </text>
    </comment>
    <comment ref="AF310" authorId="0" shapeId="0" xr:uid="{89D07451-BEE9-4F05-9FEB-BE01729B2F45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消す？</t>
        </r>
      </text>
    </comment>
    <comment ref="AA367" authorId="1" shapeId="0" xr:uid="{50F3EBAA-41AE-433B-AA91-F498E46B87A4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368" authorId="1" shapeId="0" xr:uid="{9B37F2A8-33E3-48EC-9104-767B0D35E089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369" authorId="1" shapeId="0" xr:uid="{6028BEC9-05D9-40C1-9DFC-6E05365716F6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372" authorId="1" shapeId="0" xr:uid="{C5AC6B99-EC49-4AF7-8B5A-0BA8C25D582E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373" authorId="1" shapeId="0" xr:uid="{F3ED2B91-D79B-4A9C-AC2E-4F62D1384472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376" authorId="1" shapeId="0" xr:uid="{5385F140-7718-49D3-8100-BF8EDB82E278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A377" authorId="1" shapeId="0" xr:uid="{588FFFDA-CC7C-49BC-9AC8-D3BC0FF6CD04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  <comment ref="AF407" authorId="0" shapeId="0" xr:uid="{1F907045-32FE-498B-B2BE-B00A40068DAB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消す？</t>
        </r>
      </text>
    </comment>
    <comment ref="AF411" authorId="0" shapeId="0" xr:uid="{6E7C008A-BFDD-4779-A08D-CEF0346CDCC6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消す？</t>
        </r>
      </text>
    </comment>
    <comment ref="AF571" authorId="0" shapeId="0" xr:uid="{7A98FCBB-7101-420F-8E00-89DBF3CE0976}">
      <text>
        <r>
          <rPr>
            <b/>
            <sz val="9"/>
            <color indexed="81"/>
            <rFont val="MS P ゴシック"/>
            <family val="2"/>
          </rPr>
          <t>Yin, Aye Khant Bo: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消す？</t>
        </r>
      </text>
    </comment>
    <comment ref="AA593" authorId="1" shapeId="0" xr:uid="{002ABB76-85C6-4694-A530-1DBE1DE94214}">
      <text>
        <r>
          <rPr>
            <b/>
            <sz val="9"/>
            <color indexed="81"/>
            <rFont val="MS P ゴシック"/>
            <family val="2"/>
          </rPr>
          <t>Ogata, Kohei:</t>
        </r>
        <r>
          <rPr>
            <sz val="9"/>
            <color indexed="81"/>
            <rFont val="MS P ゴシック"/>
            <family val="2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 xml:space="preserve">ここで拒否した場合、下の行に追加し、DS判断として、DS or DS完了となる
 </t>
        </r>
      </text>
    </comment>
  </commentList>
</comments>
</file>

<file path=xl/sharedStrings.xml><?xml version="1.0" encoding="utf-8"?>
<sst xmlns="http://schemas.openxmlformats.org/spreadsheetml/2006/main" count="5928" uniqueCount="1288">
  <si>
    <t>Asiggn</t>
    <phoneticPr fontId="2"/>
  </si>
  <si>
    <t>DS判断待ち</t>
    <rPh sb="2" eb="5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</si>
  <si>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</si>
  <si>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</si>
  <si>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</si>
  <si>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</si>
  <si>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</si>
  <si>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</si>
  <si>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</si>
  <si>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</si>
  <si>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</si>
  <si>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</si>
  <si>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</si>
  <si>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Ver1.6</t>
    <phoneticPr fontId="2"/>
  </si>
  <si>
    <t>リスト</t>
    <phoneticPr fontId="2"/>
  </si>
  <si>
    <r>
      <rPr>
        <b/>
        <sz val="11"/>
        <color theme="0"/>
        <rFont val="Segoe UI Symbol"/>
        <family val="2"/>
      </rPr>
      <t>👆</t>
    </r>
    <r>
      <rPr>
        <b/>
        <sz val="11"/>
        <color theme="0"/>
        <rFont val="游ゴシック"/>
        <family val="2"/>
        <charset val="128"/>
      </rPr>
      <t>消さないで！</t>
    </r>
    <rPh sb="2" eb="3">
      <t>ケ</t>
    </rPh>
    <phoneticPr fontId="2"/>
  </si>
  <si>
    <t>Rescue Planner情報</t>
    <rPh sb="14" eb="16">
      <t>ジョウホウ</t>
    </rPh>
    <phoneticPr fontId="2"/>
  </si>
  <si>
    <t>DS判断</t>
    <rPh sb="2" eb="4">
      <t>ハンダン</t>
    </rPh>
    <phoneticPr fontId="2"/>
  </si>
  <si>
    <t>Rescuee</t>
    <phoneticPr fontId="2"/>
  </si>
  <si>
    <t>Rescuer</t>
    <phoneticPr fontId="2"/>
  </si>
  <si>
    <t>Date</t>
    <phoneticPr fontId="2"/>
  </si>
  <si>
    <t>Node</t>
    <phoneticPr fontId="2"/>
  </si>
  <si>
    <t>ルート</t>
    <phoneticPr fontId="2"/>
  </si>
  <si>
    <t>エリア</t>
    <phoneticPr fontId="2"/>
  </si>
  <si>
    <t>持出</t>
    <rPh sb="0" eb="1">
      <t>モ</t>
    </rPh>
    <rPh sb="1" eb="2">
      <t>ダ</t>
    </rPh>
    <phoneticPr fontId="2"/>
  </si>
  <si>
    <t>配完</t>
    <rPh sb="0" eb="1">
      <t>ハイ</t>
    </rPh>
    <rPh sb="1" eb="2">
      <t>カン</t>
    </rPh>
    <phoneticPr fontId="2"/>
  </si>
  <si>
    <t>残り</t>
    <rPh sb="0" eb="1">
      <t>ノコ</t>
    </rPh>
    <phoneticPr fontId="2"/>
  </si>
  <si>
    <t>残件数</t>
    <rPh sb="0" eb="1">
      <t>ノコ</t>
    </rPh>
    <rPh sb="1" eb="3">
      <t>ケンスウ</t>
    </rPh>
    <phoneticPr fontId="2"/>
  </si>
  <si>
    <r>
      <t xml:space="preserve">Rescuee
</t>
    </r>
    <r>
      <rPr>
        <b/>
        <sz val="11"/>
        <rFont val="Meiryo UI"/>
        <family val="3"/>
      </rPr>
      <t>Tel</t>
    </r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</si>
  <si>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</si>
  <si>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</si>
  <si>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</si>
  <si>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DS
判断</t>
    <rPh sb="3" eb="5">
      <t>ハンダン</t>
    </rPh>
    <phoneticPr fontId="2"/>
  </si>
  <si>
    <t>RESCUER(DS)</t>
    <phoneticPr fontId="2"/>
  </si>
  <si>
    <t>個数(DS)</t>
    <rPh sb="0" eb="2">
      <t>コスウ</t>
    </rPh>
    <phoneticPr fontId="2"/>
  </si>
  <si>
    <t>DP
追加</t>
    <rPh sb="3" eb="5">
      <t>ツイカ</t>
    </rPh>
    <phoneticPr fontId="2"/>
  </si>
  <si>
    <t>メモ</t>
    <phoneticPr fontId="2"/>
  </si>
  <si>
    <t>Chat開始</t>
    <rPh sb="4" eb="6">
      <t>カイシ</t>
    </rPh>
    <phoneticPr fontId="2"/>
  </si>
  <si>
    <t>10分後</t>
    <rPh sb="2" eb="3">
      <t>プン</t>
    </rPh>
    <rPh sb="3" eb="4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</si>
  <si>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</si>
  <si>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</si>
  <si>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</si>
  <si>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</si>
  <si>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</si>
  <si>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</si>
  <si>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荷電後状況</t>
    <rPh sb="0" eb="2">
      <t>カデン</t>
    </rPh>
    <rPh sb="2" eb="3">
      <t>アト</t>
    </rPh>
    <rPh sb="3" eb="5">
      <t>ジョウキョウ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</si>
  <si>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</si>
  <si>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</si>
  <si>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</si>
  <si>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RP提案採用</t>
    <rPh sb="2" eb="4">
      <t>テイアン</t>
    </rPh>
    <rPh sb="4" eb="6">
      <t>サイヨウ</t>
    </rPh>
    <phoneticPr fontId="2"/>
  </si>
  <si>
    <t>A</t>
    <phoneticPr fontId="2"/>
  </si>
  <si>
    <t>Rescue不要</t>
    <rPh sb="6" eb="8">
      <t>フヨウ</t>
    </rPh>
    <phoneticPr fontId="2"/>
  </si>
  <si>
    <t>B</t>
    <phoneticPr fontId="2"/>
  </si>
  <si>
    <t>不要</t>
    <rPh sb="0" eb="2">
      <t>フヨウ</t>
    </rPh>
    <phoneticPr fontId="2"/>
  </si>
  <si>
    <t>Rescue不可</t>
    <rPh sb="6" eb="8">
      <t>フカ</t>
    </rPh>
    <phoneticPr fontId="2"/>
  </si>
  <si>
    <t>不可</t>
    <rPh sb="0" eb="2">
      <t>フカ</t>
    </rPh>
    <phoneticPr fontId="2"/>
  </si>
  <si>
    <t>C</t>
    <phoneticPr fontId="2"/>
  </si>
  <si>
    <t>DS対応済み</t>
    <rPh sb="2" eb="5">
      <t>タイオウズ</t>
    </rPh>
    <phoneticPr fontId="2"/>
  </si>
  <si>
    <t>DS完了</t>
    <rPh sb="2" eb="4">
      <t>カンリョウ</t>
    </rPh>
    <phoneticPr fontId="2"/>
  </si>
  <si>
    <t>D</t>
    <phoneticPr fontId="2"/>
  </si>
  <si>
    <t>Rescuee一時拒否</t>
    <rPh sb="7" eb="9">
      <t>イチジ</t>
    </rPh>
    <rPh sb="9" eb="11">
      <t>キョヒ</t>
    </rPh>
    <phoneticPr fontId="2"/>
  </si>
  <si>
    <t>RP</t>
    <phoneticPr fontId="2"/>
  </si>
  <si>
    <t>一時拒否</t>
    <rPh sb="0" eb="2">
      <t>イチジ</t>
    </rPh>
    <rPh sb="2" eb="4">
      <t>キョヒ</t>
    </rPh>
    <phoneticPr fontId="2"/>
  </si>
  <si>
    <t>E</t>
    <phoneticPr fontId="2"/>
  </si>
  <si>
    <t>Rerscuee終日拒否</t>
    <rPh sb="8" eb="12">
      <t>シュウジツキョヒ</t>
    </rPh>
    <phoneticPr fontId="2"/>
  </si>
  <si>
    <t>終日拒否</t>
    <rPh sb="0" eb="4">
      <t>シュウジツキョヒ</t>
    </rPh>
    <phoneticPr fontId="2"/>
  </si>
  <si>
    <t>09012345678</t>
    <phoneticPr fontId="2"/>
  </si>
  <si>
    <t>架電中①</t>
    <rPh sb="0" eb="2">
      <t>カデン</t>
    </rPh>
    <rPh sb="2" eb="3">
      <t>チュウ</t>
    </rPh>
    <phoneticPr fontId="2"/>
  </si>
  <si>
    <t>F</t>
    <phoneticPr fontId="2"/>
  </si>
  <si>
    <t>Rescuee電話不通×１</t>
    <rPh sb="7" eb="12">
      <t>デンワフツウカケル</t>
    </rPh>
    <phoneticPr fontId="2"/>
  </si>
  <si>
    <t>電話不通×1</t>
    <rPh sb="0" eb="4">
      <t>デンワフツウ</t>
    </rPh>
    <phoneticPr fontId="2"/>
  </si>
  <si>
    <t>G</t>
    <phoneticPr fontId="2"/>
  </si>
  <si>
    <t>Rescuee電話不通×２</t>
    <rPh sb="7" eb="12">
      <t>デンワフツウカケル</t>
    </rPh>
    <phoneticPr fontId="2"/>
  </si>
  <si>
    <t>電話不通×2</t>
    <rPh sb="0" eb="4">
      <t>デンワフツウ</t>
    </rPh>
    <phoneticPr fontId="2"/>
  </si>
  <si>
    <t>H</t>
    <phoneticPr fontId="2"/>
  </si>
  <si>
    <t>Rescuee外国語</t>
    <rPh sb="7" eb="10">
      <t>ガイコクゴ</t>
    </rPh>
    <phoneticPr fontId="2"/>
  </si>
  <si>
    <t>外国語</t>
    <rPh sb="0" eb="3">
      <t>ガイコクゴ</t>
    </rPh>
    <phoneticPr fontId="2"/>
  </si>
  <si>
    <t>DS提案採用</t>
    <rPh sb="2" eb="4">
      <t>テイアン</t>
    </rPh>
    <rPh sb="4" eb="6">
      <t>サイヨウ</t>
    </rPh>
    <phoneticPr fontId="2"/>
  </si>
  <si>
    <t>【RescueeChat可能】</t>
    <rPh sb="12" eb="14">
      <t>カノウ</t>
    </rPh>
    <phoneticPr fontId="2"/>
  </si>
  <si>
    <t>希望・DS判断→Chat完了</t>
    <rPh sb="0" eb="2">
      <t>キボウ</t>
    </rPh>
    <rPh sb="5" eb="7">
      <t>ハンダン</t>
    </rPh>
    <rPh sb="12" eb="14">
      <t>カンリョウ</t>
    </rPh>
    <phoneticPr fontId="2"/>
  </si>
  <si>
    <t>A</t>
  </si>
  <si>
    <t>B</t>
  </si>
  <si>
    <t>DS</t>
  </si>
  <si>
    <t>-</t>
  </si>
  <si>
    <t>C</t>
  </si>
  <si>
    <t>希望・DS判断</t>
    <rPh sb="0" eb="2">
      <t>キボウ</t>
    </rPh>
    <rPh sb="5" eb="7">
      <t>ハンダン</t>
    </rPh>
    <phoneticPr fontId="2"/>
  </si>
  <si>
    <t>Chat完了</t>
    <rPh sb="4" eb="6">
      <t>カンリョウ</t>
    </rPh>
    <phoneticPr fontId="2"/>
  </si>
  <si>
    <t>Y</t>
    <phoneticPr fontId="2"/>
  </si>
  <si>
    <t>希望・DS判断→架電完了</t>
    <rPh sb="0" eb="2">
      <t>キボウ</t>
    </rPh>
    <rPh sb="5" eb="7">
      <t>ハンダン</t>
    </rPh>
    <rPh sb="8" eb="10">
      <t>カデン</t>
    </rPh>
    <rPh sb="10" eb="12">
      <t>カンリョウ</t>
    </rPh>
    <phoneticPr fontId="2"/>
  </si>
  <si>
    <t>↓色変更</t>
    <rPh sb="1" eb="2">
      <t>イロ</t>
    </rPh>
    <rPh sb="2" eb="4">
      <t>ヘンコウ</t>
    </rPh>
    <phoneticPr fontId="2"/>
  </si>
  <si>
    <t>12345678</t>
    <phoneticPr fontId="2"/>
  </si>
  <si>
    <t>RescuerChat不可</t>
    <rPh sb="11" eb="13">
      <t>フカ</t>
    </rPh>
    <phoneticPr fontId="2"/>
  </si>
  <si>
    <t>架電完了</t>
    <rPh sb="0" eb="2">
      <t>カデン</t>
    </rPh>
    <rPh sb="2" eb="4">
      <t>カンリョウ</t>
    </rPh>
    <phoneticPr fontId="2"/>
  </si>
  <si>
    <t>Rescueトラブル→Rescuer変更</t>
    <rPh sb="18" eb="20">
      <t>ヘンコウ</t>
    </rPh>
    <phoneticPr fontId="2"/>
  </si>
  <si>
    <t>Rescueトラブル</t>
    <phoneticPr fontId="2"/>
  </si>
  <si>
    <t>Rescuer変更</t>
    <rPh sb="7" eb="9">
      <t>ヘンコウ</t>
    </rPh>
    <phoneticPr fontId="2"/>
  </si>
  <si>
    <t>1234567</t>
    <phoneticPr fontId="2"/>
  </si>
  <si>
    <t>架電中①</t>
    <rPh sb="0" eb="3">
      <t>カデンチュウ</t>
    </rPh>
    <phoneticPr fontId="2"/>
  </si>
  <si>
    <t>架電完了</t>
    <rPh sb="0" eb="4">
      <t>カデンカンリョウ</t>
    </rPh>
    <phoneticPr fontId="2"/>
  </si>
  <si>
    <t>Z</t>
    <phoneticPr fontId="2"/>
  </si>
  <si>
    <t>Rescueトラブル→DS完了</t>
    <rPh sb="13" eb="15">
      <t>カンリョウ</t>
    </rPh>
    <phoneticPr fontId="2"/>
  </si>
  <si>
    <t>Y</t>
  </si>
  <si>
    <t>Rescueトラブル→不可</t>
    <rPh sb="11" eb="13">
      <t>フカ</t>
    </rPh>
    <phoneticPr fontId="2"/>
  </si>
  <si>
    <t>希望・DS判断→拒否</t>
    <rPh sb="0" eb="2">
      <t>キボウ</t>
    </rPh>
    <rPh sb="5" eb="7">
      <t>ハンダン</t>
    </rPh>
    <rPh sb="8" eb="10">
      <t>キョヒ</t>
    </rPh>
    <phoneticPr fontId="2"/>
  </si>
  <si>
    <t>拒否</t>
    <rPh sb="0" eb="2">
      <t>キョヒ</t>
    </rPh>
    <phoneticPr fontId="2"/>
  </si>
  <si>
    <t>電話不通×1</t>
    <rPh sb="0" eb="2">
      <t>デンワ</t>
    </rPh>
    <rPh sb="2" eb="4">
      <t>フツウ</t>
    </rPh>
    <phoneticPr fontId="2"/>
  </si>
  <si>
    <t>【Rescuee Chat不可】</t>
    <rPh sb="13" eb="15">
      <t>フカ</t>
    </rPh>
    <phoneticPr fontId="2"/>
  </si>
  <si>
    <t>DS</t>
    <phoneticPr fontId="2"/>
  </si>
  <si>
    <t>希望・DS判断(Chat不可)</t>
    <rPh sb="0" eb="2">
      <t>キボウ</t>
    </rPh>
    <rPh sb="5" eb="7">
      <t>ハンダン</t>
    </rPh>
    <rPh sb="12" eb="14">
      <t>フカ</t>
    </rPh>
    <phoneticPr fontId="2"/>
  </si>
  <si>
    <t>架電中①</t>
    <rPh sb="0" eb="4">
      <t>カデンチュウ1</t>
    </rPh>
    <phoneticPr fontId="2"/>
  </si>
  <si>
    <t>Yamada</t>
    <phoneticPr fontId="2"/>
  </si>
  <si>
    <t>拒否後はRPの提案しようする？</t>
    <rPh sb="0" eb="2">
      <t>キョヒ</t>
    </rPh>
    <rPh sb="2" eb="3">
      <t>ゴ</t>
    </rPh>
    <rPh sb="7" eb="9">
      <t>テイアン</t>
    </rPh>
    <phoneticPr fontId="2"/>
  </si>
  <si>
    <t>DSにどうわかるようにするか</t>
    <phoneticPr fontId="2"/>
  </si>
  <si>
    <t>希望・DS判断→電話不通</t>
    <rPh sb="0" eb="2">
      <t>キボウ</t>
    </rPh>
    <rPh sb="5" eb="7">
      <t>ハンダン</t>
    </rPh>
    <rPh sb="8" eb="12">
      <t>デンワフツウ</t>
    </rPh>
    <phoneticPr fontId="2"/>
  </si>
  <si>
    <t>電話不通×１</t>
    <rPh sb="0" eb="4">
      <t>デンワフツウ</t>
    </rPh>
    <phoneticPr fontId="2"/>
  </si>
  <si>
    <t>電話不通×２</t>
    <rPh sb="0" eb="5">
      <t>デンワフツウカケル</t>
    </rPh>
    <phoneticPr fontId="2"/>
  </si>
  <si>
    <t>【Rescuee Chat可能】</t>
    <rPh sb="13" eb="15">
      <t>カノウ</t>
    </rPh>
    <phoneticPr fontId="2"/>
  </si>
  <si>
    <t>16:00×</t>
    <phoneticPr fontId="2"/>
  </si>
  <si>
    <t>16:00×16:05×</t>
    <phoneticPr fontId="2"/>
  </si>
  <si>
    <t>希望・DS判断→外国語（架電）</t>
    <rPh sb="0" eb="2">
      <t>キボウ</t>
    </rPh>
    <rPh sb="5" eb="7">
      <t>ハンダン</t>
    </rPh>
    <rPh sb="8" eb="11">
      <t>ガイコクゴ</t>
    </rPh>
    <rPh sb="12" eb="14">
      <t>カデン</t>
    </rPh>
    <phoneticPr fontId="2"/>
  </si>
  <si>
    <t>希望・DS判断→Rescuer拒否（架電）</t>
    <rPh sb="0" eb="2">
      <t>キボウ</t>
    </rPh>
    <rPh sb="5" eb="7">
      <t>ハンダン</t>
    </rPh>
    <rPh sb="15" eb="17">
      <t>キョヒ</t>
    </rPh>
    <rPh sb="18" eb="20">
      <t>カデン</t>
    </rPh>
    <phoneticPr fontId="2"/>
  </si>
  <si>
    <t>Rescuer拒否→DS完了</t>
    <rPh sb="7" eb="9">
      <t>キョヒ</t>
    </rPh>
    <rPh sb="12" eb="14">
      <t>カンリョウ</t>
    </rPh>
    <phoneticPr fontId="2"/>
  </si>
  <si>
    <t>Rescuer拒否→不可</t>
    <rPh sb="7" eb="9">
      <t>キョヒ</t>
    </rPh>
    <rPh sb="10" eb="12">
      <t>フカ</t>
    </rPh>
    <phoneticPr fontId="2"/>
  </si>
  <si>
    <t>Rescuer拒否→不要</t>
    <rPh sb="7" eb="9">
      <t>キョヒ</t>
    </rPh>
    <rPh sb="10" eb="12">
      <t>フヨウ</t>
    </rPh>
    <phoneticPr fontId="2"/>
  </si>
  <si>
    <t>Rescuer拒否→Rescuer変更</t>
    <rPh sb="7" eb="9">
      <t>キョヒ</t>
    </rPh>
    <rPh sb="17" eb="19">
      <t>ヘンコウ</t>
    </rPh>
    <phoneticPr fontId="2"/>
  </si>
  <si>
    <t>Rescuer変更完了</t>
    <rPh sb="7" eb="9">
      <t>ヘンコウ</t>
    </rPh>
    <rPh sb="9" eb="11">
      <t>カンリョウ</t>
    </rPh>
    <phoneticPr fontId="2"/>
  </si>
  <si>
    <t>09098765432</t>
    <phoneticPr fontId="2"/>
  </si>
  <si>
    <t>番号変更済み</t>
    <rPh sb="0" eb="2">
      <t>バンゴウ</t>
    </rPh>
    <rPh sb="2" eb="4">
      <t>ヘンコウ</t>
    </rPh>
    <rPh sb="4" eb="5">
      <t>ズ</t>
    </rPh>
    <phoneticPr fontId="2"/>
  </si>
  <si>
    <t>番号変更後Chat開始</t>
    <rPh sb="0" eb="2">
      <t>バンゴウ</t>
    </rPh>
    <rPh sb="2" eb="5">
      <t>ヘンコウゴ</t>
    </rPh>
    <rPh sb="9" eb="11">
      <t>カイシ</t>
    </rPh>
    <phoneticPr fontId="2"/>
  </si>
  <si>
    <t>番号変更後Chat完了</t>
    <rPh sb="0" eb="2">
      <t>バンゴウ</t>
    </rPh>
    <rPh sb="2" eb="5">
      <t>ヘンコウゴ</t>
    </rPh>
    <rPh sb="9" eb="11">
      <t>カンリョウ</t>
    </rPh>
    <phoneticPr fontId="2"/>
  </si>
  <si>
    <t>架電中</t>
    <rPh sb="0" eb="3">
      <t>カデンチュウ</t>
    </rPh>
    <phoneticPr fontId="2"/>
  </si>
  <si>
    <t>Rescueトラブル→不要</t>
    <rPh sb="11" eb="13">
      <t>フヨウ</t>
    </rPh>
    <phoneticPr fontId="2"/>
  </si>
  <si>
    <t>09023456789</t>
  </si>
  <si>
    <t>番号変更済み</t>
    <rPh sb="0" eb="2">
      <t>バンゴウ</t>
    </rPh>
    <rPh sb="2" eb="5">
      <t>ヘンコウズ</t>
    </rPh>
    <phoneticPr fontId="2"/>
  </si>
  <si>
    <t>↓カラーチャート↓</t>
    <phoneticPr fontId="2"/>
  </si>
  <si>
    <t/>
  </si>
  <si>
    <t>RP</t>
  </si>
  <si>
    <t>16:00× 16:05×</t>
    <phoneticPr fontId="2"/>
  </si>
  <si>
    <t>希望・DS判断→外国語</t>
    <rPh sb="0" eb="2">
      <t>キボウ</t>
    </rPh>
    <rPh sb="5" eb="7">
      <t>ハンダン</t>
    </rPh>
    <rPh sb="8" eb="11">
      <t>ガイコクゴ</t>
    </rPh>
    <phoneticPr fontId="2"/>
  </si>
  <si>
    <t>番号変更後架電完了</t>
    <rPh sb="0" eb="2">
      <t>バンゴウ</t>
    </rPh>
    <rPh sb="2" eb="5">
      <t>ヘンコウゴ</t>
    </rPh>
    <rPh sb="5" eb="7">
      <t>カデン</t>
    </rPh>
    <rPh sb="7" eb="9">
      <t>カンリョウ</t>
    </rPh>
    <phoneticPr fontId="2"/>
  </si>
  <si>
    <t>番号変更済み</t>
    <rPh sb="0" eb="4">
      <t>バンゴウヘンコウ</t>
    </rPh>
    <rPh sb="4" eb="5">
      <t>ズ</t>
    </rPh>
    <phoneticPr fontId="2"/>
  </si>
  <si>
    <t>09098765432</t>
  </si>
  <si>
    <t>O</t>
    <phoneticPr fontId="2"/>
  </si>
  <si>
    <t>オレンジ枠をChimeにコピペ</t>
    <rPh sb="4" eb="5">
      <t>ワク</t>
    </rPh>
    <phoneticPr fontId="2"/>
  </si>
  <si>
    <t>DelayでのOpen</t>
  </si>
  <si>
    <t>余りルートでのOpen</t>
    <phoneticPr fontId="2"/>
  </si>
  <si>
    <t>↓↓Block Open↓↓</t>
    <phoneticPr fontId="2"/>
  </si>
  <si>
    <t>↓↓Block Open↓↓</t>
  </si>
  <si>
    <t>@ShinkaNode名</t>
  </si>
  <si>
    <t>お疲れ様です。</t>
  </si>
  <si>
    <t>RecoveryDP確保の為に以下ブロックオープンしております。</t>
  </si>
  <si>
    <t>block：Recovery_1</t>
  </si>
  <si>
    <t>開始時刻：19:00～</t>
  </si>
  <si>
    <t>開始時刻：　～</t>
  </si>
  <si>
    <t>期間：2.5h</t>
  </si>
  <si>
    <t>期間：　h</t>
  </si>
  <si>
    <t>人数：　名</t>
    <phoneticPr fontId="2"/>
  </si>
  <si>
    <t>人数：　名</t>
  </si>
  <si>
    <t>受諾確認した段階で再度ご連絡いたします。</t>
    <rPh sb="0" eb="2">
      <t>ジュダク</t>
    </rPh>
    <phoneticPr fontId="2"/>
  </si>
  <si>
    <t>↓↓受諾あり↓↓</t>
    <rPh sb="2" eb="4">
      <t>ジュダク</t>
    </rPh>
    <phoneticPr fontId="2"/>
  </si>
  <si>
    <t>↓↓2名受諾あり↓↓</t>
  </si>
  <si>
    <t>2名受諾ございました。 </t>
  </si>
  <si>
    <t>こちら受諾ございました。レスキューにアサイン予定です。</t>
    <rPh sb="3" eb="5">
      <t>ジュダク</t>
    </rPh>
    <rPh sb="22" eb="24">
      <t>ヨテイ</t>
    </rPh>
    <phoneticPr fontId="2"/>
  </si>
  <si>
    <t>DPID　DP名</t>
  </si>
  <si>
    <t>DPID　DP名</t>
    <rPh sb="7" eb="8">
      <t>メイ</t>
    </rPh>
    <phoneticPr fontId="2"/>
  </si>
  <si>
    <t>こちらをMX●に50/50でルートスプリットにて割り当てていただけますでしょうか。 </t>
  </si>
  <si>
    <t>↓↓1名受諾あり↓↓</t>
  </si>
  <si>
    <t>1名受諾ございました。 </t>
  </si>
  <si>
    <t>こちらをMX●にSD+α（配送できそうな分）にて割り当てていただけますでしょうか。 </t>
  </si>
  <si>
    <t>↓↓受諾無し↓↓</t>
  </si>
  <si>
    <t>こちら受諾ございませんでした。</t>
  </si>
  <si>
    <t>Assign</t>
    <phoneticPr fontId="2"/>
  </si>
  <si>
    <t>判断待ち</t>
    <rPh sb="0" eb="3">
      <t>ハンダンマ</t>
    </rPh>
    <phoneticPr fontId="2"/>
  </si>
  <si>
    <t>2回転レスキュー_x000D_
RescuerDPの残り個数_x000D_
8個以下　OK_x000D_
９個以上   NG</t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</si>
  <si>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</si>
  <si>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</si>
  <si>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</si>
  <si>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使用開始</t>
    <rPh sb="0" eb="2">
      <t>シヨウ</t>
    </rPh>
    <rPh sb="2" eb="4">
      <t>カイシ</t>
    </rPh>
    <phoneticPr fontId="2"/>
  </si>
  <si>
    <t>⇩消さないで！</t>
    <rPh sb="1" eb="2">
      <t>ケ</t>
    </rPh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</si>
  <si>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</si>
  <si>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</si>
  <si>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</si>
  <si>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</si>
  <si>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</si>
  <si>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レスキュー
判断</t>
    <rPh sb="6" eb="8">
      <t>ハンダン</t>
    </rPh>
    <phoneticPr fontId="2"/>
  </si>
  <si>
    <t>RESCUER STATUS</t>
    <phoneticPr fontId="2"/>
  </si>
  <si>
    <t>5分後</t>
    <rPh sb="1" eb="2">
      <t>プン</t>
    </rPh>
    <rPh sb="2" eb="3">
      <t>ゴ</t>
    </rPh>
    <phoneticPr fontId="2"/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</si>
  <si>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</si>
  <si>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</si>
  <si>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</si>
  <si>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JLH1</t>
  </si>
  <si>
    <t>1ec4</t>
  </si>
  <si>
    <t>光一 伊藤</t>
  </si>
  <si>
    <t>090-1325-8326</t>
  </si>
  <si>
    <t>CX11 MX12</t>
  </si>
  <si>
    <t>DS一時停止中</t>
  </si>
  <si>
    <t>kawanony</t>
  </si>
  <si>
    <t>JAG2</t>
  </si>
  <si>
    <t>369e</t>
  </si>
  <si>
    <t>Jan kenny Cervantes</t>
  </si>
  <si>
    <t>070-8379-1564</t>
  </si>
  <si>
    <t>CX5 MX4</t>
  </si>
  <si>
    <t>JMA2</t>
  </si>
  <si>
    <t>8829</t>
  </si>
  <si>
    <t>Uehara marcia Dos santos</t>
  </si>
  <si>
    <t>090-3559-2247</t>
  </si>
  <si>
    <t>Viviane Yoko Aragão Katakura</t>
  </si>
  <si>
    <t>MX15 XYZ1</t>
  </si>
  <si>
    <t>soushuet</t>
  </si>
  <si>
    <t>希望・DS判断</t>
  </si>
  <si>
    <t>090-6592-9162</t>
  </si>
  <si>
    <t>Chat完了</t>
  </si>
  <si>
    <t>ues</t>
  </si>
  <si>
    <t>電話でやりとり</t>
  </si>
  <si>
    <t>https://www.amazon.co.jp/conversations/3-832c5000-185c-759f-65c1-a224e5d87171</t>
  </si>
  <si>
    <t>※翌日担当者が、日付とstatusの行を削除してください。</t>
  </si>
  <si>
    <t>日付</t>
  </si>
  <si>
    <t>DS Request　RP　一覧表</t>
  </si>
  <si>
    <t>リスト</t>
  </si>
  <si>
    <t>⇐消さないで！</t>
  </si>
  <si>
    <t>Ver2.0</t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</si>
  <si>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</si>
  <si>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</si>
  <si>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余剰DP有りの報告を受けたタイミングで抽出ファイルを使用</t>
  </si>
  <si>
    <t>待機リストにいないDPが提案されたら、一度抽出ファイルで抽出してください。</t>
  </si>
  <si>
    <t>POC</t>
  </si>
  <si>
    <t>Chime 共有Time Limit</t>
  </si>
  <si>
    <t>RescuerDP
2回目Rescue
有/無</t>
  </si>
  <si>
    <t>その他の注意事項</t>
  </si>
  <si>
    <t>最終更新日</t>
  </si>
  <si>
    <t>その時に抽出ファイルのセルの色が赤の時、白の時で対応が異なります。</t>
  </si>
  <si>
    <t>Node</t>
  </si>
  <si>
    <t>DP名</t>
  </si>
  <si>
    <t>DPID</t>
  </si>
  <si>
    <t>ステータス</t>
  </si>
  <si>
    <t>開始時刻</t>
  </si>
  <si>
    <t>終了時刻</t>
  </si>
  <si>
    <t>Cycle</t>
  </si>
  <si>
    <t>持出件数</t>
  </si>
  <si>
    <t>備考・補足</t>
  </si>
  <si>
    <t>STCO</t>
  </si>
  <si>
    <t>A3T8IYWQ9UJRZC</t>
  </si>
  <si>
    <t>実行中</t>
  </si>
  <si>
    <t>CYCLE_2</t>
  </si>
  <si>
    <t>松岡</t>
  </si>
  <si>
    <t>Shinka</t>
  </si>
  <si>
    <t>×</t>
  </si>
  <si>
    <t>wenarose miyahira</t>
  </si>
  <si>
    <t>A3PF4ZTM7U269P</t>
  </si>
  <si>
    <t>大輔 野村</t>
  </si>
  <si>
    <t>A1IDEN8B18J0OA</t>
  </si>
  <si>
    <t>RP対応中</t>
  </si>
  <si>
    <t>JLE6</t>
  </si>
  <si>
    <t>憲治 又吉</t>
  </si>
  <si>
    <t>A1HNUM2WUMFPGF</t>
  </si>
  <si>
    <t>DP入力</t>
  </si>
  <si>
    <t>対応者</t>
  </si>
  <si>
    <t>丸田 莞園</t>
  </si>
  <si>
    <t>A3OOBF03EEX4F9</t>
  </si>
  <si>
    <t>石井 克</t>
  </si>
  <si>
    <t>A19RHPC18U641R</t>
  </si>
  <si>
    <t>JHA9</t>
  </si>
  <si>
    <t>純平 平塚</t>
  </si>
  <si>
    <t>A1EIJYU0VMSJHX</t>
  </si>
  <si>
    <t>JEA5</t>
  </si>
  <si>
    <t>Oyakawa Eduardo</t>
  </si>
  <si>
    <t>A1Y8K1JO2QKEPJ</t>
  </si>
  <si>
    <t>Bruna Iwashima costa</t>
  </si>
  <si>
    <t>A3BEGY0AE9YY7Y</t>
  </si>
  <si>
    <t>Ricardo Bezerra Vieira Matsuura</t>
  </si>
  <si>
    <t>A3UZT52RKA5ZD7</t>
  </si>
  <si>
    <t>JLB4</t>
  </si>
  <si>
    <t>Vanessa Yanaga Maeda De Abreu</t>
  </si>
  <si>
    <t>A3F3FKXW5E1L75</t>
  </si>
  <si>
    <t>E SILVA PHABO ANDRESS PEREIRA</t>
  </si>
  <si>
    <t>A2PYCJ2GLKANRZ</t>
  </si>
  <si>
    <t>JLD8</t>
  </si>
  <si>
    <t>慎弥 小松</t>
  </si>
  <si>
    <t>AX2VPY2AXRRY9</t>
  </si>
  <si>
    <t>になったら</t>
  </si>
  <si>
    <t>待機DP有り、または</t>
  </si>
  <si>
    <t>誰かが対応中</t>
  </si>
  <si>
    <t>MC処理完了したら消すこと!</t>
  </si>
  <si>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</si>
  <si>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</si>
  <si>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</si>
  <si>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</si>
  <si>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</si>
  <si>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</si>
  <si>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</si>
  <si>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</si>
  <si>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</si>
  <si>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</si>
  <si>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</si>
  <si>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</si>
  <si>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</si>
  <si>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E3</t>
  </si>
  <si>
    <t>G3</t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</si>
  <si>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</si>
  <si>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</si>
  <si>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</si>
  <si>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</si>
  <si>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</si>
  <si>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</si>
  <si>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</si>
  <si>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</si>
  <si>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</si>
  <si>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</si>
  <si>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</si>
  <si>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</si>
  <si>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</si>
  <si>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I4</t>
  </si>
  <si>
    <t>架電中2</t>
    <phoneticPr fontId="2"/>
  </si>
  <si>
    <t>K4</t>
  </si>
  <si>
    <t>C5</t>
  </si>
  <si>
    <t>待機リスト無 </t>
    <rPh sb="0" eb="2">
      <t>タイキ</t>
    </rPh>
    <rPh sb="5" eb="6">
      <t>ナシ</t>
    </rPh>
    <phoneticPr fontId="2"/>
  </si>
  <si>
    <t>E5</t>
  </si>
  <si>
    <t>G5</t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</si>
  <si>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</si>
  <si>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</si>
  <si>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</si>
  <si>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</si>
  <si>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</si>
  <si>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</si>
  <si>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</si>
  <si>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</si>
  <si>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</si>
  <si>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</si>
  <si>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</si>
  <si>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</si>
  <si>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</si>
  <si>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</si>
  <si>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</si>
  <si>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</si>
  <si>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</si>
  <si>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</si>
  <si>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</si>
  <si>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</si>
  <si>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</si>
  <si>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E8</t>
  </si>
  <si>
    <t>架電中2</t>
    <rPh sb="0" eb="2">
      <t>カデン</t>
    </rPh>
    <rPh sb="2" eb="3">
      <t>チュウ</t>
    </rPh>
    <phoneticPr fontId="2"/>
  </si>
  <si>
    <t>G8</t>
  </si>
  <si>
    <t>I8</t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</si>
  <si>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</si>
  <si>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</si>
  <si>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</si>
  <si>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</si>
  <si>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</si>
  <si>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</si>
  <si>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</si>
  <si>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</si>
  <si>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</si>
  <si>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</si>
  <si>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</si>
  <si>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</si>
  <si>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</si>
  <si>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</si>
  <si>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</si>
  <si>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</si>
  <si>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</si>
  <si>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</si>
  <si>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</si>
  <si>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</si>
  <si>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</si>
  <si>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</si>
  <si>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</si>
  <si>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</si>
  <si>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</si>
  <si>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</si>
  <si>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</si>
  <si>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</si>
  <si>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</si>
  <si>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</si>
  <si>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</si>
  <si>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</si>
  <si>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</si>
  <si>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</si>
  <si>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</si>
  <si>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</si>
  <si>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</si>
  <si>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</si>
  <si>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</si>
  <si>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</si>
  <si>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</si>
  <si>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</si>
  <si>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</si>
  <si>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</si>
  <si>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</si>
  <si>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</si>
  <si>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</si>
  <si>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</si>
  <si>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</si>
  <si>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</si>
  <si>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</si>
  <si>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</si>
  <si>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</si>
  <si>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region</t>
  </si>
  <si>
    <t>parent_location</t>
  </si>
  <si>
    <t>station_code</t>
  </si>
  <si>
    <t>city</t>
  </si>
  <si>
    <t>provider_code</t>
  </si>
  <si>
    <t>provider_id</t>
  </si>
  <si>
    <t>service_area_id</t>
  </si>
  <si>
    <t>AMXL JP</t>
  </si>
  <si>
    <t>HAC2</t>
  </si>
  <si>
    <t>Nagoya</t>
  </si>
  <si>
    <t>ELG</t>
  </si>
  <si>
    <t>amzn1.flex.provider.v1.6dfefaf5-8058-4573-a908-21b63abac0be</t>
  </si>
  <si>
    <t>1768fbc6-9746-4852-b776-066465fadb20</t>
  </si>
  <si>
    <t>HAC3</t>
  </si>
  <si>
    <t>JPTR</t>
  </si>
  <si>
    <t>amzn1.flex.provider.v1.6e893b2f-5d16-4f9d-94a6-21fbf0c44b9c</t>
  </si>
  <si>
    <t>0d1be5f0-c7aa-42e3-9696-6c515aca630a</t>
  </si>
  <si>
    <t>HAC5</t>
  </si>
  <si>
    <t>Toyota</t>
  </si>
  <si>
    <t>c8e72889-8ef5-4306-bf78-e4d45f475d8a</t>
  </si>
  <si>
    <t>HCB1</t>
  </si>
  <si>
    <t>Funabashi</t>
  </si>
  <si>
    <t>PLSC</t>
  </si>
  <si>
    <t>amzn1.flex.provider.v1.2ef7946e-dff3-486c-ad6d-f90a962e5d8d</t>
  </si>
  <si>
    <t>a55f8b91-ef0c-4585-8e1e-dd6a4030a344</t>
  </si>
  <si>
    <t>HEJ2</t>
  </si>
  <si>
    <t>Fuchu</t>
  </si>
  <si>
    <t>AGCZ</t>
  </si>
  <si>
    <t>amzn1.flex.provider.v1.cd2fbca5-380d-4e60-9169-6d34383246b4</t>
  </si>
  <si>
    <t>1b4027c8-1ad1-419d-9e51-419e81e1bc39</t>
  </si>
  <si>
    <t>YOKO</t>
  </si>
  <si>
    <t>amzn1.flex.provider.v1.1b8ed552-90a0-4164-80a6-817c7a60d90a</t>
  </si>
  <si>
    <t>HEJ3</t>
  </si>
  <si>
    <t>Niiza</t>
  </si>
  <si>
    <t>KADE</t>
  </si>
  <si>
    <t>amzn1.flex.provider.v1.95972094-7000-4c6e-85e8-a5bcb88f5412</t>
  </si>
  <si>
    <t>bdf692ca-ee22-449e-925d-5459393fca64</t>
  </si>
  <si>
    <t>HEJ4</t>
  </si>
  <si>
    <t>Chiba</t>
  </si>
  <si>
    <t>CTIZ</t>
  </si>
  <si>
    <t>amzn1.flex.provider.v1.37c1901d-57eb-4df6-8fa0-5efeafb6f0ea</t>
  </si>
  <si>
    <t>c9077865-354e-4a1c-ae33-b4b7acb76f6b</t>
  </si>
  <si>
    <t>HFK1</t>
  </si>
  <si>
    <t>Kasuya</t>
  </si>
  <si>
    <t>FSHO</t>
  </si>
  <si>
    <t>amzn1.flex.provider.v1.b5cd1f37-1363-4610-b484-7f288dd896a3</t>
  </si>
  <si>
    <t>1bdaeaca-e6b0-49fd-9f4a-7f4305a222dd</t>
  </si>
  <si>
    <t>HHK1</t>
  </si>
  <si>
    <t>Sapporo</t>
  </si>
  <si>
    <t>HKWL</t>
  </si>
  <si>
    <t>amzn1.flex.provider.v1.cfdb170c-eb0c-4426-8724-0ddc6af03636</t>
  </si>
  <si>
    <t>76271ed7-b732-42d0-8e5f-b72970ab1468</t>
  </si>
  <si>
    <t>HHY1</t>
  </si>
  <si>
    <t>Amagasaki</t>
  </si>
  <si>
    <t>d77c11d5-62b0-4e3c-ba79-ea6a0af2836d</t>
  </si>
  <si>
    <t>HKN1</t>
  </si>
  <si>
    <t>Yokohama</t>
  </si>
  <si>
    <t>37fa691b-3599-4262-ba1b-76ff3af08c37</t>
  </si>
  <si>
    <t>HMG1</t>
  </si>
  <si>
    <t>Zama</t>
  </si>
  <si>
    <t>GMTR</t>
  </si>
  <si>
    <t>amzn1.flex.provider.v1.997c7ff9-b51c-46eb-9162-6efcfa9b5bcf</t>
  </si>
  <si>
    <t>f19a7b92-b34b-427c-a222-d14d0b55385a</t>
  </si>
  <si>
    <t>HMG2</t>
  </si>
  <si>
    <t>Niigata</t>
  </si>
  <si>
    <t>0dc186fc-147b-46c1-8520-a2cfabef417f</t>
  </si>
  <si>
    <t>HMJ1</t>
  </si>
  <si>
    <t>Shizuoka</t>
  </si>
  <si>
    <t>YMKZ</t>
  </si>
  <si>
    <t>amzn1.flex.provider.v1.d585db92-5535-439d-85fd-0d8f5b9619d6</t>
  </si>
  <si>
    <t>4b819f1f-a705-42f3-949e-dd540883f80a</t>
  </si>
  <si>
    <t>HMJ3</t>
  </si>
  <si>
    <t>Kofu</t>
  </si>
  <si>
    <t>15a9327d-c97e-451d-9d4b-feb45a034238</t>
  </si>
  <si>
    <t>HST2</t>
  </si>
  <si>
    <t>Kawaguchi</t>
  </si>
  <si>
    <t>3c50a309-d0ab-4433-b263-a9c9d695e069</t>
  </si>
  <si>
    <t>HST4</t>
  </si>
  <si>
    <t>Soka</t>
  </si>
  <si>
    <t>9123d2e1-7a65-4b33-9a75-dec3ec4a8b9e</t>
  </si>
  <si>
    <t>HST6</t>
  </si>
  <si>
    <t>Ibaraki</t>
  </si>
  <si>
    <t>MSCN</t>
  </si>
  <si>
    <t>amzn1.flex.provider.v1.3889fe51-259c-4e3c-ab28-2b6453f226fa</t>
  </si>
  <si>
    <t>fdb8e528-c886-4988-ad75-5dce9fcc0466</t>
  </si>
  <si>
    <t>HST8</t>
  </si>
  <si>
    <t>Isesaki</t>
  </si>
  <si>
    <t>824629e9-1d04-490d-a96b-f804f20d2e81</t>
  </si>
  <si>
    <t>HTY4</t>
  </si>
  <si>
    <t>Ota</t>
  </si>
  <si>
    <t>3cb72607-0a84-4d56-84ce-6890c2f81ebf</t>
  </si>
  <si>
    <t>SBS</t>
  </si>
  <si>
    <t>amzn1.flex.provider.v1.9db507bf-ab2d-4b36-bedd-6cfae5615937</t>
  </si>
  <si>
    <t>HTY9</t>
  </si>
  <si>
    <t>Koto</t>
  </si>
  <si>
    <t>d09bb00d-9573-4a5d-8da0-ea87bbcc3ab0</t>
  </si>
  <si>
    <t>HWJ1</t>
  </si>
  <si>
    <t>Kyoto</t>
  </si>
  <si>
    <t>SSSR</t>
  </si>
  <si>
    <t>amzn1.flex.provider.v1.7f116653-aa06-437c-85f3-e22d2d1afd3e</t>
  </si>
  <si>
    <t>3d49dc24-f1a5-4e54-afee-72df4ce6cb82</t>
  </si>
  <si>
    <t>HWJ2</t>
  </si>
  <si>
    <t>Sakai</t>
  </si>
  <si>
    <t>9d894a6c-a662-4408-93d8-15084e931f85</t>
  </si>
  <si>
    <t>Region 1</t>
  </si>
  <si>
    <t>DCJ1</t>
  </si>
  <si>
    <t>Ichinomiya</t>
  </si>
  <si>
    <t>ENSHU</t>
  </si>
  <si>
    <t>amzn1.flex.provider.v1.26af7c02-53dc-4457-82ce-c32f08588ba6</t>
  </si>
  <si>
    <t>94a4cdee-bfc8-4347-8bee-2df0295f0910</t>
  </si>
  <si>
    <t>GDS</t>
  </si>
  <si>
    <t>amzn1.flex.provider.v1.9f353517-19a0-42a4-9d0c-d3720e1cf8d8</t>
  </si>
  <si>
    <t>LOGINET</t>
  </si>
  <si>
    <t>amzn1.flex.provider.v1.83912cb1-e5bc-4818-86e4-9274fa0f75f8</t>
  </si>
  <si>
    <t>OCJ1</t>
  </si>
  <si>
    <t>Ogaki</t>
  </si>
  <si>
    <t>3f927836-fa6e-499a-b653-bccc904f1bf5</t>
  </si>
  <si>
    <t>OCJ2</t>
  </si>
  <si>
    <t>Seki</t>
  </si>
  <si>
    <t>d0335ca8-4629-4968-a456-198f6f8788c3</t>
  </si>
  <si>
    <t>OCJ3</t>
  </si>
  <si>
    <t>Hashima</t>
  </si>
  <si>
    <t>ff86ad37-2dd7-4a46-9f09-d8ca77df800f</t>
  </si>
  <si>
    <t>OCJ4</t>
  </si>
  <si>
    <t>Kani</t>
  </si>
  <si>
    <t>819fae7a-cb02-44c2-a66b-6dfa0e502e8f</t>
  </si>
  <si>
    <t>OWJO</t>
  </si>
  <si>
    <t>Nagahama</t>
  </si>
  <si>
    <t>d53b4a2b-cf28-4f7e-b927-fea3009b1921</t>
  </si>
  <si>
    <t>DOO1</t>
  </si>
  <si>
    <t>HIP</t>
  </si>
  <si>
    <t>amzn1.flex.provider.v1.d34b0099-ecdd-48c4-ac9a-77b6c3f65f3b</t>
  </si>
  <si>
    <t>3f2f0269-4515-46b9-b6cb-17a21efee7c2</t>
  </si>
  <si>
    <t>MYBR</t>
  </si>
  <si>
    <t>amzn1.flex.provider.v1.7ab2c69b-8eb2-4af2-b939-6255205d3891</t>
  </si>
  <si>
    <t>OOOF</t>
  </si>
  <si>
    <t>38ec882d-2122-4e12-90b6-2900d6cb3fb1</t>
  </si>
  <si>
    <t>OOOJ</t>
  </si>
  <si>
    <t>Izumisano-shi</t>
  </si>
  <si>
    <t>e7da3285-4883-4bd0-a0cc-7a946e1f1090</t>
  </si>
  <si>
    <t>OWJK</t>
  </si>
  <si>
    <t>Wakayama</t>
  </si>
  <si>
    <t>SMDL</t>
  </si>
  <si>
    <t>amzn1.flex.provider.v1.6bc82bba-25da-49de-8ace-333c67ab70af</t>
  </si>
  <si>
    <t>f361d472-8cca-4e5f-94aa-e2547c90660f</t>
  </si>
  <si>
    <t>DOO2</t>
  </si>
  <si>
    <t>Osaka</t>
  </si>
  <si>
    <t>15b5584e-1c8d-463f-8a4a-bd2363bba18f</t>
  </si>
  <si>
    <t>MRUK</t>
  </si>
  <si>
    <t>amzn1.flex.provider.v1.234165ca-d13e-4a49-b42e-fc246524bbc3</t>
  </si>
  <si>
    <t>NSLN</t>
  </si>
  <si>
    <t>amzn1.flex.provider.v1.9ae4bb46-a59d-4da4-b739-9db803e6885c</t>
  </si>
  <si>
    <t>PRSE</t>
  </si>
  <si>
    <t>amzn1.flex.provider.v1.740e700d-911c-4694-95a2-aa02cf76134f</t>
  </si>
  <si>
    <t>OOOD</t>
  </si>
  <si>
    <t>Yao</t>
  </si>
  <si>
    <t>d3e3ce19-5c73-4bca-b063-88b462896df8</t>
  </si>
  <si>
    <t>OOOG</t>
  </si>
  <si>
    <t>6b1213e0-98c4-428f-937f-19319ea0948e</t>
  </si>
  <si>
    <t>OOOL</t>
  </si>
  <si>
    <t>Higashiosaka</t>
  </si>
  <si>
    <t>418e2c8e-d21c-4965-ad08-ef242173d98d</t>
  </si>
  <si>
    <t>DOO3</t>
  </si>
  <si>
    <t>KEIK</t>
  </si>
  <si>
    <t>amzn1.flex.provider.v1.ab6f5cd7-7108-49e5-ad0a-53d34625dbbc</t>
  </si>
  <si>
    <t>cc56da96-1cf0-4e9d-ab9b-e0a24613803f</t>
  </si>
  <si>
    <t>OOOM</t>
  </si>
  <si>
    <t>Kadoma</t>
  </si>
  <si>
    <t>e74b1813-6749-46e8-8a03-2e78bb88af8e</t>
  </si>
  <si>
    <t>OOOS</t>
  </si>
  <si>
    <t>e43f00ca-06f9-4ee2-b8d5-58a10c4cfbed</t>
  </si>
  <si>
    <t>DOO4</t>
  </si>
  <si>
    <t>Hirakata</t>
  </si>
  <si>
    <t>786f02db-9c33-45be-9fee-067dde027e93</t>
  </si>
  <si>
    <t>NTRL</t>
  </si>
  <si>
    <t>amzn1.flex.provider.v1.cf398ab9-b9ea-4eb2-9a9b-d804b160dfb2</t>
  </si>
  <si>
    <t>OWJ2</t>
  </si>
  <si>
    <t>d3b50969-1d2c-43e7-a4d3-3fbc281d1e92</t>
  </si>
  <si>
    <t>OWJ3</t>
  </si>
  <si>
    <t>ab43a126-00a0-45eb-8bba-d7b3f7edc378</t>
  </si>
  <si>
    <t>OWJ4</t>
  </si>
  <si>
    <t>5f91f814-52ce-492d-9202-2bdf9c05a753</t>
  </si>
  <si>
    <t>OWJD</t>
  </si>
  <si>
    <t>Kusatsu</t>
  </si>
  <si>
    <t>b9e93b39-59d8-4815-8e14-84e229a4913d</t>
  </si>
  <si>
    <t>OWJE</t>
  </si>
  <si>
    <t>Yawata</t>
  </si>
  <si>
    <t>ADVA</t>
  </si>
  <si>
    <t>amzn1.flex.provider.v1.bc79c65c-dc21-4f99-a7cf-d24201d850b8</t>
  </si>
  <si>
    <t>90d9544c-d1f5-4065-a0b5-7822f6038f07</t>
  </si>
  <si>
    <t>OWJP</t>
  </si>
  <si>
    <t>Yasu</t>
  </si>
  <si>
    <t>58b5a3e0-11fb-494a-9f54-9dc88d70cc19</t>
  </si>
  <si>
    <t>JLB3</t>
  </si>
  <si>
    <t>Arida-gun</t>
  </si>
  <si>
    <t>93cadf83-9c79-4888-9b33-17b47378b577</t>
  </si>
  <si>
    <t>JLB7</t>
  </si>
  <si>
    <t>Tanabe</t>
  </si>
  <si>
    <t>37c4e595-a471-41c4-9ea4-648558981796</t>
  </si>
  <si>
    <t>JLC1</t>
  </si>
  <si>
    <t>Takayama</t>
  </si>
  <si>
    <t>de22bc32-1b96-40e9-ac20-0f8b0fd6fcb4</t>
  </si>
  <si>
    <t>JLC7</t>
  </si>
  <si>
    <t>Fukuchiyama</t>
  </si>
  <si>
    <t>9e7ce4d8-599a-44fb-8d9e-d69346ff933c</t>
  </si>
  <si>
    <t>JLD9</t>
  </si>
  <si>
    <t>Funai</t>
  </si>
  <si>
    <t>0b241e4a-1858-4278-bcf0-f492c4e87199</t>
  </si>
  <si>
    <t>Region 10</t>
  </si>
  <si>
    <t>DEJ5</t>
  </si>
  <si>
    <t>Misato</t>
  </si>
  <si>
    <t>FKSK</t>
  </si>
  <si>
    <t>amzn1.flex.provider.v1.fef84fc6-e406-47bc-b1e5-3e85b1cd99a1</t>
  </si>
  <si>
    <t>ca982ae8-45ca-4735-b439-c29bd2b9bd21</t>
  </si>
  <si>
    <t>RLZE</t>
  </si>
  <si>
    <t>amzn1.flex.provider.v1.f0293a70-2229-4599-8bd9-f73186b26f26</t>
  </si>
  <si>
    <t>SERT</t>
  </si>
  <si>
    <t>amzn1.flex.provider.v1.f654f08a-ec84-41e4-81a6-94b5aa798ddf</t>
  </si>
  <si>
    <t>DEJ8</t>
  </si>
  <si>
    <t>Ageo</t>
  </si>
  <si>
    <t>CRUZ</t>
  </si>
  <si>
    <t>amzn1.flex.provider.v1.64341064-671f-4490-b3ae-6293e50048d8</t>
  </si>
  <si>
    <t>0cb2d63a-fea4-4267-9e74-c4317bdbdfb3</t>
  </si>
  <si>
    <t>MSKK</t>
  </si>
  <si>
    <t>amzn1.flex.provider.v1.1d48562e-23d6-47d7-8bbd-25ac94a2e17a</t>
  </si>
  <si>
    <t>PEJ1</t>
  </si>
  <si>
    <t>Tsurugashima</t>
  </si>
  <si>
    <t>468c4eaf-f67e-4aef-b164-117cd4be1d6a</t>
  </si>
  <si>
    <t>PEJ2</t>
  </si>
  <si>
    <t>???</t>
  </si>
  <si>
    <t>93bdf769-7057-4d56-8dfa-2b69864c04a6</t>
  </si>
  <si>
    <t>PEJ3</t>
  </si>
  <si>
    <t>?????</t>
  </si>
  <si>
    <t>2eb5db5e-778f-49ec-a51a-db12c195ea90</t>
  </si>
  <si>
    <t>PEJ4</t>
  </si>
  <si>
    <t>Kasukabe</t>
  </si>
  <si>
    <t>a3c360cc-ce30-48cc-9744-73071d9c39f8</t>
  </si>
  <si>
    <t>PEJ5</t>
  </si>
  <si>
    <t>??</t>
  </si>
  <si>
    <t>4a435088-5ac4-4018-ac82-7e01f9c57197</t>
  </si>
  <si>
    <t>DKJ1</t>
  </si>
  <si>
    <t>Tsukuba</t>
  </si>
  <si>
    <t>ELLY</t>
  </si>
  <si>
    <t>amzn1.flex.provider.v1.af588617-e3ac-416d-9dce-777eff994dd9</t>
  </si>
  <si>
    <t>b05651e7-a12f-4469-9479-163ebb25779e</t>
  </si>
  <si>
    <t>YMLE</t>
  </si>
  <si>
    <t>amzn1.flex.provider.v1.597c3eaa-abd2-448a-a5a3-83f582202dad</t>
  </si>
  <si>
    <t>DKJ5</t>
  </si>
  <si>
    <t>Maebashi</t>
  </si>
  <si>
    <t>MEGR</t>
  </si>
  <si>
    <t>amzn1.flex.provider.v1.5778f69b-7041-4c4c-8efc-b29be3defef8</t>
  </si>
  <si>
    <t>432098d2-611a-4306-b9bb-249fbd1b618c</t>
  </si>
  <si>
    <t>PEJD</t>
  </si>
  <si>
    <t>a6b1fd2b-39d2-4064-81d9-da8431e1c136</t>
  </si>
  <si>
    <t>JAF2</t>
  </si>
  <si>
    <t>Oragun</t>
  </si>
  <si>
    <t>7076bab7-31eb-40ce-b3fd-000691dfdd57</t>
  </si>
  <si>
    <t>JAF5</t>
  </si>
  <si>
    <t>Tatebayashi</t>
  </si>
  <si>
    <t>5d676ffc-32f1-458c-b2dc-2010b9376d06</t>
  </si>
  <si>
    <t>Ushiku</t>
  </si>
  <si>
    <t>e1a05c1b-5689-4c7d-9446-fad83f277477</t>
  </si>
  <si>
    <t>JBB8</t>
  </si>
  <si>
    <t>Hitachinaka</t>
  </si>
  <si>
    <t>3a0aa760-60ad-4c67-8758-7932924079aa</t>
  </si>
  <si>
    <t>JBF8</t>
  </si>
  <si>
    <t>Hitachi</t>
  </si>
  <si>
    <t>a8ea0d1f-6538-40cb-8e28-c5d8eca080da</t>
  </si>
  <si>
    <t>JBG6</t>
  </si>
  <si>
    <t>Kasama</t>
  </si>
  <si>
    <t>b4f2e771-7137-4854-bd31-2cff12a26129</t>
  </si>
  <si>
    <t>JLE2</t>
  </si>
  <si>
    <t>Shibukawa</t>
  </si>
  <si>
    <t>c9c61759-a9bd-49cc-8115-ff3e448ef9ec</t>
  </si>
  <si>
    <t>JLF5</t>
  </si>
  <si>
    <t>Kashima</t>
  </si>
  <si>
    <t>ef51b76f-f31b-43cd-a4e4-b3111a78d952</t>
  </si>
  <si>
    <t>MEJ1</t>
  </si>
  <si>
    <t>Utsunomiya</t>
  </si>
  <si>
    <t>fa00bc2b-67f9-4c99-a8c3-07390c29c132</t>
  </si>
  <si>
    <t>MEJ8</t>
  </si>
  <si>
    <t>Shimotsuga-gun</t>
  </si>
  <si>
    <t>f22f9db5-360c-41b8-b86b-5b9e8d166737</t>
  </si>
  <si>
    <t>SAT</t>
  </si>
  <si>
    <t>amzn1.flex.provider.v1.3884a4b3-c7dd-4604-b2eb-a65203bc7a91</t>
  </si>
  <si>
    <t>SKCA</t>
  </si>
  <si>
    <t>amzn1.flex.provider.v1.b524c07c-3e42-435d-a232-5aeaa9940c83</t>
  </si>
  <si>
    <t>Region 2</t>
  </si>
  <si>
    <t>DAI1</t>
  </si>
  <si>
    <t>LALA</t>
  </si>
  <si>
    <t>amzn1.flex.provider.v1.9a437a51-8b3e-4a39-b4ed-c0cfc3e1548c</t>
  </si>
  <si>
    <t>b3a55f49-bb47-4ea3-b862-15573f001cb2</t>
  </si>
  <si>
    <t>SFTB</t>
  </si>
  <si>
    <t>amzn1.flex.provider.v1.dd5e9d86-dfaa-4e85-b93f-db61ca2d8a4f</t>
  </si>
  <si>
    <t>OCJ5</t>
  </si>
  <si>
    <t>Okazaki</t>
  </si>
  <si>
    <t>4891c74e-bc70-4055-8987-04846dd94bd7</t>
  </si>
  <si>
    <t>ONGA</t>
  </si>
  <si>
    <t>Handa</t>
  </si>
  <si>
    <t>CSP</t>
  </si>
  <si>
    <t>307ef0d7-3147-456c-b184-34e8e5ffa7ae</t>
  </si>
  <si>
    <t>ONGD</t>
  </si>
  <si>
    <t>Chiryu</t>
  </si>
  <si>
    <t>3cf5af5a-d6f7-4318-b2d4-86861d0b72ac</t>
  </si>
  <si>
    <t>DCJ3</t>
  </si>
  <si>
    <t>2fde8664-eb33-4c2c-a406-532fd037b810</t>
  </si>
  <si>
    <t>SHIZ</t>
  </si>
  <si>
    <t>amzn1.flex.provider.v1.68be125b-7481-4b53-a874-9d6618ac5587</t>
  </si>
  <si>
    <t>OCJ9</t>
  </si>
  <si>
    <t>Yaizu-shi</t>
  </si>
  <si>
    <t>5730fe55-e085-47b0-9d90-368a2f262ccb</t>
  </si>
  <si>
    <t>DCJ4</t>
  </si>
  <si>
    <t>3aff95c8-bb13-4a87-96d9-aff06b9b205f</t>
  </si>
  <si>
    <t>RATE</t>
  </si>
  <si>
    <t>amzn1.flex.provider.v1.bd933830-6dc4-457f-a661-a6d83a25e2ea</t>
  </si>
  <si>
    <t>SHIR</t>
  </si>
  <si>
    <t>amzn1.flex.provider.v1.38b16e04-5cee-4858-b62c-66da3eb2e105</t>
  </si>
  <si>
    <t>WAKABA</t>
  </si>
  <si>
    <t>amzn1.flex.provider.v1.11d654ae-8c65-460a-ab74-1f1bbfc2d119</t>
  </si>
  <si>
    <t>OCJ6</t>
  </si>
  <si>
    <t>Yokkaichi-shi</t>
  </si>
  <si>
    <t>7e973a5c-6540-475c-8629-1045639f6982</t>
  </si>
  <si>
    <t>OCJ7</t>
  </si>
  <si>
    <t>Mie Gun</t>
  </si>
  <si>
    <t>cb1ccc79-0dd8-4e8e-a1de-1f709007424f</t>
  </si>
  <si>
    <t>ONG6</t>
  </si>
  <si>
    <t>Owariasahi</t>
  </si>
  <si>
    <t>bcc45cff-7379-4603-bbe9-193c141d2d96</t>
  </si>
  <si>
    <t>Toyohashi</t>
  </si>
  <si>
    <t>df69be21-d5cc-4b60-8fd7-04d26198853e</t>
  </si>
  <si>
    <t>JEC2</t>
  </si>
  <si>
    <t>Fuji</t>
  </si>
  <si>
    <t>3b256365-cb05-4213-98c8-a60921fa83c4</t>
  </si>
  <si>
    <t>JKB3</t>
  </si>
  <si>
    <t>061aedf3-f0d0-4277-b19f-0508b398ff47</t>
  </si>
  <si>
    <t>Iga</t>
  </si>
  <si>
    <t>83470f8d-6344-4f6d-b2b8-7408698a8be9</t>
  </si>
  <si>
    <t>Gamagori</t>
  </si>
  <si>
    <t>eaf81d81-f857-4681-9941-8e0bb6a4aa1c</t>
  </si>
  <si>
    <t>MCJ2</t>
  </si>
  <si>
    <t>Tsu</t>
  </si>
  <si>
    <t>EIYU</t>
  </si>
  <si>
    <t>amzn1.flex.provider.v1.c87a2a59-4da8-42aa-870c-fa2f5989b0de</t>
  </si>
  <si>
    <t>4382c9fc-8400-4dcf-a6f4-2b5c7a7ce05a</t>
  </si>
  <si>
    <t>MCJ7</t>
  </si>
  <si>
    <t>Hamamatsu</t>
  </si>
  <si>
    <t>078a3314-4b4d-4481-b512-fe97878bbd01</t>
  </si>
  <si>
    <t>SINK</t>
  </si>
  <si>
    <t>amzn1.flex.provider.v1.5a88fec7-10e7-4be9-bcc0-8a030a43dd76</t>
  </si>
  <si>
    <t>MCJ8</t>
  </si>
  <si>
    <t>Fukuroi</t>
  </si>
  <si>
    <t>51c33fc9-ad2b-4b32-851d-8570f8fd4f25</t>
  </si>
  <si>
    <t>Region 3</t>
  </si>
  <si>
    <t>DTK1</t>
  </si>
  <si>
    <t>1d0075ee-ec09-4c66-83f3-f3b9a8aa9cf3</t>
  </si>
  <si>
    <t>TTGG</t>
  </si>
  <si>
    <t>amzn1.flex.provider.v1.277cac52-f844-42f4-8226-3a00b5683a90</t>
  </si>
  <si>
    <t>PTKJ</t>
  </si>
  <si>
    <t>Bunkyo</t>
  </si>
  <si>
    <t>1b01d473-fd64-4152-a546-b2b09f84eba3</t>
  </si>
  <si>
    <t>PTKM</t>
  </si>
  <si>
    <t>Shinjuku</t>
  </si>
  <si>
    <t>bb0501bb-5865-4a0e-a1b5-55c57d64f438</t>
  </si>
  <si>
    <t>DTK3</t>
  </si>
  <si>
    <t>Fuchu City</t>
  </si>
  <si>
    <t>1395af67-471a-4287-bcec-7d7c3303260b</t>
  </si>
  <si>
    <t>KLKK</t>
  </si>
  <si>
    <t>amzn1.flex.provider.v1.841d732f-8cf2-41c8-b055-7e5e980c94af</t>
  </si>
  <si>
    <t>OTKO</t>
  </si>
  <si>
    <t>OKSY</t>
  </si>
  <si>
    <t>amzn1.flex.provider.v1.6561da9d-d15a-4258-bd35-7eec004a12ba</t>
  </si>
  <si>
    <t>0042ec5e-f298-40a5-b6cd-81949f096825</t>
  </si>
  <si>
    <t>PTK8</t>
  </si>
  <si>
    <t>d2b0537b-f38c-4c4b-b38a-a7f90b543567</t>
  </si>
  <si>
    <t>DTK4</t>
  </si>
  <si>
    <t>ONTK</t>
  </si>
  <si>
    <t>amzn1.flex.provider.v1.7e85027d-92a2-4976-bc59-e17695a64c67</t>
  </si>
  <si>
    <t>3c3baeda-e6d7-424b-ab84-dd8fb2e1489b</t>
  </si>
  <si>
    <t>OTK5</t>
  </si>
  <si>
    <t>bfafab60-7c2d-4088-9d1c-2ad2b7259f18</t>
  </si>
  <si>
    <t>PTKH</t>
  </si>
  <si>
    <t>Sumida</t>
  </si>
  <si>
    <t>c5c3422c-710d-4d7a-bb19-6e9c6644cff7</t>
  </si>
  <si>
    <t>DTK6</t>
  </si>
  <si>
    <t>e0139fd4-3cac-49fe-a193-73c460f05a92</t>
  </si>
  <si>
    <t>OTK7</t>
  </si>
  <si>
    <t>8bac7a96-786f-41ef-97e8-3caba3631bb7</t>
  </si>
  <si>
    <t>OTKX</t>
  </si>
  <si>
    <t>Mitaka</t>
  </si>
  <si>
    <t>bedd4f56-74be-40a6-aaf4-7f53f587935e</t>
  </si>
  <si>
    <t>OTKY</t>
  </si>
  <si>
    <t>Setagaya</t>
  </si>
  <si>
    <t>cd8e70ef-6569-4676-aa5d-fcba363c4c28</t>
  </si>
  <si>
    <t>PTK1</t>
  </si>
  <si>
    <t>Hachioji</t>
  </si>
  <si>
    <t>c564d4ae-26a1-41fa-b436-03c8c35d8d89</t>
  </si>
  <si>
    <t>PTK2</t>
  </si>
  <si>
    <t>Akishima</t>
  </si>
  <si>
    <t>LIFE</t>
  </si>
  <si>
    <t>amzn1.flex.provider.v1.875bb97c-3678-4397-946c-d5a2dbcbae07</t>
  </si>
  <si>
    <t>add40db1-dbeb-476c-9bdd-957a26575aa4</t>
  </si>
  <si>
    <t>PTK3</t>
  </si>
  <si>
    <t>JBCO</t>
  </si>
  <si>
    <t>amzn1.flex.provider.v1.443bcbb8-a284-4bb1-8ec5-ebb2f4a3c1a5</t>
  </si>
  <si>
    <t>02a2bf90-8916-4b8f-97a8-220b443f8515</t>
  </si>
  <si>
    <t>PTK4</t>
  </si>
  <si>
    <t>bf8c4b47-f559-43b0-9675-5b7d87d65dcf</t>
  </si>
  <si>
    <t>PTK9</t>
  </si>
  <si>
    <t>ISSH</t>
  </si>
  <si>
    <t>amzn1.flex.provider.v1.9fe718b2-33b3-4fe9-b983-ff8c36ce0e4a</t>
  </si>
  <si>
    <t>5cedb550-fbec-4e14-8c8e-04789e01adec</t>
  </si>
  <si>
    <t>PTKC</t>
  </si>
  <si>
    <t>c26efb51-1d7a-4a51-917a-e5b94d02f76a</t>
  </si>
  <si>
    <t>PTKE</t>
  </si>
  <si>
    <t>Hamura</t>
  </si>
  <si>
    <t>4526bd04-0d95-4918-8d96-d26f5a479453</t>
  </si>
  <si>
    <t>DTK7</t>
  </si>
  <si>
    <t>Shinagawa</t>
  </si>
  <si>
    <t>ANYC</t>
  </si>
  <si>
    <t>amzn1.flex.provider.v1.63804286-4237-469e-bb18-1f6adb92382b</t>
  </si>
  <si>
    <t>7c4e220a-b724-40f7-8ccb-836a38c4a376</t>
  </si>
  <si>
    <t>PAMO</t>
  </si>
  <si>
    <t>amzn1.flex.provider.v1.40c8309e-bdf4-4993-9d77-550768fbae27</t>
  </si>
  <si>
    <t>JBG2</t>
  </si>
  <si>
    <t>Koriyama</t>
  </si>
  <si>
    <t>dbff5efb-aa67-408e-bf85-a4b698058de3</t>
  </si>
  <si>
    <t>JKA6</t>
  </si>
  <si>
    <t>Sakata</t>
  </si>
  <si>
    <t>b97f4323-b659-475e-afbf-924f72d1bb28</t>
  </si>
  <si>
    <t>JLC4</t>
  </si>
  <si>
    <t>Nishishirakawa-gun</t>
  </si>
  <si>
    <t>d05c0ab9-85eb-4543-9388-e2a87c1353a5</t>
  </si>
  <si>
    <t>JLD4</t>
  </si>
  <si>
    <t>Yonezawa</t>
  </si>
  <si>
    <t>5355ab25-a28e-4e47-af0f-212675234bbf</t>
  </si>
  <si>
    <t>JLH6</t>
  </si>
  <si>
    <t>Iwaki</t>
  </si>
  <si>
    <t>de274d4e-f586-44d6-8716-0dc6ce739500</t>
  </si>
  <si>
    <t>VIT1</t>
  </si>
  <si>
    <t>Itabashi</t>
  </si>
  <si>
    <t>550c5816-ff49-44b8-9776-4ce3e376e62d</t>
  </si>
  <si>
    <t>VSJ1</t>
  </si>
  <si>
    <t>Koto-ku</t>
  </si>
  <si>
    <t>a5723567-d1c6-4874-918c-cf82c14e9375</t>
  </si>
  <si>
    <t>Region 4</t>
  </si>
  <si>
    <t>DEJ6</t>
  </si>
  <si>
    <t>AGRA</t>
  </si>
  <si>
    <t>amzn1.flex.provider.v1.93523925-74a8-41cf-8506-10b5da122a01</t>
  </si>
  <si>
    <t>ba14f694-ccfd-465f-81cc-94533ea1ca4e</t>
  </si>
  <si>
    <t>CRVL</t>
  </si>
  <si>
    <t>amzn1.flex.provider.v1.bdfa2d88-7f53-4048-996c-490ff826e8a6</t>
  </si>
  <si>
    <t>PTK5</t>
  </si>
  <si>
    <t>617650a0-6cbd-4da5-b803-caa7f9e651b4</t>
  </si>
  <si>
    <t>DEJ9</t>
  </si>
  <si>
    <t>AUNK</t>
  </si>
  <si>
    <t>amzn1.flex.provider.v1.f350b8da-a14d-4867-abf5-e7f9bb4d386d</t>
  </si>
  <si>
    <t>6c267ad3-0201-4bf6-8905-9d3c1bf736b1</t>
  </si>
  <si>
    <t>KSRG</t>
  </si>
  <si>
    <t>amzn1.flex.provider.v1.4ff4dcbf-8a32-43a2-9625-36cb81333edf</t>
  </si>
  <si>
    <t>OEJT</t>
  </si>
  <si>
    <t>Yokosuka</t>
  </si>
  <si>
    <t>ff067663-3d95-4fdc-b6f6-1ada214a837e</t>
  </si>
  <si>
    <t>OEJU</t>
  </si>
  <si>
    <t>a0439440-f1d8-47a8-bfa1-f28ca7e1189c</t>
  </si>
  <si>
    <t>OEJW</t>
  </si>
  <si>
    <t>359ad6d6-5319-420e-839f-a892c1eef9a7</t>
  </si>
  <si>
    <t>OEJX</t>
  </si>
  <si>
    <t>MARI</t>
  </si>
  <si>
    <t>amzn1.flex.provider.v1.1231c537-18e0-49fa-96d0-216db9a6e18d</t>
  </si>
  <si>
    <t>6a99db6d-34fb-4cae-b22e-d0a24df9269c</t>
  </si>
  <si>
    <t>DOW2</t>
  </si>
  <si>
    <t>Tomigusuku</t>
  </si>
  <si>
    <t>CNET</t>
  </si>
  <si>
    <t>amzn1.flex.provider.v1.1506216b-203e-4310-bcef-9c6067ba10d0</t>
  </si>
  <si>
    <t>41ac1005-1059-4dfe-ad97-a9e8a759820f</t>
  </si>
  <si>
    <t>OOW1</t>
  </si>
  <si>
    <t>Nago</t>
  </si>
  <si>
    <t>729e869e-0e78-4cb7-aa60-d09f50d4aa7c</t>
  </si>
  <si>
    <t>OOW2</t>
  </si>
  <si>
    <t>Chatan, Nakagami</t>
  </si>
  <si>
    <t>1a5f120f-4253-4c26-bb85-4e6ba47f1f90</t>
  </si>
  <si>
    <t>DTK5</t>
  </si>
  <si>
    <t>Machida</t>
  </si>
  <si>
    <t>f9cac106-463a-401f-8f26-1144d9c3999e</t>
  </si>
  <si>
    <t>ROMT</t>
  </si>
  <si>
    <t>amzn1.flex.provider.v1.e6796737-3bb0-4e51-bfba-3274e28a13ba</t>
  </si>
  <si>
    <t>SNTA</t>
  </si>
  <si>
    <t>amzn1.flex.provider.v1.6277e17d-f94e-48ef-87c4-ed9d16d4f5c4</t>
  </si>
  <si>
    <t>OEJH</t>
  </si>
  <si>
    <t>Sagamihara</t>
  </si>
  <si>
    <t>a4d74334-20d3-4279-b463-9da78527d6bc</t>
  </si>
  <si>
    <t>ZONE</t>
  </si>
  <si>
    <t>amzn1.flex.provider.v1.42f1b511-a907-4453-881b-b31e17128bfc</t>
  </si>
  <si>
    <t>OTKS</t>
  </si>
  <si>
    <t>7e8377fa-f118-41de-b1b7-583439ff75c8</t>
  </si>
  <si>
    <t>DTK8</t>
  </si>
  <si>
    <t>Hiratsuka</t>
  </si>
  <si>
    <t>DIGI</t>
  </si>
  <si>
    <t>amzn1.flex.provider.v1.99d9f38f-2820-4a80-aea2-263f6337d348</t>
  </si>
  <si>
    <t>889b6ea0-e443-44fe-aafa-fddcf0b701b4</t>
  </si>
  <si>
    <t>PEJ6</t>
  </si>
  <si>
    <t>Odawara</t>
  </si>
  <si>
    <t>e728a783-fdcd-4eea-a86c-a589ca02e074</t>
  </si>
  <si>
    <t>Nasushiobara</t>
  </si>
  <si>
    <t>dc0ae190-1d9a-4977-8f1a-8110d3d4ce96</t>
  </si>
  <si>
    <t>MCJ6</t>
  </si>
  <si>
    <t>Mishima</t>
  </si>
  <si>
    <t>1a02b1c6-2667-4225-9fb8-58c226392067</t>
  </si>
  <si>
    <t>Region 5</t>
  </si>
  <si>
    <t>DWJ1</t>
  </si>
  <si>
    <t>Kobe</t>
  </si>
  <si>
    <t>AKRK</t>
  </si>
  <si>
    <t>amzn1.flex.provider.v1.5dd5c3d7-496b-47b4-97f8-9b90ae8390b4</t>
  </si>
  <si>
    <t>85d7b491-9d83-41ca-b99d-b23bbd0d74c6</t>
  </si>
  <si>
    <t>KEIW</t>
  </si>
  <si>
    <t>amzn1.flex.provider.v1.6ac9c30c-2bf9-4948-ae32-1d94c39524ff</t>
  </si>
  <si>
    <t>OWJH</t>
  </si>
  <si>
    <t>08aae9b1-88d1-4abf-803c-917854a6d7b8</t>
  </si>
  <si>
    <t>OWJJ</t>
  </si>
  <si>
    <t>????</t>
  </si>
  <si>
    <t>af5d6211-6f71-4b2a-a0dd-b9142ada1629</t>
  </si>
  <si>
    <t>OWJL</t>
  </si>
  <si>
    <t>Himeji</t>
  </si>
  <si>
    <t>ASFA</t>
  </si>
  <si>
    <t>amzn1.flex.provider.v1.a3dfef66-9680-45c3-ae2e-c0a46850c03d</t>
  </si>
  <si>
    <t>ea9569a8-e80b-442c-a73b-b244c033c3cc</t>
  </si>
  <si>
    <t>DWJ3</t>
  </si>
  <si>
    <t>JPXP</t>
  </si>
  <si>
    <t>amzn1.flex.provider.v1.6db4c7f7-d399-4ac3-8187-d0c94286f744</t>
  </si>
  <si>
    <t>21303578-7d65-4662-b7e9-cff28863abc5</t>
  </si>
  <si>
    <t>OOO7</t>
  </si>
  <si>
    <t>2bcf57a1-ba44-4949-8518-42d68c328e0e</t>
  </si>
  <si>
    <t>ZENO</t>
  </si>
  <si>
    <t>amzn1.flex.provider.v1.c5f8eb21-afe8-4fe4-8a7e-b1f3525c0e4b</t>
  </si>
  <si>
    <t>OOO8</t>
  </si>
  <si>
    <t>Toyonaka</t>
  </si>
  <si>
    <t>20bc0c87-e7f1-4fc7-ab55-ad122f674cb4</t>
  </si>
  <si>
    <t>OOO9</t>
  </si>
  <si>
    <t>982f1f64-987a-4c62-9d95-1816faa38ee9</t>
  </si>
  <si>
    <t>OWJB</t>
  </si>
  <si>
    <t>Ikeda</t>
  </si>
  <si>
    <t>7c266549-6b13-404f-be03-c9cc3b5d3c42</t>
  </si>
  <si>
    <t>OWJM</t>
  </si>
  <si>
    <t>8f3c82ed-0717-4ca9-aedf-6589b2943e24</t>
  </si>
  <si>
    <t>DWJ4</t>
  </si>
  <si>
    <t>Tenri</t>
  </si>
  <si>
    <t>85fef29e-2d31-4cc1-b6b6-b3db82d95290</t>
  </si>
  <si>
    <t>JKB5</t>
  </si>
  <si>
    <t>Yonago</t>
  </si>
  <si>
    <t>18ee062c-a292-4678-b167-63676c866602</t>
  </si>
  <si>
    <t>JKB6</t>
  </si>
  <si>
    <t>Matsue</t>
  </si>
  <si>
    <t>b5673d08-e750-48eb-9f50-e8f624a42b06</t>
  </si>
  <si>
    <t>JLB2</t>
  </si>
  <si>
    <t>Niihama</t>
  </si>
  <si>
    <t>ddf1c2ec-20c2-43d0-88a2-71adac7b1f45</t>
  </si>
  <si>
    <t>JLB6</t>
  </si>
  <si>
    <t>Toyooka</t>
  </si>
  <si>
    <t>946af397-1cf4-4eeb-881e-68e0de41b49a</t>
  </si>
  <si>
    <t>Kochi</t>
  </si>
  <si>
    <t>b0ca1208-cfa4-4e52-907f-4845e000ec0b</t>
  </si>
  <si>
    <t>Matsuyama</t>
  </si>
  <si>
    <t>64fc2e6a-bf7d-4e5f-b9c6-464289daa809</t>
  </si>
  <si>
    <t>MKG1</t>
  </si>
  <si>
    <t>Takamatsu</t>
  </si>
  <si>
    <t>222070a2-6f48-48d8-b83d-14a32b5ba455</t>
  </si>
  <si>
    <t>MKG2</t>
  </si>
  <si>
    <t>70d8ddb0-5235-4da6-90d0-41c0b1a0db70</t>
  </si>
  <si>
    <t>MKG3</t>
  </si>
  <si>
    <t>1d0987d5-f90e-4d70-ab69-72b2326e8e9e</t>
  </si>
  <si>
    <t>MKG4</t>
  </si>
  <si>
    <t>Tokushima</t>
  </si>
  <si>
    <t>09bf3475-261d-4167-9cfb-02afd1bf24a5</t>
  </si>
  <si>
    <t>Region 6</t>
  </si>
  <si>
    <t>DFK1</t>
  </si>
  <si>
    <t>ARUH</t>
  </si>
  <si>
    <t>amzn1.flex.provider.v1.46eea48a-6384-401c-b4cc-0ad3e2600314</t>
  </si>
  <si>
    <t>4a2b115e-34d3-4836-b841-049a67247e59</t>
  </si>
  <si>
    <t>DFK2</t>
  </si>
  <si>
    <t>Chikushino</t>
  </si>
  <si>
    <t>fd1ee245-da92-4c42-a06a-8fdcdf16e3a8</t>
  </si>
  <si>
    <t>LOGQ</t>
  </si>
  <si>
    <t>amzn1.flex.provider.v1.e12adc24-79e6-4197-9742-d60bdd1bcab0</t>
  </si>
  <si>
    <t>OFK3</t>
  </si>
  <si>
    <t>Fukuoka</t>
  </si>
  <si>
    <t>CITY</t>
  </si>
  <si>
    <t>amzn1.flex.provider.v1.45861076-92ce-4ce8-b035-74e2eeb6317c</t>
  </si>
  <si>
    <t>4b1373ef-71d3-4239-98e1-4d7fafc93877</t>
  </si>
  <si>
    <t>OFK4</t>
  </si>
  <si>
    <t>Chikugo</t>
  </si>
  <si>
    <t>cd5dcc48-6dba-409e-9173-5405dcd56c1f</t>
  </si>
  <si>
    <t>OFK5</t>
  </si>
  <si>
    <t>Saga</t>
  </si>
  <si>
    <t>41cf3aa7-3445-4991-bfad-901aefb5ac2e</t>
  </si>
  <si>
    <t>OFK6</t>
  </si>
  <si>
    <t>Kama</t>
  </si>
  <si>
    <t>3097c9ab-3a0b-481e-af9e-cb26b58f3975</t>
  </si>
  <si>
    <t>OFK7</t>
  </si>
  <si>
    <t>241fed0e-ec48-4c01-9a62-885a76306f49</t>
  </si>
  <si>
    <t>DFK4</t>
  </si>
  <si>
    <t>Kumamoto</t>
  </si>
  <si>
    <t>cfcc42ac-afb0-4d8b-b3d3-3f394256a1b9</t>
  </si>
  <si>
    <t>TOAB</t>
  </si>
  <si>
    <t>amzn1.flex.provider.v1.5f89833a-1a05-491f-a071-0bb35b2c4262</t>
  </si>
  <si>
    <t>DFK5</t>
  </si>
  <si>
    <t>Nagasaki</t>
  </si>
  <si>
    <t>e0de3453-89ca-4961-8f74-5980f5579fbf</t>
  </si>
  <si>
    <t>TBND</t>
  </si>
  <si>
    <t>amzn1.flex.provider.v1.3a242e8e-1e69-45ac-9417-38330dc0724f</t>
  </si>
  <si>
    <t>OFK8</t>
  </si>
  <si>
    <t>Isahaya</t>
  </si>
  <si>
    <t>9c3143b2-9d73-45e4-8f4a-a77f9598d078</t>
  </si>
  <si>
    <t>OFK9</t>
  </si>
  <si>
    <t>Sasebo</t>
  </si>
  <si>
    <t>96029db4-7254-4aa8-938c-a916d70615ae</t>
  </si>
  <si>
    <t>DHR1</t>
  </si>
  <si>
    <t>??????</t>
  </si>
  <si>
    <t>9c92f3b3-b26d-437e-bb2f-0bc59d516930</t>
  </si>
  <si>
    <t>TKHR</t>
  </si>
  <si>
    <t>amzn1.flex.provider.v1.bda9fba4-ce13-46a5-abfb-90ed25777dfe</t>
  </si>
  <si>
    <t>OHR4</t>
  </si>
  <si>
    <t>Kure</t>
  </si>
  <si>
    <t>f87fbb74-526a-4bd4-8752-208dd9d22edb</t>
  </si>
  <si>
    <t>OHR5</t>
  </si>
  <si>
    <t>Fukuyama</t>
  </si>
  <si>
    <t>9d843565-9ed4-4ad5-9937-351ab940f21e</t>
  </si>
  <si>
    <t>OHR6</t>
  </si>
  <si>
    <t>Higashihiroshima</t>
  </si>
  <si>
    <t>0ef37ed0-1931-4211-80c2-dbf1da80752a</t>
  </si>
  <si>
    <t>OHR7</t>
  </si>
  <si>
    <t>Yanai</t>
  </si>
  <si>
    <t>e87e511d-7322-4c98-9696-d87625272033</t>
  </si>
  <si>
    <t>JAG1</t>
  </si>
  <si>
    <t>Kitakyushu</t>
  </si>
  <si>
    <t>fb5f7b17-b363-4293-812a-790ce3d0c81b</t>
  </si>
  <si>
    <t>JDJ7</t>
  </si>
  <si>
    <t>Okayama</t>
  </si>
  <si>
    <t>30410755-4a54-4f3b-9012-4d1427ad4f3c</t>
  </si>
  <si>
    <t>JKB7</t>
  </si>
  <si>
    <t>Ayauta</t>
  </si>
  <si>
    <t>bda61e8b-593b-4d82-b06a-74631b2de0b8</t>
  </si>
  <si>
    <t>JLB9</t>
  </si>
  <si>
    <t>Bizen</t>
  </si>
  <si>
    <t>ec5c4c63-614a-478e-8860-21e95b79a195</t>
  </si>
  <si>
    <t>JLC2</t>
  </si>
  <si>
    <t>Karatsu</t>
  </si>
  <si>
    <t>4b7b0cbc-a5be-44ff-8983-f1aad359a2b1</t>
  </si>
  <si>
    <t>JLC3</t>
  </si>
  <si>
    <t>Nobeoka</t>
  </si>
  <si>
    <t>2547c690-4b46-4e07-8c6f-4a4d559f34c5</t>
  </si>
  <si>
    <t>JLC5</t>
  </si>
  <si>
    <t>Miyakonojo</t>
  </si>
  <si>
    <t>d876261a-84b4-41f1-aa4b-e55cd43de0d1</t>
  </si>
  <si>
    <t>JLE4</t>
  </si>
  <si>
    <t>Tsuyama</t>
  </si>
  <si>
    <t>8251c561-b077-4a61-b1bc-b4372542f95c</t>
  </si>
  <si>
    <t>JLE5</t>
  </si>
  <si>
    <t>Nakatsu</t>
  </si>
  <si>
    <t>a54db9a3-9906-46d4-9ac2-b2a5cb22ddce</t>
  </si>
  <si>
    <t>JLE7</t>
  </si>
  <si>
    <t>Miyazaki</t>
  </si>
  <si>
    <t>4103f386-ae0f-4dd8-ac7f-3cfc67c8a327</t>
  </si>
  <si>
    <t>JLF3</t>
  </si>
  <si>
    <t>71b8b006-8e5d-4149-b745-451ef7e7c02b</t>
  </si>
  <si>
    <t>JMA1</t>
  </si>
  <si>
    <t>Yamaguchi</t>
  </si>
  <si>
    <t>3a58ac61-870f-41e7-8f21-a30499f303e3</t>
  </si>
  <si>
    <t>JMA3</t>
  </si>
  <si>
    <t>cda79656-1068-4cdc-85e2-4783a5497f3b</t>
  </si>
  <si>
    <t>MFK1</t>
  </si>
  <si>
    <t>8e74ea47-3eea-4efb-a394-2cc33aa8cb74</t>
  </si>
  <si>
    <t>MFK2</t>
  </si>
  <si>
    <t>Kagoshima</t>
  </si>
  <si>
    <t>7ba1b7d4-0fc3-437f-b7e6-71e268691f65</t>
  </si>
  <si>
    <t>WDKK</t>
  </si>
  <si>
    <t>amzn1.flex.provider.v1.99586a80-e55e-4856-90e2-0cdcf8af4c65</t>
  </si>
  <si>
    <t>MFK3</t>
  </si>
  <si>
    <t>Oita</t>
  </si>
  <si>
    <t>5027a3e7-64db-4936-b46e-9899f8a9092d</t>
  </si>
  <si>
    <t>MHR1</t>
  </si>
  <si>
    <t>12420a0c-848b-4c0e-909a-03ea0a909301</t>
  </si>
  <si>
    <t>SPKM</t>
  </si>
  <si>
    <t>amzn1.flex.provider.v1.2f5d0bd9-c65d-4d6e-bcf4-5ea1cbd16b72</t>
  </si>
  <si>
    <t>Region 7</t>
  </si>
  <si>
    <t>DEJ7</t>
  </si>
  <si>
    <t>AXIA</t>
  </si>
  <si>
    <t>amzn1.flex.provider.v1.18a83b5b-a0c7-4729-8dd3-620904208954</t>
  </si>
  <si>
    <t>2b96ce36-baba-4be3-9708-0103b5055907</t>
  </si>
  <si>
    <t>MTKE</t>
  </si>
  <si>
    <t>amzn1.flex.provider.v1.3e9ea3be-09a1-459e-bb5b-bd6321dc769b</t>
  </si>
  <si>
    <t>TKGG</t>
  </si>
  <si>
    <t>amzn1.flex.provider.v1.df817722-2cfe-4487-8601-12dd187da8a1</t>
  </si>
  <si>
    <t>OEJM</t>
  </si>
  <si>
    <t>90ca5176-693a-4603-903d-4436f38cc663</t>
  </si>
  <si>
    <t>OEJY</t>
  </si>
  <si>
    <t>870fe0c6-5011-4f4b-ba28-cd71b44cca17</t>
  </si>
  <si>
    <t>PTKW</t>
  </si>
  <si>
    <t>Edogawa</t>
  </si>
  <si>
    <t>a08d35cf-4369-4bd1-94e7-e953c06ea066</t>
  </si>
  <si>
    <t>DHK1</t>
  </si>
  <si>
    <t>COMP</t>
  </si>
  <si>
    <t>amzn1.flex.provider.v1.50d79d1b-1f6c-408e-922f-37c091c53115</t>
  </si>
  <si>
    <t>f1e542dd-2abf-44c9-927e-56c9a17bd6f1</t>
  </si>
  <si>
    <t>OHK1</t>
  </si>
  <si>
    <t>Chitose</t>
  </si>
  <si>
    <t>3baba50d-9d9c-44a0-8adb-4667c6f2439b</t>
  </si>
  <si>
    <t>OHK2</t>
  </si>
  <si>
    <t>Takikawa</t>
  </si>
  <si>
    <t>79aa660b-2101-47e4-89cb-a636dcaf81ff</t>
  </si>
  <si>
    <t>DMG1</t>
  </si>
  <si>
    <t>Sendai</t>
  </si>
  <si>
    <t>ISGX</t>
  </si>
  <si>
    <t>amzn1.flex.provider.v1.7f736f81-0e01-4704-a9a0-55cd89d1d109</t>
  </si>
  <si>
    <t>d23763e2-be09-41ba-82a0-dca9ae9a640e</t>
  </si>
  <si>
    <t>OMG2</t>
  </si>
  <si>
    <t>Fukushima</t>
  </si>
  <si>
    <t>d7db73da-54dd-4645-aed5-b3f505db9225</t>
  </si>
  <si>
    <t>OMG6</t>
  </si>
  <si>
    <t>Yamagata</t>
  </si>
  <si>
    <t>c93b643e-3b0f-4b15-8c31-a0a08d841f11</t>
  </si>
  <si>
    <t>DMG3</t>
  </si>
  <si>
    <t>Miyagi-gun</t>
  </si>
  <si>
    <t>HAKB</t>
  </si>
  <si>
    <t>amzn1.flex.provider.v1.de81a417-13bb-4f8c-88d4-00f27073b875</t>
  </si>
  <si>
    <t>4739f582-00c4-4a88-8da5-6410e95f137e</t>
  </si>
  <si>
    <t>LTCO</t>
  </si>
  <si>
    <t>amzn1.flex.provider.v1.63b904bf-dba4-425b-9614-a541c58295cb</t>
  </si>
  <si>
    <t>OMG3</t>
  </si>
  <si>
    <t>Osaki</t>
  </si>
  <si>
    <t>cc0e564e-0a40-4c1d-bc72-8c6dc9ac3f25</t>
  </si>
  <si>
    <t>OMG4</t>
  </si>
  <si>
    <t>Ishinomaki</t>
  </si>
  <si>
    <t>24c3b04e-29e7-4a72-ad86-e92574bb6766</t>
  </si>
  <si>
    <t>JKA1</t>
  </si>
  <si>
    <t>Hakodate</t>
  </si>
  <si>
    <t>823b0343-2ec3-4c17-9281-8d629971eb62</t>
  </si>
  <si>
    <t>JKA2</t>
  </si>
  <si>
    <t>Asahikawa</t>
  </si>
  <si>
    <t>a40af997-1d2b-4252-af40-0b944246497d</t>
  </si>
  <si>
    <t>JKA3</t>
  </si>
  <si>
    <t>Obihiro</t>
  </si>
  <si>
    <t>470fece0-1837-411c-b506-d6f317ac1d8d</t>
  </si>
  <si>
    <t>JLC9</t>
  </si>
  <si>
    <t>Noboribetsu</t>
  </si>
  <si>
    <t>ff638af1-2524-4b1e-9bff-9285baf9bd57</t>
  </si>
  <si>
    <t>JLD1</t>
  </si>
  <si>
    <t>Kushiro</t>
  </si>
  <si>
    <t>80e79bfd-75f3-4ac1-8885-908499427d28</t>
  </si>
  <si>
    <t>JLF1</t>
  </si>
  <si>
    <t>Kitakami</t>
  </si>
  <si>
    <t>391817c2-af3a-4881-85ae-6d17290de137</t>
  </si>
  <si>
    <t>JLF6</t>
  </si>
  <si>
    <t>Kitami</t>
  </si>
  <si>
    <t>93a608be-fe75-48b2-8cdf-a87e0aa20066</t>
  </si>
  <si>
    <t>MMG1</t>
  </si>
  <si>
    <t>Hachinohe</t>
  </si>
  <si>
    <t>522f5c9e-03c8-432c-8bd3-248ee905035e</t>
  </si>
  <si>
    <t>MMG2</t>
  </si>
  <si>
    <t>Aomori</t>
  </si>
  <si>
    <t>11e21a84-b910-4b58-a56a-196cb942b4fa</t>
  </si>
  <si>
    <t>MMG3</t>
  </si>
  <si>
    <t>Morioka</t>
  </si>
  <si>
    <t>27768c1f-7451-4c57-a5bb-bf5634f8e90c</t>
  </si>
  <si>
    <t>MMG4</t>
  </si>
  <si>
    <t>Akita</t>
  </si>
  <si>
    <t>a7f4f04a-adfa-4afd-8b9f-7858067978e0</t>
  </si>
  <si>
    <t>Region 8</t>
  </si>
  <si>
    <t>DCJ5</t>
  </si>
  <si>
    <t>db031f70-ea25-4fce-bda0-a619601fa7f5</t>
  </si>
  <si>
    <t>KYCT</t>
  </si>
  <si>
    <t>amzn1.flex.provider.v1.78e43ced-a8dc-403a-bf4c-6908ab4285ba</t>
  </si>
  <si>
    <t>OCJ8</t>
  </si>
  <si>
    <t>Nagaoka</t>
  </si>
  <si>
    <t>4ff15d30-941e-4046-8db0-99cd5fe84f1d</t>
  </si>
  <si>
    <t>DEJ1</t>
  </si>
  <si>
    <t>LQKK</t>
  </si>
  <si>
    <t>amzn1.flex.provider.v1.2442595a-82de-418c-8802-092cbd8ac101</t>
  </si>
  <si>
    <t>12dff135-eddb-4dea-af32-c2c336f0dd1f</t>
  </si>
  <si>
    <t>SKIP</t>
  </si>
  <si>
    <t>amzn1.flex.provider.v1.163c3498-83fb-46d5-9068-855c9f46981f</t>
  </si>
  <si>
    <t>OTKN</t>
  </si>
  <si>
    <t>Adachi</t>
  </si>
  <si>
    <t>KLIC</t>
  </si>
  <si>
    <t>amzn1.flex.provider.v1.6418acc1-db0b-483a-b942-38072e4b779e</t>
  </si>
  <si>
    <t>efbcb1d1-04c8-4ebf-ac90-da0c0c4aa92a</t>
  </si>
  <si>
    <t>PTKL</t>
  </si>
  <si>
    <t>Arakawa</t>
  </si>
  <si>
    <t>1f34e182-43ae-420b-9b98-bebdfd7904bb</t>
  </si>
  <si>
    <t>DEJ2</t>
  </si>
  <si>
    <t>KAMN</t>
  </si>
  <si>
    <t>amzn1.flex.provider.v1.fbe64ef5-7056-4abb-9c50-1c67c9e1a1c3</t>
  </si>
  <si>
    <t>098c0bcc-fc72-4759-afff-ce288fc5bd75</t>
  </si>
  <si>
    <t>OEJ4</t>
  </si>
  <si>
    <t>Kawagoe</t>
  </si>
  <si>
    <t>41ac8f29-38de-41aa-96d7-e4dd81e7ee18</t>
  </si>
  <si>
    <t>OEJ9</t>
  </si>
  <si>
    <t>f731fad6-9a80-4505-90aa-ff64f465201f</t>
  </si>
  <si>
    <t>OEJS</t>
  </si>
  <si>
    <t>Tokorozawa</t>
  </si>
  <si>
    <t>e08194d9-3b20-4e8d-9ac4-fb2ee67774f8</t>
  </si>
  <si>
    <t>DEJ4</t>
  </si>
  <si>
    <t>Toda</t>
  </si>
  <si>
    <t>c602037f-bc42-4022-a6c4-3a9726d28b8c</t>
  </si>
  <si>
    <t>PROG</t>
  </si>
  <si>
    <t>amzn1.flex.provider.v1.9fa0de2d-bf39-44a0-aacf-04460ab60d19</t>
  </si>
  <si>
    <t>RFNE</t>
  </si>
  <si>
    <t>amzn1.flex.provider.v1.afed58f8-cf36-470d-9b83-9d15bb00be71</t>
  </si>
  <si>
    <t>PEJ8</t>
  </si>
  <si>
    <t>35dd3fdb-e7c5-4fae-918d-1fcbd3ac43de</t>
  </si>
  <si>
    <t>PTK7</t>
  </si>
  <si>
    <t>Nerima</t>
  </si>
  <si>
    <t>2593cc94-3b8f-494c-acb2-ae101a5367c4</t>
  </si>
  <si>
    <t>OCAR</t>
  </si>
  <si>
    <t>amzn1.flex.provider.v1.a64d40ea-e246-4594-8401-d661f0c75741</t>
  </si>
  <si>
    <t>JAE8</t>
  </si>
  <si>
    <t>Kumagaya</t>
  </si>
  <si>
    <t>ba94e152-90de-49fd-8623-5e97b202200c</t>
  </si>
  <si>
    <t>JKA8</t>
  </si>
  <si>
    <t>Joetsu</t>
  </si>
  <si>
    <t>fc8a39e7-7b05-4363-83d7-9255c46fcc4b</t>
  </si>
  <si>
    <t>JLB1</t>
  </si>
  <si>
    <t>Tokamachi</t>
  </si>
  <si>
    <t>c76a63a2-418c-4d5b-963d-e229226edc9d</t>
  </si>
  <si>
    <t>JLB8</t>
  </si>
  <si>
    <t>Nakano</t>
  </si>
  <si>
    <t>49c51e9e-60ef-437f-9f2d-8b02a860bc72</t>
  </si>
  <si>
    <t>JLE3</t>
  </si>
  <si>
    <t>Komagane</t>
  </si>
  <si>
    <t>40ed7c89-dfa4-4beb-832c-13bca8f04e9c</t>
  </si>
  <si>
    <t>Saku</t>
  </si>
  <si>
    <t>9ff2f4d5-512f-4645-8428-dc7ecdf0e4b1</t>
  </si>
  <si>
    <t>MCJ3</t>
  </si>
  <si>
    <t>Chikuma</t>
  </si>
  <si>
    <t>9fd10d82-7cbd-44cd-b303-1834a41a3c09</t>
  </si>
  <si>
    <t>MCJ4</t>
  </si>
  <si>
    <t>Shiojiri</t>
  </si>
  <si>
    <t>901399df-d23b-4ad8-a5fd-e65fdccd4225</t>
  </si>
  <si>
    <t>Region 9</t>
  </si>
  <si>
    <t>DEJ3</t>
  </si>
  <si>
    <t>DAIR</t>
  </si>
  <si>
    <t>amzn1.flex.provider.v1.889c6947-0e66-4d8f-b649-3ddf894a5ee3</t>
  </si>
  <si>
    <t>87d1b9f0-9baf-468e-8c29-5082739a84b4</t>
  </si>
  <si>
    <t>DEMA</t>
  </si>
  <si>
    <t>amzn1.flex.provider.v1.3057e12a-b8bc-4bed-8b24-1d140515bf3c</t>
  </si>
  <si>
    <t>OEJE</t>
  </si>
  <si>
    <t>1068b140-7b4c-43e3-b2c8-a5e5e22c7697</t>
  </si>
  <si>
    <t>DKJ4</t>
  </si>
  <si>
    <t>Yotsukaido</t>
  </si>
  <si>
    <t>6b95cc4c-9689-4369-b821-ed1cbd66adf2</t>
  </si>
  <si>
    <t>TTDK</t>
  </si>
  <si>
    <t>amzn1.flex.provider.v1.077b7966-74cf-412a-a486-7f1f17c6f7ea</t>
  </si>
  <si>
    <t>PEJ7</t>
  </si>
  <si>
    <t>Ichihara</t>
  </si>
  <si>
    <t>c667b799-492d-4600-8a15-45495d62d097</t>
  </si>
  <si>
    <t>PEJA</t>
  </si>
  <si>
    <t>Mobara</t>
  </si>
  <si>
    <t>2fcbfe03-ffa5-4ef0-bbd7-19241c14776a</t>
  </si>
  <si>
    <t>JBF4</t>
  </si>
  <si>
    <t>Kisarazu</t>
  </si>
  <si>
    <t>9e8327d8-e7dd-4f7b-a417-dcdadd47f70a</t>
  </si>
  <si>
    <t>JKB1</t>
  </si>
  <si>
    <t>Kanazawa</t>
  </si>
  <si>
    <t>8f5394a9-c33f-48bb-9681-1a18002e586a</t>
  </si>
  <si>
    <t>JKB2</t>
  </si>
  <si>
    <t>Komatsu</t>
  </si>
  <si>
    <t>ef9ae5d1-6664-4a83-a9af-d18ce36703f5</t>
  </si>
  <si>
    <t>JLC8</t>
  </si>
  <si>
    <t>Yurihonjo</t>
  </si>
  <si>
    <t>4f29aee9-0620-4c6c-8ec6-c881bf9e2c98</t>
  </si>
  <si>
    <t>JLD6</t>
  </si>
  <si>
    <t>Yokote</t>
  </si>
  <si>
    <t>0c757662-ae86-46a9-a516-fda1da7ac738</t>
  </si>
  <si>
    <t>JLD7</t>
  </si>
  <si>
    <t>Kesennuma</t>
  </si>
  <si>
    <t>81f67534-5398-4bb9-be61-eb89459bb69b</t>
  </si>
  <si>
    <t>MCB1</t>
  </si>
  <si>
    <t>Narita</t>
  </si>
  <si>
    <t>ec5b8c5a-90df-444f-b977-b828f9d8351b</t>
  </si>
  <si>
    <t>MCJ5</t>
  </si>
  <si>
    <t>DTLK</t>
  </si>
  <si>
    <t>amzn1.flex.provider.v1.aff244b8-6bbc-4ab1-a9e9-380d181ca610</t>
  </si>
  <si>
    <t>3fb526e4-f09e-4934-aad3-74b9fe161c80</t>
  </si>
  <si>
    <t>MCJ9</t>
  </si>
  <si>
    <t>Toyama</t>
  </si>
  <si>
    <t>5f9f0ce8-b940-479d-bf84-30c0fc928038</t>
  </si>
  <si>
    <t>SaldanaGazo</t>
  </si>
  <si>
    <t>UJF1</t>
  </si>
  <si>
    <t>Kawasaki-shi</t>
  </si>
  <si>
    <t>e1d308d9-aa31-4c3c-a98e-4162a1b7ee71</t>
  </si>
  <si>
    <t>UJF2</t>
  </si>
  <si>
    <t>Edogawa-ku</t>
  </si>
  <si>
    <t>add7eff5-04a2-4eb9-a88b-601154750228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</si>
</sst>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[$-F400]h:mm:ss\ AM/PM"/>
  </numFmts>
  <fonts count="92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 tint="-0.14999847407452621"/>
      <name val="Meiryo UI"/>
      <family val="3"/>
      <charset val="128"/>
    </font>
    <font>
      <b/>
      <sz val="11"/>
      <name val="Meiryo UI"/>
      <family val="3"/>
    </font>
    <font>
      <b/>
      <sz val="11"/>
      <name val="Segoe UI Symbol"/>
      <family val="3"/>
    </font>
    <font>
      <b/>
      <sz val="11"/>
      <color theme="0" tint="-0.499984740745262"/>
      <name val="Meiryo UI"/>
      <family val="3"/>
      <charset val="128"/>
    </font>
    <font>
      <b/>
      <sz val="11"/>
      <color theme="0"/>
      <name val="Segoe UI Symbol"/>
      <family val="2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11"/>
      <name val="游ゴシック"/>
      <family val="2"/>
      <charset val="128"/>
      <scheme val="minor"/>
    </font>
    <font>
      <sz val="11"/>
      <color rgb="FF111111"/>
      <name val="游ゴシック"/>
      <family val="2"/>
      <charset val="128"/>
      <scheme val="minor"/>
    </font>
    <font>
      <sz val="11"/>
      <color rgb="FF11111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sz val="11"/>
      <color rgb="FFFFFF00"/>
      <name val="ＭＳ 明朝"/>
      <family val="3"/>
      <charset val="128"/>
    </font>
    <font>
      <b/>
      <sz val="11"/>
      <color rgb="FF111111"/>
      <name val="游ゴシック"/>
      <family val="3"/>
      <charset val="128"/>
      <scheme val="minor"/>
    </font>
    <font>
      <b/>
      <sz val="11"/>
      <color rgb="FFFFFF00"/>
      <name val="游ゴシック"/>
      <family val="3"/>
      <charset val="128"/>
      <scheme val="minor"/>
    </font>
    <font>
      <b/>
      <sz val="14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sz val="11"/>
      <color rgb="FFFFFF00"/>
      <name val="游ゴシック"/>
      <family val="3"/>
      <charset val="128"/>
      <scheme val="minor"/>
    </font>
    <font>
      <b/>
      <sz val="14"/>
      <color rgb="FF111111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  <font>
      <b/>
      <sz val="24"/>
      <color rgb="FFFF000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9"/>
      <color indexed="81"/>
      <name val="MS P ゴシック"/>
      <family val="2"/>
    </font>
    <font>
      <sz val="9"/>
      <color indexed="81"/>
      <name val="MS P ゴシック"/>
      <family val="2"/>
    </font>
    <font>
      <sz val="9"/>
      <color indexed="81"/>
      <name val="ＭＳ Ｐゴシック"/>
      <family val="3"/>
      <charset val="128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i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u/>
      <sz val="11"/>
      <color theme="10"/>
      <name val="游ゴシック"/>
      <family val="3"/>
      <charset val="128"/>
      <scheme val="minor"/>
    </font>
    <font>
      <b/>
      <sz val="12"/>
      <color rgb="FF0000FF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sz val="7"/>
      <color rgb="FFFFFFFF"/>
      <name val="Segoe UI Emoj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name val="Calibri"/>
      <family val="2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sz val="11"/>
      <color theme="2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1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0"/>
      <color rgb="FFFF3633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1"/>
      <name val="游ゴシック"/>
      <family val="3"/>
      <charset val="128"/>
    </font>
    <font>
      <sz val="11"/>
      <color rgb="FFFF0000"/>
      <name val="游ゴシック"/>
      <family val="3"/>
      <charset val="128"/>
    </font>
    <font>
      <b/>
      <sz val="10"/>
      <color theme="1"/>
      <name val="Meiryo UI"/>
      <family val="3"/>
      <charset val="128"/>
    </font>
    <font>
      <b/>
      <sz val="8"/>
      <color theme="1"/>
      <name val="Meiryo UI"/>
      <family val="3"/>
      <charset val="128"/>
    </font>
    <font>
      <b/>
      <sz val="11"/>
      <color theme="0"/>
      <name val="游ゴシック"/>
      <family val="3"/>
      <charset val="128"/>
    </font>
    <font>
      <b/>
      <sz val="9"/>
      <color theme="0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b/>
      <sz val="12"/>
      <color theme="0"/>
      <name val="游ゴシック"/>
      <family val="3"/>
      <charset val="128"/>
    </font>
    <font>
      <b/>
      <sz val="14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b/>
      <sz val="12"/>
      <color rgb="FFFF0000"/>
      <name val="游ゴシック"/>
      <family val="3"/>
      <charset val="128"/>
    </font>
    <font>
      <b/>
      <sz val="9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4EAF8"/>
        <bgColor indexed="64"/>
      </patternFill>
    </fill>
    <fill>
      <patternFill patternType="solid">
        <fgColor rgb="FF61FFA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EBAFE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rgb="FFFFCCCC"/>
        <bgColor indexed="64"/>
      </patternFill>
    </fill>
    <fill>
      <patternFill patternType="solid">
        <fgColor rgb="FFAFEFA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DCC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</borders>
  <cellStyleXfs count="1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1" fillId="0" borderId="0" applyNumberFormat="0" applyFill="0" applyBorder="0" applyAlignment="0" applyProtection="0">
      <alignment vertical="center"/>
    </xf>
  </cellStyleXfs>
  <cellXfs count="406">
    <xf numFmtId="0" fontId="0" fillId="0" borderId="0" xfId="0">
      <alignment vertical="center"/>
    </xf>
    <xf numFmtId="0" fontId="9" fillId="4" borderId="4" xfId="0" applyFont="1" applyFill="1" applyBorder="1" applyAlignment="1" applyProtection="1">
      <alignment vertical="center" wrapText="1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7" fillId="2" borderId="9" xfId="0" applyFont="1" applyFill="1" applyBorder="1" applyAlignment="1">
      <alignment horizontal="center" vertical="center" wrapText="1"/>
    </xf>
    <xf numFmtId="176" fontId="11" fillId="2" borderId="10" xfId="0" applyNumberFormat="1" applyFont="1" applyFill="1" applyBorder="1" applyAlignment="1">
      <alignment horizontal="center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3" xfId="0" applyBorder="1">
      <alignment vertical="center"/>
    </xf>
    <xf numFmtId="178" fontId="0" fillId="0" borderId="0" xfId="0" applyNumberFormat="1">
      <alignment vertical="center"/>
    </xf>
    <xf numFmtId="0" fontId="6" fillId="0" borderId="0" xfId="0" applyFont="1" applyAlignment="1" applyProtection="1">
      <alignment vertical="center" wrapText="1"/>
      <protection locked="0"/>
    </xf>
    <xf numFmtId="0" fontId="11" fillId="2" borderId="9" xfId="0" applyFont="1" applyFill="1" applyBorder="1" applyAlignment="1">
      <alignment vertical="center" wrapText="1"/>
    </xf>
    <xf numFmtId="177" fontId="14" fillId="8" borderId="11" xfId="0" applyNumberFormat="1" applyFont="1" applyFill="1" applyBorder="1" applyAlignment="1" applyProtection="1">
      <alignment horizontal="center" vertical="center" wrapText="1"/>
      <protection locked="0"/>
    </xf>
    <xf numFmtId="20" fontId="14" fillId="8" borderId="11" xfId="0" applyNumberFormat="1" applyFont="1" applyFill="1" applyBorder="1" applyAlignment="1" applyProtection="1">
      <alignment horizontal="center" vertical="center" wrapText="1"/>
      <protection locked="0"/>
    </xf>
    <xf numFmtId="0" fontId="14" fillId="8" borderId="11" xfId="0" applyFont="1" applyFill="1" applyBorder="1" applyAlignment="1" applyProtection="1">
      <alignment vertical="center" wrapText="1"/>
      <protection locked="0"/>
    </xf>
    <xf numFmtId="0" fontId="15" fillId="8" borderId="11" xfId="0" applyFont="1" applyFill="1" applyBorder="1" applyAlignment="1" applyProtection="1">
      <alignment horizontal="center" vertical="center"/>
      <protection locked="0"/>
    </xf>
    <xf numFmtId="0" fontId="16" fillId="8" borderId="11" xfId="0" applyFont="1" applyFill="1" applyBorder="1" applyAlignment="1" applyProtection="1">
      <alignment horizontal="center" vertical="center"/>
      <protection locked="0"/>
    </xf>
    <xf numFmtId="0" fontId="14" fillId="8" borderId="11" xfId="0" applyFont="1" applyFill="1" applyBorder="1" applyAlignment="1" applyProtection="1">
      <alignment horizontal="center" vertical="center"/>
      <protection locked="0"/>
    </xf>
    <xf numFmtId="9" fontId="15" fillId="8" borderId="11" xfId="1" applyFont="1" applyFill="1" applyBorder="1" applyAlignment="1" applyProtection="1">
      <alignment horizontal="left" vertical="center" wrapText="1"/>
      <protection locked="0"/>
    </xf>
    <xf numFmtId="0" fontId="14" fillId="8" borderId="11" xfId="0" applyFont="1" applyFill="1" applyBorder="1" applyAlignment="1" applyProtection="1">
      <alignment horizontal="left" vertical="center" wrapText="1"/>
      <protection locked="0"/>
    </xf>
    <xf numFmtId="0" fontId="15" fillId="8" borderId="14" xfId="0" applyFont="1" applyFill="1" applyBorder="1" applyAlignment="1" applyProtection="1">
      <alignment horizontal="left" vertical="center" wrapText="1"/>
      <protection locked="0"/>
    </xf>
    <xf numFmtId="0" fontId="14" fillId="8" borderId="11" xfId="0" applyFont="1" applyFill="1" applyBorder="1" applyAlignment="1" applyProtection="1">
      <alignment horizontal="center" vertical="center" wrapText="1"/>
      <protection locked="0"/>
    </xf>
    <xf numFmtId="49" fontId="14" fillId="8" borderId="12" xfId="0" applyNumberFormat="1" applyFont="1" applyFill="1" applyBorder="1" applyAlignment="1" applyProtection="1">
      <alignment vertical="center" wrapText="1"/>
      <protection locked="0"/>
    </xf>
    <xf numFmtId="179" fontId="14" fillId="8" borderId="11" xfId="0" applyNumberFormat="1" applyFont="1" applyFill="1" applyBorder="1" applyAlignment="1" applyProtection="1">
      <alignment horizontal="left" vertical="center" wrapText="1"/>
      <protection locked="0"/>
    </xf>
    <xf numFmtId="0" fontId="14" fillId="8" borderId="15" xfId="0" applyFont="1" applyFill="1" applyBorder="1" applyAlignment="1" applyProtection="1">
      <alignment horizontal="center" vertical="center" wrapText="1"/>
      <protection locked="0"/>
    </xf>
    <xf numFmtId="49" fontId="14" fillId="8" borderId="13" xfId="0" applyNumberFormat="1" applyFont="1" applyFill="1" applyBorder="1" applyAlignment="1" applyProtection="1">
      <alignment vertical="center" wrapText="1"/>
      <protection locked="0"/>
    </xf>
    <xf numFmtId="49" fontId="14" fillId="8" borderId="11" xfId="0" applyNumberFormat="1" applyFont="1" applyFill="1" applyBorder="1" applyAlignment="1" applyProtection="1">
      <alignment vertical="center" wrapText="1"/>
      <protection locked="0"/>
    </xf>
    <xf numFmtId="49" fontId="14" fillId="8" borderId="11" xfId="0" applyNumberFormat="1" applyFont="1" applyFill="1" applyBorder="1" applyAlignment="1" applyProtection="1">
      <alignment horizontal="center" vertical="center" wrapText="1"/>
      <protection locked="0"/>
    </xf>
    <xf numFmtId="0" fontId="19" fillId="8" borderId="11" xfId="0" applyFont="1" applyFill="1" applyBorder="1" applyAlignment="1" applyProtection="1">
      <alignment vertical="center" wrapText="1"/>
      <protection locked="0"/>
    </xf>
    <xf numFmtId="0" fontId="14" fillId="8" borderId="12" xfId="0" applyFont="1" applyFill="1" applyBorder="1" applyAlignment="1" applyProtection="1">
      <alignment horizontal="left" vertical="center"/>
      <protection locked="0"/>
    </xf>
    <xf numFmtId="20" fontId="14" fillId="8" borderId="11" xfId="0" applyNumberFormat="1" applyFont="1" applyFill="1" applyBorder="1" applyAlignment="1" applyProtection="1">
      <alignment horizontal="left" vertical="center"/>
      <protection locked="0"/>
    </xf>
    <xf numFmtId="0" fontId="15" fillId="8" borderId="11" xfId="0" applyFont="1" applyFill="1" applyBorder="1" applyAlignment="1" applyProtection="1">
      <alignment horizontal="left" vertical="center" wrapText="1"/>
      <protection locked="0"/>
    </xf>
    <xf numFmtId="0" fontId="15" fillId="8" borderId="12" xfId="0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177" fontId="0" fillId="0" borderId="0" xfId="0" applyNumberForma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vertical="center" wrapText="1"/>
      <protection locked="0"/>
    </xf>
    <xf numFmtId="1" fontId="27" fillId="0" borderId="0" xfId="0" applyNumberFormat="1" applyFont="1" applyAlignment="1" applyProtection="1">
      <alignment vertical="center" wrapText="1"/>
      <protection locked="0"/>
    </xf>
    <xf numFmtId="3" fontId="21" fillId="0" borderId="0" xfId="0" applyNumberFormat="1" applyFont="1" applyAlignment="1" applyProtection="1">
      <alignment vertical="center" wrapText="1"/>
      <protection locked="0"/>
    </xf>
    <xf numFmtId="1" fontId="28" fillId="0" borderId="0" xfId="0" applyNumberFormat="1" applyFont="1" applyAlignment="1" applyProtection="1">
      <alignment vertical="center" wrapText="1"/>
      <protection locked="0"/>
    </xf>
    <xf numFmtId="9" fontId="0" fillId="0" borderId="0" xfId="1" applyFont="1" applyAlignment="1" applyProtection="1">
      <alignment horizontal="left" vertical="center" wrapText="1"/>
      <protection locked="0"/>
    </xf>
    <xf numFmtId="0" fontId="28" fillId="0" borderId="0" xfId="0" applyFont="1" applyAlignment="1" applyProtection="1">
      <alignment vertical="center" wrapText="1"/>
      <protection locked="0"/>
    </xf>
    <xf numFmtId="1" fontId="27" fillId="0" borderId="0" xfId="0" applyNumberFormat="1" applyFont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6" fontId="0" fillId="0" borderId="0" xfId="0" applyNumberFormat="1" applyAlignment="1" applyProtection="1">
      <alignment vertical="center" wrapText="1"/>
      <protection locked="0"/>
    </xf>
    <xf numFmtId="176" fontId="29" fillId="0" borderId="0" xfId="0" applyNumberFormat="1" applyFont="1" applyAlignment="1" applyProtection="1">
      <alignment vertical="center" wrapText="1"/>
      <protection locked="0"/>
    </xf>
    <xf numFmtId="49" fontId="0" fillId="0" borderId="3" xfId="0" applyNumberFormat="1" applyBorder="1" applyAlignment="1" applyProtection="1">
      <alignment vertical="center" wrapText="1"/>
      <protection locked="0"/>
    </xf>
    <xf numFmtId="179" fontId="27" fillId="0" borderId="0" xfId="0" applyNumberFormat="1" applyFont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0" fontId="0" fillId="0" borderId="3" xfId="0" applyNumberFormat="1" applyBorder="1" applyAlignment="1" applyProtection="1">
      <alignment horizontal="left" vertical="center" wrapText="1"/>
      <protection locked="0"/>
    </xf>
    <xf numFmtId="178" fontId="0" fillId="0" borderId="0" xfId="0" applyNumberFormat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26" fillId="0" borderId="3" xfId="0" applyFont="1" applyBorder="1" applyAlignment="1" applyProtection="1">
      <alignment horizontal="left" vertical="center" wrapText="1"/>
      <protection locked="0"/>
    </xf>
    <xf numFmtId="1" fontId="30" fillId="0" borderId="0" xfId="0" applyNumberFormat="1" applyFont="1" applyAlignment="1" applyProtection="1">
      <alignment vertical="center" wrapText="1"/>
      <protection locked="0"/>
    </xf>
    <xf numFmtId="1" fontId="30" fillId="0" borderId="0" xfId="0" applyNumberFormat="1" applyFont="1" applyAlignment="1" applyProtection="1">
      <alignment horizontal="left" vertical="center" wrapText="1"/>
      <protection locked="0"/>
    </xf>
    <xf numFmtId="179" fontId="30" fillId="0" borderId="0" xfId="0" applyNumberFormat="1" applyFont="1" applyAlignment="1" applyProtection="1">
      <alignment horizontal="left" vertical="center" wrapText="1"/>
      <protection locked="0"/>
    </xf>
    <xf numFmtId="0" fontId="30" fillId="0" borderId="0" xfId="0" applyFont="1" applyAlignment="1" applyProtection="1">
      <alignment vertical="center" wrapText="1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176" fontId="0" fillId="0" borderId="0" xfId="0" applyNumberFormat="1" applyAlignment="1" applyProtection="1">
      <alignment horizontal="center" vertical="center" wrapText="1"/>
      <protection locked="0"/>
    </xf>
    <xf numFmtId="0" fontId="23" fillId="0" borderId="0" xfId="0" applyFont="1" applyAlignment="1" applyProtection="1">
      <alignment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0" fillId="3" borderId="0" xfId="0" applyFill="1" applyAlignment="1" applyProtection="1">
      <alignment vertical="center" wrapText="1"/>
      <protection locked="0"/>
    </xf>
    <xf numFmtId="49" fontId="25" fillId="0" borderId="3" xfId="0" applyNumberFormat="1" applyFont="1" applyBorder="1" applyAlignment="1" applyProtection="1">
      <alignment vertical="center" wrapText="1"/>
      <protection locked="0"/>
    </xf>
    <xf numFmtId="49" fontId="25" fillId="0" borderId="0" xfId="0" applyNumberFormat="1" applyFont="1" applyAlignment="1" applyProtection="1">
      <alignment vertical="center" wrapText="1"/>
      <protection locked="0"/>
    </xf>
    <xf numFmtId="0" fontId="15" fillId="9" borderId="0" xfId="0" applyFont="1" applyFill="1" applyAlignment="1" applyProtection="1">
      <alignment horizontal="center" vertical="center" wrapText="1"/>
      <protection locked="0"/>
    </xf>
    <xf numFmtId="176" fontId="0" fillId="10" borderId="0" xfId="0" applyNumberFormat="1" applyFill="1" applyAlignment="1" applyProtection="1">
      <alignment vertical="center" wrapText="1"/>
      <protection locked="0"/>
    </xf>
    <xf numFmtId="176" fontId="29" fillId="10" borderId="0" xfId="0" applyNumberFormat="1" applyFont="1" applyFill="1" applyAlignment="1" applyProtection="1">
      <alignment vertical="center" wrapText="1"/>
      <protection locked="0"/>
    </xf>
    <xf numFmtId="49" fontId="0" fillId="10" borderId="3" xfId="0" applyNumberFormat="1" applyFill="1" applyBorder="1" applyAlignment="1" applyProtection="1">
      <alignment vertical="center" wrapText="1"/>
      <protection locked="0"/>
    </xf>
    <xf numFmtId="179" fontId="27" fillId="10" borderId="0" xfId="0" applyNumberFormat="1" applyFont="1" applyFill="1" applyAlignment="1" applyProtection="1">
      <alignment horizontal="left" vertical="center" wrapText="1"/>
      <protection locked="0"/>
    </xf>
    <xf numFmtId="0" fontId="0" fillId="10" borderId="0" xfId="0" applyFill="1" applyAlignment="1" applyProtection="1">
      <alignment vertical="center" wrapText="1"/>
      <protection locked="0"/>
    </xf>
    <xf numFmtId="49" fontId="0" fillId="10" borderId="0" xfId="0" applyNumberFormat="1" applyFill="1" applyAlignment="1" applyProtection="1">
      <alignment vertical="center" wrapText="1"/>
      <protection locked="0"/>
    </xf>
    <xf numFmtId="0" fontId="0" fillId="10" borderId="0" xfId="0" applyFill="1" applyAlignment="1" applyProtection="1">
      <alignment horizontal="left" vertical="center" wrapText="1"/>
      <protection locked="0"/>
    </xf>
    <xf numFmtId="20" fontId="0" fillId="10" borderId="3" xfId="0" applyNumberFormat="1" applyFill="1" applyBorder="1" applyAlignment="1" applyProtection="1">
      <alignment horizontal="left" vertical="center" wrapText="1"/>
      <protection locked="0"/>
    </xf>
    <xf numFmtId="178" fontId="0" fillId="10" borderId="0" xfId="0" applyNumberFormat="1" applyFill="1" applyAlignment="1" applyProtection="1">
      <alignment horizontal="left" vertical="center" wrapText="1"/>
      <protection locked="0"/>
    </xf>
    <xf numFmtId="0" fontId="26" fillId="10" borderId="3" xfId="0" applyFont="1" applyFill="1" applyBorder="1" applyAlignment="1" applyProtection="1">
      <alignment horizontal="left" vertical="center" wrapText="1"/>
      <protection locked="0"/>
    </xf>
    <xf numFmtId="0" fontId="24" fillId="9" borderId="0" xfId="0" applyFont="1" applyFill="1" applyAlignment="1" applyProtection="1">
      <alignment horizontal="center" vertical="center" wrapText="1"/>
      <protection locked="0"/>
    </xf>
    <xf numFmtId="176" fontId="0" fillId="0" borderId="0" xfId="0" applyNumberFormat="1" applyAlignment="1" applyProtection="1">
      <alignment horizontal="left" vertical="center" wrapText="1"/>
      <protection locked="0"/>
    </xf>
    <xf numFmtId="179" fontId="27" fillId="2" borderId="0" xfId="0" applyNumberFormat="1" applyFont="1" applyFill="1" applyAlignment="1" applyProtection="1">
      <alignment horizontal="left" vertical="center" wrapText="1"/>
      <protection locked="0"/>
    </xf>
    <xf numFmtId="179" fontId="0" fillId="0" borderId="0" xfId="0" applyNumberForma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179" fontId="27" fillId="5" borderId="0" xfId="0" applyNumberFormat="1" applyFont="1" applyFill="1" applyAlignment="1" applyProtection="1">
      <alignment horizontal="left" vertical="center" wrapText="1"/>
      <protection locked="0"/>
    </xf>
    <xf numFmtId="0" fontId="0" fillId="2" borderId="0" xfId="0" applyFill="1" applyAlignment="1" applyProtection="1">
      <alignment vertical="center" wrapText="1"/>
      <protection locked="0"/>
    </xf>
    <xf numFmtId="49" fontId="0" fillId="11" borderId="0" xfId="0" applyNumberFormat="1" applyFill="1" applyAlignment="1" applyProtection="1">
      <alignment vertical="center" wrapText="1"/>
      <protection locked="0"/>
    </xf>
    <xf numFmtId="179" fontId="0" fillId="11" borderId="0" xfId="0" applyNumberFormat="1" applyFill="1" applyAlignment="1" applyProtection="1">
      <alignment horizontal="left" vertical="center" wrapText="1"/>
      <protection locked="0"/>
    </xf>
    <xf numFmtId="179" fontId="32" fillId="0" borderId="0" xfId="0" applyNumberFormat="1" applyFont="1" applyAlignment="1" applyProtection="1">
      <alignment horizontal="left" vertical="center" wrapText="1"/>
      <protection locked="0"/>
    </xf>
    <xf numFmtId="179" fontId="33" fillId="2" borderId="0" xfId="0" applyNumberFormat="1" applyFont="1" applyFill="1" applyAlignment="1" applyProtection="1">
      <alignment horizontal="left" vertical="center" wrapText="1"/>
      <protection locked="0"/>
    </xf>
    <xf numFmtId="176" fontId="9" fillId="0" borderId="0" xfId="0" applyNumberFormat="1" applyFont="1" applyAlignment="1" applyProtection="1">
      <alignment vertical="center" wrapText="1"/>
      <protection locked="0"/>
    </xf>
    <xf numFmtId="0" fontId="9" fillId="6" borderId="0" xfId="0" applyFont="1" applyFill="1" applyAlignment="1" applyProtection="1">
      <alignment vertical="center" wrapText="1"/>
      <protection locked="0"/>
    </xf>
    <xf numFmtId="1" fontId="9" fillId="6" borderId="0" xfId="0" applyNumberFormat="1" applyFont="1" applyFill="1" applyAlignment="1" applyProtection="1">
      <alignment horizontal="left" vertical="center" wrapText="1"/>
      <protection locked="0"/>
    </xf>
    <xf numFmtId="179" fontId="34" fillId="7" borderId="0" xfId="0" applyNumberFormat="1" applyFont="1" applyFill="1" applyAlignment="1" applyProtection="1">
      <alignment horizontal="left" vertical="center" wrapText="1"/>
      <protection locked="0"/>
    </xf>
    <xf numFmtId="0" fontId="0" fillId="12" borderId="0" xfId="0" applyFill="1" applyAlignment="1" applyProtection="1">
      <alignment vertical="center" wrapText="1"/>
      <protection locked="0"/>
    </xf>
    <xf numFmtId="176" fontId="31" fillId="4" borderId="0" xfId="0" applyNumberFormat="1" applyFont="1" applyFill="1" applyAlignment="1" applyProtection="1">
      <alignment vertical="center" wrapText="1"/>
      <protection locked="0"/>
    </xf>
    <xf numFmtId="1" fontId="27" fillId="11" borderId="0" xfId="0" applyNumberFormat="1" applyFont="1" applyFill="1" applyAlignment="1" applyProtection="1">
      <alignment horizontal="left" vertical="center" wrapText="1"/>
      <protection locked="0"/>
    </xf>
    <xf numFmtId="176" fontId="0" fillId="3" borderId="0" xfId="0" applyNumberFormat="1" applyFill="1" applyAlignment="1" applyProtection="1">
      <alignment vertical="center" wrapText="1"/>
      <protection locked="0"/>
    </xf>
    <xf numFmtId="176" fontId="0" fillId="5" borderId="0" xfId="0" applyNumberFormat="1" applyFill="1" applyAlignment="1" applyProtection="1">
      <alignment vertical="center" wrapText="1"/>
      <protection locked="0"/>
    </xf>
    <xf numFmtId="0" fontId="0" fillId="5" borderId="0" xfId="0" applyFill="1" applyAlignment="1" applyProtection="1">
      <alignment vertical="center" wrapText="1"/>
      <protection locked="0"/>
    </xf>
    <xf numFmtId="176" fontId="0" fillId="11" borderId="0" xfId="0" applyNumberFormat="1" applyFill="1" applyAlignment="1" applyProtection="1">
      <alignment horizontal="left" vertical="center" wrapText="1"/>
      <protection locked="0"/>
    </xf>
    <xf numFmtId="179" fontId="0" fillId="5" borderId="0" xfId="0" applyNumberFormat="1" applyFill="1" applyAlignment="1" applyProtection="1">
      <alignment horizontal="left" vertical="center" wrapText="1"/>
      <protection locked="0"/>
    </xf>
    <xf numFmtId="179" fontId="0" fillId="2" borderId="0" xfId="0" applyNumberFormat="1" applyFill="1" applyAlignment="1" applyProtection="1">
      <alignment horizontal="left" vertical="center" wrapText="1"/>
      <protection locked="0"/>
    </xf>
    <xf numFmtId="0" fontId="0" fillId="2" borderId="0" xfId="0" applyFill="1" applyAlignment="1" applyProtection="1">
      <alignment horizontal="left" vertical="center" wrapText="1"/>
      <protection locked="0"/>
    </xf>
    <xf numFmtId="0" fontId="36" fillId="0" borderId="0" xfId="0" applyFont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left" vertical="center" wrapText="1"/>
      <protection locked="0"/>
    </xf>
    <xf numFmtId="49" fontId="0" fillId="2" borderId="0" xfId="0" applyNumberFormat="1" applyFill="1" applyAlignment="1" applyProtection="1">
      <alignment horizontal="left" vertical="center" wrapText="1"/>
      <protection locked="0"/>
    </xf>
    <xf numFmtId="20" fontId="0" fillId="2" borderId="3" xfId="0" applyNumberFormat="1" applyFill="1" applyBorder="1" applyAlignment="1" applyProtection="1">
      <alignment horizontal="left" vertical="center" wrapText="1"/>
      <protection locked="0"/>
    </xf>
    <xf numFmtId="49" fontId="0" fillId="5" borderId="0" xfId="0" applyNumberFormat="1" applyFill="1" applyAlignment="1" applyProtection="1">
      <alignment vertical="center" wrapText="1"/>
      <protection locked="0"/>
    </xf>
    <xf numFmtId="20" fontId="0" fillId="5" borderId="3" xfId="0" applyNumberFormat="1" applyFill="1" applyBorder="1" applyAlignment="1" applyProtection="1">
      <alignment horizontal="left" vertical="center" wrapText="1"/>
      <protection locked="0"/>
    </xf>
    <xf numFmtId="178" fontId="10" fillId="2" borderId="0" xfId="0" applyNumberFormat="1" applyFont="1" applyFill="1" applyAlignment="1" applyProtection="1">
      <alignment horizontal="left" vertical="center" wrapText="1"/>
      <protection locked="0"/>
    </xf>
    <xf numFmtId="0" fontId="10" fillId="2" borderId="0" xfId="0" applyFont="1" applyFill="1" applyAlignment="1" applyProtection="1">
      <alignment horizontal="left" vertical="center" wrapText="1"/>
      <protection locked="0"/>
    </xf>
    <xf numFmtId="178" fontId="34" fillId="7" borderId="0" xfId="0" applyNumberFormat="1" applyFont="1" applyFill="1" applyAlignment="1" applyProtection="1">
      <alignment horizontal="left" vertical="center" wrapText="1"/>
      <protection locked="0"/>
    </xf>
    <xf numFmtId="0" fontId="34" fillId="7" borderId="0" xfId="0" applyFont="1" applyFill="1" applyAlignment="1" applyProtection="1">
      <alignment horizontal="left" vertical="center" wrapText="1"/>
      <protection locked="0"/>
    </xf>
    <xf numFmtId="178" fontId="0" fillId="5" borderId="0" xfId="0" applyNumberFormat="1" applyFill="1" applyAlignment="1" applyProtection="1">
      <alignment horizontal="left" vertical="center" wrapText="1"/>
      <protection locked="0"/>
    </xf>
    <xf numFmtId="0" fontId="0" fillId="5" borderId="0" xfId="0" applyFill="1" applyAlignment="1" applyProtection="1">
      <alignment horizontal="left" vertical="center" wrapText="1"/>
      <protection locked="0"/>
    </xf>
    <xf numFmtId="179" fontId="32" fillId="13" borderId="0" xfId="0" applyNumberFormat="1" applyFont="1" applyFill="1" applyAlignment="1" applyProtection="1">
      <alignment horizontal="left" vertical="center" wrapText="1"/>
      <protection locked="0"/>
    </xf>
    <xf numFmtId="179" fontId="3" fillId="2" borderId="0" xfId="0" applyNumberFormat="1" applyFont="1" applyFill="1" applyAlignment="1" applyProtection="1">
      <alignment horizontal="left" vertical="center" wrapText="1"/>
      <protection locked="0"/>
    </xf>
    <xf numFmtId="176" fontId="9" fillId="6" borderId="0" xfId="0" applyNumberFormat="1" applyFont="1" applyFill="1" applyAlignment="1" applyProtection="1">
      <alignment vertical="center" wrapText="1"/>
      <protection locked="0"/>
    </xf>
    <xf numFmtId="49" fontId="9" fillId="6" borderId="0" xfId="0" applyNumberFormat="1" applyFont="1" applyFill="1" applyAlignment="1" applyProtection="1">
      <alignment vertical="center" wrapText="1"/>
      <protection locked="0"/>
    </xf>
    <xf numFmtId="49" fontId="0" fillId="2" borderId="0" xfId="0" applyNumberFormat="1" applyFill="1" applyAlignment="1" applyProtection="1">
      <alignment vertical="center" wrapText="1"/>
      <protection locked="0"/>
    </xf>
    <xf numFmtId="178" fontId="0" fillId="2" borderId="0" xfId="0" applyNumberFormat="1" applyFill="1" applyAlignment="1" applyProtection="1">
      <alignment horizontal="left" vertical="center" wrapText="1"/>
      <protection locked="0"/>
    </xf>
    <xf numFmtId="49" fontId="0" fillId="3" borderId="0" xfId="0" applyNumberFormat="1" applyFill="1" applyAlignment="1" applyProtection="1">
      <alignment vertical="center" wrapText="1"/>
      <protection locked="0"/>
    </xf>
    <xf numFmtId="0" fontId="0" fillId="7" borderId="0" xfId="0" applyFill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176" fontId="9" fillId="6" borderId="0" xfId="0" applyNumberFormat="1" applyFont="1" applyFill="1" applyAlignment="1" applyProtection="1">
      <alignment horizontal="left" vertical="center" wrapText="1"/>
      <protection locked="0"/>
    </xf>
    <xf numFmtId="49" fontId="30" fillId="5" borderId="0" xfId="0" applyNumberFormat="1" applyFont="1" applyFill="1" applyAlignment="1" applyProtection="1">
      <alignment vertical="center" wrapText="1"/>
      <protection locked="0"/>
    </xf>
    <xf numFmtId="0" fontId="30" fillId="5" borderId="0" xfId="0" applyFont="1" applyFill="1" applyAlignment="1" applyProtection="1">
      <alignment vertical="center" wrapText="1"/>
      <protection locked="0"/>
    </xf>
    <xf numFmtId="0" fontId="0" fillId="11" borderId="0" xfId="0" applyFill="1" applyAlignment="1" applyProtection="1">
      <alignment vertical="center" wrapText="1"/>
      <protection locked="0"/>
    </xf>
    <xf numFmtId="0" fontId="0" fillId="11" borderId="0" xfId="0" applyFill="1" applyAlignment="1" applyProtection="1">
      <alignment horizontal="left" vertical="center" wrapText="1"/>
      <protection locked="0"/>
    </xf>
    <xf numFmtId="20" fontId="0" fillId="11" borderId="3" xfId="0" applyNumberFormat="1" applyFill="1" applyBorder="1" applyAlignment="1" applyProtection="1">
      <alignment horizontal="left" vertical="center" wrapText="1"/>
      <protection locked="0"/>
    </xf>
    <xf numFmtId="176" fontId="0" fillId="11" borderId="0" xfId="0" applyNumberFormat="1" applyFill="1" applyAlignment="1" applyProtection="1">
      <alignment vertical="center" wrapText="1"/>
      <protection locked="0"/>
    </xf>
    <xf numFmtId="176" fontId="29" fillId="11" borderId="0" xfId="0" applyNumberFormat="1" applyFont="1" applyFill="1" applyAlignment="1" applyProtection="1">
      <alignment vertical="center" wrapText="1"/>
      <protection locked="0"/>
    </xf>
    <xf numFmtId="49" fontId="0" fillId="11" borderId="3" xfId="0" applyNumberFormat="1" applyFill="1" applyBorder="1" applyAlignment="1" applyProtection="1">
      <alignment vertical="center" wrapText="1"/>
      <protection locked="0"/>
    </xf>
    <xf numFmtId="179" fontId="27" fillId="11" borderId="0" xfId="0" applyNumberFormat="1" applyFont="1" applyFill="1" applyAlignment="1" applyProtection="1">
      <alignment horizontal="left" vertical="center" wrapText="1"/>
      <protection locked="0"/>
    </xf>
    <xf numFmtId="178" fontId="0" fillId="11" borderId="0" xfId="0" applyNumberFormat="1" applyFill="1" applyAlignment="1" applyProtection="1">
      <alignment horizontal="left" vertical="center" wrapText="1"/>
      <protection locked="0"/>
    </xf>
    <xf numFmtId="179" fontId="0" fillId="10" borderId="0" xfId="0" applyNumberFormat="1" applyFill="1" applyAlignment="1" applyProtection="1">
      <alignment horizontal="left" vertical="center" wrapText="1"/>
      <protection locked="0"/>
    </xf>
    <xf numFmtId="0" fontId="34" fillId="0" borderId="0" xfId="0" applyFont="1" applyAlignment="1" applyProtection="1">
      <alignment vertical="center" wrapTex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26" fillId="11" borderId="3" xfId="0" applyFont="1" applyFill="1" applyBorder="1" applyAlignment="1" applyProtection="1">
      <alignment horizontal="left" vertical="center" wrapText="1"/>
      <protection locked="0"/>
    </xf>
    <xf numFmtId="178" fontId="21" fillId="11" borderId="0" xfId="0" applyNumberFormat="1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49" fontId="6" fillId="0" borderId="0" xfId="0" applyNumberFormat="1" applyFont="1" applyAlignment="1" applyProtection="1">
      <alignment vertical="center" wrapText="1"/>
      <protection locked="0"/>
    </xf>
    <xf numFmtId="49" fontId="6" fillId="3" borderId="0" xfId="0" applyNumberFormat="1" applyFont="1" applyFill="1" applyAlignment="1" applyProtection="1">
      <alignment vertical="center" wrapText="1"/>
      <protection locked="0"/>
    </xf>
    <xf numFmtId="1" fontId="27" fillId="14" borderId="0" xfId="0" applyNumberFormat="1" applyFont="1" applyFill="1" applyAlignment="1" applyProtection="1">
      <alignment vertical="center" wrapText="1"/>
      <protection locked="0"/>
    </xf>
    <xf numFmtId="0" fontId="0" fillId="15" borderId="0" xfId="0" applyFill="1" applyAlignment="1" applyProtection="1">
      <alignment vertical="center" wrapText="1"/>
      <protection locked="0"/>
    </xf>
    <xf numFmtId="49" fontId="30" fillId="10" borderId="0" xfId="0" applyNumberFormat="1" applyFont="1" applyFill="1" applyAlignment="1" applyProtection="1">
      <alignment vertic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9" fontId="9" fillId="0" borderId="0" xfId="1" applyFont="1" applyAlignment="1" applyProtection="1">
      <alignment horizontal="left" vertical="center" wrapText="1"/>
      <protection locked="0"/>
    </xf>
    <xf numFmtId="1" fontId="9" fillId="0" borderId="0" xfId="0" applyNumberFormat="1" applyFont="1" applyAlignment="1" applyProtection="1">
      <alignment horizontal="left" vertical="center" wrapText="1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176" fontId="0" fillId="10" borderId="0" xfId="0" applyNumberFormat="1" applyFill="1" applyAlignment="1" applyProtection="1">
      <alignment horizontal="left" vertical="center" wrapText="1"/>
      <protection locked="0"/>
    </xf>
    <xf numFmtId="176" fontId="29" fillId="3" borderId="0" xfId="0" applyNumberFormat="1" applyFont="1" applyFill="1" applyAlignment="1" applyProtection="1">
      <alignment vertical="center" wrapText="1"/>
      <protection locked="0"/>
    </xf>
    <xf numFmtId="178" fontId="34" fillId="0" borderId="0" xfId="0" applyNumberFormat="1" applyFont="1" applyAlignment="1" applyProtection="1">
      <alignment horizontal="left" vertical="center" wrapText="1"/>
      <protection locked="0"/>
    </xf>
    <xf numFmtId="0" fontId="0" fillId="5" borderId="0" xfId="0" applyFill="1" applyAlignment="1" applyProtection="1">
      <alignment horizontal="center" vertical="center" wrapText="1"/>
      <protection locked="0"/>
    </xf>
    <xf numFmtId="176" fontId="9" fillId="10" borderId="0" xfId="0" applyNumberFormat="1" applyFont="1" applyFill="1" applyAlignment="1" applyProtection="1">
      <alignment horizontal="left" vertical="center" wrapText="1"/>
      <protection locked="0"/>
    </xf>
    <xf numFmtId="176" fontId="30" fillId="5" borderId="0" xfId="0" applyNumberFormat="1" applyFont="1" applyFill="1" applyAlignment="1" applyProtection="1">
      <alignment vertical="center" wrapText="1"/>
      <protection locked="0"/>
    </xf>
    <xf numFmtId="0" fontId="22" fillId="16" borderId="0" xfId="0" applyFont="1" applyFill="1" applyAlignment="1" applyProtection="1">
      <alignment horizontal="center" vertical="center" wrapText="1"/>
      <protection locked="0"/>
    </xf>
    <xf numFmtId="0" fontId="8" fillId="16" borderId="0" xfId="0" applyFont="1" applyFill="1" applyAlignment="1" applyProtection="1">
      <alignment horizontal="left" vertical="center" wrapText="1"/>
      <protection locked="0"/>
    </xf>
    <xf numFmtId="0" fontId="9" fillId="16" borderId="0" xfId="0" applyFont="1" applyFill="1" applyAlignment="1" applyProtection="1">
      <alignment vertical="center" wrapText="1"/>
      <protection locked="0"/>
    </xf>
    <xf numFmtId="49" fontId="9" fillId="16" borderId="0" xfId="0" applyNumberFormat="1" applyFont="1" applyFill="1" applyAlignment="1" applyProtection="1">
      <alignment vertical="center" wrapText="1"/>
      <protection locked="0"/>
    </xf>
    <xf numFmtId="0" fontId="9" fillId="16" borderId="3" xfId="0" applyFont="1" applyFill="1" applyBorder="1" applyAlignment="1" applyProtection="1">
      <alignment horizontal="left" vertical="center" wrapText="1"/>
      <protection locked="0"/>
    </xf>
    <xf numFmtId="0" fontId="30" fillId="3" borderId="0" xfId="0" applyFont="1" applyFill="1" applyAlignment="1" applyProtection="1">
      <alignment horizontal="center" vertical="center" wrapText="1"/>
      <protection locked="0"/>
    </xf>
    <xf numFmtId="176" fontId="30" fillId="11" borderId="0" xfId="0" applyNumberFormat="1" applyFont="1" applyFill="1" applyAlignment="1" applyProtection="1">
      <alignment vertical="center" wrapText="1"/>
      <protection locked="0"/>
    </xf>
    <xf numFmtId="176" fontId="40" fillId="11" borderId="0" xfId="0" applyNumberFormat="1" applyFont="1" applyFill="1" applyAlignment="1" applyProtection="1">
      <alignment vertical="center" wrapText="1"/>
      <protection locked="0"/>
    </xf>
    <xf numFmtId="49" fontId="30" fillId="11" borderId="3" xfId="0" applyNumberFormat="1" applyFont="1" applyFill="1" applyBorder="1" applyAlignment="1" applyProtection="1">
      <alignment vertical="center" wrapText="1"/>
      <protection locked="0"/>
    </xf>
    <xf numFmtId="0" fontId="30" fillId="3" borderId="0" xfId="0" applyFont="1" applyFill="1" applyAlignment="1" applyProtection="1">
      <alignment vertical="center" wrapText="1"/>
      <protection locked="0"/>
    </xf>
    <xf numFmtId="178" fontId="21" fillId="2" borderId="0" xfId="0" applyNumberFormat="1" applyFont="1" applyFill="1" applyAlignment="1" applyProtection="1">
      <alignment horizontal="left" vertical="center" wrapText="1"/>
      <protection locked="0"/>
    </xf>
    <xf numFmtId="0" fontId="21" fillId="2" borderId="0" xfId="0" applyFont="1" applyFill="1" applyAlignment="1" applyProtection="1">
      <alignment horizontal="left" vertical="center" wrapText="1"/>
      <protection locked="0"/>
    </xf>
    <xf numFmtId="178" fontId="21" fillId="5" borderId="0" xfId="0" applyNumberFormat="1" applyFont="1" applyFill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178" fontId="21" fillId="0" borderId="0" xfId="0" applyNumberFormat="1" applyFont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vertical="center" wrapText="1"/>
      <protection locked="0"/>
    </xf>
    <xf numFmtId="1" fontId="27" fillId="10" borderId="0" xfId="0" applyNumberFormat="1" applyFont="1" applyFill="1" applyAlignment="1" applyProtection="1">
      <alignment horizontal="left" vertical="center" wrapText="1"/>
      <protection locked="0"/>
    </xf>
    <xf numFmtId="0" fontId="38" fillId="2" borderId="0" xfId="0" applyFont="1" applyFill="1" applyAlignment="1" applyProtection="1">
      <alignment horizontal="left" vertical="center" wrapText="1"/>
      <protection locked="0"/>
    </xf>
    <xf numFmtId="178" fontId="3" fillId="2" borderId="0" xfId="0" applyNumberFormat="1" applyFont="1" applyFill="1" applyAlignment="1" applyProtection="1">
      <alignment horizontal="left" vertical="center" wrapText="1"/>
      <protection locked="0"/>
    </xf>
    <xf numFmtId="0" fontId="42" fillId="6" borderId="0" xfId="0" applyFont="1" applyFill="1" applyAlignment="1" applyProtection="1">
      <alignment vertical="center" wrapText="1"/>
      <protection locked="0"/>
    </xf>
    <xf numFmtId="1" fontId="42" fillId="6" borderId="0" xfId="0" applyNumberFormat="1" applyFont="1" applyFill="1" applyAlignment="1" applyProtection="1">
      <alignment horizontal="left" vertical="center" wrapText="1"/>
      <protection locked="0"/>
    </xf>
    <xf numFmtId="0" fontId="9" fillId="10" borderId="0" xfId="0" applyFont="1" applyFill="1" applyAlignment="1" applyProtection="1">
      <alignment vertical="center" wrapText="1"/>
      <protection locked="0"/>
    </xf>
    <xf numFmtId="178" fontId="30" fillId="5" borderId="0" xfId="0" applyNumberFormat="1" applyFont="1" applyFill="1" applyAlignment="1" applyProtection="1">
      <alignment horizontal="left" vertical="center" wrapText="1"/>
      <protection locked="0"/>
    </xf>
    <xf numFmtId="0" fontId="30" fillId="5" borderId="0" xfId="0" applyFont="1" applyFill="1" applyAlignment="1" applyProtection="1">
      <alignment horizontal="left" vertical="center" wrapText="1"/>
      <protection locked="0"/>
    </xf>
    <xf numFmtId="1" fontId="10" fillId="10" borderId="0" xfId="0" applyNumberFormat="1" applyFont="1" applyFill="1" applyAlignment="1" applyProtection="1">
      <alignment horizontal="left" vertical="center" wrapText="1"/>
      <protection locked="0"/>
    </xf>
    <xf numFmtId="0" fontId="0" fillId="14" borderId="0" xfId="0" applyFill="1" applyAlignment="1" applyProtection="1">
      <alignment vertical="center" wrapText="1"/>
      <protection locked="0"/>
    </xf>
    <xf numFmtId="0" fontId="26" fillId="14" borderId="3" xfId="0" applyFont="1" applyFill="1" applyBorder="1" applyAlignment="1" applyProtection="1">
      <alignment horizontal="left" vertical="center" wrapText="1"/>
      <protection locked="0"/>
    </xf>
    <xf numFmtId="176" fontId="0" fillId="6" borderId="0" xfId="0" applyNumberFormat="1" applyFill="1" applyAlignment="1" applyProtection="1">
      <alignment vertical="center" wrapText="1"/>
      <protection locked="0"/>
    </xf>
    <xf numFmtId="0" fontId="0" fillId="6" borderId="0" xfId="0" applyFill="1" applyAlignment="1" applyProtection="1">
      <alignment vertical="center" wrapText="1"/>
      <protection locked="0"/>
    </xf>
    <xf numFmtId="176" fontId="0" fillId="6" borderId="0" xfId="0" applyNumberFormat="1" applyFill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179" fontId="28" fillId="2" borderId="0" xfId="0" applyNumberFormat="1" applyFont="1" applyFill="1" applyAlignment="1" applyProtection="1">
      <alignment horizontal="left" vertical="center" wrapText="1"/>
      <protection locked="0"/>
    </xf>
    <xf numFmtId="0" fontId="46" fillId="4" borderId="2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46" fillId="0" borderId="0" xfId="0" applyFont="1" applyAlignment="1">
      <alignment horizontal="center" vertical="center"/>
    </xf>
    <xf numFmtId="178" fontId="9" fillId="4" borderId="0" xfId="0" applyNumberFormat="1" applyFont="1" applyFill="1" applyAlignment="1">
      <alignment horizontal="center" vertical="center" wrapText="1"/>
    </xf>
    <xf numFmtId="178" fontId="48" fillId="4" borderId="2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49" fillId="4" borderId="0" xfId="0" applyFont="1" applyFill="1" applyAlignment="1">
      <alignment horizontal="center" vertical="center" wrapText="1"/>
    </xf>
    <xf numFmtId="0" fontId="50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51" fillId="2" borderId="0" xfId="0" applyFont="1" applyFill="1" applyProtection="1">
      <alignment vertical="center"/>
      <protection locked="0"/>
    </xf>
    <xf numFmtId="0" fontId="0" fillId="0" borderId="0" xfId="0" applyAlignment="1"/>
    <xf numFmtId="0" fontId="46" fillId="4" borderId="2" xfId="0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 wrapText="1"/>
      <protection locked="0"/>
    </xf>
    <xf numFmtId="178" fontId="9" fillId="4" borderId="0" xfId="0" applyNumberFormat="1" applyFont="1" applyFill="1" applyAlignment="1" applyProtection="1">
      <alignment horizontal="center" vertical="center" wrapText="1"/>
      <protection locked="0"/>
    </xf>
    <xf numFmtId="178" fontId="48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54" fillId="0" borderId="1" xfId="0" applyFont="1" applyBorder="1" applyProtection="1">
      <alignment vertical="center"/>
      <protection locked="0"/>
    </xf>
    <xf numFmtId="0" fontId="54" fillId="0" borderId="0" xfId="0" applyFont="1" applyProtection="1">
      <alignment vertical="center"/>
      <protection locked="0"/>
    </xf>
    <xf numFmtId="0" fontId="49" fillId="4" borderId="0" xfId="0" applyFont="1" applyFill="1" applyAlignment="1" applyProtection="1">
      <alignment horizontal="center" vertical="center" wrapText="1"/>
      <protection locked="0"/>
    </xf>
    <xf numFmtId="0" fontId="8" fillId="4" borderId="20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2" fillId="4" borderId="8" xfId="0" applyFont="1" applyFill="1" applyBorder="1" applyAlignment="1">
      <alignment vertical="center" wrapText="1"/>
    </xf>
    <xf numFmtId="0" fontId="58" fillId="0" borderId="23" xfId="0" applyFont="1" applyBorder="1" applyProtection="1">
      <alignment vertical="center"/>
      <protection locked="0"/>
    </xf>
    <xf numFmtId="0" fontId="59" fillId="0" borderId="24" xfId="0" applyFont="1" applyBorder="1" applyProtection="1">
      <alignment vertical="center"/>
      <protection locked="0"/>
    </xf>
    <xf numFmtId="0" fontId="60" fillId="0" borderId="24" xfId="0" applyFont="1" applyBorder="1" applyProtection="1">
      <alignment vertical="center"/>
      <protection locked="0"/>
    </xf>
    <xf numFmtId="0" fontId="61" fillId="0" borderId="24" xfId="0" applyFont="1" applyBorder="1" applyProtection="1">
      <alignment vertical="center"/>
      <protection locked="0"/>
    </xf>
    <xf numFmtId="0" fontId="62" fillId="0" borderId="25" xfId="0" applyFont="1" applyBorder="1" applyProtection="1">
      <alignment vertical="center"/>
      <protection locked="0"/>
    </xf>
    <xf numFmtId="14" fontId="3" fillId="0" borderId="26" xfId="0" applyNumberFormat="1" applyFont="1" applyBorder="1" applyAlignment="1" applyProtection="1">
      <alignment horizontal="center"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9" xfId="0" applyFont="1" applyFill="1" applyBorder="1" applyAlignment="1" applyProtection="1">
      <alignment vertical="center" wrapText="1"/>
      <protection locked="0"/>
    </xf>
    <xf numFmtId="0" fontId="13" fillId="2" borderId="10" xfId="0" applyFont="1" applyFill="1" applyBorder="1" applyAlignment="1" applyProtection="1">
      <alignment vertical="center" wrapText="1"/>
      <protection locked="0"/>
    </xf>
    <xf numFmtId="0" fontId="11" fillId="2" borderId="27" xfId="0" applyFont="1" applyFill="1" applyBorder="1" applyAlignment="1" applyProtection="1">
      <alignment vertical="center" wrapText="1"/>
      <protection locked="0"/>
    </xf>
    <xf numFmtId="0" fontId="7" fillId="2" borderId="9" xfId="0" applyFont="1" applyFill="1" applyBorder="1" applyAlignment="1" applyProtection="1">
      <alignment horizontal="center" vertical="center" wrapText="1"/>
      <protection locked="0"/>
    </xf>
    <xf numFmtId="176" fontId="11" fillId="2" borderId="9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9" fillId="4" borderId="9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177" fontId="15" fillId="20" borderId="13" xfId="0" applyNumberFormat="1" applyFont="1" applyFill="1" applyBorder="1" applyAlignment="1" applyProtection="1">
      <alignment horizontal="center" vertical="center" wrapText="1"/>
      <protection locked="0"/>
    </xf>
    <xf numFmtId="20" fontId="15" fillId="20" borderId="13" xfId="0" applyNumberFormat="1" applyFont="1" applyFill="1" applyBorder="1" applyAlignment="1" applyProtection="1">
      <alignment horizontal="center" vertical="center" wrapText="1"/>
      <protection locked="0"/>
    </xf>
    <xf numFmtId="0" fontId="15" fillId="20" borderId="13" xfId="0" applyFont="1" applyFill="1" applyBorder="1" applyAlignment="1" applyProtection="1">
      <alignment vertical="center" wrapText="1"/>
      <protection locked="0"/>
    </xf>
    <xf numFmtId="178" fontId="15" fillId="20" borderId="13" xfId="0" applyNumberFormat="1" applyFont="1" applyFill="1" applyBorder="1" applyAlignment="1" applyProtection="1">
      <alignment horizontal="center" vertical="center"/>
      <protection locked="0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9" fontId="15" fillId="20" borderId="13" xfId="1" applyFont="1" applyFill="1" applyBorder="1" applyAlignment="1" applyProtection="1">
      <alignment horizontal="center" vertical="center" wrapText="1"/>
      <protection locked="0"/>
    </xf>
    <xf numFmtId="0" fontId="63" fillId="20" borderId="13" xfId="0" applyFont="1" applyFill="1" applyBorder="1" applyAlignment="1" applyProtection="1">
      <alignment vertical="center" wrapText="1"/>
      <protection locked="0"/>
    </xf>
    <xf numFmtId="0" fontId="15" fillId="20" borderId="13" xfId="0" applyFont="1" applyFill="1" applyBorder="1" applyAlignment="1" applyProtection="1">
      <alignment horizontal="left" vertical="center" wrapText="1"/>
      <protection locked="0"/>
    </xf>
    <xf numFmtId="0" fontId="15" fillId="20" borderId="13" xfId="0" applyFont="1" applyFill="1" applyBorder="1" applyAlignment="1" applyProtection="1">
      <alignment horizontal="left" vertical="center"/>
      <protection locked="0"/>
    </xf>
    <xf numFmtId="0" fontId="15" fillId="20" borderId="15" xfId="0" applyFont="1" applyFill="1" applyBorder="1" applyAlignment="1" applyProtection="1">
      <alignment horizontal="left" vertical="center" wrapText="1"/>
      <protection locked="0"/>
    </xf>
    <xf numFmtId="0" fontId="15" fillId="20" borderId="13" xfId="0" applyFont="1" applyFill="1" applyBorder="1" applyAlignment="1" applyProtection="1">
      <alignment horizontal="center" vertical="center" wrapText="1"/>
      <protection locked="0"/>
    </xf>
    <xf numFmtId="49" fontId="15" fillId="20" borderId="15" xfId="0" applyNumberFormat="1" applyFont="1" applyFill="1" applyBorder="1" applyAlignment="1" applyProtection="1">
      <alignment vertical="center" wrapText="1"/>
      <protection locked="0"/>
    </xf>
    <xf numFmtId="178" fontId="15" fillId="20" borderId="13" xfId="0" applyNumberFormat="1" applyFont="1" applyFill="1" applyBorder="1" applyAlignment="1" applyProtection="1">
      <alignment horizontal="left" vertical="center" wrapText="1"/>
      <protection locked="0"/>
    </xf>
    <xf numFmtId="178" fontId="15" fillId="20" borderId="13" xfId="0" applyNumberFormat="1" applyFont="1" applyFill="1" applyBorder="1" applyAlignment="1" applyProtection="1">
      <alignment horizontal="center" vertical="center" wrapText="1"/>
      <protection locked="0"/>
    </xf>
    <xf numFmtId="49" fontId="15" fillId="20" borderId="28" xfId="0" applyNumberFormat="1" applyFont="1" applyFill="1" applyBorder="1" applyAlignment="1" applyProtection="1">
      <alignment vertical="center" wrapText="1"/>
      <protection locked="0"/>
    </xf>
    <xf numFmtId="49" fontId="15" fillId="20" borderId="13" xfId="0" applyNumberFormat="1" applyFont="1" applyFill="1" applyBorder="1" applyAlignment="1" applyProtection="1">
      <alignment vertical="center" wrapText="1"/>
      <protection locked="0"/>
    </xf>
    <xf numFmtId="49" fontId="15" fillId="20" borderId="13" xfId="0" applyNumberFormat="1" applyFont="1" applyFill="1" applyBorder="1" applyAlignment="1" applyProtection="1">
      <alignment horizontal="center" vertical="center" wrapText="1"/>
      <protection locked="0"/>
    </xf>
    <xf numFmtId="178" fontId="15" fillId="20" borderId="15" xfId="0" applyNumberFormat="1" applyFont="1" applyFill="1" applyBorder="1" applyAlignment="1" applyProtection="1">
      <alignment horizontal="left" vertical="center"/>
      <protection locked="0"/>
    </xf>
    <xf numFmtId="20" fontId="15" fillId="20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7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178" fontId="0" fillId="0" borderId="0" xfId="0" applyNumberFormat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65" fillId="0" borderId="0" xfId="0" applyFont="1" applyProtection="1">
      <alignment vertical="center"/>
      <protection locked="0"/>
    </xf>
    <xf numFmtId="0" fontId="9" fillId="19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 wrapText="1"/>
    </xf>
    <xf numFmtId="0" fontId="9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6" fillId="4" borderId="0" xfId="0" applyFont="1" applyFill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9" fillId="4" borderId="21" xfId="0" applyFont="1" applyFill="1" applyBorder="1">
      <alignment vertical="center"/>
    </xf>
    <xf numFmtId="14" fontId="0" fillId="0" borderId="26" xfId="0" applyNumberFormat="1" applyBorder="1">
      <alignment vertical="center"/>
    </xf>
    <xf numFmtId="0" fontId="6" fillId="0" borderId="31" xfId="0" applyFont="1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21" fillId="0" borderId="31" xfId="0" applyFont="1" applyBorder="1" applyAlignment="1">
      <alignment horizontal="left" vertical="center" wrapText="1"/>
    </xf>
    <xf numFmtId="0" fontId="6" fillId="0" borderId="31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21" xfId="0" applyBorder="1" applyAlignment="1">
      <alignment vertical="center" wrapText="1"/>
    </xf>
    <xf numFmtId="0" fontId="66" fillId="0" borderId="31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67" fillId="0" borderId="0" xfId="0" applyFont="1" applyAlignment="1">
      <alignment horizontal="left" vertical="center"/>
    </xf>
    <xf numFmtId="0" fontId="30" fillId="0" borderId="2" xfId="0" applyFont="1" applyBorder="1" applyAlignment="1">
      <alignment horizontal="left" vertical="center"/>
    </xf>
    <xf numFmtId="0" fontId="0" fillId="0" borderId="0" xfId="0" applyAlignment="1">
      <alignment vertical="center" readingOrder="1"/>
    </xf>
    <xf numFmtId="0" fontId="30" fillId="0" borderId="32" xfId="0" applyFont="1" applyBorder="1" applyAlignment="1">
      <alignment horizontal="left" vertical="center"/>
    </xf>
    <xf numFmtId="0" fontId="68" fillId="0" borderId="31" xfId="0" applyFont="1" applyBorder="1" applyAlignment="1">
      <alignment vertical="center" wrapText="1"/>
    </xf>
    <xf numFmtId="0" fontId="69" fillId="0" borderId="31" xfId="0" applyFont="1" applyBorder="1" applyAlignment="1">
      <alignment vertical="center" wrapText="1"/>
    </xf>
    <xf numFmtId="0" fontId="0" fillId="0" borderId="31" xfId="0" applyBorder="1">
      <alignment vertical="center"/>
    </xf>
    <xf numFmtId="0" fontId="70" fillId="0" borderId="31" xfId="0" applyFont="1" applyBorder="1" applyAlignment="1">
      <alignment vertical="center" wrapText="1"/>
    </xf>
    <xf numFmtId="0" fontId="71" fillId="0" borderId="31" xfId="0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6" fillId="0" borderId="0" xfId="0" applyFont="1">
      <alignment vertical="center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73" fillId="0" borderId="0" xfId="8" applyFont="1">
      <alignment vertical="center"/>
    </xf>
    <xf numFmtId="49" fontId="73" fillId="0" borderId="0" xfId="8" applyNumberFormat="1" applyFont="1">
      <alignment vertical="center"/>
    </xf>
    <xf numFmtId="176" fontId="73" fillId="0" borderId="0" xfId="8" applyNumberFormat="1" applyFont="1">
      <alignment vertical="center"/>
    </xf>
    <xf numFmtId="0" fontId="1" fillId="0" borderId="0" xfId="8" applyProtection="1">
      <alignment vertical="center"/>
      <protection locked="0"/>
    </xf>
    <xf numFmtId="20" fontId="73" fillId="0" borderId="0" xfId="8" applyNumberFormat="1" applyFont="1">
      <alignment vertical="center"/>
    </xf>
    <xf numFmtId="14" fontId="36" fillId="0" borderId="0" xfId="2" applyNumberFormat="1" applyFont="1" applyAlignment="1">
      <alignment horizontal="center" vertical="center" wrapText="1"/>
    </xf>
    <xf numFmtId="0" fontId="36" fillId="0" borderId="0" xfId="2" applyFont="1" applyAlignment="1">
      <alignment wrapText="1"/>
    </xf>
    <xf numFmtId="0" fontId="36" fillId="0" borderId="0" xfId="2" applyFont="1" applyAlignment="1">
      <alignment horizontal="center" vertical="center" wrapText="1"/>
    </xf>
    <xf numFmtId="0" fontId="74" fillId="0" borderId="0" xfId="2" applyFont="1" applyAlignment="1">
      <alignment horizontal="center" vertical="center" wrapText="1"/>
    </xf>
    <xf numFmtId="0" fontId="75" fillId="0" borderId="0" xfId="2" applyFont="1" applyAlignment="1">
      <alignment horizontal="center" vertical="center" wrapText="1"/>
    </xf>
    <xf numFmtId="0" fontId="76" fillId="0" borderId="0" xfId="2" applyFont="1" applyAlignment="1">
      <alignment horizontal="center" vertical="center" wrapText="1"/>
    </xf>
    <xf numFmtId="0" fontId="77" fillId="0" borderId="0" xfId="2" applyFont="1" applyAlignment="1">
      <alignment horizontal="center" vertical="center" wrapText="1"/>
    </xf>
    <xf numFmtId="0" fontId="78" fillId="0" borderId="0" xfId="2" applyFont="1" applyAlignment="1">
      <alignment horizontal="center" vertical="center" wrapText="1"/>
    </xf>
    <xf numFmtId="0" fontId="79" fillId="0" borderId="0" xfId="8" applyFont="1">
      <alignment vertical="center"/>
    </xf>
    <xf numFmtId="0" fontId="52" fillId="0" borderId="0" xfId="2"/>
    <xf numFmtId="49" fontId="1" fillId="0" borderId="0" xfId="9" applyNumberFormat="1">
      <alignment vertical="center"/>
    </xf>
    <xf numFmtId="0" fontId="79" fillId="0" borderId="0" xfId="10" applyFont="1">
      <alignment vertical="center"/>
    </xf>
    <xf numFmtId="49" fontId="79" fillId="0" borderId="0" xfId="9" applyNumberFormat="1" applyFont="1">
      <alignment vertical="center"/>
    </xf>
    <xf numFmtId="0" fontId="80" fillId="22" borderId="0" xfId="8" applyFont="1" applyFill="1">
      <alignment vertical="center"/>
    </xf>
    <xf numFmtId="0" fontId="73" fillId="0" borderId="16" xfId="10" applyFont="1" applyBorder="1">
      <alignment vertical="center"/>
    </xf>
    <xf numFmtId="0" fontId="73" fillId="0" borderId="16" xfId="10" applyFont="1" applyBorder="1" applyAlignment="1">
      <alignment vertical="center" wrapText="1"/>
    </xf>
    <xf numFmtId="0" fontId="73" fillId="0" borderId="6" xfId="10" applyFont="1" applyBorder="1" applyAlignment="1">
      <alignment vertical="center" wrapText="1"/>
    </xf>
    <xf numFmtId="56" fontId="73" fillId="0" borderId="0" xfId="8" applyNumberFormat="1" applyFont="1">
      <alignment vertical="center"/>
    </xf>
    <xf numFmtId="0" fontId="73" fillId="0" borderId="10" xfId="10" applyFont="1" applyBorder="1">
      <alignment vertical="center"/>
    </xf>
    <xf numFmtId="0" fontId="73" fillId="0" borderId="21" xfId="10" applyFont="1" applyBorder="1" applyAlignment="1">
      <alignment vertical="center" wrapText="1"/>
    </xf>
    <xf numFmtId="56" fontId="73" fillId="0" borderId="0" xfId="8" applyNumberFormat="1" applyFont="1" applyAlignment="1">
      <alignment vertical="center" wrapText="1"/>
    </xf>
    <xf numFmtId="0" fontId="79" fillId="2" borderId="16" xfId="10" applyFont="1" applyFill="1" applyBorder="1" applyAlignment="1">
      <alignment horizontal="center" vertical="center"/>
    </xf>
    <xf numFmtId="14" fontId="36" fillId="0" borderId="33" xfId="2" applyNumberFormat="1" applyFont="1" applyBorder="1" applyAlignment="1">
      <alignment horizontal="center" vertical="center" wrapText="1"/>
    </xf>
    <xf numFmtId="0" fontId="36" fillId="0" borderId="34" xfId="2" applyFont="1" applyBorder="1" applyAlignment="1">
      <alignment wrapText="1"/>
    </xf>
    <xf numFmtId="0" fontId="36" fillId="23" borderId="34" xfId="2" applyFont="1" applyFill="1" applyBorder="1" applyAlignment="1">
      <alignment horizontal="center" vertical="center" wrapText="1"/>
    </xf>
    <xf numFmtId="0" fontId="74" fillId="0" borderId="34" xfId="2" applyFont="1" applyBorder="1" applyAlignment="1">
      <alignment horizontal="center" vertical="center" wrapText="1"/>
    </xf>
    <xf numFmtId="0" fontId="75" fillId="24" borderId="34" xfId="2" applyFont="1" applyFill="1" applyBorder="1" applyAlignment="1">
      <alignment horizontal="center" vertical="center" wrapText="1"/>
    </xf>
    <xf numFmtId="0" fontId="75" fillId="0" borderId="35" xfId="2" applyFont="1" applyBorder="1" applyAlignment="1">
      <alignment horizontal="center" vertical="center" wrapText="1"/>
    </xf>
    <xf numFmtId="0" fontId="79" fillId="0" borderId="0" xfId="12" applyFont="1">
      <alignment vertical="center"/>
    </xf>
    <xf numFmtId="49" fontId="83" fillId="21" borderId="0" xfId="7" applyNumberFormat="1" applyFont="1" applyAlignment="1">
      <alignment horizontal="center" vertical="center"/>
    </xf>
    <xf numFmtId="49" fontId="83" fillId="21" borderId="0" xfId="7" applyNumberFormat="1" applyFont="1">
      <alignment vertical="center"/>
    </xf>
    <xf numFmtId="0" fontId="83" fillId="21" borderId="0" xfId="7" applyFont="1">
      <alignment vertical="center"/>
    </xf>
    <xf numFmtId="0" fontId="84" fillId="21" borderId="0" xfId="7" applyFont="1">
      <alignment vertical="center"/>
    </xf>
    <xf numFmtId="0" fontId="85" fillId="0" borderId="0" xfId="12" applyFont="1">
      <alignment vertical="center"/>
    </xf>
    <xf numFmtId="177" fontId="87" fillId="0" borderId="0" xfId="7" applyNumberFormat="1" applyFont="1" applyFill="1" applyAlignment="1">
      <alignment horizontal="center" vertical="center"/>
    </xf>
    <xf numFmtId="0" fontId="3" fillId="0" borderId="0" xfId="12" applyFont="1" applyAlignment="1">
      <alignment vertical="center" wrapText="1"/>
    </xf>
    <xf numFmtId="0" fontId="88" fillId="0" borderId="0" xfId="8" applyFont="1">
      <alignment vertical="center"/>
    </xf>
    <xf numFmtId="0" fontId="83" fillId="4" borderId="0" xfId="8" applyFont="1" applyFill="1" applyAlignment="1">
      <alignment horizontal="center" vertical="center"/>
    </xf>
    <xf numFmtId="0" fontId="73" fillId="0" borderId="0" xfId="13" applyFont="1">
      <alignment vertical="center"/>
    </xf>
    <xf numFmtId="0" fontId="79" fillId="0" borderId="0" xfId="13" applyFont="1">
      <alignment vertical="center"/>
    </xf>
    <xf numFmtId="0" fontId="89" fillId="0" borderId="0" xfId="13" applyFont="1">
      <alignment vertical="center"/>
    </xf>
    <xf numFmtId="0" fontId="29" fillId="0" borderId="1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0" fontId="73" fillId="0" borderId="1" xfId="8" applyFont="1" applyBorder="1">
      <alignment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179" fontId="41" fillId="3" borderId="1" xfId="0" applyNumberFormat="1" applyFont="1" applyFill="1" applyBorder="1" applyAlignment="1" applyProtection="1">
      <alignment horizontal="center" vertical="center" wrapText="1"/>
      <protection locked="0"/>
    </xf>
    <xf numFmtId="179" fontId="41" fillId="3" borderId="0" xfId="0" applyNumberFormat="1" applyFont="1" applyFill="1" applyAlignment="1" applyProtection="1">
      <alignment horizontal="center" vertical="center" wrapText="1"/>
      <protection locked="0"/>
    </xf>
    <xf numFmtId="176" fontId="37" fillId="3" borderId="0" xfId="0" applyNumberFormat="1" applyFont="1" applyFill="1" applyAlignment="1" applyProtection="1">
      <alignment vertical="center" wrapText="1"/>
      <protection locked="0"/>
    </xf>
    <xf numFmtId="0" fontId="35" fillId="3" borderId="0" xfId="0" applyFont="1" applyFill="1" applyAlignment="1" applyProtection="1">
      <alignment horizontal="center" vertical="center" wrapText="1"/>
      <protection locked="0"/>
    </xf>
    <xf numFmtId="1" fontId="31" fillId="4" borderId="0" xfId="0" applyNumberFormat="1" applyFont="1" applyFill="1" applyAlignment="1" applyProtection="1">
      <alignment horizontal="center" vertical="center" wrapText="1"/>
      <protection locked="0"/>
    </xf>
    <xf numFmtId="1" fontId="39" fillId="3" borderId="0" xfId="0" applyNumberFormat="1" applyFont="1" applyFill="1" applyAlignment="1" applyProtection="1">
      <alignment vertical="center" wrapText="1"/>
      <protection locked="0"/>
    </xf>
    <xf numFmtId="0" fontId="8" fillId="4" borderId="0" xfId="0" applyFont="1" applyFill="1" applyAlignment="1" applyProtection="1">
      <alignment horizontal="center" vertical="center" wrapText="1"/>
      <protection locked="0"/>
    </xf>
    <xf numFmtId="0" fontId="8" fillId="4" borderId="1" xfId="0" applyFont="1" applyFill="1" applyBorder="1" applyAlignment="1" applyProtection="1">
      <alignment horizontal="center" vertical="center" wrapText="1"/>
      <protection locked="0"/>
    </xf>
    <xf numFmtId="0" fontId="12" fillId="4" borderId="8" xfId="0" applyFont="1" applyFill="1" applyBorder="1" applyAlignment="1" applyProtection="1">
      <alignment horizontal="center" vertical="center" wrapText="1"/>
      <protection locked="0"/>
    </xf>
    <xf numFmtId="0" fontId="12" fillId="4" borderId="0" xfId="0" applyFont="1" applyFill="1" applyAlignment="1" applyProtection="1">
      <alignment horizontal="center" vertical="center" wrapText="1"/>
      <protection locked="0"/>
    </xf>
    <xf numFmtId="0" fontId="22" fillId="4" borderId="0" xfId="0" applyFont="1" applyFill="1" applyAlignment="1" applyProtection="1">
      <alignment horizontal="center" vertical="center" wrapText="1"/>
      <protection locked="0"/>
    </xf>
    <xf numFmtId="176" fontId="4" fillId="2" borderId="9" xfId="0" applyNumberFormat="1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1" fillId="2" borderId="10" xfId="0" applyFont="1" applyFill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 wrapText="1"/>
    </xf>
    <xf numFmtId="0" fontId="46" fillId="4" borderId="0" xfId="0" applyFont="1" applyFill="1" applyAlignment="1">
      <alignment horizontal="center" vertical="center" wrapText="1"/>
    </xf>
    <xf numFmtId="0" fontId="47" fillId="4" borderId="0" xfId="0" applyFont="1" applyFill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3" fillId="17" borderId="0" xfId="0" applyFont="1" applyFill="1" applyAlignment="1" applyProtection="1">
      <alignment horizontal="center" vertical="center"/>
      <protection locked="0"/>
    </xf>
    <xf numFmtId="0" fontId="3" fillId="18" borderId="0" xfId="0" applyFont="1" applyFill="1" applyAlignment="1" applyProtection="1">
      <alignment horizontal="center" vertical="center"/>
      <protection locked="0"/>
    </xf>
    <xf numFmtId="0" fontId="83" fillId="4" borderId="0" xfId="12" applyFont="1" applyFill="1" applyAlignment="1">
      <alignment horizontal="center" vertical="center"/>
    </xf>
    <xf numFmtId="0" fontId="86" fillId="6" borderId="0" xfId="7" applyFont="1" applyFill="1" applyAlignment="1">
      <alignment horizontal="left" vertical="center" wrapText="1"/>
    </xf>
    <xf numFmtId="0" fontId="81" fillId="25" borderId="0" xfId="2" applyFont="1" applyFill="1" applyAlignment="1">
      <alignment horizontal="center" vertical="center" wrapText="1"/>
    </xf>
    <xf numFmtId="0" fontId="81" fillId="25" borderId="34" xfId="2" applyFont="1" applyFill="1" applyBorder="1" applyAlignment="1">
      <alignment horizontal="center" vertical="center" wrapText="1"/>
    </xf>
    <xf numFmtId="0" fontId="83" fillId="4" borderId="0" xfId="8" applyFont="1" applyFill="1" applyAlignment="1">
      <alignment horizontal="center" vertical="center"/>
    </xf>
    <xf numFmtId="177" fontId="87" fillId="0" borderId="0" xfId="7" applyNumberFormat="1" applyFont="1" applyFill="1" applyAlignment="1">
      <alignment horizontal="center" vertical="center"/>
    </xf>
    <xf numFmtId="0" fontId="79" fillId="2" borderId="16" xfId="11" applyFont="1" applyFill="1" applyBorder="1" applyAlignment="1">
      <alignment horizontal="center" vertical="center"/>
    </xf>
    <xf numFmtId="0" fontId="82" fillId="25" borderId="0" xfId="2" applyFont="1" applyFill="1" applyAlignment="1">
      <alignment horizontal="center" vertical="center" wrapText="1"/>
    </xf>
    <xf numFmtId="0" fontId="82" fillId="25" borderId="34" xfId="2" applyFont="1" applyFill="1" applyBorder="1" applyAlignment="1">
      <alignment horizontal="center" vertical="center" wrapText="1"/>
    </xf>
    <xf numFmtId="0" fontId="77" fillId="25" borderId="0" xfId="2" applyFont="1" applyFill="1" applyAlignment="1">
      <alignment horizontal="center" vertical="center"/>
    </xf>
    <xf numFmtId="0" fontId="77" fillId="25" borderId="34" xfId="2" applyFont="1" applyFill="1" applyBorder="1" applyAlignment="1">
      <alignment horizontal="center" vertical="center"/>
    </xf>
    <xf numFmtId="0" fontId="57" fillId="19" borderId="0" xfId="8" applyFont="1" applyFill="1" applyAlignment="1" applyProtection="1">
      <alignment horizontal="center" vertical="center" wrapText="1"/>
      <protection locked="0"/>
    </xf>
    <xf numFmtId="0" fontId="15" fillId="26" borderId="0" xfId="8" applyFont="1" applyFill="1" applyAlignment="1">
      <alignment horizontal="center" vertical="center" wrapText="1"/>
    </xf>
    <xf numFmtId="0" fontId="46" fillId="4" borderId="17" xfId="0" applyFont="1" applyFill="1" applyBorder="1" applyAlignment="1" applyProtection="1">
      <alignment horizontal="center" vertical="center"/>
      <protection locked="0"/>
    </xf>
    <xf numFmtId="0" fontId="46" fillId="4" borderId="18" xfId="0" applyFont="1" applyFill="1" applyBorder="1" applyAlignment="1" applyProtection="1">
      <alignment horizontal="center" vertical="center"/>
      <protection locked="0"/>
    </xf>
    <xf numFmtId="0" fontId="46" fillId="4" borderId="19" xfId="0" applyFont="1" applyFill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9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9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10" xfId="0" applyFont="1" applyFill="1" applyBorder="1" applyAlignment="1" applyProtection="1">
      <alignment horizontal="center" vertical="center" wrapText="1"/>
      <protection locked="0"/>
    </xf>
    <xf numFmtId="0" fontId="46" fillId="4" borderId="1" xfId="0" applyFont="1" applyFill="1" applyBorder="1" applyAlignment="1" applyProtection="1">
      <alignment horizontal="center" vertical="center" wrapText="1"/>
      <protection locked="0"/>
    </xf>
    <xf numFmtId="0" fontId="46" fillId="4" borderId="0" xfId="0" applyFont="1" applyFill="1" applyAlignment="1" applyProtection="1">
      <alignment horizontal="center" vertical="center" wrapText="1"/>
      <protection locked="0"/>
    </xf>
    <xf numFmtId="0" fontId="47" fillId="4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 wrapText="1"/>
    </xf>
    <xf numFmtId="0" fontId="90" fillId="0" borderId="22" xfId="0" applyFont="1" applyBorder="1" applyAlignment="1">
      <alignment horizontal="center" vertical="center" wrapText="1"/>
    </xf>
    <xf numFmtId="0" fontId="54" fillId="0" borderId="0" xfId="0" applyFont="1" applyAlignment="1" applyProtection="1">
      <alignment horizontal="center" vertical="center" wrapText="1"/>
      <protection locked="0"/>
    </xf>
    <xf numFmtId="0" fontId="54" fillId="0" borderId="3" xfId="0" applyFont="1" applyBorder="1" applyAlignment="1" applyProtection="1">
      <alignment horizontal="center" vertical="center" wrapText="1"/>
      <protection locked="0"/>
    </xf>
    <xf numFmtId="0" fontId="57" fillId="19" borderId="3" xfId="0" applyFont="1" applyFill="1" applyBorder="1" applyAlignment="1" applyProtection="1">
      <alignment horizontal="center" vertical="center" wrapText="1"/>
      <protection locked="0"/>
    </xf>
    <xf numFmtId="0" fontId="91" fillId="0" borderId="3" xfId="14" applyBorder="1" applyProtection="1">
      <alignment vertical="center"/>
      <protection locked="0"/>
    </xf>
  </cellXfs>
  <cellStyles count="15">
    <cellStyle name="Accent1" xfId="7" builtinId="29"/>
    <cellStyle name="Hyperlink" xfId="14" builtinId="8"/>
    <cellStyle name="Normal" xfId="0" builtinId="0"/>
    <cellStyle name="Percent" xfId="1" builtinId="5"/>
    <cellStyle name="ハイパーリンク 2 2" xfId="6" xr:uid="{13B5A6D5-3925-483D-A1B6-98A00694CA54}"/>
    <cellStyle name="標準 2" xfId="2" xr:uid="{D5A12A10-EEE9-497B-B187-AB8E90E8EBC7}"/>
    <cellStyle name="標準 3" xfId="4" xr:uid="{B95E741D-1F5F-4583-958E-B4D280FDCA8D}"/>
    <cellStyle name="標準 3 2" xfId="5" xr:uid="{CD8A3319-8D46-4F06-97CF-6B80A000AB58}"/>
    <cellStyle name="標準 3 2 4 2 2 3 5" xfId="10" xr:uid="{2D4CF3F9-4CE8-4400-9AAA-52516FA00187}"/>
    <cellStyle name="標準 3 5 2 2 3 5" xfId="8" xr:uid="{BE73BE4B-84E9-48DD-A910-4617676E1960}"/>
    <cellStyle name="標準 4" xfId="3" xr:uid="{5A5671CC-53C3-4C31-AF70-21A3923C7C72}"/>
    <cellStyle name="標準 4 2 4 2 2 3 5" xfId="11" xr:uid="{3A9AE182-0AAE-42C6-B10F-676A748D3719}"/>
    <cellStyle name="標準 4 5 2 2 3 5" xfId="13" xr:uid="{9146760F-9F53-4699-9BE6-1312B58EFC05}"/>
    <cellStyle name="標準 5 5 2 2 3 5" xfId="12" xr:uid="{F4528206-F060-4278-ADF3-4DDD2D539FDF}"/>
    <cellStyle name="標準 6 4 2 2 3 5" xfId="9" xr:uid="{7FB78DA4-B7DA-4CEF-A1A3-8DD8067615B9}"/>
  </cellStyles>
  <dxfs count="217">
    <dxf>
      <font>
        <b/>
        <i val="0"/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CCFF"/>
      <color rgb="FF0000FF"/>
      <color rgb="FF5A8B00"/>
      <color rgb="FFCC00FF"/>
      <color rgb="FFFF66CC"/>
      <color rgb="FFD8D822"/>
      <color rgb="FF008000"/>
      <color rgb="FF5959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635000</xdr:colOff>
      <xdr:row>313</xdr:row>
      <xdr:rowOff>173181</xdr:rowOff>
    </xdr:from>
    <xdr:to>
      <xdr:col>28</xdr:col>
      <xdr:colOff>1270000</xdr:colOff>
      <xdr:row>318</xdr:row>
      <xdr:rowOff>158750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496818" y="36324886"/>
          <a:ext cx="2121477" cy="1212273"/>
        </a:xfrm>
        <a:prstGeom prst="wedgeRoundRectCallout">
          <a:avLst>
            <a:gd name="adj1" fmla="val -95175"/>
            <a:gd name="adj2" fmla="val 1179"/>
            <a:gd name="adj3" fmla="val 16667"/>
          </a:avLst>
        </a:prstGeom>
        <a:solidFill>
          <a:schemeClr val="bg1"/>
        </a:solidFill>
        <a:ln w="381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800"/>
        </a:p>
      </xdr:txBody>
    </xdr:sp>
    <xdr:clientData/>
  </xdr:twoCellAnchor>
  <xdr:twoCellAnchor>
    <xdr:from>
      <xdr:col>1</xdr:col>
      <xdr:colOff>154877</xdr:colOff>
      <xdr:row>4</xdr:row>
      <xdr:rowOff>248579</xdr:rowOff>
    </xdr:from>
    <xdr:to>
      <xdr:col>3</xdr:col>
      <xdr:colOff>2684370</xdr:colOff>
      <xdr:row>17</xdr:row>
      <xdr:rowOff>82687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9702" y="2058329"/>
          <a:ext cx="3615343" cy="3053558"/>
          <a:chOff x="2235729" y="1666875"/>
          <a:chExt cx="3908630" cy="3051175"/>
        </a:xfrm>
      </xdr:grpSpPr>
      <xdr:sp macro="" textlink="">
        <xdr:nvSpPr>
          <xdr:cNvPr id="4" name="吹き出し: 角を丸めた四角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235729" y="1666875"/>
            <a:ext cx="3908630" cy="3051175"/>
          </a:xfrm>
          <a:prstGeom prst="wedgeRoundRectCallout">
            <a:avLst>
              <a:gd name="adj1" fmla="val -32343"/>
              <a:gd name="adj2" fmla="val -17064"/>
              <a:gd name="adj3" fmla="val 16667"/>
            </a:avLst>
          </a:prstGeom>
          <a:ln w="57150">
            <a:solidFill>
              <a:srgbClr val="00B0F0"/>
            </a:solidFill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1800" b="1" u="sng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★配色ルール★</a:t>
            </a:r>
          </a:p>
        </xdr:txBody>
      </xdr:sp>
      <xdr:pic>
        <xdr:nvPicPr>
          <xdr:cNvPr id="5" name="図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05590" y="2213306"/>
            <a:ext cx="3495485" cy="223870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amazon.co.jp/conversations/3-832c5000-185c-759f-65c1-a224e5d8717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5FF6-95D3-4AAA-B82A-85C406925D05}">
  <sheetPr codeName="Sheet1">
    <tabColor theme="8" tint="-0.249977111117893"/>
  </sheetPr>
  <dimension ref="A1:AS1037"/>
  <sheetViews>
    <sheetView topLeftCell="A233" zoomScale="40" zoomScaleNormal="40" workbookViewId="0" xr3:uid="{312EF090-32A1-5E50-80EB-8281909E3D61}">
      <selection activeCell="I20" sqref="I20"/>
    </sheetView>
  </sheetViews>
  <sheetFormatPr defaultColWidth="8.625" defaultRowHeight="18"/>
  <cols>
    <col min="1" max="1" width="6.625" style="35" customWidth="1"/>
    <col min="2" max="2" width="6.875" style="81" customWidth="1"/>
    <col min="3" max="3" width="7.375" style="3" customWidth="1"/>
    <col min="4" max="4" width="36.625" style="46" bestFit="1" customWidth="1"/>
    <col min="5" max="5" width="5.375" style="3" customWidth="1"/>
    <col min="6" max="6" width="4.625" style="3" hidden="1" customWidth="1"/>
    <col min="7" max="7" width="7.625" style="3" customWidth="1"/>
    <col min="8" max="8" width="5" style="41" customWidth="1"/>
    <col min="9" max="9" width="20.625" style="3" customWidth="1"/>
    <col min="10" max="10" width="16.125" style="78" customWidth="1"/>
    <col min="11" max="11" width="8.375" style="78" customWidth="1"/>
    <col min="12" max="12" width="16.125" style="78" customWidth="1"/>
    <col min="13" max="13" width="6.125" style="78" customWidth="1"/>
    <col min="14" max="14" width="6.375" style="44" customWidth="1"/>
    <col min="15" max="15" width="16.875" style="45" bestFit="1" customWidth="1"/>
    <col min="16" max="16" width="20.625" style="3" customWidth="1"/>
    <col min="17" max="17" width="5.625" style="46" bestFit="1" customWidth="1"/>
    <col min="18" max="18" width="5.875" style="46" hidden="1" customWidth="1"/>
    <col min="19" max="19" width="18.625" style="48" customWidth="1"/>
    <col min="20" max="20" width="10.5" style="80" customWidth="1"/>
    <col min="21" max="21" width="9.625" style="80" bestFit="1" customWidth="1"/>
    <col min="22" max="22" width="31.875" style="3" customWidth="1"/>
    <col min="23" max="23" width="19.125" style="3" customWidth="1"/>
    <col min="24" max="24" width="15.125" style="50" customWidth="1"/>
    <col min="25" max="25" width="10.5" style="80" customWidth="1"/>
    <col min="26" max="26" width="9.625" style="80" bestFit="1" customWidth="1"/>
    <col min="27" max="27" width="22.125" style="3" customWidth="1"/>
    <col min="28" max="28" width="19.5" style="53" bestFit="1" customWidth="1"/>
    <col min="29" max="29" width="18.625" style="50" customWidth="1"/>
    <col min="30" max="30" width="8.125" style="50" customWidth="1"/>
    <col min="31" max="31" width="17.625" style="3" hidden="1" customWidth="1"/>
    <col min="32" max="32" width="7.625" style="185" customWidth="1"/>
    <col min="33" max="33" width="7.125" style="53" customWidth="1"/>
    <col min="34" max="34" width="5.5" style="53" customWidth="1"/>
    <col min="35" max="35" width="15.375" style="185" customWidth="1"/>
    <col min="36" max="36" width="11.375" style="3" customWidth="1"/>
    <col min="37" max="37" width="9.375" style="3" customWidth="1"/>
    <col min="38" max="38" width="11.875" style="3" customWidth="1"/>
    <col min="39" max="40" width="11.625" style="4" customWidth="1"/>
    <col min="41" max="41" width="9.375" style="3" customWidth="1"/>
    <col min="42" max="42" width="11.625" style="3" customWidth="1"/>
    <col min="43" max="43" width="8.625" style="3" customWidth="1"/>
    <col min="44" max="44" width="28.625" style="3" customWidth="1"/>
    <col min="45" max="45" width="8.625" style="3"/>
    <col min="46" max="46" width="19.875" style="3" customWidth="1"/>
    <col min="47" max="16384" width="8.625" style="3"/>
  </cols>
  <sheetData>
    <row r="1" spans="1:45" ht="32.450000000000003" customHeight="1">
      <c r="A1" s="187" t="s">
        <v>0</v>
      </c>
      <c r="B1" s="188" t="s">
        <v>1</v>
      </c>
      <c r="C1" s="187" t="s">
        <v>2</v>
      </c>
      <c r="D1" s="187" t="s">
        <v>3</v>
      </c>
      <c r="E1" s="363" t="s">
        <v>4</v>
      </c>
      <c r="F1" s="364"/>
      <c r="G1" s="364"/>
      <c r="H1" s="365" t="s">
        <v>5</v>
      </c>
      <c r="I1" s="365"/>
      <c r="J1"/>
      <c r="K1"/>
      <c r="L1"/>
      <c r="M1" s="9"/>
      <c r="N1" s="189"/>
      <c r="O1" s="187" t="s">
        <v>1</v>
      </c>
      <c r="P1" s="190"/>
      <c r="Q1"/>
      <c r="R1"/>
      <c r="S1" s="9"/>
      <c r="T1" s="191" t="s">
        <v>6</v>
      </c>
      <c r="U1" s="192" t="s">
        <v>7</v>
      </c>
      <c r="V1" s="193" t="s">
        <v>8</v>
      </c>
      <c r="W1" s="190"/>
      <c r="X1"/>
      <c r="Y1" s="10"/>
      <c r="Z1" s="192" t="s">
        <v>9</v>
      </c>
      <c r="AA1" s="188" t="s">
        <v>10</v>
      </c>
      <c r="AB1" s="188" t="s">
        <v>11</v>
      </c>
      <c r="AC1"/>
      <c r="AD1"/>
      <c r="AE1"/>
      <c r="AF1" s="9"/>
      <c r="AG1"/>
      <c r="AH1"/>
      <c r="AI1" s="194" t="s">
        <v>12</v>
      </c>
      <c r="AJ1" s="351" t="s">
        <v>13</v>
      </c>
      <c r="AK1" s="1" t="s">
        <v>14</v>
      </c>
      <c r="AL1" s="2" t="e">
        <f ca="1">"H"&amp;MATCH(TODAY(),A:A,0)&amp;":H701"</f>
        <v>#N/A</v>
      </c>
      <c r="AM1" s="2" t="e">
        <f ca="1">"I"&amp;MATCH(TODAY(),A:A,0)&amp;":I701"</f>
        <v>#N/A</v>
      </c>
      <c r="AN1" s="2" t="e">
        <f ca="1">"U"&amp;MATCH(TODAY(),A:A,0)&amp;":U701"</f>
        <v>#N/A</v>
      </c>
      <c r="AO1" s="2" t="e">
        <f ca="1">"Y"&amp;MATCH(TODAY(),A:A,0)&amp;":Y701"</f>
        <v>#N/A</v>
      </c>
      <c r="AP1" s="2" t="e">
        <f ca="1">"C"&amp;MATCH(TODAY(),A:A,0)&amp;":C701"</f>
        <v>#N/A</v>
      </c>
      <c r="AQ1" s="5"/>
      <c r="AS1" s="11"/>
    </row>
    <row r="2" spans="1:45" ht="29.45" customHeight="1">
      <c r="A2" s="199">
        <f>SUM(AA2+AB2)</f>
        <v>107</v>
      </c>
      <c r="B2" s="199">
        <f>O2</f>
        <v>0</v>
      </c>
      <c r="C2" s="199">
        <f>SUM(T2+U2+Z2)</f>
        <v>160</v>
      </c>
      <c r="D2" s="199">
        <f>V2</f>
        <v>0</v>
      </c>
      <c r="E2" s="366">
        <f>SUM(V2+AA2+AB2)</f>
        <v>107</v>
      </c>
      <c r="F2" s="366"/>
      <c r="G2" s="366"/>
      <c r="H2" s="366">
        <f>AI2</f>
        <v>132</v>
      </c>
      <c r="I2" s="366"/>
      <c r="J2"/>
      <c r="K2"/>
      <c r="L2"/>
      <c r="M2" s="9"/>
      <c r="N2"/>
      <c r="O2" s="199">
        <f>COUNTIFS(I5:I1334,"&lt;&gt;",O5:O1334,"")</f>
        <v>0</v>
      </c>
      <c r="P2" s="195"/>
      <c r="Q2"/>
      <c r="R2"/>
      <c r="S2" s="9"/>
      <c r="T2" s="199">
        <f>COUNTIFS(T5:T1334,"",O5:O1334,"RP")+COUNTIFS(P5:P1334,"&lt;&gt;",T5:T1334,"")</f>
        <v>90</v>
      </c>
      <c r="U2" s="196">
        <f>COUNTIF(T5:T1334,"&lt;&gt;")-COUNTIFS(T5:T1334,"&lt;&gt;",V5:V1334,"&lt;&gt;")-COUNTIFS(T5:T1334,"&lt;&gt;",O5:O1334,"DS完了",V5:V1334,"")-COUNTIFS(T5:T1334,"&lt;&gt;",O5:O1334,"不要",V5:V1334,"")-COUNTIFS(T5:T1334,"&lt;&gt;",O5:O1334,"不可",V5:V1334,"")</f>
        <v>39</v>
      </c>
      <c r="V2" s="196">
        <f>COUNTIF(V5:V1334,"電話不通 x1")-COUNTIFS(O5:O1334,"DS完了",AH5:AH1334,"",V5:V1334,"電話不通 x1")-COUNTIFS(AH5:AH1334,"&lt;&gt;",V5:V1334,"電話不通 x1")</f>
        <v>0</v>
      </c>
      <c r="W2" s="195"/>
      <c r="X2"/>
      <c r="Y2"/>
      <c r="Z2" s="197">
        <f>COUNTIF(Y5:Y1334,"&lt;&gt;")-COUNTIFS(Y5:Y1334,"&lt;&gt;",AA5:AA1334,"&lt;&gt;")-COUNTIFS(Y5:Y1334,"&lt;&gt;",O5:O1334,"DS完了",AA5:AA1334,"")-COUNTIFS(Y5:Y1334,"&lt;&gt;",O5:O1334,"不要",AA5:AA1334,"")-COUNTIFS(Y5:Y1334,"&lt;&gt;",O5:O1334,"不可",AA5:AA1334,"")</f>
        <v>31</v>
      </c>
      <c r="AA2" s="197">
        <f>COUNTIF(AA5:AA1334,"電話不通 x1")-COUNTIFS(O5:O1334,"DS完了",AH5:AH1334,"",AA5:AA1334,"電話不通 x1")-COUNTIFS(AH5:AH1334,"&lt;&gt;",AA5:AA1334,"電話不通 x1")</f>
        <v>0</v>
      </c>
      <c r="AB2" s="197">
        <f>COUNTIF(AB5:AB1334,"電話不通x1")-COUNTIFS(O5:O1334,"DS完了",AH5:AH1334,"",AB5:AB1334,"電話不通x1")-COUNTIFS(AH5:AH1334,"&lt;&gt;",AB5:AB1334,"電話不通x1")+COUNTIFS(AA5:AA1334,"RescuerChat不可",AB5:AB1334,"")+COUNTIFS(O5:O1334,"DS",V5:V1334,"希望・DS判断",AB5:AB1334,"")</f>
        <v>107</v>
      </c>
      <c r="AC2"/>
      <c r="AD2"/>
      <c r="AE2"/>
      <c r="AF2" s="9"/>
      <c r="AG2"/>
      <c r="AH2"/>
      <c r="AI2" s="198">
        <f>COUNTIFS(O5:O1332,"DS完了",AH5:AH1332,"")+COUNTIFS(AF5:AF1332,"&lt;&gt;",AH5:AH1332,"")</f>
        <v>132</v>
      </c>
      <c r="AJ2" s="352"/>
      <c r="AK2" s="353" t="s">
        <v>15</v>
      </c>
      <c r="AO2" s="5"/>
      <c r="AQ2" s="5"/>
      <c r="AS2" s="11"/>
    </row>
    <row r="3" spans="1:45" ht="36" customHeight="1">
      <c r="A3" s="356" t="s">
        <v>16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7" t="s">
        <v>17</v>
      </c>
      <c r="O3" s="358"/>
      <c r="P3" s="358"/>
      <c r="Q3" s="358"/>
      <c r="R3" s="358"/>
      <c r="S3" s="359"/>
      <c r="T3" s="360" t="s">
        <v>18</v>
      </c>
      <c r="U3" s="360"/>
      <c r="V3" s="360"/>
      <c r="W3" s="12"/>
      <c r="X3" s="361" t="s">
        <v>19</v>
      </c>
      <c r="Y3" s="360"/>
      <c r="Z3" s="360"/>
      <c r="AA3" s="360"/>
      <c r="AB3" s="360"/>
      <c r="AC3" s="360"/>
      <c r="AD3" s="360"/>
      <c r="AE3" s="360"/>
      <c r="AF3" s="362"/>
      <c r="AG3" s="6"/>
      <c r="AH3" s="6"/>
      <c r="AI3" s="7"/>
      <c r="AJ3" s="352"/>
      <c r="AK3" s="354"/>
      <c r="AO3" s="5"/>
      <c r="AQ3" s="5"/>
      <c r="AS3" s="11"/>
    </row>
    <row r="4" spans="1:45" ht="45" customHeight="1" thickBot="1">
      <c r="A4" s="13" t="s">
        <v>20</v>
      </c>
      <c r="B4" s="14" t="s">
        <v>21</v>
      </c>
      <c r="C4" s="15" t="s">
        <v>22</v>
      </c>
      <c r="D4" s="15" t="s">
        <v>23</v>
      </c>
      <c r="E4" s="16" t="s">
        <v>24</v>
      </c>
      <c r="F4" s="17" t="s">
        <v>25</v>
      </c>
      <c r="G4" s="18" t="s">
        <v>26</v>
      </c>
      <c r="H4" s="19" t="s">
        <v>27</v>
      </c>
      <c r="I4" s="15" t="s">
        <v>18</v>
      </c>
      <c r="J4" s="20" t="s">
        <v>28</v>
      </c>
      <c r="K4" s="20" t="s">
        <v>29</v>
      </c>
      <c r="L4" s="20" t="s">
        <v>30</v>
      </c>
      <c r="M4" s="20" t="s">
        <v>31</v>
      </c>
      <c r="N4" s="21" t="s">
        <v>22</v>
      </c>
      <c r="O4" s="22" t="s">
        <v>32</v>
      </c>
      <c r="P4" s="15" t="s">
        <v>33</v>
      </c>
      <c r="Q4" s="15" t="s">
        <v>34</v>
      </c>
      <c r="R4" s="22" t="s">
        <v>35</v>
      </c>
      <c r="S4" s="23" t="s">
        <v>36</v>
      </c>
      <c r="T4" s="24" t="s">
        <v>37</v>
      </c>
      <c r="U4" s="24" t="s">
        <v>38</v>
      </c>
      <c r="V4" s="25" t="s">
        <v>39</v>
      </c>
      <c r="W4" s="26" t="s">
        <v>40</v>
      </c>
      <c r="X4" s="27" t="s">
        <v>41</v>
      </c>
      <c r="Y4" s="24" t="s">
        <v>37</v>
      </c>
      <c r="Z4" s="24" t="s">
        <v>38</v>
      </c>
      <c r="AA4" s="20" t="s">
        <v>42</v>
      </c>
      <c r="AB4" s="26" t="s">
        <v>43</v>
      </c>
      <c r="AC4" s="28" t="s">
        <v>36</v>
      </c>
      <c r="AD4" s="26" t="s">
        <v>44</v>
      </c>
      <c r="AE4" s="29" t="s">
        <v>45</v>
      </c>
      <c r="AF4" s="30" t="s">
        <v>46</v>
      </c>
      <c r="AG4" s="31" t="s">
        <v>47</v>
      </c>
      <c r="AH4" s="32" t="s">
        <v>48</v>
      </c>
      <c r="AI4" s="33" t="s">
        <v>36</v>
      </c>
      <c r="AJ4" s="352"/>
      <c r="AK4" s="355"/>
      <c r="AM4" s="8"/>
      <c r="AN4" s="8"/>
      <c r="AP4" s="8"/>
      <c r="AQ4" s="5"/>
      <c r="AR4" s="34"/>
    </row>
    <row r="5" spans="1:45" ht="19.5" customHeight="1" thickTop="1">
      <c r="B5" s="36"/>
      <c r="C5" s="37"/>
      <c r="D5" s="38"/>
      <c r="E5" s="37"/>
      <c r="F5" s="39"/>
      <c r="G5" s="40"/>
      <c r="I5" s="42"/>
      <c r="J5" s="43"/>
      <c r="K5" s="43"/>
      <c r="L5" s="43"/>
      <c r="M5" s="43"/>
      <c r="N5" s="44" t="str">
        <f t="shared" ref="N5:N15" si="0">IF(C5="","",C5)</f>
        <v/>
      </c>
      <c r="P5" s="46"/>
      <c r="R5" s="47"/>
      <c r="T5" s="49"/>
      <c r="U5" s="49"/>
      <c r="Y5" s="49"/>
      <c r="Z5" s="49"/>
      <c r="AB5" s="3"/>
      <c r="AE5" s="3" t="str">
        <f t="shared" ref="AE5:AE15" si="1">IF(OR(V5="電話不通 x2",V5="DS判断"),"DS確認→U列入力",IF(V5="希望","U列入力",IF(V5="拒否","DS確認",IF(V5="外国語","DS確認",IF(V5="電話不通 x1","ORM再架電","-")))))</f>
        <v>-</v>
      </c>
      <c r="AF5" s="51"/>
      <c r="AG5" s="52" t="str">
        <f t="shared" ref="AG5:AG15" ca="1" si="2">IF(AF5="","",IF($AF5+TIME(0,30,0)&lt;(TEXT(NOW(),"h:mm:ss")*1),$AF5+TIME(0,45,0),$AF5+TIME(0,30,0)))</f>
        <v/>
      </c>
      <c r="AI5" s="54"/>
      <c r="AK5" s="3">
        <v>1</v>
      </c>
      <c r="AP5" s="4"/>
      <c r="AQ5" s="5"/>
    </row>
    <row r="6" spans="1:45" ht="19.5" customHeight="1">
      <c r="A6" s="35">
        <f>A5</f>
        <v>0</v>
      </c>
      <c r="B6" s="36"/>
      <c r="C6" s="37"/>
      <c r="D6" s="38"/>
      <c r="E6" s="37"/>
      <c r="F6" s="39"/>
      <c r="G6" s="40"/>
      <c r="I6" s="40"/>
      <c r="J6" s="43"/>
      <c r="K6" s="43"/>
      <c r="L6" s="43"/>
      <c r="M6" s="43"/>
      <c r="N6" s="44" t="str">
        <f t="shared" si="0"/>
        <v/>
      </c>
      <c r="P6" s="46"/>
      <c r="R6" s="47"/>
      <c r="T6" s="49"/>
      <c r="U6" s="49"/>
      <c r="Y6" s="49"/>
      <c r="Z6" s="49"/>
      <c r="AB6" s="3"/>
      <c r="AE6" s="3" t="str">
        <f t="shared" si="1"/>
        <v>-</v>
      </c>
      <c r="AF6" s="51"/>
      <c r="AG6" s="52" t="str">
        <f t="shared" ca="1" si="2"/>
        <v/>
      </c>
      <c r="AI6" s="54"/>
      <c r="AK6" s="3">
        <v>1</v>
      </c>
      <c r="AP6" s="4"/>
      <c r="AQ6" s="5"/>
    </row>
    <row r="7" spans="1:45" ht="19.5" customHeight="1">
      <c r="A7" s="35">
        <f t="shared" ref="A7:A35" si="3">A6</f>
        <v>0</v>
      </c>
      <c r="B7" s="36"/>
      <c r="C7" s="37"/>
      <c r="D7" s="38"/>
      <c r="E7" s="37"/>
      <c r="F7" s="39"/>
      <c r="G7" s="40"/>
      <c r="I7" s="37"/>
      <c r="J7" s="43"/>
      <c r="K7" s="43"/>
      <c r="L7" s="43"/>
      <c r="M7" s="43"/>
      <c r="N7" s="44" t="str">
        <f t="shared" si="0"/>
        <v/>
      </c>
      <c r="P7" s="46"/>
      <c r="R7" s="47"/>
      <c r="T7" s="49"/>
      <c r="U7" s="49"/>
      <c r="W7" s="53"/>
      <c r="Y7" s="49"/>
      <c r="Z7" s="49"/>
      <c r="AB7" s="3"/>
      <c r="AE7" s="3" t="str">
        <f t="shared" si="1"/>
        <v>-</v>
      </c>
      <c r="AF7" s="51"/>
      <c r="AG7" s="52" t="str">
        <f t="shared" ca="1" si="2"/>
        <v/>
      </c>
      <c r="AI7" s="54"/>
      <c r="AK7" s="3">
        <v>1</v>
      </c>
      <c r="AP7" s="4"/>
      <c r="AQ7" s="5"/>
      <c r="AR7" s="34"/>
    </row>
    <row r="8" spans="1:45" ht="19.5" customHeight="1">
      <c r="A8" s="35">
        <f t="shared" si="3"/>
        <v>0</v>
      </c>
      <c r="B8" s="36"/>
      <c r="C8" s="37"/>
      <c r="D8" s="55"/>
      <c r="E8" s="37"/>
      <c r="F8" s="39"/>
      <c r="G8" s="40"/>
      <c r="I8" s="37"/>
      <c r="J8" s="56"/>
      <c r="K8" s="56"/>
      <c r="L8" s="56"/>
      <c r="M8" s="56"/>
      <c r="N8" s="44" t="str">
        <f t="shared" si="0"/>
        <v/>
      </c>
      <c r="P8" s="46"/>
      <c r="R8" s="47"/>
      <c r="T8" s="57"/>
      <c r="U8" s="57"/>
      <c r="Y8" s="57"/>
      <c r="Z8" s="57"/>
      <c r="AB8" s="3"/>
      <c r="AE8" s="3" t="str">
        <f t="shared" si="1"/>
        <v>-</v>
      </c>
      <c r="AF8" s="51"/>
      <c r="AG8" s="52" t="str">
        <f t="shared" ca="1" si="2"/>
        <v/>
      </c>
      <c r="AI8" s="54"/>
      <c r="AK8" s="3">
        <v>1</v>
      </c>
      <c r="AP8" s="4"/>
      <c r="AQ8" s="5"/>
    </row>
    <row r="9" spans="1:45" ht="19.5" customHeight="1">
      <c r="A9" s="35">
        <f t="shared" si="3"/>
        <v>0</v>
      </c>
      <c r="B9" s="36"/>
      <c r="C9" s="37"/>
      <c r="D9" s="55"/>
      <c r="E9" s="37"/>
      <c r="F9" s="39"/>
      <c r="G9" s="40"/>
      <c r="I9" s="37"/>
      <c r="J9" s="56"/>
      <c r="K9" s="56"/>
      <c r="L9" s="56"/>
      <c r="M9" s="56"/>
      <c r="N9" s="44" t="str">
        <f t="shared" si="0"/>
        <v/>
      </c>
      <c r="P9" s="46"/>
      <c r="R9" s="47"/>
      <c r="T9" s="57"/>
      <c r="U9" s="57"/>
      <c r="V9" s="58"/>
      <c r="Y9" s="57"/>
      <c r="Z9" s="57"/>
      <c r="AB9" s="3"/>
      <c r="AE9" s="3" t="str">
        <f t="shared" si="1"/>
        <v>-</v>
      </c>
      <c r="AF9" s="51"/>
      <c r="AG9" s="52" t="str">
        <f t="shared" ca="1" si="2"/>
        <v/>
      </c>
      <c r="AI9" s="54"/>
      <c r="AK9" s="3">
        <v>1</v>
      </c>
      <c r="AP9" s="4"/>
      <c r="AQ9" s="5"/>
    </row>
    <row r="10" spans="1:45" ht="19.5" customHeight="1">
      <c r="A10" s="35">
        <f t="shared" si="3"/>
        <v>0</v>
      </c>
      <c r="B10" s="36"/>
      <c r="C10" s="37"/>
      <c r="D10" s="55"/>
      <c r="E10" s="37"/>
      <c r="F10" s="39"/>
      <c r="G10" s="40"/>
      <c r="I10" s="37"/>
      <c r="J10" s="56"/>
      <c r="K10" s="56"/>
      <c r="L10" s="56"/>
      <c r="M10" s="56"/>
      <c r="N10" s="44" t="str">
        <f t="shared" si="0"/>
        <v/>
      </c>
      <c r="P10" s="46"/>
      <c r="R10" s="47"/>
      <c r="T10" s="57"/>
      <c r="U10" s="57"/>
      <c r="V10" s="58"/>
      <c r="Y10" s="57"/>
      <c r="Z10" s="57"/>
      <c r="AE10" s="3" t="str">
        <f t="shared" si="1"/>
        <v>-</v>
      </c>
      <c r="AF10" s="51"/>
      <c r="AG10" s="52" t="str">
        <f t="shared" ca="1" si="2"/>
        <v/>
      </c>
      <c r="AI10" s="54"/>
      <c r="AK10" s="3">
        <v>1</v>
      </c>
      <c r="AP10" s="4"/>
      <c r="AQ10" s="5"/>
    </row>
    <row r="11" spans="1:45" ht="19.5" customHeight="1">
      <c r="A11" s="35">
        <f t="shared" si="3"/>
        <v>0</v>
      </c>
      <c r="B11" s="36"/>
      <c r="C11" s="37"/>
      <c r="D11" s="55"/>
      <c r="E11" s="37"/>
      <c r="F11" s="39"/>
      <c r="G11" s="40"/>
      <c r="I11" s="37"/>
      <c r="J11" s="56"/>
      <c r="K11" s="56"/>
      <c r="L11" s="56"/>
      <c r="M11" s="56"/>
      <c r="N11" s="44" t="str">
        <f t="shared" si="0"/>
        <v/>
      </c>
      <c r="P11" s="46"/>
      <c r="R11" s="47"/>
      <c r="T11" s="57"/>
      <c r="U11" s="57"/>
      <c r="V11" s="58"/>
      <c r="Y11" s="57"/>
      <c r="Z11" s="57"/>
      <c r="AE11" s="3" t="str">
        <f t="shared" si="1"/>
        <v>-</v>
      </c>
      <c r="AF11" s="51"/>
      <c r="AG11" s="52" t="str">
        <f t="shared" ca="1" si="2"/>
        <v/>
      </c>
      <c r="AI11" s="54"/>
      <c r="AK11" s="3">
        <v>1</v>
      </c>
      <c r="AP11" s="4"/>
      <c r="AQ11" s="5"/>
    </row>
    <row r="12" spans="1:45" ht="19.5" customHeight="1">
      <c r="A12" s="35">
        <f t="shared" si="3"/>
        <v>0</v>
      </c>
      <c r="B12" s="36"/>
      <c r="C12" s="37"/>
      <c r="D12" s="55"/>
      <c r="E12" s="37"/>
      <c r="F12" s="39"/>
      <c r="G12" s="40"/>
      <c r="I12" s="37"/>
      <c r="J12" s="56"/>
      <c r="K12" s="56"/>
      <c r="L12" s="56"/>
      <c r="M12" s="56"/>
      <c r="N12" s="44" t="str">
        <f t="shared" si="0"/>
        <v/>
      </c>
      <c r="O12" s="59"/>
      <c r="P12" s="46"/>
      <c r="R12" s="47"/>
      <c r="T12" s="57"/>
      <c r="U12" s="57"/>
      <c r="V12" s="58"/>
      <c r="Y12" s="57"/>
      <c r="Z12" s="57"/>
      <c r="AE12" s="3" t="str">
        <f t="shared" si="1"/>
        <v>-</v>
      </c>
      <c r="AF12" s="51"/>
      <c r="AG12" s="52" t="str">
        <f t="shared" ca="1" si="2"/>
        <v/>
      </c>
      <c r="AI12" s="54"/>
      <c r="AK12" s="3">
        <v>1</v>
      </c>
      <c r="AP12" s="4"/>
      <c r="AQ12" s="5"/>
    </row>
    <row r="13" spans="1:45" ht="19.5" customHeight="1">
      <c r="A13" s="35">
        <f t="shared" si="3"/>
        <v>0</v>
      </c>
      <c r="B13" s="36"/>
      <c r="C13" s="37"/>
      <c r="D13" s="38"/>
      <c r="E13" s="37"/>
      <c r="F13" s="39"/>
      <c r="G13" s="40"/>
      <c r="I13" s="37"/>
      <c r="J13" s="43"/>
      <c r="K13" s="43"/>
      <c r="L13" s="43"/>
      <c r="M13" s="43"/>
      <c r="N13" s="44" t="str">
        <f t="shared" si="0"/>
        <v/>
      </c>
      <c r="P13" s="60"/>
      <c r="R13" s="47"/>
      <c r="T13" s="49"/>
      <c r="U13" s="49"/>
      <c r="V13" s="58"/>
      <c r="Y13" s="49"/>
      <c r="Z13" s="49"/>
      <c r="AE13" s="3" t="str">
        <f t="shared" si="1"/>
        <v>-</v>
      </c>
      <c r="AF13" s="51"/>
      <c r="AG13" s="52" t="str">
        <f t="shared" ca="1" si="2"/>
        <v/>
      </c>
      <c r="AI13" s="54"/>
      <c r="AK13" s="3">
        <v>1</v>
      </c>
      <c r="AP13" s="4"/>
      <c r="AQ13" s="5"/>
    </row>
    <row r="14" spans="1:45" ht="19.5" customHeight="1">
      <c r="A14" s="35">
        <f t="shared" si="3"/>
        <v>0</v>
      </c>
      <c r="B14" s="36"/>
      <c r="C14" s="37"/>
      <c r="D14" s="38"/>
      <c r="E14" s="37"/>
      <c r="F14" s="39"/>
      <c r="G14" s="40"/>
      <c r="I14" s="37"/>
      <c r="J14" s="43"/>
      <c r="K14" s="43"/>
      <c r="L14" s="43"/>
      <c r="M14" s="43"/>
      <c r="N14" s="44" t="str">
        <f t="shared" si="0"/>
        <v/>
      </c>
      <c r="P14" s="46"/>
      <c r="R14" s="47"/>
      <c r="T14" s="49"/>
      <c r="U14" s="49"/>
      <c r="V14" s="58"/>
      <c r="Y14" s="49"/>
      <c r="Z14" s="49"/>
      <c r="AE14" s="3" t="str">
        <f t="shared" si="1"/>
        <v>-</v>
      </c>
      <c r="AF14" s="51"/>
      <c r="AG14" s="52" t="str">
        <f t="shared" ca="1" si="2"/>
        <v/>
      </c>
      <c r="AI14" s="54"/>
      <c r="AK14" s="3">
        <v>1</v>
      </c>
      <c r="AP14" s="4"/>
      <c r="AQ14" s="5"/>
    </row>
    <row r="15" spans="1:45" ht="19.5" customHeight="1">
      <c r="A15" s="35">
        <f t="shared" si="3"/>
        <v>0</v>
      </c>
      <c r="B15" s="36"/>
      <c r="C15" s="37"/>
      <c r="D15" s="38"/>
      <c r="E15" s="37"/>
      <c r="F15" s="39"/>
      <c r="G15" s="40"/>
      <c r="I15" s="37"/>
      <c r="J15" s="43"/>
      <c r="K15" s="43"/>
      <c r="L15" s="43"/>
      <c r="M15" s="43"/>
      <c r="N15" s="44" t="str">
        <f t="shared" si="0"/>
        <v/>
      </c>
      <c r="P15" s="46"/>
      <c r="R15" s="47"/>
      <c r="T15" s="49"/>
      <c r="U15" s="49"/>
      <c r="V15" s="61"/>
      <c r="Y15" s="49"/>
      <c r="Z15" s="49"/>
      <c r="AA15" s="61"/>
      <c r="AB15" s="62"/>
      <c r="AE15" s="3" t="str">
        <f t="shared" si="1"/>
        <v>-</v>
      </c>
      <c r="AF15" s="51"/>
      <c r="AG15" s="52" t="str">
        <f t="shared" ca="1" si="2"/>
        <v/>
      </c>
      <c r="AI15" s="54"/>
      <c r="AK15" s="3">
        <v>1</v>
      </c>
      <c r="AP15" s="4"/>
      <c r="AQ15" s="5"/>
    </row>
    <row r="16" spans="1:45" ht="19.5" customHeight="1">
      <c r="B16" s="36"/>
      <c r="C16" s="37"/>
      <c r="D16" s="38"/>
      <c r="E16" s="37"/>
      <c r="F16" s="39"/>
      <c r="G16" s="40"/>
      <c r="I16" s="37"/>
      <c r="J16" s="43"/>
      <c r="K16" s="43"/>
      <c r="L16" s="43"/>
      <c r="M16" s="43"/>
      <c r="P16" s="46"/>
      <c r="R16" s="47"/>
      <c r="T16" s="49"/>
      <c r="U16" s="49"/>
      <c r="V16" s="61"/>
      <c r="Y16" s="49"/>
      <c r="Z16" s="49"/>
      <c r="AB16" s="3"/>
      <c r="AF16" s="51"/>
      <c r="AG16" s="52"/>
      <c r="AI16" s="54"/>
      <c r="AP16" s="4"/>
      <c r="AQ16" s="5"/>
    </row>
    <row r="17" spans="1:45" ht="19.5" customHeight="1">
      <c r="B17" s="36"/>
      <c r="C17" s="37"/>
      <c r="D17" s="38"/>
      <c r="E17" s="37"/>
      <c r="F17" s="39"/>
      <c r="G17" s="40"/>
      <c r="I17" s="37"/>
      <c r="J17" s="43"/>
      <c r="K17" s="43"/>
      <c r="L17" s="43"/>
      <c r="M17" s="43"/>
      <c r="P17" s="46"/>
      <c r="R17" s="47"/>
      <c r="T17" s="49"/>
      <c r="U17" s="49"/>
      <c r="V17" s="61"/>
      <c r="Y17" s="49"/>
      <c r="Z17" s="49"/>
      <c r="AB17" s="3"/>
      <c r="AF17" s="51"/>
      <c r="AG17" s="52"/>
      <c r="AI17" s="54"/>
      <c r="AP17" s="4"/>
      <c r="AQ17" s="5"/>
    </row>
    <row r="18" spans="1:45" ht="19.5" customHeight="1">
      <c r="B18" s="36"/>
      <c r="C18" s="37"/>
      <c r="D18" s="38"/>
      <c r="E18" s="37"/>
      <c r="F18" s="39"/>
      <c r="G18" s="40"/>
      <c r="I18" s="37"/>
      <c r="J18" s="43"/>
      <c r="K18" s="43"/>
      <c r="L18" s="43"/>
      <c r="M18" s="43"/>
      <c r="P18" s="46"/>
      <c r="R18" s="47"/>
      <c r="T18" s="49"/>
      <c r="U18" s="49"/>
      <c r="V18" s="61"/>
      <c r="Y18" s="49"/>
      <c r="Z18" s="49"/>
      <c r="AB18" s="3"/>
      <c r="AF18" s="51"/>
      <c r="AG18" s="52"/>
      <c r="AI18" s="54"/>
      <c r="AP18" s="4"/>
      <c r="AQ18" s="5"/>
    </row>
    <row r="19" spans="1:45" ht="19.5" customHeight="1">
      <c r="A19" s="35">
        <f>A15</f>
        <v>0</v>
      </c>
      <c r="B19" s="349" t="s">
        <v>49</v>
      </c>
      <c r="C19" s="349"/>
      <c r="D19" s="349"/>
      <c r="E19" s="37"/>
      <c r="F19" s="39"/>
      <c r="G19" s="40"/>
      <c r="I19" s="37"/>
      <c r="J19" s="43"/>
      <c r="K19" s="43"/>
      <c r="L19" s="43"/>
      <c r="M19" s="43"/>
      <c r="N19" s="44" t="str">
        <f>IF(C19="","",C19)</f>
        <v/>
      </c>
      <c r="P19" s="46"/>
      <c r="R19" s="47"/>
      <c r="S19" s="64"/>
      <c r="T19" s="49"/>
      <c r="U19" s="49"/>
      <c r="X19" s="65"/>
      <c r="Y19" s="49"/>
      <c r="Z19" s="49"/>
      <c r="AE19" s="3" t="str">
        <f>IF(OR(V19="電話不通 x2",V19="DS判断"),"DS確認→U列入力",IF(V19="希望","U列入力",IF(V19="拒否","DS確認",IF(V19="外国語","DS確認",IF(V19="電話不通 x1","ORM再架電","-")))))</f>
        <v>-</v>
      </c>
      <c r="AF19" s="51"/>
      <c r="AG19" s="52" t="str">
        <f ca="1">IF(AF19="","",IF($AF19+TIME(0,30,0)&lt;(TEXT(NOW(),"h:mm:ss")*1),$AF19+TIME(0,45,0),$AF19+TIME(0,30,0)))</f>
        <v/>
      </c>
      <c r="AI19" s="54"/>
      <c r="AK19" s="3">
        <v>1</v>
      </c>
      <c r="AP19" s="4"/>
      <c r="AQ19" s="5"/>
    </row>
    <row r="20" spans="1:45" ht="19.5" customHeight="1">
      <c r="A20" s="35">
        <f t="shared" si="3"/>
        <v>0</v>
      </c>
      <c r="B20" s="349"/>
      <c r="C20" s="349"/>
      <c r="D20" s="349"/>
      <c r="E20" s="37"/>
      <c r="F20" s="39"/>
      <c r="G20" s="40"/>
      <c r="I20" s="37"/>
      <c r="J20" s="43"/>
      <c r="K20" s="43"/>
      <c r="L20" s="43"/>
      <c r="M20" s="43"/>
      <c r="N20" s="44" t="str">
        <f>IF(C20="","",C20)</f>
        <v/>
      </c>
      <c r="P20" s="46"/>
      <c r="R20" s="47"/>
      <c r="T20" s="49"/>
      <c r="U20" s="49"/>
      <c r="Y20" s="49"/>
      <c r="Z20" s="49"/>
      <c r="AE20" s="3" t="str">
        <f>IF(OR(V20="電話不通 x2",V20="DS判断"),"DS確認→U列入力",IF(V20="希望","U列入力",IF(V20="拒否","DS確認",IF(V20="外国語","DS確認",IF(V20="電話不通 x1","ORM再架電","-")))))</f>
        <v>-</v>
      </c>
      <c r="AF20" s="51"/>
      <c r="AG20" s="52" t="str">
        <f ca="1">IF(AF20="","",IF($AF20+TIME(0,30,0)&lt;(TEXT(NOW(),"h:mm:ss")*1),$AF20+TIME(0,45,0),$AF20+TIME(0,30,0)))</f>
        <v/>
      </c>
      <c r="AI20" s="54"/>
      <c r="AK20" s="3">
        <v>1</v>
      </c>
      <c r="AP20" s="4"/>
      <c r="AQ20" s="5"/>
    </row>
    <row r="21" spans="1:45" ht="19.5" customHeight="1">
      <c r="A21" s="35">
        <f t="shared" si="3"/>
        <v>0</v>
      </c>
      <c r="B21" s="349"/>
      <c r="C21" s="349"/>
      <c r="D21" s="349"/>
      <c r="E21" s="37"/>
      <c r="F21" s="39"/>
      <c r="G21" s="40"/>
      <c r="I21" s="37"/>
      <c r="J21" s="43"/>
      <c r="K21" s="43"/>
      <c r="L21" s="43"/>
      <c r="M21" s="43"/>
      <c r="N21" s="44" t="str">
        <f>IF(C21="","",C21)</f>
        <v/>
      </c>
      <c r="P21" s="46"/>
      <c r="R21" s="47"/>
      <c r="T21" s="49"/>
      <c r="U21" s="49"/>
      <c r="Y21" s="49"/>
      <c r="Z21" s="49"/>
      <c r="AE21" s="3" t="str">
        <f>IF(OR(V21="電話不通 x2",V21="DS判断"),"DS確認→U列入力",IF(V21="希望","U列入力",IF(V21="拒否","DS確認",IF(V21="外国語","DS確認",IF(V21="電話不通 x1","ORM再架電","-")))))</f>
        <v>-</v>
      </c>
      <c r="AF21" s="51"/>
      <c r="AG21" s="52" t="str">
        <f ca="1">IF(AF21="","",IF($AF21+TIME(0,30,0)&lt;(TEXT(NOW(),"h:mm:ss")*1),$AF21+TIME(0,45,0),$AF21+TIME(0,30,0)))</f>
        <v/>
      </c>
      <c r="AI21" s="54"/>
      <c r="AK21" s="3">
        <v>1</v>
      </c>
      <c r="AP21" s="4"/>
      <c r="AQ21" s="5"/>
    </row>
    <row r="22" spans="1:45" ht="19.5" customHeight="1">
      <c r="A22" s="35">
        <f t="shared" si="3"/>
        <v>0</v>
      </c>
      <c r="B22" s="66" t="s">
        <v>50</v>
      </c>
      <c r="C22" s="37"/>
      <c r="D22" s="38" t="s">
        <v>51</v>
      </c>
      <c r="E22" s="37"/>
      <c r="F22" s="39"/>
      <c r="G22" s="40"/>
      <c r="I22" s="37" t="s">
        <v>50</v>
      </c>
      <c r="J22" s="43"/>
      <c r="K22" s="43"/>
      <c r="L22" s="43" t="s">
        <v>52</v>
      </c>
      <c r="M22" s="43"/>
      <c r="N22" s="44" t="str">
        <f>IF(C22="","",C22)</f>
        <v/>
      </c>
      <c r="O22" s="45" t="s">
        <v>53</v>
      </c>
      <c r="P22" s="67"/>
      <c r="Q22" s="67"/>
      <c r="R22" s="68"/>
      <c r="S22" s="69"/>
      <c r="T22" s="70"/>
      <c r="U22" s="70"/>
      <c r="V22" s="71"/>
      <c r="W22" s="71"/>
      <c r="X22" s="72"/>
      <c r="Y22" s="70"/>
      <c r="Z22" s="70"/>
      <c r="AA22" s="71"/>
      <c r="AB22" s="73"/>
      <c r="AC22" s="84"/>
      <c r="AD22" s="72"/>
      <c r="AE22" s="71" t="str">
        <f>IF(OR(V22="電話不通 x2",V22="DS判断"),"DS確認→U列入力",IF(V22="希望","U列入力",IF(V22="拒否","DS確認",IF(V22="外国語","DS確認",IF(V22="電話不通 x1","ORM再架電","-")))))</f>
        <v>-</v>
      </c>
      <c r="AF22" s="74"/>
      <c r="AG22" s="75" t="str">
        <f ca="1">IF(AF22="","",IF($AF22+TIME(0,30,0)&lt;(TEXT(NOW(),"h:mm:ss")*1),$AF22+TIME(0,45,0),$AF22+TIME(0,30,0)))</f>
        <v/>
      </c>
      <c r="AH22" s="73"/>
      <c r="AI22" s="76"/>
      <c r="AK22" s="3">
        <v>1</v>
      </c>
      <c r="AP22" s="4"/>
    </row>
    <row r="23" spans="1:45" ht="19.5" customHeight="1">
      <c r="A23" s="35">
        <f t="shared" si="3"/>
        <v>0</v>
      </c>
      <c r="B23" s="36"/>
      <c r="C23" s="37"/>
      <c r="D23" s="38"/>
      <c r="E23" s="37"/>
      <c r="F23" s="39"/>
      <c r="G23" s="40"/>
      <c r="I23" s="37"/>
      <c r="J23" s="43"/>
      <c r="K23" s="43"/>
      <c r="L23" s="43"/>
      <c r="M23" s="43"/>
      <c r="P23" s="46"/>
      <c r="R23" s="47"/>
      <c r="T23" s="49"/>
      <c r="U23" s="49"/>
      <c r="Y23" s="49"/>
      <c r="Z23" s="49"/>
      <c r="AF23" s="51"/>
      <c r="AG23" s="52"/>
      <c r="AI23" s="54"/>
      <c r="AP23" s="4"/>
    </row>
    <row r="24" spans="1:45" ht="19.5" customHeight="1">
      <c r="A24" s="35">
        <f t="shared" si="3"/>
        <v>0</v>
      </c>
      <c r="B24" s="66" t="s">
        <v>52</v>
      </c>
      <c r="C24" s="37"/>
      <c r="D24" s="38" t="s">
        <v>54</v>
      </c>
      <c r="E24" s="37"/>
      <c r="F24" s="39"/>
      <c r="G24" s="40"/>
      <c r="I24" s="37" t="s">
        <v>50</v>
      </c>
      <c r="J24" s="43"/>
      <c r="K24" s="43"/>
      <c r="L24" s="43" t="s">
        <v>52</v>
      </c>
      <c r="M24" s="43"/>
      <c r="O24" s="45" t="s">
        <v>55</v>
      </c>
      <c r="P24" s="67"/>
      <c r="Q24" s="67"/>
      <c r="R24" s="68"/>
      <c r="S24" s="69"/>
      <c r="T24" s="70"/>
      <c r="U24" s="70"/>
      <c r="V24" s="71"/>
      <c r="W24" s="71"/>
      <c r="X24" s="72"/>
      <c r="Y24" s="70"/>
      <c r="Z24" s="70"/>
      <c r="AA24" s="71"/>
      <c r="AB24" s="73"/>
      <c r="AC24" s="84"/>
      <c r="AD24" s="72"/>
      <c r="AE24" s="71"/>
      <c r="AF24" s="74"/>
      <c r="AG24" s="75"/>
      <c r="AH24" s="73"/>
      <c r="AI24" s="76"/>
      <c r="AP24" s="4"/>
    </row>
    <row r="25" spans="1:45" ht="19.5" customHeight="1">
      <c r="A25" s="35">
        <f t="shared" si="3"/>
        <v>0</v>
      </c>
      <c r="B25" s="36"/>
      <c r="C25" s="37"/>
      <c r="D25" s="38"/>
      <c r="E25" s="37"/>
      <c r="F25" s="39"/>
      <c r="G25" s="40"/>
      <c r="I25" s="37"/>
      <c r="J25" s="43"/>
      <c r="K25" s="43"/>
      <c r="L25" s="43"/>
      <c r="M25" s="43"/>
      <c r="N25" s="44" t="str">
        <f>IF(C25="","",C25)</f>
        <v/>
      </c>
      <c r="P25" s="46"/>
      <c r="R25" s="47"/>
      <c r="T25" s="49"/>
      <c r="U25" s="49"/>
      <c r="Y25" s="49"/>
      <c r="Z25" s="49"/>
      <c r="AE25" s="3" t="str">
        <f>IF(OR(V25="電話不通 x2",V25="DS判断"),"DS確認→U列入力",IF(V25="希望","U列入力",IF(V25="拒否","DS確認",IF(V25="外国語","DS確認",IF(V25="電話不通 x1","ORM再架電","-")))))</f>
        <v>-</v>
      </c>
      <c r="AF25" s="51"/>
      <c r="AG25" s="52" t="str">
        <f ca="1">IF(AF25="","",IF($AF25+TIME(0,30,0)&lt;(TEXT(NOW(),"h:mm:ss")*1),$AF25+TIME(0,45,0),$AF25+TIME(0,30,0)))</f>
        <v/>
      </c>
      <c r="AI25" s="54"/>
      <c r="AK25" s="3">
        <v>1</v>
      </c>
      <c r="AP25" s="4"/>
    </row>
    <row r="26" spans="1:45" ht="19.5" customHeight="1">
      <c r="A26" s="35">
        <f t="shared" si="3"/>
        <v>0</v>
      </c>
      <c r="B26" s="66" t="s">
        <v>56</v>
      </c>
      <c r="C26" s="37"/>
      <c r="D26" s="38" t="s">
        <v>57</v>
      </c>
      <c r="E26" s="37"/>
      <c r="F26" s="39"/>
      <c r="G26" s="40"/>
      <c r="I26" s="37" t="s">
        <v>50</v>
      </c>
      <c r="J26" s="43"/>
      <c r="K26" s="43"/>
      <c r="L26" s="43" t="s">
        <v>52</v>
      </c>
      <c r="M26" s="43"/>
      <c r="O26" s="45" t="s">
        <v>58</v>
      </c>
      <c r="P26" s="67"/>
      <c r="Q26" s="67"/>
      <c r="R26" s="68"/>
      <c r="S26" s="69"/>
      <c r="T26" s="70"/>
      <c r="U26" s="70"/>
      <c r="V26" s="71"/>
      <c r="W26" s="71"/>
      <c r="X26" s="72"/>
      <c r="Y26" s="70"/>
      <c r="Z26" s="70"/>
      <c r="AA26" s="71"/>
      <c r="AB26" s="73"/>
      <c r="AC26" s="84"/>
      <c r="AD26" s="72"/>
      <c r="AE26" s="71"/>
      <c r="AF26" s="74"/>
      <c r="AG26" s="119"/>
      <c r="AH26" s="101"/>
      <c r="AI26" s="54"/>
      <c r="AK26" s="3">
        <v>1</v>
      </c>
      <c r="AP26" s="4"/>
    </row>
    <row r="27" spans="1:45" ht="19.5" customHeight="1">
      <c r="A27" s="35">
        <f t="shared" si="3"/>
        <v>0</v>
      </c>
      <c r="B27" s="36"/>
      <c r="C27" s="37"/>
      <c r="D27" s="38"/>
      <c r="E27" s="37"/>
      <c r="F27" s="39"/>
      <c r="G27" s="40"/>
      <c r="I27" s="37"/>
      <c r="J27" s="43"/>
      <c r="K27" s="43"/>
      <c r="L27" s="43"/>
      <c r="M27" s="43"/>
      <c r="P27" s="46"/>
      <c r="R27" s="47"/>
      <c r="T27" s="49"/>
      <c r="U27" s="49"/>
      <c r="Y27" s="49"/>
      <c r="Z27" s="49"/>
      <c r="AF27" s="51"/>
      <c r="AG27" s="52"/>
      <c r="AI27" s="54"/>
      <c r="AP27" s="4"/>
    </row>
    <row r="28" spans="1:45" s="53" customFormat="1" ht="19.5" customHeight="1">
      <c r="A28" s="35">
        <f>A26</f>
        <v>0</v>
      </c>
      <c r="B28" s="77" t="s">
        <v>59</v>
      </c>
      <c r="C28" s="3"/>
      <c r="D28" s="46" t="s">
        <v>60</v>
      </c>
      <c r="E28" s="3"/>
      <c r="F28" s="3"/>
      <c r="G28" s="3"/>
      <c r="H28" s="41"/>
      <c r="I28" s="37" t="s">
        <v>50</v>
      </c>
      <c r="J28" s="43"/>
      <c r="K28" s="43"/>
      <c r="L28" s="43" t="s">
        <v>52</v>
      </c>
      <c r="M28" s="78"/>
      <c r="N28" s="44" t="str">
        <f>IF(C28="","",C28)</f>
        <v/>
      </c>
      <c r="O28" s="152" t="s">
        <v>61</v>
      </c>
      <c r="P28" s="67"/>
      <c r="Q28" s="67"/>
      <c r="R28" s="68"/>
      <c r="S28" s="69"/>
      <c r="T28" s="79"/>
      <c r="U28" s="49"/>
      <c r="V28" s="3"/>
      <c r="W28" s="3"/>
      <c r="X28" s="50"/>
      <c r="Y28" s="80"/>
      <c r="Z28" s="80"/>
      <c r="AA28" s="3"/>
      <c r="AC28" s="50"/>
      <c r="AD28" s="50"/>
      <c r="AE28" s="3" t="str">
        <f>IF(OR(V28="電話不通 x2",V28="DS判断"),"DS確認→U列入力",IF(V28="希望","U列入力",IF(V28="拒否","DS確認",IF(V28="外国語","DS確認",IF(V28="電話不通 x1","ORM再架電","-")))))</f>
        <v>-</v>
      </c>
      <c r="AF28" s="51"/>
      <c r="AG28" s="52" t="str">
        <f ca="1">IF(AF28="","",IF($AF28+TIME(0,30,0)&lt;(TEXT(NOW(),"h:mm:ss")*1),$AF28+TIME(0,45,0),$AF28+TIME(0,30,0)))</f>
        <v/>
      </c>
      <c r="AI28" s="54"/>
      <c r="AJ28" s="3"/>
      <c r="AK28" s="3">
        <v>1</v>
      </c>
      <c r="AL28" s="3"/>
      <c r="AM28" s="4"/>
      <c r="AN28" s="4"/>
      <c r="AO28" s="3"/>
      <c r="AP28" s="4"/>
      <c r="AQ28" s="3"/>
      <c r="AR28" s="3"/>
      <c r="AS28" s="3"/>
    </row>
    <row r="29" spans="1:45" s="53" customFormat="1" ht="19.5" customHeight="1">
      <c r="A29" s="35">
        <f t="shared" si="3"/>
        <v>0</v>
      </c>
      <c r="B29" s="81"/>
      <c r="C29" s="3"/>
      <c r="D29" s="46"/>
      <c r="E29" s="3"/>
      <c r="F29" s="3"/>
      <c r="G29" s="3"/>
      <c r="H29" s="41"/>
      <c r="I29" s="37" t="s">
        <v>50</v>
      </c>
      <c r="J29" s="43"/>
      <c r="K29" s="43"/>
      <c r="L29" s="43" t="s">
        <v>52</v>
      </c>
      <c r="M29" s="78"/>
      <c r="N29" s="44" t="str">
        <f>IF(C29="","",C29)</f>
        <v/>
      </c>
      <c r="O29" s="152" t="s">
        <v>61</v>
      </c>
      <c r="P29" s="67"/>
      <c r="Q29" s="67"/>
      <c r="R29" s="68"/>
      <c r="S29" s="69"/>
      <c r="T29" s="82">
        <v>0.6875</v>
      </c>
      <c r="U29" s="79">
        <v>0.69444444444444453</v>
      </c>
      <c r="V29" s="83"/>
      <c r="W29" s="3"/>
      <c r="X29" s="50"/>
      <c r="Y29" s="80"/>
      <c r="Z29" s="80"/>
      <c r="AA29" s="3"/>
      <c r="AC29" s="50"/>
      <c r="AD29" s="50"/>
      <c r="AE29" s="3" t="str">
        <f>IF(OR(V29="電話不通 x2",V29="DS判断"),"DS確認→U列入力",IF(V29="希望","U列入力",IF(V29="拒否","DS確認",IF(V29="外国語","DS確認",IF(V29="電話不通 x1","ORM再架電","-")))))</f>
        <v>-</v>
      </c>
      <c r="AF29" s="51"/>
      <c r="AG29" s="52" t="str">
        <f ca="1">IF(AF29="","",IF($AF29+TIME(0,30,0)&lt;(TEXT(NOW(),"h:mm:ss")*1),$AF29+TIME(0,45,0),$AF29+TIME(0,30,0)))</f>
        <v/>
      </c>
      <c r="AI29" s="54"/>
      <c r="AJ29" s="3"/>
      <c r="AK29" s="3">
        <v>1</v>
      </c>
      <c r="AL29" s="3"/>
      <c r="AM29" s="4"/>
      <c r="AN29" s="4"/>
      <c r="AO29" s="3"/>
      <c r="AP29" s="4"/>
      <c r="AQ29" s="3"/>
      <c r="AR29" s="3"/>
      <c r="AS29" s="3"/>
    </row>
    <row r="30" spans="1:45" s="53" customFormat="1" ht="19.5" customHeight="1">
      <c r="A30" s="35">
        <f t="shared" si="3"/>
        <v>0</v>
      </c>
      <c r="B30" s="81"/>
      <c r="C30" s="3"/>
      <c r="D30" s="46"/>
      <c r="E30" s="3"/>
      <c r="F30" s="3"/>
      <c r="G30" s="3"/>
      <c r="H30" s="41"/>
      <c r="I30" s="37" t="s">
        <v>50</v>
      </c>
      <c r="J30" s="43"/>
      <c r="K30" s="43"/>
      <c r="L30" s="43" t="s">
        <v>52</v>
      </c>
      <c r="M30" s="78"/>
      <c r="N30" s="44" t="str">
        <f>IF(C30="","",C30)</f>
        <v/>
      </c>
      <c r="O30" s="152" t="s">
        <v>61</v>
      </c>
      <c r="P30" s="67"/>
      <c r="Q30" s="67"/>
      <c r="R30" s="68"/>
      <c r="S30" s="69"/>
      <c r="T30" s="70">
        <v>0.6875</v>
      </c>
      <c r="U30" s="70">
        <v>0.69444444444444453</v>
      </c>
      <c r="V30" s="71" t="s">
        <v>62</v>
      </c>
      <c r="W30" s="71"/>
      <c r="X30" s="84"/>
      <c r="Y30" s="85"/>
      <c r="Z30" s="85"/>
      <c r="AA30" s="71"/>
      <c r="AB30" s="73"/>
      <c r="AC30" s="84"/>
      <c r="AD30" s="72"/>
      <c r="AE30" s="71" t="str">
        <f>IF(OR(V30="電話不通 x2",V30="DS判断"),"DS確認→U列入力",IF(V30="希望","U列入力",IF(V30="拒否","DS確認",IF(V30="外国語","DS確認",IF(V30="電話不通 x1","ORM再架電","-")))))</f>
        <v>-</v>
      </c>
      <c r="AF30" s="74"/>
      <c r="AG30" s="75" t="str">
        <f ca="1">IF(AF30="","",IF($AF30+TIME(0,30,0)&lt;(TEXT(NOW(),"h:mm:ss")*1),$AF30+TIME(0,45,0),$AF30+TIME(0,30,0)))</f>
        <v/>
      </c>
      <c r="AH30" s="73"/>
      <c r="AI30" s="76"/>
      <c r="AJ30" s="3"/>
      <c r="AK30" s="3">
        <v>1</v>
      </c>
      <c r="AL30" s="3"/>
      <c r="AM30" s="4"/>
      <c r="AN30" s="4"/>
      <c r="AO30" s="3"/>
      <c r="AP30" s="4"/>
      <c r="AQ30" s="3"/>
      <c r="AR30" s="3"/>
      <c r="AS30" s="3"/>
    </row>
    <row r="31" spans="1:45" s="53" customFormat="1" ht="19.5" customHeight="1">
      <c r="A31" s="35">
        <f t="shared" si="3"/>
        <v>0</v>
      </c>
      <c r="B31" s="81"/>
      <c r="C31" s="3"/>
      <c r="D31" s="46"/>
      <c r="E31" s="3"/>
      <c r="F31" s="3"/>
      <c r="G31" s="3"/>
      <c r="H31" s="41"/>
      <c r="I31" s="3"/>
      <c r="J31" s="78"/>
      <c r="K31" s="78"/>
      <c r="L31" s="78"/>
      <c r="M31" s="78"/>
      <c r="N31" s="44"/>
      <c r="O31" s="45"/>
      <c r="P31" s="46"/>
      <c r="Q31" s="46"/>
      <c r="R31" s="47"/>
      <c r="S31" s="48"/>
      <c r="T31" s="80"/>
      <c r="U31" s="80"/>
      <c r="V31" s="3"/>
      <c r="W31" s="3"/>
      <c r="X31" s="50"/>
      <c r="Y31" s="80"/>
      <c r="Z31" s="80"/>
      <c r="AA31" s="3"/>
      <c r="AC31" s="50"/>
      <c r="AD31" s="50"/>
      <c r="AE31" s="3"/>
      <c r="AF31" s="51"/>
      <c r="AG31" s="52"/>
      <c r="AI31" s="54"/>
      <c r="AJ31" s="3"/>
      <c r="AK31" s="3"/>
      <c r="AL31" s="3"/>
      <c r="AM31" s="4"/>
      <c r="AN31" s="4"/>
      <c r="AO31" s="3"/>
      <c r="AP31" s="4"/>
      <c r="AQ31" s="3"/>
      <c r="AR31" s="3"/>
      <c r="AS31" s="3"/>
    </row>
    <row r="32" spans="1:45" s="53" customFormat="1" ht="19.5" customHeight="1">
      <c r="A32" s="35">
        <f t="shared" si="3"/>
        <v>0</v>
      </c>
      <c r="B32" s="81"/>
      <c r="C32" s="3"/>
      <c r="D32" s="46"/>
      <c r="E32" s="3"/>
      <c r="F32" s="3"/>
      <c r="G32" s="3"/>
      <c r="H32" s="41"/>
      <c r="I32" s="3"/>
      <c r="J32" s="78"/>
      <c r="K32" s="78"/>
      <c r="L32" s="78"/>
      <c r="M32" s="78"/>
      <c r="N32" s="44"/>
      <c r="O32" s="45"/>
      <c r="P32" s="46"/>
      <c r="Q32" s="46"/>
      <c r="R32" s="47"/>
      <c r="S32" s="48"/>
      <c r="T32" s="80"/>
      <c r="U32" s="80"/>
      <c r="V32" s="3"/>
      <c r="W32" s="3"/>
      <c r="X32" s="50"/>
      <c r="Y32" s="80"/>
      <c r="Z32" s="80"/>
      <c r="AA32" s="3"/>
      <c r="AC32" s="50"/>
      <c r="AD32" s="50"/>
      <c r="AE32" s="3"/>
      <c r="AF32" s="51"/>
      <c r="AG32" s="52"/>
      <c r="AI32" s="54"/>
      <c r="AJ32" s="3"/>
      <c r="AK32" s="3"/>
      <c r="AL32" s="3"/>
      <c r="AM32" s="4"/>
      <c r="AN32" s="4"/>
      <c r="AO32" s="3"/>
      <c r="AP32" s="4"/>
      <c r="AQ32" s="3"/>
      <c r="AR32" s="3"/>
      <c r="AS32" s="3"/>
    </row>
    <row r="33" spans="1:45" s="53" customFormat="1" ht="19.5" customHeight="1">
      <c r="A33" s="35">
        <f t="shared" si="3"/>
        <v>0</v>
      </c>
      <c r="B33" s="77" t="s">
        <v>63</v>
      </c>
      <c r="C33" s="3"/>
      <c r="D33" s="46" t="s">
        <v>64</v>
      </c>
      <c r="E33" s="3"/>
      <c r="F33" s="3"/>
      <c r="G33" s="3"/>
      <c r="H33" s="41"/>
      <c r="I33" s="37" t="s">
        <v>50</v>
      </c>
      <c r="J33" s="43"/>
      <c r="K33" s="43"/>
      <c r="L33" s="43" t="s">
        <v>52</v>
      </c>
      <c r="M33" s="78"/>
      <c r="N33" s="44" t="str">
        <f>IF(C33="","",C33)</f>
        <v/>
      </c>
      <c r="O33" s="45" t="s">
        <v>61</v>
      </c>
      <c r="P33" s="67"/>
      <c r="Q33" s="67"/>
      <c r="R33" s="68"/>
      <c r="S33" s="69"/>
      <c r="T33" s="79"/>
      <c r="U33" s="49"/>
      <c r="V33" s="3"/>
      <c r="W33" s="3"/>
      <c r="X33" s="50"/>
      <c r="Y33" s="80"/>
      <c r="Z33" s="80"/>
      <c r="AA33" s="3"/>
      <c r="AC33" s="50"/>
      <c r="AD33" s="50"/>
      <c r="AE33" s="3" t="str">
        <f>IF(OR(V33="電話不通 x2",V33="DS判断"),"DS確認→U列入力",IF(V33="希望","U列入力",IF(V33="拒否","DS確認",IF(V33="外国語","DS確認",IF(V33="電話不通 x1","ORM再架電","-")))))</f>
        <v>-</v>
      </c>
      <c r="AF33" s="51"/>
      <c r="AG33" s="52" t="str">
        <f ca="1">IF(AF33="","",IF($AF33+TIME(0,30,0)&lt;(TEXT(NOW(),"h:mm:ss")*1),$AF33+TIME(0,45,0),$AF33+TIME(0,30,0)))</f>
        <v/>
      </c>
      <c r="AI33" s="54"/>
      <c r="AJ33" s="3"/>
      <c r="AK33" s="3">
        <v>1</v>
      </c>
      <c r="AL33" s="3"/>
      <c r="AM33" s="4"/>
      <c r="AN33" s="4"/>
      <c r="AO33" s="3"/>
      <c r="AP33" s="4"/>
      <c r="AQ33" s="3"/>
      <c r="AR33" s="3"/>
      <c r="AS33" s="3"/>
    </row>
    <row r="34" spans="1:45" s="53" customFormat="1" ht="19.5" customHeight="1">
      <c r="A34" s="35">
        <f t="shared" si="3"/>
        <v>0</v>
      </c>
      <c r="B34" s="81"/>
      <c r="C34" s="3"/>
      <c r="D34" s="46"/>
      <c r="E34" s="3"/>
      <c r="F34" s="3"/>
      <c r="G34" s="3"/>
      <c r="H34" s="41"/>
      <c r="I34" s="37" t="s">
        <v>50</v>
      </c>
      <c r="J34" s="43"/>
      <c r="K34" s="43"/>
      <c r="L34" s="43" t="s">
        <v>52</v>
      </c>
      <c r="M34" s="78"/>
      <c r="N34" s="44" t="str">
        <f>IF(C34="","",C34)</f>
        <v/>
      </c>
      <c r="O34" s="45" t="s">
        <v>61</v>
      </c>
      <c r="P34" s="67"/>
      <c r="Q34" s="67"/>
      <c r="R34" s="68"/>
      <c r="S34" s="69"/>
      <c r="T34" s="82">
        <v>0.6875</v>
      </c>
      <c r="U34" s="79">
        <v>0.69444444444444453</v>
      </c>
      <c r="V34" s="83"/>
      <c r="W34" s="3"/>
      <c r="X34" s="50"/>
      <c r="Y34" s="80"/>
      <c r="Z34" s="80"/>
      <c r="AA34" s="3"/>
      <c r="AC34" s="50"/>
      <c r="AD34" s="50"/>
      <c r="AE34" s="3" t="str">
        <f>IF(OR(V34="電話不通 x2",V34="DS判断"),"DS確認→U列入力",IF(V34="希望","U列入力",IF(V34="拒否","DS確認",IF(V34="外国語","DS確認",IF(V34="電話不通 x1","ORM再架電","-")))))</f>
        <v>-</v>
      </c>
      <c r="AF34" s="51"/>
      <c r="AG34" s="52" t="str">
        <f ca="1">IF(AF34="","",IF($AF34+TIME(0,30,0)&lt;(TEXT(NOW(),"h:mm:ss")*1),$AF34+TIME(0,45,0),$AF34+TIME(0,30,0)))</f>
        <v/>
      </c>
      <c r="AI34" s="54"/>
      <c r="AJ34" s="3"/>
      <c r="AK34" s="3">
        <v>1</v>
      </c>
      <c r="AL34" s="3"/>
      <c r="AM34" s="4"/>
      <c r="AN34" s="4"/>
      <c r="AO34" s="3"/>
      <c r="AP34" s="4"/>
      <c r="AQ34" s="3"/>
      <c r="AR34" s="3"/>
      <c r="AS34" s="3"/>
    </row>
    <row r="35" spans="1:45" s="53" customFormat="1" ht="19.5" customHeight="1">
      <c r="A35" s="35">
        <f t="shared" si="3"/>
        <v>0</v>
      </c>
      <c r="B35" s="81"/>
      <c r="C35" s="3"/>
      <c r="D35" s="46"/>
      <c r="E35" s="3"/>
      <c r="F35" s="3"/>
      <c r="G35" s="3"/>
      <c r="H35" s="41"/>
      <c r="I35" s="37" t="s">
        <v>50</v>
      </c>
      <c r="J35" s="43"/>
      <c r="K35" s="43"/>
      <c r="L35" s="43" t="s">
        <v>52</v>
      </c>
      <c r="M35" s="78"/>
      <c r="N35" s="44" t="str">
        <f>IF(C35="","",C35)</f>
        <v/>
      </c>
      <c r="O35" s="45" t="s">
        <v>61</v>
      </c>
      <c r="P35" s="67"/>
      <c r="Q35" s="67"/>
      <c r="R35" s="68"/>
      <c r="S35" s="69"/>
      <c r="T35" s="70">
        <v>0.6875</v>
      </c>
      <c r="U35" s="70">
        <v>0.69444444444444453</v>
      </c>
      <c r="V35" s="71" t="s">
        <v>65</v>
      </c>
      <c r="W35" s="71"/>
      <c r="X35" s="84"/>
      <c r="Y35" s="85"/>
      <c r="Z35" s="85"/>
      <c r="AA35" s="71"/>
      <c r="AB35" s="73"/>
      <c r="AC35" s="84"/>
      <c r="AD35" s="72"/>
      <c r="AE35" s="71" t="str">
        <f>IF(OR(V35="電話不通 x2",V35="DS判断"),"DS確認→U列入力",IF(V35="希望","U列入力",IF(V35="拒否","DS確認",IF(V35="外国語","DS確認",IF(V35="電話不通 x1","ORM再架電","-")))))</f>
        <v>-</v>
      </c>
      <c r="AF35" s="74"/>
      <c r="AG35" s="75" t="str">
        <f ca="1">IF(AF35="","",IF($AF35+TIME(0,30,0)&lt;(TEXT(NOW(),"h:mm:ss")*1),$AF35+TIME(0,45,0),$AF35+TIME(0,30,0)))</f>
        <v/>
      </c>
      <c r="AH35" s="73"/>
      <c r="AI35" s="76"/>
      <c r="AJ35" s="3"/>
      <c r="AK35" s="3">
        <v>1</v>
      </c>
      <c r="AL35" s="3"/>
      <c r="AM35" s="4"/>
      <c r="AN35" s="4"/>
      <c r="AO35" s="3"/>
      <c r="AP35" s="4"/>
      <c r="AQ35" s="3"/>
      <c r="AR35" s="3"/>
      <c r="AS35" s="3"/>
    </row>
    <row r="36" spans="1:45" ht="19.5" customHeight="1">
      <c r="A36" s="35">
        <f>A26</f>
        <v>0</v>
      </c>
      <c r="B36" s="36"/>
      <c r="C36" s="37"/>
      <c r="D36" s="38"/>
      <c r="E36" s="37"/>
      <c r="F36" s="39"/>
      <c r="G36" s="40"/>
      <c r="I36" s="37"/>
      <c r="J36" s="43"/>
      <c r="K36" s="43"/>
      <c r="L36" s="43"/>
      <c r="M36" s="43"/>
      <c r="P36" s="46"/>
      <c r="R36" s="47"/>
      <c r="T36" s="49"/>
      <c r="U36" s="49"/>
      <c r="Y36" s="49"/>
      <c r="Z36" s="49"/>
      <c r="AF36" s="51"/>
      <c r="AG36" s="52"/>
      <c r="AI36" s="54"/>
      <c r="AP36" s="4"/>
    </row>
    <row r="37" spans="1:45" ht="19.5" customHeight="1">
      <c r="A37" s="35">
        <f>A26</f>
        <v>0</v>
      </c>
      <c r="B37" s="36"/>
      <c r="C37" s="37"/>
      <c r="D37" s="3"/>
      <c r="E37" s="37"/>
      <c r="F37" s="39"/>
      <c r="G37" s="40"/>
      <c r="I37" s="37"/>
      <c r="J37" s="43"/>
      <c r="K37" s="43"/>
      <c r="L37" s="43"/>
      <c r="M37" s="43"/>
      <c r="P37" s="46"/>
      <c r="R37" s="47"/>
      <c r="T37" s="49"/>
      <c r="U37" s="49"/>
      <c r="Y37" s="49"/>
      <c r="Z37" s="49"/>
      <c r="AF37" s="51"/>
      <c r="AG37" s="52"/>
      <c r="AI37" s="54"/>
      <c r="AK37" s="3">
        <v>1</v>
      </c>
      <c r="AP37" s="4"/>
    </row>
    <row r="38" spans="1:45" s="53" customFormat="1" ht="19.5" customHeight="1">
      <c r="A38" s="35">
        <f t="shared" ref="A38:A101" si="4">A37</f>
        <v>0</v>
      </c>
      <c r="B38" s="81"/>
      <c r="C38" s="3"/>
      <c r="D38" s="46"/>
      <c r="E38" s="3"/>
      <c r="F38" s="3"/>
      <c r="G38" s="3"/>
      <c r="H38" s="41"/>
      <c r="I38" s="37" t="s">
        <v>50</v>
      </c>
      <c r="J38" s="43"/>
      <c r="K38" s="43"/>
      <c r="L38" s="43" t="s">
        <v>52</v>
      </c>
      <c r="M38" s="78"/>
      <c r="N38" s="44" t="str">
        <f t="shared" ref="N38:N43" si="5">IF(C38="","",C38)</f>
        <v/>
      </c>
      <c r="O38" s="45" t="s">
        <v>61</v>
      </c>
      <c r="P38" s="67"/>
      <c r="Q38" s="67"/>
      <c r="R38" s="68"/>
      <c r="S38" s="69"/>
      <c r="T38" s="79"/>
      <c r="U38" s="86"/>
      <c r="V38" s="3"/>
      <c r="W38" s="3"/>
      <c r="X38" s="84" t="s">
        <v>66</v>
      </c>
      <c r="Y38" s="80"/>
      <c r="Z38" s="80"/>
      <c r="AA38" s="3"/>
      <c r="AC38" s="50"/>
      <c r="AD38" s="50"/>
      <c r="AE38" s="3" t="str">
        <f t="shared" ref="AE38:AE43" si="6">IF(OR(V38="電話不通 x2",V38="DS判断"),"DS確認→U列入力",IF(V38="希望","U列入力",IF(V38="拒否","DS確認",IF(V38="外国語","DS確認",IF(V38="電話不通 x1","ORM再架電","-")))))</f>
        <v>-</v>
      </c>
      <c r="AF38" s="51"/>
      <c r="AG38" s="52" t="str">
        <f t="shared" ref="AG38:AG43" ca="1" si="7">IF(AF38="","",IF($AF38+TIME(0,30,0)&lt;(TEXT(NOW(),"h:mm:ss")*1),$AF38+TIME(0,45,0),$AF38+TIME(0,30,0)))</f>
        <v/>
      </c>
      <c r="AI38" s="54"/>
      <c r="AJ38" s="3"/>
      <c r="AK38" s="3">
        <v>1</v>
      </c>
      <c r="AL38" s="3"/>
      <c r="AM38" s="4"/>
      <c r="AN38" s="4"/>
      <c r="AO38" s="3"/>
      <c r="AP38" s="4"/>
      <c r="AQ38" s="3"/>
      <c r="AR38" s="3"/>
      <c r="AS38" s="3"/>
    </row>
    <row r="39" spans="1:45" s="53" customFormat="1" ht="19.5" customHeight="1">
      <c r="A39" s="35">
        <f t="shared" si="4"/>
        <v>0</v>
      </c>
      <c r="B39" s="81"/>
      <c r="C39" s="3"/>
      <c r="D39" s="46"/>
      <c r="E39" s="3"/>
      <c r="F39" s="3"/>
      <c r="G39" s="3"/>
      <c r="H39" s="41"/>
      <c r="I39" s="37" t="s">
        <v>50</v>
      </c>
      <c r="J39" s="43"/>
      <c r="K39" s="43"/>
      <c r="L39" s="43" t="s">
        <v>52</v>
      </c>
      <c r="M39" s="78"/>
      <c r="N39" s="44" t="str">
        <f t="shared" si="5"/>
        <v/>
      </c>
      <c r="O39" s="45" t="s">
        <v>61</v>
      </c>
      <c r="P39" s="67"/>
      <c r="Q39" s="67"/>
      <c r="R39" s="68"/>
      <c r="S39" s="69"/>
      <c r="T39" s="82">
        <v>0.6875</v>
      </c>
      <c r="U39" s="186">
        <v>0.69444444444444453</v>
      </c>
      <c r="V39" s="3"/>
      <c r="W39" s="3"/>
      <c r="X39" s="84" t="s">
        <v>66</v>
      </c>
      <c r="Y39" s="80"/>
      <c r="Z39" s="80"/>
      <c r="AA39" s="3"/>
      <c r="AC39" s="50"/>
      <c r="AD39" s="50"/>
      <c r="AE39" s="3" t="str">
        <f t="shared" si="6"/>
        <v>-</v>
      </c>
      <c r="AF39" s="51"/>
      <c r="AG39" s="52" t="str">
        <f t="shared" ca="1" si="7"/>
        <v/>
      </c>
      <c r="AI39" s="54"/>
      <c r="AJ39" s="3"/>
      <c r="AK39" s="3">
        <v>1</v>
      </c>
      <c r="AL39" s="3"/>
      <c r="AM39" s="4"/>
      <c r="AN39" s="4"/>
      <c r="AO39" s="3"/>
      <c r="AP39" s="4"/>
      <c r="AQ39" s="3"/>
      <c r="AR39" s="3"/>
      <c r="AS39" s="3"/>
    </row>
    <row r="40" spans="1:45" s="53" customFormat="1" ht="19.5" customHeight="1">
      <c r="A40" s="35">
        <f t="shared" si="4"/>
        <v>0</v>
      </c>
      <c r="B40" s="81"/>
      <c r="C40" s="3"/>
      <c r="D40" s="88"/>
      <c r="E40" s="3"/>
      <c r="F40" s="3"/>
      <c r="G40" s="3"/>
      <c r="H40" s="41"/>
      <c r="I40" s="89" t="s">
        <v>50</v>
      </c>
      <c r="J40" s="90"/>
      <c r="K40" s="43"/>
      <c r="L40" s="43" t="s">
        <v>52</v>
      </c>
      <c r="M40" s="78"/>
      <c r="N40" s="44" t="str">
        <f t="shared" si="5"/>
        <v/>
      </c>
      <c r="O40" s="45" t="s">
        <v>61</v>
      </c>
      <c r="P40" s="67"/>
      <c r="Q40" s="67"/>
      <c r="R40" s="68"/>
      <c r="S40" s="69"/>
      <c r="T40" s="82">
        <v>0.6875</v>
      </c>
      <c r="U40" s="91">
        <v>0.69444444444444453</v>
      </c>
      <c r="V40" s="89" t="s">
        <v>67</v>
      </c>
      <c r="W40" s="3"/>
      <c r="X40" s="84" t="s">
        <v>66</v>
      </c>
      <c r="Y40" s="80"/>
      <c r="Z40" s="80"/>
      <c r="AA40" s="3"/>
      <c r="AC40" s="50"/>
      <c r="AD40" s="50"/>
      <c r="AE40" s="3" t="str">
        <f t="shared" si="6"/>
        <v>-</v>
      </c>
      <c r="AF40" s="51"/>
      <c r="AG40" s="52" t="str">
        <f t="shared" ca="1" si="7"/>
        <v/>
      </c>
      <c r="AI40" s="54"/>
      <c r="AJ40" s="3"/>
      <c r="AK40" s="3">
        <v>1</v>
      </c>
      <c r="AL40" s="3"/>
      <c r="AM40" s="4"/>
      <c r="AN40" s="4"/>
      <c r="AO40" s="3"/>
      <c r="AP40" s="4"/>
      <c r="AQ40" s="3"/>
      <c r="AR40" s="3"/>
      <c r="AS40" s="3"/>
    </row>
    <row r="41" spans="1:45" s="53" customFormat="1" ht="19.5" customHeight="1">
      <c r="A41" s="35">
        <f t="shared" si="4"/>
        <v>0</v>
      </c>
      <c r="B41" s="77" t="s">
        <v>68</v>
      </c>
      <c r="C41" s="3"/>
      <c r="D41" s="46" t="s">
        <v>69</v>
      </c>
      <c r="E41" s="3"/>
      <c r="F41" s="3"/>
      <c r="G41" s="3"/>
      <c r="H41" s="41"/>
      <c r="I41" s="37" t="s">
        <v>50</v>
      </c>
      <c r="J41" s="43"/>
      <c r="K41" s="43"/>
      <c r="L41" s="43" t="s">
        <v>52</v>
      </c>
      <c r="M41" s="78"/>
      <c r="N41" s="44" t="str">
        <f t="shared" si="5"/>
        <v/>
      </c>
      <c r="O41" s="45" t="s">
        <v>61</v>
      </c>
      <c r="P41" s="67"/>
      <c r="Q41" s="67"/>
      <c r="R41" s="68"/>
      <c r="S41" s="69"/>
      <c r="T41" s="82">
        <v>0.6875</v>
      </c>
      <c r="U41" s="82">
        <v>0.69444444444444453</v>
      </c>
      <c r="V41" s="83" t="s">
        <v>70</v>
      </c>
      <c r="W41" s="83"/>
      <c r="X41" s="84" t="s">
        <v>66</v>
      </c>
      <c r="Y41" s="80"/>
      <c r="Z41" s="80"/>
      <c r="AA41" s="3"/>
      <c r="AC41" s="50"/>
      <c r="AD41" s="50"/>
      <c r="AE41" s="3" t="str">
        <f t="shared" si="6"/>
        <v>-</v>
      </c>
      <c r="AF41" s="51"/>
      <c r="AG41" s="52" t="str">
        <f t="shared" ca="1" si="7"/>
        <v/>
      </c>
      <c r="AI41" s="54"/>
      <c r="AJ41" s="3"/>
      <c r="AK41" s="3">
        <v>1</v>
      </c>
      <c r="AL41" s="3"/>
      <c r="AM41" s="4"/>
      <c r="AN41" s="4"/>
      <c r="AO41" s="3"/>
      <c r="AP41" s="4"/>
      <c r="AQ41" s="3"/>
      <c r="AR41" s="3"/>
      <c r="AS41" s="3"/>
    </row>
    <row r="42" spans="1:45" s="53" customFormat="1" ht="19.5" customHeight="1">
      <c r="A42" s="35">
        <f t="shared" si="4"/>
        <v>0</v>
      </c>
      <c r="B42" s="77" t="s">
        <v>71</v>
      </c>
      <c r="C42" s="3"/>
      <c r="D42" s="46" t="s">
        <v>72</v>
      </c>
      <c r="E42" s="3"/>
      <c r="F42" s="3"/>
      <c r="G42" s="3"/>
      <c r="H42" s="41"/>
      <c r="I42" s="37" t="s">
        <v>50</v>
      </c>
      <c r="J42" s="43"/>
      <c r="K42" s="43"/>
      <c r="L42" s="43" t="s">
        <v>52</v>
      </c>
      <c r="M42" s="78"/>
      <c r="N42" s="44" t="str">
        <f t="shared" si="5"/>
        <v/>
      </c>
      <c r="O42" s="45" t="s">
        <v>61</v>
      </c>
      <c r="P42" s="67"/>
      <c r="Q42" s="67"/>
      <c r="R42" s="68"/>
      <c r="S42" s="69"/>
      <c r="T42" s="82">
        <v>0.6875</v>
      </c>
      <c r="U42" s="82">
        <v>0.69444444444444453</v>
      </c>
      <c r="V42" s="63" t="s">
        <v>73</v>
      </c>
      <c r="W42" s="83"/>
      <c r="X42" s="84" t="s">
        <v>66</v>
      </c>
      <c r="Y42" s="80"/>
      <c r="Z42" s="80"/>
      <c r="AA42" s="3"/>
      <c r="AC42" s="50"/>
      <c r="AD42" s="50"/>
      <c r="AE42" s="3" t="str">
        <f t="shared" si="6"/>
        <v>-</v>
      </c>
      <c r="AF42" s="51"/>
      <c r="AG42" s="52" t="str">
        <f t="shared" ca="1" si="7"/>
        <v/>
      </c>
      <c r="AI42" s="54"/>
      <c r="AJ42" s="3"/>
      <c r="AK42" s="3">
        <v>1</v>
      </c>
      <c r="AL42" s="3"/>
      <c r="AM42" s="4"/>
      <c r="AN42" s="4"/>
      <c r="AO42" s="3"/>
      <c r="AP42" s="4"/>
      <c r="AQ42" s="3"/>
      <c r="AR42" s="3"/>
      <c r="AS42" s="3"/>
    </row>
    <row r="43" spans="1:45" s="53" customFormat="1" ht="19.5" customHeight="1">
      <c r="A43" s="35">
        <f t="shared" si="4"/>
        <v>0</v>
      </c>
      <c r="B43" s="77" t="s">
        <v>74</v>
      </c>
      <c r="C43" s="3"/>
      <c r="D43" s="46" t="s">
        <v>75</v>
      </c>
      <c r="E43" s="3"/>
      <c r="F43" s="3"/>
      <c r="G43" s="3"/>
      <c r="H43" s="41"/>
      <c r="I43" s="37" t="s">
        <v>50</v>
      </c>
      <c r="J43" s="43"/>
      <c r="K43" s="43"/>
      <c r="L43" s="43" t="s">
        <v>52</v>
      </c>
      <c r="M43" s="78"/>
      <c r="N43" s="44" t="str">
        <f t="shared" si="5"/>
        <v/>
      </c>
      <c r="O43" s="45" t="s">
        <v>61</v>
      </c>
      <c r="P43" s="67"/>
      <c r="Q43" s="67"/>
      <c r="R43" s="68"/>
      <c r="S43" s="69"/>
      <c r="T43" s="82">
        <v>0.6875</v>
      </c>
      <c r="U43" s="82">
        <v>0.69444444444444453</v>
      </c>
      <c r="V43" s="92" t="s">
        <v>76</v>
      </c>
      <c r="W43" s="3"/>
      <c r="X43" s="84" t="s">
        <v>66</v>
      </c>
      <c r="Y43" s="80"/>
      <c r="Z43" s="80"/>
      <c r="AA43" s="3"/>
      <c r="AC43" s="50"/>
      <c r="AD43" s="50"/>
      <c r="AE43" s="3" t="str">
        <f t="shared" si="6"/>
        <v>DS確認</v>
      </c>
      <c r="AF43" s="51"/>
      <c r="AG43" s="52" t="str">
        <f t="shared" ca="1" si="7"/>
        <v/>
      </c>
      <c r="AI43" s="54"/>
      <c r="AJ43" s="3"/>
      <c r="AK43" s="3"/>
      <c r="AL43" s="3"/>
      <c r="AM43" s="4"/>
      <c r="AN43" s="4"/>
      <c r="AO43" s="3"/>
      <c r="AP43" s="4"/>
      <c r="AQ43" s="3"/>
      <c r="AR43" s="3"/>
      <c r="AS43" s="3"/>
    </row>
    <row r="44" spans="1:45" s="53" customFormat="1" ht="19.5" customHeight="1">
      <c r="A44" s="35"/>
      <c r="B44" s="81"/>
      <c r="C44" s="3"/>
      <c r="D44" s="46"/>
      <c r="E44" s="3"/>
      <c r="F44" s="3"/>
      <c r="G44" s="3"/>
      <c r="H44" s="41"/>
      <c r="I44" s="3"/>
      <c r="J44" s="78"/>
      <c r="K44" s="78"/>
      <c r="L44" s="78"/>
      <c r="M44" s="78"/>
      <c r="N44" s="44"/>
      <c r="O44" s="45"/>
      <c r="P44" s="3"/>
      <c r="Q44" s="46"/>
      <c r="R44" s="47"/>
      <c r="S44" s="48"/>
      <c r="T44" s="80"/>
      <c r="U44" s="80"/>
      <c r="V44" s="3"/>
      <c r="W44" s="3"/>
      <c r="X44" s="50"/>
      <c r="Y44" s="80"/>
      <c r="Z44" s="80"/>
      <c r="AA44" s="3"/>
      <c r="AC44" s="50"/>
      <c r="AD44" s="50"/>
      <c r="AE44" s="3"/>
      <c r="AF44" s="51"/>
      <c r="AG44" s="52"/>
      <c r="AI44" s="54"/>
      <c r="AJ44" s="3"/>
      <c r="AK44" s="3"/>
      <c r="AL44" s="3"/>
      <c r="AM44" s="4"/>
      <c r="AN44" s="4"/>
      <c r="AO44" s="3"/>
      <c r="AP44" s="4"/>
      <c r="AQ44" s="3"/>
      <c r="AR44" s="3"/>
      <c r="AS44" s="3"/>
    </row>
    <row r="45" spans="1:45" s="53" customFormat="1" ht="19.5" hidden="1" customHeight="1">
      <c r="A45" s="35">
        <f>A43</f>
        <v>0</v>
      </c>
      <c r="B45" s="81"/>
      <c r="C45" s="3"/>
      <c r="D45" s="93" t="s">
        <v>77</v>
      </c>
      <c r="E45" s="3"/>
      <c r="F45" s="3"/>
      <c r="G45" s="3"/>
      <c r="H45" s="41"/>
      <c r="I45" s="3"/>
      <c r="J45" s="78"/>
      <c r="K45" s="78"/>
      <c r="L45" s="78"/>
      <c r="M45" s="78"/>
      <c r="N45" s="44"/>
      <c r="O45" s="45"/>
      <c r="P45" s="3"/>
      <c r="Q45" s="46"/>
      <c r="R45" s="47"/>
      <c r="S45" s="48"/>
      <c r="T45" s="80"/>
      <c r="U45" s="80"/>
      <c r="V45" s="3"/>
      <c r="W45" s="3"/>
      <c r="X45" s="50"/>
      <c r="Y45" s="80"/>
      <c r="Z45" s="80"/>
      <c r="AA45" s="3"/>
      <c r="AC45" s="50"/>
      <c r="AD45" s="50"/>
      <c r="AE45" s="3"/>
      <c r="AF45" s="51"/>
      <c r="AG45" s="52"/>
      <c r="AI45" s="54"/>
      <c r="AJ45" s="3"/>
      <c r="AK45" s="3"/>
      <c r="AL45" s="3"/>
      <c r="AM45" s="4"/>
      <c r="AN45" s="4"/>
      <c r="AO45" s="3"/>
      <c r="AP45" s="4"/>
      <c r="AQ45" s="3"/>
      <c r="AR45" s="3"/>
      <c r="AS45" s="3"/>
    </row>
    <row r="46" spans="1:45" s="53" customFormat="1" ht="19.5" hidden="1" customHeight="1">
      <c r="A46" s="35">
        <f t="shared" si="4"/>
        <v>0</v>
      </c>
      <c r="B46" s="81"/>
      <c r="C46" s="3"/>
      <c r="D46" s="348" t="s">
        <v>78</v>
      </c>
      <c r="E46" s="3"/>
      <c r="F46" s="3"/>
      <c r="G46" s="3"/>
      <c r="H46" s="41"/>
      <c r="I46" s="3"/>
      <c r="J46" s="78"/>
      <c r="K46" s="78"/>
      <c r="L46" s="78"/>
      <c r="M46" s="78"/>
      <c r="N46" s="44"/>
      <c r="O46" s="45"/>
      <c r="P46" s="3"/>
      <c r="Q46" s="46"/>
      <c r="R46" s="47"/>
      <c r="S46" s="48"/>
      <c r="T46" s="80"/>
      <c r="U46" s="80"/>
      <c r="V46" s="3"/>
      <c r="W46" s="3"/>
      <c r="X46" s="50"/>
      <c r="Y46" s="80"/>
      <c r="Z46" s="80"/>
      <c r="AA46" s="3"/>
      <c r="AC46" s="50"/>
      <c r="AD46" s="50"/>
      <c r="AE46" s="3"/>
      <c r="AF46" s="51"/>
      <c r="AG46" s="52"/>
      <c r="AI46" s="54"/>
      <c r="AJ46" s="3"/>
      <c r="AK46" s="3">
        <v>1</v>
      </c>
      <c r="AL46" s="3"/>
      <c r="AM46" s="4"/>
      <c r="AN46" s="4"/>
      <c r="AO46" s="3"/>
      <c r="AP46" s="4"/>
      <c r="AQ46" s="3"/>
      <c r="AR46" s="3"/>
      <c r="AS46" s="3"/>
    </row>
    <row r="47" spans="1:45" s="53" customFormat="1" ht="21.6" hidden="1" customHeight="1">
      <c r="A47" s="35">
        <f t="shared" si="4"/>
        <v>0</v>
      </c>
      <c r="B47" s="81"/>
      <c r="C47" s="3"/>
      <c r="D47" s="348"/>
      <c r="E47" s="3"/>
      <c r="F47" s="3"/>
      <c r="G47" s="3"/>
      <c r="H47" s="41"/>
      <c r="I47" s="3"/>
      <c r="J47" s="78"/>
      <c r="K47" s="78"/>
      <c r="L47" s="78"/>
      <c r="M47" s="78"/>
      <c r="N47" s="44" t="str">
        <f t="shared" ref="N47:N110" si="8">IF(C47="","",C47)</f>
        <v/>
      </c>
      <c r="O47" s="45"/>
      <c r="P47" s="3"/>
      <c r="Q47" s="46"/>
      <c r="R47" s="47"/>
      <c r="S47" s="48"/>
      <c r="T47" s="80"/>
      <c r="U47" s="80"/>
      <c r="V47" s="3"/>
      <c r="W47" s="3"/>
      <c r="X47" s="50"/>
      <c r="Y47" s="80"/>
      <c r="Z47" s="80"/>
      <c r="AA47" s="3"/>
      <c r="AC47" s="50"/>
      <c r="AD47" s="50"/>
      <c r="AE47" s="3" t="str">
        <f>IF(OR(V47="電話不通 x2",V47="DS判断"),"DS確認→U列入力",IF(V47="希望","U列入力",IF(V47="拒否","DS確認",IF(V47="外国語","DS確認",IF(V47="電話不通 x1","ORM再架電","-")))))</f>
        <v>-</v>
      </c>
      <c r="AF47" s="51"/>
      <c r="AG47" s="52" t="str">
        <f t="shared" ref="AG47:AG54" ca="1" si="9">IF(AF47="","",IF($AF47+TIME(0,30,0)&lt;(TEXT(NOW(),"h:mm:ss")*1),$AF47+TIME(0,45,0),$AF47+TIME(0,30,0)))</f>
        <v/>
      </c>
      <c r="AI47" s="54"/>
      <c r="AJ47" s="3"/>
      <c r="AK47" s="3">
        <v>1</v>
      </c>
      <c r="AL47" s="3"/>
      <c r="AM47" s="4"/>
      <c r="AN47" s="4"/>
      <c r="AO47" s="3"/>
      <c r="AP47" s="4"/>
      <c r="AQ47" s="3"/>
      <c r="AR47" s="3"/>
      <c r="AS47" s="3"/>
    </row>
    <row r="48" spans="1:45" s="53" customFormat="1" ht="19.5" hidden="1" customHeight="1">
      <c r="A48" s="35">
        <f t="shared" si="4"/>
        <v>0</v>
      </c>
      <c r="B48" s="81"/>
      <c r="C48" s="3"/>
      <c r="E48" s="3"/>
      <c r="F48" s="3"/>
      <c r="G48" s="3"/>
      <c r="H48" s="41"/>
      <c r="I48" s="3"/>
      <c r="J48" s="78"/>
      <c r="K48" s="78"/>
      <c r="L48" s="78"/>
      <c r="M48" s="78"/>
      <c r="N48" s="44" t="str">
        <f t="shared" si="8"/>
        <v/>
      </c>
      <c r="O48" s="45"/>
      <c r="P48" s="3"/>
      <c r="Q48" s="46"/>
      <c r="R48" s="47"/>
      <c r="S48" s="48"/>
      <c r="T48" s="80"/>
      <c r="U48" s="80"/>
      <c r="V48" s="3"/>
      <c r="W48" s="3"/>
      <c r="X48" s="50"/>
      <c r="Y48" s="80"/>
      <c r="Z48" s="80"/>
      <c r="AA48" s="3"/>
      <c r="AC48" s="50"/>
      <c r="AD48" s="50"/>
      <c r="AE48" s="3" t="str">
        <f>IF(OR(V48="電話不通 x2",V48="DS判断"),"DS確認→U列入力",IF(V48="希望","U列入力",IF(V48="拒否","DS確認",IF(V48="外国語","DS確認",IF(V48="電話不通 x1","ORM再架電","-")))))</f>
        <v>-</v>
      </c>
      <c r="AF48" s="51"/>
      <c r="AG48" s="52" t="str">
        <f t="shared" ca="1" si="9"/>
        <v/>
      </c>
      <c r="AI48" s="54"/>
      <c r="AJ48" s="3"/>
      <c r="AK48" s="3">
        <v>1</v>
      </c>
      <c r="AL48" s="3"/>
      <c r="AM48" s="4"/>
      <c r="AN48" s="4"/>
      <c r="AO48" s="3"/>
      <c r="AP48" s="4"/>
      <c r="AQ48" s="3"/>
      <c r="AR48" s="3"/>
      <c r="AS48" s="3"/>
    </row>
    <row r="49" spans="1:45" s="53" customFormat="1" ht="19.5" hidden="1" customHeight="1">
      <c r="A49" s="35">
        <f t="shared" si="4"/>
        <v>0</v>
      </c>
      <c r="B49" s="36"/>
      <c r="C49" s="37"/>
      <c r="D49" s="38" t="s">
        <v>79</v>
      </c>
      <c r="E49" s="37"/>
      <c r="F49" s="39"/>
      <c r="G49" s="40"/>
      <c r="H49" s="41"/>
      <c r="I49" s="37" t="s">
        <v>80</v>
      </c>
      <c r="J49" s="43"/>
      <c r="K49" s="94"/>
      <c r="L49" s="94" t="s">
        <v>81</v>
      </c>
      <c r="M49" s="94"/>
      <c r="N49" s="44" t="str">
        <f t="shared" si="8"/>
        <v/>
      </c>
      <c r="O49" s="45" t="s">
        <v>82</v>
      </c>
      <c r="P49" s="95"/>
      <c r="Q49" s="95"/>
      <c r="R49" s="47"/>
      <c r="S49" s="48"/>
      <c r="T49" s="49"/>
      <c r="U49" s="49"/>
      <c r="V49" s="3"/>
      <c r="W49" s="3"/>
      <c r="X49" s="50"/>
      <c r="Y49" s="49"/>
      <c r="Z49" s="49"/>
      <c r="AA49" s="3"/>
      <c r="AC49" s="50"/>
      <c r="AD49" s="50"/>
      <c r="AE49" s="3" t="s">
        <v>83</v>
      </c>
      <c r="AF49" s="51"/>
      <c r="AG49" s="52" t="str">
        <f t="shared" ca="1" si="9"/>
        <v/>
      </c>
      <c r="AI49" s="54"/>
      <c r="AJ49" s="3"/>
      <c r="AK49" s="3">
        <v>1</v>
      </c>
      <c r="AL49" s="3"/>
      <c r="AM49" s="4"/>
      <c r="AN49" s="4"/>
      <c r="AO49" s="3"/>
      <c r="AP49" s="4"/>
      <c r="AQ49" s="3"/>
      <c r="AR49" s="3"/>
      <c r="AS49" s="3"/>
    </row>
    <row r="50" spans="1:45" s="53" customFormat="1" ht="19.5" hidden="1" customHeight="1">
      <c r="A50" s="35">
        <f t="shared" si="4"/>
        <v>0</v>
      </c>
      <c r="B50" s="36"/>
      <c r="C50" s="37"/>
      <c r="D50" s="38"/>
      <c r="E50" s="37"/>
      <c r="F50" s="39"/>
      <c r="G50" s="40"/>
      <c r="H50" s="41"/>
      <c r="I50" s="37" t="s">
        <v>80</v>
      </c>
      <c r="J50" s="43"/>
      <c r="K50" s="94"/>
      <c r="L50" s="94" t="s">
        <v>81</v>
      </c>
      <c r="M50" s="94"/>
      <c r="N50" s="44" t="str">
        <f t="shared" si="8"/>
        <v/>
      </c>
      <c r="O50" s="45" t="s">
        <v>82</v>
      </c>
      <c r="P50" s="96" t="s">
        <v>84</v>
      </c>
      <c r="Q50" s="96">
        <v>10</v>
      </c>
      <c r="R50" s="47"/>
      <c r="S50" s="48"/>
      <c r="T50" s="79"/>
      <c r="U50" s="49"/>
      <c r="V50" s="3"/>
      <c r="W50" s="3"/>
      <c r="X50" s="50"/>
      <c r="Y50" s="49"/>
      <c r="Z50" s="49"/>
      <c r="AA50" s="3"/>
      <c r="AC50" s="50"/>
      <c r="AD50" s="50"/>
      <c r="AE50" s="3" t="s">
        <v>83</v>
      </c>
      <c r="AF50" s="51"/>
      <c r="AG50" s="52" t="str">
        <f t="shared" ca="1" si="9"/>
        <v/>
      </c>
      <c r="AI50" s="54"/>
      <c r="AJ50" s="3"/>
      <c r="AK50" s="3">
        <v>1</v>
      </c>
      <c r="AL50" s="3"/>
      <c r="AM50" s="4"/>
      <c r="AN50" s="4"/>
      <c r="AO50" s="3"/>
      <c r="AP50" s="4"/>
      <c r="AQ50" s="3"/>
      <c r="AR50" s="3"/>
      <c r="AS50" s="3"/>
    </row>
    <row r="51" spans="1:45" s="53" customFormat="1" ht="19.5" hidden="1" customHeight="1">
      <c r="A51" s="35">
        <f t="shared" si="4"/>
        <v>0</v>
      </c>
      <c r="B51" s="36"/>
      <c r="C51" s="37"/>
      <c r="D51" s="38"/>
      <c r="E51" s="37"/>
      <c r="F51" s="39"/>
      <c r="G51" s="40"/>
      <c r="H51" s="41"/>
      <c r="I51" s="37" t="s">
        <v>80</v>
      </c>
      <c r="J51" s="43"/>
      <c r="K51" s="94"/>
      <c r="L51" s="94" t="s">
        <v>81</v>
      </c>
      <c r="M51" s="94"/>
      <c r="N51" s="44" t="str">
        <f t="shared" si="8"/>
        <v/>
      </c>
      <c r="O51" s="45" t="s">
        <v>82</v>
      </c>
      <c r="P51" s="96" t="s">
        <v>84</v>
      </c>
      <c r="Q51" s="96">
        <v>10</v>
      </c>
      <c r="R51" s="47"/>
      <c r="S51" s="48"/>
      <c r="T51" s="82">
        <v>0.6875</v>
      </c>
      <c r="U51" s="79">
        <v>0.69444444444444453</v>
      </c>
      <c r="V51" s="83"/>
      <c r="W51" s="3"/>
      <c r="X51" s="50"/>
      <c r="Y51" s="49"/>
      <c r="Z51" s="49"/>
      <c r="AA51" s="3"/>
      <c r="AC51" s="50"/>
      <c r="AD51" s="50"/>
      <c r="AE51" s="3" t="s">
        <v>83</v>
      </c>
      <c r="AF51" s="51"/>
      <c r="AG51" s="52" t="str">
        <f t="shared" ca="1" si="9"/>
        <v/>
      </c>
      <c r="AI51" s="54"/>
      <c r="AJ51" s="3"/>
      <c r="AK51" s="3">
        <v>1</v>
      </c>
      <c r="AL51" s="3"/>
      <c r="AM51" s="4"/>
      <c r="AN51" s="4"/>
      <c r="AO51" s="3"/>
      <c r="AP51" s="4"/>
      <c r="AQ51" s="3"/>
      <c r="AR51" s="3"/>
      <c r="AS51" s="3"/>
    </row>
    <row r="52" spans="1:45" s="53" customFormat="1" ht="19.5" hidden="1" customHeight="1">
      <c r="A52" s="35">
        <f t="shared" si="4"/>
        <v>0</v>
      </c>
      <c r="B52" s="36"/>
      <c r="C52" s="37"/>
      <c r="D52" s="38"/>
      <c r="E52" s="37"/>
      <c r="F52" s="39"/>
      <c r="G52" s="40"/>
      <c r="H52" s="41"/>
      <c r="I52" s="37" t="s">
        <v>80</v>
      </c>
      <c r="J52" s="43"/>
      <c r="K52" s="94"/>
      <c r="L52" s="94" t="s">
        <v>81</v>
      </c>
      <c r="M52" s="94"/>
      <c r="N52" s="44" t="str">
        <f t="shared" si="8"/>
        <v/>
      </c>
      <c r="O52" s="45" t="s">
        <v>82</v>
      </c>
      <c r="P52" s="96" t="s">
        <v>84</v>
      </c>
      <c r="Q52" s="96">
        <v>10</v>
      </c>
      <c r="R52" s="47"/>
      <c r="S52" s="48"/>
      <c r="T52" s="82">
        <v>0.6875</v>
      </c>
      <c r="U52" s="82">
        <v>0.69444444444444453</v>
      </c>
      <c r="V52" s="97" t="s">
        <v>85</v>
      </c>
      <c r="W52" s="3"/>
      <c r="X52" s="72"/>
      <c r="Y52" s="79"/>
      <c r="Z52" s="49"/>
      <c r="AA52" s="3"/>
      <c r="AC52" s="50"/>
      <c r="AD52" s="50"/>
      <c r="AE52" s="3" t="s">
        <v>83</v>
      </c>
      <c r="AF52" s="51"/>
      <c r="AG52" s="52" t="str">
        <f t="shared" ca="1" si="9"/>
        <v/>
      </c>
      <c r="AI52" s="54"/>
      <c r="AJ52" s="3"/>
      <c r="AK52" s="3">
        <v>1</v>
      </c>
      <c r="AL52" s="3"/>
      <c r="AM52" s="4"/>
      <c r="AN52" s="4"/>
      <c r="AO52" s="3"/>
      <c r="AP52" s="4"/>
      <c r="AQ52" s="3"/>
      <c r="AR52" s="3"/>
      <c r="AS52" s="3"/>
    </row>
    <row r="53" spans="1:45" s="53" customFormat="1" ht="19.5" hidden="1" customHeight="1">
      <c r="A53" s="35">
        <f t="shared" si="4"/>
        <v>0</v>
      </c>
      <c r="B53" s="81"/>
      <c r="C53" s="37"/>
      <c r="D53" s="46"/>
      <c r="E53" s="37"/>
      <c r="F53" s="37"/>
      <c r="G53" s="37"/>
      <c r="H53" s="41"/>
      <c r="I53" s="37" t="s">
        <v>80</v>
      </c>
      <c r="J53" s="43"/>
      <c r="K53" s="94"/>
      <c r="L53" s="94" t="s">
        <v>81</v>
      </c>
      <c r="M53" s="98"/>
      <c r="N53" s="44" t="str">
        <f t="shared" si="8"/>
        <v/>
      </c>
      <c r="O53" s="45" t="s">
        <v>82</v>
      </c>
      <c r="P53" s="96" t="s">
        <v>84</v>
      </c>
      <c r="Q53" s="96">
        <v>10</v>
      </c>
      <c r="R53" s="47"/>
      <c r="S53" s="48"/>
      <c r="T53" s="82">
        <v>0.6875</v>
      </c>
      <c r="U53" s="82">
        <v>0.69444444444444453</v>
      </c>
      <c r="V53" s="97" t="s">
        <v>85</v>
      </c>
      <c r="W53" s="3"/>
      <c r="X53" s="72"/>
      <c r="Y53" s="99">
        <v>0.69097222222222221</v>
      </c>
      <c r="Z53" s="100">
        <v>0.69791666666666663</v>
      </c>
      <c r="AA53" s="83"/>
      <c r="AB53" s="101"/>
      <c r="AC53" s="50"/>
      <c r="AD53" s="50"/>
      <c r="AE53" s="3" t="s">
        <v>83</v>
      </c>
      <c r="AF53" s="51"/>
      <c r="AG53" s="52" t="str">
        <f t="shared" ca="1" si="9"/>
        <v/>
      </c>
      <c r="AI53" s="54"/>
      <c r="AJ53" s="3"/>
      <c r="AK53" s="3">
        <v>1</v>
      </c>
      <c r="AL53" s="3"/>
      <c r="AM53" s="4"/>
      <c r="AN53" s="4"/>
      <c r="AO53" s="3"/>
      <c r="AP53" s="4"/>
      <c r="AQ53" s="3"/>
      <c r="AR53" s="3"/>
      <c r="AS53" s="3"/>
    </row>
    <row r="54" spans="1:45" s="53" customFormat="1" ht="19.5" hidden="1" customHeight="1">
      <c r="A54" s="35">
        <f t="shared" si="4"/>
        <v>0</v>
      </c>
      <c r="B54" s="81"/>
      <c r="C54" s="102"/>
      <c r="D54" s="46"/>
      <c r="E54" s="3"/>
      <c r="F54" s="3"/>
      <c r="G54" s="3"/>
      <c r="H54" s="41"/>
      <c r="I54" s="37" t="s">
        <v>80</v>
      </c>
      <c r="J54" s="43"/>
      <c r="K54" s="94"/>
      <c r="L54" s="94" t="s">
        <v>81</v>
      </c>
      <c r="M54" s="98"/>
      <c r="N54" s="44" t="str">
        <f t="shared" si="8"/>
        <v/>
      </c>
      <c r="O54" s="45" t="s">
        <v>82</v>
      </c>
      <c r="P54" s="96" t="s">
        <v>84</v>
      </c>
      <c r="Q54" s="96">
        <v>10</v>
      </c>
      <c r="R54" s="47"/>
      <c r="S54" s="48"/>
      <c r="T54" s="82">
        <v>0.6875</v>
      </c>
      <c r="U54" s="82">
        <v>0.69444444444444453</v>
      </c>
      <c r="V54" s="97" t="s">
        <v>85</v>
      </c>
      <c r="W54" s="3"/>
      <c r="X54" s="72"/>
      <c r="Y54" s="99">
        <v>0.69097222222222221</v>
      </c>
      <c r="Z54" s="99">
        <v>0.69791666666666663</v>
      </c>
      <c r="AA54" s="97" t="s">
        <v>86</v>
      </c>
      <c r="AB54" s="73"/>
      <c r="AC54" s="103"/>
      <c r="AD54" s="104"/>
      <c r="AE54" s="3" t="s">
        <v>83</v>
      </c>
      <c r="AF54" s="105"/>
      <c r="AG54" s="52" t="str">
        <f t="shared" ca="1" si="9"/>
        <v/>
      </c>
      <c r="AI54" s="54"/>
      <c r="AJ54" s="3"/>
      <c r="AK54" s="3">
        <v>1</v>
      </c>
      <c r="AL54" s="3"/>
      <c r="AM54" s="4"/>
      <c r="AN54" s="4"/>
      <c r="AO54" s="3"/>
      <c r="AP54" s="4"/>
      <c r="AQ54" s="3"/>
      <c r="AR54" s="3"/>
      <c r="AS54" s="3"/>
    </row>
    <row r="55" spans="1:45" s="53" customFormat="1" ht="19.5" hidden="1" customHeight="1">
      <c r="A55" s="35">
        <f t="shared" si="4"/>
        <v>0</v>
      </c>
      <c r="B55" s="81"/>
      <c r="C55" s="102"/>
      <c r="D55" s="46"/>
      <c r="E55" s="3"/>
      <c r="F55" s="3"/>
      <c r="G55" s="3"/>
      <c r="H55" s="41"/>
      <c r="I55" s="37" t="s">
        <v>80</v>
      </c>
      <c r="J55" s="43"/>
      <c r="K55" s="94"/>
      <c r="L55" s="94" t="s">
        <v>81</v>
      </c>
      <c r="M55" s="98"/>
      <c r="N55" s="44" t="str">
        <f t="shared" si="8"/>
        <v/>
      </c>
      <c r="O55" s="45" t="s">
        <v>82</v>
      </c>
      <c r="P55" s="96" t="s">
        <v>84</v>
      </c>
      <c r="Q55" s="96">
        <v>10</v>
      </c>
      <c r="R55" s="47"/>
      <c r="S55" s="48"/>
      <c r="T55" s="82">
        <v>0.6875</v>
      </c>
      <c r="U55" s="82">
        <v>0.69444444444444453</v>
      </c>
      <c r="V55" s="97" t="s">
        <v>85</v>
      </c>
      <c r="W55" s="3"/>
      <c r="X55" s="72"/>
      <c r="Y55" s="99">
        <v>0.69097222222222221</v>
      </c>
      <c r="Z55" s="99">
        <v>0.69791666666666663</v>
      </c>
      <c r="AA55" s="97" t="s">
        <v>86</v>
      </c>
      <c r="AB55" s="73"/>
      <c r="AC55" s="50"/>
      <c r="AD55" s="106" t="s">
        <v>87</v>
      </c>
      <c r="AE55" s="3" t="s">
        <v>83</v>
      </c>
      <c r="AF55" s="107">
        <v>0.69444444444444453</v>
      </c>
      <c r="AG55" s="52">
        <v>0.71527777777777779</v>
      </c>
      <c r="AI55" s="54"/>
      <c r="AJ55" s="3"/>
      <c r="AK55" s="3">
        <v>1</v>
      </c>
      <c r="AL55" s="3"/>
      <c r="AM55" s="4"/>
      <c r="AN55" s="4"/>
      <c r="AO55" s="3"/>
      <c r="AP55" s="4"/>
      <c r="AQ55" s="3"/>
      <c r="AR55" s="3"/>
      <c r="AS55" s="3"/>
    </row>
    <row r="56" spans="1:45" s="53" customFormat="1" ht="19.5" hidden="1" customHeight="1">
      <c r="A56" s="35">
        <f t="shared" si="4"/>
        <v>0</v>
      </c>
      <c r="B56" s="81"/>
      <c r="C56" s="102"/>
      <c r="D56" s="46"/>
      <c r="E56" s="3"/>
      <c r="F56" s="3"/>
      <c r="G56" s="3"/>
      <c r="H56" s="41"/>
      <c r="I56" s="37" t="s">
        <v>80</v>
      </c>
      <c r="J56" s="43"/>
      <c r="K56" s="94"/>
      <c r="L56" s="94" t="s">
        <v>81</v>
      </c>
      <c r="M56" s="98"/>
      <c r="N56" s="44" t="str">
        <f t="shared" si="8"/>
        <v/>
      </c>
      <c r="O56" s="45" t="s">
        <v>82</v>
      </c>
      <c r="P56" s="96" t="s">
        <v>84</v>
      </c>
      <c r="Q56" s="96">
        <v>10</v>
      </c>
      <c r="R56" s="47"/>
      <c r="S56" s="48"/>
      <c r="T56" s="82">
        <v>0.6875</v>
      </c>
      <c r="U56" s="82">
        <v>0.69444444444444453</v>
      </c>
      <c r="V56" s="97" t="s">
        <v>85</v>
      </c>
      <c r="W56" s="3"/>
      <c r="X56" s="72"/>
      <c r="Y56" s="99">
        <v>0.69097222222222221</v>
      </c>
      <c r="Z56" s="99">
        <v>0.69791666666666663</v>
      </c>
      <c r="AA56" s="97" t="s">
        <v>86</v>
      </c>
      <c r="AB56" s="73"/>
      <c r="AC56" s="50"/>
      <c r="AD56" s="106" t="s">
        <v>87</v>
      </c>
      <c r="AE56" s="3" t="s">
        <v>83</v>
      </c>
      <c r="AF56" s="107">
        <v>0.69444444444444453</v>
      </c>
      <c r="AG56" s="108">
        <v>0.72569444444444453</v>
      </c>
      <c r="AH56" s="109"/>
      <c r="AI56" s="54"/>
      <c r="AJ56" s="3"/>
      <c r="AK56" s="3">
        <v>1</v>
      </c>
      <c r="AL56" s="3"/>
      <c r="AM56" s="4"/>
      <c r="AN56" s="4"/>
      <c r="AO56" s="3"/>
      <c r="AP56" s="4"/>
      <c r="AQ56" s="3"/>
      <c r="AR56" s="3"/>
      <c r="AS56" s="3"/>
    </row>
    <row r="57" spans="1:45" s="53" customFormat="1" ht="19.5" hidden="1" customHeight="1">
      <c r="A57" s="35">
        <f t="shared" si="4"/>
        <v>0</v>
      </c>
      <c r="B57" s="81"/>
      <c r="C57" s="102"/>
      <c r="D57" s="46"/>
      <c r="E57" s="3"/>
      <c r="F57" s="3"/>
      <c r="G57" s="3"/>
      <c r="H57" s="41"/>
      <c r="I57" s="37" t="s">
        <v>80</v>
      </c>
      <c r="J57" s="43"/>
      <c r="K57" s="94"/>
      <c r="L57" s="94" t="s">
        <v>81</v>
      </c>
      <c r="M57" s="98"/>
      <c r="N57" s="44" t="str">
        <f t="shared" si="8"/>
        <v/>
      </c>
      <c r="O57" s="45" t="s">
        <v>82</v>
      </c>
      <c r="P57" s="96" t="s">
        <v>84</v>
      </c>
      <c r="Q57" s="96">
        <v>10</v>
      </c>
      <c r="R57" s="47"/>
      <c r="S57" s="48"/>
      <c r="T57" s="82">
        <v>0.6875</v>
      </c>
      <c r="U57" s="82">
        <v>0.69444444444444453</v>
      </c>
      <c r="V57" s="97" t="s">
        <v>85</v>
      </c>
      <c r="W57" s="3"/>
      <c r="X57" s="72"/>
      <c r="Y57" s="99">
        <v>0.69097222222222221</v>
      </c>
      <c r="Z57" s="99">
        <v>0.69791666666666663</v>
      </c>
      <c r="AA57" s="97" t="s">
        <v>86</v>
      </c>
      <c r="AB57" s="73"/>
      <c r="AC57" s="50"/>
      <c r="AD57" s="106" t="s">
        <v>87</v>
      </c>
      <c r="AE57" s="3" t="s">
        <v>83</v>
      </c>
      <c r="AF57" s="107">
        <v>0.69444444444444453</v>
      </c>
      <c r="AG57" s="110">
        <v>0.72569444444444453</v>
      </c>
      <c r="AH57" s="111"/>
      <c r="AI57" s="54"/>
      <c r="AJ57" s="3"/>
      <c r="AK57" s="3">
        <v>1</v>
      </c>
      <c r="AL57" s="3"/>
      <c r="AM57" s="4"/>
      <c r="AN57" s="4"/>
      <c r="AO57" s="3"/>
      <c r="AP57" s="4"/>
      <c r="AQ57" s="3"/>
      <c r="AR57" s="3"/>
      <c r="AS57" s="3"/>
    </row>
    <row r="58" spans="1:45" s="53" customFormat="1" ht="19.5" hidden="1" customHeight="1">
      <c r="A58" s="35">
        <f t="shared" si="4"/>
        <v>0</v>
      </c>
      <c r="B58" s="81"/>
      <c r="C58" s="102"/>
      <c r="D58" s="46"/>
      <c r="E58" s="3"/>
      <c r="F58" s="3"/>
      <c r="G58" s="3"/>
      <c r="H58" s="41"/>
      <c r="I58" s="3" t="s">
        <v>80</v>
      </c>
      <c r="J58" s="78"/>
      <c r="K58" s="98"/>
      <c r="L58" s="98" t="s">
        <v>81</v>
      </c>
      <c r="M58" s="98"/>
      <c r="N58" s="44" t="str">
        <f t="shared" si="8"/>
        <v/>
      </c>
      <c r="O58" s="45" t="s">
        <v>82</v>
      </c>
      <c r="P58" s="96" t="s">
        <v>84</v>
      </c>
      <c r="Q58" s="96">
        <v>10</v>
      </c>
      <c r="R58" s="47"/>
      <c r="S58" s="48"/>
      <c r="T58" s="82">
        <v>0.6875</v>
      </c>
      <c r="U58" s="82">
        <v>0.69444444444444453</v>
      </c>
      <c r="V58" s="97" t="s">
        <v>85</v>
      </c>
      <c r="W58" s="3"/>
      <c r="X58" s="72"/>
      <c r="Y58" s="99">
        <v>0.69097222222222221</v>
      </c>
      <c r="Z58" s="99">
        <v>0.69791666666666663</v>
      </c>
      <c r="AA58" s="97" t="s">
        <v>86</v>
      </c>
      <c r="AB58" s="73"/>
      <c r="AC58" s="50"/>
      <c r="AD58" s="106" t="s">
        <v>87</v>
      </c>
      <c r="AE58" s="3" t="s">
        <v>83</v>
      </c>
      <c r="AF58" s="107">
        <v>0.69444444444444453</v>
      </c>
      <c r="AG58" s="112">
        <v>0.72638888888888886</v>
      </c>
      <c r="AH58" s="113">
        <v>20</v>
      </c>
      <c r="AI58" s="54"/>
      <c r="AJ58" s="3"/>
      <c r="AK58" s="3">
        <v>1</v>
      </c>
      <c r="AL58" s="3"/>
      <c r="AM58" s="4"/>
      <c r="AN58" s="4"/>
      <c r="AO58" s="3"/>
      <c r="AP58" s="4"/>
      <c r="AQ58" s="3"/>
      <c r="AR58" s="3"/>
      <c r="AS58" s="3"/>
    </row>
    <row r="59" spans="1:45" s="53" customFormat="1" ht="19.5" hidden="1" customHeight="1">
      <c r="A59" s="35">
        <f t="shared" si="4"/>
        <v>0</v>
      </c>
      <c r="B59" s="81"/>
      <c r="C59" s="3"/>
      <c r="D59" s="46"/>
      <c r="E59" s="3"/>
      <c r="F59" s="3"/>
      <c r="G59" s="3"/>
      <c r="H59" s="41"/>
      <c r="I59" s="3"/>
      <c r="J59" s="78"/>
      <c r="K59" s="78"/>
      <c r="L59" s="78"/>
      <c r="M59" s="78"/>
      <c r="N59" s="44" t="str">
        <f t="shared" si="8"/>
        <v/>
      </c>
      <c r="O59" s="45"/>
      <c r="P59" s="3"/>
      <c r="Q59" s="46"/>
      <c r="R59" s="47"/>
      <c r="S59" s="48"/>
      <c r="T59" s="80"/>
      <c r="U59" s="80"/>
      <c r="V59" s="3"/>
      <c r="W59" s="3"/>
      <c r="X59" s="50"/>
      <c r="Y59" s="80"/>
      <c r="Z59" s="80"/>
      <c r="AA59" s="3"/>
      <c r="AC59" s="50"/>
      <c r="AD59" s="50"/>
      <c r="AE59" s="3" t="str">
        <f>IF(OR(V59="電話不通 x2",V59="DS判断"),"DS確認→U列入力",IF(V59="希望","U列入力",IF(V59="拒否","DS確認",IF(V59="外国語","DS確認",IF(V59="電話不通 x1","ORM再架電","-")))))</f>
        <v>-</v>
      </c>
      <c r="AF59" s="51"/>
      <c r="AG59" s="52" t="str">
        <f t="shared" ref="AG59:AG69" ca="1" si="10">IF(AF59="","",IF($AF59+TIME(0,30,0)&lt;(TEXT(NOW(),"h:mm:ss")*1),$AF59+TIME(0,45,0),$AF59+TIME(0,30,0)))</f>
        <v/>
      </c>
      <c r="AI59" s="54"/>
      <c r="AJ59" s="3"/>
      <c r="AK59" s="3">
        <v>1</v>
      </c>
      <c r="AL59" s="3"/>
      <c r="AM59" s="4"/>
      <c r="AN59" s="4"/>
      <c r="AO59" s="3"/>
      <c r="AP59" s="4"/>
      <c r="AQ59" s="3"/>
      <c r="AR59" s="3"/>
      <c r="AS59" s="3"/>
    </row>
    <row r="60" spans="1:45" s="53" customFormat="1" ht="19.5" hidden="1" customHeight="1">
      <c r="A60" s="35">
        <f t="shared" si="4"/>
        <v>0</v>
      </c>
      <c r="B60" s="81"/>
      <c r="C60" s="3"/>
      <c r="D60" s="46"/>
      <c r="E60" s="3"/>
      <c r="F60" s="3"/>
      <c r="G60" s="3"/>
      <c r="H60" s="41"/>
      <c r="I60" s="3"/>
      <c r="J60" s="78"/>
      <c r="K60" s="78"/>
      <c r="L60" s="78"/>
      <c r="M60" s="78"/>
      <c r="N60" s="44" t="str">
        <f t="shared" si="8"/>
        <v/>
      </c>
      <c r="O60" s="45"/>
      <c r="P60" s="3"/>
      <c r="Q60" s="46"/>
      <c r="R60" s="47"/>
      <c r="S60" s="48"/>
      <c r="T60" s="80"/>
      <c r="U60" s="80"/>
      <c r="V60" s="3"/>
      <c r="W60" s="3"/>
      <c r="X60" s="50"/>
      <c r="Y60" s="80"/>
      <c r="Z60" s="80"/>
      <c r="AA60" s="3"/>
      <c r="AC60" s="50"/>
      <c r="AD60" s="50"/>
      <c r="AE60" s="3" t="str">
        <f>IF(OR(V60="電話不通 x2",V60="DS判断"),"DS確認→U列入力",IF(V60="希望","U列入力",IF(V60="拒否","DS確認",IF(V60="外国語","DS確認",IF(V60="電話不通 x1","ORM再架電","-")))))</f>
        <v>-</v>
      </c>
      <c r="AF60" s="51"/>
      <c r="AG60" s="52" t="str">
        <f t="shared" ca="1" si="10"/>
        <v/>
      </c>
      <c r="AI60" s="54"/>
      <c r="AJ60" s="3"/>
      <c r="AK60" s="3">
        <v>1</v>
      </c>
      <c r="AL60" s="3"/>
      <c r="AM60" s="4"/>
      <c r="AN60" s="4"/>
      <c r="AO60" s="3"/>
      <c r="AP60" s="4"/>
      <c r="AQ60" s="3"/>
      <c r="AR60" s="3"/>
      <c r="AS60" s="3"/>
    </row>
    <row r="61" spans="1:45" s="53" customFormat="1" ht="19.5" hidden="1" customHeight="1">
      <c r="A61" s="35">
        <f t="shared" si="4"/>
        <v>0</v>
      </c>
      <c r="B61" s="81"/>
      <c r="C61" s="3"/>
      <c r="D61" s="46"/>
      <c r="E61" s="3"/>
      <c r="F61" s="3"/>
      <c r="G61" s="3"/>
      <c r="H61" s="41"/>
      <c r="I61" s="3"/>
      <c r="J61" s="78"/>
      <c r="K61" s="78"/>
      <c r="L61" s="78"/>
      <c r="M61" s="78"/>
      <c r="N61" s="44" t="str">
        <f t="shared" si="8"/>
        <v/>
      </c>
      <c r="O61" s="45"/>
      <c r="P61" s="3"/>
      <c r="Q61" s="46"/>
      <c r="R61" s="47"/>
      <c r="S61" s="48"/>
      <c r="T61" s="80"/>
      <c r="U61" s="80"/>
      <c r="V61" s="3"/>
      <c r="W61" s="3"/>
      <c r="X61" s="50"/>
      <c r="Y61" s="80"/>
      <c r="Z61" s="80"/>
      <c r="AA61" s="3"/>
      <c r="AC61" s="50"/>
      <c r="AD61" s="50"/>
      <c r="AE61" s="3" t="str">
        <f>IF(OR(V61="電話不通 x2",V61="DS判断"),"DS確認→U列入力",IF(V61="希望","U列入力",IF(V61="拒否","DS確認",IF(V61="外国語","DS確認",IF(V61="電話不通 x1","ORM再架電","-")))))</f>
        <v>-</v>
      </c>
      <c r="AF61" s="51"/>
      <c r="AG61" s="52" t="str">
        <f t="shared" ca="1" si="10"/>
        <v/>
      </c>
      <c r="AI61" s="54"/>
      <c r="AJ61" s="3"/>
      <c r="AK61" s="3">
        <v>1</v>
      </c>
      <c r="AL61" s="3"/>
      <c r="AM61" s="4"/>
      <c r="AN61" s="4"/>
      <c r="AO61" s="3"/>
      <c r="AP61" s="4"/>
      <c r="AQ61" s="3"/>
      <c r="AR61" s="3"/>
      <c r="AS61" s="3"/>
    </row>
    <row r="62" spans="1:45" s="53" customFormat="1" ht="19.5" hidden="1" customHeight="1">
      <c r="A62" s="35">
        <f t="shared" si="4"/>
        <v>0</v>
      </c>
      <c r="B62" s="36"/>
      <c r="C62" s="37"/>
      <c r="D62" s="38" t="s">
        <v>88</v>
      </c>
      <c r="E62" s="37"/>
      <c r="F62" s="39"/>
      <c r="G62" s="40"/>
      <c r="H62" s="41"/>
      <c r="I62" s="37" t="s">
        <v>80</v>
      </c>
      <c r="J62" s="43"/>
      <c r="K62" s="94"/>
      <c r="L62" s="94" t="s">
        <v>81</v>
      </c>
      <c r="M62" s="94"/>
      <c r="N62" s="44" t="str">
        <f t="shared" si="8"/>
        <v/>
      </c>
      <c r="O62" s="45" t="s">
        <v>82</v>
      </c>
      <c r="P62" s="95"/>
      <c r="Q62" s="95"/>
      <c r="R62" s="47"/>
      <c r="S62" s="48"/>
      <c r="T62" s="49"/>
      <c r="U62" s="49"/>
      <c r="V62" s="3"/>
      <c r="W62" s="3"/>
      <c r="X62" s="50"/>
      <c r="Y62" s="49"/>
      <c r="Z62" s="49"/>
      <c r="AA62" s="3"/>
      <c r="AC62" s="50"/>
      <c r="AD62" s="50"/>
      <c r="AE62" s="3" t="s">
        <v>83</v>
      </c>
      <c r="AF62" s="51"/>
      <c r="AG62" s="52" t="str">
        <f t="shared" ca="1" si="10"/>
        <v/>
      </c>
      <c r="AI62" s="54"/>
      <c r="AJ62" s="3"/>
      <c r="AK62" s="3">
        <v>1</v>
      </c>
      <c r="AL62" s="3"/>
      <c r="AM62" s="4"/>
      <c r="AN62" s="4"/>
      <c r="AO62" s="3"/>
      <c r="AP62" s="4"/>
      <c r="AQ62" s="3"/>
      <c r="AR62" s="3"/>
      <c r="AS62" s="3"/>
    </row>
    <row r="63" spans="1:45" s="53" customFormat="1" ht="19.5" hidden="1" customHeight="1">
      <c r="A63" s="35">
        <f t="shared" si="4"/>
        <v>0</v>
      </c>
      <c r="B63" s="36"/>
      <c r="C63" s="37"/>
      <c r="D63" s="38"/>
      <c r="E63" s="37"/>
      <c r="F63" s="39"/>
      <c r="G63" s="40"/>
      <c r="H63" s="41"/>
      <c r="I63" s="37" t="s">
        <v>80</v>
      </c>
      <c r="J63" s="43"/>
      <c r="K63" s="94"/>
      <c r="L63" s="94" t="s">
        <v>81</v>
      </c>
      <c r="M63" s="94"/>
      <c r="N63" s="44" t="str">
        <f t="shared" si="8"/>
        <v/>
      </c>
      <c r="O63" s="45" t="s">
        <v>82</v>
      </c>
      <c r="P63" s="96" t="s">
        <v>84</v>
      </c>
      <c r="Q63" s="96">
        <v>10</v>
      </c>
      <c r="R63" s="47"/>
      <c r="S63" s="48"/>
      <c r="T63" s="79"/>
      <c r="U63" s="49"/>
      <c r="V63" s="3"/>
      <c r="W63" s="3"/>
      <c r="X63" s="50"/>
      <c r="Y63" s="49"/>
      <c r="Z63" s="49"/>
      <c r="AA63" s="3"/>
      <c r="AC63" s="50"/>
      <c r="AD63" s="50"/>
      <c r="AE63" s="3" t="s">
        <v>83</v>
      </c>
      <c r="AF63" s="51"/>
      <c r="AG63" s="52" t="str">
        <f t="shared" ca="1" si="10"/>
        <v/>
      </c>
      <c r="AI63" s="54"/>
      <c r="AJ63" s="3"/>
      <c r="AK63" s="3">
        <v>1</v>
      </c>
      <c r="AL63" s="3"/>
      <c r="AM63" s="4"/>
      <c r="AN63" s="4"/>
      <c r="AO63" s="3"/>
      <c r="AP63" s="4"/>
      <c r="AQ63" s="3"/>
      <c r="AR63" s="3"/>
      <c r="AS63" s="3"/>
    </row>
    <row r="64" spans="1:45" s="53" customFormat="1" ht="19.5" hidden="1" customHeight="1">
      <c r="A64" s="35">
        <f t="shared" si="4"/>
        <v>0</v>
      </c>
      <c r="B64" s="36"/>
      <c r="C64" s="37"/>
      <c r="D64" s="38"/>
      <c r="E64" s="37"/>
      <c r="F64" s="39"/>
      <c r="G64" s="40"/>
      <c r="H64" s="41"/>
      <c r="I64" s="37" t="s">
        <v>80</v>
      </c>
      <c r="J64" s="43"/>
      <c r="K64" s="94"/>
      <c r="L64" s="94" t="s">
        <v>81</v>
      </c>
      <c r="M64" s="94"/>
      <c r="N64" s="44" t="str">
        <f t="shared" si="8"/>
        <v/>
      </c>
      <c r="O64" s="45" t="s">
        <v>82</v>
      </c>
      <c r="P64" s="96" t="s">
        <v>84</v>
      </c>
      <c r="Q64" s="96">
        <v>10</v>
      </c>
      <c r="R64" s="47"/>
      <c r="S64" s="48"/>
      <c r="T64" s="82">
        <v>0.6875</v>
      </c>
      <c r="U64" s="79">
        <v>0.69444444444444453</v>
      </c>
      <c r="V64" s="83"/>
      <c r="W64" s="3"/>
      <c r="X64" s="50"/>
      <c r="Y64" s="49"/>
      <c r="Z64" s="49"/>
      <c r="AA64" s="3"/>
      <c r="AC64" s="50"/>
      <c r="AD64" s="50"/>
      <c r="AE64" s="3" t="s">
        <v>83</v>
      </c>
      <c r="AF64" s="51"/>
      <c r="AG64" s="52" t="str">
        <f t="shared" ca="1" si="10"/>
        <v/>
      </c>
      <c r="AI64" s="54"/>
      <c r="AJ64" s="3"/>
      <c r="AK64" s="3">
        <v>1</v>
      </c>
      <c r="AL64" s="3"/>
      <c r="AM64" s="4"/>
      <c r="AN64" s="4"/>
      <c r="AO64" s="3"/>
      <c r="AP64" s="4"/>
      <c r="AQ64" s="3"/>
      <c r="AR64" s="3"/>
      <c r="AS64" s="3"/>
    </row>
    <row r="65" spans="1:45" s="53" customFormat="1" ht="19.5" hidden="1" customHeight="1">
      <c r="A65" s="35">
        <f t="shared" si="4"/>
        <v>0</v>
      </c>
      <c r="B65" s="36"/>
      <c r="C65" s="37"/>
      <c r="D65" s="38"/>
      <c r="E65" s="37"/>
      <c r="F65" s="39"/>
      <c r="G65" s="40"/>
      <c r="H65" s="41"/>
      <c r="I65" s="37" t="s">
        <v>80</v>
      </c>
      <c r="J65" s="43"/>
      <c r="K65" s="94"/>
      <c r="L65" s="94" t="s">
        <v>81</v>
      </c>
      <c r="M65" s="94"/>
      <c r="N65" s="44" t="str">
        <f t="shared" si="8"/>
        <v/>
      </c>
      <c r="O65" s="45" t="s">
        <v>82</v>
      </c>
      <c r="P65" s="96" t="s">
        <v>84</v>
      </c>
      <c r="Q65" s="96">
        <v>10</v>
      </c>
      <c r="R65" s="47"/>
      <c r="S65" s="48"/>
      <c r="T65" s="82">
        <v>0.6875</v>
      </c>
      <c r="U65" s="82">
        <v>0.69444444444444453</v>
      </c>
      <c r="V65" s="97" t="s">
        <v>85</v>
      </c>
      <c r="W65" s="3"/>
      <c r="X65" s="72"/>
      <c r="Y65" s="79"/>
      <c r="Z65" s="114" t="s">
        <v>89</v>
      </c>
      <c r="AA65" s="3"/>
      <c r="AC65" s="50"/>
      <c r="AD65" s="50"/>
      <c r="AE65" s="3" t="s">
        <v>83</v>
      </c>
      <c r="AF65" s="51"/>
      <c r="AG65" s="52" t="str">
        <f t="shared" ca="1" si="10"/>
        <v/>
      </c>
      <c r="AI65" s="54"/>
      <c r="AJ65" s="3"/>
      <c r="AK65" s="3">
        <v>1</v>
      </c>
      <c r="AL65" s="3"/>
      <c r="AM65" s="4"/>
      <c r="AN65" s="4"/>
      <c r="AO65" s="3"/>
      <c r="AP65" s="4"/>
      <c r="AQ65" s="3"/>
      <c r="AR65" s="3"/>
      <c r="AS65" s="3"/>
    </row>
    <row r="66" spans="1:45" s="53" customFormat="1" ht="19.5" hidden="1" customHeight="1">
      <c r="A66" s="35">
        <f t="shared" si="4"/>
        <v>0</v>
      </c>
      <c r="B66" s="81"/>
      <c r="C66" s="37"/>
      <c r="D66" s="46"/>
      <c r="E66" s="37"/>
      <c r="F66" s="37"/>
      <c r="G66" s="37"/>
      <c r="H66" s="41"/>
      <c r="I66" s="37" t="s">
        <v>80</v>
      </c>
      <c r="J66" s="43"/>
      <c r="K66" s="94"/>
      <c r="L66" s="94" t="s">
        <v>81</v>
      </c>
      <c r="M66" s="98"/>
      <c r="N66" s="44" t="str">
        <f t="shared" si="8"/>
        <v/>
      </c>
      <c r="O66" s="45" t="s">
        <v>82</v>
      </c>
      <c r="P66" s="96" t="s">
        <v>84</v>
      </c>
      <c r="Q66" s="96">
        <v>10</v>
      </c>
      <c r="R66" s="47"/>
      <c r="S66" s="48"/>
      <c r="T66" s="82">
        <v>0.6875</v>
      </c>
      <c r="U66" s="82">
        <v>0.69444444444444453</v>
      </c>
      <c r="V66" s="97" t="s">
        <v>85</v>
      </c>
      <c r="W66" s="3"/>
      <c r="X66" s="72"/>
      <c r="Y66" s="99">
        <v>0.69097222222222221</v>
      </c>
      <c r="Z66" s="115">
        <v>0.69791666666666663</v>
      </c>
      <c r="AA66" s="83"/>
      <c r="AB66" s="101"/>
      <c r="AC66" s="50"/>
      <c r="AD66" s="50"/>
      <c r="AE66" s="3" t="s">
        <v>83</v>
      </c>
      <c r="AF66" s="51"/>
      <c r="AG66" s="52" t="str">
        <f t="shared" ca="1" si="10"/>
        <v/>
      </c>
      <c r="AI66" s="54"/>
      <c r="AJ66" s="3"/>
      <c r="AK66" s="3">
        <v>1</v>
      </c>
      <c r="AL66" s="3"/>
      <c r="AM66" s="4"/>
      <c r="AN66" s="4"/>
      <c r="AO66" s="3"/>
      <c r="AP66" s="4"/>
      <c r="AQ66" s="3"/>
      <c r="AR66" s="3"/>
      <c r="AS66" s="3"/>
    </row>
    <row r="67" spans="1:45" s="53" customFormat="1" ht="19.5" hidden="1" customHeight="1">
      <c r="A67" s="35">
        <f t="shared" si="4"/>
        <v>0</v>
      </c>
      <c r="B67" s="81"/>
      <c r="C67" s="102"/>
      <c r="D67" s="46"/>
      <c r="E67" s="3"/>
      <c r="F67" s="3"/>
      <c r="G67" s="3"/>
      <c r="H67" s="41"/>
      <c r="I67" s="37" t="s">
        <v>80</v>
      </c>
      <c r="J67" s="43"/>
      <c r="K67" s="94"/>
      <c r="L67" s="94" t="s">
        <v>81</v>
      </c>
      <c r="M67" s="98"/>
      <c r="N67" s="44" t="str">
        <f t="shared" si="8"/>
        <v/>
      </c>
      <c r="O67" s="45" t="s">
        <v>82</v>
      </c>
      <c r="P67" s="96" t="s">
        <v>84</v>
      </c>
      <c r="Q67" s="96">
        <v>10</v>
      </c>
      <c r="R67" s="47"/>
      <c r="S67" s="48"/>
      <c r="T67" s="82">
        <v>0.6875</v>
      </c>
      <c r="U67" s="82">
        <v>0.69444444444444453</v>
      </c>
      <c r="V67" s="97" t="s">
        <v>85</v>
      </c>
      <c r="W67" s="3"/>
      <c r="X67" s="106" t="s">
        <v>90</v>
      </c>
      <c r="Y67" s="99">
        <v>0.69097222222222221</v>
      </c>
      <c r="Z67" s="91">
        <v>0.69791666666666663</v>
      </c>
      <c r="AA67" s="83" t="s">
        <v>91</v>
      </c>
      <c r="AB67" s="73"/>
      <c r="AC67" s="103"/>
      <c r="AD67" s="103"/>
      <c r="AE67" s="3" t="s">
        <v>83</v>
      </c>
      <c r="AF67" s="51"/>
      <c r="AG67" s="52" t="str">
        <f t="shared" ca="1" si="10"/>
        <v/>
      </c>
      <c r="AI67" s="54"/>
      <c r="AJ67" s="3"/>
      <c r="AK67" s="3">
        <v>1</v>
      </c>
      <c r="AL67" s="3"/>
      <c r="AM67" s="4"/>
      <c r="AN67" s="4"/>
      <c r="AO67" s="3"/>
      <c r="AP67" s="4"/>
      <c r="AQ67" s="3"/>
      <c r="AR67" s="3"/>
      <c r="AS67" s="3"/>
    </row>
    <row r="68" spans="1:45" s="53" customFormat="1" ht="19.5" hidden="1" customHeight="1">
      <c r="A68" s="35">
        <f t="shared" si="4"/>
        <v>0</v>
      </c>
      <c r="B68" s="81"/>
      <c r="C68" s="102"/>
      <c r="D68" s="116"/>
      <c r="E68" s="3"/>
      <c r="F68" s="3"/>
      <c r="G68" s="3"/>
      <c r="H68" s="41"/>
      <c r="I68" s="89" t="s">
        <v>80</v>
      </c>
      <c r="J68" s="90"/>
      <c r="K68" s="94"/>
      <c r="L68" s="94" t="s">
        <v>81</v>
      </c>
      <c r="M68" s="98"/>
      <c r="N68" s="44" t="str">
        <f t="shared" si="8"/>
        <v/>
      </c>
      <c r="O68" s="45" t="s">
        <v>82</v>
      </c>
      <c r="P68" s="116" t="s">
        <v>84</v>
      </c>
      <c r="Q68" s="116">
        <v>10</v>
      </c>
      <c r="R68" s="47"/>
      <c r="S68" s="48"/>
      <c r="T68" s="82">
        <v>0.6875</v>
      </c>
      <c r="U68" s="82">
        <v>0.69444444444444453</v>
      </c>
      <c r="V68" s="97" t="s">
        <v>85</v>
      </c>
      <c r="W68" s="3"/>
      <c r="X68" s="117" t="s">
        <v>90</v>
      </c>
      <c r="Y68" s="99">
        <v>0.69097222222222221</v>
      </c>
      <c r="Z68" s="99">
        <v>0.69791666666666663</v>
      </c>
      <c r="AA68" s="89" t="s">
        <v>67</v>
      </c>
      <c r="AB68" s="73"/>
      <c r="AC68" s="50"/>
      <c r="AD68" s="50"/>
      <c r="AE68" s="3" t="s">
        <v>83</v>
      </c>
      <c r="AF68" s="51"/>
      <c r="AG68" s="52" t="str">
        <f t="shared" ca="1" si="10"/>
        <v/>
      </c>
      <c r="AI68" s="54"/>
      <c r="AJ68" s="3"/>
      <c r="AK68" s="3">
        <v>1</v>
      </c>
      <c r="AL68" s="3"/>
      <c r="AM68" s="4"/>
      <c r="AN68" s="4"/>
      <c r="AO68" s="3"/>
      <c r="AP68" s="4"/>
      <c r="AQ68" s="3"/>
      <c r="AR68" s="3"/>
      <c r="AS68" s="3"/>
    </row>
    <row r="69" spans="1:45" s="53" customFormat="1" ht="19.5" hidden="1" customHeight="1">
      <c r="A69" s="35">
        <f>A66</f>
        <v>0</v>
      </c>
      <c r="B69" s="81"/>
      <c r="C69" s="102"/>
      <c r="D69" s="46"/>
      <c r="E69" s="3"/>
      <c r="F69" s="3"/>
      <c r="G69" s="3"/>
      <c r="H69" s="41"/>
      <c r="I69" s="37" t="s">
        <v>80</v>
      </c>
      <c r="J69" s="43"/>
      <c r="K69" s="94"/>
      <c r="L69" s="94" t="s">
        <v>81</v>
      </c>
      <c r="M69" s="98"/>
      <c r="N69" s="44" t="str">
        <f t="shared" si="8"/>
        <v/>
      </c>
      <c r="O69" s="45" t="s">
        <v>82</v>
      </c>
      <c r="P69" s="96" t="s">
        <v>84</v>
      </c>
      <c r="Q69" s="96">
        <v>10</v>
      </c>
      <c r="R69" s="47"/>
      <c r="S69" s="48"/>
      <c r="T69" s="82">
        <v>0.6875</v>
      </c>
      <c r="U69" s="82">
        <v>0.69444444444444453</v>
      </c>
      <c r="V69" s="97" t="s">
        <v>85</v>
      </c>
      <c r="W69" s="3"/>
      <c r="X69" s="106" t="s">
        <v>90</v>
      </c>
      <c r="Y69" s="99">
        <v>0.69097222222222221</v>
      </c>
      <c r="Z69" s="99">
        <v>0.69791666666666663</v>
      </c>
      <c r="AA69" s="97" t="s">
        <v>92</v>
      </c>
      <c r="AB69" s="73"/>
      <c r="AC69" s="50"/>
      <c r="AD69" s="118"/>
      <c r="AE69" s="83"/>
      <c r="AF69" s="105"/>
      <c r="AG69" s="52" t="str">
        <f t="shared" ca="1" si="10"/>
        <v/>
      </c>
      <c r="AI69" s="54"/>
      <c r="AJ69" s="3"/>
      <c r="AK69" s="3">
        <v>1</v>
      </c>
      <c r="AL69" s="3"/>
      <c r="AM69" s="4"/>
      <c r="AN69" s="4"/>
      <c r="AO69" s="3"/>
      <c r="AP69" s="4"/>
      <c r="AQ69" s="3"/>
      <c r="AR69" s="3"/>
      <c r="AS69" s="3"/>
    </row>
    <row r="70" spans="1:45" s="53" customFormat="1" ht="19.5" hidden="1" customHeight="1">
      <c r="A70" s="35">
        <f>A67</f>
        <v>0</v>
      </c>
      <c r="B70" s="81"/>
      <c r="C70" s="102"/>
      <c r="D70" s="46"/>
      <c r="E70" s="3"/>
      <c r="F70" s="3"/>
      <c r="G70" s="3"/>
      <c r="H70" s="41"/>
      <c r="I70" s="37" t="s">
        <v>80</v>
      </c>
      <c r="J70" s="43"/>
      <c r="K70" s="94"/>
      <c r="L70" s="94" t="s">
        <v>81</v>
      </c>
      <c r="M70" s="98"/>
      <c r="N70" s="44" t="str">
        <f t="shared" si="8"/>
        <v/>
      </c>
      <c r="O70" s="45" t="s">
        <v>82</v>
      </c>
      <c r="P70" s="96" t="s">
        <v>84</v>
      </c>
      <c r="Q70" s="96">
        <v>10</v>
      </c>
      <c r="R70" s="47"/>
      <c r="S70" s="48"/>
      <c r="T70" s="82">
        <v>0.6875</v>
      </c>
      <c r="U70" s="82">
        <v>0.69444444444444453</v>
      </c>
      <c r="V70" s="97" t="s">
        <v>85</v>
      </c>
      <c r="W70" s="3"/>
      <c r="X70" s="106" t="s">
        <v>90</v>
      </c>
      <c r="Y70" s="99">
        <v>0.69097222222222221</v>
      </c>
      <c r="Z70" s="99">
        <v>0.69791666666666663</v>
      </c>
      <c r="AA70" s="97" t="s">
        <v>92</v>
      </c>
      <c r="AB70" s="73"/>
      <c r="AC70" s="50"/>
      <c r="AD70" s="106" t="s">
        <v>87</v>
      </c>
      <c r="AE70" s="3" t="s">
        <v>83</v>
      </c>
      <c r="AF70" s="107">
        <v>0.69444444444444453</v>
      </c>
      <c r="AG70" s="119">
        <v>0.71527777777777779</v>
      </c>
      <c r="AI70" s="54"/>
      <c r="AJ70" s="3"/>
      <c r="AK70" s="3">
        <v>1</v>
      </c>
      <c r="AL70" s="3"/>
      <c r="AM70" s="4"/>
      <c r="AN70" s="4"/>
      <c r="AO70" s="3"/>
      <c r="AP70" s="4"/>
      <c r="AQ70" s="3"/>
      <c r="AR70" s="3"/>
      <c r="AS70" s="3"/>
    </row>
    <row r="71" spans="1:45" s="53" customFormat="1" ht="19.5" hidden="1" customHeight="1">
      <c r="A71" s="35">
        <f>A68</f>
        <v>0</v>
      </c>
      <c r="B71" s="81"/>
      <c r="C71" s="102"/>
      <c r="D71" s="46"/>
      <c r="E71" s="3"/>
      <c r="F71" s="3"/>
      <c r="G71" s="3"/>
      <c r="H71" s="41"/>
      <c r="I71" s="37" t="s">
        <v>80</v>
      </c>
      <c r="J71" s="43"/>
      <c r="K71" s="94"/>
      <c r="L71" s="94" t="s">
        <v>81</v>
      </c>
      <c r="M71" s="98"/>
      <c r="N71" s="44" t="str">
        <f t="shared" si="8"/>
        <v/>
      </c>
      <c r="O71" s="45" t="s">
        <v>82</v>
      </c>
      <c r="P71" s="96" t="s">
        <v>84</v>
      </c>
      <c r="Q71" s="96">
        <v>10</v>
      </c>
      <c r="R71" s="47"/>
      <c r="S71" s="48"/>
      <c r="T71" s="82">
        <v>0.6875</v>
      </c>
      <c r="U71" s="82">
        <v>0.69444444444444453</v>
      </c>
      <c r="V71" s="97" t="s">
        <v>85</v>
      </c>
      <c r="W71" s="3"/>
      <c r="X71" s="106" t="s">
        <v>90</v>
      </c>
      <c r="Y71" s="99">
        <v>0.69097222222222221</v>
      </c>
      <c r="Z71" s="99">
        <v>0.69791666666666663</v>
      </c>
      <c r="AA71" s="97" t="s">
        <v>92</v>
      </c>
      <c r="AB71" s="73"/>
      <c r="AC71" s="50"/>
      <c r="AD71" s="106" t="s">
        <v>87</v>
      </c>
      <c r="AE71" s="3" t="s">
        <v>83</v>
      </c>
      <c r="AF71" s="107">
        <v>0.69444444444444453</v>
      </c>
      <c r="AG71" s="108">
        <v>0.72569444444444453</v>
      </c>
      <c r="AH71" s="109"/>
      <c r="AI71" s="54"/>
      <c r="AJ71" s="3"/>
      <c r="AK71" s="3">
        <v>1</v>
      </c>
      <c r="AL71" s="3"/>
      <c r="AM71" s="4"/>
      <c r="AN71" s="4"/>
      <c r="AO71" s="3"/>
      <c r="AP71" s="4"/>
      <c r="AQ71" s="3"/>
      <c r="AR71" s="3"/>
      <c r="AS71" s="3"/>
    </row>
    <row r="72" spans="1:45" s="53" customFormat="1" ht="19.5" hidden="1" customHeight="1">
      <c r="A72" s="35">
        <f t="shared" si="4"/>
        <v>0</v>
      </c>
      <c r="B72" s="81"/>
      <c r="C72" s="102"/>
      <c r="D72" s="46"/>
      <c r="E72" s="3"/>
      <c r="F72" s="3"/>
      <c r="G72" s="3"/>
      <c r="H72" s="41"/>
      <c r="I72" s="37" t="s">
        <v>80</v>
      </c>
      <c r="J72" s="43"/>
      <c r="K72" s="94"/>
      <c r="L72" s="94" t="s">
        <v>81</v>
      </c>
      <c r="M72" s="98"/>
      <c r="N72" s="44" t="str">
        <f t="shared" si="8"/>
        <v/>
      </c>
      <c r="O72" s="45" t="s">
        <v>82</v>
      </c>
      <c r="P72" s="96" t="s">
        <v>84</v>
      </c>
      <c r="Q72" s="96">
        <v>10</v>
      </c>
      <c r="R72" s="47"/>
      <c r="S72" s="48"/>
      <c r="T72" s="82">
        <v>0.6875</v>
      </c>
      <c r="U72" s="82">
        <v>0.69444444444444453</v>
      </c>
      <c r="V72" s="97" t="s">
        <v>85</v>
      </c>
      <c r="W72" s="3"/>
      <c r="X72" s="106" t="s">
        <v>90</v>
      </c>
      <c r="Y72" s="99">
        <v>0.69097222222222221</v>
      </c>
      <c r="Z72" s="99">
        <v>0.69791666666666663</v>
      </c>
      <c r="AA72" s="97" t="s">
        <v>92</v>
      </c>
      <c r="AB72" s="73"/>
      <c r="AC72" s="50"/>
      <c r="AD72" s="106" t="s">
        <v>87</v>
      </c>
      <c r="AE72" s="3" t="s">
        <v>83</v>
      </c>
      <c r="AF72" s="107">
        <v>0.69444444444444453</v>
      </c>
      <c r="AG72" s="110">
        <v>0.72569444444444453</v>
      </c>
      <c r="AH72" s="111"/>
      <c r="AI72" s="54"/>
      <c r="AJ72" s="3"/>
      <c r="AK72" s="3">
        <v>1</v>
      </c>
      <c r="AL72" s="3"/>
      <c r="AM72" s="4"/>
      <c r="AN72" s="4"/>
      <c r="AO72" s="3"/>
      <c r="AP72" s="4"/>
      <c r="AQ72" s="3"/>
      <c r="AR72" s="3"/>
      <c r="AS72" s="3"/>
    </row>
    <row r="73" spans="1:45" s="53" customFormat="1" ht="19.5" hidden="1" customHeight="1">
      <c r="A73" s="35">
        <f t="shared" si="4"/>
        <v>0</v>
      </c>
      <c r="B73" s="81"/>
      <c r="C73" s="102"/>
      <c r="D73" s="46"/>
      <c r="E73" s="3"/>
      <c r="F73" s="3"/>
      <c r="G73" s="3"/>
      <c r="H73" s="41"/>
      <c r="I73" s="3" t="s">
        <v>80</v>
      </c>
      <c r="J73" s="78"/>
      <c r="K73" s="98"/>
      <c r="L73" s="98" t="s">
        <v>81</v>
      </c>
      <c r="M73" s="98"/>
      <c r="N73" s="44" t="str">
        <f t="shared" si="8"/>
        <v/>
      </c>
      <c r="O73" s="45" t="s">
        <v>82</v>
      </c>
      <c r="P73" s="96" t="s">
        <v>84</v>
      </c>
      <c r="Q73" s="96">
        <v>10</v>
      </c>
      <c r="R73" s="47"/>
      <c r="S73" s="48"/>
      <c r="T73" s="82">
        <v>0.6875</v>
      </c>
      <c r="U73" s="82">
        <v>0.69444444444444453</v>
      </c>
      <c r="V73" s="97" t="s">
        <v>85</v>
      </c>
      <c r="W73" s="3"/>
      <c r="X73" s="106" t="s">
        <v>90</v>
      </c>
      <c r="Y73" s="99">
        <v>0.69097222222222221</v>
      </c>
      <c r="Z73" s="99">
        <v>0.69791666666666663</v>
      </c>
      <c r="AA73" s="97" t="s">
        <v>92</v>
      </c>
      <c r="AB73" s="73"/>
      <c r="AC73" s="50"/>
      <c r="AD73" s="106" t="s">
        <v>87</v>
      </c>
      <c r="AE73" s="3" t="s">
        <v>83</v>
      </c>
      <c r="AF73" s="107">
        <v>0.69444444444444453</v>
      </c>
      <c r="AG73" s="112">
        <v>0.72638888888888886</v>
      </c>
      <c r="AH73" s="113">
        <v>20</v>
      </c>
      <c r="AI73" s="54"/>
      <c r="AJ73" s="3"/>
      <c r="AK73" s="3">
        <v>1</v>
      </c>
      <c r="AL73" s="3"/>
      <c r="AM73" s="4"/>
      <c r="AN73" s="4"/>
      <c r="AO73" s="3"/>
      <c r="AP73" s="4"/>
      <c r="AQ73" s="3"/>
      <c r="AR73" s="3"/>
      <c r="AS73" s="3"/>
    </row>
    <row r="74" spans="1:45" s="53" customFormat="1" ht="19.5" hidden="1" customHeight="1">
      <c r="A74" s="35">
        <f t="shared" si="4"/>
        <v>0</v>
      </c>
      <c r="B74" s="81"/>
      <c r="C74" s="3"/>
      <c r="D74" s="46"/>
      <c r="E74" s="3"/>
      <c r="F74" s="3"/>
      <c r="G74" s="3"/>
      <c r="H74" s="41"/>
      <c r="I74" s="3"/>
      <c r="J74" s="78"/>
      <c r="K74" s="78"/>
      <c r="L74" s="78"/>
      <c r="M74" s="78"/>
      <c r="N74" s="44" t="str">
        <f t="shared" si="8"/>
        <v/>
      </c>
      <c r="O74" s="45"/>
      <c r="P74" s="3"/>
      <c r="Q74" s="46"/>
      <c r="R74" s="47"/>
      <c r="S74" s="48"/>
      <c r="T74" s="80"/>
      <c r="U74" s="80"/>
      <c r="V74" s="3"/>
      <c r="W74" s="3"/>
      <c r="X74" s="50"/>
      <c r="Y74" s="80"/>
      <c r="Z74" s="80"/>
      <c r="AA74" s="3"/>
      <c r="AC74" s="50"/>
      <c r="AD74" s="50"/>
      <c r="AE74" s="3" t="str">
        <f>IF(OR(V74="電話不通 x2",V74="DS判断"),"DS確認→U列入力",IF(V74="希望","U列入力",IF(V74="拒否","DS確認",IF(V74="外国語","DS確認",IF(V74="電話不通 x1","ORM再架電","-")))))</f>
        <v>-</v>
      </c>
      <c r="AF74" s="51"/>
      <c r="AG74" s="52" t="str">
        <f t="shared" ref="AG74:AG82" ca="1" si="11">IF(AF74="","",IF($AF74+TIME(0,30,0)&lt;(TEXT(NOW(),"h:mm:ss")*1),$AF74+TIME(0,45,0),$AF74+TIME(0,30,0)))</f>
        <v/>
      </c>
      <c r="AI74" s="54"/>
      <c r="AJ74" s="3"/>
      <c r="AK74" s="3">
        <v>1</v>
      </c>
      <c r="AL74" s="3"/>
      <c r="AM74" s="4"/>
      <c r="AN74" s="4"/>
      <c r="AO74" s="3"/>
      <c r="AP74" s="4"/>
      <c r="AQ74" s="3"/>
      <c r="AR74" s="3"/>
      <c r="AS74" s="3"/>
    </row>
    <row r="75" spans="1:45" s="53" customFormat="1" ht="19.5" hidden="1" customHeight="1">
      <c r="A75" s="35">
        <f t="shared" si="4"/>
        <v>0</v>
      </c>
      <c r="B75" s="81"/>
      <c r="C75" s="3"/>
      <c r="D75" s="46"/>
      <c r="E75" s="3"/>
      <c r="F75" s="3"/>
      <c r="G75" s="3"/>
      <c r="H75" s="41"/>
      <c r="I75" s="3"/>
      <c r="J75" s="78"/>
      <c r="K75" s="78"/>
      <c r="L75" s="78"/>
      <c r="M75" s="78"/>
      <c r="N75" s="44" t="str">
        <f t="shared" si="8"/>
        <v/>
      </c>
      <c r="O75" s="45"/>
      <c r="P75" s="3"/>
      <c r="Q75" s="46"/>
      <c r="R75" s="47"/>
      <c r="S75" s="48"/>
      <c r="T75" s="80"/>
      <c r="U75" s="80"/>
      <c r="V75" s="3"/>
      <c r="W75" s="3"/>
      <c r="X75" s="50"/>
      <c r="Y75" s="80"/>
      <c r="Z75" s="80"/>
      <c r="AA75" s="3"/>
      <c r="AC75" s="50"/>
      <c r="AD75" s="50"/>
      <c r="AE75" s="3" t="str">
        <f>IF(OR(V75="電話不通 x2",V75="DS判断"),"DS確認→U列入力",IF(V75="希望","U列入力",IF(V75="拒否","DS確認",IF(V75="外国語","DS確認",IF(V75="電話不通 x1","ORM再架電","-")))))</f>
        <v>-</v>
      </c>
      <c r="AF75" s="51"/>
      <c r="AG75" s="52" t="str">
        <f t="shared" ca="1" si="11"/>
        <v/>
      </c>
      <c r="AI75" s="54"/>
      <c r="AJ75" s="3"/>
      <c r="AK75" s="3">
        <v>1</v>
      </c>
      <c r="AL75" s="3"/>
      <c r="AM75" s="4"/>
      <c r="AN75" s="4"/>
      <c r="AO75" s="3"/>
      <c r="AP75" s="4"/>
      <c r="AQ75" s="3"/>
      <c r="AR75" s="3"/>
      <c r="AS75" s="3"/>
    </row>
    <row r="76" spans="1:45" s="53" customFormat="1" ht="19.5" hidden="1" customHeight="1">
      <c r="A76" s="35">
        <f t="shared" si="4"/>
        <v>0</v>
      </c>
      <c r="B76" s="81"/>
      <c r="C76" s="3"/>
      <c r="D76" s="46"/>
      <c r="E76" s="3"/>
      <c r="F76" s="3"/>
      <c r="G76" s="3"/>
      <c r="H76" s="41"/>
      <c r="I76" s="3"/>
      <c r="J76" s="78"/>
      <c r="K76" s="78"/>
      <c r="L76" s="78"/>
      <c r="M76" s="78"/>
      <c r="N76" s="44" t="str">
        <f t="shared" si="8"/>
        <v/>
      </c>
      <c r="O76" s="45"/>
      <c r="P76" s="3"/>
      <c r="Q76" s="46"/>
      <c r="R76" s="47"/>
      <c r="S76" s="48"/>
      <c r="T76" s="80"/>
      <c r="U76" s="80"/>
      <c r="V76" s="3"/>
      <c r="W76" s="3"/>
      <c r="X76" s="50"/>
      <c r="Y76" s="80"/>
      <c r="Z76" s="80"/>
      <c r="AA76" s="3"/>
      <c r="AC76" s="50"/>
      <c r="AD76" s="50"/>
      <c r="AE76" s="3" t="str">
        <f>IF(OR(V76="電話不通 x2",V76="DS判断"),"DS確認→U列入力",IF(V76="希望","U列入力",IF(V76="拒否","DS確認",IF(V76="外国語","DS確認",IF(V76="電話不通 x1","ORM再架電","-")))))</f>
        <v>-</v>
      </c>
      <c r="AF76" s="51"/>
      <c r="AG76" s="52" t="str">
        <f t="shared" ca="1" si="11"/>
        <v/>
      </c>
      <c r="AI76" s="54"/>
      <c r="AJ76" s="3"/>
      <c r="AK76" s="3">
        <v>1</v>
      </c>
      <c r="AL76" s="3"/>
      <c r="AM76" s="4"/>
      <c r="AN76" s="4"/>
      <c r="AO76" s="3"/>
      <c r="AP76" s="4"/>
      <c r="AQ76" s="3"/>
      <c r="AR76" s="3"/>
      <c r="AS76" s="3"/>
    </row>
    <row r="77" spans="1:45" s="53" customFormat="1" ht="19.5" hidden="1" customHeight="1">
      <c r="A77" s="35">
        <f t="shared" si="4"/>
        <v>0</v>
      </c>
      <c r="B77" s="36"/>
      <c r="C77" s="37"/>
      <c r="D77" s="38" t="s">
        <v>93</v>
      </c>
      <c r="E77" s="37"/>
      <c r="F77" s="39"/>
      <c r="G77" s="40"/>
      <c r="H77" s="41"/>
      <c r="I77" s="37" t="s">
        <v>80</v>
      </c>
      <c r="J77" s="43"/>
      <c r="K77" s="94"/>
      <c r="L77" s="94" t="s">
        <v>81</v>
      </c>
      <c r="M77" s="94"/>
      <c r="N77" s="44" t="str">
        <f t="shared" si="8"/>
        <v/>
      </c>
      <c r="O77" s="45" t="s">
        <v>82</v>
      </c>
      <c r="P77" s="95"/>
      <c r="Q77" s="95"/>
      <c r="R77" s="47"/>
      <c r="S77" s="48"/>
      <c r="T77" s="49"/>
      <c r="U77" s="49"/>
      <c r="V77" s="3"/>
      <c r="W77" s="3"/>
      <c r="X77" s="50"/>
      <c r="Y77" s="49"/>
      <c r="Z77" s="49"/>
      <c r="AA77" s="3"/>
      <c r="AC77" s="50"/>
      <c r="AD77" s="50"/>
      <c r="AE77" s="3" t="s">
        <v>83</v>
      </c>
      <c r="AF77" s="51"/>
      <c r="AG77" s="52" t="str">
        <f t="shared" ca="1" si="11"/>
        <v/>
      </c>
      <c r="AI77" s="54"/>
      <c r="AJ77" s="3"/>
      <c r="AK77" s="3">
        <v>1</v>
      </c>
      <c r="AL77" s="3"/>
      <c r="AM77" s="4"/>
      <c r="AN77" s="4"/>
      <c r="AO77" s="3"/>
      <c r="AP77" s="4"/>
      <c r="AQ77" s="3"/>
      <c r="AR77" s="3"/>
      <c r="AS77" s="3"/>
    </row>
    <row r="78" spans="1:45" s="53" customFormat="1" ht="19.5" hidden="1" customHeight="1">
      <c r="A78" s="35">
        <f t="shared" si="4"/>
        <v>0</v>
      </c>
      <c r="B78" s="36"/>
      <c r="C78" s="37"/>
      <c r="D78" s="38"/>
      <c r="E78" s="37"/>
      <c r="F78" s="39"/>
      <c r="G78" s="40"/>
      <c r="H78" s="41"/>
      <c r="I78" s="37" t="s">
        <v>80</v>
      </c>
      <c r="J78" s="43"/>
      <c r="K78" s="94"/>
      <c r="L78" s="94" t="s">
        <v>81</v>
      </c>
      <c r="M78" s="94"/>
      <c r="N78" s="44" t="str">
        <f t="shared" si="8"/>
        <v/>
      </c>
      <c r="O78" s="45" t="s">
        <v>82</v>
      </c>
      <c r="P78" s="96" t="s">
        <v>84</v>
      </c>
      <c r="Q78" s="96">
        <v>10</v>
      </c>
      <c r="R78" s="47"/>
      <c r="S78" s="48"/>
      <c r="T78" s="79"/>
      <c r="U78" s="49"/>
      <c r="V78" s="3"/>
      <c r="W78" s="3"/>
      <c r="X78" s="50"/>
      <c r="Y78" s="49"/>
      <c r="Z78" s="49"/>
      <c r="AA78" s="3"/>
      <c r="AC78" s="50"/>
      <c r="AD78" s="50"/>
      <c r="AE78" s="3" t="s">
        <v>83</v>
      </c>
      <c r="AF78" s="51"/>
      <c r="AG78" s="52" t="str">
        <f t="shared" ca="1" si="11"/>
        <v/>
      </c>
      <c r="AI78" s="54"/>
      <c r="AJ78" s="3"/>
      <c r="AK78" s="3">
        <v>1</v>
      </c>
      <c r="AL78" s="3"/>
      <c r="AM78" s="4"/>
      <c r="AN78" s="4"/>
      <c r="AO78" s="3"/>
      <c r="AP78" s="4"/>
      <c r="AQ78" s="3"/>
      <c r="AR78" s="3"/>
      <c r="AS78" s="3"/>
    </row>
    <row r="79" spans="1:45" s="53" customFormat="1" ht="19.5" hidden="1" customHeight="1">
      <c r="A79" s="35">
        <f t="shared" si="4"/>
        <v>0</v>
      </c>
      <c r="B79" s="36"/>
      <c r="C79" s="37"/>
      <c r="D79" s="38"/>
      <c r="E79" s="37"/>
      <c r="F79" s="39"/>
      <c r="G79" s="40"/>
      <c r="H79" s="41"/>
      <c r="I79" s="37" t="s">
        <v>80</v>
      </c>
      <c r="J79" s="43"/>
      <c r="K79" s="94"/>
      <c r="L79" s="94" t="s">
        <v>81</v>
      </c>
      <c r="M79" s="94"/>
      <c r="N79" s="44" t="str">
        <f t="shared" si="8"/>
        <v/>
      </c>
      <c r="O79" s="45" t="s">
        <v>82</v>
      </c>
      <c r="P79" s="96" t="s">
        <v>84</v>
      </c>
      <c r="Q79" s="96">
        <v>10</v>
      </c>
      <c r="R79" s="47"/>
      <c r="S79" s="48"/>
      <c r="T79" s="82">
        <v>0.6875</v>
      </c>
      <c r="U79" s="79">
        <v>0.69444444444444453</v>
      </c>
      <c r="V79" s="83"/>
      <c r="W79" s="3"/>
      <c r="X79" s="50"/>
      <c r="Y79" s="49"/>
      <c r="Z79" s="49"/>
      <c r="AA79" s="3"/>
      <c r="AC79" s="50"/>
      <c r="AD79" s="50"/>
      <c r="AE79" s="3" t="s">
        <v>83</v>
      </c>
      <c r="AF79" s="51"/>
      <c r="AG79" s="52" t="str">
        <f t="shared" ca="1" si="11"/>
        <v/>
      </c>
      <c r="AI79" s="54"/>
      <c r="AJ79" s="3"/>
      <c r="AK79" s="3">
        <v>1</v>
      </c>
      <c r="AL79" s="3"/>
      <c r="AM79" s="4"/>
      <c r="AN79" s="4"/>
      <c r="AO79" s="3"/>
      <c r="AP79" s="4"/>
      <c r="AQ79" s="3"/>
      <c r="AR79" s="3"/>
      <c r="AS79" s="3"/>
    </row>
    <row r="80" spans="1:45" s="53" customFormat="1" ht="19.5" hidden="1" customHeight="1">
      <c r="A80" s="35">
        <f t="shared" si="4"/>
        <v>0</v>
      </c>
      <c r="B80" s="36"/>
      <c r="C80" s="37"/>
      <c r="D80" s="38"/>
      <c r="E80" s="37"/>
      <c r="F80" s="39"/>
      <c r="G80" s="40"/>
      <c r="H80" s="41"/>
      <c r="I80" s="37" t="s">
        <v>80</v>
      </c>
      <c r="J80" s="43"/>
      <c r="K80" s="94"/>
      <c r="L80" s="94" t="s">
        <v>81</v>
      </c>
      <c r="M80" s="94"/>
      <c r="N80" s="44" t="str">
        <f t="shared" si="8"/>
        <v/>
      </c>
      <c r="O80" s="45" t="s">
        <v>82</v>
      </c>
      <c r="P80" s="96" t="s">
        <v>84</v>
      </c>
      <c r="Q80" s="96">
        <v>10</v>
      </c>
      <c r="R80" s="47"/>
      <c r="S80" s="48"/>
      <c r="T80" s="82">
        <v>0.6875</v>
      </c>
      <c r="U80" s="82">
        <v>0.69444444444444453</v>
      </c>
      <c r="V80" s="97" t="s">
        <v>85</v>
      </c>
      <c r="W80" s="3"/>
      <c r="X80" s="72"/>
      <c r="Y80" s="79"/>
      <c r="Z80" s="49"/>
      <c r="AA80" s="3"/>
      <c r="AC80" s="50"/>
      <c r="AD80" s="50"/>
      <c r="AE80" s="3" t="s">
        <v>83</v>
      </c>
      <c r="AF80" s="51"/>
      <c r="AG80" s="52" t="str">
        <f t="shared" ca="1" si="11"/>
        <v/>
      </c>
      <c r="AI80" s="54"/>
      <c r="AJ80" s="3"/>
      <c r="AK80" s="3">
        <v>1</v>
      </c>
      <c r="AL80" s="3"/>
      <c r="AM80" s="4"/>
      <c r="AN80" s="4"/>
      <c r="AO80" s="3"/>
      <c r="AP80" s="4"/>
      <c r="AQ80" s="3"/>
      <c r="AR80" s="3"/>
      <c r="AS80" s="3"/>
    </row>
    <row r="81" spans="1:45" s="53" customFormat="1" ht="19.5" hidden="1" customHeight="1">
      <c r="A81" s="35">
        <f t="shared" si="4"/>
        <v>0</v>
      </c>
      <c r="B81" s="81"/>
      <c r="C81" s="37"/>
      <c r="D81" s="46"/>
      <c r="E81" s="37"/>
      <c r="F81" s="37"/>
      <c r="G81" s="37"/>
      <c r="H81" s="41"/>
      <c r="I81" s="37" t="s">
        <v>80</v>
      </c>
      <c r="J81" s="43"/>
      <c r="K81" s="94"/>
      <c r="L81" s="94" t="s">
        <v>81</v>
      </c>
      <c r="M81" s="98"/>
      <c r="N81" s="44" t="str">
        <f t="shared" si="8"/>
        <v/>
      </c>
      <c r="O81" s="45" t="s">
        <v>82</v>
      </c>
      <c r="P81" s="96" t="s">
        <v>84</v>
      </c>
      <c r="Q81" s="96">
        <v>10</v>
      </c>
      <c r="R81" s="47"/>
      <c r="S81" s="48"/>
      <c r="T81" s="82">
        <v>0.6875</v>
      </c>
      <c r="U81" s="82">
        <v>0.69444444444444453</v>
      </c>
      <c r="V81" s="97" t="s">
        <v>85</v>
      </c>
      <c r="W81" s="3"/>
      <c r="X81" s="72"/>
      <c r="Y81" s="99">
        <v>0.69097222222222221</v>
      </c>
      <c r="Z81" s="100">
        <v>0.69791666666666663</v>
      </c>
      <c r="AA81" s="83"/>
      <c r="AB81" s="101"/>
      <c r="AC81" s="50"/>
      <c r="AD81" s="50"/>
      <c r="AE81" s="3" t="s">
        <v>83</v>
      </c>
      <c r="AF81" s="51"/>
      <c r="AG81" s="52" t="str">
        <f t="shared" ca="1" si="11"/>
        <v/>
      </c>
      <c r="AI81" s="54"/>
      <c r="AJ81" s="3"/>
      <c r="AK81" s="3">
        <v>1</v>
      </c>
      <c r="AL81" s="3"/>
      <c r="AM81" s="4"/>
      <c r="AN81" s="4"/>
      <c r="AO81" s="3"/>
      <c r="AP81" s="4"/>
      <c r="AQ81" s="3"/>
      <c r="AR81" s="3"/>
      <c r="AS81" s="3"/>
    </row>
    <row r="82" spans="1:45" s="53" customFormat="1" ht="19.5" hidden="1" customHeight="1">
      <c r="A82" s="35">
        <f t="shared" si="4"/>
        <v>0</v>
      </c>
      <c r="B82" s="81"/>
      <c r="C82" s="102"/>
      <c r="D82" s="46"/>
      <c r="E82" s="3"/>
      <c r="F82" s="3"/>
      <c r="G82" s="3"/>
      <c r="H82" s="41"/>
      <c r="I82" s="37" t="s">
        <v>80</v>
      </c>
      <c r="J82" s="43"/>
      <c r="K82" s="94"/>
      <c r="L82" s="94" t="s">
        <v>81</v>
      </c>
      <c r="M82" s="98"/>
      <c r="N82" s="44" t="str">
        <f t="shared" si="8"/>
        <v/>
      </c>
      <c r="O82" s="45" t="s">
        <v>82</v>
      </c>
      <c r="P82" s="96" t="s">
        <v>84</v>
      </c>
      <c r="Q82" s="96">
        <v>10</v>
      </c>
      <c r="R82" s="47"/>
      <c r="S82" s="48"/>
      <c r="T82" s="82">
        <v>0.6875</v>
      </c>
      <c r="U82" s="82">
        <v>0.69444444444444453</v>
      </c>
      <c r="V82" s="97" t="s">
        <v>85</v>
      </c>
      <c r="W82" s="3"/>
      <c r="X82" s="72"/>
      <c r="Y82" s="99">
        <v>0.69097222222222221</v>
      </c>
      <c r="Z82" s="99">
        <v>0.69791666666666663</v>
      </c>
      <c r="AA82" s="97" t="s">
        <v>86</v>
      </c>
      <c r="AB82" s="73"/>
      <c r="AC82" s="103"/>
      <c r="AD82" s="104"/>
      <c r="AE82" s="3" t="s">
        <v>83</v>
      </c>
      <c r="AF82" s="105"/>
      <c r="AG82" s="52" t="str">
        <f t="shared" ca="1" si="11"/>
        <v/>
      </c>
      <c r="AI82" s="54"/>
      <c r="AJ82" s="3"/>
      <c r="AK82" s="3">
        <v>1</v>
      </c>
      <c r="AL82" s="3"/>
      <c r="AM82" s="4"/>
      <c r="AN82" s="4"/>
      <c r="AO82" s="3"/>
      <c r="AP82" s="4"/>
      <c r="AQ82" s="3"/>
      <c r="AR82" s="3"/>
      <c r="AS82" s="3"/>
    </row>
    <row r="83" spans="1:45" s="53" customFormat="1" ht="19.5" hidden="1" customHeight="1">
      <c r="A83" s="35">
        <f t="shared" si="4"/>
        <v>0</v>
      </c>
      <c r="B83" s="81"/>
      <c r="C83" s="102"/>
      <c r="D83" s="46"/>
      <c r="E83" s="3"/>
      <c r="F83" s="3"/>
      <c r="G83" s="3"/>
      <c r="H83" s="41"/>
      <c r="I83" s="37" t="s">
        <v>80</v>
      </c>
      <c r="J83" s="43"/>
      <c r="K83" s="94"/>
      <c r="L83" s="94" t="s">
        <v>81</v>
      </c>
      <c r="M83" s="98"/>
      <c r="N83" s="44" t="str">
        <f t="shared" si="8"/>
        <v/>
      </c>
      <c r="O83" s="45" t="s">
        <v>82</v>
      </c>
      <c r="P83" s="96" t="s">
        <v>84</v>
      </c>
      <c r="Q83" s="96">
        <v>10</v>
      </c>
      <c r="R83" s="47"/>
      <c r="S83" s="48"/>
      <c r="T83" s="82">
        <v>0.6875</v>
      </c>
      <c r="U83" s="82">
        <v>0.69444444444444453</v>
      </c>
      <c r="V83" s="97" t="s">
        <v>85</v>
      </c>
      <c r="W83" s="3"/>
      <c r="X83" s="72"/>
      <c r="Y83" s="99">
        <v>0.69097222222222221</v>
      </c>
      <c r="Z83" s="99">
        <v>0.69791666666666663</v>
      </c>
      <c r="AA83" s="97" t="s">
        <v>86</v>
      </c>
      <c r="AB83" s="73"/>
      <c r="AC83" s="50"/>
      <c r="AD83" s="106" t="s">
        <v>87</v>
      </c>
      <c r="AE83" s="3" t="s">
        <v>83</v>
      </c>
      <c r="AF83" s="107">
        <v>0.69444444444444453</v>
      </c>
      <c r="AG83" s="52">
        <v>0.71527777777777779</v>
      </c>
      <c r="AI83" s="54"/>
      <c r="AJ83" s="3"/>
      <c r="AK83" s="3">
        <v>1</v>
      </c>
      <c r="AL83" s="3"/>
      <c r="AM83" s="4"/>
      <c r="AN83" s="4"/>
      <c r="AO83" s="3"/>
      <c r="AP83" s="4"/>
      <c r="AQ83" s="3"/>
      <c r="AR83" s="3"/>
      <c r="AS83" s="3"/>
    </row>
    <row r="84" spans="1:45" s="53" customFormat="1" ht="19.5" hidden="1" customHeight="1">
      <c r="A84" s="35">
        <f t="shared" si="4"/>
        <v>0</v>
      </c>
      <c r="B84" s="81"/>
      <c r="C84" s="102"/>
      <c r="D84" s="46"/>
      <c r="E84" s="3"/>
      <c r="F84" s="3"/>
      <c r="G84" s="3"/>
      <c r="H84" s="41"/>
      <c r="I84" s="37" t="s">
        <v>80</v>
      </c>
      <c r="J84" s="43"/>
      <c r="K84" s="94"/>
      <c r="L84" s="94" t="s">
        <v>81</v>
      </c>
      <c r="M84" s="98"/>
      <c r="N84" s="44" t="str">
        <f t="shared" si="8"/>
        <v/>
      </c>
      <c r="O84" s="45" t="s">
        <v>82</v>
      </c>
      <c r="P84" s="96" t="s">
        <v>84</v>
      </c>
      <c r="Q84" s="96">
        <v>10</v>
      </c>
      <c r="R84" s="47"/>
      <c r="S84" s="48"/>
      <c r="T84" s="82">
        <v>0.6875</v>
      </c>
      <c r="U84" s="82">
        <v>0.69444444444444453</v>
      </c>
      <c r="V84" s="97" t="s">
        <v>85</v>
      </c>
      <c r="W84" s="3"/>
      <c r="X84" s="72"/>
      <c r="Y84" s="99">
        <v>0.69097222222222221</v>
      </c>
      <c r="Z84" s="99">
        <v>0.69791666666666663</v>
      </c>
      <c r="AA84" s="97" t="s">
        <v>86</v>
      </c>
      <c r="AB84" s="73"/>
      <c r="AC84" s="50"/>
      <c r="AD84" s="106" t="s">
        <v>87</v>
      </c>
      <c r="AE84" s="3" t="s">
        <v>83</v>
      </c>
      <c r="AF84" s="107">
        <v>0.69444444444444453</v>
      </c>
      <c r="AG84" s="108">
        <v>0.72569444444444453</v>
      </c>
      <c r="AH84" s="109"/>
      <c r="AI84" s="54"/>
      <c r="AJ84" s="3"/>
      <c r="AK84" s="3">
        <v>1</v>
      </c>
      <c r="AL84" s="3"/>
      <c r="AM84" s="4"/>
      <c r="AN84" s="4"/>
      <c r="AO84" s="3"/>
      <c r="AP84" s="4"/>
      <c r="AQ84" s="3"/>
      <c r="AR84" s="3"/>
      <c r="AS84" s="3"/>
    </row>
    <row r="85" spans="1:45" s="53" customFormat="1" ht="19.5" hidden="1" customHeight="1">
      <c r="A85" s="35">
        <f t="shared" si="4"/>
        <v>0</v>
      </c>
      <c r="B85" s="81"/>
      <c r="C85" s="102"/>
      <c r="D85" s="46"/>
      <c r="E85" s="3"/>
      <c r="F85" s="3"/>
      <c r="G85" s="3"/>
      <c r="H85" s="41"/>
      <c r="I85" s="37" t="s">
        <v>80</v>
      </c>
      <c r="J85" s="43"/>
      <c r="K85" s="94"/>
      <c r="L85" s="94" t="s">
        <v>81</v>
      </c>
      <c r="M85" s="98"/>
      <c r="N85" s="44" t="str">
        <f t="shared" si="8"/>
        <v/>
      </c>
      <c r="O85" s="45" t="s">
        <v>82</v>
      </c>
      <c r="P85" s="96" t="s">
        <v>84</v>
      </c>
      <c r="Q85" s="96">
        <v>10</v>
      </c>
      <c r="R85" s="47"/>
      <c r="S85" s="48"/>
      <c r="T85" s="82">
        <v>0.6875</v>
      </c>
      <c r="U85" s="82">
        <v>0.69444444444444453</v>
      </c>
      <c r="V85" s="97" t="s">
        <v>85</v>
      </c>
      <c r="W85" s="3"/>
      <c r="X85" s="72"/>
      <c r="Y85" s="99">
        <v>0.69097222222222221</v>
      </c>
      <c r="Z85" s="99">
        <v>0.69791666666666663</v>
      </c>
      <c r="AA85" s="97" t="s">
        <v>86</v>
      </c>
      <c r="AB85" s="73"/>
      <c r="AC85" s="50"/>
      <c r="AD85" s="106" t="s">
        <v>87</v>
      </c>
      <c r="AE85" s="3" t="s">
        <v>83</v>
      </c>
      <c r="AF85" s="107">
        <v>0.69444444444444453</v>
      </c>
      <c r="AG85" s="110">
        <v>0.72569444444444453</v>
      </c>
      <c r="AH85" s="111"/>
      <c r="AI85" s="54"/>
      <c r="AJ85" s="3"/>
      <c r="AK85" s="3">
        <v>1</v>
      </c>
      <c r="AL85" s="3"/>
      <c r="AM85" s="4"/>
      <c r="AN85" s="4"/>
      <c r="AO85" s="3"/>
      <c r="AP85" s="4"/>
      <c r="AQ85" s="3"/>
      <c r="AR85" s="3"/>
      <c r="AS85" s="3"/>
    </row>
    <row r="86" spans="1:45" s="53" customFormat="1" ht="19.5" hidden="1" customHeight="1">
      <c r="A86" s="35">
        <f t="shared" si="4"/>
        <v>0</v>
      </c>
      <c r="B86" s="81"/>
      <c r="C86" s="102"/>
      <c r="D86" s="46"/>
      <c r="E86" s="3"/>
      <c r="F86" s="3"/>
      <c r="G86" s="3"/>
      <c r="H86" s="41"/>
      <c r="I86" s="3" t="s">
        <v>80</v>
      </c>
      <c r="J86" s="78"/>
      <c r="K86" s="98"/>
      <c r="L86" s="98" t="s">
        <v>81</v>
      </c>
      <c r="M86" s="98"/>
      <c r="N86" s="44" t="str">
        <f t="shared" si="8"/>
        <v/>
      </c>
      <c r="O86" s="45" t="s">
        <v>82</v>
      </c>
      <c r="P86" s="96" t="s">
        <v>84</v>
      </c>
      <c r="Q86" s="96">
        <v>10</v>
      </c>
      <c r="R86" s="47"/>
      <c r="S86" s="48"/>
      <c r="T86" s="82">
        <v>0.6875</v>
      </c>
      <c r="U86" s="82">
        <v>0.69444444444444453</v>
      </c>
      <c r="V86" s="97" t="s">
        <v>85</v>
      </c>
      <c r="W86" s="3"/>
      <c r="X86" s="72"/>
      <c r="Y86" s="99">
        <v>0.69097222222222221</v>
      </c>
      <c r="Z86" s="99">
        <v>0.69791666666666663</v>
      </c>
      <c r="AA86" s="97" t="s">
        <v>86</v>
      </c>
      <c r="AB86" s="73"/>
      <c r="AC86" s="50"/>
      <c r="AD86" s="106" t="s">
        <v>87</v>
      </c>
      <c r="AE86" s="3" t="s">
        <v>83</v>
      </c>
      <c r="AF86" s="107">
        <v>0.69444444444444453</v>
      </c>
      <c r="AG86" s="110">
        <v>0.72569444444444453</v>
      </c>
      <c r="AH86" s="111"/>
      <c r="AI86" s="54"/>
      <c r="AJ86" s="3"/>
      <c r="AK86" s="3">
        <v>1</v>
      </c>
      <c r="AL86" s="3"/>
      <c r="AM86" s="4"/>
      <c r="AN86" s="4"/>
      <c r="AO86" s="3"/>
      <c r="AP86" s="4"/>
      <c r="AQ86" s="3"/>
      <c r="AR86" s="3"/>
      <c r="AS86" s="3"/>
    </row>
    <row r="87" spans="1:45" s="53" customFormat="1" ht="19.5" hidden="1" customHeight="1">
      <c r="A87" s="35">
        <f>A76</f>
        <v>0</v>
      </c>
      <c r="B87" s="81"/>
      <c r="C87" s="3"/>
      <c r="D87" s="46"/>
      <c r="E87" s="3"/>
      <c r="F87" s="3"/>
      <c r="G87" s="3"/>
      <c r="H87" s="41"/>
      <c r="I87" s="3" t="s">
        <v>50</v>
      </c>
      <c r="J87" s="78"/>
      <c r="K87" s="98"/>
      <c r="L87" s="98" t="s">
        <v>52</v>
      </c>
      <c r="M87" s="98"/>
      <c r="N87" s="44" t="str">
        <f t="shared" si="8"/>
        <v/>
      </c>
      <c r="O87" s="45" t="s">
        <v>82</v>
      </c>
      <c r="P87" s="95" t="s">
        <v>84</v>
      </c>
      <c r="Q87" s="95">
        <v>10</v>
      </c>
      <c r="R87" s="47"/>
      <c r="S87" s="48"/>
      <c r="T87" s="82">
        <v>0.6875</v>
      </c>
      <c r="U87" s="82">
        <v>0.69444444444444453</v>
      </c>
      <c r="V87" s="97" t="s">
        <v>85</v>
      </c>
      <c r="W87" s="3"/>
      <c r="X87" s="120" t="s">
        <v>90</v>
      </c>
      <c r="Y87" s="99">
        <v>0.69097222222222221</v>
      </c>
      <c r="Z87" s="99">
        <v>0.69791666666666663</v>
      </c>
      <c r="AA87" s="63" t="s">
        <v>94</v>
      </c>
      <c r="AB87" s="73"/>
      <c r="AC87" s="50"/>
      <c r="AD87" s="118" t="s">
        <v>87</v>
      </c>
      <c r="AE87" s="3" t="str">
        <f>IF(OR(V87="電話不通 x2",V87="DS判断"),"DS確認→U列入力",IF(V87="希望","U列入力",IF(V87="拒否","DS確認",IF(V87="外国語","DS確認",IF(V87="電話不通 x1","ORM再架電","-")))))</f>
        <v>-</v>
      </c>
      <c r="AF87" s="107">
        <v>0.69444444444444453</v>
      </c>
      <c r="AG87" s="110">
        <v>0.72569444444444453</v>
      </c>
      <c r="AH87" s="111"/>
      <c r="AI87" s="54"/>
      <c r="AJ87" s="3"/>
      <c r="AK87" s="3"/>
      <c r="AL87" s="3"/>
      <c r="AM87" s="4"/>
      <c r="AN87" s="4"/>
      <c r="AO87" s="3"/>
      <c r="AP87" s="4"/>
      <c r="AQ87" s="3"/>
      <c r="AR87" s="3"/>
      <c r="AS87" s="3"/>
    </row>
    <row r="88" spans="1:45" s="53" customFormat="1" ht="19.5" hidden="1" customHeight="1">
      <c r="A88" s="35">
        <f>A86</f>
        <v>0</v>
      </c>
      <c r="B88" s="81"/>
      <c r="C88" s="3"/>
      <c r="D88" s="46"/>
      <c r="E88" s="3"/>
      <c r="F88" s="3"/>
      <c r="G88" s="3"/>
      <c r="H88" s="41"/>
      <c r="I88" s="3" t="s">
        <v>50</v>
      </c>
      <c r="J88" s="78"/>
      <c r="K88" s="98"/>
      <c r="L88" s="98" t="s">
        <v>52</v>
      </c>
      <c r="M88" s="98"/>
      <c r="N88" s="44" t="str">
        <f t="shared" si="8"/>
        <v/>
      </c>
      <c r="O88" s="45" t="s">
        <v>95</v>
      </c>
      <c r="P88" s="95"/>
      <c r="Q88" s="95"/>
      <c r="R88" s="47"/>
      <c r="S88" s="48"/>
      <c r="T88" s="82">
        <v>0.6875</v>
      </c>
      <c r="U88" s="82">
        <v>0.69444444444444453</v>
      </c>
      <c r="V88" s="97" t="s">
        <v>85</v>
      </c>
      <c r="W88" s="3"/>
      <c r="X88" s="118" t="s">
        <v>90</v>
      </c>
      <c r="Y88" s="99">
        <v>0.69097222222222221</v>
      </c>
      <c r="Z88" s="99">
        <v>0.69791666666666663</v>
      </c>
      <c r="AA88" s="83" t="s">
        <v>94</v>
      </c>
      <c r="AB88" s="73"/>
      <c r="AC88" s="50"/>
      <c r="AD88" s="118" t="s">
        <v>87</v>
      </c>
      <c r="AE88" s="83" t="str">
        <f>IF(OR(V88="電話不通 x2",V88="DS判断"),"DS確認→U列入力",IF(V88="希望","U列入力",IF(V88="拒否","DS確認",IF(V88="外国語","DS確認",IF(V88="電話不通 x1","ORM再架電","-")))))</f>
        <v>-</v>
      </c>
      <c r="AF88" s="105">
        <v>0.69444444444444453</v>
      </c>
      <c r="AG88" s="110">
        <v>0.72569444444444453</v>
      </c>
      <c r="AH88" s="121"/>
      <c r="AI88" s="54"/>
      <c r="AJ88" s="3"/>
      <c r="AK88" s="3">
        <v>1</v>
      </c>
      <c r="AL88" s="3"/>
      <c r="AM88" s="4"/>
      <c r="AN88" s="4"/>
      <c r="AO88" s="3"/>
      <c r="AP88" s="4"/>
      <c r="AQ88" s="3"/>
      <c r="AR88" s="3"/>
      <c r="AS88" s="3"/>
    </row>
    <row r="89" spans="1:45" s="53" customFormat="1" ht="19.5" hidden="1" customHeight="1">
      <c r="A89" s="35">
        <f>A87</f>
        <v>0</v>
      </c>
      <c r="B89" s="81"/>
      <c r="C89" s="3"/>
      <c r="D89" s="46"/>
      <c r="E89" s="3"/>
      <c r="F89" s="3"/>
      <c r="G89" s="3"/>
      <c r="H89" s="41"/>
      <c r="I89" s="3" t="s">
        <v>50</v>
      </c>
      <c r="J89" s="78"/>
      <c r="K89" s="98"/>
      <c r="L89" s="98" t="s">
        <v>52</v>
      </c>
      <c r="M89" s="98"/>
      <c r="N89" s="44" t="str">
        <f t="shared" si="8"/>
        <v/>
      </c>
      <c r="O89" s="45" t="s">
        <v>95</v>
      </c>
      <c r="P89" s="96" t="s">
        <v>59</v>
      </c>
      <c r="Q89" s="96">
        <v>7</v>
      </c>
      <c r="R89" s="47"/>
      <c r="S89" s="48"/>
      <c r="T89" s="82">
        <v>0.6875</v>
      </c>
      <c r="U89" s="82">
        <v>0.69444444444444453</v>
      </c>
      <c r="V89" s="97" t="s">
        <v>85</v>
      </c>
      <c r="W89" s="3"/>
      <c r="X89" s="118" t="s">
        <v>90</v>
      </c>
      <c r="Y89" s="99">
        <v>0.69097222222222221</v>
      </c>
      <c r="Z89" s="99">
        <v>0.69791666666666663</v>
      </c>
      <c r="AA89" s="83" t="s">
        <v>94</v>
      </c>
      <c r="AB89" s="73"/>
      <c r="AC89" s="50"/>
      <c r="AD89" s="118" t="s">
        <v>87</v>
      </c>
      <c r="AE89" s="83" t="str">
        <f>IF(OR(V89="電話不通 x2",V89="DS判断"),"DS確認→U列入力",IF(V89="希望","U列入力",IF(V89="拒否","DS確認",IF(V89="外国語","DS確認",IF(V89="電話不通 x1","ORM再架電","-")))))</f>
        <v>-</v>
      </c>
      <c r="AF89" s="105">
        <v>0.69444444444444453</v>
      </c>
      <c r="AG89" s="110">
        <v>0.72569444444444453</v>
      </c>
      <c r="AH89" s="121"/>
      <c r="AI89" s="54"/>
      <c r="AJ89" s="3"/>
      <c r="AK89" s="3">
        <v>1</v>
      </c>
      <c r="AL89" s="3"/>
      <c r="AM89" s="4"/>
      <c r="AN89" s="4"/>
      <c r="AO89" s="3"/>
      <c r="AP89" s="4"/>
      <c r="AQ89" s="3"/>
      <c r="AR89" s="3"/>
      <c r="AS89" s="3"/>
    </row>
    <row r="90" spans="1:45" s="53" customFormat="1" ht="19.5" hidden="1" customHeight="1">
      <c r="A90" s="35">
        <f>A89</f>
        <v>0</v>
      </c>
      <c r="B90" s="122"/>
      <c r="C90" s="58"/>
      <c r="D90" s="116"/>
      <c r="E90" s="3"/>
      <c r="F90" s="3"/>
      <c r="G90" s="3"/>
      <c r="H90" s="41"/>
      <c r="I90" s="89" t="s">
        <v>50</v>
      </c>
      <c r="J90" s="123"/>
      <c r="K90" s="98"/>
      <c r="L90" s="98" t="s">
        <v>52</v>
      </c>
      <c r="M90" s="98"/>
      <c r="N90" s="44" t="str">
        <f t="shared" si="8"/>
        <v/>
      </c>
      <c r="O90" s="45" t="s">
        <v>95</v>
      </c>
      <c r="P90" s="116" t="s">
        <v>59</v>
      </c>
      <c r="Q90" s="116">
        <v>7</v>
      </c>
      <c r="R90" s="47"/>
      <c r="S90" s="48"/>
      <c r="T90" s="82">
        <v>0.6875</v>
      </c>
      <c r="U90" s="82">
        <v>0.69444444444444453</v>
      </c>
      <c r="V90" s="97" t="s">
        <v>85</v>
      </c>
      <c r="W90" s="3"/>
      <c r="X90" s="117" t="s">
        <v>96</v>
      </c>
      <c r="Y90" s="99">
        <v>0.69097222222222221</v>
      </c>
      <c r="Z90" s="99">
        <v>0.69791666666666663</v>
      </c>
      <c r="AA90" s="89" t="s">
        <v>97</v>
      </c>
      <c r="AB90" s="73"/>
      <c r="AC90" s="50"/>
      <c r="AD90" s="118"/>
      <c r="AE90" s="83"/>
      <c r="AF90" s="105"/>
      <c r="AG90" s="110">
        <v>0.72569444444444453</v>
      </c>
      <c r="AH90" s="121"/>
      <c r="AI90" s="54"/>
      <c r="AJ90" s="3"/>
      <c r="AK90" s="3">
        <v>1</v>
      </c>
      <c r="AL90" s="3"/>
      <c r="AM90" s="4"/>
      <c r="AN90" s="4"/>
      <c r="AO90" s="3"/>
      <c r="AP90" s="4"/>
      <c r="AQ90" s="3"/>
      <c r="AR90" s="3"/>
      <c r="AS90" s="3"/>
    </row>
    <row r="91" spans="1:45" s="53" customFormat="1" ht="19.5" hidden="1" customHeight="1">
      <c r="A91" s="35">
        <f>A90</f>
        <v>0</v>
      </c>
      <c r="B91" s="81"/>
      <c r="C91" s="3"/>
      <c r="D91" s="46"/>
      <c r="E91" s="3"/>
      <c r="F91" s="3"/>
      <c r="G91" s="3"/>
      <c r="H91" s="41"/>
      <c r="I91" s="3" t="s">
        <v>50</v>
      </c>
      <c r="J91" s="78"/>
      <c r="K91" s="98"/>
      <c r="L91" s="98" t="s">
        <v>52</v>
      </c>
      <c r="M91" s="98"/>
      <c r="N91" s="44" t="str">
        <f t="shared" si="8"/>
        <v/>
      </c>
      <c r="O91" s="45" t="s">
        <v>95</v>
      </c>
      <c r="P91" s="96" t="s">
        <v>59</v>
      </c>
      <c r="Q91" s="96">
        <v>7</v>
      </c>
      <c r="R91" s="47"/>
      <c r="S91" s="48"/>
      <c r="T91" s="82">
        <v>0.6875</v>
      </c>
      <c r="U91" s="82">
        <v>0.69444444444444453</v>
      </c>
      <c r="V91" s="97" t="s">
        <v>85</v>
      </c>
      <c r="W91" s="3"/>
      <c r="X91" s="124" t="s">
        <v>96</v>
      </c>
      <c r="Y91" s="99">
        <v>0.69097222222222221</v>
      </c>
      <c r="Z91" s="99">
        <v>0.69791666666666663</v>
      </c>
      <c r="AA91" s="125" t="s">
        <v>98</v>
      </c>
      <c r="AB91" s="73"/>
      <c r="AC91" s="50"/>
      <c r="AD91" s="106" t="s">
        <v>99</v>
      </c>
      <c r="AE91" s="83" t="str">
        <f>IF(OR(V91="電話不通 x2",V91="DS判断"),"DS確認→U列入力",IF(V91="希望","U列入力",IF(V91="拒否","DS確認",IF(V91="外国語","DS確認",IF(V91="電話不通 x1","ORM再架電","-")))))</f>
        <v>-</v>
      </c>
      <c r="AF91" s="107">
        <v>0.73263888888888884</v>
      </c>
      <c r="AG91" s="52">
        <f ca="1">IF(AF91="","",IF($AF91+TIME(0,30,0)&lt;(TEXT(NOW(),"h:mm:ss")*1),$AF91+TIME(0,45,0),$AF91+TIME(0,30,0)))</f>
        <v>0.75347222222222221</v>
      </c>
      <c r="AI91" s="54"/>
      <c r="AJ91" s="3"/>
      <c r="AK91" s="3">
        <v>1</v>
      </c>
      <c r="AL91" s="3"/>
      <c r="AM91" s="4"/>
      <c r="AN91" s="4"/>
      <c r="AO91" s="3"/>
      <c r="AP91" s="4"/>
      <c r="AQ91" s="3"/>
      <c r="AR91" s="3"/>
      <c r="AS91" s="3"/>
    </row>
    <row r="92" spans="1:45" s="53" customFormat="1" ht="19.5" hidden="1" customHeight="1">
      <c r="A92" s="35">
        <f>A91</f>
        <v>0</v>
      </c>
      <c r="B92" s="81"/>
      <c r="C92" s="3"/>
      <c r="D92" s="46"/>
      <c r="E92" s="3"/>
      <c r="F92" s="3"/>
      <c r="G92" s="3"/>
      <c r="H92" s="41"/>
      <c r="I92" s="3" t="s">
        <v>50</v>
      </c>
      <c r="J92" s="78"/>
      <c r="K92" s="98"/>
      <c r="L92" s="98" t="s">
        <v>52</v>
      </c>
      <c r="M92" s="98"/>
      <c r="N92" s="44" t="str">
        <f t="shared" si="8"/>
        <v/>
      </c>
      <c r="O92" s="45" t="s">
        <v>95</v>
      </c>
      <c r="P92" s="96" t="s">
        <v>59</v>
      </c>
      <c r="Q92" s="96">
        <v>7</v>
      </c>
      <c r="R92" s="47"/>
      <c r="S92" s="48"/>
      <c r="T92" s="82">
        <v>0.6875</v>
      </c>
      <c r="U92" s="82">
        <v>0.69444444444444453</v>
      </c>
      <c r="V92" s="97" t="s">
        <v>85</v>
      </c>
      <c r="W92" s="3"/>
      <c r="X92" s="124" t="s">
        <v>96</v>
      </c>
      <c r="Y92" s="99">
        <v>0.69097222222222221</v>
      </c>
      <c r="Z92" s="99">
        <v>0.69791666666666663</v>
      </c>
      <c r="AA92" s="125" t="s">
        <v>98</v>
      </c>
      <c r="AB92" s="73"/>
      <c r="AC92" s="50"/>
      <c r="AD92" s="106" t="s">
        <v>99</v>
      </c>
      <c r="AE92" s="83" t="str">
        <f>IF(OR(V92="電話不通 x2",V92="DS判断"),"DS確認→U列入力",IF(V92="希望","U列入力",IF(V92="拒否","DS確認",IF(V92="外国語","DS確認",IF(V92="電話不通 x1","ORM再架電","-")))))</f>
        <v>-</v>
      </c>
      <c r="AF92" s="107">
        <v>0.73263888888888884</v>
      </c>
      <c r="AG92" s="112">
        <v>0.75694444444444453</v>
      </c>
      <c r="AH92" s="113">
        <v>10</v>
      </c>
      <c r="AI92" s="54"/>
      <c r="AJ92" s="3"/>
      <c r="AK92" s="3">
        <v>1</v>
      </c>
      <c r="AL92" s="3"/>
      <c r="AM92" s="4"/>
      <c r="AN92" s="4"/>
      <c r="AO92" s="3"/>
      <c r="AP92" s="4"/>
      <c r="AQ92" s="3"/>
      <c r="AR92" s="3"/>
      <c r="AS92" s="3"/>
    </row>
    <row r="93" spans="1:45" s="53" customFormat="1" ht="19.5" hidden="1" customHeight="1">
      <c r="A93" s="35">
        <f>A87</f>
        <v>0</v>
      </c>
      <c r="B93" s="81"/>
      <c r="C93" s="3"/>
      <c r="D93" s="46"/>
      <c r="E93" s="3"/>
      <c r="F93" s="3"/>
      <c r="G93" s="3"/>
      <c r="H93" s="41"/>
      <c r="I93" s="3"/>
      <c r="J93" s="78"/>
      <c r="K93" s="78"/>
      <c r="L93" s="78"/>
      <c r="M93" s="78"/>
      <c r="N93" s="44" t="str">
        <f t="shared" si="8"/>
        <v/>
      </c>
      <c r="O93" s="45"/>
      <c r="P93" s="3"/>
      <c r="Q93" s="46"/>
      <c r="R93" s="47"/>
      <c r="S93" s="48"/>
      <c r="T93" s="80"/>
      <c r="U93" s="80"/>
      <c r="V93" s="3"/>
      <c r="W93" s="3"/>
      <c r="X93" s="50"/>
      <c r="Y93" s="80"/>
      <c r="Z93" s="80"/>
      <c r="AA93" s="3"/>
      <c r="AC93" s="50"/>
      <c r="AD93" s="50"/>
      <c r="AE93" s="3" t="str">
        <f>IF(OR(V93="電話不通 x2",V93="DS判断"),"DS確認→U列入力",IF(V93="希望","U列入力",IF(V93="拒否","DS確認",IF(V93="外国語","DS確認",IF(V93="電話不通 x1","ORM再架電","-")))))</f>
        <v>-</v>
      </c>
      <c r="AF93" s="51"/>
      <c r="AG93" s="52" t="str">
        <f t="shared" ref="AG93:AG101" ca="1" si="12">IF(AF93="","",IF($AF93+TIME(0,30,0)&lt;(TEXT(NOW(),"h:mm:ss")*1),$AF93+TIME(0,45,0),$AF93+TIME(0,30,0)))</f>
        <v/>
      </c>
      <c r="AI93" s="54"/>
      <c r="AJ93" s="3"/>
      <c r="AK93" s="3">
        <v>1</v>
      </c>
      <c r="AL93" s="3"/>
      <c r="AM93" s="4"/>
      <c r="AN93" s="4"/>
      <c r="AO93" s="3"/>
      <c r="AP93" s="4"/>
      <c r="AQ93" s="3"/>
      <c r="AR93" s="3"/>
      <c r="AS93" s="3"/>
    </row>
    <row r="94" spans="1:45" s="53" customFormat="1" ht="19.5" hidden="1" customHeight="1">
      <c r="A94" s="35">
        <f t="shared" si="4"/>
        <v>0</v>
      </c>
      <c r="B94" s="81"/>
      <c r="C94" s="3"/>
      <c r="D94" s="46"/>
      <c r="E94" s="3"/>
      <c r="F94" s="3"/>
      <c r="G94" s="3"/>
      <c r="H94" s="41"/>
      <c r="I94" s="3"/>
      <c r="J94" s="78"/>
      <c r="K94" s="78"/>
      <c r="L94" s="78"/>
      <c r="M94" s="78"/>
      <c r="N94" s="44" t="str">
        <f t="shared" si="8"/>
        <v/>
      </c>
      <c r="O94" s="45"/>
      <c r="P94" s="3"/>
      <c r="Q94" s="46"/>
      <c r="R94" s="47"/>
      <c r="S94" s="48"/>
      <c r="T94" s="80"/>
      <c r="U94" s="80"/>
      <c r="V94" s="3"/>
      <c r="W94" s="3"/>
      <c r="X94" s="50"/>
      <c r="Y94" s="80"/>
      <c r="Z94" s="80"/>
      <c r="AA94" s="3"/>
      <c r="AC94" s="50"/>
      <c r="AD94" s="50"/>
      <c r="AE94" s="3" t="str">
        <f>IF(OR(V94="電話不通 x2",V94="DS判断"),"DS確認→U列入力",IF(V94="希望","U列入力",IF(V94="拒否","DS確認",IF(V94="外国語","DS確認",IF(V94="電話不通 x1","ORM再架電","-")))))</f>
        <v>-</v>
      </c>
      <c r="AF94" s="51"/>
      <c r="AG94" s="52" t="str">
        <f t="shared" ca="1" si="12"/>
        <v/>
      </c>
      <c r="AI94" s="54"/>
      <c r="AJ94" s="3"/>
      <c r="AK94" s="3">
        <v>1</v>
      </c>
      <c r="AL94" s="3"/>
      <c r="AM94" s="4"/>
      <c r="AN94" s="4"/>
      <c r="AO94" s="3"/>
      <c r="AP94" s="4"/>
      <c r="AQ94" s="3"/>
      <c r="AR94" s="3"/>
      <c r="AS94" s="3"/>
    </row>
    <row r="95" spans="1:45" s="53" customFormat="1" ht="19.5" hidden="1" customHeight="1">
      <c r="A95" s="35">
        <f t="shared" si="4"/>
        <v>0</v>
      </c>
      <c r="B95" s="81"/>
      <c r="C95" s="3"/>
      <c r="D95" s="46"/>
      <c r="E95" s="3"/>
      <c r="F95" s="3"/>
      <c r="G95" s="3"/>
      <c r="H95" s="41"/>
      <c r="I95" s="3"/>
      <c r="J95" s="78"/>
      <c r="K95" s="78"/>
      <c r="L95" s="78"/>
      <c r="M95" s="78"/>
      <c r="N95" s="44" t="str">
        <f t="shared" si="8"/>
        <v/>
      </c>
      <c r="O95" s="45"/>
      <c r="P95" s="3"/>
      <c r="Q95" s="46"/>
      <c r="R95" s="47"/>
      <c r="S95" s="48"/>
      <c r="T95" s="80"/>
      <c r="U95" s="80"/>
      <c r="V95" s="3"/>
      <c r="W95" s="3"/>
      <c r="X95" s="50"/>
      <c r="Y95" s="80"/>
      <c r="Z95" s="80"/>
      <c r="AA95" s="3"/>
      <c r="AC95" s="50"/>
      <c r="AD95" s="50"/>
      <c r="AE95" s="3" t="str">
        <f>IF(OR(V95="電話不通 x2",V95="DS判断"),"DS確認→U列入力",IF(V95="希望","U列入力",IF(V95="拒否","DS確認",IF(V95="外国語","DS確認",IF(V95="電話不通 x1","ORM再架電","-")))))</f>
        <v>-</v>
      </c>
      <c r="AF95" s="51"/>
      <c r="AG95" s="52" t="str">
        <f t="shared" ca="1" si="12"/>
        <v/>
      </c>
      <c r="AI95" s="54"/>
      <c r="AJ95" s="3"/>
      <c r="AK95" s="3">
        <v>1</v>
      </c>
      <c r="AL95" s="3"/>
      <c r="AM95" s="4"/>
      <c r="AN95" s="4"/>
      <c r="AO95" s="3"/>
      <c r="AP95" s="4"/>
      <c r="AQ95" s="3"/>
      <c r="AR95" s="3"/>
      <c r="AS95" s="3"/>
    </row>
    <row r="96" spans="1:45" s="53" customFormat="1" ht="19.5" hidden="1" customHeight="1">
      <c r="A96" s="35">
        <f t="shared" si="4"/>
        <v>0</v>
      </c>
      <c r="B96" s="36"/>
      <c r="C96" s="37"/>
      <c r="D96" s="38" t="s">
        <v>100</v>
      </c>
      <c r="E96" s="37"/>
      <c r="F96" s="39"/>
      <c r="G96" s="40"/>
      <c r="H96" s="41"/>
      <c r="I96" s="37" t="s">
        <v>80</v>
      </c>
      <c r="J96" s="43"/>
      <c r="K96" s="94"/>
      <c r="L96" s="94" t="s">
        <v>81</v>
      </c>
      <c r="M96" s="94"/>
      <c r="N96" s="44" t="str">
        <f t="shared" si="8"/>
        <v/>
      </c>
      <c r="O96" s="45" t="s">
        <v>82</v>
      </c>
      <c r="P96" s="95"/>
      <c r="Q96" s="95"/>
      <c r="R96" s="47"/>
      <c r="S96" s="48"/>
      <c r="T96" s="49"/>
      <c r="U96" s="49"/>
      <c r="V96" s="3"/>
      <c r="W96" s="3"/>
      <c r="X96" s="50"/>
      <c r="Y96" s="49"/>
      <c r="Z96" s="49"/>
      <c r="AA96" s="3"/>
      <c r="AC96" s="50"/>
      <c r="AD96" s="50"/>
      <c r="AE96" s="3" t="s">
        <v>83</v>
      </c>
      <c r="AF96" s="51"/>
      <c r="AG96" s="52" t="str">
        <f t="shared" ca="1" si="12"/>
        <v/>
      </c>
      <c r="AI96" s="54"/>
      <c r="AJ96" s="3"/>
      <c r="AK96" s="3">
        <v>1</v>
      </c>
      <c r="AL96" s="3"/>
      <c r="AM96" s="4"/>
      <c r="AN96" s="4"/>
      <c r="AO96" s="3"/>
      <c r="AP96" s="4"/>
      <c r="AQ96" s="3"/>
      <c r="AR96" s="3"/>
      <c r="AS96" s="3"/>
    </row>
    <row r="97" spans="1:45" s="53" customFormat="1" ht="19.5" hidden="1" customHeight="1">
      <c r="A97" s="35">
        <f t="shared" si="4"/>
        <v>0</v>
      </c>
      <c r="B97" s="36"/>
      <c r="C97" s="37"/>
      <c r="D97" s="38"/>
      <c r="E97" s="37"/>
      <c r="F97" s="39"/>
      <c r="G97" s="40"/>
      <c r="H97" s="41"/>
      <c r="I97" s="37" t="s">
        <v>80</v>
      </c>
      <c r="J97" s="43"/>
      <c r="K97" s="94"/>
      <c r="L97" s="94" t="s">
        <v>81</v>
      </c>
      <c r="M97" s="94"/>
      <c r="N97" s="44" t="str">
        <f t="shared" si="8"/>
        <v/>
      </c>
      <c r="O97" s="45" t="s">
        <v>82</v>
      </c>
      <c r="P97" s="96" t="s">
        <v>84</v>
      </c>
      <c r="Q97" s="96">
        <v>10</v>
      </c>
      <c r="R97" s="47"/>
      <c r="S97" s="48"/>
      <c r="T97" s="79"/>
      <c r="U97" s="49"/>
      <c r="V97" s="3"/>
      <c r="W97" s="3"/>
      <c r="X97" s="50"/>
      <c r="Y97" s="49"/>
      <c r="Z97" s="49"/>
      <c r="AA97" s="3"/>
      <c r="AC97" s="50"/>
      <c r="AD97" s="50"/>
      <c r="AE97" s="3" t="s">
        <v>83</v>
      </c>
      <c r="AF97" s="51"/>
      <c r="AG97" s="52" t="str">
        <f t="shared" ca="1" si="12"/>
        <v/>
      </c>
      <c r="AI97" s="54"/>
      <c r="AJ97" s="3"/>
      <c r="AK97" s="3">
        <v>1</v>
      </c>
      <c r="AL97" s="3"/>
      <c r="AM97" s="4"/>
      <c r="AN97" s="4"/>
      <c r="AO97" s="3"/>
      <c r="AP97" s="4"/>
      <c r="AQ97" s="3"/>
      <c r="AR97" s="3"/>
      <c r="AS97" s="3"/>
    </row>
    <row r="98" spans="1:45" s="53" customFormat="1" ht="19.5" hidden="1" customHeight="1">
      <c r="A98" s="35">
        <f t="shared" si="4"/>
        <v>0</v>
      </c>
      <c r="B98" s="36"/>
      <c r="C98" s="37"/>
      <c r="D98" s="38"/>
      <c r="E98" s="37"/>
      <c r="F98" s="39"/>
      <c r="G98" s="40"/>
      <c r="H98" s="41"/>
      <c r="I98" s="37" t="s">
        <v>80</v>
      </c>
      <c r="J98" s="43"/>
      <c r="K98" s="94"/>
      <c r="L98" s="94" t="s">
        <v>81</v>
      </c>
      <c r="M98" s="94"/>
      <c r="N98" s="44" t="str">
        <f t="shared" si="8"/>
        <v/>
      </c>
      <c r="O98" s="45" t="s">
        <v>82</v>
      </c>
      <c r="P98" s="96" t="s">
        <v>84</v>
      </c>
      <c r="Q98" s="96">
        <v>10</v>
      </c>
      <c r="R98" s="47"/>
      <c r="S98" s="48"/>
      <c r="T98" s="82">
        <v>0.6875</v>
      </c>
      <c r="U98" s="79">
        <v>0.69444444444444453</v>
      </c>
      <c r="V98" s="83"/>
      <c r="W98" s="3"/>
      <c r="X98" s="50"/>
      <c r="Y98" s="49"/>
      <c r="Z98" s="49"/>
      <c r="AA98" s="3"/>
      <c r="AC98" s="50"/>
      <c r="AD98" s="50"/>
      <c r="AE98" s="3" t="s">
        <v>83</v>
      </c>
      <c r="AF98" s="51"/>
      <c r="AG98" s="52" t="str">
        <f t="shared" ca="1" si="12"/>
        <v/>
      </c>
      <c r="AI98" s="54"/>
      <c r="AJ98" s="3"/>
      <c r="AK98" s="3">
        <v>1</v>
      </c>
      <c r="AL98" s="3"/>
      <c r="AM98" s="4"/>
      <c r="AN98" s="4"/>
      <c r="AO98" s="3"/>
      <c r="AP98" s="4"/>
      <c r="AQ98" s="3"/>
      <c r="AR98" s="3"/>
      <c r="AS98" s="3"/>
    </row>
    <row r="99" spans="1:45" s="53" customFormat="1" ht="19.5" hidden="1" customHeight="1">
      <c r="A99" s="35">
        <f t="shared" si="4"/>
        <v>0</v>
      </c>
      <c r="B99" s="36"/>
      <c r="C99" s="37"/>
      <c r="D99" s="38"/>
      <c r="E99" s="37"/>
      <c r="F99" s="39"/>
      <c r="G99" s="40"/>
      <c r="H99" s="41"/>
      <c r="I99" s="37" t="s">
        <v>80</v>
      </c>
      <c r="J99" s="43"/>
      <c r="K99" s="94"/>
      <c r="L99" s="94" t="s">
        <v>81</v>
      </c>
      <c r="M99" s="94"/>
      <c r="N99" s="44" t="str">
        <f t="shared" si="8"/>
        <v/>
      </c>
      <c r="O99" s="45" t="s">
        <v>82</v>
      </c>
      <c r="P99" s="96" t="s">
        <v>84</v>
      </c>
      <c r="Q99" s="96">
        <v>10</v>
      </c>
      <c r="R99" s="47"/>
      <c r="S99" s="48"/>
      <c r="T99" s="82">
        <v>0.6875</v>
      </c>
      <c r="U99" s="82">
        <v>0.69444444444444453</v>
      </c>
      <c r="V99" s="97" t="s">
        <v>85</v>
      </c>
      <c r="W99" s="3"/>
      <c r="X99" s="72"/>
      <c r="Y99" s="79"/>
      <c r="Z99" s="49"/>
      <c r="AA99" s="3"/>
      <c r="AC99" s="50"/>
      <c r="AD99" s="50"/>
      <c r="AE99" s="3" t="s">
        <v>83</v>
      </c>
      <c r="AF99" s="51"/>
      <c r="AG99" s="52" t="str">
        <f t="shared" ca="1" si="12"/>
        <v/>
      </c>
      <c r="AI99" s="54"/>
      <c r="AJ99" s="3"/>
      <c r="AK99" s="3">
        <v>1</v>
      </c>
      <c r="AL99" s="3"/>
      <c r="AM99" s="4"/>
      <c r="AN99" s="4"/>
      <c r="AO99" s="3"/>
      <c r="AP99" s="4"/>
      <c r="AQ99" s="3"/>
      <c r="AR99" s="3"/>
      <c r="AS99" s="3"/>
    </row>
    <row r="100" spans="1:45" s="53" customFormat="1" ht="19.5" hidden="1" customHeight="1">
      <c r="A100" s="35">
        <f t="shared" si="4"/>
        <v>0</v>
      </c>
      <c r="B100" s="81"/>
      <c r="C100" s="37"/>
      <c r="D100" s="46"/>
      <c r="E100" s="37"/>
      <c r="F100" s="37"/>
      <c r="G100" s="37"/>
      <c r="H100" s="41"/>
      <c r="I100" s="37" t="s">
        <v>80</v>
      </c>
      <c r="J100" s="43"/>
      <c r="K100" s="94"/>
      <c r="L100" s="94" t="s">
        <v>81</v>
      </c>
      <c r="M100" s="98"/>
      <c r="N100" s="44" t="str">
        <f t="shared" si="8"/>
        <v/>
      </c>
      <c r="O100" s="45" t="s">
        <v>82</v>
      </c>
      <c r="P100" s="96" t="s">
        <v>84</v>
      </c>
      <c r="Q100" s="96">
        <v>10</v>
      </c>
      <c r="R100" s="47"/>
      <c r="S100" s="48"/>
      <c r="T100" s="82">
        <v>0.6875</v>
      </c>
      <c r="U100" s="82">
        <v>0.69444444444444453</v>
      </c>
      <c r="V100" s="97" t="s">
        <v>85</v>
      </c>
      <c r="W100" s="3"/>
      <c r="X100" s="72"/>
      <c r="Y100" s="99">
        <v>0.69097222222222221</v>
      </c>
      <c r="Z100" s="100">
        <v>0.69791666666666663</v>
      </c>
      <c r="AA100" s="83"/>
      <c r="AB100" s="101"/>
      <c r="AC100" s="50"/>
      <c r="AD100" s="50"/>
      <c r="AE100" s="3" t="s">
        <v>83</v>
      </c>
      <c r="AF100" s="51"/>
      <c r="AG100" s="52" t="str">
        <f t="shared" ca="1" si="12"/>
        <v/>
      </c>
      <c r="AI100" s="54"/>
      <c r="AJ100" s="3"/>
      <c r="AK100" s="3">
        <v>1</v>
      </c>
      <c r="AL100" s="3"/>
      <c r="AM100" s="4"/>
      <c r="AN100" s="4"/>
      <c r="AO100" s="3"/>
      <c r="AP100" s="4"/>
      <c r="AQ100" s="3"/>
      <c r="AR100" s="3"/>
      <c r="AS100" s="3"/>
    </row>
    <row r="101" spans="1:45" s="53" customFormat="1" ht="19.5" hidden="1" customHeight="1">
      <c r="A101" s="35">
        <f t="shared" si="4"/>
        <v>0</v>
      </c>
      <c r="B101" s="81"/>
      <c r="C101" s="102"/>
      <c r="D101" s="46"/>
      <c r="E101" s="3"/>
      <c r="F101" s="3"/>
      <c r="G101" s="3"/>
      <c r="H101" s="41"/>
      <c r="I101" s="37" t="s">
        <v>80</v>
      </c>
      <c r="J101" s="43"/>
      <c r="K101" s="94"/>
      <c r="L101" s="94" t="s">
        <v>81</v>
      </c>
      <c r="M101" s="98"/>
      <c r="N101" s="44" t="str">
        <f t="shared" si="8"/>
        <v/>
      </c>
      <c r="O101" s="45" t="s">
        <v>82</v>
      </c>
      <c r="P101" s="96" t="s">
        <v>84</v>
      </c>
      <c r="Q101" s="96">
        <v>10</v>
      </c>
      <c r="R101" s="47"/>
      <c r="S101" s="48"/>
      <c r="T101" s="82">
        <v>0.6875</v>
      </c>
      <c r="U101" s="82">
        <v>0.69444444444444453</v>
      </c>
      <c r="V101" s="97" t="s">
        <v>85</v>
      </c>
      <c r="W101" s="3"/>
      <c r="X101" s="72"/>
      <c r="Y101" s="99">
        <v>0.69097222222222221</v>
      </c>
      <c r="Z101" s="99">
        <v>0.69791666666666663</v>
      </c>
      <c r="AA101" s="97" t="s">
        <v>86</v>
      </c>
      <c r="AB101" s="73"/>
      <c r="AC101" s="103"/>
      <c r="AD101" s="104"/>
      <c r="AE101" s="3" t="s">
        <v>83</v>
      </c>
      <c r="AF101" s="105"/>
      <c r="AG101" s="52" t="str">
        <f t="shared" ca="1" si="12"/>
        <v/>
      </c>
      <c r="AI101" s="54"/>
      <c r="AJ101" s="3"/>
      <c r="AK101" s="3">
        <v>1</v>
      </c>
      <c r="AL101" s="3"/>
      <c r="AM101" s="4"/>
      <c r="AN101" s="4"/>
      <c r="AO101" s="3"/>
      <c r="AP101" s="4"/>
      <c r="AQ101" s="3"/>
      <c r="AR101" s="3"/>
      <c r="AS101" s="3"/>
    </row>
    <row r="102" spans="1:45" s="53" customFormat="1" ht="19.5" hidden="1" customHeight="1">
      <c r="A102" s="35">
        <f t="shared" ref="A102:A165" si="13">A101</f>
        <v>0</v>
      </c>
      <c r="B102" s="81"/>
      <c r="C102" s="102"/>
      <c r="D102" s="46"/>
      <c r="E102" s="3"/>
      <c r="F102" s="3"/>
      <c r="G102" s="3"/>
      <c r="H102" s="41"/>
      <c r="I102" s="37" t="s">
        <v>80</v>
      </c>
      <c r="J102" s="43"/>
      <c r="K102" s="94"/>
      <c r="L102" s="94" t="s">
        <v>81</v>
      </c>
      <c r="M102" s="98"/>
      <c r="N102" s="44" t="str">
        <f t="shared" si="8"/>
        <v/>
      </c>
      <c r="O102" s="45" t="s">
        <v>82</v>
      </c>
      <c r="P102" s="96" t="s">
        <v>84</v>
      </c>
      <c r="Q102" s="96">
        <v>10</v>
      </c>
      <c r="R102" s="47"/>
      <c r="S102" s="48"/>
      <c r="T102" s="82">
        <v>0.6875</v>
      </c>
      <c r="U102" s="82">
        <v>0.69444444444444453</v>
      </c>
      <c r="V102" s="97" t="s">
        <v>85</v>
      </c>
      <c r="W102" s="3"/>
      <c r="X102" s="72"/>
      <c r="Y102" s="99">
        <v>0.69097222222222221</v>
      </c>
      <c r="Z102" s="99">
        <v>0.69791666666666663</v>
      </c>
      <c r="AA102" s="97" t="s">
        <v>86</v>
      </c>
      <c r="AB102" s="73"/>
      <c r="AC102" s="50"/>
      <c r="AD102" s="106" t="s">
        <v>87</v>
      </c>
      <c r="AE102" s="3" t="s">
        <v>83</v>
      </c>
      <c r="AF102" s="107">
        <v>0.69444444444444453</v>
      </c>
      <c r="AG102" s="52">
        <v>0.71527777777777779</v>
      </c>
      <c r="AI102" s="54"/>
      <c r="AJ102" s="3"/>
      <c r="AK102" s="3">
        <v>1</v>
      </c>
      <c r="AL102" s="3"/>
      <c r="AM102" s="4"/>
      <c r="AN102" s="4"/>
      <c r="AO102" s="3"/>
      <c r="AP102" s="4"/>
      <c r="AQ102" s="3"/>
      <c r="AR102" s="3"/>
      <c r="AS102" s="3"/>
    </row>
    <row r="103" spans="1:45" s="53" customFormat="1" ht="19.5" hidden="1" customHeight="1">
      <c r="A103" s="35">
        <f t="shared" si="13"/>
        <v>0</v>
      </c>
      <c r="B103" s="81"/>
      <c r="C103" s="102"/>
      <c r="D103" s="46"/>
      <c r="E103" s="3"/>
      <c r="F103" s="3"/>
      <c r="G103" s="3"/>
      <c r="H103" s="41"/>
      <c r="I103" s="37" t="s">
        <v>80</v>
      </c>
      <c r="J103" s="43"/>
      <c r="K103" s="94"/>
      <c r="L103" s="94" t="s">
        <v>81</v>
      </c>
      <c r="M103" s="98"/>
      <c r="N103" s="44" t="str">
        <f t="shared" si="8"/>
        <v/>
      </c>
      <c r="O103" s="45" t="s">
        <v>82</v>
      </c>
      <c r="P103" s="96" t="s">
        <v>84</v>
      </c>
      <c r="Q103" s="96">
        <v>10</v>
      </c>
      <c r="R103" s="47"/>
      <c r="S103" s="48"/>
      <c r="T103" s="82">
        <v>0.6875</v>
      </c>
      <c r="U103" s="82">
        <v>0.69444444444444453</v>
      </c>
      <c r="V103" s="97" t="s">
        <v>85</v>
      </c>
      <c r="W103" s="3"/>
      <c r="X103" s="72"/>
      <c r="Y103" s="99">
        <v>0.69097222222222221</v>
      </c>
      <c r="Z103" s="99">
        <v>0.69791666666666663</v>
      </c>
      <c r="AA103" s="97" t="s">
        <v>86</v>
      </c>
      <c r="AB103" s="73"/>
      <c r="AC103" s="50"/>
      <c r="AD103" s="106" t="s">
        <v>87</v>
      </c>
      <c r="AE103" s="3" t="s">
        <v>83</v>
      </c>
      <c r="AF103" s="107">
        <v>0.69444444444444453</v>
      </c>
      <c r="AG103" s="108">
        <v>0.72569444444444453</v>
      </c>
      <c r="AH103" s="109"/>
      <c r="AI103" s="54"/>
      <c r="AJ103" s="3"/>
      <c r="AK103" s="3">
        <v>1</v>
      </c>
      <c r="AL103" s="3"/>
      <c r="AM103" s="4"/>
      <c r="AN103" s="4"/>
      <c r="AO103" s="3"/>
      <c r="AP103" s="4"/>
      <c r="AQ103" s="3"/>
      <c r="AR103" s="3"/>
      <c r="AS103" s="3"/>
    </row>
    <row r="104" spans="1:45" s="53" customFormat="1" ht="19.5" hidden="1" customHeight="1">
      <c r="A104" s="35">
        <f t="shared" si="13"/>
        <v>0</v>
      </c>
      <c r="B104" s="81"/>
      <c r="C104" s="102"/>
      <c r="D104" s="46"/>
      <c r="E104" s="3"/>
      <c r="F104" s="3"/>
      <c r="G104" s="3"/>
      <c r="H104" s="41"/>
      <c r="I104" s="37" t="s">
        <v>80</v>
      </c>
      <c r="J104" s="43"/>
      <c r="K104" s="94"/>
      <c r="L104" s="94" t="s">
        <v>81</v>
      </c>
      <c r="M104" s="98"/>
      <c r="N104" s="44" t="str">
        <f t="shared" si="8"/>
        <v/>
      </c>
      <c r="O104" s="45" t="s">
        <v>82</v>
      </c>
      <c r="P104" s="96" t="s">
        <v>84</v>
      </c>
      <c r="Q104" s="96">
        <v>10</v>
      </c>
      <c r="R104" s="47"/>
      <c r="S104" s="48"/>
      <c r="T104" s="82">
        <v>0.6875</v>
      </c>
      <c r="U104" s="82">
        <v>0.69444444444444453</v>
      </c>
      <c r="V104" s="97" t="s">
        <v>85</v>
      </c>
      <c r="W104" s="3"/>
      <c r="X104" s="72"/>
      <c r="Y104" s="99">
        <v>0.69097222222222221</v>
      </c>
      <c r="Z104" s="99">
        <v>0.69791666666666663</v>
      </c>
      <c r="AA104" s="97" t="s">
        <v>86</v>
      </c>
      <c r="AB104" s="73"/>
      <c r="AC104" s="50"/>
      <c r="AD104" s="106" t="s">
        <v>87</v>
      </c>
      <c r="AE104" s="3" t="s">
        <v>83</v>
      </c>
      <c r="AF104" s="107">
        <v>0.69444444444444453</v>
      </c>
      <c r="AG104" s="110">
        <v>0.72569444444444453</v>
      </c>
      <c r="AH104" s="111"/>
      <c r="AI104" s="54"/>
      <c r="AJ104" s="3"/>
      <c r="AK104" s="3">
        <v>1</v>
      </c>
      <c r="AL104" s="3"/>
      <c r="AM104" s="4"/>
      <c r="AN104" s="4"/>
      <c r="AO104" s="3"/>
      <c r="AP104" s="4"/>
      <c r="AQ104" s="3"/>
      <c r="AR104" s="3"/>
      <c r="AS104" s="3"/>
    </row>
    <row r="105" spans="1:45" s="53" customFormat="1" ht="19.5" hidden="1" customHeight="1">
      <c r="A105" s="35">
        <f t="shared" si="13"/>
        <v>0</v>
      </c>
      <c r="B105" s="81"/>
      <c r="C105" s="102"/>
      <c r="D105" s="46"/>
      <c r="E105" s="3"/>
      <c r="F105" s="3"/>
      <c r="G105" s="3"/>
      <c r="H105" s="41"/>
      <c r="I105" s="3" t="s">
        <v>80</v>
      </c>
      <c r="J105" s="78"/>
      <c r="K105" s="98"/>
      <c r="L105" s="98" t="s">
        <v>81</v>
      </c>
      <c r="M105" s="98"/>
      <c r="N105" s="44" t="str">
        <f t="shared" si="8"/>
        <v/>
      </c>
      <c r="O105" s="45" t="s">
        <v>82</v>
      </c>
      <c r="P105" s="96" t="s">
        <v>84</v>
      </c>
      <c r="Q105" s="96">
        <v>10</v>
      </c>
      <c r="R105" s="47"/>
      <c r="S105" s="48"/>
      <c r="T105" s="82">
        <v>0.6875</v>
      </c>
      <c r="U105" s="82">
        <v>0.69444444444444453</v>
      </c>
      <c r="V105" s="97" t="s">
        <v>85</v>
      </c>
      <c r="W105" s="3"/>
      <c r="X105" s="72"/>
      <c r="Y105" s="99">
        <v>0.69097222222222221</v>
      </c>
      <c r="Z105" s="99">
        <v>0.69791666666666663</v>
      </c>
      <c r="AA105" s="97" t="s">
        <v>86</v>
      </c>
      <c r="AB105" s="73"/>
      <c r="AC105" s="50"/>
      <c r="AD105" s="106" t="s">
        <v>87</v>
      </c>
      <c r="AE105" s="3" t="s">
        <v>83</v>
      </c>
      <c r="AF105" s="107">
        <v>0.69444444444444453</v>
      </c>
      <c r="AG105" s="110">
        <v>0.72569444444444453</v>
      </c>
      <c r="AH105" s="111"/>
      <c r="AI105" s="54"/>
      <c r="AJ105" s="3"/>
      <c r="AK105" s="3">
        <v>1</v>
      </c>
      <c r="AL105" s="3"/>
      <c r="AM105" s="4"/>
      <c r="AN105" s="4"/>
      <c r="AO105" s="3"/>
      <c r="AP105" s="4"/>
      <c r="AQ105" s="3"/>
      <c r="AR105" s="3"/>
      <c r="AS105" s="3"/>
    </row>
    <row r="106" spans="1:45" ht="19.5" hidden="1" customHeight="1">
      <c r="A106" s="35">
        <f>A95</f>
        <v>0</v>
      </c>
      <c r="I106" s="3" t="s">
        <v>50</v>
      </c>
      <c r="K106" s="98"/>
      <c r="L106" s="98" t="s">
        <v>52</v>
      </c>
      <c r="M106" s="98"/>
      <c r="N106" s="44" t="str">
        <f t="shared" si="8"/>
        <v/>
      </c>
      <c r="O106" s="45" t="s">
        <v>82</v>
      </c>
      <c r="P106" s="95" t="s">
        <v>84</v>
      </c>
      <c r="Q106" s="95">
        <v>10</v>
      </c>
      <c r="R106" s="47"/>
      <c r="T106" s="82">
        <v>0.6875</v>
      </c>
      <c r="U106" s="82">
        <v>0.69444444444444453</v>
      </c>
      <c r="V106" s="97" t="s">
        <v>85</v>
      </c>
      <c r="X106" s="120" t="s">
        <v>90</v>
      </c>
      <c r="Y106" s="99">
        <v>0.69097222222222221</v>
      </c>
      <c r="Z106" s="99">
        <v>0.69791666666666663</v>
      </c>
      <c r="AA106" s="63" t="s">
        <v>94</v>
      </c>
      <c r="AB106" s="73"/>
      <c r="AD106" s="118" t="s">
        <v>87</v>
      </c>
      <c r="AE106" s="3" t="str">
        <f>IF(OR(V106="電話不通 x2",V106="DS判断"),"DS確認→U列入力",IF(V106="希望","U列入力",IF(V106="拒否","DS確認",IF(V106="外国語","DS確認",IF(V106="電話不通 x1","ORM再架電","-")))))</f>
        <v>-</v>
      </c>
      <c r="AF106" s="107">
        <v>0.69444444444444453</v>
      </c>
      <c r="AG106" s="110">
        <v>0.72569444444444453</v>
      </c>
      <c r="AH106" s="111"/>
      <c r="AI106" s="54"/>
      <c r="AK106" s="3">
        <v>1</v>
      </c>
      <c r="AP106" s="4"/>
    </row>
    <row r="107" spans="1:45" ht="19.5" hidden="1" customHeight="1">
      <c r="A107" s="35">
        <f t="shared" si="13"/>
        <v>0</v>
      </c>
      <c r="I107" s="3" t="s">
        <v>50</v>
      </c>
      <c r="K107" s="98"/>
      <c r="L107" s="98" t="s">
        <v>52</v>
      </c>
      <c r="M107" s="98"/>
      <c r="N107" s="44" t="str">
        <f t="shared" si="8"/>
        <v/>
      </c>
      <c r="O107" s="45" t="s">
        <v>58</v>
      </c>
      <c r="P107" s="96" t="s">
        <v>84</v>
      </c>
      <c r="Q107" s="96">
        <v>10</v>
      </c>
      <c r="R107" s="47"/>
      <c r="T107" s="82">
        <v>0.6875</v>
      </c>
      <c r="U107" s="82">
        <v>0.69444444444444453</v>
      </c>
      <c r="V107" s="97" t="s">
        <v>85</v>
      </c>
      <c r="W107" s="126"/>
      <c r="X107" s="72" t="s">
        <v>90</v>
      </c>
      <c r="Y107" s="99">
        <v>0.69097222222222221</v>
      </c>
      <c r="Z107" s="99">
        <v>0.69791666666666663</v>
      </c>
      <c r="AA107" s="126" t="s">
        <v>94</v>
      </c>
      <c r="AB107" s="127"/>
      <c r="AD107" s="84" t="s">
        <v>101</v>
      </c>
      <c r="AE107" s="126" t="s">
        <v>83</v>
      </c>
      <c r="AF107" s="128">
        <v>0.69444444444444453</v>
      </c>
      <c r="AG107" s="119">
        <v>0.72569444444444453</v>
      </c>
      <c r="AH107" s="101"/>
      <c r="AI107" s="54"/>
      <c r="AK107" s="3">
        <v>1</v>
      </c>
      <c r="AP107" s="4"/>
    </row>
    <row r="108" spans="1:45" ht="19.5" hidden="1" customHeight="1">
      <c r="A108" s="35">
        <f t="shared" si="13"/>
        <v>0</v>
      </c>
      <c r="N108" s="44" t="str">
        <f t="shared" si="8"/>
        <v/>
      </c>
      <c r="R108" s="47"/>
      <c r="AE108" s="3" t="str">
        <f>IF(OR(V108="電話不通 x2",V108="DS判断"),"DS確認→U列入力",IF(V108="希望","U列入力",IF(V108="拒否","DS確認",IF(V108="外国語","DS確認",IF(V108="電話不通 x1","ORM再架電","-")))))</f>
        <v>-</v>
      </c>
      <c r="AF108" s="51"/>
      <c r="AG108" s="52" t="str">
        <f t="shared" ref="AG108:AG115" ca="1" si="14">IF(AF108="","",IF($AF108+TIME(0,30,0)&lt;(TEXT(NOW(),"h:mm:ss")*1),$AF108+TIME(0,45,0),$AF108+TIME(0,30,0)))</f>
        <v/>
      </c>
      <c r="AI108" s="54"/>
      <c r="AK108" s="3">
        <v>1</v>
      </c>
      <c r="AP108" s="4"/>
    </row>
    <row r="109" spans="1:45" s="53" customFormat="1" ht="19.5" hidden="1" customHeight="1">
      <c r="A109" s="35">
        <f t="shared" si="13"/>
        <v>0</v>
      </c>
      <c r="B109" s="81"/>
      <c r="C109" s="3"/>
      <c r="D109" s="46"/>
      <c r="E109" s="3"/>
      <c r="F109" s="3"/>
      <c r="G109" s="3"/>
      <c r="H109" s="41"/>
      <c r="I109" s="3"/>
      <c r="J109" s="78"/>
      <c r="K109" s="78"/>
      <c r="L109" s="78"/>
      <c r="M109" s="78"/>
      <c r="N109" s="44" t="str">
        <f t="shared" si="8"/>
        <v/>
      </c>
      <c r="O109" s="45"/>
      <c r="P109" s="3"/>
      <c r="Q109" s="46"/>
      <c r="R109" s="47"/>
      <c r="S109" s="48"/>
      <c r="T109" s="80"/>
      <c r="U109" s="80"/>
      <c r="V109" s="3"/>
      <c r="W109" s="3"/>
      <c r="X109" s="50"/>
      <c r="Y109" s="80"/>
      <c r="Z109" s="80"/>
      <c r="AA109" s="3"/>
      <c r="AC109" s="50"/>
      <c r="AD109" s="50"/>
      <c r="AE109" s="3" t="str">
        <f>IF(OR(V109="電話不通 x2",V109="DS判断"),"DS確認→U列入力",IF(V109="希望","U列入力",IF(V109="拒否","DS確認",IF(V109="外国語","DS確認",IF(V109="電話不通 x1","ORM再架電","-")))))</f>
        <v>-</v>
      </c>
      <c r="AF109" s="51"/>
      <c r="AG109" s="52" t="str">
        <f t="shared" ca="1" si="14"/>
        <v/>
      </c>
      <c r="AI109" s="54"/>
      <c r="AJ109" s="3"/>
      <c r="AK109" s="3">
        <v>1</v>
      </c>
      <c r="AL109" s="3"/>
      <c r="AM109" s="4"/>
      <c r="AN109" s="4"/>
      <c r="AO109" s="3"/>
      <c r="AP109" s="4"/>
      <c r="AQ109" s="3"/>
      <c r="AR109" s="3"/>
      <c r="AS109" s="3"/>
    </row>
    <row r="110" spans="1:45" s="53" customFormat="1" ht="19.5" hidden="1" customHeight="1">
      <c r="A110" s="35">
        <f t="shared" si="13"/>
        <v>0</v>
      </c>
      <c r="B110" s="36"/>
      <c r="C110" s="37"/>
      <c r="D110" s="38" t="s">
        <v>102</v>
      </c>
      <c r="E110" s="37"/>
      <c r="F110" s="39"/>
      <c r="G110" s="40"/>
      <c r="H110" s="41"/>
      <c r="I110" s="37" t="s">
        <v>80</v>
      </c>
      <c r="J110" s="43"/>
      <c r="K110" s="94"/>
      <c r="L110" s="94" t="s">
        <v>81</v>
      </c>
      <c r="M110" s="94"/>
      <c r="N110" s="44" t="str">
        <f t="shared" si="8"/>
        <v/>
      </c>
      <c r="O110" s="45" t="s">
        <v>82</v>
      </c>
      <c r="P110" s="95"/>
      <c r="Q110" s="95"/>
      <c r="R110" s="47"/>
      <c r="S110" s="48"/>
      <c r="T110" s="49"/>
      <c r="U110" s="49"/>
      <c r="V110" s="3"/>
      <c r="W110" s="3"/>
      <c r="X110" s="50"/>
      <c r="Y110" s="49"/>
      <c r="Z110" s="49"/>
      <c r="AA110" s="3"/>
      <c r="AC110" s="50"/>
      <c r="AD110" s="50"/>
      <c r="AE110" s="3" t="s">
        <v>83</v>
      </c>
      <c r="AF110" s="51"/>
      <c r="AG110" s="52" t="str">
        <f t="shared" ca="1" si="14"/>
        <v/>
      </c>
      <c r="AI110" s="54"/>
      <c r="AJ110" s="3"/>
      <c r="AK110" s="3">
        <v>1</v>
      </c>
      <c r="AL110" s="3"/>
      <c r="AM110" s="4"/>
      <c r="AN110" s="4"/>
      <c r="AO110" s="3"/>
      <c r="AP110" s="4"/>
      <c r="AQ110" s="3"/>
      <c r="AR110" s="3"/>
      <c r="AS110" s="3"/>
    </row>
    <row r="111" spans="1:45" s="53" customFormat="1" ht="19.5" hidden="1" customHeight="1">
      <c r="A111" s="35">
        <f t="shared" si="13"/>
        <v>0</v>
      </c>
      <c r="B111" s="36"/>
      <c r="C111" s="37"/>
      <c r="D111" s="38"/>
      <c r="E111" s="37"/>
      <c r="F111" s="39"/>
      <c r="G111" s="40"/>
      <c r="H111" s="41"/>
      <c r="I111" s="37" t="s">
        <v>80</v>
      </c>
      <c r="J111" s="43"/>
      <c r="K111" s="94"/>
      <c r="L111" s="94" t="s">
        <v>81</v>
      </c>
      <c r="M111" s="94"/>
      <c r="N111" s="44" t="str">
        <f t="shared" ref="N111:N146" si="15">IF(C111="","",C111)</f>
        <v/>
      </c>
      <c r="O111" s="45" t="s">
        <v>82</v>
      </c>
      <c r="P111" s="96" t="s">
        <v>84</v>
      </c>
      <c r="Q111" s="96">
        <v>10</v>
      </c>
      <c r="R111" s="47"/>
      <c r="S111" s="48"/>
      <c r="T111" s="79"/>
      <c r="U111" s="49"/>
      <c r="V111" s="3"/>
      <c r="W111" s="3"/>
      <c r="X111" s="50"/>
      <c r="Y111" s="49"/>
      <c r="Z111" s="49"/>
      <c r="AA111" s="3"/>
      <c r="AC111" s="50"/>
      <c r="AD111" s="50"/>
      <c r="AE111" s="3" t="s">
        <v>83</v>
      </c>
      <c r="AF111" s="51"/>
      <c r="AG111" s="52" t="str">
        <f t="shared" ca="1" si="14"/>
        <v/>
      </c>
      <c r="AI111" s="54"/>
      <c r="AJ111" s="3"/>
      <c r="AK111" s="3">
        <v>1</v>
      </c>
      <c r="AL111" s="3"/>
      <c r="AM111" s="4"/>
      <c r="AN111" s="4"/>
      <c r="AO111" s="3"/>
      <c r="AP111" s="4"/>
      <c r="AQ111" s="3"/>
      <c r="AR111" s="3"/>
      <c r="AS111" s="3"/>
    </row>
    <row r="112" spans="1:45" s="53" customFormat="1" ht="19.5" hidden="1" customHeight="1">
      <c r="A112" s="35">
        <f t="shared" si="13"/>
        <v>0</v>
      </c>
      <c r="B112" s="36"/>
      <c r="C112" s="37"/>
      <c r="D112" s="38"/>
      <c r="E112" s="37"/>
      <c r="F112" s="39"/>
      <c r="G112" s="40"/>
      <c r="H112" s="41"/>
      <c r="I112" s="37" t="s">
        <v>80</v>
      </c>
      <c r="J112" s="43"/>
      <c r="K112" s="94"/>
      <c r="L112" s="94" t="s">
        <v>81</v>
      </c>
      <c r="M112" s="94"/>
      <c r="N112" s="44" t="str">
        <f t="shared" si="15"/>
        <v/>
      </c>
      <c r="O112" s="45" t="s">
        <v>82</v>
      </c>
      <c r="P112" s="96" t="s">
        <v>84</v>
      </c>
      <c r="Q112" s="96">
        <v>10</v>
      </c>
      <c r="R112" s="47"/>
      <c r="S112" s="48"/>
      <c r="T112" s="82">
        <v>0.6875</v>
      </c>
      <c r="U112" s="79">
        <v>0.69444444444444453</v>
      </c>
      <c r="V112" s="83"/>
      <c r="W112" s="3"/>
      <c r="X112" s="50"/>
      <c r="Y112" s="49"/>
      <c r="Z112" s="49"/>
      <c r="AA112" s="3"/>
      <c r="AC112" s="50"/>
      <c r="AD112" s="50"/>
      <c r="AE112" s="3" t="s">
        <v>83</v>
      </c>
      <c r="AF112" s="51"/>
      <c r="AG112" s="52" t="str">
        <f t="shared" ca="1" si="14"/>
        <v/>
      </c>
      <c r="AI112" s="54"/>
      <c r="AJ112" s="3"/>
      <c r="AK112" s="3">
        <v>1</v>
      </c>
      <c r="AL112" s="3"/>
      <c r="AM112" s="4"/>
      <c r="AN112" s="4"/>
      <c r="AO112" s="3"/>
      <c r="AP112" s="4"/>
      <c r="AQ112" s="3"/>
      <c r="AR112" s="3"/>
      <c r="AS112" s="3"/>
    </row>
    <row r="113" spans="1:45" s="53" customFormat="1" ht="19.5" hidden="1" customHeight="1">
      <c r="A113" s="35">
        <f t="shared" si="13"/>
        <v>0</v>
      </c>
      <c r="B113" s="36"/>
      <c r="C113" s="37"/>
      <c r="D113" s="38"/>
      <c r="E113" s="37"/>
      <c r="F113" s="39"/>
      <c r="G113" s="40"/>
      <c r="H113" s="41"/>
      <c r="I113" s="37" t="s">
        <v>80</v>
      </c>
      <c r="J113" s="43"/>
      <c r="K113" s="94"/>
      <c r="L113" s="94" t="s">
        <v>81</v>
      </c>
      <c r="M113" s="94"/>
      <c r="N113" s="44" t="str">
        <f t="shared" si="15"/>
        <v/>
      </c>
      <c r="O113" s="45" t="s">
        <v>82</v>
      </c>
      <c r="P113" s="96" t="s">
        <v>84</v>
      </c>
      <c r="Q113" s="96">
        <v>10</v>
      </c>
      <c r="R113" s="47"/>
      <c r="S113" s="48"/>
      <c r="T113" s="82">
        <v>0.6875</v>
      </c>
      <c r="U113" s="82">
        <v>0.69444444444444453</v>
      </c>
      <c r="V113" s="97" t="s">
        <v>85</v>
      </c>
      <c r="W113" s="3"/>
      <c r="X113" s="72"/>
      <c r="Y113" s="79"/>
      <c r="Z113" s="49"/>
      <c r="AA113" s="3"/>
      <c r="AC113" s="50"/>
      <c r="AD113" s="50"/>
      <c r="AE113" s="3" t="s">
        <v>83</v>
      </c>
      <c r="AF113" s="51"/>
      <c r="AG113" s="52" t="str">
        <f t="shared" ca="1" si="14"/>
        <v/>
      </c>
      <c r="AI113" s="54"/>
      <c r="AJ113" s="3"/>
      <c r="AK113" s="3">
        <v>1</v>
      </c>
      <c r="AL113" s="3"/>
      <c r="AM113" s="4"/>
      <c r="AN113" s="4"/>
      <c r="AO113" s="3"/>
      <c r="AP113" s="4"/>
      <c r="AQ113" s="3"/>
      <c r="AR113" s="3"/>
      <c r="AS113" s="3"/>
    </row>
    <row r="114" spans="1:45" s="53" customFormat="1" ht="19.5" hidden="1" customHeight="1">
      <c r="A114" s="35">
        <f t="shared" si="13"/>
        <v>0</v>
      </c>
      <c r="B114" s="81"/>
      <c r="C114" s="37"/>
      <c r="D114" s="46"/>
      <c r="E114" s="37"/>
      <c r="F114" s="37"/>
      <c r="G114" s="37"/>
      <c r="H114" s="41"/>
      <c r="I114" s="37" t="s">
        <v>80</v>
      </c>
      <c r="J114" s="43"/>
      <c r="K114" s="94"/>
      <c r="L114" s="94" t="s">
        <v>81</v>
      </c>
      <c r="M114" s="98"/>
      <c r="N114" s="44" t="str">
        <f t="shared" si="15"/>
        <v/>
      </c>
      <c r="O114" s="45" t="s">
        <v>82</v>
      </c>
      <c r="P114" s="96" t="s">
        <v>84</v>
      </c>
      <c r="Q114" s="96">
        <v>10</v>
      </c>
      <c r="R114" s="47"/>
      <c r="S114" s="48"/>
      <c r="T114" s="82">
        <v>0.6875</v>
      </c>
      <c r="U114" s="82">
        <v>0.69444444444444453</v>
      </c>
      <c r="V114" s="97" t="s">
        <v>85</v>
      </c>
      <c r="W114" s="3"/>
      <c r="X114" s="72"/>
      <c r="Y114" s="99">
        <v>0.69097222222222221</v>
      </c>
      <c r="Z114" s="100">
        <v>0.69791666666666663</v>
      </c>
      <c r="AA114" s="83"/>
      <c r="AB114" s="101"/>
      <c r="AC114" s="50"/>
      <c r="AD114" s="50"/>
      <c r="AE114" s="3" t="s">
        <v>83</v>
      </c>
      <c r="AF114" s="51"/>
      <c r="AG114" s="52" t="str">
        <f t="shared" ca="1" si="14"/>
        <v/>
      </c>
      <c r="AI114" s="54"/>
      <c r="AJ114" s="3"/>
      <c r="AK114" s="3">
        <v>1</v>
      </c>
      <c r="AL114" s="3"/>
      <c r="AM114" s="4"/>
      <c r="AN114" s="4"/>
      <c r="AO114" s="3"/>
      <c r="AP114" s="4"/>
      <c r="AQ114" s="3"/>
      <c r="AR114" s="3"/>
      <c r="AS114" s="3"/>
    </row>
    <row r="115" spans="1:45" s="53" customFormat="1" ht="19.5" hidden="1" customHeight="1">
      <c r="A115" s="35">
        <f t="shared" si="13"/>
        <v>0</v>
      </c>
      <c r="B115" s="81"/>
      <c r="C115" s="102"/>
      <c r="D115" s="46"/>
      <c r="E115" s="3"/>
      <c r="F115" s="3"/>
      <c r="G115" s="3"/>
      <c r="H115" s="41"/>
      <c r="I115" s="37" t="s">
        <v>80</v>
      </c>
      <c r="J115" s="43"/>
      <c r="K115" s="94"/>
      <c r="L115" s="94" t="s">
        <v>81</v>
      </c>
      <c r="M115" s="98"/>
      <c r="N115" s="44" t="str">
        <f t="shared" si="15"/>
        <v/>
      </c>
      <c r="O115" s="45" t="s">
        <v>82</v>
      </c>
      <c r="P115" s="96" t="s">
        <v>84</v>
      </c>
      <c r="Q115" s="96">
        <v>10</v>
      </c>
      <c r="R115" s="47"/>
      <c r="S115" s="48"/>
      <c r="T115" s="82">
        <v>0.6875</v>
      </c>
      <c r="U115" s="82">
        <v>0.69444444444444453</v>
      </c>
      <c r="V115" s="97" t="s">
        <v>85</v>
      </c>
      <c r="W115" s="3"/>
      <c r="X115" s="72"/>
      <c r="Y115" s="99">
        <v>0.69097222222222221</v>
      </c>
      <c r="Z115" s="99">
        <v>0.69791666666666663</v>
      </c>
      <c r="AA115" s="97" t="s">
        <v>86</v>
      </c>
      <c r="AB115" s="73"/>
      <c r="AC115" s="103"/>
      <c r="AD115" s="104"/>
      <c r="AE115" s="3" t="s">
        <v>83</v>
      </c>
      <c r="AF115" s="105"/>
      <c r="AG115" s="52" t="str">
        <f t="shared" ca="1" si="14"/>
        <v/>
      </c>
      <c r="AI115" s="54"/>
      <c r="AJ115" s="3"/>
      <c r="AK115" s="3">
        <v>1</v>
      </c>
      <c r="AL115" s="3"/>
      <c r="AM115" s="4"/>
      <c r="AN115" s="4"/>
      <c r="AO115" s="3"/>
      <c r="AP115" s="4"/>
      <c r="AQ115" s="3"/>
      <c r="AR115" s="3"/>
      <c r="AS115" s="3"/>
    </row>
    <row r="116" spans="1:45" s="53" customFormat="1" ht="19.5" hidden="1" customHeight="1">
      <c r="A116" s="35">
        <f t="shared" si="13"/>
        <v>0</v>
      </c>
      <c r="B116" s="81"/>
      <c r="C116" s="102"/>
      <c r="D116" s="46"/>
      <c r="E116" s="3"/>
      <c r="F116" s="3"/>
      <c r="G116" s="3"/>
      <c r="H116" s="41"/>
      <c r="I116" s="37" t="s">
        <v>80</v>
      </c>
      <c r="J116" s="43"/>
      <c r="K116" s="94"/>
      <c r="L116" s="94" t="s">
        <v>81</v>
      </c>
      <c r="M116" s="98"/>
      <c r="N116" s="44" t="str">
        <f t="shared" si="15"/>
        <v/>
      </c>
      <c r="O116" s="45" t="s">
        <v>82</v>
      </c>
      <c r="P116" s="96" t="s">
        <v>84</v>
      </c>
      <c r="Q116" s="96">
        <v>10</v>
      </c>
      <c r="R116" s="47"/>
      <c r="S116" s="48"/>
      <c r="T116" s="82">
        <v>0.6875</v>
      </c>
      <c r="U116" s="82">
        <v>0.69444444444444453</v>
      </c>
      <c r="V116" s="97" t="s">
        <v>85</v>
      </c>
      <c r="W116" s="3"/>
      <c r="X116" s="72"/>
      <c r="Y116" s="99">
        <v>0.69097222222222221</v>
      </c>
      <c r="Z116" s="99">
        <v>0.69791666666666663</v>
      </c>
      <c r="AA116" s="97" t="s">
        <v>86</v>
      </c>
      <c r="AB116" s="73"/>
      <c r="AC116" s="50"/>
      <c r="AD116" s="106" t="s">
        <v>87</v>
      </c>
      <c r="AE116" s="3" t="s">
        <v>83</v>
      </c>
      <c r="AF116" s="107">
        <v>0.69444444444444453</v>
      </c>
      <c r="AG116" s="52">
        <v>0.71527777777777779</v>
      </c>
      <c r="AI116" s="54"/>
      <c r="AJ116" s="3"/>
      <c r="AK116" s="3">
        <v>1</v>
      </c>
      <c r="AL116" s="3"/>
      <c r="AM116" s="4"/>
      <c r="AN116" s="4"/>
      <c r="AO116" s="3"/>
      <c r="AP116" s="4"/>
      <c r="AQ116" s="3"/>
      <c r="AR116" s="3"/>
      <c r="AS116" s="3"/>
    </row>
    <row r="117" spans="1:45" s="53" customFormat="1" ht="19.5" hidden="1" customHeight="1">
      <c r="A117" s="35">
        <f t="shared" si="13"/>
        <v>0</v>
      </c>
      <c r="B117" s="81"/>
      <c r="C117" s="102"/>
      <c r="D117" s="46"/>
      <c r="E117" s="3"/>
      <c r="F117" s="3"/>
      <c r="G117" s="3"/>
      <c r="H117" s="41"/>
      <c r="I117" s="37" t="s">
        <v>80</v>
      </c>
      <c r="J117" s="43"/>
      <c r="K117" s="94"/>
      <c r="L117" s="94" t="s">
        <v>81</v>
      </c>
      <c r="M117" s="98"/>
      <c r="N117" s="44" t="str">
        <f t="shared" si="15"/>
        <v/>
      </c>
      <c r="O117" s="45" t="s">
        <v>82</v>
      </c>
      <c r="P117" s="96" t="s">
        <v>84</v>
      </c>
      <c r="Q117" s="96">
        <v>10</v>
      </c>
      <c r="R117" s="47"/>
      <c r="S117" s="48"/>
      <c r="T117" s="82">
        <v>0.6875</v>
      </c>
      <c r="U117" s="82">
        <v>0.69444444444444453</v>
      </c>
      <c r="V117" s="97" t="s">
        <v>85</v>
      </c>
      <c r="W117" s="3"/>
      <c r="X117" s="72"/>
      <c r="Y117" s="99">
        <v>0.69097222222222221</v>
      </c>
      <c r="Z117" s="99">
        <v>0.69791666666666663</v>
      </c>
      <c r="AA117" s="97" t="s">
        <v>86</v>
      </c>
      <c r="AB117" s="73"/>
      <c r="AC117" s="50"/>
      <c r="AD117" s="106" t="s">
        <v>87</v>
      </c>
      <c r="AE117" s="3" t="s">
        <v>83</v>
      </c>
      <c r="AF117" s="107">
        <v>0.69444444444444453</v>
      </c>
      <c r="AG117" s="108">
        <v>0.72569444444444453</v>
      </c>
      <c r="AH117" s="109"/>
      <c r="AI117" s="54"/>
      <c r="AJ117" s="3"/>
      <c r="AK117" s="3">
        <v>1</v>
      </c>
      <c r="AL117" s="3"/>
      <c r="AM117" s="4"/>
      <c r="AN117" s="4"/>
      <c r="AO117" s="3"/>
      <c r="AP117" s="4"/>
      <c r="AQ117" s="3"/>
      <c r="AR117" s="3"/>
      <c r="AS117" s="3"/>
    </row>
    <row r="118" spans="1:45" s="53" customFormat="1" ht="19.5" hidden="1" customHeight="1">
      <c r="A118" s="35">
        <f t="shared" si="13"/>
        <v>0</v>
      </c>
      <c r="B118" s="81"/>
      <c r="C118" s="102"/>
      <c r="D118" s="46"/>
      <c r="E118" s="3"/>
      <c r="F118" s="3"/>
      <c r="G118" s="3"/>
      <c r="H118" s="41"/>
      <c r="I118" s="37" t="s">
        <v>80</v>
      </c>
      <c r="J118" s="43"/>
      <c r="K118" s="94"/>
      <c r="L118" s="94" t="s">
        <v>81</v>
      </c>
      <c r="M118" s="98"/>
      <c r="N118" s="44" t="str">
        <f t="shared" si="15"/>
        <v/>
      </c>
      <c r="O118" s="45" t="s">
        <v>82</v>
      </c>
      <c r="P118" s="96" t="s">
        <v>84</v>
      </c>
      <c r="Q118" s="96">
        <v>10</v>
      </c>
      <c r="R118" s="47"/>
      <c r="S118" s="48"/>
      <c r="T118" s="82">
        <v>0.6875</v>
      </c>
      <c r="U118" s="82">
        <v>0.69444444444444453</v>
      </c>
      <c r="V118" s="97" t="s">
        <v>85</v>
      </c>
      <c r="W118" s="3"/>
      <c r="X118" s="72"/>
      <c r="Y118" s="99">
        <v>0.69097222222222221</v>
      </c>
      <c r="Z118" s="99">
        <v>0.69791666666666663</v>
      </c>
      <c r="AA118" s="97" t="s">
        <v>86</v>
      </c>
      <c r="AB118" s="73"/>
      <c r="AC118" s="50"/>
      <c r="AD118" s="106" t="s">
        <v>87</v>
      </c>
      <c r="AE118" s="3" t="s">
        <v>83</v>
      </c>
      <c r="AF118" s="107">
        <v>0.69444444444444453</v>
      </c>
      <c r="AG118" s="110">
        <v>0.72569444444444453</v>
      </c>
      <c r="AH118" s="111"/>
      <c r="AI118" s="54"/>
      <c r="AJ118" s="3"/>
      <c r="AK118" s="3">
        <v>1</v>
      </c>
      <c r="AL118" s="3"/>
      <c r="AM118" s="4"/>
      <c r="AN118" s="4"/>
      <c r="AO118" s="3"/>
      <c r="AP118" s="4"/>
      <c r="AQ118" s="3"/>
      <c r="AR118" s="3"/>
      <c r="AS118" s="3"/>
    </row>
    <row r="119" spans="1:45" s="53" customFormat="1" ht="19.5" hidden="1" customHeight="1">
      <c r="A119" s="35">
        <f t="shared" si="13"/>
        <v>0</v>
      </c>
      <c r="B119" s="81"/>
      <c r="C119" s="102"/>
      <c r="D119" s="46"/>
      <c r="E119" s="3"/>
      <c r="F119" s="3"/>
      <c r="G119" s="3"/>
      <c r="H119" s="41"/>
      <c r="I119" s="3" t="s">
        <v>80</v>
      </c>
      <c r="J119" s="78"/>
      <c r="K119" s="98"/>
      <c r="L119" s="98" t="s">
        <v>81</v>
      </c>
      <c r="M119" s="98"/>
      <c r="N119" s="44" t="str">
        <f t="shared" si="15"/>
        <v/>
      </c>
      <c r="O119" s="45" t="s">
        <v>82</v>
      </c>
      <c r="P119" s="96" t="s">
        <v>84</v>
      </c>
      <c r="Q119" s="96">
        <v>10</v>
      </c>
      <c r="R119" s="47"/>
      <c r="S119" s="48"/>
      <c r="T119" s="82">
        <v>0.6875</v>
      </c>
      <c r="U119" s="82">
        <v>0.69444444444444453</v>
      </c>
      <c r="V119" s="97" t="s">
        <v>85</v>
      </c>
      <c r="W119" s="3"/>
      <c r="X119" s="72"/>
      <c r="Y119" s="99">
        <v>0.69097222222222221</v>
      </c>
      <c r="Z119" s="99">
        <v>0.69791666666666663</v>
      </c>
      <c r="AA119" s="97" t="s">
        <v>86</v>
      </c>
      <c r="AB119" s="73"/>
      <c r="AC119" s="50"/>
      <c r="AD119" s="106" t="s">
        <v>87</v>
      </c>
      <c r="AE119" s="3" t="s">
        <v>83</v>
      </c>
      <c r="AF119" s="107">
        <v>0.69444444444444453</v>
      </c>
      <c r="AG119" s="110">
        <v>0.72569444444444453</v>
      </c>
      <c r="AH119" s="111"/>
      <c r="AI119" s="54"/>
      <c r="AJ119" s="3"/>
      <c r="AK119" s="3">
        <v>1</v>
      </c>
      <c r="AL119" s="3"/>
      <c r="AM119" s="4"/>
      <c r="AN119" s="4"/>
      <c r="AO119" s="3"/>
      <c r="AP119" s="4"/>
      <c r="AQ119" s="3"/>
      <c r="AR119" s="3"/>
      <c r="AS119" s="3"/>
    </row>
    <row r="120" spans="1:45" ht="19.5" hidden="1" customHeight="1">
      <c r="A120" s="35">
        <f>A109</f>
        <v>0</v>
      </c>
      <c r="I120" s="3" t="s">
        <v>50</v>
      </c>
      <c r="K120" s="98"/>
      <c r="L120" s="98" t="s">
        <v>52</v>
      </c>
      <c r="M120" s="98"/>
      <c r="N120" s="44" t="str">
        <f t="shared" si="15"/>
        <v/>
      </c>
      <c r="O120" s="45" t="s">
        <v>82</v>
      </c>
      <c r="P120" s="95" t="s">
        <v>84</v>
      </c>
      <c r="Q120" s="95">
        <v>10</v>
      </c>
      <c r="R120" s="47"/>
      <c r="T120" s="82">
        <v>0.6875</v>
      </c>
      <c r="U120" s="82">
        <v>0.69444444444444453</v>
      </c>
      <c r="V120" s="97" t="s">
        <v>85</v>
      </c>
      <c r="X120" s="120" t="s">
        <v>90</v>
      </c>
      <c r="Y120" s="99">
        <v>0.69097222222222221</v>
      </c>
      <c r="Z120" s="99">
        <v>0.69791666666666663</v>
      </c>
      <c r="AA120" s="63" t="s">
        <v>94</v>
      </c>
      <c r="AB120" s="73"/>
      <c r="AD120" s="118" t="s">
        <v>87</v>
      </c>
      <c r="AE120" s="3" t="str">
        <f>IF(OR(V120="電話不通 x2",V120="DS判断"),"DS確認→U列入力",IF(V120="希望","U列入力",IF(V120="拒否","DS確認",IF(V120="外国語","DS確認",IF(V120="電話不通 x1","ORM再架電","-")))))</f>
        <v>-</v>
      </c>
      <c r="AF120" s="107">
        <v>0.69444444444444453</v>
      </c>
      <c r="AG120" s="110">
        <v>0.72569444444444453</v>
      </c>
      <c r="AH120" s="111"/>
      <c r="AI120" s="54"/>
      <c r="AK120" s="3">
        <v>1</v>
      </c>
      <c r="AP120" s="4"/>
    </row>
    <row r="121" spans="1:45" ht="19.5" hidden="1" customHeight="1">
      <c r="A121" s="35">
        <f t="shared" si="13"/>
        <v>0</v>
      </c>
      <c r="I121" s="3" t="s">
        <v>50</v>
      </c>
      <c r="K121" s="98"/>
      <c r="L121" s="98" t="s">
        <v>52</v>
      </c>
      <c r="M121" s="98"/>
      <c r="N121" s="44" t="str">
        <f t="shared" si="15"/>
        <v/>
      </c>
      <c r="O121" s="45" t="s">
        <v>55</v>
      </c>
      <c r="P121" s="129" t="s">
        <v>84</v>
      </c>
      <c r="Q121" s="129">
        <v>10</v>
      </c>
      <c r="R121" s="130"/>
      <c r="S121" s="131"/>
      <c r="T121" s="132">
        <v>0.6875</v>
      </c>
      <c r="U121" s="132">
        <v>0.69444444444444453</v>
      </c>
      <c r="V121" s="126" t="s">
        <v>85</v>
      </c>
      <c r="W121" s="126"/>
      <c r="X121" s="84" t="s">
        <v>90</v>
      </c>
      <c r="Y121" s="85">
        <v>0.69097222222222221</v>
      </c>
      <c r="Z121" s="85">
        <v>0.69791666666666663</v>
      </c>
      <c r="AA121" s="126" t="s">
        <v>94</v>
      </c>
      <c r="AB121" s="127"/>
      <c r="AD121" s="84" t="s">
        <v>101</v>
      </c>
      <c r="AE121" s="126" t="s">
        <v>83</v>
      </c>
      <c r="AF121" s="128">
        <v>0.69444444444444453</v>
      </c>
      <c r="AG121" s="133">
        <v>0.72569444444444453</v>
      </c>
      <c r="AH121" s="127"/>
      <c r="AI121" s="54"/>
      <c r="AK121" s="3">
        <v>1</v>
      </c>
      <c r="AP121" s="4"/>
    </row>
    <row r="122" spans="1:45" ht="19.5" hidden="1" customHeight="1">
      <c r="A122" s="35">
        <f>A109</f>
        <v>0</v>
      </c>
      <c r="N122" s="44" t="str">
        <f t="shared" si="15"/>
        <v/>
      </c>
      <c r="R122" s="47"/>
      <c r="AE122" s="3" t="str">
        <f>IF(OR(V122="電話不通 x2",V122="DS判断"),"DS確認→U列入力",IF(V122="希望","U列入力",IF(V122="拒否","DS確認",IF(V122="外国語","DS確認",IF(V122="電話不通 x1","ORM再架電","-")))))</f>
        <v>-</v>
      </c>
      <c r="AF122" s="51"/>
      <c r="AG122" s="52" t="str">
        <f t="shared" ref="AG122:AG146" ca="1" si="16">IF(AF122="","",IF($AF122+TIME(0,30,0)&lt;(TEXT(NOW(),"h:mm:ss")*1),$AF122+TIME(0,45,0),$AF122+TIME(0,30,0)))</f>
        <v/>
      </c>
      <c r="AI122" s="54"/>
      <c r="AK122" s="3">
        <v>1</v>
      </c>
      <c r="AP122" s="4"/>
    </row>
    <row r="123" spans="1:45" s="53" customFormat="1" ht="19.5" hidden="1" customHeight="1">
      <c r="A123" s="35">
        <f t="shared" si="13"/>
        <v>0</v>
      </c>
      <c r="B123" s="81"/>
      <c r="C123" s="3"/>
      <c r="D123" s="46"/>
      <c r="E123" s="3"/>
      <c r="F123" s="3"/>
      <c r="G123" s="3"/>
      <c r="H123" s="41"/>
      <c r="I123" s="3"/>
      <c r="J123" s="78"/>
      <c r="K123" s="78"/>
      <c r="L123" s="78"/>
      <c r="M123" s="78"/>
      <c r="N123" s="44" t="str">
        <f t="shared" si="15"/>
        <v/>
      </c>
      <c r="O123" s="45"/>
      <c r="P123" s="3"/>
      <c r="Q123" s="46"/>
      <c r="R123" s="47"/>
      <c r="S123" s="48"/>
      <c r="T123" s="80"/>
      <c r="U123" s="80"/>
      <c r="V123" s="3"/>
      <c r="W123" s="3"/>
      <c r="X123" s="50"/>
      <c r="Y123" s="80"/>
      <c r="Z123" s="80"/>
      <c r="AA123" s="3"/>
      <c r="AC123" s="50"/>
      <c r="AD123" s="50"/>
      <c r="AE123" s="3" t="str">
        <f>IF(OR(V123="電話不通 x2",V123="DS判断"),"DS確認→U列入力",IF(V123="希望","U列入力",IF(V123="拒否","DS確認",IF(V123="外国語","DS確認",IF(V123="電話不通 x1","ORM再架電","-")))))</f>
        <v>-</v>
      </c>
      <c r="AF123" s="51"/>
      <c r="AG123" s="52" t="str">
        <f t="shared" ca="1" si="16"/>
        <v/>
      </c>
      <c r="AI123" s="54"/>
      <c r="AJ123" s="3"/>
      <c r="AK123" s="3">
        <v>1</v>
      </c>
      <c r="AL123" s="3"/>
      <c r="AM123" s="4"/>
      <c r="AN123" s="4"/>
      <c r="AO123" s="3"/>
      <c r="AP123" s="4"/>
      <c r="AQ123" s="3"/>
      <c r="AR123" s="3"/>
      <c r="AS123" s="3"/>
    </row>
    <row r="124" spans="1:45" s="53" customFormat="1" ht="19.5" hidden="1" customHeight="1">
      <c r="A124" s="35">
        <f t="shared" si="13"/>
        <v>0</v>
      </c>
      <c r="B124" s="36"/>
      <c r="C124" s="37"/>
      <c r="D124" s="38" t="s">
        <v>103</v>
      </c>
      <c r="E124" s="37"/>
      <c r="F124" s="39"/>
      <c r="G124" s="40"/>
      <c r="H124" s="41"/>
      <c r="I124" s="37" t="s">
        <v>80</v>
      </c>
      <c r="J124" s="43"/>
      <c r="K124" s="94"/>
      <c r="L124" s="94" t="s">
        <v>81</v>
      </c>
      <c r="M124" s="94"/>
      <c r="N124" s="44" t="str">
        <f t="shared" si="15"/>
        <v/>
      </c>
      <c r="O124" s="45" t="s">
        <v>82</v>
      </c>
      <c r="P124" s="95"/>
      <c r="Q124" s="95"/>
      <c r="R124" s="47"/>
      <c r="S124" s="48"/>
      <c r="T124" s="49"/>
      <c r="U124" s="49"/>
      <c r="V124" s="3"/>
      <c r="W124" s="3"/>
      <c r="X124" s="50"/>
      <c r="Y124" s="49"/>
      <c r="Z124" s="49"/>
      <c r="AA124" s="3"/>
      <c r="AC124" s="50"/>
      <c r="AD124" s="50"/>
      <c r="AE124" s="3" t="s">
        <v>83</v>
      </c>
      <c r="AF124" s="51"/>
      <c r="AG124" s="52" t="str">
        <f t="shared" ca="1" si="16"/>
        <v/>
      </c>
      <c r="AI124" s="54"/>
      <c r="AJ124" s="3"/>
      <c r="AK124" s="3">
        <v>1</v>
      </c>
      <c r="AL124" s="3"/>
      <c r="AM124" s="4"/>
      <c r="AN124" s="4"/>
      <c r="AO124" s="3"/>
      <c r="AP124" s="4"/>
      <c r="AQ124" s="3"/>
      <c r="AR124" s="3"/>
      <c r="AS124" s="3"/>
    </row>
    <row r="125" spans="1:45" s="53" customFormat="1" ht="19.5" hidden="1" customHeight="1">
      <c r="A125" s="35">
        <f t="shared" si="13"/>
        <v>0</v>
      </c>
      <c r="B125" s="36"/>
      <c r="C125" s="37"/>
      <c r="D125" s="38"/>
      <c r="E125" s="37"/>
      <c r="F125" s="39"/>
      <c r="G125" s="40"/>
      <c r="H125" s="41"/>
      <c r="I125" s="37" t="s">
        <v>80</v>
      </c>
      <c r="J125" s="43"/>
      <c r="K125" s="94"/>
      <c r="L125" s="94" t="s">
        <v>81</v>
      </c>
      <c r="M125" s="94"/>
      <c r="N125" s="44" t="str">
        <f t="shared" si="15"/>
        <v/>
      </c>
      <c r="O125" s="45" t="s">
        <v>82</v>
      </c>
      <c r="P125" s="96" t="s">
        <v>84</v>
      </c>
      <c r="Q125" s="96">
        <v>10</v>
      </c>
      <c r="R125" s="47"/>
      <c r="S125" s="48"/>
      <c r="T125" s="79"/>
      <c r="U125" s="49"/>
      <c r="V125" s="3"/>
      <c r="W125" s="3"/>
      <c r="X125" s="50"/>
      <c r="Y125" s="49"/>
      <c r="Z125" s="49"/>
      <c r="AA125" s="3"/>
      <c r="AC125" s="50"/>
      <c r="AD125" s="50"/>
      <c r="AE125" s="3" t="s">
        <v>83</v>
      </c>
      <c r="AF125" s="51"/>
      <c r="AG125" s="52" t="str">
        <f t="shared" ca="1" si="16"/>
        <v/>
      </c>
      <c r="AI125" s="54"/>
      <c r="AJ125" s="3"/>
      <c r="AK125" s="3">
        <v>1</v>
      </c>
      <c r="AL125" s="3"/>
      <c r="AM125" s="4"/>
      <c r="AN125" s="4"/>
      <c r="AO125" s="3"/>
      <c r="AP125" s="4"/>
      <c r="AQ125" s="3"/>
      <c r="AR125" s="3"/>
      <c r="AS125" s="3"/>
    </row>
    <row r="126" spans="1:45" s="53" customFormat="1" ht="19.5" hidden="1" customHeight="1">
      <c r="A126" s="35">
        <f t="shared" si="13"/>
        <v>0</v>
      </c>
      <c r="B126" s="36"/>
      <c r="C126" s="37"/>
      <c r="D126" s="38"/>
      <c r="E126" s="37"/>
      <c r="F126" s="39"/>
      <c r="G126" s="40"/>
      <c r="H126" s="41"/>
      <c r="I126" s="37" t="s">
        <v>80</v>
      </c>
      <c r="J126" s="43"/>
      <c r="K126" s="94"/>
      <c r="L126" s="94" t="s">
        <v>81</v>
      </c>
      <c r="M126" s="94"/>
      <c r="N126" s="44" t="str">
        <f t="shared" si="15"/>
        <v/>
      </c>
      <c r="O126" s="45" t="s">
        <v>82</v>
      </c>
      <c r="P126" s="96" t="s">
        <v>84</v>
      </c>
      <c r="Q126" s="96">
        <v>10</v>
      </c>
      <c r="R126" s="47"/>
      <c r="S126" s="48"/>
      <c r="T126" s="82">
        <v>0.6875</v>
      </c>
      <c r="U126" s="79">
        <v>0.69444444444444453</v>
      </c>
      <c r="V126" s="83"/>
      <c r="W126" s="3"/>
      <c r="X126" s="50"/>
      <c r="Y126" s="49"/>
      <c r="Z126" s="49"/>
      <c r="AA126" s="3"/>
      <c r="AC126" s="50"/>
      <c r="AD126" s="50"/>
      <c r="AE126" s="3" t="s">
        <v>83</v>
      </c>
      <c r="AF126" s="51"/>
      <c r="AG126" s="52" t="str">
        <f t="shared" ca="1" si="16"/>
        <v/>
      </c>
      <c r="AI126" s="54"/>
      <c r="AJ126" s="3"/>
      <c r="AK126" s="3">
        <v>1</v>
      </c>
      <c r="AL126" s="3"/>
      <c r="AM126" s="4"/>
      <c r="AN126" s="4"/>
      <c r="AO126" s="3"/>
      <c r="AP126" s="4"/>
      <c r="AQ126" s="3"/>
      <c r="AR126" s="3"/>
      <c r="AS126" s="3"/>
    </row>
    <row r="127" spans="1:45" s="53" customFormat="1" ht="19.5" hidden="1" customHeight="1">
      <c r="A127" s="35">
        <f t="shared" si="13"/>
        <v>0</v>
      </c>
      <c r="B127" s="36"/>
      <c r="C127" s="37"/>
      <c r="D127" s="38"/>
      <c r="E127" s="37"/>
      <c r="F127" s="39"/>
      <c r="G127" s="40"/>
      <c r="H127" s="41"/>
      <c r="I127" s="37" t="s">
        <v>80</v>
      </c>
      <c r="J127" s="43"/>
      <c r="K127" s="94"/>
      <c r="L127" s="94" t="s">
        <v>81</v>
      </c>
      <c r="M127" s="94"/>
      <c r="N127" s="44" t="str">
        <f t="shared" si="15"/>
        <v/>
      </c>
      <c r="O127" s="45" t="s">
        <v>82</v>
      </c>
      <c r="P127" s="96" t="s">
        <v>84</v>
      </c>
      <c r="Q127" s="96">
        <v>10</v>
      </c>
      <c r="R127" s="47"/>
      <c r="S127" s="48"/>
      <c r="T127" s="82">
        <v>0.6875</v>
      </c>
      <c r="U127" s="82">
        <v>0.69444444444444453</v>
      </c>
      <c r="V127" s="97" t="s">
        <v>85</v>
      </c>
      <c r="W127" s="3"/>
      <c r="X127" s="72"/>
      <c r="Y127" s="79"/>
      <c r="Z127" s="49"/>
      <c r="AA127" s="3"/>
      <c r="AC127" s="50"/>
      <c r="AD127" s="50"/>
      <c r="AE127" s="3" t="s">
        <v>83</v>
      </c>
      <c r="AF127" s="51"/>
      <c r="AG127" s="52" t="str">
        <f t="shared" ca="1" si="16"/>
        <v/>
      </c>
      <c r="AI127" s="54"/>
      <c r="AJ127" s="3"/>
      <c r="AK127" s="3">
        <v>1</v>
      </c>
      <c r="AL127" s="3"/>
      <c r="AM127" s="4"/>
      <c r="AN127" s="4"/>
      <c r="AO127" s="3"/>
      <c r="AP127" s="4"/>
      <c r="AQ127" s="3"/>
      <c r="AR127" s="3"/>
      <c r="AS127" s="3"/>
    </row>
    <row r="128" spans="1:45" s="53" customFormat="1" ht="19.5" hidden="1" customHeight="1">
      <c r="A128" s="35">
        <f t="shared" si="13"/>
        <v>0</v>
      </c>
      <c r="B128" s="81"/>
      <c r="C128" s="37"/>
      <c r="D128" s="46"/>
      <c r="E128" s="37"/>
      <c r="F128" s="37"/>
      <c r="G128" s="37"/>
      <c r="H128" s="41"/>
      <c r="I128" s="37" t="s">
        <v>80</v>
      </c>
      <c r="J128" s="43"/>
      <c r="K128" s="94"/>
      <c r="L128" s="94" t="s">
        <v>81</v>
      </c>
      <c r="M128" s="98"/>
      <c r="N128" s="44" t="str">
        <f t="shared" si="15"/>
        <v/>
      </c>
      <c r="O128" s="45" t="s">
        <v>82</v>
      </c>
      <c r="P128" s="96" t="s">
        <v>84</v>
      </c>
      <c r="Q128" s="96">
        <v>10</v>
      </c>
      <c r="R128" s="47"/>
      <c r="S128" s="48"/>
      <c r="T128" s="82">
        <v>0.6875</v>
      </c>
      <c r="U128" s="82">
        <v>0.69444444444444453</v>
      </c>
      <c r="V128" s="97" t="s">
        <v>85</v>
      </c>
      <c r="W128" s="3"/>
      <c r="X128" s="72"/>
      <c r="Y128" s="99">
        <v>0.69097222222222221</v>
      </c>
      <c r="Z128" s="100">
        <v>0.69791666666666663</v>
      </c>
      <c r="AA128" s="83"/>
      <c r="AB128" s="101"/>
      <c r="AC128" s="50"/>
      <c r="AD128" s="50"/>
      <c r="AE128" s="3" t="s">
        <v>83</v>
      </c>
      <c r="AF128" s="51"/>
      <c r="AG128" s="52" t="str">
        <f t="shared" ca="1" si="16"/>
        <v/>
      </c>
      <c r="AI128" s="54"/>
      <c r="AJ128" s="3"/>
      <c r="AK128" s="3">
        <v>1</v>
      </c>
      <c r="AL128" s="3"/>
      <c r="AM128" s="4"/>
      <c r="AN128" s="4"/>
      <c r="AO128" s="3"/>
      <c r="AP128" s="4"/>
      <c r="AQ128" s="3"/>
      <c r="AR128" s="3"/>
      <c r="AS128" s="3"/>
    </row>
    <row r="129" spans="1:45" ht="19.5" hidden="1" customHeight="1">
      <c r="A129" s="35">
        <f t="shared" si="13"/>
        <v>0</v>
      </c>
      <c r="C129" s="102"/>
      <c r="I129" s="37" t="s">
        <v>80</v>
      </c>
      <c r="J129" s="43"/>
      <c r="K129" s="94"/>
      <c r="L129" s="94" t="s">
        <v>81</v>
      </c>
      <c r="M129" s="98"/>
      <c r="N129" s="44" t="str">
        <f t="shared" si="15"/>
        <v/>
      </c>
      <c r="O129" s="45" t="s">
        <v>82</v>
      </c>
      <c r="P129" s="96" t="s">
        <v>84</v>
      </c>
      <c r="Q129" s="96">
        <v>10</v>
      </c>
      <c r="R129" s="47"/>
      <c r="T129" s="82">
        <v>0.6875</v>
      </c>
      <c r="U129" s="82">
        <v>0.69444444444444453</v>
      </c>
      <c r="V129" s="97" t="s">
        <v>85</v>
      </c>
      <c r="X129" s="72"/>
      <c r="Y129" s="99">
        <v>0.69097222222222221</v>
      </c>
      <c r="Z129" s="99">
        <v>0.69791666666666663</v>
      </c>
      <c r="AA129" s="97" t="s">
        <v>104</v>
      </c>
      <c r="AB129" s="73"/>
      <c r="AC129" s="103"/>
      <c r="AD129" s="103"/>
      <c r="AE129" s="3" t="s">
        <v>83</v>
      </c>
      <c r="AF129" s="51"/>
      <c r="AG129" s="52" t="str">
        <f t="shared" ca="1" si="16"/>
        <v/>
      </c>
      <c r="AI129" s="54"/>
      <c r="AK129" s="3">
        <v>1</v>
      </c>
      <c r="AP129" s="4"/>
    </row>
    <row r="130" spans="1:45" ht="19.5" hidden="1" customHeight="1">
      <c r="A130" s="35">
        <f>A123</f>
        <v>0</v>
      </c>
      <c r="N130" s="44" t="str">
        <f t="shared" si="15"/>
        <v/>
      </c>
      <c r="R130" s="47"/>
      <c r="AE130" s="3" t="str">
        <f>IF(OR(V130="電話不通 x2",V130="DS判断"),"DS確認→U列入力",IF(V130="希望","U列入力",IF(V130="拒否","DS確認",IF(V130="外国語","DS確認",IF(V130="電話不通 x1","ORM再架電","-")))))</f>
        <v>-</v>
      </c>
      <c r="AF130" s="51"/>
      <c r="AG130" s="52" t="str">
        <f t="shared" ca="1" si="16"/>
        <v/>
      </c>
      <c r="AI130" s="54"/>
      <c r="AK130" s="3">
        <v>1</v>
      </c>
      <c r="AP130" s="4"/>
    </row>
    <row r="131" spans="1:45" ht="19.5" hidden="1" customHeight="1">
      <c r="A131" s="35">
        <f t="shared" si="13"/>
        <v>0</v>
      </c>
      <c r="N131" s="44" t="str">
        <f t="shared" si="15"/>
        <v/>
      </c>
      <c r="R131" s="47"/>
      <c r="AE131" s="3" t="str">
        <f>IF(OR(V131="電話不通 x2",V131="DS判断"),"DS確認→U列入力",IF(V131="希望","U列入力",IF(V131="拒否","DS確認",IF(V131="外国語","DS確認",IF(V131="電話不通 x1","ORM再架電","-")))))</f>
        <v>-</v>
      </c>
      <c r="AF131" s="51"/>
      <c r="AG131" s="52" t="str">
        <f t="shared" ca="1" si="16"/>
        <v/>
      </c>
      <c r="AI131" s="54"/>
      <c r="AK131" s="3">
        <v>1</v>
      </c>
      <c r="AP131" s="4"/>
    </row>
    <row r="132" spans="1:45" ht="19.5" hidden="1" customHeight="1">
      <c r="A132" s="35">
        <f t="shared" si="13"/>
        <v>0</v>
      </c>
      <c r="N132" s="44" t="str">
        <f t="shared" si="15"/>
        <v/>
      </c>
      <c r="R132" s="47"/>
      <c r="AE132" s="3" t="str">
        <f>IF(OR(V132="電話不通 x2",V132="DS判断"),"DS確認→U列入力",IF(V132="希望","U列入力",IF(V132="拒否","DS確認",IF(V132="外国語","DS確認",IF(V132="電話不通 x1","ORM再架電","-")))))</f>
        <v>-</v>
      </c>
      <c r="AF132" s="51"/>
      <c r="AG132" s="52" t="str">
        <f t="shared" ca="1" si="16"/>
        <v/>
      </c>
      <c r="AI132" s="54"/>
      <c r="AK132" s="3">
        <v>1</v>
      </c>
      <c r="AP132" s="4"/>
    </row>
    <row r="133" spans="1:45" s="53" customFormat="1" ht="19.5" hidden="1" customHeight="1">
      <c r="A133" s="35">
        <f t="shared" si="13"/>
        <v>0</v>
      </c>
      <c r="B133" s="81"/>
      <c r="C133" s="3"/>
      <c r="D133" s="46"/>
      <c r="E133" s="3"/>
      <c r="F133" s="3"/>
      <c r="G133" s="3"/>
      <c r="H133" s="41"/>
      <c r="I133" s="3"/>
      <c r="J133" s="78"/>
      <c r="K133" s="78"/>
      <c r="L133" s="78"/>
      <c r="M133" s="78"/>
      <c r="N133" s="44" t="str">
        <f t="shared" si="15"/>
        <v/>
      </c>
      <c r="O133" s="45"/>
      <c r="P133" s="3"/>
      <c r="Q133" s="46"/>
      <c r="R133" s="47"/>
      <c r="S133" s="48"/>
      <c r="T133" s="80"/>
      <c r="U133" s="80"/>
      <c r="V133" s="3"/>
      <c r="W133" s="3"/>
      <c r="X133" s="50"/>
      <c r="Y133" s="80"/>
      <c r="Z133" s="80"/>
      <c r="AA133" s="3"/>
      <c r="AC133" s="50"/>
      <c r="AD133" s="50"/>
      <c r="AE133" s="3" t="str">
        <f>IF(OR(V133="電話不通 x2",V133="DS判断"),"DS確認→U列入力",IF(V133="希望","U列入力",IF(V133="拒否","DS確認",IF(V133="外国語","DS確認",IF(V133="電話不通 x1","ORM再架電","-")))))</f>
        <v>-</v>
      </c>
      <c r="AF133" s="51"/>
      <c r="AG133" s="52" t="str">
        <f t="shared" ca="1" si="16"/>
        <v/>
      </c>
      <c r="AI133" s="54"/>
      <c r="AJ133" s="3"/>
      <c r="AK133" s="3">
        <v>1</v>
      </c>
      <c r="AL133" s="3"/>
      <c r="AM133" s="4"/>
      <c r="AN133" s="4"/>
      <c r="AO133" s="3"/>
      <c r="AP133" s="4"/>
      <c r="AQ133" s="3"/>
      <c r="AR133" s="3"/>
      <c r="AS133" s="3"/>
    </row>
    <row r="134" spans="1:45" s="53" customFormat="1" ht="19.5" hidden="1" customHeight="1">
      <c r="A134" s="35">
        <f t="shared" si="13"/>
        <v>0</v>
      </c>
      <c r="B134" s="36"/>
      <c r="C134" s="37"/>
      <c r="D134" s="38"/>
      <c r="E134" s="37"/>
      <c r="F134" s="39"/>
      <c r="G134" s="40"/>
      <c r="H134" s="41"/>
      <c r="I134" s="37" t="s">
        <v>80</v>
      </c>
      <c r="J134" s="43"/>
      <c r="K134" s="94"/>
      <c r="L134" s="94" t="s">
        <v>81</v>
      </c>
      <c r="M134" s="94"/>
      <c r="N134" s="44" t="str">
        <f t="shared" si="15"/>
        <v/>
      </c>
      <c r="O134" s="45" t="s">
        <v>82</v>
      </c>
      <c r="P134" s="95"/>
      <c r="Q134" s="95"/>
      <c r="R134" s="47"/>
      <c r="S134" s="48"/>
      <c r="T134" s="49"/>
      <c r="U134" s="49"/>
      <c r="V134" s="3"/>
      <c r="W134" s="3"/>
      <c r="X134" s="50"/>
      <c r="Y134" s="49"/>
      <c r="Z134" s="49"/>
      <c r="AA134" s="3"/>
      <c r="AC134" s="50"/>
      <c r="AD134" s="50"/>
      <c r="AE134" s="3" t="s">
        <v>83</v>
      </c>
      <c r="AF134" s="51"/>
      <c r="AG134" s="52" t="str">
        <f t="shared" ca="1" si="16"/>
        <v/>
      </c>
      <c r="AI134" s="54"/>
      <c r="AJ134" s="3"/>
      <c r="AK134" s="3">
        <v>1</v>
      </c>
      <c r="AL134" s="3"/>
      <c r="AM134" s="4"/>
      <c r="AN134" s="4"/>
      <c r="AO134" s="3"/>
      <c r="AP134" s="4"/>
      <c r="AQ134" s="3"/>
      <c r="AR134" s="3"/>
      <c r="AS134" s="3"/>
    </row>
    <row r="135" spans="1:45" s="53" customFormat="1" ht="19.5" hidden="1" customHeight="1">
      <c r="A135" s="35">
        <f t="shared" si="13"/>
        <v>0</v>
      </c>
      <c r="B135" s="36"/>
      <c r="C135" s="37"/>
      <c r="D135" s="38"/>
      <c r="E135" s="37"/>
      <c r="F135" s="39"/>
      <c r="G135" s="40"/>
      <c r="H135" s="41"/>
      <c r="I135" s="37" t="s">
        <v>80</v>
      </c>
      <c r="J135" s="43"/>
      <c r="K135" s="94"/>
      <c r="L135" s="94" t="s">
        <v>81</v>
      </c>
      <c r="M135" s="94"/>
      <c r="N135" s="44" t="str">
        <f t="shared" si="15"/>
        <v/>
      </c>
      <c r="O135" s="45" t="s">
        <v>82</v>
      </c>
      <c r="P135" s="96" t="s">
        <v>84</v>
      </c>
      <c r="Q135" s="96">
        <v>10</v>
      </c>
      <c r="R135" s="47"/>
      <c r="S135" s="48"/>
      <c r="T135" s="79"/>
      <c r="U135" s="49"/>
      <c r="V135" s="3"/>
      <c r="W135" s="3"/>
      <c r="X135" s="50"/>
      <c r="Y135" s="49"/>
      <c r="Z135" s="49"/>
      <c r="AA135" s="3"/>
      <c r="AC135" s="50"/>
      <c r="AD135" s="50"/>
      <c r="AE135" s="3" t="s">
        <v>83</v>
      </c>
      <c r="AF135" s="51"/>
      <c r="AG135" s="52" t="str">
        <f t="shared" ca="1" si="16"/>
        <v/>
      </c>
      <c r="AI135" s="54"/>
      <c r="AJ135" s="3"/>
      <c r="AK135" s="3">
        <v>1</v>
      </c>
      <c r="AL135" s="3"/>
      <c r="AM135" s="4"/>
      <c r="AN135" s="4"/>
      <c r="AO135" s="3"/>
      <c r="AP135" s="4"/>
      <c r="AQ135" s="3"/>
      <c r="AR135" s="3"/>
      <c r="AS135" s="3"/>
    </row>
    <row r="136" spans="1:45" s="53" customFormat="1" ht="19.5" hidden="1" customHeight="1">
      <c r="A136" s="35">
        <f t="shared" si="13"/>
        <v>0</v>
      </c>
      <c r="B136" s="36"/>
      <c r="C136" s="37"/>
      <c r="D136" s="38"/>
      <c r="E136" s="37"/>
      <c r="F136" s="39"/>
      <c r="G136" s="40"/>
      <c r="H136" s="41"/>
      <c r="I136" s="37" t="s">
        <v>80</v>
      </c>
      <c r="J136" s="43"/>
      <c r="K136" s="94"/>
      <c r="L136" s="94" t="s">
        <v>81</v>
      </c>
      <c r="M136" s="94"/>
      <c r="N136" s="44" t="str">
        <f t="shared" si="15"/>
        <v/>
      </c>
      <c r="O136" s="45" t="s">
        <v>82</v>
      </c>
      <c r="P136" s="96" t="s">
        <v>84</v>
      </c>
      <c r="Q136" s="96">
        <v>10</v>
      </c>
      <c r="R136" s="47"/>
      <c r="S136" s="48"/>
      <c r="T136" s="82">
        <v>0.6875</v>
      </c>
      <c r="U136" s="79">
        <v>0.69444444444444453</v>
      </c>
      <c r="V136" s="83"/>
      <c r="W136" s="3"/>
      <c r="X136" s="50"/>
      <c r="Y136" s="49"/>
      <c r="Z136" s="49"/>
      <c r="AA136" s="3"/>
      <c r="AC136" s="50"/>
      <c r="AD136" s="50"/>
      <c r="AE136" s="3" t="s">
        <v>83</v>
      </c>
      <c r="AF136" s="51"/>
      <c r="AG136" s="52" t="str">
        <f t="shared" ca="1" si="16"/>
        <v/>
      </c>
      <c r="AI136" s="54"/>
      <c r="AJ136" s="3"/>
      <c r="AK136" s="3">
        <v>1</v>
      </c>
      <c r="AL136" s="3"/>
      <c r="AM136" s="4"/>
      <c r="AN136" s="4"/>
      <c r="AO136" s="3"/>
      <c r="AP136" s="4"/>
      <c r="AQ136" s="3"/>
      <c r="AR136" s="3"/>
      <c r="AS136" s="3"/>
    </row>
    <row r="137" spans="1:45" s="53" customFormat="1" ht="19.5" hidden="1" customHeight="1">
      <c r="A137" s="35">
        <f t="shared" si="13"/>
        <v>0</v>
      </c>
      <c r="B137" s="36"/>
      <c r="C137" s="37"/>
      <c r="D137" s="38"/>
      <c r="E137" s="37"/>
      <c r="F137" s="39"/>
      <c r="G137" s="40"/>
      <c r="H137" s="41"/>
      <c r="I137" s="37" t="s">
        <v>80</v>
      </c>
      <c r="J137" s="43"/>
      <c r="K137" s="94"/>
      <c r="L137" s="94" t="s">
        <v>81</v>
      </c>
      <c r="M137" s="94"/>
      <c r="N137" s="44" t="str">
        <f t="shared" si="15"/>
        <v/>
      </c>
      <c r="O137" s="45" t="s">
        <v>82</v>
      </c>
      <c r="P137" s="96" t="s">
        <v>84</v>
      </c>
      <c r="Q137" s="96">
        <v>10</v>
      </c>
      <c r="R137" s="47"/>
      <c r="S137" s="48"/>
      <c r="T137" s="82">
        <v>0.6875</v>
      </c>
      <c r="U137" s="82">
        <v>0.69444444444444453</v>
      </c>
      <c r="V137" s="97" t="s">
        <v>85</v>
      </c>
      <c r="W137" s="3"/>
      <c r="X137" s="72"/>
      <c r="Y137" s="79"/>
      <c r="Z137" s="114" t="s">
        <v>89</v>
      </c>
      <c r="AA137" s="3"/>
      <c r="AC137" s="50"/>
      <c r="AD137" s="50"/>
      <c r="AE137" s="3" t="s">
        <v>83</v>
      </c>
      <c r="AF137" s="51"/>
      <c r="AG137" s="52" t="str">
        <f t="shared" ca="1" si="16"/>
        <v/>
      </c>
      <c r="AI137" s="54"/>
      <c r="AJ137" s="3"/>
      <c r="AK137" s="3">
        <v>1</v>
      </c>
      <c r="AL137" s="3"/>
      <c r="AM137" s="4"/>
      <c r="AN137" s="4"/>
      <c r="AO137" s="3"/>
      <c r="AP137" s="4"/>
      <c r="AQ137" s="3"/>
      <c r="AR137" s="3"/>
      <c r="AS137" s="3"/>
    </row>
    <row r="138" spans="1:45" s="53" customFormat="1" ht="19.5" hidden="1" customHeight="1">
      <c r="A138" s="35">
        <f t="shared" si="13"/>
        <v>0</v>
      </c>
      <c r="B138" s="81"/>
      <c r="C138" s="37"/>
      <c r="D138" s="46"/>
      <c r="E138" s="37"/>
      <c r="F138" s="37"/>
      <c r="G138" s="37"/>
      <c r="H138" s="41"/>
      <c r="I138" s="37" t="s">
        <v>80</v>
      </c>
      <c r="J138" s="43"/>
      <c r="K138" s="94"/>
      <c r="L138" s="94" t="s">
        <v>81</v>
      </c>
      <c r="M138" s="98"/>
      <c r="N138" s="44" t="str">
        <f t="shared" si="15"/>
        <v/>
      </c>
      <c r="O138" s="45" t="s">
        <v>82</v>
      </c>
      <c r="P138" s="96" t="s">
        <v>84</v>
      </c>
      <c r="Q138" s="96">
        <v>10</v>
      </c>
      <c r="R138" s="47"/>
      <c r="S138" s="48"/>
      <c r="T138" s="82">
        <v>0.6875</v>
      </c>
      <c r="U138" s="82">
        <v>0.69444444444444453</v>
      </c>
      <c r="V138" s="97" t="s">
        <v>85</v>
      </c>
      <c r="W138" s="3"/>
      <c r="X138" s="72"/>
      <c r="Y138" s="99">
        <v>0.69097222222222221</v>
      </c>
      <c r="Z138" s="115">
        <v>0.69791666666666663</v>
      </c>
      <c r="AA138" s="83"/>
      <c r="AB138" s="101"/>
      <c r="AC138" s="50"/>
      <c r="AD138" s="50"/>
      <c r="AE138" s="3" t="s">
        <v>83</v>
      </c>
      <c r="AF138" s="51"/>
      <c r="AG138" s="52" t="str">
        <f t="shared" ca="1" si="16"/>
        <v/>
      </c>
      <c r="AI138" s="54"/>
      <c r="AJ138" s="3"/>
      <c r="AK138" s="3">
        <v>1</v>
      </c>
      <c r="AL138" s="3"/>
      <c r="AM138" s="4"/>
      <c r="AN138" s="4"/>
      <c r="AO138" s="3"/>
      <c r="AP138" s="4"/>
      <c r="AQ138" s="3"/>
      <c r="AR138" s="3"/>
      <c r="AS138" s="3"/>
    </row>
    <row r="139" spans="1:45" s="53" customFormat="1" ht="19.5" hidden="1" customHeight="1">
      <c r="A139" s="35">
        <f t="shared" si="13"/>
        <v>0</v>
      </c>
      <c r="B139" s="81"/>
      <c r="C139" s="102"/>
      <c r="D139" s="46"/>
      <c r="E139" s="3"/>
      <c r="F139" s="3"/>
      <c r="G139" s="3"/>
      <c r="H139" s="41"/>
      <c r="I139" s="37" t="s">
        <v>80</v>
      </c>
      <c r="J139" s="43"/>
      <c r="K139" s="94"/>
      <c r="L139" s="94" t="s">
        <v>81</v>
      </c>
      <c r="M139" s="98"/>
      <c r="N139" s="44" t="str">
        <f t="shared" si="15"/>
        <v/>
      </c>
      <c r="O139" s="45" t="s">
        <v>82</v>
      </c>
      <c r="P139" s="96" t="s">
        <v>84</v>
      </c>
      <c r="Q139" s="96">
        <v>10</v>
      </c>
      <c r="R139" s="47"/>
      <c r="S139" s="48"/>
      <c r="T139" s="82">
        <v>0.6875</v>
      </c>
      <c r="U139" s="82">
        <v>0.69444444444444453</v>
      </c>
      <c r="V139" s="97" t="s">
        <v>85</v>
      </c>
      <c r="W139" s="3"/>
      <c r="X139" s="106" t="s">
        <v>90</v>
      </c>
      <c r="Y139" s="99">
        <v>0.69097222222222221</v>
      </c>
      <c r="Z139" s="91">
        <v>0.69791666666666663</v>
      </c>
      <c r="AA139" s="83" t="s">
        <v>91</v>
      </c>
      <c r="AB139" s="73"/>
      <c r="AC139" s="103"/>
      <c r="AD139" s="103"/>
      <c r="AE139" s="3" t="s">
        <v>83</v>
      </c>
      <c r="AF139" s="51"/>
      <c r="AG139" s="52" t="str">
        <f t="shared" ca="1" si="16"/>
        <v/>
      </c>
      <c r="AI139" s="54"/>
      <c r="AJ139" s="3"/>
      <c r="AK139" s="3">
        <v>1</v>
      </c>
      <c r="AL139" s="3"/>
      <c r="AM139" s="4"/>
      <c r="AN139" s="4"/>
      <c r="AO139" s="3"/>
      <c r="AP139" s="4"/>
      <c r="AQ139" s="3"/>
      <c r="AR139" s="3"/>
      <c r="AS139" s="3"/>
    </row>
    <row r="140" spans="1:45" ht="19.5" hidden="1" customHeight="1">
      <c r="A140" s="35">
        <f t="shared" si="13"/>
        <v>0</v>
      </c>
      <c r="C140" s="102"/>
      <c r="D140" s="116"/>
      <c r="I140" s="89" t="s">
        <v>80</v>
      </c>
      <c r="J140" s="90"/>
      <c r="K140" s="94"/>
      <c r="L140" s="94" t="s">
        <v>81</v>
      </c>
      <c r="M140" s="98"/>
      <c r="N140" s="44" t="str">
        <f t="shared" si="15"/>
        <v/>
      </c>
      <c r="O140" s="45" t="s">
        <v>82</v>
      </c>
      <c r="P140" s="116" t="s">
        <v>84</v>
      </c>
      <c r="Q140" s="116">
        <v>10</v>
      </c>
      <c r="R140" s="47"/>
      <c r="T140" s="82">
        <v>0.6875</v>
      </c>
      <c r="U140" s="82">
        <v>0.69444444444444453</v>
      </c>
      <c r="V140" s="97" t="s">
        <v>85</v>
      </c>
      <c r="X140" s="117" t="s">
        <v>90</v>
      </c>
      <c r="Y140" s="99">
        <v>0.69097222222222221</v>
      </c>
      <c r="Z140" s="99">
        <v>0.69791666666666663</v>
      </c>
      <c r="AA140" s="89" t="s">
        <v>67</v>
      </c>
      <c r="AB140" s="73"/>
      <c r="AE140" s="3" t="s">
        <v>83</v>
      </c>
      <c r="AF140" s="51"/>
      <c r="AG140" s="52" t="str">
        <f t="shared" ca="1" si="16"/>
        <v/>
      </c>
      <c r="AI140" s="54"/>
      <c r="AK140" s="3">
        <v>1</v>
      </c>
      <c r="AP140" s="4"/>
    </row>
    <row r="141" spans="1:45" ht="19.5" hidden="1" customHeight="1">
      <c r="A141" s="35">
        <f t="shared" si="13"/>
        <v>0</v>
      </c>
      <c r="I141" s="37" t="s">
        <v>80</v>
      </c>
      <c r="J141" s="43"/>
      <c r="K141" s="94"/>
      <c r="L141" s="94" t="s">
        <v>81</v>
      </c>
      <c r="M141" s="98"/>
      <c r="N141" s="44" t="str">
        <f t="shared" si="15"/>
        <v/>
      </c>
      <c r="O141" s="45" t="s">
        <v>82</v>
      </c>
      <c r="P141" s="96" t="s">
        <v>84</v>
      </c>
      <c r="Q141" s="96">
        <v>10</v>
      </c>
      <c r="R141" s="47"/>
      <c r="T141" s="82">
        <v>0.6875</v>
      </c>
      <c r="U141" s="82">
        <v>0.69444444444444453</v>
      </c>
      <c r="V141" s="97" t="s">
        <v>85</v>
      </c>
      <c r="X141" s="106" t="s">
        <v>90</v>
      </c>
      <c r="Y141" s="99">
        <v>0.69097222222222221</v>
      </c>
      <c r="Z141" s="91">
        <v>0.69791666666666663</v>
      </c>
      <c r="AA141" s="83" t="s">
        <v>105</v>
      </c>
      <c r="AB141" s="73"/>
      <c r="AD141" s="118"/>
      <c r="AE141" s="3" t="str">
        <f t="shared" ref="AE141:AE146" si="17">IF(OR(V141="電話不通 x2",V141="DS判断"),"DS確認→U列入力",IF(V141="希望","U列入力",IF(V141="拒否","DS確認",IF(V141="外国語","DS確認",IF(V141="電話不通 x1","ORM再架電","-")))))</f>
        <v>-</v>
      </c>
      <c r="AF141" s="51"/>
      <c r="AG141" s="52" t="str">
        <f t="shared" ca="1" si="16"/>
        <v/>
      </c>
      <c r="AI141" s="54"/>
      <c r="AK141" s="3">
        <v>1</v>
      </c>
      <c r="AP141" s="4"/>
    </row>
    <row r="142" spans="1:45" ht="19.5" hidden="1" customHeight="1">
      <c r="A142" s="35">
        <f t="shared" si="13"/>
        <v>0</v>
      </c>
      <c r="I142" s="37" t="s">
        <v>80</v>
      </c>
      <c r="J142" s="43"/>
      <c r="K142" s="94"/>
      <c r="L142" s="94" t="s">
        <v>81</v>
      </c>
      <c r="M142" s="98"/>
      <c r="N142" s="44" t="str">
        <f t="shared" si="15"/>
        <v/>
      </c>
      <c r="O142" s="45" t="s">
        <v>82</v>
      </c>
      <c r="P142" s="96" t="s">
        <v>84</v>
      </c>
      <c r="Q142" s="96">
        <v>10</v>
      </c>
      <c r="R142" s="47"/>
      <c r="T142" s="82">
        <v>0.6875</v>
      </c>
      <c r="U142" s="82">
        <v>0.69444444444444453</v>
      </c>
      <c r="V142" s="97" t="s">
        <v>85</v>
      </c>
      <c r="X142" s="106" t="s">
        <v>90</v>
      </c>
      <c r="Y142" s="99">
        <v>0.69097222222222221</v>
      </c>
      <c r="Z142" s="99">
        <v>0.69791666666666663</v>
      </c>
      <c r="AA142" s="63" t="s">
        <v>73</v>
      </c>
      <c r="AB142" s="73"/>
      <c r="AD142" s="118"/>
      <c r="AE142" s="3" t="str">
        <f t="shared" si="17"/>
        <v>-</v>
      </c>
      <c r="AF142" s="51"/>
      <c r="AG142" s="52" t="str">
        <f t="shared" ca="1" si="16"/>
        <v/>
      </c>
      <c r="AI142" s="54"/>
      <c r="AK142" s="3">
        <v>1</v>
      </c>
      <c r="AP142" s="4"/>
    </row>
    <row r="143" spans="1:45" ht="19.5" hidden="1" customHeight="1">
      <c r="A143" s="35">
        <f t="shared" si="13"/>
        <v>0</v>
      </c>
      <c r="I143" s="37" t="s">
        <v>80</v>
      </c>
      <c r="J143" s="43"/>
      <c r="K143" s="94"/>
      <c r="L143" s="94" t="s">
        <v>81</v>
      </c>
      <c r="M143" s="98"/>
      <c r="N143" s="44" t="str">
        <f t="shared" si="15"/>
        <v/>
      </c>
      <c r="O143" s="45" t="s">
        <v>82</v>
      </c>
      <c r="P143" s="96" t="s">
        <v>84</v>
      </c>
      <c r="Q143" s="96">
        <v>10</v>
      </c>
      <c r="R143" s="47"/>
      <c r="T143" s="82">
        <v>0.6875</v>
      </c>
      <c r="U143" s="82">
        <v>0.69444444444444453</v>
      </c>
      <c r="V143" s="97" t="s">
        <v>85</v>
      </c>
      <c r="X143" s="106" t="s">
        <v>90</v>
      </c>
      <c r="Y143" s="99">
        <v>0.69097222222222221</v>
      </c>
      <c r="Z143" s="99">
        <v>0.69791666666666663</v>
      </c>
      <c r="AA143" s="92" t="s">
        <v>76</v>
      </c>
      <c r="AB143" s="73"/>
      <c r="AE143" s="3" t="str">
        <f t="shared" si="17"/>
        <v>-</v>
      </c>
      <c r="AF143" s="51"/>
      <c r="AG143" s="52" t="str">
        <f t="shared" ca="1" si="16"/>
        <v/>
      </c>
      <c r="AI143" s="54"/>
      <c r="AK143" s="3">
        <v>1</v>
      </c>
      <c r="AP143" s="4"/>
    </row>
    <row r="144" spans="1:45" ht="19.5" hidden="1" customHeight="1">
      <c r="A144" s="35">
        <f t="shared" si="13"/>
        <v>0</v>
      </c>
      <c r="N144" s="44" t="str">
        <f t="shared" si="15"/>
        <v/>
      </c>
      <c r="R144" s="47"/>
      <c r="AE144" s="3" t="str">
        <f t="shared" si="17"/>
        <v>-</v>
      </c>
      <c r="AF144" s="51"/>
      <c r="AG144" s="52" t="str">
        <f t="shared" ca="1" si="16"/>
        <v/>
      </c>
      <c r="AI144" s="54"/>
      <c r="AK144" s="3">
        <v>1</v>
      </c>
      <c r="AP144" s="4"/>
    </row>
    <row r="145" spans="1:45" ht="19.5" hidden="1" customHeight="1">
      <c r="A145" s="35">
        <f t="shared" si="13"/>
        <v>0</v>
      </c>
      <c r="N145" s="44" t="str">
        <f t="shared" si="15"/>
        <v/>
      </c>
      <c r="R145" s="47"/>
      <c r="AE145" s="3" t="str">
        <f t="shared" si="17"/>
        <v>-</v>
      </c>
      <c r="AF145" s="51"/>
      <c r="AG145" s="52" t="str">
        <f t="shared" ca="1" si="16"/>
        <v/>
      </c>
      <c r="AI145" s="54"/>
      <c r="AK145" s="3">
        <v>1</v>
      </c>
      <c r="AP145" s="4"/>
    </row>
    <row r="146" spans="1:45" s="53" customFormat="1" ht="19.5" hidden="1" customHeight="1">
      <c r="A146" s="35">
        <f t="shared" si="13"/>
        <v>0</v>
      </c>
      <c r="B146" s="81"/>
      <c r="C146" s="3"/>
      <c r="D146" s="46"/>
      <c r="E146" s="3"/>
      <c r="F146" s="3"/>
      <c r="G146" s="3"/>
      <c r="H146" s="41"/>
      <c r="I146" s="3"/>
      <c r="J146" s="78"/>
      <c r="K146" s="78"/>
      <c r="L146" s="78"/>
      <c r="M146" s="78"/>
      <c r="N146" s="44" t="str">
        <f t="shared" si="15"/>
        <v/>
      </c>
      <c r="O146" s="45"/>
      <c r="P146" s="3"/>
      <c r="Q146" s="46"/>
      <c r="R146" s="47"/>
      <c r="S146" s="48"/>
      <c r="T146" s="80"/>
      <c r="U146" s="80"/>
      <c r="V146" s="3"/>
      <c r="W146" s="3"/>
      <c r="X146" s="50"/>
      <c r="Y146" s="80"/>
      <c r="Z146" s="80"/>
      <c r="AA146" s="3"/>
      <c r="AC146" s="50"/>
      <c r="AD146" s="50"/>
      <c r="AE146" s="3" t="str">
        <f t="shared" si="17"/>
        <v>-</v>
      </c>
      <c r="AF146" s="51"/>
      <c r="AG146" s="52" t="str">
        <f t="shared" ca="1" si="16"/>
        <v/>
      </c>
      <c r="AI146" s="54"/>
      <c r="AJ146" s="3"/>
      <c r="AK146" s="3">
        <v>1</v>
      </c>
      <c r="AL146" s="3"/>
      <c r="AM146" s="4"/>
      <c r="AN146" s="4"/>
      <c r="AO146" s="3"/>
      <c r="AP146" s="4"/>
      <c r="AQ146" s="3"/>
      <c r="AR146" s="3"/>
      <c r="AS146" s="3"/>
    </row>
    <row r="147" spans="1:45" s="53" customFormat="1" ht="19.5" hidden="1" customHeight="1">
      <c r="A147" s="35">
        <f t="shared" si="13"/>
        <v>0</v>
      </c>
      <c r="B147" s="81"/>
      <c r="C147" s="3"/>
      <c r="D147" s="347" t="s">
        <v>106</v>
      </c>
      <c r="E147" s="3"/>
      <c r="F147" s="3"/>
      <c r="G147" s="3"/>
      <c r="H147" s="41"/>
      <c r="I147" s="3"/>
      <c r="J147" s="78"/>
      <c r="K147" s="78"/>
      <c r="L147" s="78"/>
      <c r="M147" s="78"/>
      <c r="N147" s="44"/>
      <c r="O147" s="45"/>
      <c r="P147" s="3"/>
      <c r="Q147" s="46"/>
      <c r="R147" s="47"/>
      <c r="S147" s="48"/>
      <c r="T147" s="80"/>
      <c r="U147" s="80"/>
      <c r="V147" s="3"/>
      <c r="W147" s="3"/>
      <c r="X147" s="50"/>
      <c r="Y147" s="80"/>
      <c r="Z147" s="80"/>
      <c r="AA147" s="3"/>
      <c r="AC147" s="50"/>
      <c r="AD147" s="50"/>
      <c r="AE147" s="3"/>
      <c r="AF147" s="51"/>
      <c r="AG147" s="52"/>
      <c r="AI147" s="54"/>
      <c r="AJ147" s="3"/>
      <c r="AK147" s="3">
        <v>1</v>
      </c>
      <c r="AL147" s="3"/>
      <c r="AM147" s="4"/>
      <c r="AN147" s="4"/>
      <c r="AO147" s="3"/>
      <c r="AP147" s="4"/>
      <c r="AQ147" s="3"/>
      <c r="AR147" s="3"/>
      <c r="AS147" s="3"/>
    </row>
    <row r="148" spans="1:45" s="53" customFormat="1" ht="19.5" hidden="1" customHeight="1">
      <c r="A148" s="35">
        <f t="shared" si="13"/>
        <v>0</v>
      </c>
      <c r="B148" s="81"/>
      <c r="C148" s="3"/>
      <c r="D148" s="347"/>
      <c r="E148" s="3"/>
      <c r="F148" s="3"/>
      <c r="G148" s="3"/>
      <c r="H148" s="41"/>
      <c r="I148" s="3"/>
      <c r="J148" s="78"/>
      <c r="K148" s="78"/>
      <c r="L148" s="78"/>
      <c r="M148" s="78"/>
      <c r="N148" s="44"/>
      <c r="O148" s="45"/>
      <c r="P148" s="3"/>
      <c r="Q148" s="46"/>
      <c r="R148" s="47"/>
      <c r="S148" s="48"/>
      <c r="T148" s="80"/>
      <c r="U148" s="80"/>
      <c r="V148" s="3"/>
      <c r="W148" s="3"/>
      <c r="X148" s="50"/>
      <c r="Y148" s="80"/>
      <c r="Z148" s="80"/>
      <c r="AA148" s="3"/>
      <c r="AC148" s="50"/>
      <c r="AD148" s="50"/>
      <c r="AE148" s="3"/>
      <c r="AF148" s="51"/>
      <c r="AG148" s="52"/>
      <c r="AI148" s="54"/>
      <c r="AJ148" s="3"/>
      <c r="AK148" s="3">
        <v>1</v>
      </c>
      <c r="AL148" s="3"/>
      <c r="AM148" s="4"/>
      <c r="AN148" s="4"/>
      <c r="AO148" s="3"/>
      <c r="AP148" s="4"/>
      <c r="AQ148" s="3"/>
      <c r="AR148" s="3"/>
      <c r="AS148" s="3"/>
    </row>
    <row r="149" spans="1:45" s="53" customFormat="1" ht="19.5" hidden="1" customHeight="1">
      <c r="A149" s="35">
        <f t="shared" si="13"/>
        <v>0</v>
      </c>
      <c r="B149" s="81"/>
      <c r="C149" s="3"/>
      <c r="D149" s="46"/>
      <c r="E149" s="3"/>
      <c r="F149" s="3"/>
      <c r="G149" s="3"/>
      <c r="H149" s="41"/>
      <c r="I149" s="3"/>
      <c r="J149" s="78"/>
      <c r="K149" s="78"/>
      <c r="L149" s="78"/>
      <c r="M149" s="78"/>
      <c r="N149" s="44" t="str">
        <f t="shared" ref="N149:N179" si="18">IF(C149="","",C149)</f>
        <v/>
      </c>
      <c r="O149" s="45"/>
      <c r="P149" s="3"/>
      <c r="Q149" s="46"/>
      <c r="R149" s="47"/>
      <c r="S149" s="48"/>
      <c r="T149" s="80"/>
      <c r="U149" s="80"/>
      <c r="V149" s="3"/>
      <c r="W149" s="3"/>
      <c r="X149" s="50"/>
      <c r="Y149" s="80"/>
      <c r="Z149" s="80"/>
      <c r="AA149" s="3"/>
      <c r="AC149" s="50"/>
      <c r="AD149" s="50"/>
      <c r="AE149" s="3" t="str">
        <f t="shared" ref="AE149:AE179" si="19">IF(OR(V149="電話不通 x2",V149="DS判断"),"DS確認→U列入力",IF(V149="希望","U列入力",IF(V149="拒否","DS確認",IF(V149="外国語","DS確認",IF(V149="電話不通 x1","ORM再架電","-")))))</f>
        <v>-</v>
      </c>
      <c r="AF149" s="51"/>
      <c r="AG149" s="52" t="str">
        <f t="shared" ref="AG149:AG155" ca="1" si="20">IF(AF149="","",IF($AF149+TIME(0,30,0)&lt;(TEXT(NOW(),"h:mm:ss")*1),$AF149+TIME(0,45,0),$AF149+TIME(0,30,0)))</f>
        <v/>
      </c>
      <c r="AI149" s="54"/>
      <c r="AJ149" s="3"/>
      <c r="AK149" s="3">
        <v>1</v>
      </c>
      <c r="AL149" s="3"/>
      <c r="AM149" s="4"/>
      <c r="AN149" s="4"/>
      <c r="AO149" s="3"/>
      <c r="AP149" s="4"/>
      <c r="AQ149" s="3"/>
      <c r="AR149" s="3"/>
      <c r="AS149" s="3"/>
    </row>
    <row r="150" spans="1:45" s="53" customFormat="1" ht="19.5" hidden="1" customHeight="1">
      <c r="A150" s="35">
        <f t="shared" si="13"/>
        <v>0</v>
      </c>
      <c r="B150" s="81"/>
      <c r="C150" s="3"/>
      <c r="D150" s="38" t="s">
        <v>88</v>
      </c>
      <c r="E150" s="3"/>
      <c r="F150" s="3"/>
      <c r="G150" s="3"/>
      <c r="H150" s="41"/>
      <c r="I150" s="37" t="s">
        <v>50</v>
      </c>
      <c r="J150" s="43"/>
      <c r="K150" s="43"/>
      <c r="L150" s="43" t="s">
        <v>52</v>
      </c>
      <c r="M150" s="78"/>
      <c r="N150" s="44" t="str">
        <f t="shared" si="18"/>
        <v/>
      </c>
      <c r="O150" s="45" t="s">
        <v>107</v>
      </c>
      <c r="P150" s="67"/>
      <c r="Q150" s="67"/>
      <c r="R150" s="68"/>
      <c r="S150" s="69"/>
      <c r="T150" s="79"/>
      <c r="U150" s="49"/>
      <c r="V150" s="3"/>
      <c r="W150" s="3"/>
      <c r="X150" s="50"/>
      <c r="Y150" s="80"/>
      <c r="Z150" s="80"/>
      <c r="AA150" s="3"/>
      <c r="AC150" s="50"/>
      <c r="AD150" s="50"/>
      <c r="AE150" s="3" t="str">
        <f t="shared" si="19"/>
        <v>-</v>
      </c>
      <c r="AF150" s="51"/>
      <c r="AG150" s="52" t="str">
        <f t="shared" ca="1" si="20"/>
        <v/>
      </c>
      <c r="AI150" s="54"/>
      <c r="AJ150" s="3"/>
      <c r="AK150" s="3">
        <v>1</v>
      </c>
      <c r="AL150" s="3"/>
      <c r="AM150" s="4"/>
      <c r="AN150" s="4"/>
      <c r="AO150" s="3"/>
      <c r="AP150" s="4"/>
      <c r="AQ150" s="3"/>
      <c r="AR150" s="3"/>
      <c r="AS150" s="3"/>
    </row>
    <row r="151" spans="1:45" s="53" customFormat="1" ht="19.5" hidden="1" customHeight="1">
      <c r="A151" s="35">
        <f t="shared" si="13"/>
        <v>0</v>
      </c>
      <c r="B151" s="81"/>
      <c r="C151" s="3"/>
      <c r="D151" s="46"/>
      <c r="E151" s="3"/>
      <c r="F151" s="3"/>
      <c r="G151" s="3"/>
      <c r="H151" s="41"/>
      <c r="I151" s="37" t="s">
        <v>50</v>
      </c>
      <c r="J151" s="43"/>
      <c r="K151" s="43"/>
      <c r="L151" s="43" t="s">
        <v>52</v>
      </c>
      <c r="M151" s="78"/>
      <c r="N151" s="44" t="str">
        <f t="shared" si="18"/>
        <v/>
      </c>
      <c r="O151" s="45" t="s">
        <v>107</v>
      </c>
      <c r="P151" s="67"/>
      <c r="Q151" s="67"/>
      <c r="R151" s="68"/>
      <c r="S151" s="69"/>
      <c r="T151" s="82">
        <v>0.6875</v>
      </c>
      <c r="U151" s="79">
        <v>0.69444444444444453</v>
      </c>
      <c r="V151" s="83"/>
      <c r="W151" s="3"/>
      <c r="X151" s="50"/>
      <c r="Y151" s="80"/>
      <c r="Z151" s="80"/>
      <c r="AA151" s="3"/>
      <c r="AC151" s="50"/>
      <c r="AD151" s="50"/>
      <c r="AE151" s="3" t="str">
        <f t="shared" si="19"/>
        <v>-</v>
      </c>
      <c r="AF151" s="51"/>
      <c r="AG151" s="52" t="str">
        <f t="shared" ca="1" si="20"/>
        <v/>
      </c>
      <c r="AI151" s="54"/>
      <c r="AJ151" s="3"/>
      <c r="AK151" s="3">
        <v>1</v>
      </c>
      <c r="AL151" s="3"/>
      <c r="AM151" s="4"/>
      <c r="AN151" s="4"/>
      <c r="AO151" s="3"/>
      <c r="AP151" s="4"/>
      <c r="AQ151" s="3"/>
      <c r="AR151" s="3"/>
      <c r="AS151" s="3"/>
    </row>
    <row r="152" spans="1:45" s="53" customFormat="1" ht="19.5" hidden="1" customHeight="1">
      <c r="A152" s="35">
        <f t="shared" si="13"/>
        <v>0</v>
      </c>
      <c r="B152" s="81"/>
      <c r="C152" s="3"/>
      <c r="D152" s="46"/>
      <c r="E152" s="3"/>
      <c r="F152" s="3"/>
      <c r="G152" s="3"/>
      <c r="H152" s="41"/>
      <c r="I152" s="37" t="s">
        <v>50</v>
      </c>
      <c r="J152" s="43"/>
      <c r="K152" s="43"/>
      <c r="L152" s="43" t="s">
        <v>52</v>
      </c>
      <c r="M152" s="78"/>
      <c r="N152" s="44" t="str">
        <f t="shared" si="18"/>
        <v/>
      </c>
      <c r="O152" s="45" t="s">
        <v>107</v>
      </c>
      <c r="P152" s="67"/>
      <c r="Q152" s="67"/>
      <c r="R152" s="68"/>
      <c r="S152" s="69"/>
      <c r="T152" s="82">
        <v>0.6875</v>
      </c>
      <c r="U152" s="82">
        <v>0.69444444444444453</v>
      </c>
      <c r="V152" s="97" t="s">
        <v>108</v>
      </c>
      <c r="W152" s="3"/>
      <c r="X152" s="106" t="s">
        <v>90</v>
      </c>
      <c r="Y152" s="85"/>
      <c r="Z152" s="85"/>
      <c r="AA152" s="83"/>
      <c r="AC152" s="50"/>
      <c r="AD152" s="50"/>
      <c r="AE152" s="3" t="str">
        <f t="shared" si="19"/>
        <v>-</v>
      </c>
      <c r="AF152" s="51"/>
      <c r="AG152" s="52" t="str">
        <f t="shared" ca="1" si="20"/>
        <v/>
      </c>
      <c r="AI152" s="54"/>
      <c r="AJ152" s="3"/>
      <c r="AK152" s="3">
        <v>1</v>
      </c>
      <c r="AL152" s="3"/>
      <c r="AM152" s="4"/>
      <c r="AN152" s="4"/>
      <c r="AO152" s="3"/>
      <c r="AP152" s="4"/>
      <c r="AQ152" s="3"/>
      <c r="AR152" s="3"/>
      <c r="AS152" s="3"/>
    </row>
    <row r="153" spans="1:45" s="53" customFormat="1" ht="19.5" hidden="1" customHeight="1">
      <c r="A153" s="35">
        <f t="shared" si="13"/>
        <v>0</v>
      </c>
      <c r="B153" s="81"/>
      <c r="C153" s="3"/>
      <c r="D153" s="46"/>
      <c r="E153" s="3"/>
      <c r="F153" s="3"/>
      <c r="G153" s="3"/>
      <c r="H153" s="41"/>
      <c r="I153" s="37" t="s">
        <v>50</v>
      </c>
      <c r="J153" s="43"/>
      <c r="K153" s="43"/>
      <c r="L153" s="43" t="s">
        <v>52</v>
      </c>
      <c r="M153" s="78"/>
      <c r="N153" s="44" t="str">
        <f t="shared" si="18"/>
        <v/>
      </c>
      <c r="O153" s="45" t="s">
        <v>107</v>
      </c>
      <c r="P153" s="67"/>
      <c r="Q153" s="67"/>
      <c r="R153" s="68"/>
      <c r="S153" s="69"/>
      <c r="T153" s="82">
        <v>0.6875</v>
      </c>
      <c r="U153" s="82">
        <v>0.69444444444444453</v>
      </c>
      <c r="V153" s="97" t="s">
        <v>108</v>
      </c>
      <c r="W153" s="3"/>
      <c r="X153" s="106" t="s">
        <v>90</v>
      </c>
      <c r="Y153" s="85"/>
      <c r="Z153" s="85"/>
      <c r="AA153" s="83" t="s">
        <v>109</v>
      </c>
      <c r="AC153" s="50"/>
      <c r="AD153" s="50"/>
      <c r="AE153" s="3" t="str">
        <f t="shared" si="19"/>
        <v>-</v>
      </c>
      <c r="AF153" s="51"/>
      <c r="AG153" s="52" t="str">
        <f t="shared" ca="1" si="20"/>
        <v/>
      </c>
      <c r="AI153" s="54"/>
      <c r="AJ153" s="3"/>
      <c r="AK153" s="3">
        <v>1</v>
      </c>
      <c r="AL153" s="3"/>
      <c r="AM153" s="4"/>
      <c r="AN153" s="4"/>
      <c r="AO153" s="3"/>
      <c r="AP153" s="4"/>
      <c r="AQ153" s="3"/>
      <c r="AR153" s="3"/>
      <c r="AS153" s="3"/>
    </row>
    <row r="154" spans="1:45" s="53" customFormat="1" ht="19.5" hidden="1" customHeight="1">
      <c r="A154" s="35">
        <f t="shared" si="13"/>
        <v>0</v>
      </c>
      <c r="B154" s="81"/>
      <c r="C154" s="3"/>
      <c r="D154" s="46"/>
      <c r="E154" s="3"/>
      <c r="F154" s="3"/>
      <c r="G154" s="3"/>
      <c r="H154" s="41"/>
      <c r="I154" s="37" t="s">
        <v>50</v>
      </c>
      <c r="J154" s="43"/>
      <c r="K154" s="43"/>
      <c r="L154" s="43" t="s">
        <v>52</v>
      </c>
      <c r="M154" s="78"/>
      <c r="N154" s="44" t="str">
        <f t="shared" si="18"/>
        <v/>
      </c>
      <c r="O154" s="45" t="s">
        <v>107</v>
      </c>
      <c r="P154" s="67"/>
      <c r="Q154" s="67"/>
      <c r="R154" s="68"/>
      <c r="S154" s="69"/>
      <c r="T154" s="82">
        <v>0.6875</v>
      </c>
      <c r="U154" s="82">
        <v>0.69444444444444453</v>
      </c>
      <c r="V154" s="97" t="s">
        <v>108</v>
      </c>
      <c r="W154" s="3"/>
      <c r="X154" s="106" t="s">
        <v>90</v>
      </c>
      <c r="Y154" s="85"/>
      <c r="Z154" s="85"/>
      <c r="AA154" s="97" t="s">
        <v>92</v>
      </c>
      <c r="AB154" s="73"/>
      <c r="AC154" s="50"/>
      <c r="AD154" s="50"/>
      <c r="AE154" s="3" t="str">
        <f t="shared" si="19"/>
        <v>-</v>
      </c>
      <c r="AF154" s="105"/>
      <c r="AG154" s="52" t="str">
        <f t="shared" ca="1" si="20"/>
        <v/>
      </c>
      <c r="AI154" s="54"/>
      <c r="AJ154" s="3"/>
      <c r="AK154" s="3">
        <v>1</v>
      </c>
      <c r="AL154" s="3"/>
      <c r="AM154" s="4"/>
      <c r="AN154" s="4"/>
      <c r="AO154" s="3"/>
      <c r="AP154" s="4"/>
      <c r="AQ154" s="3"/>
      <c r="AR154" s="3"/>
      <c r="AS154" s="3"/>
    </row>
    <row r="155" spans="1:45" s="53" customFormat="1" ht="19.5" hidden="1" customHeight="1">
      <c r="A155" s="35">
        <f t="shared" si="13"/>
        <v>0</v>
      </c>
      <c r="B155" s="81"/>
      <c r="C155" s="3"/>
      <c r="D155" s="46"/>
      <c r="E155" s="3"/>
      <c r="F155" s="3"/>
      <c r="G155" s="3"/>
      <c r="H155" s="41"/>
      <c r="I155" s="37" t="s">
        <v>50</v>
      </c>
      <c r="J155" s="43"/>
      <c r="K155" s="43"/>
      <c r="L155" s="43" t="s">
        <v>52</v>
      </c>
      <c r="M155" s="78"/>
      <c r="N155" s="44" t="str">
        <f t="shared" si="18"/>
        <v/>
      </c>
      <c r="O155" s="45" t="s">
        <v>107</v>
      </c>
      <c r="P155" s="67"/>
      <c r="Q155" s="67"/>
      <c r="R155" s="68"/>
      <c r="S155" s="69"/>
      <c r="T155" s="82">
        <v>0.6875</v>
      </c>
      <c r="U155" s="82">
        <v>0.69444444444444453</v>
      </c>
      <c r="V155" s="97" t="s">
        <v>108</v>
      </c>
      <c r="W155" s="3"/>
      <c r="X155" s="106" t="s">
        <v>90</v>
      </c>
      <c r="Y155" s="85"/>
      <c r="Z155" s="85"/>
      <c r="AA155" s="97" t="s">
        <v>92</v>
      </c>
      <c r="AB155" s="73"/>
      <c r="AC155" s="50"/>
      <c r="AD155" s="50"/>
      <c r="AE155" s="3" t="str">
        <f t="shared" si="19"/>
        <v>-</v>
      </c>
      <c r="AF155" s="107">
        <v>0.70138888888888884</v>
      </c>
      <c r="AG155" s="52">
        <f t="shared" ca="1" si="20"/>
        <v>0.73263888888888884</v>
      </c>
      <c r="AI155" s="54"/>
      <c r="AJ155" s="3"/>
      <c r="AK155" s="3">
        <v>1</v>
      </c>
      <c r="AL155" s="3"/>
      <c r="AM155" s="4"/>
      <c r="AN155" s="4"/>
      <c r="AO155" s="3"/>
      <c r="AP155" s="4"/>
      <c r="AQ155" s="3"/>
      <c r="AR155" s="3"/>
      <c r="AS155" s="3"/>
    </row>
    <row r="156" spans="1:45" s="53" customFormat="1" ht="19.5" hidden="1" customHeight="1">
      <c r="A156" s="35">
        <f t="shared" si="13"/>
        <v>0</v>
      </c>
      <c r="B156" s="81"/>
      <c r="C156" s="3"/>
      <c r="D156" s="46"/>
      <c r="E156" s="3"/>
      <c r="F156" s="3"/>
      <c r="G156" s="3"/>
      <c r="H156" s="41"/>
      <c r="I156" s="37" t="s">
        <v>50</v>
      </c>
      <c r="J156" s="43"/>
      <c r="K156" s="43"/>
      <c r="L156" s="43" t="s">
        <v>52</v>
      </c>
      <c r="M156" s="78"/>
      <c r="N156" s="44" t="str">
        <f t="shared" si="18"/>
        <v/>
      </c>
      <c r="O156" s="45" t="s">
        <v>107</v>
      </c>
      <c r="P156" s="67"/>
      <c r="Q156" s="67"/>
      <c r="R156" s="68"/>
      <c r="S156" s="69"/>
      <c r="T156" s="82">
        <v>0.6875</v>
      </c>
      <c r="U156" s="82">
        <v>0.69444444444444453</v>
      </c>
      <c r="V156" s="97" t="s">
        <v>108</v>
      </c>
      <c r="W156" s="3"/>
      <c r="X156" s="106" t="s">
        <v>90</v>
      </c>
      <c r="Y156" s="85"/>
      <c r="Z156" s="85"/>
      <c r="AA156" s="97" t="s">
        <v>92</v>
      </c>
      <c r="AB156" s="73"/>
      <c r="AC156" s="50"/>
      <c r="AD156" s="50"/>
      <c r="AE156" s="3" t="str">
        <f t="shared" si="19"/>
        <v>-</v>
      </c>
      <c r="AF156" s="107">
        <v>0.70138888888888884</v>
      </c>
      <c r="AG156" s="112">
        <v>0.70833333333333337</v>
      </c>
      <c r="AH156" s="101"/>
      <c r="AI156" s="54"/>
      <c r="AJ156" s="3"/>
      <c r="AK156" s="3">
        <v>1</v>
      </c>
      <c r="AL156" s="3"/>
      <c r="AM156" s="4"/>
      <c r="AN156" s="4"/>
      <c r="AO156" s="3"/>
      <c r="AP156" s="4"/>
      <c r="AQ156" s="3"/>
      <c r="AR156" s="3"/>
      <c r="AS156" s="3"/>
    </row>
    <row r="157" spans="1:45" s="53" customFormat="1" ht="19.5" hidden="1" customHeight="1">
      <c r="A157" s="35">
        <f t="shared" si="13"/>
        <v>0</v>
      </c>
      <c r="B157" s="81"/>
      <c r="C157" s="3"/>
      <c r="D157" s="46"/>
      <c r="E157" s="3"/>
      <c r="F157" s="3"/>
      <c r="G157" s="3"/>
      <c r="H157" s="41"/>
      <c r="I157" s="37" t="s">
        <v>50</v>
      </c>
      <c r="J157" s="43"/>
      <c r="K157" s="43"/>
      <c r="L157" s="43" t="s">
        <v>52</v>
      </c>
      <c r="M157" s="78"/>
      <c r="N157" s="44" t="str">
        <f t="shared" si="18"/>
        <v/>
      </c>
      <c r="O157" s="45" t="s">
        <v>107</v>
      </c>
      <c r="P157" s="67"/>
      <c r="Q157" s="67"/>
      <c r="R157" s="68"/>
      <c r="S157" s="69"/>
      <c r="T157" s="82">
        <v>0.6875</v>
      </c>
      <c r="U157" s="82">
        <v>0.69444444444444453</v>
      </c>
      <c r="V157" s="97" t="s">
        <v>108</v>
      </c>
      <c r="W157" s="3"/>
      <c r="X157" s="106" t="s">
        <v>90</v>
      </c>
      <c r="Y157" s="85"/>
      <c r="Z157" s="85"/>
      <c r="AA157" s="97" t="s">
        <v>92</v>
      </c>
      <c r="AB157" s="73"/>
      <c r="AC157" s="50"/>
      <c r="AD157" s="50"/>
      <c r="AE157" s="3" t="str">
        <f t="shared" si="19"/>
        <v>-</v>
      </c>
      <c r="AF157" s="107">
        <v>0.70138888888888884</v>
      </c>
      <c r="AG157" s="112">
        <v>0.70833333333333337</v>
      </c>
      <c r="AH157" s="113">
        <v>15</v>
      </c>
      <c r="AI157" s="54"/>
      <c r="AJ157" s="3"/>
      <c r="AK157" s="3">
        <v>1</v>
      </c>
      <c r="AL157" s="3"/>
      <c r="AM157" s="4"/>
      <c r="AN157" s="4"/>
      <c r="AO157" s="3"/>
      <c r="AP157" s="4"/>
      <c r="AQ157" s="3"/>
      <c r="AR157" s="3"/>
      <c r="AS157" s="3"/>
    </row>
    <row r="158" spans="1:45" s="53" customFormat="1" ht="19.5" hidden="1" customHeight="1">
      <c r="A158" s="35">
        <f t="shared" si="13"/>
        <v>0</v>
      </c>
      <c r="B158" s="81"/>
      <c r="C158" s="3"/>
      <c r="D158" s="46"/>
      <c r="E158" s="3"/>
      <c r="F158" s="3"/>
      <c r="G158" s="3"/>
      <c r="H158" s="41"/>
      <c r="I158" s="3"/>
      <c r="J158" s="78"/>
      <c r="K158" s="78"/>
      <c r="L158" s="78"/>
      <c r="M158" s="78"/>
      <c r="N158" s="44" t="str">
        <f t="shared" si="18"/>
        <v/>
      </c>
      <c r="O158" s="45"/>
      <c r="P158" s="3"/>
      <c r="Q158" s="46"/>
      <c r="R158" s="47"/>
      <c r="S158" s="48"/>
      <c r="T158" s="80"/>
      <c r="U158" s="80"/>
      <c r="V158" s="3"/>
      <c r="W158" s="3"/>
      <c r="X158" s="50"/>
      <c r="Y158" s="80"/>
      <c r="Z158" s="80"/>
      <c r="AA158" s="3"/>
      <c r="AC158" s="50"/>
      <c r="AD158" s="50"/>
      <c r="AE158" s="3" t="str">
        <f t="shared" si="19"/>
        <v>-</v>
      </c>
      <c r="AF158" s="51"/>
      <c r="AG158" s="52" t="str">
        <f t="shared" ref="AG158:AG165" ca="1" si="21">IF(AF158="","",IF($AF158+TIME(0,30,0)&lt;(TEXT(NOW(),"h:mm:ss")*1),$AF158+TIME(0,45,0),$AF158+TIME(0,30,0)))</f>
        <v/>
      </c>
      <c r="AI158" s="54"/>
      <c r="AJ158" s="3"/>
      <c r="AK158" s="3">
        <v>1</v>
      </c>
      <c r="AL158" s="3"/>
      <c r="AM158" s="4"/>
      <c r="AN158" s="4"/>
      <c r="AO158" s="3"/>
      <c r="AP158" s="4"/>
      <c r="AQ158" s="3"/>
      <c r="AR158" s="3"/>
      <c r="AS158" s="3"/>
    </row>
    <row r="159" spans="1:45" s="53" customFormat="1" ht="19.5" hidden="1" customHeight="1">
      <c r="A159" s="35">
        <f t="shared" si="13"/>
        <v>0</v>
      </c>
      <c r="B159" s="81"/>
      <c r="C159" s="3"/>
      <c r="D159" s="46"/>
      <c r="E159" s="3"/>
      <c r="F159" s="3"/>
      <c r="G159" s="3"/>
      <c r="H159" s="41"/>
      <c r="I159" s="3"/>
      <c r="J159" s="78"/>
      <c r="K159" s="78"/>
      <c r="L159" s="78"/>
      <c r="M159" s="78"/>
      <c r="N159" s="44" t="str">
        <f t="shared" si="18"/>
        <v/>
      </c>
      <c r="O159" s="45"/>
      <c r="P159" s="3"/>
      <c r="Q159" s="46"/>
      <c r="R159" s="47"/>
      <c r="S159" s="48"/>
      <c r="T159" s="80"/>
      <c r="U159" s="80"/>
      <c r="V159" s="3"/>
      <c r="W159" s="3"/>
      <c r="X159" s="50"/>
      <c r="Y159" s="80"/>
      <c r="Z159" s="80"/>
      <c r="AA159" s="3"/>
      <c r="AC159" s="50"/>
      <c r="AD159" s="50"/>
      <c r="AE159" s="3" t="str">
        <f t="shared" si="19"/>
        <v>-</v>
      </c>
      <c r="AF159" s="51"/>
      <c r="AG159" s="52" t="str">
        <f t="shared" ca="1" si="21"/>
        <v/>
      </c>
      <c r="AI159" s="54"/>
      <c r="AJ159" s="3"/>
      <c r="AK159" s="3">
        <v>1</v>
      </c>
      <c r="AL159" s="3"/>
      <c r="AM159" s="4"/>
      <c r="AN159" s="4"/>
      <c r="AO159" s="3"/>
      <c r="AP159" s="4"/>
      <c r="AQ159" s="3"/>
      <c r="AR159" s="3"/>
      <c r="AS159" s="3"/>
    </row>
    <row r="160" spans="1:45" s="53" customFormat="1" ht="19.5" hidden="1" customHeight="1">
      <c r="A160" s="35">
        <f t="shared" si="13"/>
        <v>0</v>
      </c>
      <c r="B160" s="81"/>
      <c r="C160" s="3"/>
      <c r="D160" s="38" t="s">
        <v>100</v>
      </c>
      <c r="E160" s="3"/>
      <c r="F160" s="3"/>
      <c r="G160" s="3"/>
      <c r="H160" s="41"/>
      <c r="I160" s="37" t="s">
        <v>50</v>
      </c>
      <c r="J160" s="43"/>
      <c r="K160" s="43"/>
      <c r="L160" s="43" t="s">
        <v>52</v>
      </c>
      <c r="M160" s="78"/>
      <c r="N160" s="44" t="str">
        <f t="shared" si="18"/>
        <v/>
      </c>
      <c r="O160" s="45" t="s">
        <v>107</v>
      </c>
      <c r="P160" s="67"/>
      <c r="Q160" s="67"/>
      <c r="R160" s="68"/>
      <c r="S160" s="69"/>
      <c r="T160" s="79"/>
      <c r="U160" s="49"/>
      <c r="V160" s="3"/>
      <c r="W160" s="3"/>
      <c r="X160" s="50"/>
      <c r="Y160" s="80"/>
      <c r="Z160" s="80"/>
      <c r="AA160" s="3"/>
      <c r="AC160" s="50"/>
      <c r="AD160" s="50"/>
      <c r="AE160" s="3" t="str">
        <f t="shared" si="19"/>
        <v>-</v>
      </c>
      <c r="AF160" s="51"/>
      <c r="AG160" s="52" t="str">
        <f t="shared" ca="1" si="21"/>
        <v/>
      </c>
      <c r="AI160" s="54"/>
      <c r="AJ160" s="3"/>
      <c r="AK160" s="3">
        <v>1</v>
      </c>
      <c r="AL160" s="3"/>
      <c r="AM160" s="4"/>
      <c r="AN160" s="4"/>
      <c r="AO160" s="3"/>
      <c r="AP160" s="4"/>
      <c r="AQ160" s="3"/>
      <c r="AR160" s="3"/>
      <c r="AS160" s="3"/>
    </row>
    <row r="161" spans="1:45" s="53" customFormat="1" ht="19.5" hidden="1" customHeight="1">
      <c r="A161" s="35">
        <f t="shared" si="13"/>
        <v>0</v>
      </c>
      <c r="B161" s="81"/>
      <c r="C161" s="3"/>
      <c r="D161" s="38"/>
      <c r="E161" s="3"/>
      <c r="F161" s="3"/>
      <c r="G161" s="3"/>
      <c r="H161" s="41"/>
      <c r="I161" s="37" t="s">
        <v>50</v>
      </c>
      <c r="J161" s="43"/>
      <c r="K161" s="43"/>
      <c r="L161" s="43" t="s">
        <v>52</v>
      </c>
      <c r="M161" s="78"/>
      <c r="N161" s="44" t="str">
        <f t="shared" si="18"/>
        <v/>
      </c>
      <c r="O161" s="45" t="s">
        <v>107</v>
      </c>
      <c r="P161" s="67"/>
      <c r="Q161" s="67"/>
      <c r="R161" s="68"/>
      <c r="S161" s="69"/>
      <c r="T161" s="82">
        <v>0.6875</v>
      </c>
      <c r="U161" s="79">
        <v>0.69444444444444453</v>
      </c>
      <c r="V161" s="83"/>
      <c r="W161" s="3"/>
      <c r="X161" s="50"/>
      <c r="Y161" s="80"/>
      <c r="Z161" s="80"/>
      <c r="AA161" s="3"/>
      <c r="AC161" s="50"/>
      <c r="AD161" s="50"/>
      <c r="AE161" s="3" t="str">
        <f t="shared" si="19"/>
        <v>-</v>
      </c>
      <c r="AF161" s="51"/>
      <c r="AG161" s="52" t="str">
        <f t="shared" ca="1" si="21"/>
        <v/>
      </c>
      <c r="AI161" s="54"/>
      <c r="AJ161" s="3"/>
      <c r="AK161" s="3">
        <v>1</v>
      </c>
      <c r="AL161" s="3"/>
      <c r="AM161" s="4"/>
      <c r="AN161" s="4"/>
      <c r="AO161" s="3"/>
      <c r="AP161" s="4"/>
      <c r="AQ161" s="3"/>
      <c r="AR161" s="3"/>
      <c r="AS161" s="3"/>
    </row>
    <row r="162" spans="1:45" s="53" customFormat="1" ht="19.5" hidden="1" customHeight="1">
      <c r="A162" s="35">
        <f t="shared" si="13"/>
        <v>0</v>
      </c>
      <c r="B162" s="81"/>
      <c r="C162" s="3"/>
      <c r="D162" s="46"/>
      <c r="E162" s="3"/>
      <c r="F162" s="3"/>
      <c r="G162" s="3"/>
      <c r="H162" s="41"/>
      <c r="I162" s="37" t="s">
        <v>50</v>
      </c>
      <c r="J162" s="43"/>
      <c r="K162" s="43"/>
      <c r="L162" s="43" t="s">
        <v>52</v>
      </c>
      <c r="M162" s="78"/>
      <c r="N162" s="44" t="str">
        <f t="shared" si="18"/>
        <v/>
      </c>
      <c r="O162" s="45" t="s">
        <v>107</v>
      </c>
      <c r="P162" s="67"/>
      <c r="Q162" s="67"/>
      <c r="R162" s="68"/>
      <c r="S162" s="69"/>
      <c r="T162" s="82">
        <v>0.6875</v>
      </c>
      <c r="U162" s="82">
        <v>0.69444444444444453</v>
      </c>
      <c r="V162" s="97" t="s">
        <v>108</v>
      </c>
      <c r="W162" s="3"/>
      <c r="X162" s="106" t="s">
        <v>90</v>
      </c>
      <c r="Y162" s="85"/>
      <c r="Z162" s="85"/>
      <c r="AA162" s="83"/>
      <c r="AC162" s="50"/>
      <c r="AD162" s="50"/>
      <c r="AE162" s="3" t="str">
        <f t="shared" si="19"/>
        <v>-</v>
      </c>
      <c r="AF162" s="51"/>
      <c r="AG162" s="52" t="str">
        <f t="shared" ca="1" si="21"/>
        <v/>
      </c>
      <c r="AI162" s="54"/>
      <c r="AJ162" s="3"/>
      <c r="AK162" s="3">
        <v>1</v>
      </c>
      <c r="AL162" s="3"/>
      <c r="AM162" s="4"/>
      <c r="AN162" s="4"/>
      <c r="AO162" s="3"/>
      <c r="AP162" s="4"/>
      <c r="AQ162" s="3"/>
      <c r="AR162" s="3"/>
      <c r="AS162" s="3"/>
    </row>
    <row r="163" spans="1:45" s="53" customFormat="1" ht="19.5" hidden="1" customHeight="1">
      <c r="A163" s="35">
        <f t="shared" si="13"/>
        <v>0</v>
      </c>
      <c r="B163" s="81"/>
      <c r="C163" s="3"/>
      <c r="D163" s="116"/>
      <c r="E163" s="3"/>
      <c r="F163" s="3"/>
      <c r="G163" s="3"/>
      <c r="H163" s="41"/>
      <c r="I163" s="89" t="s">
        <v>50</v>
      </c>
      <c r="J163" s="90"/>
      <c r="K163" s="43"/>
      <c r="L163" s="90" t="s">
        <v>52</v>
      </c>
      <c r="M163" s="123"/>
      <c r="N163" s="44" t="str">
        <f t="shared" si="18"/>
        <v/>
      </c>
      <c r="O163" s="45" t="s">
        <v>107</v>
      </c>
      <c r="P163" s="67"/>
      <c r="Q163" s="67"/>
      <c r="R163" s="68"/>
      <c r="S163" s="69"/>
      <c r="T163" s="82">
        <v>0.6875</v>
      </c>
      <c r="U163" s="82">
        <v>0.69444444444444453</v>
      </c>
      <c r="V163" s="97" t="s">
        <v>108</v>
      </c>
      <c r="W163" s="3"/>
      <c r="X163" s="117" t="s">
        <v>90</v>
      </c>
      <c r="Y163" s="85"/>
      <c r="Z163" s="85"/>
      <c r="AA163" s="89" t="s">
        <v>109</v>
      </c>
      <c r="AC163" s="50"/>
      <c r="AD163" s="50"/>
      <c r="AE163" s="3" t="str">
        <f t="shared" si="19"/>
        <v>-</v>
      </c>
      <c r="AF163" s="51"/>
      <c r="AG163" s="52" t="str">
        <f t="shared" ca="1" si="21"/>
        <v/>
      </c>
      <c r="AI163" s="54"/>
      <c r="AJ163" s="3"/>
      <c r="AK163" s="3">
        <v>1</v>
      </c>
      <c r="AL163" s="3"/>
      <c r="AM163" s="4"/>
      <c r="AN163" s="4"/>
      <c r="AO163" s="3"/>
      <c r="AP163" s="4"/>
      <c r="AQ163" s="3"/>
      <c r="AR163" s="3"/>
      <c r="AS163" s="3"/>
    </row>
    <row r="164" spans="1:45" s="53" customFormat="1" ht="19.5" hidden="1" customHeight="1">
      <c r="A164" s="35">
        <f t="shared" si="13"/>
        <v>0</v>
      </c>
      <c r="B164" s="81"/>
      <c r="C164" s="3"/>
      <c r="D164" s="46"/>
      <c r="E164" s="3"/>
      <c r="F164" s="3"/>
      <c r="G164" s="3"/>
      <c r="H164" s="41"/>
      <c r="I164" s="37" t="s">
        <v>50</v>
      </c>
      <c r="J164" s="43"/>
      <c r="K164" s="43"/>
      <c r="L164" s="43" t="s">
        <v>52</v>
      </c>
      <c r="M164" s="78"/>
      <c r="N164" s="44" t="str">
        <f t="shared" si="18"/>
        <v/>
      </c>
      <c r="O164" s="45" t="s">
        <v>107</v>
      </c>
      <c r="P164" s="67"/>
      <c r="Q164" s="67"/>
      <c r="R164" s="68"/>
      <c r="S164" s="69"/>
      <c r="T164" s="82">
        <v>0.6875</v>
      </c>
      <c r="U164" s="82">
        <v>0.69444444444444453</v>
      </c>
      <c r="V164" s="97" t="s">
        <v>108</v>
      </c>
      <c r="W164" s="3"/>
      <c r="X164" s="106" t="s">
        <v>90</v>
      </c>
      <c r="Y164" s="85"/>
      <c r="Z164" s="85"/>
      <c r="AA164" s="97" t="s">
        <v>92</v>
      </c>
      <c r="AB164" s="73"/>
      <c r="AC164" s="50"/>
      <c r="AD164" s="50"/>
      <c r="AE164" s="3" t="str">
        <f t="shared" si="19"/>
        <v>-</v>
      </c>
      <c r="AF164" s="105"/>
      <c r="AG164" s="52" t="str">
        <f t="shared" ca="1" si="21"/>
        <v/>
      </c>
      <c r="AI164" s="54"/>
      <c r="AJ164" s="3"/>
      <c r="AK164" s="3">
        <v>1</v>
      </c>
      <c r="AL164" s="3"/>
      <c r="AM164" s="4"/>
      <c r="AN164" s="4"/>
      <c r="AO164" s="3"/>
      <c r="AP164" s="4"/>
      <c r="AQ164" s="3"/>
      <c r="AR164" s="3"/>
      <c r="AS164" s="3"/>
    </row>
    <row r="165" spans="1:45" s="53" customFormat="1" ht="19.5" hidden="1" customHeight="1">
      <c r="A165" s="35">
        <f t="shared" si="13"/>
        <v>0</v>
      </c>
      <c r="B165" s="81"/>
      <c r="C165" s="3"/>
      <c r="D165" s="46"/>
      <c r="E165" s="3"/>
      <c r="F165" s="3"/>
      <c r="G165" s="3"/>
      <c r="H165" s="41"/>
      <c r="I165" s="37" t="s">
        <v>50</v>
      </c>
      <c r="J165" s="43"/>
      <c r="K165" s="43"/>
      <c r="L165" s="43" t="s">
        <v>52</v>
      </c>
      <c r="M165" s="78"/>
      <c r="N165" s="44" t="str">
        <f t="shared" si="18"/>
        <v/>
      </c>
      <c r="O165" s="45" t="s">
        <v>107</v>
      </c>
      <c r="P165" s="67"/>
      <c r="Q165" s="67"/>
      <c r="R165" s="68"/>
      <c r="S165" s="69"/>
      <c r="T165" s="82">
        <v>0.6875</v>
      </c>
      <c r="U165" s="82">
        <v>0.69444444444444453</v>
      </c>
      <c r="V165" s="97" t="s">
        <v>108</v>
      </c>
      <c r="W165" s="3"/>
      <c r="X165" s="106" t="s">
        <v>90</v>
      </c>
      <c r="Y165" s="85"/>
      <c r="Z165" s="85"/>
      <c r="AA165" s="97" t="s">
        <v>92</v>
      </c>
      <c r="AB165" s="73"/>
      <c r="AC165" s="50"/>
      <c r="AD165" s="50"/>
      <c r="AE165" s="3" t="str">
        <f t="shared" si="19"/>
        <v>-</v>
      </c>
      <c r="AF165" s="107">
        <v>0.70138888888888884</v>
      </c>
      <c r="AG165" s="52">
        <f t="shared" ca="1" si="21"/>
        <v>0.73263888888888884</v>
      </c>
      <c r="AI165" s="54"/>
      <c r="AJ165" s="3"/>
      <c r="AK165" s="3">
        <v>1</v>
      </c>
      <c r="AL165" s="3"/>
      <c r="AM165" s="4"/>
      <c r="AN165" s="4"/>
      <c r="AO165" s="3"/>
      <c r="AP165" s="4"/>
      <c r="AQ165" s="3"/>
      <c r="AR165" s="3"/>
      <c r="AS165" s="3"/>
    </row>
    <row r="166" spans="1:45" s="53" customFormat="1" ht="19.5" hidden="1" customHeight="1">
      <c r="A166" s="35">
        <f t="shared" ref="A166:A211" si="22">A165</f>
        <v>0</v>
      </c>
      <c r="B166" s="81"/>
      <c r="C166" s="3"/>
      <c r="D166" s="46"/>
      <c r="E166" s="3"/>
      <c r="F166" s="3"/>
      <c r="G166" s="3"/>
      <c r="H166" s="41"/>
      <c r="I166" s="37" t="s">
        <v>50</v>
      </c>
      <c r="J166" s="43"/>
      <c r="K166" s="43"/>
      <c r="L166" s="43" t="s">
        <v>52</v>
      </c>
      <c r="M166" s="78"/>
      <c r="N166" s="44" t="str">
        <f t="shared" si="18"/>
        <v/>
      </c>
      <c r="O166" s="45" t="s">
        <v>107</v>
      </c>
      <c r="P166" s="67"/>
      <c r="Q166" s="67"/>
      <c r="R166" s="68"/>
      <c r="S166" s="69"/>
      <c r="T166" s="82">
        <v>0.6875</v>
      </c>
      <c r="U166" s="82">
        <v>0.69444444444444453</v>
      </c>
      <c r="V166" s="97" t="s">
        <v>108</v>
      </c>
      <c r="W166" s="3"/>
      <c r="X166" s="118" t="s">
        <v>90</v>
      </c>
      <c r="Y166" s="85"/>
      <c r="Z166" s="85"/>
      <c r="AA166" s="63" t="s">
        <v>94</v>
      </c>
      <c r="AB166" s="73"/>
      <c r="AC166" s="50"/>
      <c r="AD166" s="50"/>
      <c r="AE166" s="3" t="str">
        <f t="shared" si="19"/>
        <v>-</v>
      </c>
      <c r="AF166" s="107">
        <v>0.70138888888888884</v>
      </c>
      <c r="AG166" s="112">
        <v>0.70833333333333337</v>
      </c>
      <c r="AH166" s="101"/>
      <c r="AI166" s="54"/>
      <c r="AJ166" s="3"/>
      <c r="AK166" s="3">
        <v>1</v>
      </c>
      <c r="AL166" s="3"/>
      <c r="AM166" s="4"/>
      <c r="AN166" s="4"/>
      <c r="AO166" s="3"/>
      <c r="AP166" s="4"/>
      <c r="AQ166" s="3"/>
      <c r="AR166" s="3"/>
      <c r="AS166" s="3"/>
    </row>
    <row r="167" spans="1:45" s="53" customFormat="1" ht="19.5" hidden="1" customHeight="1">
      <c r="A167" s="35">
        <f t="shared" si="22"/>
        <v>0</v>
      </c>
      <c r="B167" s="81"/>
      <c r="C167" s="3"/>
      <c r="D167" s="46"/>
      <c r="E167" s="3"/>
      <c r="F167" s="3"/>
      <c r="G167" s="3"/>
      <c r="H167" s="41"/>
      <c r="I167" s="37" t="s">
        <v>50</v>
      </c>
      <c r="J167" s="43"/>
      <c r="K167" s="43"/>
      <c r="L167" s="43" t="s">
        <v>52</v>
      </c>
      <c r="M167" s="78"/>
      <c r="N167" s="44" t="str">
        <f t="shared" si="18"/>
        <v/>
      </c>
      <c r="O167" s="45" t="s">
        <v>58</v>
      </c>
      <c r="P167" s="67"/>
      <c r="Q167" s="67"/>
      <c r="R167" s="68"/>
      <c r="S167" s="69"/>
      <c r="T167" s="82">
        <v>0.6875</v>
      </c>
      <c r="U167" s="82">
        <v>0.69444444444444453</v>
      </c>
      <c r="V167" s="97" t="s">
        <v>108</v>
      </c>
      <c r="W167" s="71"/>
      <c r="X167" s="106" t="s">
        <v>90</v>
      </c>
      <c r="Y167" s="134"/>
      <c r="Z167" s="134"/>
      <c r="AA167" s="71" t="s">
        <v>94</v>
      </c>
      <c r="AB167" s="73"/>
      <c r="AC167" s="50"/>
      <c r="AD167" s="72"/>
      <c r="AE167" s="71" t="str">
        <f t="shared" si="19"/>
        <v>-</v>
      </c>
      <c r="AF167" s="74">
        <v>0.70138888888888884</v>
      </c>
      <c r="AG167" s="112">
        <v>0.70833333333333337</v>
      </c>
      <c r="AH167" s="113">
        <v>15</v>
      </c>
      <c r="AI167" s="54"/>
      <c r="AJ167" s="3"/>
      <c r="AK167" s="3">
        <v>1</v>
      </c>
      <c r="AL167" s="3"/>
      <c r="AM167" s="4"/>
      <c r="AN167" s="4"/>
      <c r="AO167" s="3"/>
      <c r="AP167" s="4"/>
      <c r="AQ167" s="3"/>
      <c r="AR167" s="3"/>
      <c r="AS167" s="3"/>
    </row>
    <row r="168" spans="1:45" s="53" customFormat="1" ht="19.5" hidden="1" customHeight="1">
      <c r="A168" s="35">
        <f t="shared" si="22"/>
        <v>0</v>
      </c>
      <c r="B168" s="81"/>
      <c r="C168" s="3"/>
      <c r="D168" s="46"/>
      <c r="E168" s="3"/>
      <c r="F168" s="3"/>
      <c r="G168" s="3"/>
      <c r="H168" s="41"/>
      <c r="I168" s="3"/>
      <c r="J168" s="78"/>
      <c r="K168" s="78"/>
      <c r="L168" s="78"/>
      <c r="M168" s="78"/>
      <c r="N168" s="44" t="str">
        <f t="shared" si="18"/>
        <v/>
      </c>
      <c r="O168" s="45"/>
      <c r="P168" s="3"/>
      <c r="Q168" s="46"/>
      <c r="R168" s="47"/>
      <c r="S168" s="48"/>
      <c r="T168" s="80"/>
      <c r="U168" s="80"/>
      <c r="V168" s="3"/>
      <c r="W168" s="3"/>
      <c r="X168" s="50"/>
      <c r="Y168" s="80"/>
      <c r="Z168" s="80"/>
      <c r="AA168" s="3"/>
      <c r="AC168" s="50"/>
      <c r="AD168" s="50"/>
      <c r="AE168" s="3" t="str">
        <f t="shared" si="19"/>
        <v>-</v>
      </c>
      <c r="AF168" s="51"/>
      <c r="AG168" s="52" t="str">
        <f t="shared" ref="AG168:AG174" ca="1" si="23">IF(AF168="","",IF($AF168+TIME(0,30,0)&lt;(TEXT(NOW(),"h:mm:ss")*1),$AF168+TIME(0,45,0),$AF168+TIME(0,30,0)))</f>
        <v/>
      </c>
      <c r="AI168" s="54"/>
      <c r="AJ168" s="3"/>
      <c r="AK168" s="3">
        <v>1</v>
      </c>
      <c r="AL168" s="3"/>
      <c r="AM168" s="4"/>
      <c r="AN168" s="4"/>
      <c r="AO168" s="3"/>
      <c r="AP168" s="4"/>
      <c r="AQ168" s="3"/>
      <c r="AR168" s="3"/>
      <c r="AS168" s="3"/>
    </row>
    <row r="169" spans="1:45" ht="19.5" hidden="1" customHeight="1">
      <c r="A169" s="35">
        <f t="shared" si="22"/>
        <v>0</v>
      </c>
      <c r="N169" s="44" t="str">
        <f t="shared" si="18"/>
        <v/>
      </c>
      <c r="R169" s="47"/>
      <c r="AE169" s="3" t="str">
        <f t="shared" si="19"/>
        <v>-</v>
      </c>
      <c r="AF169" s="51"/>
      <c r="AG169" s="52" t="str">
        <f t="shared" ca="1" si="23"/>
        <v/>
      </c>
      <c r="AI169" s="54"/>
      <c r="AK169" s="3">
        <v>1</v>
      </c>
      <c r="AP169" s="4"/>
    </row>
    <row r="170" spans="1:45" ht="19.5" hidden="1" customHeight="1">
      <c r="A170" s="35">
        <f t="shared" si="22"/>
        <v>0</v>
      </c>
      <c r="B170" s="36"/>
      <c r="C170" s="37"/>
      <c r="D170" s="38" t="s">
        <v>102</v>
      </c>
      <c r="E170" s="37"/>
      <c r="F170" s="39"/>
      <c r="G170" s="40"/>
      <c r="I170" s="37" t="s">
        <v>50</v>
      </c>
      <c r="J170" s="43"/>
      <c r="K170" s="43"/>
      <c r="L170" s="43" t="s">
        <v>52</v>
      </c>
      <c r="M170" s="43"/>
      <c r="N170" s="44" t="str">
        <f t="shared" si="18"/>
        <v/>
      </c>
      <c r="O170" s="45" t="s">
        <v>107</v>
      </c>
      <c r="P170" s="67"/>
      <c r="Q170" s="67"/>
      <c r="R170" s="68"/>
      <c r="S170" s="69"/>
      <c r="T170" s="79"/>
      <c r="U170" s="49"/>
      <c r="Y170" s="49"/>
      <c r="Z170" s="49"/>
      <c r="AE170" s="3" t="str">
        <f t="shared" si="19"/>
        <v>-</v>
      </c>
      <c r="AF170" s="51"/>
      <c r="AG170" s="52" t="str">
        <f t="shared" ca="1" si="23"/>
        <v/>
      </c>
      <c r="AI170" s="54"/>
      <c r="AK170" s="3">
        <v>1</v>
      </c>
      <c r="AP170" s="4"/>
    </row>
    <row r="171" spans="1:45" ht="19.5" hidden="1" customHeight="1">
      <c r="A171" s="35">
        <f t="shared" si="22"/>
        <v>0</v>
      </c>
      <c r="B171" s="36"/>
      <c r="C171" s="37"/>
      <c r="D171" s="38"/>
      <c r="E171" s="37"/>
      <c r="F171" s="39"/>
      <c r="G171" s="40"/>
      <c r="I171" s="37" t="s">
        <v>50</v>
      </c>
      <c r="J171" s="43"/>
      <c r="K171" s="43"/>
      <c r="L171" s="43" t="s">
        <v>52</v>
      </c>
      <c r="M171" s="43"/>
      <c r="N171" s="44" t="str">
        <f t="shared" si="18"/>
        <v/>
      </c>
      <c r="O171" s="45" t="s">
        <v>107</v>
      </c>
      <c r="P171" s="67"/>
      <c r="Q171" s="67"/>
      <c r="R171" s="68"/>
      <c r="S171" s="69"/>
      <c r="T171" s="82">
        <v>0.6875</v>
      </c>
      <c r="U171" s="79">
        <v>0.69444444444444453</v>
      </c>
      <c r="V171" s="83"/>
      <c r="Y171" s="49"/>
      <c r="Z171" s="49"/>
      <c r="AE171" s="3" t="str">
        <f t="shared" si="19"/>
        <v>-</v>
      </c>
      <c r="AF171" s="51"/>
      <c r="AG171" s="52" t="str">
        <f t="shared" ca="1" si="23"/>
        <v/>
      </c>
      <c r="AI171" s="54"/>
      <c r="AK171" s="3">
        <v>1</v>
      </c>
      <c r="AP171" s="4"/>
    </row>
    <row r="172" spans="1:45" ht="19.5" hidden="1" customHeight="1">
      <c r="A172" s="35">
        <f t="shared" si="22"/>
        <v>0</v>
      </c>
      <c r="B172" s="36"/>
      <c r="C172" s="37"/>
      <c r="D172" s="38"/>
      <c r="E172" s="37"/>
      <c r="F172" s="39"/>
      <c r="G172" s="40"/>
      <c r="I172" s="37" t="s">
        <v>50</v>
      </c>
      <c r="J172" s="43"/>
      <c r="K172" s="43"/>
      <c r="L172" s="43" t="s">
        <v>52</v>
      </c>
      <c r="M172" s="43"/>
      <c r="N172" s="44" t="str">
        <f t="shared" si="18"/>
        <v/>
      </c>
      <c r="O172" s="45" t="s">
        <v>107</v>
      </c>
      <c r="P172" s="67"/>
      <c r="Q172" s="67"/>
      <c r="R172" s="68"/>
      <c r="S172" s="69"/>
      <c r="T172" s="82">
        <v>0.6875</v>
      </c>
      <c r="U172" s="82">
        <v>0.69444444444444453</v>
      </c>
      <c r="V172" s="97" t="s">
        <v>108</v>
      </c>
      <c r="X172" s="72"/>
      <c r="Y172" s="79"/>
      <c r="Z172" s="49"/>
      <c r="AA172" s="135"/>
      <c r="AE172" s="3" t="str">
        <f t="shared" si="19"/>
        <v>-</v>
      </c>
      <c r="AF172" s="51"/>
      <c r="AG172" s="52" t="str">
        <f t="shared" ca="1" si="23"/>
        <v/>
      </c>
      <c r="AI172" s="54"/>
      <c r="AK172" s="3">
        <v>1</v>
      </c>
      <c r="AP172" s="4"/>
    </row>
    <row r="173" spans="1:45" ht="19.5" hidden="1" customHeight="1">
      <c r="A173" s="35">
        <f t="shared" si="22"/>
        <v>0</v>
      </c>
      <c r="C173" s="37"/>
      <c r="E173" s="37"/>
      <c r="F173" s="37"/>
      <c r="G173" s="37"/>
      <c r="I173" s="37" t="s">
        <v>50</v>
      </c>
      <c r="J173" s="43"/>
      <c r="K173" s="43"/>
      <c r="L173" s="43" t="s">
        <v>52</v>
      </c>
      <c r="N173" s="44" t="str">
        <f t="shared" si="18"/>
        <v/>
      </c>
      <c r="O173" s="45" t="s">
        <v>107</v>
      </c>
      <c r="P173" s="67"/>
      <c r="Q173" s="67"/>
      <c r="R173" s="68"/>
      <c r="S173" s="69"/>
      <c r="T173" s="82">
        <v>0.6875</v>
      </c>
      <c r="U173" s="82">
        <v>0.69444444444444453</v>
      </c>
      <c r="V173" s="97" t="s">
        <v>108</v>
      </c>
      <c r="X173" s="72"/>
      <c r="Y173" s="99">
        <v>0.69097222222222221</v>
      </c>
      <c r="Z173" s="100">
        <v>0.69791666666666663</v>
      </c>
      <c r="AA173" s="83"/>
      <c r="AB173" s="101"/>
      <c r="AE173" s="3" t="str">
        <f t="shared" si="19"/>
        <v>-</v>
      </c>
      <c r="AF173" s="51"/>
      <c r="AG173" s="52" t="str">
        <f t="shared" ca="1" si="23"/>
        <v/>
      </c>
      <c r="AI173" s="54"/>
      <c r="AK173" s="3">
        <v>1</v>
      </c>
      <c r="AP173" s="4"/>
    </row>
    <row r="174" spans="1:45" ht="19.5" hidden="1" customHeight="1">
      <c r="A174" s="35">
        <f t="shared" si="22"/>
        <v>0</v>
      </c>
      <c r="C174" s="102"/>
      <c r="I174" s="37" t="s">
        <v>50</v>
      </c>
      <c r="J174" s="43"/>
      <c r="K174" s="43"/>
      <c r="L174" s="43" t="s">
        <v>52</v>
      </c>
      <c r="N174" s="44" t="str">
        <f t="shared" si="18"/>
        <v/>
      </c>
      <c r="O174" s="45" t="s">
        <v>107</v>
      </c>
      <c r="P174" s="67"/>
      <c r="Q174" s="67"/>
      <c r="R174" s="68"/>
      <c r="S174" s="69"/>
      <c r="T174" s="82">
        <v>0.6875</v>
      </c>
      <c r="U174" s="82">
        <v>0.69444444444444453</v>
      </c>
      <c r="V174" s="97" t="s">
        <v>108</v>
      </c>
      <c r="X174" s="72"/>
      <c r="Y174" s="99">
        <v>0.69097222222222221</v>
      </c>
      <c r="Z174" s="99">
        <v>0.69791666666666663</v>
      </c>
      <c r="AA174" s="89" t="s">
        <v>109</v>
      </c>
      <c r="AB174" s="73"/>
      <c r="AC174" s="103"/>
      <c r="AD174" s="104"/>
      <c r="AE174" s="3" t="str">
        <f t="shared" si="19"/>
        <v>-</v>
      </c>
      <c r="AF174" s="105"/>
      <c r="AG174" s="52" t="str">
        <f t="shared" ca="1" si="23"/>
        <v/>
      </c>
      <c r="AI174" s="54"/>
      <c r="AK174" s="3">
        <v>1</v>
      </c>
      <c r="AP174" s="4"/>
    </row>
    <row r="175" spans="1:45" ht="19.5" hidden="1" customHeight="1">
      <c r="A175" s="35">
        <f t="shared" si="22"/>
        <v>0</v>
      </c>
      <c r="C175" s="102"/>
      <c r="I175" s="37" t="s">
        <v>50</v>
      </c>
      <c r="J175" s="43"/>
      <c r="K175" s="43"/>
      <c r="L175" s="43" t="s">
        <v>52</v>
      </c>
      <c r="N175" s="44" t="str">
        <f t="shared" si="18"/>
        <v/>
      </c>
      <c r="O175" s="45" t="s">
        <v>107</v>
      </c>
      <c r="P175" s="67"/>
      <c r="Q175" s="67"/>
      <c r="R175" s="68"/>
      <c r="S175" s="69"/>
      <c r="T175" s="82">
        <v>0.6875</v>
      </c>
      <c r="U175" s="82">
        <v>0.69444444444444453</v>
      </c>
      <c r="V175" s="97" t="s">
        <v>108</v>
      </c>
      <c r="X175" s="72"/>
      <c r="Y175" s="99">
        <v>0.69097222222222221</v>
      </c>
      <c r="Z175" s="99">
        <v>0.69791666666666663</v>
      </c>
      <c r="AA175" s="97" t="s">
        <v>92</v>
      </c>
      <c r="AB175" s="73"/>
      <c r="AD175" s="106" t="s">
        <v>87</v>
      </c>
      <c r="AE175" s="3" t="str">
        <f t="shared" si="19"/>
        <v>-</v>
      </c>
      <c r="AF175" s="107">
        <v>0.69444444444444453</v>
      </c>
      <c r="AG175" s="52">
        <v>0.71527777777777779</v>
      </c>
      <c r="AI175" s="54"/>
      <c r="AK175" s="3">
        <v>1</v>
      </c>
      <c r="AP175" s="4"/>
    </row>
    <row r="176" spans="1:45" ht="19.5" hidden="1" customHeight="1">
      <c r="A176" s="35">
        <f t="shared" si="22"/>
        <v>0</v>
      </c>
      <c r="C176" s="102"/>
      <c r="I176" s="3" t="s">
        <v>50</v>
      </c>
      <c r="L176" s="78" t="s">
        <v>52</v>
      </c>
      <c r="N176" s="44" t="str">
        <f t="shared" si="18"/>
        <v/>
      </c>
      <c r="O176" s="45" t="s">
        <v>107</v>
      </c>
      <c r="P176" s="67"/>
      <c r="Q176" s="67"/>
      <c r="R176" s="68"/>
      <c r="S176" s="69"/>
      <c r="T176" s="82">
        <v>0.6875</v>
      </c>
      <c r="U176" s="82">
        <v>0.69444444444444453</v>
      </c>
      <c r="V176" s="97" t="s">
        <v>108</v>
      </c>
      <c r="X176" s="72"/>
      <c r="Y176" s="99">
        <v>0.69097222222222221</v>
      </c>
      <c r="Z176" s="99">
        <v>0.69791666666666663</v>
      </c>
      <c r="AA176" s="97" t="s">
        <v>92</v>
      </c>
      <c r="AB176" s="73"/>
      <c r="AD176" s="106" t="s">
        <v>87</v>
      </c>
      <c r="AE176" s="3" t="str">
        <f t="shared" si="19"/>
        <v>-</v>
      </c>
      <c r="AF176" s="107">
        <v>0.69444444444444453</v>
      </c>
      <c r="AG176" s="108">
        <v>0.72569444444444453</v>
      </c>
      <c r="AH176" s="109"/>
      <c r="AI176" s="54"/>
      <c r="AK176" s="3">
        <v>1</v>
      </c>
      <c r="AP176" s="4"/>
    </row>
    <row r="177" spans="1:45" s="53" customFormat="1" ht="19.5" hidden="1" customHeight="1">
      <c r="A177" s="35">
        <f t="shared" si="22"/>
        <v>0</v>
      </c>
      <c r="B177" s="81"/>
      <c r="C177" s="102"/>
      <c r="D177" s="46"/>
      <c r="E177" s="3"/>
      <c r="F177" s="3"/>
      <c r="G177" s="3"/>
      <c r="H177" s="41"/>
      <c r="I177" s="3" t="s">
        <v>50</v>
      </c>
      <c r="J177" s="78"/>
      <c r="K177" s="78"/>
      <c r="L177" s="78" t="s">
        <v>52</v>
      </c>
      <c r="M177" s="78"/>
      <c r="N177" s="44" t="str">
        <f t="shared" si="18"/>
        <v/>
      </c>
      <c r="O177" s="45" t="s">
        <v>107</v>
      </c>
      <c r="P177" s="67"/>
      <c r="Q177" s="67"/>
      <c r="R177" s="68"/>
      <c r="S177" s="69"/>
      <c r="T177" s="82">
        <v>0.6875</v>
      </c>
      <c r="U177" s="82">
        <v>0.69444444444444453</v>
      </c>
      <c r="V177" s="97" t="s">
        <v>108</v>
      </c>
      <c r="W177" s="3"/>
      <c r="X177" s="72"/>
      <c r="Y177" s="99">
        <v>0.69097222222222221</v>
      </c>
      <c r="Z177" s="99">
        <v>0.69791666666666663</v>
      </c>
      <c r="AA177" s="63" t="s">
        <v>94</v>
      </c>
      <c r="AB177" s="73"/>
      <c r="AC177" s="50"/>
      <c r="AD177" s="106" t="s">
        <v>87</v>
      </c>
      <c r="AE177" s="3" t="str">
        <f t="shared" si="19"/>
        <v>-</v>
      </c>
      <c r="AF177" s="107">
        <v>0.69444444444444453</v>
      </c>
      <c r="AG177" s="110">
        <v>0.72569444444444453</v>
      </c>
      <c r="AH177" s="136"/>
      <c r="AI177" s="137"/>
      <c r="AJ177" s="3"/>
      <c r="AK177" s="3">
        <v>1</v>
      </c>
      <c r="AL177" s="3"/>
      <c r="AM177" s="4"/>
      <c r="AN177" s="4"/>
      <c r="AO177" s="3"/>
      <c r="AP177" s="4"/>
      <c r="AQ177" s="3"/>
      <c r="AR177" s="3"/>
      <c r="AS177" s="3"/>
    </row>
    <row r="178" spans="1:45" s="53" customFormat="1" ht="19.5" hidden="1" customHeight="1">
      <c r="A178" s="35">
        <f t="shared" si="22"/>
        <v>0</v>
      </c>
      <c r="B178" s="81"/>
      <c r="C178" s="3"/>
      <c r="D178" s="46"/>
      <c r="E178" s="3"/>
      <c r="F178" s="3"/>
      <c r="G178" s="3"/>
      <c r="H178" s="41"/>
      <c r="I178" s="3" t="s">
        <v>50</v>
      </c>
      <c r="J178" s="78"/>
      <c r="K178" s="78"/>
      <c r="L178" s="78" t="s">
        <v>52</v>
      </c>
      <c r="M178" s="78"/>
      <c r="N178" s="44" t="str">
        <f t="shared" si="18"/>
        <v/>
      </c>
      <c r="O178" s="45" t="s">
        <v>55</v>
      </c>
      <c r="P178" s="129"/>
      <c r="Q178" s="129"/>
      <c r="R178" s="130"/>
      <c r="S178" s="131"/>
      <c r="T178" s="132">
        <v>0.6875</v>
      </c>
      <c r="U178" s="132">
        <v>0.69444444444444453</v>
      </c>
      <c r="V178" s="71" t="s">
        <v>108</v>
      </c>
      <c r="W178" s="126"/>
      <c r="X178" s="84"/>
      <c r="Y178" s="85">
        <v>0.69097222222222221</v>
      </c>
      <c r="Z178" s="85">
        <v>0.69791666666666663</v>
      </c>
      <c r="AA178" s="71" t="s">
        <v>94</v>
      </c>
      <c r="AB178" s="127"/>
      <c r="AC178" s="50"/>
      <c r="AD178" s="84" t="s">
        <v>87</v>
      </c>
      <c r="AE178" s="126" t="str">
        <f t="shared" si="19"/>
        <v>-</v>
      </c>
      <c r="AF178" s="128">
        <v>0.69444444444444453</v>
      </c>
      <c r="AG178" s="138">
        <f ca="1">IF(AF178="","",IF($AF178+TIME(0,30,0)&lt;(TEXT(NOW(),"h:mm:ss")*1),$AF178+TIME(0,45,0),$AF178+TIME(0,30,0)))</f>
        <v>0.72569444444444453</v>
      </c>
      <c r="AH178" s="139"/>
      <c r="AI178" s="54"/>
      <c r="AJ178" s="3"/>
      <c r="AK178" s="3">
        <v>1</v>
      </c>
      <c r="AL178" s="3"/>
      <c r="AM178" s="4"/>
      <c r="AN178" s="4"/>
      <c r="AO178" s="3"/>
      <c r="AP178" s="4"/>
      <c r="AQ178" s="3"/>
      <c r="AR178" s="3"/>
      <c r="AS178" s="3"/>
    </row>
    <row r="179" spans="1:45" s="53" customFormat="1" ht="19.5" hidden="1" customHeight="1">
      <c r="A179" s="35">
        <f>A169</f>
        <v>0</v>
      </c>
      <c r="B179" s="81"/>
      <c r="C179" s="3"/>
      <c r="D179" s="46"/>
      <c r="E179" s="3"/>
      <c r="F179" s="3"/>
      <c r="G179" s="3"/>
      <c r="H179" s="41"/>
      <c r="I179" s="3"/>
      <c r="J179" s="78"/>
      <c r="K179" s="78"/>
      <c r="L179" s="78"/>
      <c r="M179" s="78"/>
      <c r="N179" s="44" t="str">
        <f t="shared" si="18"/>
        <v/>
      </c>
      <c r="O179" s="45"/>
      <c r="P179" s="46"/>
      <c r="Q179" s="46"/>
      <c r="R179" s="47"/>
      <c r="S179" s="48"/>
      <c r="T179" s="80"/>
      <c r="U179" s="80"/>
      <c r="V179" s="3"/>
      <c r="W179" s="3"/>
      <c r="X179" s="50"/>
      <c r="Y179" s="80"/>
      <c r="Z179" s="80"/>
      <c r="AA179" s="3"/>
      <c r="AC179" s="50"/>
      <c r="AD179" s="50"/>
      <c r="AE179" s="3" t="str">
        <f t="shared" si="19"/>
        <v>-</v>
      </c>
      <c r="AF179" s="51"/>
      <c r="AG179" s="52" t="str">
        <f ca="1">IF(AF179="","",IF($AF179+TIME(0,30,0)&lt;(TEXT(NOW(),"h:mm:ss")*1),$AF179+TIME(0,45,0),$AF179+TIME(0,30,0)))</f>
        <v/>
      </c>
      <c r="AI179" s="54"/>
      <c r="AJ179" s="3"/>
      <c r="AK179" s="3"/>
      <c r="AL179" s="3"/>
      <c r="AM179" s="4"/>
      <c r="AN179" s="4"/>
      <c r="AO179" s="3"/>
      <c r="AP179" s="4"/>
      <c r="AQ179" s="3"/>
      <c r="AR179" s="3"/>
      <c r="AS179" s="3"/>
    </row>
    <row r="180" spans="1:45" ht="19.5" hidden="1" customHeight="1">
      <c r="A180" s="35">
        <f>A170</f>
        <v>0</v>
      </c>
      <c r="P180" s="46"/>
      <c r="R180" s="47"/>
      <c r="AF180" s="51"/>
      <c r="AG180" s="52"/>
      <c r="AI180" s="54"/>
      <c r="AK180" s="3">
        <v>1</v>
      </c>
      <c r="AP180" s="4"/>
    </row>
    <row r="181" spans="1:45" ht="19.5" hidden="1" customHeight="1">
      <c r="A181" s="35">
        <f t="shared" si="22"/>
        <v>0</v>
      </c>
      <c r="B181" s="36"/>
      <c r="C181" s="37"/>
      <c r="D181" s="38" t="s">
        <v>93</v>
      </c>
      <c r="E181" s="37"/>
      <c r="F181" s="39"/>
      <c r="G181" s="40"/>
      <c r="I181" s="37" t="s">
        <v>50</v>
      </c>
      <c r="J181" s="43"/>
      <c r="K181" s="43"/>
      <c r="L181" s="43" t="s">
        <v>52</v>
      </c>
      <c r="M181" s="43"/>
      <c r="N181" s="44" t="str">
        <f t="shared" ref="N181:N189" si="24">IF(C181="","",C181)</f>
        <v/>
      </c>
      <c r="O181" s="45" t="s">
        <v>107</v>
      </c>
      <c r="P181" s="67"/>
      <c r="Q181" s="67"/>
      <c r="R181" s="68"/>
      <c r="S181" s="69"/>
      <c r="T181" s="79"/>
      <c r="U181" s="49"/>
      <c r="Y181" s="49"/>
      <c r="Z181" s="49"/>
      <c r="AE181" s="3" t="str">
        <f t="shared" ref="AE181:AE193" si="25">IF(OR(V181="電話不通 x2",V181="DS判断"),"DS確認→U列入力",IF(V181="希望","U列入力",IF(V181="拒否","DS確認",IF(V181="外国語","DS確認",IF(V181="電話不通 x1","ORM再架電","-")))))</f>
        <v>-</v>
      </c>
      <c r="AF181" s="51"/>
      <c r="AG181" s="52" t="str">
        <f ca="1">IF(AF181="","",IF($AF181+TIME(0,30,0)&lt;(TEXT(NOW(),"h:mm:ss")*1),$AF181+TIME(0,45,0),$AF181+TIME(0,30,0)))</f>
        <v/>
      </c>
      <c r="AI181" s="54"/>
      <c r="AK181" s="3">
        <v>1</v>
      </c>
      <c r="AP181" s="4"/>
    </row>
    <row r="182" spans="1:45" ht="19.5" hidden="1" customHeight="1">
      <c r="A182" s="35">
        <f t="shared" si="22"/>
        <v>0</v>
      </c>
      <c r="B182" s="36"/>
      <c r="C182" s="37"/>
      <c r="D182" s="38"/>
      <c r="E182" s="37"/>
      <c r="F182" s="39"/>
      <c r="G182" s="40"/>
      <c r="I182" s="37" t="s">
        <v>50</v>
      </c>
      <c r="J182" s="43"/>
      <c r="K182" s="43"/>
      <c r="L182" s="43" t="s">
        <v>52</v>
      </c>
      <c r="M182" s="43"/>
      <c r="N182" s="44" t="str">
        <f t="shared" si="24"/>
        <v/>
      </c>
      <c r="O182" s="45" t="s">
        <v>107</v>
      </c>
      <c r="P182" s="67"/>
      <c r="Q182" s="67"/>
      <c r="R182" s="68"/>
      <c r="S182" s="69"/>
      <c r="T182" s="82">
        <v>0.6875</v>
      </c>
      <c r="U182" s="79">
        <v>0.69444444444444453</v>
      </c>
      <c r="V182" s="83"/>
      <c r="Y182" s="49"/>
      <c r="Z182" s="49"/>
      <c r="AE182" s="3" t="str">
        <f t="shared" si="25"/>
        <v>-</v>
      </c>
      <c r="AF182" s="51"/>
      <c r="AG182" s="52" t="str">
        <f ca="1">IF(AF182="","",IF($AF182+TIME(0,30,0)&lt;(TEXT(NOW(),"h:mm:ss")*1),$AF182+TIME(0,45,0),$AF182+TIME(0,30,0)))</f>
        <v/>
      </c>
      <c r="AI182" s="54"/>
      <c r="AK182" s="3">
        <v>1</v>
      </c>
      <c r="AP182" s="4"/>
    </row>
    <row r="183" spans="1:45" ht="19.5" hidden="1" customHeight="1">
      <c r="A183" s="35">
        <f t="shared" si="22"/>
        <v>0</v>
      </c>
      <c r="B183" s="36"/>
      <c r="C183" s="37"/>
      <c r="D183" s="38"/>
      <c r="E183" s="37"/>
      <c r="F183" s="39"/>
      <c r="G183" s="40"/>
      <c r="I183" s="37" t="s">
        <v>50</v>
      </c>
      <c r="J183" s="43"/>
      <c r="K183" s="43"/>
      <c r="L183" s="43" t="s">
        <v>52</v>
      </c>
      <c r="M183" s="43"/>
      <c r="N183" s="44" t="str">
        <f t="shared" si="24"/>
        <v/>
      </c>
      <c r="O183" s="45" t="s">
        <v>107</v>
      </c>
      <c r="P183" s="67"/>
      <c r="Q183" s="67"/>
      <c r="R183" s="68"/>
      <c r="S183" s="69"/>
      <c r="T183" s="82">
        <v>0.6875</v>
      </c>
      <c r="U183" s="82">
        <v>0.69444444444444453</v>
      </c>
      <c r="V183" s="97" t="s">
        <v>108</v>
      </c>
      <c r="X183" s="72"/>
      <c r="Y183" s="79"/>
      <c r="Z183" s="49"/>
      <c r="AE183" s="3" t="str">
        <f t="shared" si="25"/>
        <v>-</v>
      </c>
      <c r="AF183" s="51"/>
      <c r="AG183" s="52" t="str">
        <f ca="1">IF(AF183="","",IF($AF183+TIME(0,30,0)&lt;(TEXT(NOW(),"h:mm:ss")*1),$AF183+TIME(0,45,0),$AF183+TIME(0,30,0)))</f>
        <v/>
      </c>
      <c r="AI183" s="54"/>
      <c r="AK183" s="3">
        <v>1</v>
      </c>
      <c r="AP183" s="4"/>
    </row>
    <row r="184" spans="1:45" ht="19.5" hidden="1" customHeight="1">
      <c r="A184" s="35">
        <f t="shared" si="22"/>
        <v>0</v>
      </c>
      <c r="C184" s="37"/>
      <c r="E184" s="37"/>
      <c r="F184" s="37"/>
      <c r="G184" s="37"/>
      <c r="I184" s="37" t="s">
        <v>50</v>
      </c>
      <c r="J184" s="43"/>
      <c r="K184" s="43"/>
      <c r="L184" s="43" t="s">
        <v>52</v>
      </c>
      <c r="N184" s="44" t="str">
        <f t="shared" si="24"/>
        <v/>
      </c>
      <c r="O184" s="45" t="s">
        <v>107</v>
      </c>
      <c r="P184" s="67"/>
      <c r="Q184" s="67"/>
      <c r="R184" s="68"/>
      <c r="S184" s="69"/>
      <c r="T184" s="82">
        <v>0.6875</v>
      </c>
      <c r="U184" s="82">
        <v>0.69444444444444453</v>
      </c>
      <c r="V184" s="97" t="s">
        <v>108</v>
      </c>
      <c r="X184" s="72"/>
      <c r="Y184" s="99">
        <v>0.69097222222222221</v>
      </c>
      <c r="Z184" s="100">
        <v>0.69791666666666663</v>
      </c>
      <c r="AA184" s="83"/>
      <c r="AB184" s="101"/>
      <c r="AE184" s="3" t="str">
        <f t="shared" si="25"/>
        <v>-</v>
      </c>
      <c r="AF184" s="51"/>
      <c r="AG184" s="52" t="str">
        <f ca="1">IF(AF184="","",IF($AF184+TIME(0,30,0)&lt;(TEXT(NOW(),"h:mm:ss")*1),$AF184+TIME(0,45,0),$AF184+TIME(0,30,0)))</f>
        <v/>
      </c>
      <c r="AI184" s="54"/>
      <c r="AK184" s="3">
        <v>1</v>
      </c>
      <c r="AP184" s="4"/>
    </row>
    <row r="185" spans="1:45" ht="19.5" hidden="1" customHeight="1">
      <c r="A185" s="35">
        <f t="shared" si="22"/>
        <v>0</v>
      </c>
      <c r="C185" s="102"/>
      <c r="I185" s="37" t="s">
        <v>50</v>
      </c>
      <c r="J185" s="43"/>
      <c r="K185" s="43"/>
      <c r="L185" s="43" t="s">
        <v>52</v>
      </c>
      <c r="N185" s="44" t="str">
        <f t="shared" si="24"/>
        <v/>
      </c>
      <c r="O185" s="45" t="s">
        <v>107</v>
      </c>
      <c r="P185" s="67"/>
      <c r="Q185" s="67"/>
      <c r="R185" s="68"/>
      <c r="S185" s="69"/>
      <c r="T185" s="82">
        <v>0.6875</v>
      </c>
      <c r="U185" s="82">
        <v>0.69444444444444453</v>
      </c>
      <c r="V185" s="97" t="s">
        <v>108</v>
      </c>
      <c r="X185" s="72"/>
      <c r="Y185" s="99">
        <v>0.69097222222222221</v>
      </c>
      <c r="Z185" s="99">
        <v>0.69791666666666663</v>
      </c>
      <c r="AA185" s="89" t="s">
        <v>109</v>
      </c>
      <c r="AB185" s="73"/>
      <c r="AC185" s="103"/>
      <c r="AD185" s="103"/>
      <c r="AE185" s="3" t="str">
        <f t="shared" si="25"/>
        <v>-</v>
      </c>
      <c r="AF185" s="105"/>
      <c r="AG185" s="52" t="str">
        <f ca="1">IF(AF185="","",IF($AF185+TIME(0,30,0)&lt;(TEXT(NOW(),"h:mm:ss")*1),$AF185+TIME(0,45,0),$AF185+TIME(0,30,0)))</f>
        <v/>
      </c>
      <c r="AI185" s="54"/>
      <c r="AK185" s="3">
        <v>1</v>
      </c>
      <c r="AP185" s="4"/>
    </row>
    <row r="186" spans="1:45" ht="19.5" hidden="1" customHeight="1">
      <c r="A186" s="35">
        <f t="shared" si="22"/>
        <v>0</v>
      </c>
      <c r="C186" s="102"/>
      <c r="I186" s="37" t="s">
        <v>50</v>
      </c>
      <c r="J186" s="43"/>
      <c r="K186" s="43"/>
      <c r="L186" s="43" t="s">
        <v>52</v>
      </c>
      <c r="N186" s="44" t="str">
        <f t="shared" si="24"/>
        <v/>
      </c>
      <c r="O186" s="45" t="s">
        <v>107</v>
      </c>
      <c r="P186" s="67"/>
      <c r="Q186" s="67"/>
      <c r="R186" s="68"/>
      <c r="S186" s="69"/>
      <c r="T186" s="82">
        <v>0.6875</v>
      </c>
      <c r="U186" s="82">
        <v>0.69444444444444453</v>
      </c>
      <c r="V186" s="97" t="s">
        <v>108</v>
      </c>
      <c r="X186" s="72"/>
      <c r="Y186" s="99">
        <v>0.69097222222222221</v>
      </c>
      <c r="Z186" s="99">
        <v>0.69791666666666663</v>
      </c>
      <c r="AA186" s="97" t="s">
        <v>92</v>
      </c>
      <c r="AB186" s="73"/>
      <c r="AD186" s="50" t="s">
        <v>87</v>
      </c>
      <c r="AE186" s="3" t="str">
        <f t="shared" si="25"/>
        <v>-</v>
      </c>
      <c r="AF186" s="107">
        <v>0.69444444444444453</v>
      </c>
      <c r="AG186" s="52">
        <v>0.71527777777777779</v>
      </c>
      <c r="AI186" s="54"/>
      <c r="AK186" s="3">
        <v>1</v>
      </c>
      <c r="AP186" s="4"/>
    </row>
    <row r="187" spans="1:45" ht="19.5" hidden="1" customHeight="1">
      <c r="A187" s="35">
        <f t="shared" si="22"/>
        <v>0</v>
      </c>
      <c r="C187" s="102"/>
      <c r="I187" s="3" t="s">
        <v>50</v>
      </c>
      <c r="L187" s="78" t="s">
        <v>52</v>
      </c>
      <c r="N187" s="44" t="str">
        <f t="shared" si="24"/>
        <v/>
      </c>
      <c r="O187" s="45" t="s">
        <v>107</v>
      </c>
      <c r="P187" s="67"/>
      <c r="Q187" s="67"/>
      <c r="R187" s="68"/>
      <c r="S187" s="69"/>
      <c r="T187" s="82">
        <v>0.6875</v>
      </c>
      <c r="U187" s="82">
        <v>0.69444444444444453</v>
      </c>
      <c r="V187" s="97" t="s">
        <v>108</v>
      </c>
      <c r="X187" s="72"/>
      <c r="Y187" s="99">
        <v>0.69097222222222221</v>
      </c>
      <c r="Z187" s="99">
        <v>0.69791666666666663</v>
      </c>
      <c r="AA187" s="97" t="s">
        <v>92</v>
      </c>
      <c r="AB187" s="73"/>
      <c r="AD187" s="50" t="s">
        <v>87</v>
      </c>
      <c r="AE187" s="3" t="str">
        <f t="shared" si="25"/>
        <v>-</v>
      </c>
      <c r="AF187" s="107">
        <v>0.69444444444444453</v>
      </c>
      <c r="AG187" s="108">
        <v>0.72569444444444453</v>
      </c>
      <c r="AH187" s="101"/>
      <c r="AI187" s="54"/>
      <c r="AK187" s="3">
        <v>1</v>
      </c>
      <c r="AP187" s="4"/>
    </row>
    <row r="188" spans="1:45" s="53" customFormat="1" ht="19.5" hidden="1" customHeight="1">
      <c r="A188" s="35">
        <f t="shared" si="22"/>
        <v>0</v>
      </c>
      <c r="B188" s="81"/>
      <c r="C188" s="102"/>
      <c r="D188" s="46"/>
      <c r="E188" s="3"/>
      <c r="F188" s="3"/>
      <c r="G188" s="3"/>
      <c r="H188" s="41"/>
      <c r="I188" s="3" t="s">
        <v>50</v>
      </c>
      <c r="J188" s="78"/>
      <c r="K188" s="78"/>
      <c r="L188" s="78" t="s">
        <v>52</v>
      </c>
      <c r="M188" s="78"/>
      <c r="N188" s="44" t="str">
        <f t="shared" si="24"/>
        <v/>
      </c>
      <c r="O188" s="45" t="s">
        <v>107</v>
      </c>
      <c r="P188" s="67" t="s">
        <v>110</v>
      </c>
      <c r="Q188" s="67"/>
      <c r="R188" s="68"/>
      <c r="S188" s="69"/>
      <c r="T188" s="82">
        <v>0.6875</v>
      </c>
      <c r="U188" s="82">
        <v>0.69444444444444453</v>
      </c>
      <c r="V188" s="97" t="s">
        <v>108</v>
      </c>
      <c r="W188" s="3"/>
      <c r="X188" s="72"/>
      <c r="Y188" s="99">
        <v>0.69097222222222221</v>
      </c>
      <c r="Z188" s="99">
        <v>0.69791666666666663</v>
      </c>
      <c r="AA188" s="63" t="s">
        <v>94</v>
      </c>
      <c r="AB188" s="73"/>
      <c r="AC188" s="50"/>
      <c r="AD188" s="50" t="s">
        <v>87</v>
      </c>
      <c r="AE188" s="3" t="str">
        <f t="shared" si="25"/>
        <v>-</v>
      </c>
      <c r="AF188" s="107">
        <v>0.69444444444444453</v>
      </c>
      <c r="AG188" s="110">
        <v>0.72569444444444453</v>
      </c>
      <c r="AH188" s="121"/>
      <c r="AI188" s="137"/>
      <c r="AJ188" s="3"/>
      <c r="AK188" s="3">
        <v>1</v>
      </c>
      <c r="AL188" s="3"/>
      <c r="AM188" s="4"/>
      <c r="AN188" s="4"/>
      <c r="AO188" s="3"/>
      <c r="AP188" s="4"/>
      <c r="AQ188" s="3"/>
      <c r="AR188" s="3"/>
      <c r="AS188" s="3"/>
    </row>
    <row r="189" spans="1:45" s="53" customFormat="1" ht="19.5" hidden="1" customHeight="1">
      <c r="A189" s="35">
        <f t="shared" si="22"/>
        <v>0</v>
      </c>
      <c r="B189" s="81"/>
      <c r="C189" s="3"/>
      <c r="D189" s="46"/>
      <c r="E189" s="3"/>
      <c r="F189" s="3"/>
      <c r="G189" s="3"/>
      <c r="H189" s="41"/>
      <c r="I189" s="3" t="s">
        <v>50</v>
      </c>
      <c r="J189" s="78"/>
      <c r="K189" s="78"/>
      <c r="L189" s="78" t="s">
        <v>52</v>
      </c>
      <c r="M189" s="78"/>
      <c r="N189" s="44" t="str">
        <f t="shared" si="24"/>
        <v/>
      </c>
      <c r="O189" s="45" t="s">
        <v>95</v>
      </c>
      <c r="P189" s="95"/>
      <c r="Q189" s="95"/>
      <c r="R189" s="47"/>
      <c r="S189" s="48"/>
      <c r="T189" s="82">
        <v>0.6875</v>
      </c>
      <c r="U189" s="82">
        <v>0.69444444444444453</v>
      </c>
      <c r="V189" s="97" t="s">
        <v>108</v>
      </c>
      <c r="W189" s="3"/>
      <c r="X189" s="84"/>
      <c r="Y189" s="99">
        <v>0.69097222222222221</v>
      </c>
      <c r="Z189" s="99">
        <v>0.69791666666666663</v>
      </c>
      <c r="AA189" s="83" t="s">
        <v>94</v>
      </c>
      <c r="AB189" s="73"/>
      <c r="AC189" s="50"/>
      <c r="AD189" s="118" t="s">
        <v>87</v>
      </c>
      <c r="AE189" s="83" t="str">
        <f t="shared" si="25"/>
        <v>-</v>
      </c>
      <c r="AF189" s="105">
        <v>0.69444444444444453</v>
      </c>
      <c r="AG189" s="110">
        <v>0.72569444444444453</v>
      </c>
      <c r="AH189" s="121"/>
      <c r="AI189" s="54"/>
      <c r="AJ189" s="3"/>
      <c r="AK189" s="3"/>
      <c r="AL189" s="3"/>
      <c r="AM189" s="4"/>
      <c r="AN189" s="4"/>
      <c r="AO189" s="3"/>
      <c r="AP189" s="4"/>
      <c r="AQ189" s="3"/>
      <c r="AR189" s="3"/>
      <c r="AS189" s="3"/>
    </row>
    <row r="190" spans="1:45" s="53" customFormat="1" ht="19.5" hidden="1" customHeight="1">
      <c r="A190" s="35">
        <f t="shared" si="22"/>
        <v>0</v>
      </c>
      <c r="B190" s="81"/>
      <c r="C190" s="3"/>
      <c r="D190" s="46"/>
      <c r="E190" s="3"/>
      <c r="F190" s="3"/>
      <c r="G190" s="3"/>
      <c r="H190" s="41"/>
      <c r="I190" s="3" t="s">
        <v>50</v>
      </c>
      <c r="J190" s="78"/>
      <c r="K190" s="78"/>
      <c r="L190" s="78" t="s">
        <v>52</v>
      </c>
      <c r="M190" s="78"/>
      <c r="N190" s="44"/>
      <c r="O190" s="45" t="s">
        <v>95</v>
      </c>
      <c r="P190" s="96" t="s">
        <v>56</v>
      </c>
      <c r="Q190" s="96">
        <v>10</v>
      </c>
      <c r="R190" s="47"/>
      <c r="S190" s="48"/>
      <c r="T190" s="82">
        <v>0.6875</v>
      </c>
      <c r="U190" s="82">
        <v>0.69444444444444453</v>
      </c>
      <c r="V190" s="97" t="s">
        <v>108</v>
      </c>
      <c r="W190" s="3"/>
      <c r="X190" s="118"/>
      <c r="Y190" s="99">
        <v>0.69097222222222221</v>
      </c>
      <c r="Z190" s="99">
        <v>0.69791666666666663</v>
      </c>
      <c r="AA190" s="83" t="s">
        <v>94</v>
      </c>
      <c r="AB190" s="73"/>
      <c r="AC190" s="50"/>
      <c r="AD190" s="118" t="s">
        <v>87</v>
      </c>
      <c r="AE190" s="83" t="str">
        <f t="shared" si="25"/>
        <v>-</v>
      </c>
      <c r="AF190" s="105">
        <v>0.69444444444444453</v>
      </c>
      <c r="AG190" s="110">
        <v>0.72569444444444453</v>
      </c>
      <c r="AH190" s="121"/>
      <c r="AI190" s="54"/>
      <c r="AJ190" s="3"/>
      <c r="AK190" s="3"/>
      <c r="AL190" s="3"/>
      <c r="AM190" s="4"/>
      <c r="AN190" s="4"/>
      <c r="AO190" s="3"/>
      <c r="AP190" s="4"/>
      <c r="AQ190" s="3"/>
      <c r="AR190" s="3"/>
      <c r="AS190" s="3"/>
    </row>
    <row r="191" spans="1:45" s="53" customFormat="1" ht="19.5" hidden="1" customHeight="1">
      <c r="A191" s="35">
        <f t="shared" si="22"/>
        <v>0</v>
      </c>
      <c r="B191" s="81"/>
      <c r="C191" s="3"/>
      <c r="D191" s="46"/>
      <c r="E191" s="3"/>
      <c r="F191" s="3"/>
      <c r="G191" s="3"/>
      <c r="H191" s="41"/>
      <c r="I191" s="3" t="s">
        <v>50</v>
      </c>
      <c r="J191" s="78"/>
      <c r="K191" s="78"/>
      <c r="L191" s="78" t="s">
        <v>52</v>
      </c>
      <c r="M191" s="78"/>
      <c r="N191" s="44"/>
      <c r="O191" s="45" t="s">
        <v>95</v>
      </c>
      <c r="P191" s="116" t="s">
        <v>56</v>
      </c>
      <c r="Q191" s="116">
        <v>10</v>
      </c>
      <c r="R191" s="47"/>
      <c r="S191" s="48"/>
      <c r="T191" s="82">
        <v>0.6875</v>
      </c>
      <c r="U191" s="82">
        <v>0.69444444444444453</v>
      </c>
      <c r="V191" s="97" t="s">
        <v>108</v>
      </c>
      <c r="W191" s="3"/>
      <c r="X191" s="117" t="s">
        <v>96</v>
      </c>
      <c r="Y191" s="99">
        <v>0.69097222222222221</v>
      </c>
      <c r="Z191" s="99">
        <v>0.69791666666666663</v>
      </c>
      <c r="AA191" s="89" t="s">
        <v>97</v>
      </c>
      <c r="AB191" s="73"/>
      <c r="AC191" s="50"/>
      <c r="AD191" s="118" t="s">
        <v>87</v>
      </c>
      <c r="AE191" s="83" t="str">
        <f t="shared" si="25"/>
        <v>-</v>
      </c>
      <c r="AF191" s="105">
        <v>0.69444444444444453</v>
      </c>
      <c r="AG191" s="110">
        <v>0.72569444444444453</v>
      </c>
      <c r="AH191" s="121"/>
      <c r="AI191" s="54"/>
      <c r="AJ191" s="3"/>
      <c r="AK191" s="3"/>
      <c r="AL191" s="3"/>
      <c r="AM191" s="4"/>
      <c r="AN191" s="4"/>
      <c r="AO191" s="3"/>
      <c r="AP191" s="4"/>
      <c r="AQ191" s="3"/>
      <c r="AR191" s="3"/>
      <c r="AS191" s="3"/>
    </row>
    <row r="192" spans="1:45" s="53" customFormat="1" ht="19.5" hidden="1" customHeight="1">
      <c r="A192" s="35">
        <f t="shared" si="22"/>
        <v>0</v>
      </c>
      <c r="B192" s="81"/>
      <c r="C192" s="3"/>
      <c r="D192" s="46"/>
      <c r="E192" s="3"/>
      <c r="F192" s="3"/>
      <c r="G192" s="3"/>
      <c r="H192" s="41"/>
      <c r="I192" s="3" t="s">
        <v>50</v>
      </c>
      <c r="J192" s="78"/>
      <c r="K192" s="78"/>
      <c r="L192" s="78" t="s">
        <v>52</v>
      </c>
      <c r="M192" s="78"/>
      <c r="N192" s="44"/>
      <c r="O192" s="45" t="s">
        <v>95</v>
      </c>
      <c r="P192" s="96" t="s">
        <v>56</v>
      </c>
      <c r="Q192" s="96">
        <v>10</v>
      </c>
      <c r="R192" s="47"/>
      <c r="S192" s="48"/>
      <c r="T192" s="82">
        <v>0.6875</v>
      </c>
      <c r="U192" s="82">
        <v>0.69444444444444453</v>
      </c>
      <c r="V192" s="97" t="s">
        <v>108</v>
      </c>
      <c r="W192" s="3"/>
      <c r="X192" s="124" t="s">
        <v>96</v>
      </c>
      <c r="Y192" s="99">
        <v>0.69097222222222221</v>
      </c>
      <c r="Z192" s="99">
        <v>0.69791666666666663</v>
      </c>
      <c r="AA192" s="125" t="s">
        <v>98</v>
      </c>
      <c r="AB192" s="73"/>
      <c r="AC192" s="50"/>
      <c r="AD192" s="106" t="s">
        <v>87</v>
      </c>
      <c r="AE192" s="83" t="str">
        <f t="shared" si="25"/>
        <v>-</v>
      </c>
      <c r="AF192" s="107">
        <v>0.73263888888888884</v>
      </c>
      <c r="AG192" s="52">
        <f ca="1">IF(AF192="","",IF($AF192+TIME(0,30,0)&lt;(TEXT(NOW(),"h:mm:ss")*1),$AF192+TIME(0,45,0),$AF192+TIME(0,30,0)))</f>
        <v>0.75347222222222221</v>
      </c>
      <c r="AI192" s="54"/>
      <c r="AJ192" s="3"/>
      <c r="AK192" s="3"/>
      <c r="AL192" s="3"/>
      <c r="AM192" s="4"/>
      <c r="AN192" s="4"/>
      <c r="AO192" s="3"/>
      <c r="AP192" s="4"/>
      <c r="AQ192" s="3"/>
      <c r="AR192" s="3"/>
      <c r="AS192" s="3"/>
    </row>
    <row r="193" spans="1:45" s="53" customFormat="1" ht="19.5" hidden="1" customHeight="1">
      <c r="A193" s="35">
        <f t="shared" si="22"/>
        <v>0</v>
      </c>
      <c r="B193" s="81"/>
      <c r="C193" s="3"/>
      <c r="D193" s="46"/>
      <c r="E193" s="3"/>
      <c r="F193" s="3"/>
      <c r="G193" s="3"/>
      <c r="H193" s="41"/>
      <c r="I193" s="3" t="s">
        <v>50</v>
      </c>
      <c r="J193" s="78"/>
      <c r="K193" s="78"/>
      <c r="L193" s="78" t="s">
        <v>52</v>
      </c>
      <c r="M193" s="78"/>
      <c r="N193" s="44"/>
      <c r="O193" s="45" t="s">
        <v>95</v>
      </c>
      <c r="P193" s="96" t="s">
        <v>56</v>
      </c>
      <c r="Q193" s="96">
        <v>10</v>
      </c>
      <c r="R193" s="47"/>
      <c r="S193" s="48"/>
      <c r="T193" s="82">
        <v>0.6875</v>
      </c>
      <c r="U193" s="82">
        <v>0.69444444444444453</v>
      </c>
      <c r="V193" s="97" t="s">
        <v>108</v>
      </c>
      <c r="W193" s="3"/>
      <c r="X193" s="124" t="s">
        <v>96</v>
      </c>
      <c r="Y193" s="99">
        <v>0.69097222222222221</v>
      </c>
      <c r="Z193" s="99">
        <v>0.69791666666666663</v>
      </c>
      <c r="AA193" s="125" t="s">
        <v>98</v>
      </c>
      <c r="AB193" s="73"/>
      <c r="AC193" s="50"/>
      <c r="AD193" s="106" t="s">
        <v>87</v>
      </c>
      <c r="AE193" s="83" t="str">
        <f t="shared" si="25"/>
        <v>-</v>
      </c>
      <c r="AF193" s="107">
        <v>0.73263888888888884</v>
      </c>
      <c r="AG193" s="112">
        <v>0.75694444444444453</v>
      </c>
      <c r="AH193" s="113">
        <v>10</v>
      </c>
      <c r="AI193" s="54"/>
      <c r="AJ193" s="3"/>
      <c r="AK193" s="3"/>
      <c r="AL193" s="3"/>
      <c r="AM193" s="4"/>
      <c r="AN193" s="4"/>
      <c r="AO193" s="3"/>
      <c r="AP193" s="4"/>
      <c r="AQ193" s="3"/>
      <c r="AR193" s="3"/>
      <c r="AS193" s="3"/>
    </row>
    <row r="194" spans="1:45" ht="19.5" hidden="1" customHeight="1">
      <c r="A194" s="35">
        <f t="shared" si="22"/>
        <v>0</v>
      </c>
      <c r="P194" s="46"/>
      <c r="R194" s="47"/>
      <c r="AF194" s="51"/>
      <c r="AG194" s="52"/>
      <c r="AI194" s="54"/>
      <c r="AK194" s="3">
        <v>1</v>
      </c>
      <c r="AP194" s="4"/>
    </row>
    <row r="195" spans="1:45" ht="19.5" hidden="1" customHeight="1">
      <c r="A195" s="35">
        <f>A179</f>
        <v>0</v>
      </c>
      <c r="C195" s="102"/>
      <c r="N195" s="44" t="str">
        <f t="shared" ref="N195:N201" si="26">IF(C195="","",C195)</f>
        <v/>
      </c>
      <c r="P195" s="46"/>
      <c r="R195" s="47"/>
      <c r="AE195" s="3" t="str">
        <f t="shared" ref="AE195:AE201" si="27">IF(OR(V195="電話不通 x2",V195="DS判断"),"DS確認→U列入力",IF(V195="希望","U列入力",IF(V195="拒否","DS確認",IF(V195="外国語","DS確認",IF(V195="電話不通 x1","ORM再架電","-")))))</f>
        <v>-</v>
      </c>
      <c r="AF195" s="51"/>
      <c r="AG195" s="52" t="str">
        <f t="shared" ref="AG195:AG201" ca="1" si="28">IF(AF195="","",IF($AF195+TIME(0,30,0)&lt;(TEXT(NOW(),"h:mm:ss")*1),$AF195+TIME(0,45,0),$AF195+TIME(0,30,0)))</f>
        <v/>
      </c>
      <c r="AI195" s="54"/>
      <c r="AK195" s="3">
        <v>1</v>
      </c>
      <c r="AP195" s="4"/>
    </row>
    <row r="196" spans="1:45" ht="19.5" hidden="1" customHeight="1">
      <c r="A196" s="35">
        <f t="shared" ref="A196:A203" si="29">A195</f>
        <v>0</v>
      </c>
      <c r="C196" s="102"/>
      <c r="D196" s="38" t="s">
        <v>103</v>
      </c>
      <c r="I196" s="37" t="s">
        <v>50</v>
      </c>
      <c r="J196" s="43"/>
      <c r="K196" s="43"/>
      <c r="L196" s="43" t="s">
        <v>52</v>
      </c>
      <c r="N196" s="44" t="str">
        <f t="shared" si="26"/>
        <v/>
      </c>
      <c r="O196" s="45" t="s">
        <v>107</v>
      </c>
      <c r="P196" s="67"/>
      <c r="Q196" s="67"/>
      <c r="R196" s="68"/>
      <c r="S196" s="69"/>
      <c r="T196" s="79"/>
      <c r="U196" s="49"/>
      <c r="Y196" s="49"/>
      <c r="Z196" s="49"/>
      <c r="AE196" s="3" t="str">
        <f t="shared" si="27"/>
        <v>-</v>
      </c>
      <c r="AF196" s="51"/>
      <c r="AG196" s="52" t="str">
        <f t="shared" ca="1" si="28"/>
        <v/>
      </c>
      <c r="AI196" s="54"/>
      <c r="AK196" s="3">
        <v>1</v>
      </c>
      <c r="AP196" s="4"/>
    </row>
    <row r="197" spans="1:45" ht="19.5" hidden="1" customHeight="1">
      <c r="A197" s="35">
        <f t="shared" si="29"/>
        <v>0</v>
      </c>
      <c r="C197" s="102"/>
      <c r="I197" s="37" t="s">
        <v>50</v>
      </c>
      <c r="J197" s="43"/>
      <c r="K197" s="43"/>
      <c r="L197" s="43" t="s">
        <v>52</v>
      </c>
      <c r="N197" s="44" t="str">
        <f t="shared" si="26"/>
        <v/>
      </c>
      <c r="O197" s="45" t="s">
        <v>107</v>
      </c>
      <c r="P197" s="67"/>
      <c r="Q197" s="67"/>
      <c r="R197" s="68"/>
      <c r="S197" s="69"/>
      <c r="T197" s="82">
        <v>0.6875</v>
      </c>
      <c r="U197" s="79">
        <v>0.69444444444444453</v>
      </c>
      <c r="V197" s="83"/>
      <c r="Y197" s="49"/>
      <c r="Z197" s="49"/>
      <c r="AE197" s="3" t="str">
        <f t="shared" si="27"/>
        <v>-</v>
      </c>
      <c r="AF197" s="51"/>
      <c r="AG197" s="52" t="str">
        <f t="shared" ca="1" si="28"/>
        <v/>
      </c>
      <c r="AI197" s="54"/>
      <c r="AK197" s="3">
        <v>1</v>
      </c>
      <c r="AP197" s="4"/>
    </row>
    <row r="198" spans="1:45" ht="19.5" hidden="1" customHeight="1">
      <c r="A198" s="35">
        <f t="shared" si="29"/>
        <v>0</v>
      </c>
      <c r="C198" s="102"/>
      <c r="I198" s="37" t="s">
        <v>50</v>
      </c>
      <c r="J198" s="43"/>
      <c r="K198" s="43"/>
      <c r="L198" s="43" t="s">
        <v>52</v>
      </c>
      <c r="N198" s="44" t="str">
        <f t="shared" si="26"/>
        <v/>
      </c>
      <c r="O198" s="45" t="s">
        <v>107</v>
      </c>
      <c r="P198" s="67"/>
      <c r="Q198" s="67"/>
      <c r="R198" s="68"/>
      <c r="S198" s="69"/>
      <c r="T198" s="82">
        <v>0.6875</v>
      </c>
      <c r="U198" s="82">
        <v>0.69444444444444453</v>
      </c>
      <c r="V198" s="97" t="s">
        <v>108</v>
      </c>
      <c r="X198" s="106" t="s">
        <v>90</v>
      </c>
      <c r="Y198" s="132"/>
      <c r="Z198" s="132"/>
      <c r="AE198" s="3" t="str">
        <f t="shared" si="27"/>
        <v>-</v>
      </c>
      <c r="AF198" s="51"/>
      <c r="AG198" s="52" t="str">
        <f t="shared" ca="1" si="28"/>
        <v/>
      </c>
      <c r="AI198" s="54"/>
      <c r="AK198" s="3">
        <v>1</v>
      </c>
      <c r="AP198" s="4"/>
    </row>
    <row r="199" spans="1:45" ht="19.5" hidden="1" customHeight="1">
      <c r="A199" s="35">
        <f t="shared" si="29"/>
        <v>0</v>
      </c>
      <c r="D199" s="116"/>
      <c r="I199" s="89" t="s">
        <v>50</v>
      </c>
      <c r="J199" s="90"/>
      <c r="K199" s="43"/>
      <c r="L199" s="90" t="s">
        <v>52</v>
      </c>
      <c r="M199" s="123"/>
      <c r="N199" s="44" t="str">
        <f t="shared" si="26"/>
        <v/>
      </c>
      <c r="O199" s="45" t="s">
        <v>107</v>
      </c>
      <c r="P199" s="67"/>
      <c r="Q199" s="67"/>
      <c r="R199" s="68"/>
      <c r="S199" s="69"/>
      <c r="T199" s="82">
        <v>0.6875</v>
      </c>
      <c r="U199" s="82">
        <v>0.69444444444444453</v>
      </c>
      <c r="V199" s="97" t="s">
        <v>108</v>
      </c>
      <c r="X199" s="117" t="s">
        <v>90</v>
      </c>
      <c r="Y199" s="85"/>
      <c r="Z199" s="85"/>
      <c r="AA199" s="89" t="s">
        <v>109</v>
      </c>
      <c r="AB199" s="101"/>
      <c r="AE199" s="3" t="str">
        <f t="shared" si="27"/>
        <v>-</v>
      </c>
      <c r="AF199" s="51"/>
      <c r="AG199" s="52" t="str">
        <f t="shared" ca="1" si="28"/>
        <v/>
      </c>
      <c r="AI199" s="54"/>
      <c r="AK199" s="3">
        <v>1</v>
      </c>
      <c r="AP199" s="4"/>
    </row>
    <row r="200" spans="1:45" ht="19.5" hidden="1" customHeight="1">
      <c r="A200" s="35">
        <f t="shared" si="29"/>
        <v>0</v>
      </c>
      <c r="C200" s="102"/>
      <c r="I200" s="37" t="s">
        <v>50</v>
      </c>
      <c r="J200" s="43"/>
      <c r="K200" s="43"/>
      <c r="L200" s="43" t="s">
        <v>52</v>
      </c>
      <c r="N200" s="44" t="str">
        <f t="shared" si="26"/>
        <v/>
      </c>
      <c r="O200" s="45" t="s">
        <v>107</v>
      </c>
      <c r="P200" s="67"/>
      <c r="Q200" s="67"/>
      <c r="R200" s="68"/>
      <c r="S200" s="69"/>
      <c r="T200" s="82">
        <v>0.6875</v>
      </c>
      <c r="U200" s="82">
        <v>0.69444444444444453</v>
      </c>
      <c r="V200" s="97" t="s">
        <v>108</v>
      </c>
      <c r="X200" s="106" t="s">
        <v>90</v>
      </c>
      <c r="Y200" s="85"/>
      <c r="Z200" s="85"/>
      <c r="AA200" s="97" t="s">
        <v>104</v>
      </c>
      <c r="AB200" s="73"/>
      <c r="AC200" s="140"/>
      <c r="AD200" s="141" t="s">
        <v>111</v>
      </c>
      <c r="AE200" s="3" t="str">
        <f t="shared" si="27"/>
        <v>-</v>
      </c>
      <c r="AF200" s="51"/>
      <c r="AG200" s="52" t="str">
        <f t="shared" ca="1" si="28"/>
        <v/>
      </c>
      <c r="AI200" s="54"/>
      <c r="AK200" s="3">
        <v>1</v>
      </c>
      <c r="AP200" s="4"/>
    </row>
    <row r="201" spans="1:45" s="53" customFormat="1" ht="19.5" hidden="1" customHeight="1">
      <c r="A201" s="35">
        <f t="shared" si="29"/>
        <v>0</v>
      </c>
      <c r="B201" s="81"/>
      <c r="C201" s="102"/>
      <c r="D201" s="46"/>
      <c r="E201" s="3"/>
      <c r="F201" s="3"/>
      <c r="G201" s="3"/>
      <c r="H201" s="41"/>
      <c r="I201" s="37"/>
      <c r="J201" s="43"/>
      <c r="K201" s="43"/>
      <c r="L201" s="43"/>
      <c r="M201" s="78"/>
      <c r="N201" s="44" t="str">
        <f t="shared" si="26"/>
        <v/>
      </c>
      <c r="O201" s="45"/>
      <c r="P201" s="46"/>
      <c r="Q201" s="46"/>
      <c r="R201" s="47"/>
      <c r="S201" s="48"/>
      <c r="T201" s="80"/>
      <c r="U201" s="80"/>
      <c r="V201" s="3"/>
      <c r="W201" s="3"/>
      <c r="X201" s="50"/>
      <c r="Y201" s="80"/>
      <c r="Z201" s="80"/>
      <c r="AA201" s="3"/>
      <c r="AC201" s="140"/>
      <c r="AD201" s="141" t="s">
        <v>112</v>
      </c>
      <c r="AE201" s="3" t="str">
        <f t="shared" si="27"/>
        <v>-</v>
      </c>
      <c r="AF201" s="51"/>
      <c r="AG201" s="52" t="str">
        <f t="shared" ca="1" si="28"/>
        <v/>
      </c>
      <c r="AI201" s="54"/>
      <c r="AJ201" s="3"/>
      <c r="AK201" s="3"/>
      <c r="AL201" s="3"/>
      <c r="AM201" s="4"/>
      <c r="AN201" s="4"/>
      <c r="AO201" s="3"/>
      <c r="AP201" s="4"/>
      <c r="AQ201" s="3"/>
      <c r="AR201" s="3"/>
      <c r="AS201" s="3"/>
    </row>
    <row r="202" spans="1:45" s="53" customFormat="1" ht="19.5" hidden="1" customHeight="1">
      <c r="A202" s="35">
        <f t="shared" si="29"/>
        <v>0</v>
      </c>
      <c r="B202" s="81"/>
      <c r="C202" s="3"/>
      <c r="D202" s="46"/>
      <c r="E202" s="3"/>
      <c r="F202" s="3"/>
      <c r="G202" s="3"/>
      <c r="H202" s="41"/>
      <c r="I202" s="3"/>
      <c r="J202" s="78"/>
      <c r="K202" s="78"/>
      <c r="L202" s="78"/>
      <c r="M202" s="78"/>
      <c r="N202" s="44"/>
      <c r="O202" s="45"/>
      <c r="P202" s="46"/>
      <c r="Q202" s="46"/>
      <c r="R202" s="47"/>
      <c r="S202" s="48"/>
      <c r="T202" s="80"/>
      <c r="U202" s="80"/>
      <c r="V202" s="3"/>
      <c r="W202" s="3"/>
      <c r="X202" s="50"/>
      <c r="Y202" s="80"/>
      <c r="Z202" s="80"/>
      <c r="AA202" s="3"/>
      <c r="AC202" s="50"/>
      <c r="AD202" s="50"/>
      <c r="AE202" s="3"/>
      <c r="AF202" s="51"/>
      <c r="AG202" s="52"/>
      <c r="AI202" s="54"/>
      <c r="AJ202" s="3"/>
      <c r="AK202" s="3">
        <v>1</v>
      </c>
      <c r="AL202" s="3"/>
      <c r="AM202" s="4"/>
      <c r="AN202" s="4"/>
      <c r="AO202" s="3"/>
      <c r="AP202" s="4"/>
      <c r="AQ202" s="3"/>
      <c r="AR202" s="3"/>
      <c r="AS202" s="3"/>
    </row>
    <row r="203" spans="1:45" s="53" customFormat="1" ht="19.5" hidden="1" customHeight="1">
      <c r="A203" s="35">
        <f t="shared" si="29"/>
        <v>0</v>
      </c>
      <c r="B203" s="81"/>
      <c r="C203" s="3"/>
      <c r="D203" s="142" t="s">
        <v>113</v>
      </c>
      <c r="E203" s="3"/>
      <c r="F203" s="3"/>
      <c r="G203" s="3"/>
      <c r="H203" s="41"/>
      <c r="I203" s="37" t="s">
        <v>50</v>
      </c>
      <c r="J203" s="43"/>
      <c r="K203" s="43"/>
      <c r="L203" s="43" t="s">
        <v>52</v>
      </c>
      <c r="M203" s="78"/>
      <c r="N203" s="44" t="str">
        <f t="shared" ref="N203:N211" si="30">IF(C203="","",C203)</f>
        <v/>
      </c>
      <c r="O203" s="45" t="s">
        <v>107</v>
      </c>
      <c r="P203" s="67"/>
      <c r="Q203" s="67"/>
      <c r="R203" s="68"/>
      <c r="S203" s="69"/>
      <c r="T203" s="79"/>
      <c r="U203" s="49"/>
      <c r="V203" s="3"/>
      <c r="W203" s="3"/>
      <c r="X203" s="50"/>
      <c r="Y203" s="80"/>
      <c r="Z203" s="80"/>
      <c r="AA203" s="3"/>
      <c r="AC203" s="50"/>
      <c r="AD203" s="50"/>
      <c r="AE203" s="3" t="str">
        <f t="shared" ref="AE203:AE211" si="31">IF(OR(V203="電話不通 x2",V203="DS判断"),"DS確認→U列入力",IF(V203="希望","U列入力",IF(V203="拒否","DS確認",IF(V203="外国語","DS確認",IF(V203="電話不通 x1","ORM再架電","-")))))</f>
        <v>-</v>
      </c>
      <c r="AF203" s="51"/>
      <c r="AG203" s="52" t="str">
        <f t="shared" ref="AG203:AG208" ca="1" si="32">IF(AF203="","",IF($AF203+TIME(0,30,0)&lt;(TEXT(NOW(),"h:mm:ss")*1),$AF203+TIME(0,45,0),$AF203+TIME(0,30,0)))</f>
        <v/>
      </c>
      <c r="AI203" s="54"/>
      <c r="AJ203" s="3"/>
      <c r="AK203" s="3">
        <v>1</v>
      </c>
      <c r="AL203" s="3"/>
      <c r="AM203" s="4"/>
      <c r="AN203" s="4"/>
      <c r="AO203" s="3"/>
      <c r="AP203" s="4"/>
      <c r="AQ203" s="3"/>
      <c r="AR203" s="3"/>
      <c r="AS203" s="3"/>
    </row>
    <row r="204" spans="1:45" s="53" customFormat="1" ht="19.5" hidden="1" customHeight="1">
      <c r="A204" s="35">
        <f t="shared" si="22"/>
        <v>0</v>
      </c>
      <c r="B204" s="81"/>
      <c r="C204" s="3"/>
      <c r="D204" s="46"/>
      <c r="E204" s="3"/>
      <c r="F204" s="3"/>
      <c r="G204" s="3"/>
      <c r="H204" s="41"/>
      <c r="I204" s="37" t="s">
        <v>50</v>
      </c>
      <c r="J204" s="43"/>
      <c r="K204" s="43"/>
      <c r="L204" s="43" t="s">
        <v>52</v>
      </c>
      <c r="M204" s="78"/>
      <c r="N204" s="44" t="str">
        <f t="shared" si="30"/>
        <v/>
      </c>
      <c r="O204" s="45" t="s">
        <v>107</v>
      </c>
      <c r="P204" s="67"/>
      <c r="Q204" s="67"/>
      <c r="R204" s="68"/>
      <c r="S204" s="69"/>
      <c r="T204" s="82">
        <v>0.6875</v>
      </c>
      <c r="U204" s="79">
        <v>0.69444444444444453</v>
      </c>
      <c r="V204" s="83"/>
      <c r="W204" s="3"/>
      <c r="X204" s="50"/>
      <c r="Y204" s="80"/>
      <c r="Z204" s="80"/>
      <c r="AA204" s="3"/>
      <c r="AC204" s="50"/>
      <c r="AD204" s="50"/>
      <c r="AE204" s="3" t="str">
        <f t="shared" si="31"/>
        <v>-</v>
      </c>
      <c r="AF204" s="51"/>
      <c r="AG204" s="52" t="str">
        <f t="shared" ca="1" si="32"/>
        <v/>
      </c>
      <c r="AI204" s="54"/>
      <c r="AJ204" s="3"/>
      <c r="AK204" s="3">
        <v>1</v>
      </c>
      <c r="AL204" s="3"/>
      <c r="AM204" s="4"/>
      <c r="AN204" s="4"/>
      <c r="AO204" s="3"/>
      <c r="AP204" s="4"/>
      <c r="AQ204" s="3"/>
      <c r="AR204" s="3"/>
      <c r="AS204" s="3"/>
    </row>
    <row r="205" spans="1:45" s="53" customFormat="1" ht="19.5" hidden="1" customHeight="1">
      <c r="A205" s="35">
        <f t="shared" si="22"/>
        <v>0</v>
      </c>
      <c r="B205" s="81"/>
      <c r="C205" s="3"/>
      <c r="D205" s="46"/>
      <c r="E205" s="3"/>
      <c r="F205" s="3"/>
      <c r="G205" s="3"/>
      <c r="H205" s="41"/>
      <c r="I205" s="37" t="s">
        <v>50</v>
      </c>
      <c r="J205" s="43"/>
      <c r="K205" s="43"/>
      <c r="L205" s="43" t="s">
        <v>52</v>
      </c>
      <c r="M205" s="78"/>
      <c r="N205" s="44" t="str">
        <f t="shared" si="30"/>
        <v/>
      </c>
      <c r="O205" s="45" t="s">
        <v>107</v>
      </c>
      <c r="P205" s="67"/>
      <c r="Q205" s="67"/>
      <c r="R205" s="68"/>
      <c r="S205" s="69"/>
      <c r="T205" s="82">
        <v>0.6875</v>
      </c>
      <c r="U205" s="82">
        <v>0.69444444444444453</v>
      </c>
      <c r="V205" s="97" t="s">
        <v>108</v>
      </c>
      <c r="W205" s="3"/>
      <c r="X205" s="106" t="s">
        <v>90</v>
      </c>
      <c r="Y205" s="85"/>
      <c r="Z205" s="85"/>
      <c r="AA205" s="83"/>
      <c r="AC205" s="50"/>
      <c r="AD205" s="50"/>
      <c r="AE205" s="3" t="str">
        <f t="shared" si="31"/>
        <v>-</v>
      </c>
      <c r="AF205" s="51"/>
      <c r="AG205" s="52" t="str">
        <f t="shared" ca="1" si="32"/>
        <v/>
      </c>
      <c r="AI205" s="54"/>
      <c r="AJ205" s="3"/>
      <c r="AK205" s="3">
        <v>1</v>
      </c>
      <c r="AL205" s="3"/>
      <c r="AM205" s="4"/>
      <c r="AN205" s="4"/>
      <c r="AO205" s="3"/>
      <c r="AP205" s="4"/>
      <c r="AQ205" s="3"/>
      <c r="AR205" s="3"/>
      <c r="AS205" s="3"/>
    </row>
    <row r="206" spans="1:45" s="53" customFormat="1" ht="19.5" hidden="1" customHeight="1">
      <c r="A206" s="35">
        <f t="shared" si="22"/>
        <v>0</v>
      </c>
      <c r="B206" s="81"/>
      <c r="C206" s="3"/>
      <c r="D206" s="116"/>
      <c r="E206" s="3"/>
      <c r="F206" s="3"/>
      <c r="G206" s="3"/>
      <c r="H206" s="41"/>
      <c r="I206" s="89" t="s">
        <v>50</v>
      </c>
      <c r="J206" s="90"/>
      <c r="K206" s="43"/>
      <c r="L206" s="90" t="s">
        <v>52</v>
      </c>
      <c r="M206" s="123"/>
      <c r="N206" s="44" t="str">
        <f t="shared" si="30"/>
        <v/>
      </c>
      <c r="O206" s="45" t="s">
        <v>107</v>
      </c>
      <c r="P206" s="67"/>
      <c r="Q206" s="67"/>
      <c r="R206" s="68"/>
      <c r="S206" s="69"/>
      <c r="T206" s="82">
        <v>0.6875</v>
      </c>
      <c r="U206" s="82">
        <v>0.69444444444444453</v>
      </c>
      <c r="V206" s="97" t="s">
        <v>108</v>
      </c>
      <c r="W206" s="3"/>
      <c r="X206" s="117" t="s">
        <v>90</v>
      </c>
      <c r="Y206" s="85"/>
      <c r="Z206" s="85"/>
      <c r="AA206" s="89" t="s">
        <v>109</v>
      </c>
      <c r="AC206" s="50"/>
      <c r="AD206" s="50"/>
      <c r="AE206" s="3" t="str">
        <f t="shared" si="31"/>
        <v>-</v>
      </c>
      <c r="AF206" s="51"/>
      <c r="AG206" s="52" t="str">
        <f t="shared" ca="1" si="32"/>
        <v/>
      </c>
      <c r="AI206" s="54"/>
      <c r="AJ206" s="3"/>
      <c r="AK206" s="3">
        <v>1</v>
      </c>
      <c r="AL206" s="3"/>
      <c r="AM206" s="4"/>
      <c r="AN206" s="4"/>
      <c r="AO206" s="3"/>
      <c r="AP206" s="4"/>
      <c r="AQ206" s="3"/>
      <c r="AR206" s="3"/>
      <c r="AS206" s="3"/>
    </row>
    <row r="207" spans="1:45" s="53" customFormat="1" ht="19.5" hidden="1" customHeight="1">
      <c r="A207" s="35">
        <f t="shared" si="22"/>
        <v>0</v>
      </c>
      <c r="B207" s="81"/>
      <c r="C207" s="3"/>
      <c r="D207" s="46"/>
      <c r="E207" s="3"/>
      <c r="F207" s="3"/>
      <c r="G207" s="3"/>
      <c r="H207" s="41"/>
      <c r="I207" s="37" t="s">
        <v>50</v>
      </c>
      <c r="J207" s="43"/>
      <c r="K207" s="43"/>
      <c r="L207" s="43" t="s">
        <v>52</v>
      </c>
      <c r="M207" s="78"/>
      <c r="N207" s="44" t="str">
        <f t="shared" si="30"/>
        <v/>
      </c>
      <c r="O207" s="45" t="s">
        <v>107</v>
      </c>
      <c r="P207" s="67"/>
      <c r="Q207" s="67"/>
      <c r="R207" s="68"/>
      <c r="S207" s="69"/>
      <c r="T207" s="82">
        <v>0.6875</v>
      </c>
      <c r="U207" s="82">
        <v>0.69444444444444453</v>
      </c>
      <c r="V207" s="97" t="s">
        <v>108</v>
      </c>
      <c r="W207" s="3"/>
      <c r="X207" s="106" t="s">
        <v>90</v>
      </c>
      <c r="Y207" s="85"/>
      <c r="Z207" s="85"/>
      <c r="AA207" s="83" t="s">
        <v>114</v>
      </c>
      <c r="AB207" s="73"/>
      <c r="AC207" s="50"/>
      <c r="AD207" s="50"/>
      <c r="AE207" s="3" t="str">
        <f t="shared" si="31"/>
        <v>-</v>
      </c>
      <c r="AF207" s="105"/>
      <c r="AG207" s="52" t="str">
        <f t="shared" ca="1" si="32"/>
        <v/>
      </c>
      <c r="AI207" s="54"/>
      <c r="AJ207" s="3"/>
      <c r="AK207" s="3">
        <v>1</v>
      </c>
      <c r="AL207" s="3"/>
      <c r="AM207" s="4"/>
      <c r="AN207" s="4"/>
      <c r="AO207" s="3"/>
      <c r="AP207" s="4"/>
      <c r="AQ207" s="3"/>
      <c r="AR207" s="3"/>
      <c r="AS207" s="3"/>
    </row>
    <row r="208" spans="1:45" s="53" customFormat="1" ht="19.5" hidden="1" customHeight="1">
      <c r="A208" s="35">
        <f t="shared" si="22"/>
        <v>0</v>
      </c>
      <c r="B208" s="81"/>
      <c r="C208" s="3"/>
      <c r="D208" s="46"/>
      <c r="E208" s="3"/>
      <c r="F208" s="3"/>
      <c r="G208" s="3"/>
      <c r="H208" s="41"/>
      <c r="I208" s="37" t="s">
        <v>50</v>
      </c>
      <c r="J208" s="43"/>
      <c r="K208" s="43"/>
      <c r="L208" s="43" t="s">
        <v>52</v>
      </c>
      <c r="M208" s="78"/>
      <c r="N208" s="44" t="str">
        <f t="shared" si="30"/>
        <v/>
      </c>
      <c r="O208" s="45" t="s">
        <v>107</v>
      </c>
      <c r="P208" s="67"/>
      <c r="Q208" s="67"/>
      <c r="R208" s="68"/>
      <c r="S208" s="69"/>
      <c r="T208" s="82">
        <v>0.6875</v>
      </c>
      <c r="U208" s="82">
        <v>0.69444444444444453</v>
      </c>
      <c r="V208" s="97" t="s">
        <v>108</v>
      </c>
      <c r="W208" s="3"/>
      <c r="X208" s="106" t="s">
        <v>90</v>
      </c>
      <c r="Y208" s="85"/>
      <c r="Z208" s="85"/>
      <c r="AA208" s="143" t="s">
        <v>115</v>
      </c>
      <c r="AB208" s="73"/>
      <c r="AC208" s="50"/>
      <c r="AD208" s="50"/>
      <c r="AE208" s="3" t="str">
        <f t="shared" si="31"/>
        <v>-</v>
      </c>
      <c r="AF208" s="107"/>
      <c r="AG208" s="52" t="str">
        <f t="shared" ca="1" si="32"/>
        <v/>
      </c>
      <c r="AI208" s="54"/>
      <c r="AJ208" s="3"/>
      <c r="AK208" s="3">
        <v>1</v>
      </c>
      <c r="AL208" s="3"/>
      <c r="AM208" s="4"/>
      <c r="AN208" s="4"/>
      <c r="AO208" s="3"/>
      <c r="AP208" s="4"/>
      <c r="AQ208" s="3"/>
      <c r="AR208" s="3"/>
      <c r="AS208" s="3"/>
    </row>
    <row r="209" spans="1:45" s="53" customFormat="1" ht="19.5" hidden="1" customHeight="1">
      <c r="A209" s="35">
        <f t="shared" si="22"/>
        <v>0</v>
      </c>
      <c r="B209" s="81"/>
      <c r="C209" s="3"/>
      <c r="D209" s="46"/>
      <c r="E209" s="3"/>
      <c r="F209" s="3"/>
      <c r="G209" s="3"/>
      <c r="H209" s="41"/>
      <c r="I209" s="37" t="s">
        <v>50</v>
      </c>
      <c r="J209" s="43"/>
      <c r="K209" s="43"/>
      <c r="L209" s="43" t="s">
        <v>52</v>
      </c>
      <c r="M209" s="78"/>
      <c r="N209" s="44" t="str">
        <f t="shared" si="30"/>
        <v/>
      </c>
      <c r="O209" s="45" t="s">
        <v>107</v>
      </c>
      <c r="P209" s="67"/>
      <c r="Q209" s="67"/>
      <c r="R209" s="68"/>
      <c r="S209" s="69"/>
      <c r="T209" s="82">
        <v>0.6875</v>
      </c>
      <c r="U209" s="82">
        <v>0.69444444444444453</v>
      </c>
      <c r="V209" s="97" t="s">
        <v>108</v>
      </c>
      <c r="W209" s="3"/>
      <c r="X209" s="106" t="s">
        <v>90</v>
      </c>
      <c r="Y209" s="85"/>
      <c r="Z209" s="85"/>
      <c r="AA209" s="97" t="s">
        <v>92</v>
      </c>
      <c r="AB209" s="73"/>
      <c r="AC209" s="50"/>
      <c r="AD209" s="50"/>
      <c r="AE209" s="3" t="str">
        <f t="shared" si="31"/>
        <v>-</v>
      </c>
      <c r="AF209" s="107">
        <v>0.70138888888888884</v>
      </c>
      <c r="AG209" s="112">
        <v>0.70833333333333337</v>
      </c>
      <c r="AH209" s="101"/>
      <c r="AI209" s="54"/>
      <c r="AJ209" s="3"/>
      <c r="AK209" s="3">
        <v>1</v>
      </c>
      <c r="AL209" s="3"/>
      <c r="AM209" s="4"/>
      <c r="AN209" s="4"/>
      <c r="AO209" s="3"/>
      <c r="AP209" s="4"/>
      <c r="AQ209" s="3"/>
      <c r="AR209" s="3"/>
      <c r="AS209" s="3"/>
    </row>
    <row r="210" spans="1:45" ht="20.100000000000001" hidden="1">
      <c r="A210" s="35">
        <f t="shared" si="22"/>
        <v>0</v>
      </c>
      <c r="I210" s="37" t="s">
        <v>50</v>
      </c>
      <c r="J210" s="43"/>
      <c r="K210" s="43"/>
      <c r="L210" s="43" t="s">
        <v>52</v>
      </c>
      <c r="N210" s="44" t="str">
        <f t="shared" si="30"/>
        <v/>
      </c>
      <c r="O210" s="45" t="s">
        <v>107</v>
      </c>
      <c r="P210" s="67"/>
      <c r="Q210" s="67"/>
      <c r="R210" s="68"/>
      <c r="S210" s="69"/>
      <c r="T210" s="82">
        <v>0.6875</v>
      </c>
      <c r="U210" s="82">
        <v>0.69444444444444453</v>
      </c>
      <c r="V210" s="97" t="s">
        <v>108</v>
      </c>
      <c r="X210" s="106" t="s">
        <v>90</v>
      </c>
      <c r="Y210" s="85"/>
      <c r="Z210" s="85"/>
      <c r="AA210" s="97" t="s">
        <v>92</v>
      </c>
      <c r="AB210" s="73"/>
      <c r="AE210" s="3" t="str">
        <f t="shared" si="31"/>
        <v>-</v>
      </c>
      <c r="AF210" s="107">
        <v>0.70138888888888884</v>
      </c>
      <c r="AG210" s="112">
        <v>0.70833333333333337</v>
      </c>
      <c r="AH210" s="113">
        <v>15</v>
      </c>
      <c r="AI210" s="54"/>
      <c r="AK210" s="3">
        <v>1</v>
      </c>
      <c r="AP210" s="4"/>
    </row>
    <row r="211" spans="1:45" ht="20.100000000000001">
      <c r="A211" s="35">
        <f t="shared" si="22"/>
        <v>0</v>
      </c>
      <c r="N211" s="44" t="str">
        <f t="shared" si="30"/>
        <v/>
      </c>
      <c r="R211" s="47"/>
      <c r="AE211" s="3" t="str">
        <f t="shared" si="31"/>
        <v>-</v>
      </c>
      <c r="AF211" s="51"/>
      <c r="AG211" s="52" t="str">
        <f ca="1">IF(AF211="","",IF($AF211+TIME(0,30,0)&lt;(TEXT(NOW(),"h:mm:ss")*1),$AF211+TIME(0,45,0),$AF211+TIME(0,30,0)))</f>
        <v/>
      </c>
      <c r="AI211" s="54"/>
      <c r="AK211" s="3">
        <v>1</v>
      </c>
      <c r="AP211" s="4"/>
    </row>
    <row r="212" spans="1:45" ht="19.5" customHeight="1">
      <c r="A212" s="35">
        <f>A37</f>
        <v>0</v>
      </c>
      <c r="B212" s="36"/>
      <c r="C212" s="37"/>
      <c r="D212" s="350" t="s">
        <v>116</v>
      </c>
      <c r="E212" s="37"/>
      <c r="F212" s="39"/>
      <c r="G212" s="40"/>
      <c r="I212" s="37"/>
      <c r="J212" s="43"/>
      <c r="K212" s="43"/>
      <c r="L212" s="43"/>
      <c r="M212" s="43"/>
      <c r="P212" s="46"/>
      <c r="R212" s="47"/>
      <c r="T212" s="49"/>
      <c r="U212" s="49"/>
      <c r="Y212" s="49"/>
      <c r="Z212" s="49"/>
      <c r="AF212" s="51"/>
      <c r="AG212" s="52"/>
      <c r="AI212" s="54"/>
      <c r="AK212" s="3">
        <v>1</v>
      </c>
      <c r="AP212" s="4"/>
    </row>
    <row r="213" spans="1:45" ht="19.5" customHeight="1">
      <c r="A213" s="35">
        <f t="shared" ref="A213:A276" si="33">A212</f>
        <v>0</v>
      </c>
      <c r="B213" s="36"/>
      <c r="C213" s="37"/>
      <c r="D213" s="350"/>
      <c r="E213" s="37"/>
      <c r="F213" s="39"/>
      <c r="G213" s="40"/>
      <c r="I213" s="37"/>
      <c r="J213" s="43"/>
      <c r="K213" s="43"/>
      <c r="L213" s="43"/>
      <c r="M213" s="43"/>
      <c r="P213" s="46"/>
      <c r="R213" s="47"/>
      <c r="T213" s="49"/>
      <c r="U213" s="49"/>
      <c r="Y213" s="49"/>
      <c r="Z213" s="49"/>
      <c r="AF213" s="51"/>
      <c r="AG213" s="52"/>
      <c r="AI213" s="54"/>
      <c r="AK213" s="3">
        <v>1</v>
      </c>
      <c r="AP213" s="4"/>
    </row>
    <row r="214" spans="1:45" ht="19.5" customHeight="1">
      <c r="A214" s="35" t="e">
        <f>#REF!</f>
        <v>#REF!</v>
      </c>
      <c r="B214" s="66">
        <v>1</v>
      </c>
      <c r="C214" s="37"/>
      <c r="D214" s="38" t="s">
        <v>79</v>
      </c>
      <c r="E214" s="37"/>
      <c r="F214" s="39"/>
      <c r="G214" s="40"/>
      <c r="I214" s="37" t="s">
        <v>50</v>
      </c>
      <c r="J214" s="43"/>
      <c r="K214" s="43"/>
      <c r="L214" s="43" t="s">
        <v>52</v>
      </c>
      <c r="M214" s="43"/>
      <c r="N214" s="44" t="str">
        <f t="shared" ref="N214:N243" si="34">IF(C214="","",C214)</f>
        <v/>
      </c>
      <c r="O214" s="45" t="s">
        <v>61</v>
      </c>
      <c r="P214" s="67"/>
      <c r="Q214" s="67"/>
      <c r="R214" s="68"/>
      <c r="S214" s="69"/>
      <c r="T214" s="79"/>
      <c r="U214" s="49"/>
      <c r="X214" s="144" t="s">
        <v>66</v>
      </c>
      <c r="Y214" s="49"/>
      <c r="Z214" s="49"/>
      <c r="AE214" s="3" t="str">
        <f t="shared" ref="AE214:AE243" si="35">IF(OR(V214="電話不通 x2",V214="DS判断"),"DS確認→U列入力",IF(V214="希望","U列入力",IF(V214="拒否","DS確認",IF(V214="外国語","DS確認",IF(V214="電話不通 x1","ORM再架電","-")))))</f>
        <v>-</v>
      </c>
      <c r="AF214" s="51"/>
      <c r="AG214" s="52" t="str">
        <f t="shared" ref="AG214:AG219" ca="1" si="36">IF(AF214="","",IF($AF214+TIME(0,30,0)&lt;(TEXT(NOW(),"h:mm:ss")*1),$AF214+TIME(0,45,0),$AF214+TIME(0,30,0)))</f>
        <v/>
      </c>
      <c r="AI214" s="54"/>
      <c r="AK214" s="3">
        <v>1</v>
      </c>
      <c r="AP214" s="4"/>
    </row>
    <row r="215" spans="1:45" ht="19.5" customHeight="1">
      <c r="A215" s="35" t="e">
        <f t="shared" si="33"/>
        <v>#REF!</v>
      </c>
      <c r="B215" s="36"/>
      <c r="C215" s="37"/>
      <c r="D215" s="38"/>
      <c r="E215" s="37"/>
      <c r="F215" s="39"/>
      <c r="G215" s="40"/>
      <c r="I215" s="37" t="s">
        <v>50</v>
      </c>
      <c r="J215" s="43"/>
      <c r="K215" s="43"/>
      <c r="L215" s="43" t="s">
        <v>52</v>
      </c>
      <c r="M215" s="43"/>
      <c r="N215" s="44" t="str">
        <f t="shared" si="34"/>
        <v/>
      </c>
      <c r="O215" s="45" t="s">
        <v>61</v>
      </c>
      <c r="P215" s="67"/>
      <c r="Q215" s="67"/>
      <c r="R215" s="68"/>
      <c r="S215" s="69"/>
      <c r="T215" s="82">
        <v>0.6875</v>
      </c>
      <c r="U215" s="79">
        <v>0.69444444444444453</v>
      </c>
      <c r="V215" s="83"/>
      <c r="X215" s="144" t="s">
        <v>66</v>
      </c>
      <c r="Y215" s="49"/>
      <c r="Z215" s="49"/>
      <c r="AE215" s="3" t="str">
        <f t="shared" si="35"/>
        <v>-</v>
      </c>
      <c r="AF215" s="51"/>
      <c r="AG215" s="52" t="str">
        <f t="shared" ca="1" si="36"/>
        <v/>
      </c>
      <c r="AI215" s="54"/>
      <c r="AK215" s="3">
        <v>1</v>
      </c>
      <c r="AP215" s="4"/>
    </row>
    <row r="216" spans="1:45" ht="19.5" customHeight="1">
      <c r="A216" s="35" t="e">
        <f t="shared" si="33"/>
        <v>#REF!</v>
      </c>
      <c r="B216" s="36"/>
      <c r="C216" s="37"/>
      <c r="D216" s="38"/>
      <c r="E216" s="37"/>
      <c r="F216" s="39"/>
      <c r="G216" s="40"/>
      <c r="I216" s="37" t="s">
        <v>50</v>
      </c>
      <c r="J216" s="43"/>
      <c r="K216" s="43"/>
      <c r="L216" s="43" t="s">
        <v>52</v>
      </c>
      <c r="M216" s="43"/>
      <c r="N216" s="44" t="str">
        <f t="shared" si="34"/>
        <v/>
      </c>
      <c r="O216" s="45" t="s">
        <v>61</v>
      </c>
      <c r="P216" s="67"/>
      <c r="Q216" s="67"/>
      <c r="R216" s="68"/>
      <c r="S216" s="69"/>
      <c r="T216" s="82">
        <v>0.6875</v>
      </c>
      <c r="U216" s="82">
        <v>0.69444444444444453</v>
      </c>
      <c r="V216" s="97" t="s">
        <v>85</v>
      </c>
      <c r="X216" s="144" t="s">
        <v>66</v>
      </c>
      <c r="Y216" s="79"/>
      <c r="Z216" s="49"/>
      <c r="AE216" s="3" t="str">
        <f t="shared" si="35"/>
        <v>-</v>
      </c>
      <c r="AF216" s="51"/>
      <c r="AG216" s="52" t="str">
        <f t="shared" ca="1" si="36"/>
        <v/>
      </c>
      <c r="AI216" s="54"/>
      <c r="AK216" s="3">
        <v>1</v>
      </c>
      <c r="AP216" s="4"/>
    </row>
    <row r="217" spans="1:45" ht="19.5" customHeight="1">
      <c r="A217" s="35" t="e">
        <f t="shared" si="33"/>
        <v>#REF!</v>
      </c>
      <c r="C217" s="37"/>
      <c r="E217" s="37"/>
      <c r="F217" s="37"/>
      <c r="G217" s="37"/>
      <c r="I217" s="37" t="s">
        <v>50</v>
      </c>
      <c r="J217" s="43"/>
      <c r="K217" s="43"/>
      <c r="L217" s="43" t="s">
        <v>52</v>
      </c>
      <c r="N217" s="44" t="str">
        <f t="shared" si="34"/>
        <v/>
      </c>
      <c r="O217" s="45" t="s">
        <v>61</v>
      </c>
      <c r="P217" s="67"/>
      <c r="Q217" s="67"/>
      <c r="R217" s="68"/>
      <c r="S217" s="69"/>
      <c r="T217" s="82">
        <v>0.6875</v>
      </c>
      <c r="U217" s="82">
        <v>0.69444444444444453</v>
      </c>
      <c r="V217" s="97" t="s">
        <v>85</v>
      </c>
      <c r="X217" s="144" t="s">
        <v>66</v>
      </c>
      <c r="Y217" s="99">
        <v>0.69097222222222221</v>
      </c>
      <c r="Z217" s="100">
        <v>0.69791666666666663</v>
      </c>
      <c r="AA217" s="83"/>
      <c r="AB217" s="73"/>
      <c r="AE217" s="3" t="str">
        <f t="shared" si="35"/>
        <v>-</v>
      </c>
      <c r="AF217" s="51"/>
      <c r="AG217" s="52" t="str">
        <f t="shared" ca="1" si="36"/>
        <v/>
      </c>
      <c r="AI217" s="54"/>
      <c r="AK217" s="3">
        <v>1</v>
      </c>
      <c r="AP217" s="4"/>
    </row>
    <row r="218" spans="1:45" ht="19.5" customHeight="1">
      <c r="A218" s="35" t="e">
        <f t="shared" si="33"/>
        <v>#REF!</v>
      </c>
      <c r="C218" s="102"/>
      <c r="I218" s="37" t="s">
        <v>50</v>
      </c>
      <c r="J218" s="43"/>
      <c r="K218" s="43"/>
      <c r="L218" s="43" t="s">
        <v>52</v>
      </c>
      <c r="N218" s="44" t="str">
        <f t="shared" si="34"/>
        <v/>
      </c>
      <c r="O218" s="45" t="s">
        <v>61</v>
      </c>
      <c r="P218" s="67"/>
      <c r="Q218" s="67"/>
      <c r="R218" s="68"/>
      <c r="S218" s="69"/>
      <c r="T218" s="82">
        <v>0.6875</v>
      </c>
      <c r="U218" s="82">
        <v>0.69444444444444453</v>
      </c>
      <c r="V218" s="97" t="s">
        <v>85</v>
      </c>
      <c r="X218" s="144" t="s">
        <v>66</v>
      </c>
      <c r="Y218" s="99">
        <v>0.69097222222222221</v>
      </c>
      <c r="Z218" s="99">
        <v>0.69791666666666663</v>
      </c>
      <c r="AA218" s="97" t="s">
        <v>86</v>
      </c>
      <c r="AB218" s="73"/>
      <c r="AC218" s="103"/>
      <c r="AD218" s="104"/>
      <c r="AE218" s="3" t="str">
        <f t="shared" si="35"/>
        <v>-</v>
      </c>
      <c r="AF218" s="105"/>
      <c r="AG218" s="52" t="str">
        <f t="shared" ca="1" si="36"/>
        <v/>
      </c>
      <c r="AI218" s="54"/>
      <c r="AK218" s="3">
        <v>1</v>
      </c>
      <c r="AP218" s="4"/>
    </row>
    <row r="219" spans="1:45" ht="19.5" customHeight="1">
      <c r="A219" s="35" t="e">
        <f t="shared" si="33"/>
        <v>#REF!</v>
      </c>
      <c r="C219" s="102"/>
      <c r="I219" s="37" t="s">
        <v>50</v>
      </c>
      <c r="J219" s="43"/>
      <c r="K219" s="43"/>
      <c r="L219" s="43" t="s">
        <v>52</v>
      </c>
      <c r="N219" s="44" t="str">
        <f t="shared" si="34"/>
        <v/>
      </c>
      <c r="O219" s="45" t="s">
        <v>61</v>
      </c>
      <c r="P219" s="67"/>
      <c r="Q219" s="67"/>
      <c r="R219" s="68"/>
      <c r="S219" s="69"/>
      <c r="T219" s="82">
        <v>0.6875</v>
      </c>
      <c r="U219" s="82">
        <v>0.69444444444444453</v>
      </c>
      <c r="V219" s="97" t="s">
        <v>85</v>
      </c>
      <c r="X219" s="144" t="s">
        <v>66</v>
      </c>
      <c r="Y219" s="99">
        <v>0.69097222222222221</v>
      </c>
      <c r="Z219" s="99">
        <v>0.69791666666666663</v>
      </c>
      <c r="AA219" s="97" t="s">
        <v>86</v>
      </c>
      <c r="AB219" s="73"/>
      <c r="AD219" s="106" t="s">
        <v>87</v>
      </c>
      <c r="AE219" s="3" t="str">
        <f t="shared" si="35"/>
        <v>-</v>
      </c>
      <c r="AF219" s="107">
        <v>0.69444444444444453</v>
      </c>
      <c r="AG219" s="119">
        <f t="shared" ca="1" si="36"/>
        <v>0.72569444444444453</v>
      </c>
      <c r="AH219" s="101"/>
      <c r="AI219" s="54"/>
      <c r="AK219" s="3">
        <v>1</v>
      </c>
      <c r="AP219" s="4"/>
    </row>
    <row r="220" spans="1:45" ht="19.5" customHeight="1">
      <c r="A220" s="35" t="e">
        <f t="shared" si="33"/>
        <v>#REF!</v>
      </c>
      <c r="C220" s="102"/>
      <c r="I220" s="3" t="s">
        <v>50</v>
      </c>
      <c r="L220" s="78" t="s">
        <v>52</v>
      </c>
      <c r="N220" s="44" t="str">
        <f t="shared" si="34"/>
        <v/>
      </c>
      <c r="O220" s="45" t="s">
        <v>61</v>
      </c>
      <c r="P220" s="67"/>
      <c r="Q220" s="67"/>
      <c r="R220" s="68"/>
      <c r="S220" s="69"/>
      <c r="T220" s="82">
        <v>0.6875</v>
      </c>
      <c r="U220" s="82">
        <v>0.69444444444444453</v>
      </c>
      <c r="V220" s="97" t="s">
        <v>85</v>
      </c>
      <c r="X220" s="144" t="s">
        <v>66</v>
      </c>
      <c r="Y220" s="99">
        <v>0.69097222222222221</v>
      </c>
      <c r="Z220" s="99">
        <v>0.69791666666666663</v>
      </c>
      <c r="AA220" s="97" t="s">
        <v>86</v>
      </c>
      <c r="AB220" s="73"/>
      <c r="AD220" s="106" t="s">
        <v>87</v>
      </c>
      <c r="AE220" s="3" t="str">
        <f t="shared" si="35"/>
        <v>-</v>
      </c>
      <c r="AF220" s="107">
        <v>0.69444444444444453</v>
      </c>
      <c r="AG220" s="112">
        <v>0.70138888888888884</v>
      </c>
      <c r="AH220" s="113">
        <v>20</v>
      </c>
      <c r="AI220" s="54"/>
      <c r="AK220" s="3">
        <v>1</v>
      </c>
      <c r="AP220" s="4"/>
    </row>
    <row r="221" spans="1:45" ht="19.5" customHeight="1">
      <c r="A221" s="35" t="e">
        <f t="shared" si="33"/>
        <v>#REF!</v>
      </c>
      <c r="C221" s="102"/>
      <c r="N221" s="44" t="str">
        <f t="shared" si="34"/>
        <v/>
      </c>
      <c r="P221" s="46"/>
      <c r="R221" s="47"/>
      <c r="AE221" s="3" t="str">
        <f t="shared" si="35"/>
        <v>-</v>
      </c>
      <c r="AF221" s="51"/>
      <c r="AG221" s="52" t="str">
        <f t="shared" ref="AG221:AG231" ca="1" si="37">IF(AF221="","",IF($AF221+TIME(0,30,0)&lt;(TEXT(NOW(),"h:mm:ss")*1),$AF221+TIME(0,45,0),$AF221+TIME(0,30,0)))</f>
        <v/>
      </c>
      <c r="AI221" s="54"/>
      <c r="AK221" s="3">
        <v>1</v>
      </c>
      <c r="AP221" s="4"/>
    </row>
    <row r="222" spans="1:45" ht="19.5" customHeight="1">
      <c r="A222" s="35" t="e">
        <f t="shared" si="33"/>
        <v>#REF!</v>
      </c>
      <c r="C222" s="102"/>
      <c r="N222" s="44" t="str">
        <f t="shared" si="34"/>
        <v/>
      </c>
      <c r="P222" s="46"/>
      <c r="R222" s="47"/>
      <c r="AE222" s="3" t="str">
        <f t="shared" si="35"/>
        <v>-</v>
      </c>
      <c r="AF222" s="51"/>
      <c r="AG222" s="52" t="str">
        <f t="shared" ca="1" si="37"/>
        <v/>
      </c>
      <c r="AI222" s="54"/>
      <c r="AK222" s="3">
        <v>1</v>
      </c>
      <c r="AP222" s="4"/>
    </row>
    <row r="223" spans="1:45" ht="19.5" customHeight="1">
      <c r="A223" s="35" t="e">
        <f t="shared" si="33"/>
        <v>#REF!</v>
      </c>
      <c r="B223" s="77">
        <v>2</v>
      </c>
      <c r="C223" s="102"/>
      <c r="D223" s="38" t="s">
        <v>88</v>
      </c>
      <c r="I223" s="37" t="s">
        <v>50</v>
      </c>
      <c r="J223" s="43"/>
      <c r="K223" s="43"/>
      <c r="L223" s="43" t="s">
        <v>52</v>
      </c>
      <c r="N223" s="44" t="str">
        <f t="shared" si="34"/>
        <v/>
      </c>
      <c r="O223" s="45" t="s">
        <v>61</v>
      </c>
      <c r="P223" s="67"/>
      <c r="Q223" s="67"/>
      <c r="R223" s="68"/>
      <c r="S223" s="69"/>
      <c r="T223" s="79"/>
      <c r="U223" s="49"/>
      <c r="X223" s="72" t="s">
        <v>66</v>
      </c>
      <c r="AE223" s="3" t="str">
        <f t="shared" si="35"/>
        <v>-</v>
      </c>
      <c r="AF223" s="51"/>
      <c r="AG223" s="52" t="str">
        <f t="shared" ca="1" si="37"/>
        <v/>
      </c>
      <c r="AI223" s="54"/>
      <c r="AK223" s="3">
        <v>1</v>
      </c>
      <c r="AP223" s="4"/>
    </row>
    <row r="224" spans="1:45" ht="19.5" customHeight="1">
      <c r="A224" s="35" t="e">
        <f t="shared" si="33"/>
        <v>#REF!</v>
      </c>
      <c r="I224" s="37" t="s">
        <v>50</v>
      </c>
      <c r="J224" s="43"/>
      <c r="K224" s="43"/>
      <c r="L224" s="43" t="s">
        <v>52</v>
      </c>
      <c r="N224" s="44" t="str">
        <f t="shared" si="34"/>
        <v/>
      </c>
      <c r="O224" s="45" t="s">
        <v>61</v>
      </c>
      <c r="P224" s="67"/>
      <c r="Q224" s="67"/>
      <c r="R224" s="68"/>
      <c r="S224" s="69"/>
      <c r="T224" s="82">
        <v>0.6875</v>
      </c>
      <c r="U224" s="79">
        <v>0.69444444444444453</v>
      </c>
      <c r="V224" s="83"/>
      <c r="X224" s="72" t="s">
        <v>66</v>
      </c>
      <c r="AE224" s="3" t="str">
        <f t="shared" si="35"/>
        <v>-</v>
      </c>
      <c r="AF224" s="51"/>
      <c r="AG224" s="52" t="str">
        <f t="shared" ca="1" si="37"/>
        <v/>
      </c>
      <c r="AI224" s="54"/>
      <c r="AK224" s="3">
        <v>1</v>
      </c>
      <c r="AP224" s="4"/>
    </row>
    <row r="225" spans="1:45" ht="19.5" customHeight="1">
      <c r="A225" s="35" t="e">
        <f t="shared" si="33"/>
        <v>#REF!</v>
      </c>
      <c r="I225" s="37" t="s">
        <v>50</v>
      </c>
      <c r="J225" s="43"/>
      <c r="K225" s="43"/>
      <c r="L225" s="43" t="s">
        <v>52</v>
      </c>
      <c r="N225" s="44" t="str">
        <f t="shared" si="34"/>
        <v/>
      </c>
      <c r="O225" s="45" t="s">
        <v>61</v>
      </c>
      <c r="P225" s="67"/>
      <c r="Q225" s="67"/>
      <c r="R225" s="68"/>
      <c r="S225" s="69"/>
      <c r="T225" s="82">
        <v>0.6875</v>
      </c>
      <c r="U225" s="82">
        <v>0.69444444444444453</v>
      </c>
      <c r="V225" s="97" t="s">
        <v>85</v>
      </c>
      <c r="X225" s="72" t="s">
        <v>66</v>
      </c>
      <c r="Y225" s="79"/>
      <c r="Z225" s="49"/>
      <c r="AE225" s="3" t="str">
        <f t="shared" si="35"/>
        <v>-</v>
      </c>
      <c r="AF225" s="51"/>
      <c r="AG225" s="52" t="str">
        <f t="shared" ca="1" si="37"/>
        <v/>
      </c>
      <c r="AI225" s="54"/>
      <c r="AK225" s="3">
        <v>1</v>
      </c>
      <c r="AP225" s="4"/>
    </row>
    <row r="226" spans="1:45" ht="19.5" customHeight="1">
      <c r="A226" s="35" t="e">
        <f t="shared" si="33"/>
        <v>#REF!</v>
      </c>
      <c r="I226" s="37" t="s">
        <v>50</v>
      </c>
      <c r="J226" s="43"/>
      <c r="K226" s="43"/>
      <c r="L226" s="43" t="s">
        <v>52</v>
      </c>
      <c r="N226" s="44" t="str">
        <f t="shared" si="34"/>
        <v/>
      </c>
      <c r="O226" s="45" t="s">
        <v>61</v>
      </c>
      <c r="P226" s="67"/>
      <c r="Q226" s="67"/>
      <c r="R226" s="68"/>
      <c r="S226" s="69"/>
      <c r="T226" s="82">
        <v>0.6875</v>
      </c>
      <c r="U226" s="82">
        <v>0.69444444444444453</v>
      </c>
      <c r="V226" s="97" t="s">
        <v>85</v>
      </c>
      <c r="X226" s="72" t="s">
        <v>66</v>
      </c>
      <c r="Y226" s="99">
        <v>0.69097222222222221</v>
      </c>
      <c r="Z226" s="100">
        <v>0.69791666666666663</v>
      </c>
      <c r="AA226" s="83"/>
      <c r="AB226" s="73"/>
      <c r="AE226" s="3" t="str">
        <f t="shared" si="35"/>
        <v>-</v>
      </c>
      <c r="AF226" s="51"/>
      <c r="AG226" s="52" t="str">
        <f t="shared" ca="1" si="37"/>
        <v/>
      </c>
      <c r="AI226" s="54"/>
      <c r="AK226" s="3">
        <v>1</v>
      </c>
      <c r="AP226" s="4"/>
    </row>
    <row r="227" spans="1:45" ht="19.5" customHeight="1">
      <c r="A227" s="35" t="e">
        <f t="shared" si="33"/>
        <v>#REF!</v>
      </c>
      <c r="I227" s="37" t="s">
        <v>50</v>
      </c>
      <c r="J227" s="43"/>
      <c r="K227" s="43"/>
      <c r="L227" s="43" t="s">
        <v>52</v>
      </c>
      <c r="N227" s="44" t="str">
        <f t="shared" si="34"/>
        <v/>
      </c>
      <c r="O227" s="45" t="s">
        <v>61</v>
      </c>
      <c r="P227" s="67"/>
      <c r="Q227" s="67"/>
      <c r="R227" s="68"/>
      <c r="S227" s="69"/>
      <c r="T227" s="82">
        <v>0.6875</v>
      </c>
      <c r="U227" s="82">
        <v>0.69444444444444453</v>
      </c>
      <c r="V227" s="97" t="s">
        <v>85</v>
      </c>
      <c r="X227" s="72" t="s">
        <v>66</v>
      </c>
      <c r="Y227" s="99">
        <v>0.69097222222222221</v>
      </c>
      <c r="Z227" s="91">
        <v>0.69791666666666663</v>
      </c>
      <c r="AA227" s="83"/>
      <c r="AB227" s="73"/>
      <c r="AE227" s="3" t="str">
        <f t="shared" si="35"/>
        <v>-</v>
      </c>
      <c r="AF227" s="51"/>
      <c r="AG227" s="52" t="str">
        <f t="shared" ca="1" si="37"/>
        <v/>
      </c>
      <c r="AI227" s="54"/>
      <c r="AK227" s="3">
        <v>1</v>
      </c>
      <c r="AP227" s="4"/>
    </row>
    <row r="228" spans="1:45" ht="19.5" customHeight="1">
      <c r="A228" s="35" t="e">
        <f t="shared" si="33"/>
        <v>#REF!</v>
      </c>
      <c r="D228" s="116"/>
      <c r="E228" s="145"/>
      <c r="F228" s="145"/>
      <c r="G228" s="145"/>
      <c r="H228" s="146"/>
      <c r="I228" s="89" t="s">
        <v>50</v>
      </c>
      <c r="J228" s="90"/>
      <c r="K228" s="147"/>
      <c r="L228" s="90" t="s">
        <v>52</v>
      </c>
      <c r="M228" s="123"/>
      <c r="N228" s="44" t="str">
        <f t="shared" si="34"/>
        <v/>
      </c>
      <c r="O228" s="45" t="s">
        <v>61</v>
      </c>
      <c r="P228" s="67"/>
      <c r="Q228" s="67"/>
      <c r="R228" s="68"/>
      <c r="S228" s="69"/>
      <c r="T228" s="82">
        <v>0.6875</v>
      </c>
      <c r="U228" s="82">
        <v>0.69444444444444453</v>
      </c>
      <c r="V228" s="97" t="s">
        <v>85</v>
      </c>
      <c r="X228" s="117" t="s">
        <v>66</v>
      </c>
      <c r="Y228" s="99">
        <v>0.69097222222222221</v>
      </c>
      <c r="Z228" s="91">
        <v>0.69791666666666663</v>
      </c>
      <c r="AA228" s="89" t="s">
        <v>97</v>
      </c>
      <c r="AB228" s="73"/>
      <c r="AE228" s="3" t="str">
        <f t="shared" si="35"/>
        <v>-</v>
      </c>
      <c r="AF228" s="51"/>
      <c r="AG228" s="52" t="str">
        <f t="shared" ca="1" si="37"/>
        <v/>
      </c>
      <c r="AI228" s="54"/>
      <c r="AK228" s="3">
        <v>1</v>
      </c>
      <c r="AP228" s="4"/>
    </row>
    <row r="229" spans="1:45" ht="19.5" customHeight="1">
      <c r="A229" s="35" t="e">
        <f>A227</f>
        <v>#REF!</v>
      </c>
      <c r="I229" s="37" t="s">
        <v>50</v>
      </c>
      <c r="J229" s="43"/>
      <c r="K229" s="43"/>
      <c r="L229" s="43" t="s">
        <v>52</v>
      </c>
      <c r="N229" s="44" t="str">
        <f t="shared" si="34"/>
        <v/>
      </c>
      <c r="O229" s="45" t="s">
        <v>61</v>
      </c>
      <c r="P229" s="67"/>
      <c r="Q229" s="67"/>
      <c r="R229" s="68"/>
      <c r="S229" s="69"/>
      <c r="T229" s="82">
        <v>0.6875</v>
      </c>
      <c r="U229" s="82">
        <v>0.69444444444444453</v>
      </c>
      <c r="V229" s="97" t="s">
        <v>85</v>
      </c>
      <c r="X229" s="106" t="s">
        <v>66</v>
      </c>
      <c r="Y229" s="99">
        <v>0.69097222222222221</v>
      </c>
      <c r="Z229" s="99">
        <v>0.69791666666666663</v>
      </c>
      <c r="AA229" s="71" t="s">
        <v>91</v>
      </c>
      <c r="AB229" s="101"/>
      <c r="AE229" s="3" t="str">
        <f t="shared" si="35"/>
        <v>-</v>
      </c>
      <c r="AF229" s="51"/>
      <c r="AG229" s="52" t="str">
        <f t="shared" ca="1" si="37"/>
        <v/>
      </c>
      <c r="AI229" s="54"/>
      <c r="AK229" s="3">
        <v>1</v>
      </c>
      <c r="AP229" s="4"/>
    </row>
    <row r="230" spans="1:45" ht="19.5" customHeight="1">
      <c r="A230" s="35" t="e">
        <f>#REF!</f>
        <v>#REF!</v>
      </c>
      <c r="I230" s="37" t="s">
        <v>50</v>
      </c>
      <c r="J230" s="43"/>
      <c r="K230" s="43"/>
      <c r="L230" s="43" t="s">
        <v>52</v>
      </c>
      <c r="N230" s="44" t="str">
        <f t="shared" si="34"/>
        <v/>
      </c>
      <c r="O230" s="45" t="s">
        <v>61</v>
      </c>
      <c r="P230" s="67"/>
      <c r="Q230" s="67"/>
      <c r="R230" s="68"/>
      <c r="S230" s="69"/>
      <c r="T230" s="82">
        <v>0.6875</v>
      </c>
      <c r="U230" s="82">
        <v>0.69444444444444453</v>
      </c>
      <c r="V230" s="97" t="s">
        <v>85</v>
      </c>
      <c r="X230" s="106" t="s">
        <v>66</v>
      </c>
      <c r="Y230" s="99">
        <v>0.69097222222222221</v>
      </c>
      <c r="Z230" s="99">
        <v>0.69791666666666663</v>
      </c>
      <c r="AA230" s="71" t="s">
        <v>91</v>
      </c>
      <c r="AB230" s="97" t="s">
        <v>92</v>
      </c>
      <c r="AC230" s="103"/>
      <c r="AD230" s="104"/>
      <c r="AE230" s="3" t="str">
        <f t="shared" si="35"/>
        <v>-</v>
      </c>
      <c r="AF230" s="105"/>
      <c r="AG230" s="52" t="str">
        <f t="shared" ca="1" si="37"/>
        <v/>
      </c>
      <c r="AI230" s="54"/>
      <c r="AK230" s="3">
        <v>1</v>
      </c>
      <c r="AP230" s="4"/>
    </row>
    <row r="231" spans="1:45" ht="19.5" customHeight="1">
      <c r="A231" s="35" t="e">
        <f t="shared" si="33"/>
        <v>#REF!</v>
      </c>
      <c r="I231" s="37" t="s">
        <v>50</v>
      </c>
      <c r="J231" s="43"/>
      <c r="K231" s="43"/>
      <c r="L231" s="43" t="s">
        <v>52</v>
      </c>
      <c r="N231" s="44" t="str">
        <f t="shared" si="34"/>
        <v/>
      </c>
      <c r="O231" s="45" t="s">
        <v>61</v>
      </c>
      <c r="P231" s="67"/>
      <c r="Q231" s="67"/>
      <c r="R231" s="68"/>
      <c r="S231" s="69"/>
      <c r="T231" s="82">
        <v>0.6875</v>
      </c>
      <c r="U231" s="82">
        <v>0.69444444444444453</v>
      </c>
      <c r="V231" s="97" t="s">
        <v>85</v>
      </c>
      <c r="X231" s="106" t="s">
        <v>66</v>
      </c>
      <c r="Y231" s="99">
        <v>0.69097222222222221</v>
      </c>
      <c r="Z231" s="99">
        <v>0.69791666666666663</v>
      </c>
      <c r="AA231" s="71" t="s">
        <v>91</v>
      </c>
      <c r="AB231" s="97" t="s">
        <v>92</v>
      </c>
      <c r="AD231" s="106" t="s">
        <v>87</v>
      </c>
      <c r="AE231" s="3" t="str">
        <f t="shared" si="35"/>
        <v>-</v>
      </c>
      <c r="AF231" s="107">
        <v>0.69444444444444453</v>
      </c>
      <c r="AG231" s="119">
        <f t="shared" ca="1" si="37"/>
        <v>0.72569444444444453</v>
      </c>
      <c r="AH231" s="101"/>
      <c r="AI231" s="54"/>
      <c r="AK231" s="3">
        <v>1</v>
      </c>
      <c r="AP231" s="4"/>
    </row>
    <row r="232" spans="1:45" ht="19.5" customHeight="1">
      <c r="A232" s="35" t="e">
        <f t="shared" si="33"/>
        <v>#REF!</v>
      </c>
      <c r="I232" s="37" t="s">
        <v>50</v>
      </c>
      <c r="J232" s="43"/>
      <c r="K232" s="43"/>
      <c r="L232" s="43" t="s">
        <v>52</v>
      </c>
      <c r="N232" s="44" t="str">
        <f t="shared" si="34"/>
        <v/>
      </c>
      <c r="O232" s="45" t="s">
        <v>61</v>
      </c>
      <c r="P232" s="67"/>
      <c r="Q232" s="67"/>
      <c r="R232" s="68"/>
      <c r="S232" s="69"/>
      <c r="T232" s="82">
        <v>0.6875</v>
      </c>
      <c r="U232" s="82">
        <v>0.69444444444444453</v>
      </c>
      <c r="V232" s="97" t="s">
        <v>85</v>
      </c>
      <c r="X232" s="106" t="s">
        <v>66</v>
      </c>
      <c r="Y232" s="99">
        <v>0.69097222222222221</v>
      </c>
      <c r="Z232" s="99">
        <v>0.69791666666666663</v>
      </c>
      <c r="AA232" s="71" t="s">
        <v>91</v>
      </c>
      <c r="AB232" s="97" t="s">
        <v>92</v>
      </c>
      <c r="AD232" s="106" t="s">
        <v>87</v>
      </c>
      <c r="AE232" s="3" t="str">
        <f t="shared" si="35"/>
        <v>-</v>
      </c>
      <c r="AF232" s="107">
        <v>0.69444444444444453</v>
      </c>
      <c r="AG232" s="112">
        <v>0.70138888888888884</v>
      </c>
      <c r="AH232" s="113">
        <v>20</v>
      </c>
      <c r="AI232" s="54"/>
      <c r="AK232" s="3">
        <v>1</v>
      </c>
      <c r="AP232" s="4"/>
    </row>
    <row r="233" spans="1:45" ht="19.5" customHeight="1">
      <c r="A233" s="35" t="e">
        <f t="shared" si="33"/>
        <v>#REF!</v>
      </c>
      <c r="N233" s="44" t="str">
        <f t="shared" si="34"/>
        <v/>
      </c>
      <c r="P233" s="46"/>
      <c r="R233" s="47"/>
      <c r="AE233" s="3" t="str">
        <f t="shared" si="35"/>
        <v>-</v>
      </c>
      <c r="AF233" s="51"/>
      <c r="AG233" s="52" t="str">
        <f t="shared" ref="AG233:AG243" ca="1" si="38">IF(AF233="","",IF($AF233+TIME(0,30,0)&lt;(TEXT(NOW(),"h:mm:ss")*1),$AF233+TIME(0,45,0),$AF233+TIME(0,30,0)))</f>
        <v/>
      </c>
      <c r="AI233" s="54"/>
      <c r="AK233" s="3">
        <v>1</v>
      </c>
      <c r="AP233" s="4"/>
    </row>
    <row r="234" spans="1:45" ht="19.5" customHeight="1">
      <c r="A234" s="35" t="e">
        <f t="shared" si="33"/>
        <v>#REF!</v>
      </c>
      <c r="N234" s="44" t="str">
        <f t="shared" si="34"/>
        <v/>
      </c>
      <c r="P234" s="46"/>
      <c r="R234" s="47"/>
      <c r="AE234" s="3" t="str">
        <f t="shared" si="35"/>
        <v>-</v>
      </c>
      <c r="AF234" s="51"/>
      <c r="AG234" s="52" t="str">
        <f t="shared" ca="1" si="38"/>
        <v/>
      </c>
      <c r="AI234" s="54"/>
      <c r="AK234" s="3">
        <v>1</v>
      </c>
      <c r="AP234" s="4"/>
    </row>
    <row r="235" spans="1:45" s="53" customFormat="1" ht="19.5" customHeight="1">
      <c r="A235" s="35" t="e">
        <f t="shared" si="33"/>
        <v>#REF!</v>
      </c>
      <c r="B235" s="77">
        <v>3</v>
      </c>
      <c r="C235" s="3"/>
      <c r="D235" s="38" t="s">
        <v>113</v>
      </c>
      <c r="E235" s="3"/>
      <c r="F235" s="3"/>
      <c r="G235" s="3"/>
      <c r="H235" s="41"/>
      <c r="I235" s="37" t="s">
        <v>50</v>
      </c>
      <c r="J235" s="43"/>
      <c r="K235" s="43"/>
      <c r="L235" s="43" t="s">
        <v>52</v>
      </c>
      <c r="M235" s="78"/>
      <c r="N235" s="44" t="str">
        <f t="shared" si="34"/>
        <v/>
      </c>
      <c r="O235" s="45" t="s">
        <v>61</v>
      </c>
      <c r="P235" s="67"/>
      <c r="Q235" s="67"/>
      <c r="R235" s="68"/>
      <c r="S235" s="69"/>
      <c r="T235" s="79"/>
      <c r="U235" s="49"/>
      <c r="V235" s="3"/>
      <c r="W235" s="3"/>
      <c r="X235" s="72" t="s">
        <v>66</v>
      </c>
      <c r="Y235" s="80"/>
      <c r="Z235" s="80"/>
      <c r="AA235" s="3"/>
      <c r="AC235" s="50"/>
      <c r="AD235" s="50"/>
      <c r="AE235" s="3" t="str">
        <f t="shared" si="35"/>
        <v>-</v>
      </c>
      <c r="AF235" s="51"/>
      <c r="AG235" s="52" t="str">
        <f t="shared" ca="1" si="38"/>
        <v/>
      </c>
      <c r="AI235" s="54"/>
      <c r="AJ235" s="3"/>
      <c r="AK235" s="3">
        <v>1</v>
      </c>
      <c r="AL235" s="3"/>
      <c r="AM235" s="4"/>
      <c r="AN235" s="4"/>
      <c r="AO235" s="3"/>
      <c r="AP235" s="4"/>
      <c r="AQ235" s="3"/>
      <c r="AR235" s="3"/>
      <c r="AS235" s="3"/>
    </row>
    <row r="236" spans="1:45" s="53" customFormat="1" ht="19.5" customHeight="1">
      <c r="A236" s="35" t="e">
        <f t="shared" si="33"/>
        <v>#REF!</v>
      </c>
      <c r="B236" s="81"/>
      <c r="C236" s="3"/>
      <c r="D236" s="46"/>
      <c r="E236" s="3"/>
      <c r="F236" s="3"/>
      <c r="G236" s="3"/>
      <c r="H236" s="41"/>
      <c r="I236" s="37" t="s">
        <v>50</v>
      </c>
      <c r="J236" s="43"/>
      <c r="K236" s="43"/>
      <c r="L236" s="43" t="s">
        <v>52</v>
      </c>
      <c r="M236" s="78"/>
      <c r="N236" s="44" t="str">
        <f t="shared" si="34"/>
        <v/>
      </c>
      <c r="O236" s="45" t="s">
        <v>61</v>
      </c>
      <c r="P236" s="67"/>
      <c r="Q236" s="67"/>
      <c r="R236" s="68"/>
      <c r="S236" s="69"/>
      <c r="T236" s="82">
        <v>0.6875</v>
      </c>
      <c r="U236" s="79">
        <v>0.69444444444444453</v>
      </c>
      <c r="V236" s="83"/>
      <c r="W236" s="3"/>
      <c r="X236" s="72" t="s">
        <v>66</v>
      </c>
      <c r="Y236" s="80"/>
      <c r="Z236" s="80"/>
      <c r="AA236" s="3"/>
      <c r="AC236" s="50"/>
      <c r="AD236" s="50"/>
      <c r="AE236" s="3" t="str">
        <f t="shared" si="35"/>
        <v>-</v>
      </c>
      <c r="AF236" s="51"/>
      <c r="AG236" s="52" t="str">
        <f t="shared" ca="1" si="38"/>
        <v/>
      </c>
      <c r="AI236" s="54"/>
      <c r="AJ236" s="3"/>
      <c r="AK236" s="3">
        <v>1</v>
      </c>
      <c r="AL236" s="3"/>
      <c r="AM236" s="4"/>
      <c r="AN236" s="4"/>
      <c r="AO236" s="3"/>
      <c r="AP236" s="4"/>
      <c r="AQ236" s="3"/>
      <c r="AR236" s="3"/>
      <c r="AS236" s="3"/>
    </row>
    <row r="237" spans="1:45" s="53" customFormat="1" ht="19.5" customHeight="1">
      <c r="A237" s="35" t="e">
        <f t="shared" si="33"/>
        <v>#REF!</v>
      </c>
      <c r="B237" s="81"/>
      <c r="C237" s="3"/>
      <c r="D237" s="46"/>
      <c r="E237" s="3"/>
      <c r="F237" s="3"/>
      <c r="G237" s="3"/>
      <c r="H237" s="41"/>
      <c r="I237" s="37" t="s">
        <v>50</v>
      </c>
      <c r="J237" s="43"/>
      <c r="K237" s="43"/>
      <c r="L237" s="43" t="s">
        <v>52</v>
      </c>
      <c r="M237" s="78"/>
      <c r="N237" s="44" t="str">
        <f t="shared" si="34"/>
        <v/>
      </c>
      <c r="O237" s="45" t="s">
        <v>61</v>
      </c>
      <c r="P237" s="67"/>
      <c r="Q237" s="67"/>
      <c r="R237" s="68"/>
      <c r="S237" s="69"/>
      <c r="T237" s="82">
        <v>0.6875</v>
      </c>
      <c r="U237" s="82">
        <v>0.69444444444444453</v>
      </c>
      <c r="V237" s="97" t="s">
        <v>85</v>
      </c>
      <c r="W237" s="3"/>
      <c r="X237" s="72" t="s">
        <v>66</v>
      </c>
      <c r="Y237" s="79"/>
      <c r="Z237" s="49"/>
      <c r="AA237" s="3"/>
      <c r="AC237" s="50"/>
      <c r="AD237" s="50"/>
      <c r="AE237" s="3" t="str">
        <f t="shared" si="35"/>
        <v>-</v>
      </c>
      <c r="AF237" s="51"/>
      <c r="AG237" s="52" t="str">
        <f t="shared" ca="1" si="38"/>
        <v/>
      </c>
      <c r="AI237" s="54"/>
      <c r="AJ237" s="3"/>
      <c r="AK237" s="3">
        <v>1</v>
      </c>
      <c r="AL237" s="3"/>
      <c r="AM237" s="4"/>
      <c r="AN237" s="4"/>
      <c r="AO237" s="3"/>
      <c r="AP237" s="4"/>
      <c r="AQ237" s="3"/>
      <c r="AR237" s="3"/>
      <c r="AS237" s="3"/>
    </row>
    <row r="238" spans="1:45" s="53" customFormat="1" ht="19.5" customHeight="1">
      <c r="A238" s="35" t="e">
        <f t="shared" si="33"/>
        <v>#REF!</v>
      </c>
      <c r="B238" s="81"/>
      <c r="C238" s="3"/>
      <c r="D238" s="46"/>
      <c r="E238" s="3"/>
      <c r="F238" s="3"/>
      <c r="G238" s="3"/>
      <c r="H238" s="41"/>
      <c r="I238" s="37" t="s">
        <v>50</v>
      </c>
      <c r="J238" s="43"/>
      <c r="K238" s="43"/>
      <c r="L238" s="43" t="s">
        <v>52</v>
      </c>
      <c r="M238" s="78"/>
      <c r="N238" s="44" t="str">
        <f t="shared" si="34"/>
        <v/>
      </c>
      <c r="O238" s="45" t="s">
        <v>61</v>
      </c>
      <c r="P238" s="67"/>
      <c r="Q238" s="67"/>
      <c r="R238" s="68"/>
      <c r="S238" s="69"/>
      <c r="T238" s="82">
        <v>0.6875</v>
      </c>
      <c r="U238" s="82">
        <v>0.69444444444444453</v>
      </c>
      <c r="V238" s="97" t="s">
        <v>85</v>
      </c>
      <c r="W238" s="3"/>
      <c r="X238" s="72" t="s">
        <v>66</v>
      </c>
      <c r="Y238" s="99">
        <v>0.69097222222222221</v>
      </c>
      <c r="Z238" s="100">
        <v>0.69791666666666663</v>
      </c>
      <c r="AA238" s="83"/>
      <c r="AB238" s="73"/>
      <c r="AC238" s="50"/>
      <c r="AD238" s="50"/>
      <c r="AE238" s="3" t="str">
        <f t="shared" si="35"/>
        <v>-</v>
      </c>
      <c r="AF238" s="51"/>
      <c r="AG238" s="52" t="str">
        <f t="shared" ca="1" si="38"/>
        <v/>
      </c>
      <c r="AI238" s="54"/>
      <c r="AJ238" s="3"/>
      <c r="AK238" s="3">
        <v>1</v>
      </c>
      <c r="AL238" s="3"/>
      <c r="AM238" s="4"/>
      <c r="AN238" s="4"/>
      <c r="AO238" s="3"/>
      <c r="AP238" s="4"/>
      <c r="AQ238" s="3"/>
      <c r="AR238" s="3"/>
      <c r="AS238" s="3"/>
    </row>
    <row r="239" spans="1:45" s="53" customFormat="1" ht="19.5" customHeight="1">
      <c r="A239" s="35" t="e">
        <f t="shared" si="33"/>
        <v>#REF!</v>
      </c>
      <c r="B239" s="81"/>
      <c r="C239" s="3"/>
      <c r="D239" s="46"/>
      <c r="E239" s="3"/>
      <c r="F239" s="3"/>
      <c r="G239" s="3"/>
      <c r="H239" s="41"/>
      <c r="I239" s="37" t="s">
        <v>50</v>
      </c>
      <c r="J239" s="43"/>
      <c r="K239" s="43"/>
      <c r="L239" s="43" t="s">
        <v>52</v>
      </c>
      <c r="M239" s="78"/>
      <c r="N239" s="44" t="str">
        <f t="shared" si="34"/>
        <v/>
      </c>
      <c r="O239" s="45" t="s">
        <v>61</v>
      </c>
      <c r="P239" s="67"/>
      <c r="Q239" s="67"/>
      <c r="R239" s="68"/>
      <c r="S239" s="69"/>
      <c r="T239" s="82">
        <v>0.6875</v>
      </c>
      <c r="U239" s="82">
        <v>0.69444444444444453</v>
      </c>
      <c r="V239" s="97" t="s">
        <v>85</v>
      </c>
      <c r="W239" s="3"/>
      <c r="X239" s="72" t="s">
        <v>66</v>
      </c>
      <c r="Y239" s="99">
        <v>0.69097222222222221</v>
      </c>
      <c r="Z239" s="91">
        <v>0.69791666666666663</v>
      </c>
      <c r="AA239" s="83"/>
      <c r="AB239" s="73"/>
      <c r="AC239" s="50"/>
      <c r="AD239" s="50"/>
      <c r="AE239" s="3" t="str">
        <f t="shared" si="35"/>
        <v>-</v>
      </c>
      <c r="AF239" s="51"/>
      <c r="AG239" s="52" t="str">
        <f t="shared" ca="1" si="38"/>
        <v/>
      </c>
      <c r="AI239" s="54"/>
      <c r="AJ239" s="3"/>
      <c r="AK239" s="3">
        <v>1</v>
      </c>
      <c r="AL239" s="3"/>
      <c r="AM239" s="4"/>
      <c r="AN239" s="4"/>
      <c r="AO239" s="3"/>
      <c r="AP239" s="4"/>
      <c r="AQ239" s="3"/>
      <c r="AR239" s="3"/>
      <c r="AS239" s="3"/>
    </row>
    <row r="240" spans="1:45" s="53" customFormat="1" ht="19.5" customHeight="1">
      <c r="A240" s="35" t="e">
        <f t="shared" si="33"/>
        <v>#REF!</v>
      </c>
      <c r="B240" s="81"/>
      <c r="C240" s="3"/>
      <c r="D240" s="116"/>
      <c r="E240" s="145"/>
      <c r="F240" s="145"/>
      <c r="G240" s="145"/>
      <c r="H240" s="146"/>
      <c r="I240" s="89" t="s">
        <v>50</v>
      </c>
      <c r="J240" s="90"/>
      <c r="K240" s="147"/>
      <c r="L240" s="90" t="s">
        <v>52</v>
      </c>
      <c r="M240" s="123"/>
      <c r="N240" s="44" t="str">
        <f t="shared" si="34"/>
        <v/>
      </c>
      <c r="O240" s="45" t="s">
        <v>61</v>
      </c>
      <c r="P240" s="67"/>
      <c r="Q240" s="67"/>
      <c r="R240" s="68"/>
      <c r="S240" s="69"/>
      <c r="T240" s="82">
        <v>0.6875</v>
      </c>
      <c r="U240" s="82">
        <v>0.69444444444444453</v>
      </c>
      <c r="V240" s="97" t="s">
        <v>85</v>
      </c>
      <c r="W240" s="3"/>
      <c r="X240" s="117" t="s">
        <v>66</v>
      </c>
      <c r="Y240" s="99">
        <v>0.69097222222222221</v>
      </c>
      <c r="Z240" s="91">
        <v>0.69791666666666663</v>
      </c>
      <c r="AA240" s="89" t="s">
        <v>97</v>
      </c>
      <c r="AB240" s="73"/>
      <c r="AC240" s="50"/>
      <c r="AD240" s="50"/>
      <c r="AE240" s="3" t="str">
        <f t="shared" si="35"/>
        <v>-</v>
      </c>
      <c r="AF240" s="51"/>
      <c r="AG240" s="52" t="str">
        <f t="shared" ca="1" si="38"/>
        <v/>
      </c>
      <c r="AI240" s="54"/>
      <c r="AJ240" s="3"/>
      <c r="AK240" s="3">
        <v>1</v>
      </c>
      <c r="AL240" s="3"/>
      <c r="AM240" s="4"/>
      <c r="AN240" s="4"/>
      <c r="AO240" s="3"/>
      <c r="AP240" s="4"/>
      <c r="AQ240" s="3"/>
      <c r="AR240" s="3"/>
      <c r="AS240" s="3"/>
    </row>
    <row r="241" spans="1:45" s="53" customFormat="1" ht="19.5" customHeight="1">
      <c r="A241" s="35" t="e">
        <f>#REF!</f>
        <v>#REF!</v>
      </c>
      <c r="B241" s="81"/>
      <c r="C241" s="3"/>
      <c r="D241" s="46"/>
      <c r="E241" s="3"/>
      <c r="F241" s="3"/>
      <c r="G241" s="3"/>
      <c r="H241" s="41"/>
      <c r="I241" s="37" t="s">
        <v>50</v>
      </c>
      <c r="J241" s="43"/>
      <c r="K241" s="43"/>
      <c r="L241" s="43" t="s">
        <v>52</v>
      </c>
      <c r="M241" s="78"/>
      <c r="N241" s="44" t="str">
        <f t="shared" si="34"/>
        <v/>
      </c>
      <c r="O241" s="45" t="s">
        <v>61</v>
      </c>
      <c r="P241" s="67"/>
      <c r="Q241" s="67"/>
      <c r="R241" s="68"/>
      <c r="S241" s="69"/>
      <c r="T241" s="82">
        <v>0.6875</v>
      </c>
      <c r="U241" s="82">
        <v>0.69444444444444453</v>
      </c>
      <c r="V241" s="97" t="s">
        <v>85</v>
      </c>
      <c r="W241" s="3"/>
      <c r="X241" s="106" t="s">
        <v>66</v>
      </c>
      <c r="Y241" s="99">
        <v>0.69097222222222221</v>
      </c>
      <c r="Z241" s="99">
        <v>0.69791666666666663</v>
      </c>
      <c r="AA241" s="83" t="s">
        <v>70</v>
      </c>
      <c r="AB241" s="73"/>
      <c r="AC241" s="106" t="s">
        <v>117</v>
      </c>
      <c r="AE241" s="3" t="str">
        <f t="shared" si="35"/>
        <v>-</v>
      </c>
      <c r="AF241" s="51"/>
      <c r="AG241" s="52" t="str">
        <f t="shared" ca="1" si="38"/>
        <v/>
      </c>
      <c r="AI241" s="54"/>
      <c r="AJ241" s="3"/>
      <c r="AK241" s="3">
        <v>1</v>
      </c>
      <c r="AL241" s="3"/>
      <c r="AM241" s="4"/>
      <c r="AN241" s="4"/>
      <c r="AO241" s="3"/>
      <c r="AP241" s="4"/>
      <c r="AQ241" s="3"/>
      <c r="AR241" s="3"/>
      <c r="AS241" s="3"/>
    </row>
    <row r="242" spans="1:45" s="53" customFormat="1" ht="19.5" customHeight="1">
      <c r="A242" s="35" t="e">
        <f t="shared" si="33"/>
        <v>#REF!</v>
      </c>
      <c r="B242" s="81"/>
      <c r="C242" s="3"/>
      <c r="D242" s="46"/>
      <c r="E242" s="3"/>
      <c r="F242" s="3"/>
      <c r="G242" s="3"/>
      <c r="H242" s="41"/>
      <c r="I242" s="37" t="s">
        <v>50</v>
      </c>
      <c r="J242" s="43"/>
      <c r="K242" s="43"/>
      <c r="L242" s="43" t="s">
        <v>52</v>
      </c>
      <c r="M242" s="78"/>
      <c r="N242" s="44" t="str">
        <f t="shared" si="34"/>
        <v/>
      </c>
      <c r="O242" s="45" t="s">
        <v>61</v>
      </c>
      <c r="P242" s="67"/>
      <c r="Q242" s="67"/>
      <c r="R242" s="68"/>
      <c r="S242" s="69"/>
      <c r="T242" s="82">
        <v>0.6875</v>
      </c>
      <c r="U242" s="82">
        <v>0.69444444444444453</v>
      </c>
      <c r="V242" s="97" t="s">
        <v>85</v>
      </c>
      <c r="W242" s="3"/>
      <c r="X242" s="106" t="s">
        <v>66</v>
      </c>
      <c r="Y242" s="99">
        <v>0.69097222222222221</v>
      </c>
      <c r="Z242" s="99">
        <v>0.69791666666666663</v>
      </c>
      <c r="AA242" s="92" t="s">
        <v>73</v>
      </c>
      <c r="AB242" s="73"/>
      <c r="AC242" s="106" t="s">
        <v>118</v>
      </c>
      <c r="AE242" s="3" t="str">
        <f t="shared" si="35"/>
        <v>-</v>
      </c>
      <c r="AF242" s="51"/>
      <c r="AG242" s="52" t="str">
        <f t="shared" ca="1" si="38"/>
        <v/>
      </c>
      <c r="AI242" s="54"/>
      <c r="AJ242" s="3"/>
      <c r="AK242" s="3">
        <v>1</v>
      </c>
      <c r="AL242" s="3"/>
      <c r="AM242" s="4"/>
      <c r="AN242" s="4"/>
      <c r="AO242" s="3"/>
      <c r="AP242" s="4"/>
      <c r="AQ242" s="3"/>
      <c r="AR242" s="3"/>
      <c r="AS242" s="3"/>
    </row>
    <row r="243" spans="1:45" s="53" customFormat="1" ht="19.5" customHeight="1">
      <c r="A243" s="35" t="e">
        <f t="shared" si="33"/>
        <v>#REF!</v>
      </c>
      <c r="B243" s="81"/>
      <c r="C243" s="3"/>
      <c r="D243" s="46"/>
      <c r="E243" s="3"/>
      <c r="F243" s="3"/>
      <c r="G243" s="3"/>
      <c r="H243" s="41"/>
      <c r="I243" s="3"/>
      <c r="J243" s="78"/>
      <c r="K243" s="78"/>
      <c r="L243" s="78"/>
      <c r="M243" s="78"/>
      <c r="N243" s="44" t="str">
        <f t="shared" si="34"/>
        <v/>
      </c>
      <c r="O243" s="45"/>
      <c r="P243" s="3"/>
      <c r="Q243" s="46"/>
      <c r="R243" s="47"/>
      <c r="S243" s="48"/>
      <c r="T243" s="80"/>
      <c r="U243" s="80"/>
      <c r="V243" s="3"/>
      <c r="W243" s="3"/>
      <c r="X243" s="50"/>
      <c r="Y243" s="80"/>
      <c r="Z243" s="80"/>
      <c r="AA243" s="3"/>
      <c r="AC243" s="50"/>
      <c r="AD243" s="50"/>
      <c r="AE243" s="3" t="str">
        <f t="shared" si="35"/>
        <v>-</v>
      </c>
      <c r="AF243" s="51"/>
      <c r="AG243" s="52" t="str">
        <f t="shared" ca="1" si="38"/>
        <v/>
      </c>
      <c r="AI243" s="54"/>
      <c r="AJ243" s="3"/>
      <c r="AK243" s="3">
        <v>1</v>
      </c>
      <c r="AL243" s="3"/>
      <c r="AM243" s="4"/>
      <c r="AN243" s="4"/>
      <c r="AO243" s="3"/>
      <c r="AP243" s="4"/>
      <c r="AQ243" s="3"/>
      <c r="AR243" s="3"/>
      <c r="AS243" s="3"/>
    </row>
    <row r="244" spans="1:45" s="53" customFormat="1" ht="19.5" customHeight="1">
      <c r="A244" s="35" t="e">
        <f t="shared" si="33"/>
        <v>#REF!</v>
      </c>
      <c r="B244" s="81"/>
      <c r="C244" s="3"/>
      <c r="D244" s="46"/>
      <c r="E244" s="3"/>
      <c r="F244" s="3"/>
      <c r="G244" s="3"/>
      <c r="H244" s="41"/>
      <c r="I244" s="3"/>
      <c r="J244" s="78"/>
      <c r="K244" s="78"/>
      <c r="L244" s="78"/>
      <c r="M244" s="78"/>
      <c r="N244" s="44"/>
      <c r="O244" s="45"/>
      <c r="P244" s="3"/>
      <c r="Q244" s="46"/>
      <c r="R244" s="47"/>
      <c r="S244" s="48"/>
      <c r="T244" s="80"/>
      <c r="U244" s="80"/>
      <c r="V244" s="3"/>
      <c r="W244" s="3"/>
      <c r="X244" s="50"/>
      <c r="Y244" s="80"/>
      <c r="Z244" s="80"/>
      <c r="AA244" s="3"/>
      <c r="AC244" s="50"/>
      <c r="AD244" s="50"/>
      <c r="AE244" s="3"/>
      <c r="AF244" s="51"/>
      <c r="AG244" s="52"/>
      <c r="AI244" s="54"/>
      <c r="AJ244" s="3"/>
      <c r="AK244" s="3">
        <v>1</v>
      </c>
      <c r="AL244" s="3"/>
      <c r="AM244" s="4"/>
      <c r="AN244" s="4"/>
      <c r="AO244" s="3"/>
      <c r="AP244" s="4"/>
      <c r="AQ244" s="3"/>
      <c r="AR244" s="3"/>
      <c r="AS244" s="3"/>
    </row>
    <row r="245" spans="1:45" s="53" customFormat="1" ht="19.5" customHeight="1">
      <c r="A245" s="35" t="e">
        <f t="shared" si="33"/>
        <v>#REF!</v>
      </c>
      <c r="B245" s="77">
        <v>4</v>
      </c>
      <c r="C245" s="102"/>
      <c r="D245" s="38" t="s">
        <v>119</v>
      </c>
      <c r="E245" s="3"/>
      <c r="F245" s="3"/>
      <c r="G245" s="3"/>
      <c r="H245" s="41"/>
      <c r="I245" s="37" t="s">
        <v>50</v>
      </c>
      <c r="J245" s="43"/>
      <c r="K245" s="43"/>
      <c r="L245" s="43" t="s">
        <v>52</v>
      </c>
      <c r="M245" s="78"/>
      <c r="N245" s="44" t="str">
        <f t="shared" ref="N245:N289" si="39">IF(C245="","",C245)</f>
        <v/>
      </c>
      <c r="O245" s="45" t="s">
        <v>61</v>
      </c>
      <c r="P245" s="67"/>
      <c r="Q245" s="67"/>
      <c r="R245" s="68"/>
      <c r="S245" s="69"/>
      <c r="T245" s="79"/>
      <c r="U245" s="49"/>
      <c r="V245" s="3"/>
      <c r="W245" s="3"/>
      <c r="X245" s="72" t="s">
        <v>66</v>
      </c>
      <c r="Y245" s="80"/>
      <c r="Z245" s="80"/>
      <c r="AA245" s="3"/>
      <c r="AC245" s="50"/>
      <c r="AD245" s="50"/>
      <c r="AE245" s="3" t="str">
        <f t="shared" ref="AE245:AE252" si="40">IF(OR(V245="電話不通 x2",V245="DS判断"),"DS確認→U列入力",IF(V245="希望","U列入力",IF(V245="拒否","DS確認",IF(V245="外国語","DS確認",IF(V245="電話不通 x1","ORM再架電","-")))))</f>
        <v>-</v>
      </c>
      <c r="AF245" s="51"/>
      <c r="AG245" s="52" t="str">
        <f t="shared" ref="AG245:AG280" ca="1" si="41">IF(AF245="","",IF($AF245+TIME(0,30,0)&lt;(TEXT(NOW(),"h:mm:ss")*1),$AF245+TIME(0,45,0),$AF245+TIME(0,30,0)))</f>
        <v/>
      </c>
      <c r="AI245" s="54"/>
      <c r="AJ245" s="3"/>
      <c r="AK245" s="3">
        <v>1</v>
      </c>
      <c r="AL245" s="3"/>
      <c r="AM245" s="4"/>
      <c r="AN245" s="4"/>
      <c r="AO245" s="3"/>
      <c r="AP245" s="4"/>
      <c r="AQ245" s="3"/>
      <c r="AR245" s="3"/>
      <c r="AS245" s="3"/>
    </row>
    <row r="246" spans="1:45" s="53" customFormat="1" ht="19.5" customHeight="1">
      <c r="A246" s="35" t="e">
        <f t="shared" si="33"/>
        <v>#REF!</v>
      </c>
      <c r="B246" s="81"/>
      <c r="C246" s="3"/>
      <c r="D246" s="46"/>
      <c r="E246" s="3"/>
      <c r="F246" s="3"/>
      <c r="G246" s="3"/>
      <c r="H246" s="41"/>
      <c r="I246" s="37" t="s">
        <v>50</v>
      </c>
      <c r="J246" s="43"/>
      <c r="K246" s="43"/>
      <c r="L246" s="43" t="s">
        <v>52</v>
      </c>
      <c r="M246" s="78"/>
      <c r="N246" s="44" t="str">
        <f t="shared" si="39"/>
        <v/>
      </c>
      <c r="O246" s="45" t="s">
        <v>61</v>
      </c>
      <c r="P246" s="67"/>
      <c r="Q246" s="67"/>
      <c r="R246" s="68"/>
      <c r="S246" s="69"/>
      <c r="T246" s="82">
        <v>0.6875</v>
      </c>
      <c r="U246" s="79">
        <v>0.69444444444444453</v>
      </c>
      <c r="V246" s="83"/>
      <c r="W246" s="3"/>
      <c r="X246" s="72" t="s">
        <v>66</v>
      </c>
      <c r="Y246" s="80"/>
      <c r="Z246" s="80"/>
      <c r="AA246" s="3"/>
      <c r="AC246" s="50"/>
      <c r="AD246" s="50"/>
      <c r="AE246" s="3" t="str">
        <f t="shared" si="40"/>
        <v>-</v>
      </c>
      <c r="AF246" s="51"/>
      <c r="AG246" s="52" t="str">
        <f t="shared" ca="1" si="41"/>
        <v/>
      </c>
      <c r="AI246" s="54"/>
      <c r="AJ246" s="3"/>
      <c r="AK246" s="3">
        <v>1</v>
      </c>
      <c r="AL246" s="3"/>
      <c r="AM246" s="4"/>
      <c r="AN246" s="4"/>
      <c r="AO246" s="3"/>
      <c r="AP246" s="4"/>
      <c r="AQ246" s="3"/>
      <c r="AR246" s="3"/>
      <c r="AS246" s="3"/>
    </row>
    <row r="247" spans="1:45" s="53" customFormat="1" ht="19.5" customHeight="1">
      <c r="A247" s="35" t="e">
        <f t="shared" si="33"/>
        <v>#REF!</v>
      </c>
      <c r="B247" s="81"/>
      <c r="C247" s="3"/>
      <c r="D247" s="46"/>
      <c r="E247" s="3"/>
      <c r="F247" s="3"/>
      <c r="G247" s="3"/>
      <c r="H247" s="41"/>
      <c r="I247" s="37" t="s">
        <v>50</v>
      </c>
      <c r="J247" s="43"/>
      <c r="K247" s="43"/>
      <c r="L247" s="43" t="s">
        <v>52</v>
      </c>
      <c r="M247" s="78"/>
      <c r="N247" s="44" t="str">
        <f t="shared" si="39"/>
        <v/>
      </c>
      <c r="O247" s="45" t="s">
        <v>61</v>
      </c>
      <c r="P247" s="67"/>
      <c r="Q247" s="67"/>
      <c r="R247" s="68"/>
      <c r="S247" s="69"/>
      <c r="T247" s="82">
        <v>0.6875</v>
      </c>
      <c r="U247" s="82">
        <v>0.69444444444444453</v>
      </c>
      <c r="V247" s="97" t="s">
        <v>85</v>
      </c>
      <c r="W247" s="3"/>
      <c r="X247" s="72" t="s">
        <v>66</v>
      </c>
      <c r="Y247" s="79"/>
      <c r="Z247" s="49"/>
      <c r="AA247" s="3"/>
      <c r="AC247" s="50"/>
      <c r="AD247" s="50"/>
      <c r="AE247" s="3" t="str">
        <f t="shared" si="40"/>
        <v>-</v>
      </c>
      <c r="AF247" s="51"/>
      <c r="AG247" s="52" t="str">
        <f t="shared" ca="1" si="41"/>
        <v/>
      </c>
      <c r="AI247" s="54"/>
      <c r="AJ247" s="3"/>
      <c r="AK247" s="3">
        <v>1</v>
      </c>
      <c r="AL247" s="3"/>
      <c r="AM247" s="4"/>
      <c r="AN247" s="4"/>
      <c r="AO247" s="3"/>
      <c r="AP247" s="4"/>
      <c r="AQ247" s="3"/>
      <c r="AR247" s="3"/>
      <c r="AS247" s="3"/>
    </row>
    <row r="248" spans="1:45" s="53" customFormat="1" ht="19.5" customHeight="1">
      <c r="A248" s="35" t="e">
        <f t="shared" si="33"/>
        <v>#REF!</v>
      </c>
      <c r="B248" s="81"/>
      <c r="C248" s="3"/>
      <c r="D248" s="46"/>
      <c r="E248" s="3"/>
      <c r="F248" s="3"/>
      <c r="G248" s="3"/>
      <c r="H248" s="41"/>
      <c r="I248" s="37" t="s">
        <v>50</v>
      </c>
      <c r="J248" s="43"/>
      <c r="K248" s="43"/>
      <c r="L248" s="43" t="s">
        <v>52</v>
      </c>
      <c r="M248" s="78"/>
      <c r="N248" s="44" t="str">
        <f t="shared" si="39"/>
        <v/>
      </c>
      <c r="O248" s="45" t="s">
        <v>61</v>
      </c>
      <c r="P248" s="67"/>
      <c r="Q248" s="67"/>
      <c r="R248" s="68"/>
      <c r="S248" s="69"/>
      <c r="T248" s="82">
        <v>0.6875</v>
      </c>
      <c r="U248" s="82">
        <v>0.69444444444444453</v>
      </c>
      <c r="V248" s="97" t="s">
        <v>85</v>
      </c>
      <c r="W248" s="3"/>
      <c r="X248" s="72" t="s">
        <v>66</v>
      </c>
      <c r="Y248" s="99">
        <v>0.69097222222222221</v>
      </c>
      <c r="Z248" s="100">
        <v>0.69791666666666663</v>
      </c>
      <c r="AA248" s="83"/>
      <c r="AB248" s="73"/>
      <c r="AC248" s="50"/>
      <c r="AD248" s="50"/>
      <c r="AE248" s="3" t="str">
        <f t="shared" si="40"/>
        <v>-</v>
      </c>
      <c r="AF248" s="51"/>
      <c r="AG248" s="52" t="str">
        <f t="shared" ca="1" si="41"/>
        <v/>
      </c>
      <c r="AI248" s="54"/>
      <c r="AJ248" s="3"/>
      <c r="AK248" s="3">
        <v>1</v>
      </c>
      <c r="AL248" s="3"/>
      <c r="AM248" s="4"/>
      <c r="AN248" s="4"/>
      <c r="AO248" s="3"/>
      <c r="AP248" s="4"/>
      <c r="AQ248" s="3"/>
      <c r="AR248" s="3"/>
      <c r="AS248" s="3"/>
    </row>
    <row r="249" spans="1:45" s="53" customFormat="1" ht="19.5" customHeight="1">
      <c r="A249" s="35" t="e">
        <f t="shared" si="33"/>
        <v>#REF!</v>
      </c>
      <c r="B249" s="81"/>
      <c r="C249" s="3"/>
      <c r="D249" s="46"/>
      <c r="E249" s="3"/>
      <c r="F249" s="3"/>
      <c r="G249" s="3"/>
      <c r="H249" s="41"/>
      <c r="I249" s="37" t="s">
        <v>50</v>
      </c>
      <c r="J249" s="43"/>
      <c r="K249" s="43"/>
      <c r="L249" s="43" t="s">
        <v>52</v>
      </c>
      <c r="M249" s="78"/>
      <c r="N249" s="44" t="str">
        <f t="shared" si="39"/>
        <v/>
      </c>
      <c r="O249" s="45" t="s">
        <v>61</v>
      </c>
      <c r="P249" s="67"/>
      <c r="Q249" s="67"/>
      <c r="R249" s="68"/>
      <c r="S249" s="69"/>
      <c r="T249" s="82">
        <v>0.6875</v>
      </c>
      <c r="U249" s="82">
        <v>0.69444444444444453</v>
      </c>
      <c r="V249" s="97" t="s">
        <v>85</v>
      </c>
      <c r="W249" s="3"/>
      <c r="X249" s="72" t="s">
        <v>66</v>
      </c>
      <c r="Y249" s="99">
        <v>0.69097222222222221</v>
      </c>
      <c r="Z249" s="91">
        <v>0.69791666666666663</v>
      </c>
      <c r="AA249" s="83"/>
      <c r="AB249" s="73"/>
      <c r="AC249" s="50"/>
      <c r="AD249" s="50"/>
      <c r="AE249" s="3" t="str">
        <f t="shared" si="40"/>
        <v>-</v>
      </c>
      <c r="AF249" s="51"/>
      <c r="AG249" s="52" t="str">
        <f t="shared" ca="1" si="41"/>
        <v/>
      </c>
      <c r="AI249" s="54"/>
      <c r="AJ249" s="3"/>
      <c r="AK249" s="3">
        <v>1</v>
      </c>
      <c r="AL249" s="3"/>
      <c r="AM249" s="4"/>
      <c r="AN249" s="4"/>
      <c r="AO249" s="3"/>
      <c r="AP249" s="4"/>
      <c r="AQ249" s="3"/>
      <c r="AR249" s="3"/>
      <c r="AS249" s="3"/>
    </row>
    <row r="250" spans="1:45" s="53" customFormat="1" ht="19.5" customHeight="1">
      <c r="A250" s="35" t="e">
        <f t="shared" si="33"/>
        <v>#REF!</v>
      </c>
      <c r="B250" s="81"/>
      <c r="C250" s="3"/>
      <c r="D250" s="116"/>
      <c r="E250" s="145"/>
      <c r="F250" s="145"/>
      <c r="G250" s="145"/>
      <c r="H250" s="146"/>
      <c r="I250" s="89" t="s">
        <v>50</v>
      </c>
      <c r="J250" s="90"/>
      <c r="K250" s="147"/>
      <c r="L250" s="90" t="s">
        <v>52</v>
      </c>
      <c r="M250" s="123"/>
      <c r="N250" s="44" t="str">
        <f t="shared" si="39"/>
        <v/>
      </c>
      <c r="O250" s="45" t="s">
        <v>61</v>
      </c>
      <c r="P250" s="67"/>
      <c r="Q250" s="67"/>
      <c r="R250" s="68"/>
      <c r="S250" s="69"/>
      <c r="T250" s="82">
        <v>0.6875</v>
      </c>
      <c r="U250" s="82">
        <v>0.69444444444444453</v>
      </c>
      <c r="V250" s="97" t="s">
        <v>85</v>
      </c>
      <c r="W250" s="3"/>
      <c r="X250" s="117" t="s">
        <v>66</v>
      </c>
      <c r="Y250" s="99">
        <v>0.69097222222222221</v>
      </c>
      <c r="Z250" s="91">
        <v>0.69791666666666663</v>
      </c>
      <c r="AA250" s="89" t="s">
        <v>97</v>
      </c>
      <c r="AB250" s="73"/>
      <c r="AC250" s="50"/>
      <c r="AD250" s="50"/>
      <c r="AE250" s="3" t="str">
        <f t="shared" si="40"/>
        <v>-</v>
      </c>
      <c r="AF250" s="51"/>
      <c r="AG250" s="52" t="str">
        <f t="shared" ca="1" si="41"/>
        <v/>
      </c>
      <c r="AI250" s="54"/>
      <c r="AJ250" s="3"/>
      <c r="AK250" s="3">
        <v>1</v>
      </c>
      <c r="AL250" s="3"/>
      <c r="AM250" s="4"/>
      <c r="AN250" s="4"/>
      <c r="AO250" s="3"/>
      <c r="AP250" s="4"/>
      <c r="AQ250" s="3"/>
      <c r="AR250" s="3"/>
      <c r="AS250" s="3"/>
    </row>
    <row r="251" spans="1:45" s="53" customFormat="1" ht="19.5" customHeight="1">
      <c r="A251" s="35" t="e">
        <f>A249</f>
        <v>#REF!</v>
      </c>
      <c r="B251" s="81"/>
      <c r="C251" s="3"/>
      <c r="D251" s="46"/>
      <c r="E251" s="3"/>
      <c r="F251" s="3"/>
      <c r="G251" s="3"/>
      <c r="H251" s="41"/>
      <c r="I251" s="37" t="s">
        <v>50</v>
      </c>
      <c r="J251" s="43"/>
      <c r="K251" s="43"/>
      <c r="L251" s="43" t="s">
        <v>52</v>
      </c>
      <c r="M251" s="78"/>
      <c r="N251" s="44" t="str">
        <f t="shared" si="39"/>
        <v/>
      </c>
      <c r="O251" s="45" t="s">
        <v>61</v>
      </c>
      <c r="P251" s="67"/>
      <c r="Q251" s="67"/>
      <c r="R251" s="68"/>
      <c r="S251" s="69"/>
      <c r="T251" s="82">
        <v>0.6875</v>
      </c>
      <c r="U251" s="82">
        <v>0.69444444444444453</v>
      </c>
      <c r="V251" s="97" t="s">
        <v>85</v>
      </c>
      <c r="W251" s="3"/>
      <c r="X251" s="106" t="s">
        <v>66</v>
      </c>
      <c r="Y251" s="99">
        <v>0.69097222222222221</v>
      </c>
      <c r="Z251" s="99">
        <v>0.69791666666666663</v>
      </c>
      <c r="AA251" s="71" t="s">
        <v>91</v>
      </c>
      <c r="AB251" s="101"/>
      <c r="AC251" s="50"/>
      <c r="AD251" s="50"/>
      <c r="AE251" s="3" t="str">
        <f t="shared" si="40"/>
        <v>-</v>
      </c>
      <c r="AF251" s="51"/>
      <c r="AG251" s="52" t="str">
        <f t="shared" ca="1" si="41"/>
        <v/>
      </c>
      <c r="AI251" s="54"/>
      <c r="AJ251" s="3"/>
      <c r="AK251" s="3">
        <v>1</v>
      </c>
      <c r="AL251" s="3"/>
      <c r="AM251" s="4"/>
      <c r="AN251" s="4"/>
      <c r="AO251" s="3"/>
      <c r="AP251" s="4"/>
      <c r="AQ251" s="3"/>
      <c r="AR251" s="3"/>
      <c r="AS251" s="3"/>
    </row>
    <row r="252" spans="1:45" s="53" customFormat="1" ht="19.5" customHeight="1">
      <c r="A252" s="35" t="e">
        <f>#REF!</f>
        <v>#REF!</v>
      </c>
      <c r="B252" s="81"/>
      <c r="C252" s="3"/>
      <c r="D252" s="46"/>
      <c r="E252" s="3"/>
      <c r="F252" s="3"/>
      <c r="G252" s="3"/>
      <c r="H252" s="41"/>
      <c r="I252" s="37" t="s">
        <v>50</v>
      </c>
      <c r="J252" s="43"/>
      <c r="K252" s="43"/>
      <c r="L252" s="43" t="s">
        <v>52</v>
      </c>
      <c r="M252" s="78"/>
      <c r="N252" s="44" t="str">
        <f t="shared" si="39"/>
        <v/>
      </c>
      <c r="O252" s="45" t="s">
        <v>61</v>
      </c>
      <c r="P252" s="67"/>
      <c r="Q252" s="67"/>
      <c r="R252" s="68"/>
      <c r="S252" s="69"/>
      <c r="T252" s="82">
        <v>0.6875</v>
      </c>
      <c r="U252" s="82">
        <v>0.69444444444444453</v>
      </c>
      <c r="V252" s="97" t="s">
        <v>85</v>
      </c>
      <c r="W252" s="3"/>
      <c r="X252" s="106" t="s">
        <v>66</v>
      </c>
      <c r="Y252" s="99">
        <v>0.69097222222222221</v>
      </c>
      <c r="Z252" s="99">
        <v>0.69791666666666663</v>
      </c>
      <c r="AA252" s="71" t="s">
        <v>91</v>
      </c>
      <c r="AB252" s="92" t="s">
        <v>76</v>
      </c>
      <c r="AC252" s="50"/>
      <c r="AD252" s="50"/>
      <c r="AE252" s="3" t="str">
        <f t="shared" si="40"/>
        <v>-</v>
      </c>
      <c r="AF252" s="51"/>
      <c r="AG252" s="52" t="str">
        <f t="shared" ca="1" si="41"/>
        <v/>
      </c>
      <c r="AI252" s="54"/>
      <c r="AJ252" s="3"/>
      <c r="AK252" s="3">
        <v>1</v>
      </c>
      <c r="AL252" s="3"/>
      <c r="AM252" s="4"/>
      <c r="AN252" s="4"/>
      <c r="AO252" s="3"/>
      <c r="AP252" s="4"/>
      <c r="AQ252" s="3"/>
      <c r="AR252" s="3"/>
      <c r="AS252" s="3"/>
    </row>
    <row r="253" spans="1:45" s="53" customFormat="1" ht="19.5" customHeight="1">
      <c r="A253" s="35" t="e">
        <f t="shared" si="33"/>
        <v>#REF!</v>
      </c>
      <c r="B253" s="81"/>
      <c r="C253" s="3"/>
      <c r="D253" s="46"/>
      <c r="E253" s="3"/>
      <c r="F253" s="3"/>
      <c r="G253" s="3"/>
      <c r="H253" s="41"/>
      <c r="I253" s="37"/>
      <c r="J253" s="43"/>
      <c r="K253" s="43"/>
      <c r="L253" s="43"/>
      <c r="M253" s="78"/>
      <c r="N253" s="44" t="str">
        <f t="shared" si="39"/>
        <v/>
      </c>
      <c r="O253" s="45"/>
      <c r="P253" s="46"/>
      <c r="Q253" s="46"/>
      <c r="R253" s="47"/>
      <c r="S253" s="48"/>
      <c r="T253" s="49"/>
      <c r="U253" s="49"/>
      <c r="V253" s="3"/>
      <c r="W253" s="3"/>
      <c r="X253" s="50"/>
      <c r="Y253" s="80"/>
      <c r="Z253" s="80"/>
      <c r="AA253" s="3"/>
      <c r="AC253" s="50"/>
      <c r="AD253" s="50"/>
      <c r="AE253" s="3"/>
      <c r="AF253" s="51"/>
      <c r="AG253" s="52" t="str">
        <f t="shared" ca="1" si="41"/>
        <v/>
      </c>
      <c r="AI253" s="54"/>
      <c r="AJ253" s="3"/>
      <c r="AK253" s="3">
        <v>1</v>
      </c>
      <c r="AL253" s="3"/>
      <c r="AM253" s="4"/>
      <c r="AN253" s="4"/>
      <c r="AO253" s="3"/>
      <c r="AP253" s="4"/>
      <c r="AQ253" s="3"/>
      <c r="AR253" s="3"/>
      <c r="AS253" s="3"/>
    </row>
    <row r="254" spans="1:45" s="53" customFormat="1" ht="19.5" customHeight="1">
      <c r="A254" s="35" t="e">
        <f t="shared" si="33"/>
        <v>#REF!</v>
      </c>
      <c r="B254" s="81"/>
      <c r="C254" s="3"/>
      <c r="D254" s="46"/>
      <c r="E254" s="3"/>
      <c r="F254" s="3"/>
      <c r="G254" s="3"/>
      <c r="H254" s="41"/>
      <c r="I254" s="37"/>
      <c r="J254" s="43"/>
      <c r="K254" s="43"/>
      <c r="L254" s="43"/>
      <c r="M254" s="78"/>
      <c r="N254" s="44" t="str">
        <f t="shared" si="39"/>
        <v/>
      </c>
      <c r="O254" s="45"/>
      <c r="P254" s="46"/>
      <c r="Q254" s="46"/>
      <c r="R254" s="47"/>
      <c r="S254" s="48"/>
      <c r="T254" s="49"/>
      <c r="U254" s="49"/>
      <c r="V254" s="3"/>
      <c r="W254" s="3"/>
      <c r="X254" s="50"/>
      <c r="Y254" s="80"/>
      <c r="Z254" s="80"/>
      <c r="AA254" s="3"/>
      <c r="AC254" s="50"/>
      <c r="AD254" s="50"/>
      <c r="AE254" s="3"/>
      <c r="AF254" s="51"/>
      <c r="AG254" s="52" t="str">
        <f t="shared" ca="1" si="41"/>
        <v/>
      </c>
      <c r="AI254" s="54"/>
      <c r="AJ254" s="3"/>
      <c r="AK254" s="3">
        <v>1</v>
      </c>
      <c r="AL254" s="3"/>
      <c r="AM254" s="4"/>
      <c r="AN254" s="4"/>
      <c r="AO254" s="3"/>
      <c r="AP254" s="4"/>
      <c r="AQ254" s="3"/>
      <c r="AR254" s="3"/>
      <c r="AS254" s="3"/>
    </row>
    <row r="255" spans="1:45" ht="19.5" customHeight="1">
      <c r="A255" s="35" t="e">
        <f t="shared" si="33"/>
        <v>#REF!</v>
      </c>
      <c r="B255" s="77">
        <v>5</v>
      </c>
      <c r="D255" s="38" t="s">
        <v>120</v>
      </c>
      <c r="I255" s="37" t="s">
        <v>50</v>
      </c>
      <c r="J255" s="43"/>
      <c r="K255" s="43"/>
      <c r="L255" s="43" t="s">
        <v>52</v>
      </c>
      <c r="N255" s="44" t="str">
        <f t="shared" si="39"/>
        <v/>
      </c>
      <c r="O255" s="45" t="s">
        <v>61</v>
      </c>
      <c r="P255" s="67"/>
      <c r="Q255" s="67"/>
      <c r="R255" s="68"/>
      <c r="S255" s="69"/>
      <c r="T255" s="79"/>
      <c r="U255" s="49"/>
      <c r="X255" s="72" t="s">
        <v>66</v>
      </c>
      <c r="AE255" s="3" t="str">
        <f t="shared" ref="AE255:AE270" si="42">IF(OR(V255="電話不通 x2",V255="DS判断"),"DS確認→U列入力",IF(V255="希望","U列入力",IF(V255="拒否","DS確認",IF(V255="外国語","DS確認",IF(V255="電話不通 x1","ORM再架電","-")))))</f>
        <v>-</v>
      </c>
      <c r="AF255" s="51"/>
      <c r="AG255" s="52" t="str">
        <f t="shared" ca="1" si="41"/>
        <v/>
      </c>
      <c r="AI255" s="54"/>
      <c r="AK255" s="3">
        <v>1</v>
      </c>
      <c r="AP255" s="4"/>
    </row>
    <row r="256" spans="1:45" ht="19.5" customHeight="1">
      <c r="A256" s="35" t="e">
        <f t="shared" si="33"/>
        <v>#REF!</v>
      </c>
      <c r="I256" s="37" t="s">
        <v>50</v>
      </c>
      <c r="J256" s="43"/>
      <c r="K256" s="43"/>
      <c r="L256" s="43" t="s">
        <v>52</v>
      </c>
      <c r="N256" s="44" t="str">
        <f t="shared" si="39"/>
        <v/>
      </c>
      <c r="O256" s="45" t="s">
        <v>61</v>
      </c>
      <c r="P256" s="67"/>
      <c r="Q256" s="67"/>
      <c r="R256" s="68"/>
      <c r="S256" s="69"/>
      <c r="T256" s="82">
        <v>0.6875</v>
      </c>
      <c r="U256" s="79">
        <v>0.69444444444444453</v>
      </c>
      <c r="V256" s="83"/>
      <c r="X256" s="72" t="s">
        <v>66</v>
      </c>
      <c r="AE256" s="3" t="str">
        <f t="shared" si="42"/>
        <v>-</v>
      </c>
      <c r="AF256" s="51"/>
      <c r="AG256" s="52" t="str">
        <f t="shared" ca="1" si="41"/>
        <v/>
      </c>
      <c r="AI256" s="54"/>
      <c r="AK256" s="3">
        <v>1</v>
      </c>
      <c r="AP256" s="4"/>
    </row>
    <row r="257" spans="1:45" s="53" customFormat="1" ht="19.5" customHeight="1">
      <c r="A257" s="35" t="e">
        <f t="shared" si="33"/>
        <v>#REF!</v>
      </c>
      <c r="B257" s="81"/>
      <c r="C257" s="3"/>
      <c r="D257" s="46"/>
      <c r="E257" s="3"/>
      <c r="F257" s="3"/>
      <c r="G257" s="3"/>
      <c r="H257" s="41"/>
      <c r="I257" s="37" t="s">
        <v>50</v>
      </c>
      <c r="J257" s="43"/>
      <c r="K257" s="43"/>
      <c r="L257" s="43" t="s">
        <v>52</v>
      </c>
      <c r="M257" s="78"/>
      <c r="N257" s="44" t="str">
        <f t="shared" si="39"/>
        <v/>
      </c>
      <c r="O257" s="45" t="s">
        <v>61</v>
      </c>
      <c r="P257" s="67"/>
      <c r="Q257" s="67"/>
      <c r="R257" s="68"/>
      <c r="S257" s="69"/>
      <c r="T257" s="82">
        <v>0.6875</v>
      </c>
      <c r="U257" s="82">
        <v>0.69444444444444453</v>
      </c>
      <c r="V257" s="97" t="s">
        <v>85</v>
      </c>
      <c r="W257" s="3"/>
      <c r="X257" s="72" t="s">
        <v>66</v>
      </c>
      <c r="Y257" s="79"/>
      <c r="Z257" s="49"/>
      <c r="AA257" s="3"/>
      <c r="AC257" s="50"/>
      <c r="AD257" s="50"/>
      <c r="AE257" s="3" t="str">
        <f t="shared" si="42"/>
        <v>-</v>
      </c>
      <c r="AF257" s="51"/>
      <c r="AG257" s="52" t="str">
        <f t="shared" ca="1" si="41"/>
        <v/>
      </c>
      <c r="AI257" s="54"/>
      <c r="AJ257" s="3"/>
      <c r="AK257" s="3">
        <v>1</v>
      </c>
      <c r="AL257" s="3"/>
      <c r="AM257" s="4"/>
      <c r="AN257" s="4"/>
      <c r="AO257" s="3"/>
      <c r="AP257" s="4"/>
      <c r="AQ257" s="3"/>
      <c r="AR257" s="3"/>
      <c r="AS257" s="3"/>
    </row>
    <row r="258" spans="1:45" s="53" customFormat="1" ht="19.5" customHeight="1">
      <c r="A258" s="35" t="e">
        <f t="shared" si="33"/>
        <v>#REF!</v>
      </c>
      <c r="B258" s="81"/>
      <c r="C258" s="3"/>
      <c r="D258" s="46"/>
      <c r="E258" s="3"/>
      <c r="F258" s="3"/>
      <c r="G258" s="3"/>
      <c r="H258" s="41"/>
      <c r="I258" s="37" t="s">
        <v>50</v>
      </c>
      <c r="J258" s="43"/>
      <c r="K258" s="43"/>
      <c r="L258" s="43" t="s">
        <v>52</v>
      </c>
      <c r="M258" s="78"/>
      <c r="N258" s="44" t="str">
        <f t="shared" si="39"/>
        <v/>
      </c>
      <c r="O258" s="45" t="s">
        <v>61</v>
      </c>
      <c r="P258" s="67"/>
      <c r="Q258" s="67"/>
      <c r="R258" s="68"/>
      <c r="S258" s="69"/>
      <c r="T258" s="82">
        <v>0.6875</v>
      </c>
      <c r="U258" s="82">
        <v>0.69444444444444453</v>
      </c>
      <c r="V258" s="97" t="s">
        <v>85</v>
      </c>
      <c r="W258" s="3"/>
      <c r="X258" s="72" t="s">
        <v>66</v>
      </c>
      <c r="Y258" s="99">
        <v>0.69097222222222221</v>
      </c>
      <c r="Z258" s="100">
        <v>0.69791666666666663</v>
      </c>
      <c r="AA258" s="83"/>
      <c r="AB258" s="73"/>
      <c r="AC258" s="50"/>
      <c r="AD258" s="50"/>
      <c r="AE258" s="3" t="str">
        <f t="shared" si="42"/>
        <v>-</v>
      </c>
      <c r="AF258" s="51"/>
      <c r="AG258" s="52" t="str">
        <f t="shared" ca="1" si="41"/>
        <v/>
      </c>
      <c r="AI258" s="54"/>
      <c r="AJ258" s="3"/>
      <c r="AK258" s="3">
        <v>1</v>
      </c>
      <c r="AL258" s="3"/>
      <c r="AM258" s="4"/>
      <c r="AN258" s="4"/>
      <c r="AO258" s="3"/>
      <c r="AP258" s="4"/>
      <c r="AQ258" s="3"/>
      <c r="AR258" s="3"/>
      <c r="AS258" s="3"/>
    </row>
    <row r="259" spans="1:45" s="53" customFormat="1" ht="19.5" customHeight="1">
      <c r="A259" s="35" t="e">
        <f t="shared" si="33"/>
        <v>#REF!</v>
      </c>
      <c r="B259" s="81"/>
      <c r="C259" s="3"/>
      <c r="D259" s="46"/>
      <c r="E259" s="3"/>
      <c r="F259" s="3"/>
      <c r="G259" s="3"/>
      <c r="H259" s="41"/>
      <c r="I259" s="37" t="s">
        <v>50</v>
      </c>
      <c r="J259" s="43"/>
      <c r="K259" s="43"/>
      <c r="L259" s="43" t="s">
        <v>52</v>
      </c>
      <c r="M259" s="78"/>
      <c r="N259" s="44" t="str">
        <f t="shared" si="39"/>
        <v/>
      </c>
      <c r="O259" s="45" t="s">
        <v>61</v>
      </c>
      <c r="P259" s="67"/>
      <c r="Q259" s="67"/>
      <c r="R259" s="68"/>
      <c r="S259" s="69"/>
      <c r="T259" s="82">
        <v>0.6875</v>
      </c>
      <c r="U259" s="82">
        <v>0.69444444444444453</v>
      </c>
      <c r="V259" s="97" t="s">
        <v>85</v>
      </c>
      <c r="W259" s="3"/>
      <c r="X259" s="72" t="s">
        <v>66</v>
      </c>
      <c r="Y259" s="99">
        <v>0.69097222222222221</v>
      </c>
      <c r="Z259" s="91">
        <v>0.69791666666666663</v>
      </c>
      <c r="AA259" s="83"/>
      <c r="AB259" s="73"/>
      <c r="AC259" s="50"/>
      <c r="AD259" s="50"/>
      <c r="AE259" s="3" t="str">
        <f t="shared" si="42"/>
        <v>-</v>
      </c>
      <c r="AF259" s="51"/>
      <c r="AG259" s="52" t="str">
        <f t="shared" ca="1" si="41"/>
        <v/>
      </c>
      <c r="AI259" s="54"/>
      <c r="AJ259" s="3"/>
      <c r="AK259" s="3">
        <v>1</v>
      </c>
      <c r="AL259" s="3"/>
      <c r="AM259" s="4"/>
      <c r="AN259" s="4"/>
      <c r="AO259" s="3"/>
      <c r="AP259" s="4"/>
      <c r="AQ259" s="3"/>
      <c r="AR259" s="3"/>
      <c r="AS259" s="3"/>
    </row>
    <row r="260" spans="1:45" s="53" customFormat="1" ht="19.5" customHeight="1">
      <c r="A260" s="35" t="e">
        <f t="shared" si="33"/>
        <v>#REF!</v>
      </c>
      <c r="B260" s="81"/>
      <c r="C260" s="3"/>
      <c r="D260" s="116"/>
      <c r="E260" s="145"/>
      <c r="F260" s="145"/>
      <c r="G260" s="145"/>
      <c r="H260" s="146"/>
      <c r="I260" s="89" t="s">
        <v>50</v>
      </c>
      <c r="J260" s="90"/>
      <c r="K260" s="147"/>
      <c r="L260" s="90" t="s">
        <v>52</v>
      </c>
      <c r="M260" s="123"/>
      <c r="N260" s="44" t="str">
        <f t="shared" si="39"/>
        <v/>
      </c>
      <c r="O260" s="45" t="s">
        <v>61</v>
      </c>
      <c r="P260" s="67"/>
      <c r="Q260" s="67"/>
      <c r="R260" s="68"/>
      <c r="S260" s="69"/>
      <c r="T260" s="82">
        <v>0.6875</v>
      </c>
      <c r="U260" s="82">
        <v>0.69444444444444453</v>
      </c>
      <c r="V260" s="97" t="s">
        <v>85</v>
      </c>
      <c r="W260" s="3"/>
      <c r="X260" s="117" t="s">
        <v>66</v>
      </c>
      <c r="Y260" s="99">
        <v>0.69097222222222221</v>
      </c>
      <c r="Z260" s="91">
        <v>0.69791666666666663</v>
      </c>
      <c r="AA260" s="89" t="s">
        <v>97</v>
      </c>
      <c r="AB260" s="73"/>
      <c r="AC260" s="50"/>
      <c r="AD260" s="50"/>
      <c r="AE260" s="3" t="str">
        <f t="shared" si="42"/>
        <v>-</v>
      </c>
      <c r="AF260" s="51"/>
      <c r="AG260" s="52" t="str">
        <f t="shared" ca="1" si="41"/>
        <v/>
      </c>
      <c r="AI260" s="54"/>
      <c r="AJ260" s="3"/>
      <c r="AK260" s="3">
        <v>1</v>
      </c>
      <c r="AL260" s="3"/>
      <c r="AM260" s="4"/>
      <c r="AN260" s="4"/>
      <c r="AO260" s="3"/>
      <c r="AP260" s="4"/>
      <c r="AQ260" s="3"/>
      <c r="AR260" s="3"/>
      <c r="AS260" s="3"/>
    </row>
    <row r="261" spans="1:45" s="53" customFormat="1" ht="19.5" customHeight="1">
      <c r="A261" s="35" t="e">
        <f>A259</f>
        <v>#REF!</v>
      </c>
      <c r="B261" s="81"/>
      <c r="C261" s="3"/>
      <c r="D261" s="46"/>
      <c r="E261" s="3"/>
      <c r="F261" s="3"/>
      <c r="G261" s="3"/>
      <c r="H261" s="41"/>
      <c r="I261" s="37" t="s">
        <v>50</v>
      </c>
      <c r="J261" s="43"/>
      <c r="K261" s="43"/>
      <c r="L261" s="43" t="s">
        <v>52</v>
      </c>
      <c r="M261" s="78"/>
      <c r="N261" s="44" t="str">
        <f t="shared" si="39"/>
        <v/>
      </c>
      <c r="O261" s="45" t="s">
        <v>61</v>
      </c>
      <c r="P261" s="67"/>
      <c r="Q261" s="67"/>
      <c r="R261" s="68"/>
      <c r="S261" s="69"/>
      <c r="T261" s="82">
        <v>0.6875</v>
      </c>
      <c r="U261" s="82">
        <v>0.69444444444444453</v>
      </c>
      <c r="V261" s="97" t="s">
        <v>85</v>
      </c>
      <c r="W261" s="3"/>
      <c r="X261" s="106" t="s">
        <v>66</v>
      </c>
      <c r="Y261" s="99">
        <v>0.69097222222222221</v>
      </c>
      <c r="Z261" s="99">
        <v>0.69791666666666663</v>
      </c>
      <c r="AA261" s="71" t="s">
        <v>91</v>
      </c>
      <c r="AB261" s="101"/>
      <c r="AC261" s="50"/>
      <c r="AD261" s="50"/>
      <c r="AE261" s="3" t="str">
        <f t="shared" si="42"/>
        <v>-</v>
      </c>
      <c r="AF261" s="51"/>
      <c r="AG261" s="52" t="str">
        <f t="shared" ca="1" si="41"/>
        <v/>
      </c>
      <c r="AI261" s="54"/>
      <c r="AJ261" s="3"/>
      <c r="AK261" s="3">
        <v>1</v>
      </c>
      <c r="AL261" s="3"/>
      <c r="AM261" s="4"/>
      <c r="AN261" s="4"/>
      <c r="AO261" s="3"/>
      <c r="AP261" s="4"/>
      <c r="AQ261" s="3"/>
      <c r="AR261" s="3"/>
      <c r="AS261" s="3"/>
    </row>
    <row r="262" spans="1:45" s="53" customFormat="1" ht="19.5" customHeight="1">
      <c r="A262" s="35" t="e">
        <f>#REF!</f>
        <v>#REF!</v>
      </c>
      <c r="B262" s="81"/>
      <c r="C262" s="3"/>
      <c r="D262" s="46"/>
      <c r="E262" s="3"/>
      <c r="F262" s="3"/>
      <c r="G262" s="3"/>
      <c r="H262" s="41"/>
      <c r="I262" s="37" t="s">
        <v>50</v>
      </c>
      <c r="J262" s="43"/>
      <c r="K262" s="43"/>
      <c r="L262" s="43" t="s">
        <v>52</v>
      </c>
      <c r="M262" s="78"/>
      <c r="N262" s="44" t="str">
        <f t="shared" si="39"/>
        <v/>
      </c>
      <c r="O262" s="148" t="s">
        <v>61</v>
      </c>
      <c r="P262" s="129"/>
      <c r="Q262" s="129"/>
      <c r="R262" s="130"/>
      <c r="S262" s="131"/>
      <c r="T262" s="82">
        <v>0.6875</v>
      </c>
      <c r="U262" s="82">
        <v>0.69444444444444453</v>
      </c>
      <c r="V262" s="97" t="s">
        <v>85</v>
      </c>
      <c r="W262" s="3"/>
      <c r="X262" s="106" t="s">
        <v>66</v>
      </c>
      <c r="Y262" s="99">
        <v>0.69097222222222221</v>
      </c>
      <c r="Z262" s="99">
        <v>0.69791666666666663</v>
      </c>
      <c r="AA262" s="71" t="s">
        <v>91</v>
      </c>
      <c r="AB262" s="97" t="s">
        <v>104</v>
      </c>
      <c r="AC262" s="50"/>
      <c r="AD262" s="50"/>
      <c r="AE262" s="3" t="str">
        <f t="shared" si="42"/>
        <v>-</v>
      </c>
      <c r="AF262" s="51"/>
      <c r="AG262" s="52" t="str">
        <f t="shared" ca="1" si="41"/>
        <v/>
      </c>
      <c r="AI262" s="54"/>
      <c r="AJ262" s="3"/>
      <c r="AK262" s="3">
        <v>1</v>
      </c>
      <c r="AL262" s="3"/>
      <c r="AM262" s="4"/>
      <c r="AN262" s="4"/>
      <c r="AO262" s="3"/>
      <c r="AP262" s="4"/>
      <c r="AQ262" s="3"/>
      <c r="AR262" s="3"/>
      <c r="AS262" s="3"/>
    </row>
    <row r="263" spans="1:45" s="53" customFormat="1" ht="19.5" customHeight="1">
      <c r="A263" s="35" t="e">
        <f t="shared" si="33"/>
        <v>#REF!</v>
      </c>
      <c r="B263" s="81"/>
      <c r="C263" s="3"/>
      <c r="D263" s="46"/>
      <c r="E263" s="3"/>
      <c r="F263" s="3"/>
      <c r="G263" s="3"/>
      <c r="H263" s="41"/>
      <c r="I263" s="3"/>
      <c r="J263" s="78"/>
      <c r="K263" s="78"/>
      <c r="L263" s="78"/>
      <c r="M263" s="78"/>
      <c r="N263" s="44" t="str">
        <f t="shared" si="39"/>
        <v/>
      </c>
      <c r="O263" s="45"/>
      <c r="P263" s="46"/>
      <c r="Q263" s="46"/>
      <c r="R263" s="47"/>
      <c r="S263" s="48"/>
      <c r="T263" s="80"/>
      <c r="U263" s="80"/>
      <c r="V263" s="3"/>
      <c r="W263" s="3"/>
      <c r="X263" s="50"/>
      <c r="Y263" s="80"/>
      <c r="Z263" s="80"/>
      <c r="AA263" s="3"/>
      <c r="AC263" s="50"/>
      <c r="AD263" s="50"/>
      <c r="AE263" s="3" t="str">
        <f t="shared" si="42"/>
        <v>-</v>
      </c>
      <c r="AF263" s="51"/>
      <c r="AG263" s="52" t="str">
        <f t="shared" ca="1" si="41"/>
        <v/>
      </c>
      <c r="AI263" s="54"/>
      <c r="AJ263" s="3"/>
      <c r="AK263" s="3">
        <v>1</v>
      </c>
      <c r="AL263" s="3"/>
      <c r="AM263" s="4"/>
      <c r="AN263" s="4"/>
      <c r="AO263" s="3"/>
      <c r="AP263" s="4"/>
      <c r="AQ263" s="3"/>
      <c r="AR263" s="3"/>
      <c r="AS263" s="3"/>
    </row>
    <row r="264" spans="1:45" s="53" customFormat="1" ht="19.5" customHeight="1">
      <c r="A264" s="35" t="e">
        <f t="shared" si="33"/>
        <v>#REF!</v>
      </c>
      <c r="B264" s="81"/>
      <c r="C264" s="3"/>
      <c r="D264" s="46"/>
      <c r="E264" s="3"/>
      <c r="F264" s="3"/>
      <c r="G264" s="3"/>
      <c r="H264" s="41"/>
      <c r="I264" s="3"/>
      <c r="J264" s="78"/>
      <c r="K264" s="78"/>
      <c r="L264" s="78"/>
      <c r="M264" s="78"/>
      <c r="N264" s="44" t="str">
        <f t="shared" si="39"/>
        <v/>
      </c>
      <c r="O264" s="45"/>
      <c r="P264" s="46"/>
      <c r="Q264" s="46"/>
      <c r="R264" s="47"/>
      <c r="S264" s="48"/>
      <c r="T264" s="80"/>
      <c r="U264" s="80"/>
      <c r="V264" s="3"/>
      <c r="W264" s="3"/>
      <c r="X264" s="50"/>
      <c r="Y264" s="80"/>
      <c r="Z264" s="80"/>
      <c r="AA264" s="3"/>
      <c r="AC264" s="50"/>
      <c r="AD264" s="50"/>
      <c r="AE264" s="3" t="str">
        <f t="shared" si="42"/>
        <v>-</v>
      </c>
      <c r="AF264" s="51"/>
      <c r="AG264" s="52" t="str">
        <f t="shared" ca="1" si="41"/>
        <v/>
      </c>
      <c r="AI264" s="54"/>
      <c r="AJ264" s="3"/>
      <c r="AK264" s="3">
        <v>1</v>
      </c>
      <c r="AL264" s="3"/>
      <c r="AM264" s="4"/>
      <c r="AN264" s="4"/>
      <c r="AO264" s="3"/>
      <c r="AP264" s="4"/>
      <c r="AQ264" s="3"/>
      <c r="AR264" s="3"/>
      <c r="AS264" s="3"/>
    </row>
    <row r="265" spans="1:45" ht="19.5" customHeight="1">
      <c r="A265" s="35" t="e">
        <f t="shared" si="33"/>
        <v>#REF!</v>
      </c>
      <c r="B265" s="77">
        <v>6</v>
      </c>
      <c r="C265" s="102"/>
      <c r="D265" s="38" t="s">
        <v>121</v>
      </c>
      <c r="I265" s="37" t="s">
        <v>50</v>
      </c>
      <c r="J265" s="43"/>
      <c r="K265" s="43"/>
      <c r="L265" s="43" t="s">
        <v>52</v>
      </c>
      <c r="N265" s="44" t="str">
        <f t="shared" si="39"/>
        <v/>
      </c>
      <c r="O265" s="45" t="s">
        <v>61</v>
      </c>
      <c r="P265" s="67"/>
      <c r="Q265" s="67"/>
      <c r="R265" s="68"/>
      <c r="S265" s="69"/>
      <c r="T265" s="79"/>
      <c r="U265" s="49"/>
      <c r="X265" s="72" t="s">
        <v>66</v>
      </c>
      <c r="Y265" s="49"/>
      <c r="Z265" s="49"/>
      <c r="AE265" s="3" t="str">
        <f t="shared" si="42"/>
        <v>-</v>
      </c>
      <c r="AF265" s="51"/>
      <c r="AG265" s="52" t="str">
        <f t="shared" ca="1" si="41"/>
        <v/>
      </c>
      <c r="AI265" s="54"/>
      <c r="AK265" s="3">
        <v>1</v>
      </c>
      <c r="AP265" s="4"/>
    </row>
    <row r="266" spans="1:45" ht="19.5" customHeight="1">
      <c r="A266" s="35" t="e">
        <f t="shared" si="33"/>
        <v>#REF!</v>
      </c>
      <c r="C266" s="102"/>
      <c r="I266" s="37" t="s">
        <v>50</v>
      </c>
      <c r="J266" s="43"/>
      <c r="K266" s="43"/>
      <c r="L266" s="43" t="s">
        <v>52</v>
      </c>
      <c r="N266" s="44" t="str">
        <f t="shared" si="39"/>
        <v/>
      </c>
      <c r="O266" s="45" t="s">
        <v>61</v>
      </c>
      <c r="P266" s="67"/>
      <c r="Q266" s="67"/>
      <c r="R266" s="68"/>
      <c r="S266" s="69"/>
      <c r="T266" s="82">
        <v>0.6875</v>
      </c>
      <c r="U266" s="79">
        <v>0.69444444444444453</v>
      </c>
      <c r="V266" s="83"/>
      <c r="X266" s="72" t="s">
        <v>66</v>
      </c>
      <c r="Y266" s="49"/>
      <c r="Z266" s="49"/>
      <c r="AE266" s="3" t="str">
        <f t="shared" si="42"/>
        <v>-</v>
      </c>
      <c r="AF266" s="51"/>
      <c r="AG266" s="52" t="str">
        <f t="shared" ca="1" si="41"/>
        <v/>
      </c>
      <c r="AI266" s="54"/>
      <c r="AK266" s="3">
        <v>1</v>
      </c>
      <c r="AP266" s="4"/>
    </row>
    <row r="267" spans="1:45" ht="19.5" customHeight="1">
      <c r="A267" s="35" t="e">
        <f t="shared" si="33"/>
        <v>#REF!</v>
      </c>
      <c r="C267" s="102"/>
      <c r="I267" s="37" t="s">
        <v>50</v>
      </c>
      <c r="J267" s="43"/>
      <c r="K267" s="43"/>
      <c r="L267" s="43" t="s">
        <v>52</v>
      </c>
      <c r="N267" s="44" t="str">
        <f t="shared" si="39"/>
        <v/>
      </c>
      <c r="O267" s="45" t="s">
        <v>61</v>
      </c>
      <c r="P267" s="67"/>
      <c r="Q267" s="67"/>
      <c r="R267" s="68"/>
      <c r="S267" s="69"/>
      <c r="T267" s="82">
        <v>0.6875</v>
      </c>
      <c r="U267" s="82">
        <v>0.69444444444444453</v>
      </c>
      <c r="V267" s="97" t="s">
        <v>85</v>
      </c>
      <c r="X267" s="72" t="s">
        <v>66</v>
      </c>
      <c r="Y267" s="79"/>
      <c r="Z267" s="49"/>
      <c r="AE267" s="3" t="str">
        <f t="shared" si="42"/>
        <v>-</v>
      </c>
      <c r="AF267" s="51"/>
      <c r="AG267" s="52" t="str">
        <f t="shared" ca="1" si="41"/>
        <v/>
      </c>
      <c r="AI267" s="54"/>
      <c r="AK267" s="3">
        <v>1</v>
      </c>
      <c r="AP267" s="4"/>
    </row>
    <row r="268" spans="1:45" ht="19.5" customHeight="1">
      <c r="A268" s="35" t="e">
        <f t="shared" si="33"/>
        <v>#REF!</v>
      </c>
      <c r="C268" s="102"/>
      <c r="I268" s="37" t="s">
        <v>50</v>
      </c>
      <c r="J268" s="43"/>
      <c r="K268" s="43"/>
      <c r="L268" s="43" t="s">
        <v>52</v>
      </c>
      <c r="N268" s="44" t="str">
        <f t="shared" si="39"/>
        <v/>
      </c>
      <c r="O268" s="45" t="s">
        <v>61</v>
      </c>
      <c r="P268" s="67"/>
      <c r="Q268" s="67"/>
      <c r="R268" s="68"/>
      <c r="S268" s="69"/>
      <c r="T268" s="82">
        <v>0.6875</v>
      </c>
      <c r="U268" s="82">
        <v>0.69444444444444453</v>
      </c>
      <c r="V268" s="97" t="s">
        <v>85</v>
      </c>
      <c r="X268" s="72" t="s">
        <v>66</v>
      </c>
      <c r="Y268" s="99">
        <v>0.69097222222222221</v>
      </c>
      <c r="Z268" s="100">
        <v>0.69791666666666663</v>
      </c>
      <c r="AA268" s="83"/>
      <c r="AB268" s="73"/>
      <c r="AE268" s="3" t="str">
        <f t="shared" si="42"/>
        <v>-</v>
      </c>
      <c r="AF268" s="51"/>
      <c r="AG268" s="52" t="str">
        <f t="shared" ca="1" si="41"/>
        <v/>
      </c>
      <c r="AI268" s="54"/>
      <c r="AK268" s="3">
        <v>1</v>
      </c>
      <c r="AP268" s="4"/>
    </row>
    <row r="269" spans="1:45" ht="19.5" customHeight="1">
      <c r="A269" s="35" t="e">
        <f t="shared" si="33"/>
        <v>#REF!</v>
      </c>
      <c r="C269" s="102"/>
      <c r="I269" s="37" t="s">
        <v>50</v>
      </c>
      <c r="J269" s="43"/>
      <c r="K269" s="43"/>
      <c r="L269" s="43" t="s">
        <v>52</v>
      </c>
      <c r="N269" s="44" t="str">
        <f t="shared" si="39"/>
        <v/>
      </c>
      <c r="O269" s="148" t="s">
        <v>61</v>
      </c>
      <c r="P269" s="129"/>
      <c r="Q269" s="129"/>
      <c r="R269" s="130"/>
      <c r="S269" s="131"/>
      <c r="T269" s="82">
        <v>0.6875</v>
      </c>
      <c r="U269" s="82">
        <v>0.69444444444444453</v>
      </c>
      <c r="V269" s="97" t="s">
        <v>85</v>
      </c>
      <c r="X269" s="72" t="s">
        <v>66</v>
      </c>
      <c r="Y269" s="99">
        <v>0.69097222222222221</v>
      </c>
      <c r="Z269" s="99">
        <v>0.69791666666666663</v>
      </c>
      <c r="AA269" s="97" t="s">
        <v>104</v>
      </c>
      <c r="AB269" s="73"/>
      <c r="AC269" s="140"/>
      <c r="AD269" s="140"/>
      <c r="AE269" s="3" t="str">
        <f t="shared" si="42"/>
        <v>-</v>
      </c>
      <c r="AF269" s="51"/>
      <c r="AG269" s="52" t="str">
        <f t="shared" ca="1" si="41"/>
        <v/>
      </c>
      <c r="AI269" s="54"/>
      <c r="AK269" s="3">
        <v>1</v>
      </c>
      <c r="AP269" s="4"/>
    </row>
    <row r="270" spans="1:45" ht="19.5" customHeight="1">
      <c r="A270" s="35" t="e">
        <f t="shared" si="33"/>
        <v>#REF!</v>
      </c>
      <c r="C270" s="102"/>
      <c r="I270" s="37" t="s">
        <v>50</v>
      </c>
      <c r="J270" s="43"/>
      <c r="K270" s="43"/>
      <c r="L270" s="43" t="s">
        <v>52</v>
      </c>
      <c r="N270" s="44" t="str">
        <f t="shared" si="39"/>
        <v/>
      </c>
      <c r="O270" s="45" t="s">
        <v>58</v>
      </c>
      <c r="P270" s="67"/>
      <c r="Q270" s="67"/>
      <c r="R270" s="68"/>
      <c r="S270" s="69"/>
      <c r="T270" s="82">
        <v>0.6875</v>
      </c>
      <c r="U270" s="82">
        <v>0.69444444444444453</v>
      </c>
      <c r="V270" s="97" t="s">
        <v>85</v>
      </c>
      <c r="X270" s="72" t="s">
        <v>66</v>
      </c>
      <c r="Y270" s="134">
        <v>0.69097222222222221</v>
      </c>
      <c r="Z270" s="134">
        <v>0.69791666666666663</v>
      </c>
      <c r="AA270" s="71" t="s">
        <v>104</v>
      </c>
      <c r="AB270" s="73"/>
      <c r="AC270" s="140"/>
      <c r="AD270" s="140"/>
      <c r="AE270" s="3" t="str">
        <f t="shared" si="42"/>
        <v>-</v>
      </c>
      <c r="AF270" s="51"/>
      <c r="AG270" s="119" t="str">
        <f t="shared" ca="1" si="41"/>
        <v/>
      </c>
      <c r="AH270" s="101"/>
      <c r="AI270" s="54"/>
      <c r="AK270" s="3">
        <v>1</v>
      </c>
      <c r="AP270" s="4"/>
    </row>
    <row r="271" spans="1:45" s="53" customFormat="1" ht="19.5" customHeight="1">
      <c r="A271" s="35" t="e">
        <f t="shared" si="33"/>
        <v>#REF!</v>
      </c>
      <c r="B271" s="81"/>
      <c r="C271" s="102"/>
      <c r="D271" s="46"/>
      <c r="E271" s="3"/>
      <c r="F271" s="3"/>
      <c r="G271" s="3"/>
      <c r="H271" s="41"/>
      <c r="I271" s="37" t="s">
        <v>50</v>
      </c>
      <c r="J271" s="43"/>
      <c r="K271" s="43"/>
      <c r="L271" s="43" t="s">
        <v>52</v>
      </c>
      <c r="M271" s="78"/>
      <c r="N271" s="44" t="str">
        <f t="shared" si="39"/>
        <v/>
      </c>
      <c r="O271" s="45" t="s">
        <v>58</v>
      </c>
      <c r="P271" s="67"/>
      <c r="Q271" s="67"/>
      <c r="R271" s="68"/>
      <c r="S271" s="69"/>
      <c r="T271" s="82">
        <v>0.6875</v>
      </c>
      <c r="U271" s="82">
        <v>0.69444444444444453</v>
      </c>
      <c r="V271" s="97" t="s">
        <v>85</v>
      </c>
      <c r="W271" s="3"/>
      <c r="X271" s="72" t="s">
        <v>66</v>
      </c>
      <c r="Y271" s="134">
        <v>0.69097222222222221</v>
      </c>
      <c r="Z271" s="134">
        <v>0.69791666666666663</v>
      </c>
      <c r="AA271" s="71" t="s">
        <v>104</v>
      </c>
      <c r="AB271" s="73"/>
      <c r="AC271" s="50"/>
      <c r="AD271" s="50"/>
      <c r="AE271" s="3"/>
      <c r="AF271" s="51"/>
      <c r="AG271" s="112">
        <v>0.70833333333333337</v>
      </c>
      <c r="AH271" s="113">
        <v>10</v>
      </c>
      <c r="AI271" s="54"/>
      <c r="AJ271" s="3"/>
      <c r="AK271" s="3">
        <v>1</v>
      </c>
      <c r="AL271" s="3"/>
      <c r="AM271" s="4"/>
      <c r="AN271" s="4"/>
      <c r="AO271" s="3"/>
      <c r="AP271" s="4"/>
      <c r="AQ271" s="3"/>
      <c r="AR271" s="3"/>
      <c r="AS271" s="3"/>
    </row>
    <row r="272" spans="1:45" s="53" customFormat="1" ht="19.5" customHeight="1">
      <c r="A272" s="35" t="e">
        <f t="shared" si="33"/>
        <v>#REF!</v>
      </c>
      <c r="B272" s="81"/>
      <c r="C272" s="3"/>
      <c r="D272" s="46"/>
      <c r="E272" s="3"/>
      <c r="F272" s="3"/>
      <c r="G272" s="3"/>
      <c r="H272" s="41"/>
      <c r="I272" s="37"/>
      <c r="J272" s="43"/>
      <c r="K272" s="43"/>
      <c r="L272" s="43"/>
      <c r="M272" s="78"/>
      <c r="N272" s="44" t="str">
        <f t="shared" si="39"/>
        <v/>
      </c>
      <c r="O272" s="45"/>
      <c r="P272" s="46"/>
      <c r="Q272" s="46"/>
      <c r="R272" s="47"/>
      <c r="S272" s="48"/>
      <c r="T272" s="49"/>
      <c r="U272" s="49"/>
      <c r="V272" s="3"/>
      <c r="W272" s="3"/>
      <c r="X272" s="50"/>
      <c r="Y272" s="80"/>
      <c r="Z272" s="80"/>
      <c r="AA272" s="3"/>
      <c r="AC272" s="50"/>
      <c r="AD272" s="50"/>
      <c r="AE272" s="3"/>
      <c r="AF272" s="51"/>
      <c r="AG272" s="52" t="str">
        <f t="shared" ca="1" si="41"/>
        <v/>
      </c>
      <c r="AI272" s="54"/>
      <c r="AJ272" s="3"/>
      <c r="AK272" s="3">
        <v>1</v>
      </c>
      <c r="AL272" s="3"/>
      <c r="AM272" s="4"/>
      <c r="AN272" s="4"/>
      <c r="AO272" s="3"/>
      <c r="AP272" s="4"/>
      <c r="AQ272" s="3"/>
      <c r="AR272" s="3"/>
      <c r="AS272" s="3"/>
    </row>
    <row r="273" spans="1:45" ht="19.5" customHeight="1">
      <c r="A273" s="35" t="e">
        <f>#REF!</f>
        <v>#REF!</v>
      </c>
      <c r="B273" s="77">
        <v>7</v>
      </c>
      <c r="C273" s="102"/>
      <c r="D273" s="38" t="s">
        <v>122</v>
      </c>
      <c r="I273" s="37" t="s">
        <v>50</v>
      </c>
      <c r="J273" s="43"/>
      <c r="K273" s="43"/>
      <c r="L273" s="43" t="s">
        <v>52</v>
      </c>
      <c r="N273" s="44" t="str">
        <f t="shared" si="39"/>
        <v/>
      </c>
      <c r="O273" s="148" t="s">
        <v>61</v>
      </c>
      <c r="P273" s="129"/>
      <c r="Q273" s="129"/>
      <c r="R273" s="130"/>
      <c r="S273" s="131"/>
      <c r="T273" s="82">
        <v>0.6875</v>
      </c>
      <c r="U273" s="82">
        <v>0.69444444444444453</v>
      </c>
      <c r="V273" s="97" t="s">
        <v>85</v>
      </c>
      <c r="X273" s="72" t="s">
        <v>66</v>
      </c>
      <c r="Y273" s="99">
        <v>0.69097222222222221</v>
      </c>
      <c r="Z273" s="99">
        <v>0.69791666666666663</v>
      </c>
      <c r="AA273" s="97" t="s">
        <v>104</v>
      </c>
      <c r="AB273" s="73"/>
      <c r="AC273" s="140"/>
      <c r="AD273" s="140"/>
      <c r="AE273" s="3" t="str">
        <f>IF(OR(V273="電話不通 x2",V273="DS判断"),"DS確認→U列入力",IF(V273="希望","U列入力",IF(V273="拒否","DS確認",IF(V273="外国語","DS確認",IF(V273="電話不通 x1","ORM再架電","-")))))</f>
        <v>-</v>
      </c>
      <c r="AF273" s="51"/>
      <c r="AG273" s="52" t="str">
        <f t="shared" ca="1" si="41"/>
        <v/>
      </c>
      <c r="AI273" s="54"/>
      <c r="AK273" s="3">
        <v>1</v>
      </c>
      <c r="AP273" s="4"/>
    </row>
    <row r="274" spans="1:45" ht="19.5" customHeight="1">
      <c r="A274" s="35" t="e">
        <f t="shared" si="33"/>
        <v>#REF!</v>
      </c>
      <c r="C274" s="102"/>
      <c r="I274" s="37" t="s">
        <v>50</v>
      </c>
      <c r="J274" s="43"/>
      <c r="K274" s="43"/>
      <c r="L274" s="43" t="s">
        <v>52</v>
      </c>
      <c r="N274" s="44" t="str">
        <f t="shared" si="39"/>
        <v/>
      </c>
      <c r="O274" s="45" t="s">
        <v>55</v>
      </c>
      <c r="P274" s="67"/>
      <c r="Q274" s="67"/>
      <c r="R274" s="68"/>
      <c r="S274" s="69"/>
      <c r="T274" s="82">
        <v>0.6875</v>
      </c>
      <c r="U274" s="82">
        <v>0.69444444444444453</v>
      </c>
      <c r="V274" s="97" t="s">
        <v>85</v>
      </c>
      <c r="X274" s="72" t="s">
        <v>66</v>
      </c>
      <c r="Y274" s="134">
        <v>0.69097222222222221</v>
      </c>
      <c r="Z274" s="134">
        <v>0.69791666666666663</v>
      </c>
      <c r="AA274" s="71" t="s">
        <v>104</v>
      </c>
      <c r="AB274" s="73"/>
      <c r="AC274" s="140"/>
      <c r="AD274" s="140"/>
      <c r="AE274" s="3" t="str">
        <f>IF(OR(V274="電話不通 x2",V274="DS判断"),"DS確認→U列入力",IF(V274="希望","U列入力",IF(V274="拒否","DS確認",IF(V274="外国語","DS確認",IF(V274="電話不通 x1","ORM再架電","-")))))</f>
        <v>-</v>
      </c>
      <c r="AF274" s="51"/>
      <c r="AG274" s="52" t="str">
        <f t="shared" ca="1" si="41"/>
        <v/>
      </c>
      <c r="AI274" s="54"/>
      <c r="AK274" s="3">
        <v>1</v>
      </c>
      <c r="AP274" s="4"/>
    </row>
    <row r="275" spans="1:45" s="53" customFormat="1" ht="19.5" customHeight="1">
      <c r="A275" s="35" t="e">
        <f t="shared" si="33"/>
        <v>#REF!</v>
      </c>
      <c r="B275" s="81"/>
      <c r="C275" s="3"/>
      <c r="D275" s="46"/>
      <c r="E275" s="3"/>
      <c r="F275" s="3"/>
      <c r="G275" s="3"/>
      <c r="H275" s="41"/>
      <c r="I275" s="37"/>
      <c r="J275" s="43"/>
      <c r="K275" s="43"/>
      <c r="L275" s="43"/>
      <c r="M275" s="78"/>
      <c r="N275" s="44" t="str">
        <f t="shared" si="39"/>
        <v/>
      </c>
      <c r="O275" s="45"/>
      <c r="P275" s="46"/>
      <c r="Q275" s="46"/>
      <c r="R275" s="47"/>
      <c r="S275" s="48"/>
      <c r="T275" s="49"/>
      <c r="U275" s="49"/>
      <c r="V275" s="3"/>
      <c r="W275" s="3"/>
      <c r="X275" s="50"/>
      <c r="Y275" s="80"/>
      <c r="Z275" s="80"/>
      <c r="AA275" s="3"/>
      <c r="AC275" s="50"/>
      <c r="AD275" s="50"/>
      <c r="AE275" s="3"/>
      <c r="AF275" s="51"/>
      <c r="AG275" s="52" t="str">
        <f t="shared" ca="1" si="41"/>
        <v/>
      </c>
      <c r="AI275" s="54"/>
      <c r="AJ275" s="3"/>
      <c r="AK275" s="3">
        <v>1</v>
      </c>
      <c r="AL275" s="3"/>
      <c r="AM275" s="4"/>
      <c r="AN275" s="4"/>
      <c r="AO275" s="3"/>
      <c r="AP275" s="4"/>
      <c r="AQ275" s="3"/>
      <c r="AR275" s="3"/>
      <c r="AS275" s="3"/>
    </row>
    <row r="276" spans="1:45" s="53" customFormat="1" ht="19.5" customHeight="1">
      <c r="A276" s="35" t="e">
        <f t="shared" si="33"/>
        <v>#REF!</v>
      </c>
      <c r="B276" s="81"/>
      <c r="C276" s="3"/>
      <c r="D276" s="46"/>
      <c r="E276" s="3"/>
      <c r="F276" s="3"/>
      <c r="G276" s="3"/>
      <c r="H276" s="41"/>
      <c r="I276" s="37"/>
      <c r="J276" s="43"/>
      <c r="K276" s="43"/>
      <c r="L276" s="43"/>
      <c r="M276" s="78"/>
      <c r="N276" s="44" t="str">
        <f t="shared" si="39"/>
        <v/>
      </c>
      <c r="O276" s="45"/>
      <c r="P276" s="46"/>
      <c r="Q276" s="46"/>
      <c r="R276" s="47"/>
      <c r="S276" s="48"/>
      <c r="T276" s="49"/>
      <c r="U276" s="49"/>
      <c r="V276" s="3"/>
      <c r="W276" s="3"/>
      <c r="X276" s="50"/>
      <c r="Y276" s="80"/>
      <c r="Z276" s="80"/>
      <c r="AA276" s="3"/>
      <c r="AC276" s="50"/>
      <c r="AD276" s="50"/>
      <c r="AE276" s="3"/>
      <c r="AF276" s="51"/>
      <c r="AG276" s="52" t="str">
        <f t="shared" ca="1" si="41"/>
        <v/>
      </c>
      <c r="AI276" s="54"/>
      <c r="AJ276" s="3"/>
      <c r="AK276" s="3">
        <v>1</v>
      </c>
      <c r="AL276" s="3"/>
      <c r="AM276" s="4"/>
      <c r="AN276" s="4"/>
      <c r="AO276" s="3"/>
      <c r="AP276" s="4"/>
      <c r="AQ276" s="3"/>
      <c r="AR276" s="3"/>
      <c r="AS276" s="3"/>
    </row>
    <row r="277" spans="1:45" ht="19.5" customHeight="1">
      <c r="A277" s="35" t="e">
        <f>#REF!</f>
        <v>#REF!</v>
      </c>
      <c r="B277" s="77">
        <v>8</v>
      </c>
      <c r="C277" s="102"/>
      <c r="D277" s="38" t="s">
        <v>123</v>
      </c>
      <c r="I277" s="37" t="s">
        <v>50</v>
      </c>
      <c r="J277" s="43"/>
      <c r="K277" s="43"/>
      <c r="L277" s="43" t="s">
        <v>52</v>
      </c>
      <c r="N277" s="44" t="str">
        <f t="shared" si="39"/>
        <v/>
      </c>
      <c r="O277" s="148" t="s">
        <v>61</v>
      </c>
      <c r="P277" s="95"/>
      <c r="Q277" s="95"/>
      <c r="R277" s="68"/>
      <c r="T277" s="82">
        <v>0.6875</v>
      </c>
      <c r="U277" s="82">
        <v>0.69444444444444453</v>
      </c>
      <c r="V277" s="97" t="s">
        <v>85</v>
      </c>
      <c r="X277" s="72" t="s">
        <v>66</v>
      </c>
      <c r="Y277" s="99">
        <v>0.69097222222222221</v>
      </c>
      <c r="Z277" s="99">
        <v>0.69791666666666663</v>
      </c>
      <c r="AA277" s="97" t="s">
        <v>104</v>
      </c>
      <c r="AB277" s="73"/>
      <c r="AC277" s="140"/>
      <c r="AD277" s="140"/>
      <c r="AE277" s="3" t="str">
        <f t="shared" ref="AE277:AE302" si="43">IF(OR(V277="電話不通 x2",V277="DS判断"),"DS確認→U列入力",IF(V277="希望","U列入力",IF(V277="拒否","DS確認",IF(V277="外国語","DS確認",IF(V277="電話不通 x1","ORM再架電","-")))))</f>
        <v>-</v>
      </c>
      <c r="AF277" s="51"/>
      <c r="AG277" s="52" t="str">
        <f t="shared" ca="1" si="41"/>
        <v/>
      </c>
      <c r="AI277" s="54"/>
      <c r="AK277" s="3">
        <v>1</v>
      </c>
      <c r="AP277" s="4"/>
    </row>
    <row r="278" spans="1:45" ht="19.5" customHeight="1">
      <c r="A278" s="35" t="e">
        <f t="shared" ref="A278:A297" si="44">A277</f>
        <v>#REF!</v>
      </c>
      <c r="C278" s="102"/>
      <c r="I278" s="37" t="s">
        <v>50</v>
      </c>
      <c r="J278" s="43"/>
      <c r="K278" s="43"/>
      <c r="L278" s="43" t="s">
        <v>52</v>
      </c>
      <c r="N278" s="44" t="str">
        <f t="shared" si="39"/>
        <v/>
      </c>
      <c r="O278" s="45" t="s">
        <v>53</v>
      </c>
      <c r="P278" s="67"/>
      <c r="Q278" s="67"/>
      <c r="R278" s="68"/>
      <c r="S278" s="69"/>
      <c r="T278" s="82">
        <v>0.6875</v>
      </c>
      <c r="U278" s="82">
        <v>0.69444444444444453</v>
      </c>
      <c r="V278" s="97" t="s">
        <v>85</v>
      </c>
      <c r="X278" s="72" t="s">
        <v>66</v>
      </c>
      <c r="Y278" s="134">
        <v>0.69097222222222221</v>
      </c>
      <c r="Z278" s="134">
        <v>0.69791666666666663</v>
      </c>
      <c r="AA278" s="71" t="s">
        <v>104</v>
      </c>
      <c r="AB278" s="73"/>
      <c r="AC278" s="140"/>
      <c r="AD278" s="140"/>
      <c r="AE278" s="3" t="str">
        <f t="shared" si="43"/>
        <v>-</v>
      </c>
      <c r="AF278" s="51"/>
      <c r="AG278" s="52" t="str">
        <f t="shared" ca="1" si="41"/>
        <v/>
      </c>
      <c r="AI278" s="54"/>
      <c r="AK278" s="3">
        <v>1</v>
      </c>
      <c r="AP278" s="4"/>
    </row>
    <row r="279" spans="1:45" s="53" customFormat="1" ht="19.5" customHeight="1">
      <c r="A279" s="35" t="e">
        <f t="shared" si="44"/>
        <v>#REF!</v>
      </c>
      <c r="B279" s="81"/>
      <c r="C279" s="3"/>
      <c r="D279" s="46"/>
      <c r="E279" s="3"/>
      <c r="F279" s="3"/>
      <c r="G279" s="3"/>
      <c r="H279" s="41"/>
      <c r="I279" s="3"/>
      <c r="J279" s="78"/>
      <c r="K279" s="78"/>
      <c r="L279" s="78"/>
      <c r="M279" s="78"/>
      <c r="N279" s="44" t="str">
        <f t="shared" si="39"/>
        <v/>
      </c>
      <c r="O279" s="45"/>
      <c r="P279" s="46"/>
      <c r="Q279" s="46"/>
      <c r="R279" s="47"/>
      <c r="S279" s="48"/>
      <c r="T279" s="80"/>
      <c r="U279" s="80"/>
      <c r="V279" s="3"/>
      <c r="W279" s="3"/>
      <c r="X279" s="50"/>
      <c r="Y279" s="80"/>
      <c r="Z279" s="80"/>
      <c r="AA279" s="3"/>
      <c r="AC279" s="50"/>
      <c r="AD279" s="50"/>
      <c r="AE279" s="3" t="str">
        <f t="shared" si="43"/>
        <v>-</v>
      </c>
      <c r="AF279" s="51"/>
      <c r="AG279" s="52" t="str">
        <f t="shared" ca="1" si="41"/>
        <v/>
      </c>
      <c r="AI279" s="54"/>
      <c r="AJ279" s="3"/>
      <c r="AK279" s="3">
        <v>1</v>
      </c>
      <c r="AL279" s="3"/>
      <c r="AM279" s="4"/>
      <c r="AN279" s="4"/>
      <c r="AO279" s="3"/>
      <c r="AP279" s="4"/>
      <c r="AQ279" s="3"/>
      <c r="AR279" s="3"/>
      <c r="AS279" s="3"/>
    </row>
    <row r="280" spans="1:45" s="53" customFormat="1" ht="19.5" customHeight="1">
      <c r="A280" s="35" t="e">
        <f t="shared" si="44"/>
        <v>#REF!</v>
      </c>
      <c r="B280" s="81"/>
      <c r="C280" s="3"/>
      <c r="D280" s="46"/>
      <c r="E280" s="3"/>
      <c r="F280" s="3"/>
      <c r="G280" s="3"/>
      <c r="H280" s="41"/>
      <c r="I280" s="3"/>
      <c r="J280" s="78"/>
      <c r="K280" s="78"/>
      <c r="L280" s="78"/>
      <c r="M280" s="78"/>
      <c r="N280" s="44" t="str">
        <f t="shared" si="39"/>
        <v/>
      </c>
      <c r="O280" s="45"/>
      <c r="P280" s="46"/>
      <c r="Q280" s="46"/>
      <c r="R280" s="47"/>
      <c r="S280" s="48"/>
      <c r="T280" s="80"/>
      <c r="U280" s="80"/>
      <c r="V280" s="3"/>
      <c r="W280" s="3"/>
      <c r="X280" s="50"/>
      <c r="Y280" s="80"/>
      <c r="Z280" s="80"/>
      <c r="AA280" s="3"/>
      <c r="AC280" s="50"/>
      <c r="AD280" s="50"/>
      <c r="AE280" s="3" t="str">
        <f t="shared" si="43"/>
        <v>-</v>
      </c>
      <c r="AF280" s="51"/>
      <c r="AG280" s="52" t="str">
        <f t="shared" ca="1" si="41"/>
        <v/>
      </c>
      <c r="AI280" s="54"/>
      <c r="AJ280" s="3"/>
      <c r="AK280" s="3">
        <v>1</v>
      </c>
      <c r="AL280" s="3"/>
      <c r="AM280" s="4"/>
      <c r="AN280" s="4"/>
      <c r="AO280" s="3"/>
      <c r="AP280" s="4"/>
      <c r="AQ280" s="3"/>
      <c r="AR280" s="3"/>
      <c r="AS280" s="3"/>
    </row>
    <row r="281" spans="1:45" s="53" customFormat="1" ht="19.5" customHeight="1">
      <c r="A281" s="35" t="e">
        <f>#REF!</f>
        <v>#REF!</v>
      </c>
      <c r="B281" s="77">
        <v>9</v>
      </c>
      <c r="C281" s="3"/>
      <c r="D281" s="38" t="s">
        <v>124</v>
      </c>
      <c r="E281" s="3"/>
      <c r="F281" s="3"/>
      <c r="G281" s="3"/>
      <c r="H281" s="41"/>
      <c r="I281" s="37" t="s">
        <v>50</v>
      </c>
      <c r="J281" s="43"/>
      <c r="K281" s="43"/>
      <c r="L281" s="43" t="s">
        <v>52</v>
      </c>
      <c r="M281" s="78"/>
      <c r="N281" s="44" t="str">
        <f t="shared" si="39"/>
        <v/>
      </c>
      <c r="O281" s="148" t="s">
        <v>61</v>
      </c>
      <c r="P281" s="67"/>
      <c r="Q281" s="67"/>
      <c r="R281" s="68"/>
      <c r="S281" s="69"/>
      <c r="T281" s="82">
        <v>0.6875</v>
      </c>
      <c r="U281" s="82">
        <v>0.69444444444444453</v>
      </c>
      <c r="V281" s="97" t="s">
        <v>85</v>
      </c>
      <c r="W281" s="3"/>
      <c r="X281" s="72" t="s">
        <v>66</v>
      </c>
      <c r="Y281" s="99">
        <v>0.69097222222222221</v>
      </c>
      <c r="Z281" s="99">
        <v>0.69791666666666663</v>
      </c>
      <c r="AA281" s="97" t="s">
        <v>104</v>
      </c>
      <c r="AB281" s="73"/>
      <c r="AC281" s="50"/>
      <c r="AD281" s="50"/>
      <c r="AE281" s="3" t="str">
        <f t="shared" si="43"/>
        <v>-</v>
      </c>
      <c r="AF281" s="51"/>
      <c r="AG281" s="52"/>
      <c r="AI281" s="54"/>
      <c r="AJ281" s="3"/>
      <c r="AK281" s="3">
        <v>1</v>
      </c>
      <c r="AL281" s="3"/>
      <c r="AM281" s="4"/>
      <c r="AN281" s="4"/>
      <c r="AO281" s="3"/>
      <c r="AP281" s="4"/>
      <c r="AQ281" s="3"/>
      <c r="AR281" s="3"/>
      <c r="AS281" s="3"/>
    </row>
    <row r="282" spans="1:45" s="53" customFormat="1" ht="19.5" customHeight="1">
      <c r="A282" s="35" t="e">
        <f t="shared" si="44"/>
        <v>#REF!</v>
      </c>
      <c r="B282" s="81"/>
      <c r="C282" s="3"/>
      <c r="D282" s="46"/>
      <c r="E282" s="3"/>
      <c r="F282" s="3"/>
      <c r="G282" s="3"/>
      <c r="H282" s="41"/>
      <c r="I282" s="71" t="s">
        <v>50</v>
      </c>
      <c r="J282" s="149"/>
      <c r="K282" s="149"/>
      <c r="L282" s="149" t="s">
        <v>52</v>
      </c>
      <c r="M282" s="149"/>
      <c r="N282" s="44" t="str">
        <f t="shared" si="39"/>
        <v/>
      </c>
      <c r="O282" s="148" t="s">
        <v>95</v>
      </c>
      <c r="P282" s="95"/>
      <c r="Q282" s="95"/>
      <c r="R282" s="150"/>
      <c r="S282" s="48"/>
      <c r="T282" s="82">
        <v>0.6875</v>
      </c>
      <c r="U282" s="82">
        <v>0.69444444444444453</v>
      </c>
      <c r="V282" s="97" t="s">
        <v>85</v>
      </c>
      <c r="W282" s="3"/>
      <c r="X282" s="72" t="s">
        <v>66</v>
      </c>
      <c r="Y282" s="99">
        <v>0.69097222222222221</v>
      </c>
      <c r="Z282" s="99">
        <v>0.69791666666666663</v>
      </c>
      <c r="AA282" s="97" t="s">
        <v>104</v>
      </c>
      <c r="AB282" s="73"/>
      <c r="AC282" s="50"/>
      <c r="AD282" s="50"/>
      <c r="AE282" s="3" t="str">
        <f t="shared" si="43"/>
        <v>-</v>
      </c>
      <c r="AF282" s="51"/>
      <c r="AG282" s="151"/>
      <c r="AI282" s="54"/>
      <c r="AJ282" s="3"/>
      <c r="AK282" s="3">
        <v>1</v>
      </c>
      <c r="AL282" s="3"/>
      <c r="AM282" s="4"/>
      <c r="AN282" s="4"/>
      <c r="AO282" s="3"/>
      <c r="AP282" s="4"/>
      <c r="AQ282" s="3"/>
      <c r="AR282" s="3"/>
      <c r="AS282" s="3"/>
    </row>
    <row r="283" spans="1:45" s="53" customFormat="1" ht="19.5" customHeight="1">
      <c r="A283" s="35" t="e">
        <f>A281</f>
        <v>#REF!</v>
      </c>
      <c r="B283" s="81"/>
      <c r="C283" s="3"/>
      <c r="D283" s="46"/>
      <c r="E283" s="3"/>
      <c r="F283" s="3"/>
      <c r="G283" s="3"/>
      <c r="H283" s="41"/>
      <c r="I283" s="71" t="s">
        <v>50</v>
      </c>
      <c r="J283" s="149"/>
      <c r="K283" s="149"/>
      <c r="L283" s="149" t="s">
        <v>52</v>
      </c>
      <c r="M283" s="149"/>
      <c r="N283" s="44" t="str">
        <f t="shared" si="39"/>
        <v/>
      </c>
      <c r="O283" s="148" t="s">
        <v>95</v>
      </c>
      <c r="P283" s="95" t="s">
        <v>56</v>
      </c>
      <c r="Q283" s="95">
        <v>10</v>
      </c>
      <c r="R283" s="47"/>
      <c r="S283" s="48"/>
      <c r="T283" s="82">
        <v>0.6875</v>
      </c>
      <c r="U283" s="82">
        <v>0.69444444444444453</v>
      </c>
      <c r="V283" s="97" t="s">
        <v>85</v>
      </c>
      <c r="W283" s="3"/>
      <c r="X283" s="72" t="s">
        <v>66</v>
      </c>
      <c r="Y283" s="99">
        <v>0.69097222222222221</v>
      </c>
      <c r="Z283" s="99">
        <v>0.69791666666666663</v>
      </c>
      <c r="AA283" s="97" t="s">
        <v>104</v>
      </c>
      <c r="AB283" s="73"/>
      <c r="AC283" s="50"/>
      <c r="AD283" s="50"/>
      <c r="AE283" s="83" t="str">
        <f t="shared" si="43"/>
        <v>-</v>
      </c>
      <c r="AF283" s="51"/>
      <c r="AG283" s="151"/>
      <c r="AI283" s="54"/>
      <c r="AJ283" s="3"/>
      <c r="AK283" s="3">
        <v>1</v>
      </c>
      <c r="AL283" s="3"/>
      <c r="AM283" s="4"/>
      <c r="AN283" s="4"/>
      <c r="AO283" s="3"/>
      <c r="AP283" s="4"/>
      <c r="AQ283" s="3"/>
      <c r="AR283" s="3"/>
      <c r="AS283" s="3"/>
    </row>
    <row r="284" spans="1:45" s="53" customFormat="1" ht="19.5" customHeight="1">
      <c r="A284" s="35" t="e">
        <f>A282</f>
        <v>#REF!</v>
      </c>
      <c r="B284" s="81"/>
      <c r="C284" s="3"/>
      <c r="D284" s="46"/>
      <c r="E284" s="3"/>
      <c r="F284" s="3"/>
      <c r="G284" s="3"/>
      <c r="H284" s="41"/>
      <c r="I284" s="71" t="s">
        <v>50</v>
      </c>
      <c r="J284" s="149"/>
      <c r="K284" s="149"/>
      <c r="L284" s="149" t="s">
        <v>52</v>
      </c>
      <c r="M284" s="149"/>
      <c r="N284" s="44" t="str">
        <f t="shared" si="39"/>
        <v/>
      </c>
      <c r="O284" s="152" t="s">
        <v>125</v>
      </c>
      <c r="P284" s="96" t="s">
        <v>56</v>
      </c>
      <c r="Q284" s="96">
        <v>10</v>
      </c>
      <c r="R284" s="47"/>
      <c r="S284" s="48"/>
      <c r="T284" s="82">
        <v>0.6875</v>
      </c>
      <c r="U284" s="82">
        <v>0.69444444444444453</v>
      </c>
      <c r="V284" s="97" t="s">
        <v>85</v>
      </c>
      <c r="W284" s="3"/>
      <c r="X284" s="118" t="s">
        <v>66</v>
      </c>
      <c r="Y284" s="99">
        <v>0.69097222222222221</v>
      </c>
      <c r="Z284" s="99">
        <v>0.69791666666666663</v>
      </c>
      <c r="AA284" s="83" t="s">
        <v>104</v>
      </c>
      <c r="AB284" s="73"/>
      <c r="AC284" s="50"/>
      <c r="AD284" s="50"/>
      <c r="AE284" s="83" t="str">
        <f t="shared" si="43"/>
        <v>-</v>
      </c>
      <c r="AF284" s="51"/>
      <c r="AG284" s="151"/>
      <c r="AI284" s="54"/>
      <c r="AJ284" s="3"/>
      <c r="AK284" s="3">
        <v>1</v>
      </c>
      <c r="AL284" s="3"/>
      <c r="AM284" s="4"/>
      <c r="AN284" s="4"/>
      <c r="AO284" s="3"/>
      <c r="AP284" s="4"/>
      <c r="AQ284" s="3"/>
      <c r="AR284" s="3"/>
      <c r="AS284" s="3"/>
    </row>
    <row r="285" spans="1:45" s="53" customFormat="1" ht="19.5" customHeight="1">
      <c r="A285" s="35" t="e">
        <f t="shared" si="44"/>
        <v>#REF!</v>
      </c>
      <c r="B285" s="81"/>
      <c r="C285" s="3"/>
      <c r="E285" s="3"/>
      <c r="F285" s="3"/>
      <c r="G285" s="3"/>
      <c r="H285" s="41"/>
      <c r="I285" s="71" t="s">
        <v>50</v>
      </c>
      <c r="J285" s="149"/>
      <c r="K285" s="149"/>
      <c r="L285" s="149" t="s">
        <v>52</v>
      </c>
      <c r="M285" s="149"/>
      <c r="N285" s="44" t="str">
        <f t="shared" si="39"/>
        <v/>
      </c>
      <c r="O285" s="152" t="s">
        <v>125</v>
      </c>
      <c r="P285" s="96" t="s">
        <v>56</v>
      </c>
      <c r="Q285" s="96">
        <v>10</v>
      </c>
      <c r="R285" s="47"/>
      <c r="S285" s="48"/>
      <c r="T285" s="82">
        <v>0.6875</v>
      </c>
      <c r="U285" s="82">
        <v>0.69444444444444453</v>
      </c>
      <c r="V285" s="97" t="s">
        <v>85</v>
      </c>
      <c r="W285" s="3"/>
      <c r="X285" s="84" t="s">
        <v>126</v>
      </c>
      <c r="Y285" s="100">
        <v>0.69097222222222221</v>
      </c>
      <c r="Z285" s="99">
        <v>0.69791666666666663</v>
      </c>
      <c r="AA285" s="83" t="s">
        <v>127</v>
      </c>
      <c r="AB285" s="73"/>
      <c r="AC285" s="50"/>
      <c r="AD285" s="50"/>
      <c r="AE285" s="83" t="str">
        <f t="shared" si="43"/>
        <v>-</v>
      </c>
      <c r="AF285" s="51"/>
      <c r="AG285" s="151"/>
      <c r="AI285" s="54"/>
      <c r="AJ285" s="3"/>
      <c r="AK285" s="3">
        <v>1</v>
      </c>
      <c r="AL285" s="3"/>
      <c r="AM285" s="4"/>
      <c r="AN285" s="4"/>
      <c r="AO285" s="3"/>
      <c r="AP285" s="4"/>
      <c r="AQ285" s="3"/>
      <c r="AR285" s="3"/>
      <c r="AS285" s="3"/>
    </row>
    <row r="286" spans="1:45" s="53" customFormat="1" ht="19.5" customHeight="1">
      <c r="A286" s="35" t="e">
        <f t="shared" si="44"/>
        <v>#REF!</v>
      </c>
      <c r="B286" s="122"/>
      <c r="C286" s="58"/>
      <c r="D286" s="88"/>
      <c r="E286" s="3"/>
      <c r="F286" s="3"/>
      <c r="G286" s="3"/>
      <c r="H286" s="41"/>
      <c r="I286" s="71" t="s">
        <v>50</v>
      </c>
      <c r="J286" s="153"/>
      <c r="K286" s="149"/>
      <c r="L286" s="149" t="s">
        <v>52</v>
      </c>
      <c r="M286" s="149"/>
      <c r="N286" s="44" t="str">
        <f t="shared" si="39"/>
        <v/>
      </c>
      <c r="O286" s="152" t="s">
        <v>125</v>
      </c>
      <c r="P286" s="154" t="s">
        <v>56</v>
      </c>
      <c r="Q286" s="154">
        <v>10</v>
      </c>
      <c r="R286" s="47"/>
      <c r="S286" s="48"/>
      <c r="T286" s="82">
        <v>0.6875</v>
      </c>
      <c r="U286" s="82">
        <v>0.69444444444444453</v>
      </c>
      <c r="V286" s="97" t="s">
        <v>85</v>
      </c>
      <c r="W286" s="3"/>
      <c r="X286" s="84" t="s">
        <v>126</v>
      </c>
      <c r="Y286" s="99">
        <v>0.70138888888888884</v>
      </c>
      <c r="Z286" s="100">
        <v>0.70833333333333337</v>
      </c>
      <c r="AA286" s="83" t="s">
        <v>128</v>
      </c>
      <c r="AB286" s="73"/>
      <c r="AC286" s="50"/>
      <c r="AD286" s="50"/>
      <c r="AE286" s="83" t="str">
        <f t="shared" si="43"/>
        <v>-</v>
      </c>
      <c r="AF286" s="51"/>
      <c r="AG286" s="151"/>
      <c r="AI286" s="54"/>
      <c r="AJ286" s="3"/>
      <c r="AK286" s="3">
        <v>1</v>
      </c>
      <c r="AL286" s="3"/>
      <c r="AM286" s="4"/>
      <c r="AN286" s="4"/>
      <c r="AO286" s="3"/>
      <c r="AP286" s="4"/>
      <c r="AQ286" s="3"/>
      <c r="AR286" s="3"/>
      <c r="AS286" s="3"/>
    </row>
    <row r="287" spans="1:45" s="53" customFormat="1" ht="19.5" customHeight="1">
      <c r="A287" s="35" t="e">
        <f t="shared" si="44"/>
        <v>#REF!</v>
      </c>
      <c r="B287" s="122"/>
      <c r="C287" s="58"/>
      <c r="D287" s="88"/>
      <c r="E287" s="3"/>
      <c r="F287" s="3"/>
      <c r="G287" s="3"/>
      <c r="H287" s="41"/>
      <c r="I287" s="71" t="s">
        <v>50</v>
      </c>
      <c r="J287" s="153"/>
      <c r="K287" s="149"/>
      <c r="L287" s="149" t="s">
        <v>52</v>
      </c>
      <c r="M287" s="149"/>
      <c r="N287" s="44" t="str">
        <f t="shared" si="39"/>
        <v/>
      </c>
      <c r="O287" s="152" t="s">
        <v>125</v>
      </c>
      <c r="P287" s="154" t="s">
        <v>56</v>
      </c>
      <c r="Q287" s="154">
        <v>10</v>
      </c>
      <c r="R287" s="47"/>
      <c r="S287" s="48"/>
      <c r="T287" s="82">
        <v>0.6875</v>
      </c>
      <c r="U287" s="82">
        <v>0.69444444444444453</v>
      </c>
      <c r="V287" s="97" t="s">
        <v>85</v>
      </c>
      <c r="W287" s="3"/>
      <c r="X287" s="84" t="s">
        <v>126</v>
      </c>
      <c r="Y287" s="99">
        <v>0.70138888888888884</v>
      </c>
      <c r="Z287" s="99">
        <v>0.70833333333333337</v>
      </c>
      <c r="AA287" s="125" t="s">
        <v>129</v>
      </c>
      <c r="AB287" s="73"/>
      <c r="AC287" s="50"/>
      <c r="AD287" s="118"/>
      <c r="AE287" s="83" t="str">
        <f t="shared" si="43"/>
        <v>-</v>
      </c>
      <c r="AF287" s="105"/>
      <c r="AG287" s="151"/>
      <c r="AI287" s="54"/>
      <c r="AJ287" s="3"/>
      <c r="AK287" s="3">
        <v>1</v>
      </c>
      <c r="AL287" s="3"/>
      <c r="AM287" s="4"/>
      <c r="AN287" s="4"/>
      <c r="AO287" s="3"/>
      <c r="AP287" s="4"/>
      <c r="AQ287" s="3"/>
      <c r="AR287" s="3"/>
      <c r="AS287" s="3"/>
    </row>
    <row r="288" spans="1:45" s="53" customFormat="1" ht="19.5" customHeight="1">
      <c r="A288" s="35" t="e">
        <f>A286</f>
        <v>#REF!</v>
      </c>
      <c r="B288" s="81"/>
      <c r="C288" s="3"/>
      <c r="D288" s="46"/>
      <c r="E288" s="3"/>
      <c r="F288" s="3"/>
      <c r="G288" s="3"/>
      <c r="H288" s="41"/>
      <c r="I288" s="71" t="s">
        <v>50</v>
      </c>
      <c r="J288" s="149"/>
      <c r="K288" s="149"/>
      <c r="L288" s="149" t="s">
        <v>52</v>
      </c>
      <c r="M288" s="149"/>
      <c r="N288" s="44" t="str">
        <f t="shared" si="39"/>
        <v/>
      </c>
      <c r="O288" s="152" t="s">
        <v>125</v>
      </c>
      <c r="P288" s="96" t="s">
        <v>56</v>
      </c>
      <c r="Q288" s="96">
        <v>10</v>
      </c>
      <c r="R288" s="47"/>
      <c r="S288" s="48"/>
      <c r="T288" s="82">
        <v>0.6875</v>
      </c>
      <c r="U288" s="82">
        <v>0.69444444444444453</v>
      </c>
      <c r="V288" s="97" t="s">
        <v>85</v>
      </c>
      <c r="W288" s="3"/>
      <c r="X288" s="84" t="s">
        <v>126</v>
      </c>
      <c r="Y288" s="99">
        <v>0.70138888888888884</v>
      </c>
      <c r="Z288" s="99">
        <v>0.70833333333333337</v>
      </c>
      <c r="AA288" s="125" t="s">
        <v>129</v>
      </c>
      <c r="AB288" s="73"/>
      <c r="AC288" s="50"/>
      <c r="AD288" s="106" t="s">
        <v>87</v>
      </c>
      <c r="AE288" s="83" t="str">
        <f t="shared" si="43"/>
        <v>-</v>
      </c>
      <c r="AF288" s="107">
        <v>0.73263888888888884</v>
      </c>
      <c r="AG288" s="119">
        <f ca="1">IF(AF288="","",IF($AF288+TIME(0,30,0)&lt;(TEXT(NOW(),"h:mm:ss")*1),$AF288+TIME(0,45,0),$AF288+TIME(0,30,0)))</f>
        <v>0.75347222222222221</v>
      </c>
      <c r="AH288" s="101"/>
      <c r="AI288" s="54"/>
      <c r="AJ288" s="3"/>
      <c r="AK288" s="3">
        <v>1</v>
      </c>
      <c r="AL288" s="3"/>
      <c r="AM288" s="4"/>
      <c r="AN288" s="4"/>
      <c r="AO288" s="3"/>
      <c r="AP288" s="4"/>
      <c r="AQ288" s="3"/>
      <c r="AR288" s="3"/>
      <c r="AS288" s="3"/>
    </row>
    <row r="289" spans="1:45" s="53" customFormat="1" ht="19.5" customHeight="1">
      <c r="A289" s="35" t="e">
        <f t="shared" si="44"/>
        <v>#REF!</v>
      </c>
      <c r="B289" s="81"/>
      <c r="C289" s="3"/>
      <c r="D289" s="46"/>
      <c r="E289" s="3"/>
      <c r="F289" s="3"/>
      <c r="G289" s="3"/>
      <c r="H289" s="41"/>
      <c r="I289" s="71" t="s">
        <v>50</v>
      </c>
      <c r="J289" s="149"/>
      <c r="K289" s="149"/>
      <c r="L289" s="149" t="s">
        <v>52</v>
      </c>
      <c r="M289" s="149"/>
      <c r="N289" s="44" t="str">
        <f t="shared" si="39"/>
        <v/>
      </c>
      <c r="O289" s="152" t="s">
        <v>125</v>
      </c>
      <c r="P289" s="96" t="s">
        <v>56</v>
      </c>
      <c r="Q289" s="96">
        <v>10</v>
      </c>
      <c r="R289" s="47"/>
      <c r="S289" s="48"/>
      <c r="T289" s="82">
        <v>0.6875</v>
      </c>
      <c r="U289" s="82">
        <v>0.69444444444444453</v>
      </c>
      <c r="V289" s="97" t="s">
        <v>85</v>
      </c>
      <c r="W289" s="3"/>
      <c r="X289" s="84" t="s">
        <v>126</v>
      </c>
      <c r="Y289" s="99">
        <v>0.70138888888888884</v>
      </c>
      <c r="Z289" s="99">
        <v>0.70833333333333337</v>
      </c>
      <c r="AA289" s="125" t="s">
        <v>129</v>
      </c>
      <c r="AB289" s="73"/>
      <c r="AC289" s="50"/>
      <c r="AD289" s="106" t="s">
        <v>87</v>
      </c>
      <c r="AE289" s="83" t="str">
        <f t="shared" si="43"/>
        <v>-</v>
      </c>
      <c r="AF289" s="107">
        <v>0.73263888888888884</v>
      </c>
      <c r="AG289" s="112">
        <v>0.75694444444444453</v>
      </c>
      <c r="AH289" s="113">
        <v>10</v>
      </c>
      <c r="AI289" s="54"/>
      <c r="AJ289" s="3"/>
      <c r="AK289" s="3">
        <v>1</v>
      </c>
      <c r="AL289" s="3"/>
      <c r="AM289" s="4"/>
      <c r="AN289" s="4"/>
      <c r="AO289" s="3"/>
      <c r="AP289" s="4"/>
      <c r="AQ289" s="3"/>
      <c r="AR289" s="3"/>
      <c r="AS289" s="3"/>
    </row>
    <row r="290" spans="1:45" ht="19.5" customHeight="1">
      <c r="A290" s="35" t="e">
        <f t="shared" si="44"/>
        <v>#REF!</v>
      </c>
      <c r="N290" s="44" t="str">
        <f t="shared" ref="N290:N302" si="45">IF(C290="","",C290)</f>
        <v/>
      </c>
      <c r="P290" s="46"/>
      <c r="R290" s="47"/>
      <c r="AE290" s="3" t="str">
        <f t="shared" si="43"/>
        <v>-</v>
      </c>
      <c r="AF290" s="51"/>
      <c r="AG290" s="52" t="str">
        <f ca="1">IF(AF290="","",IF($AF290+TIME(0,30,0)&lt;(TEXT(NOW(),"h:mm:ss")*1),$AF290+TIME(0,45,0),$AF290+TIME(0,30,0)))</f>
        <v/>
      </c>
      <c r="AI290" s="54"/>
      <c r="AK290" s="3">
        <v>1</v>
      </c>
      <c r="AP290" s="4"/>
    </row>
    <row r="291" spans="1:45" s="53" customFormat="1" ht="19.5" customHeight="1">
      <c r="A291" s="35" t="e">
        <f t="shared" si="44"/>
        <v>#REF!</v>
      </c>
      <c r="B291" s="81"/>
      <c r="C291" s="3"/>
      <c r="D291" s="46"/>
      <c r="E291" s="3"/>
      <c r="F291" s="3"/>
      <c r="G291" s="3"/>
      <c r="H291" s="41"/>
      <c r="I291" s="3"/>
      <c r="J291" s="78"/>
      <c r="K291" s="78"/>
      <c r="L291" s="78"/>
      <c r="M291" s="78"/>
      <c r="N291" s="44" t="str">
        <f t="shared" si="45"/>
        <v/>
      </c>
      <c r="O291" s="45"/>
      <c r="P291" s="46"/>
      <c r="Q291" s="46"/>
      <c r="R291" s="47"/>
      <c r="S291" s="48"/>
      <c r="T291" s="80"/>
      <c r="U291" s="80"/>
      <c r="V291" s="3"/>
      <c r="W291" s="3"/>
      <c r="X291" s="50"/>
      <c r="Y291" s="80"/>
      <c r="Z291" s="80"/>
      <c r="AA291" s="3"/>
      <c r="AC291" s="50"/>
      <c r="AD291" s="50"/>
      <c r="AE291" s="3" t="str">
        <f t="shared" si="43"/>
        <v>-</v>
      </c>
      <c r="AF291" s="51"/>
      <c r="AG291" s="52" t="str">
        <f t="shared" ref="AG291:AG296" ca="1" si="46">IF(AF291="","",IF($AF291+TIME(0,30,0)&lt;(TEXT(NOW(),"h:mm:ss")*1),$AF291+TIME(0,45,0),$AF291+TIME(0,30,0)))</f>
        <v/>
      </c>
      <c r="AI291" s="54"/>
      <c r="AJ291" s="3"/>
      <c r="AK291" s="3">
        <v>1</v>
      </c>
      <c r="AL291" s="3"/>
      <c r="AM291" s="4"/>
      <c r="AN291" s="4"/>
      <c r="AO291" s="3"/>
      <c r="AP291" s="4"/>
      <c r="AQ291" s="3"/>
      <c r="AR291" s="3"/>
      <c r="AS291" s="3"/>
    </row>
    <row r="292" spans="1:45" ht="19.5" customHeight="1">
      <c r="A292" s="35" t="e">
        <f t="shared" si="44"/>
        <v>#REF!</v>
      </c>
      <c r="B292" s="66">
        <v>10</v>
      </c>
      <c r="C292" s="37"/>
      <c r="D292" s="38" t="s">
        <v>100</v>
      </c>
      <c r="E292" s="37"/>
      <c r="F292" s="39"/>
      <c r="G292" s="40"/>
      <c r="I292" s="37" t="s">
        <v>50</v>
      </c>
      <c r="J292" s="43"/>
      <c r="K292" s="43"/>
      <c r="L292" s="43" t="s">
        <v>52</v>
      </c>
      <c r="M292" s="43"/>
      <c r="N292" s="44" t="str">
        <f t="shared" si="45"/>
        <v/>
      </c>
      <c r="O292" s="45" t="s">
        <v>61</v>
      </c>
      <c r="P292" s="67"/>
      <c r="Q292" s="67"/>
      <c r="R292" s="68"/>
      <c r="S292" s="69"/>
      <c r="T292" s="79"/>
      <c r="U292" s="49"/>
      <c r="X292" s="72" t="s">
        <v>66</v>
      </c>
      <c r="Y292" s="49"/>
      <c r="Z292" s="49"/>
      <c r="AE292" s="3" t="str">
        <f t="shared" si="43"/>
        <v>-</v>
      </c>
      <c r="AF292" s="51"/>
      <c r="AG292" s="52" t="str">
        <f t="shared" ca="1" si="46"/>
        <v/>
      </c>
      <c r="AI292" s="54"/>
      <c r="AK292" s="3">
        <v>1</v>
      </c>
      <c r="AP292" s="4"/>
    </row>
    <row r="293" spans="1:45" ht="19.5" customHeight="1">
      <c r="A293" s="35" t="e">
        <f t="shared" si="44"/>
        <v>#REF!</v>
      </c>
      <c r="B293" s="36"/>
      <c r="C293" s="37"/>
      <c r="D293" s="38"/>
      <c r="E293" s="37"/>
      <c r="F293" s="39"/>
      <c r="G293" s="40"/>
      <c r="I293" s="37" t="s">
        <v>50</v>
      </c>
      <c r="J293" s="43"/>
      <c r="K293" s="43"/>
      <c r="L293" s="43" t="s">
        <v>52</v>
      </c>
      <c r="M293" s="43"/>
      <c r="N293" s="44" t="str">
        <f t="shared" si="45"/>
        <v/>
      </c>
      <c r="O293" s="45" t="s">
        <v>61</v>
      </c>
      <c r="P293" s="67"/>
      <c r="Q293" s="67"/>
      <c r="R293" s="68"/>
      <c r="S293" s="69"/>
      <c r="T293" s="82">
        <v>0.6875</v>
      </c>
      <c r="U293" s="79">
        <v>0.69444444444444453</v>
      </c>
      <c r="V293" s="83"/>
      <c r="X293" s="72" t="s">
        <v>66</v>
      </c>
      <c r="Y293" s="49"/>
      <c r="Z293" s="49"/>
      <c r="AE293" s="3" t="str">
        <f t="shared" si="43"/>
        <v>-</v>
      </c>
      <c r="AF293" s="51"/>
      <c r="AG293" s="52" t="str">
        <f t="shared" ca="1" si="46"/>
        <v/>
      </c>
      <c r="AI293" s="54"/>
      <c r="AK293" s="3">
        <v>1</v>
      </c>
      <c r="AP293" s="4"/>
    </row>
    <row r="294" spans="1:45" ht="19.5" customHeight="1">
      <c r="A294" s="35" t="e">
        <f t="shared" si="44"/>
        <v>#REF!</v>
      </c>
      <c r="B294" s="36"/>
      <c r="C294" s="37"/>
      <c r="D294" s="38"/>
      <c r="E294" s="37"/>
      <c r="F294" s="39"/>
      <c r="G294" s="40"/>
      <c r="I294" s="37" t="s">
        <v>50</v>
      </c>
      <c r="J294" s="43"/>
      <c r="K294" s="43"/>
      <c r="L294" s="43" t="s">
        <v>52</v>
      </c>
      <c r="M294" s="43"/>
      <c r="N294" s="44" t="str">
        <f t="shared" si="45"/>
        <v/>
      </c>
      <c r="O294" s="45" t="s">
        <v>61</v>
      </c>
      <c r="P294" s="67"/>
      <c r="Q294" s="67"/>
      <c r="R294" s="68"/>
      <c r="S294" s="69"/>
      <c r="T294" s="82">
        <v>0.6875</v>
      </c>
      <c r="U294" s="82">
        <v>0.69444444444444453</v>
      </c>
      <c r="V294" s="97" t="s">
        <v>85</v>
      </c>
      <c r="X294" s="72" t="s">
        <v>66</v>
      </c>
      <c r="Y294" s="79"/>
      <c r="Z294" s="49"/>
      <c r="AE294" s="3" t="str">
        <f t="shared" si="43"/>
        <v>-</v>
      </c>
      <c r="AF294" s="51"/>
      <c r="AG294" s="52" t="str">
        <f t="shared" ca="1" si="46"/>
        <v/>
      </c>
      <c r="AI294" s="54"/>
      <c r="AK294" s="3">
        <v>1</v>
      </c>
      <c r="AP294" s="4"/>
    </row>
    <row r="295" spans="1:45" ht="19.5" customHeight="1">
      <c r="A295" s="35" t="e">
        <f t="shared" si="44"/>
        <v>#REF!</v>
      </c>
      <c r="C295" s="37"/>
      <c r="E295" s="37"/>
      <c r="F295" s="37"/>
      <c r="G295" s="37"/>
      <c r="I295" s="37" t="s">
        <v>50</v>
      </c>
      <c r="J295" s="43"/>
      <c r="K295" s="43"/>
      <c r="L295" s="43" t="s">
        <v>52</v>
      </c>
      <c r="N295" s="44" t="str">
        <f t="shared" si="45"/>
        <v/>
      </c>
      <c r="O295" s="45" t="s">
        <v>61</v>
      </c>
      <c r="P295" s="67"/>
      <c r="Q295" s="67"/>
      <c r="R295" s="68"/>
      <c r="S295" s="69"/>
      <c r="T295" s="82">
        <v>0.6875</v>
      </c>
      <c r="U295" s="82">
        <v>0.69444444444444453</v>
      </c>
      <c r="V295" s="97" t="s">
        <v>85</v>
      </c>
      <c r="X295" s="72" t="s">
        <v>66</v>
      </c>
      <c r="Y295" s="99">
        <v>0.69097222222222221</v>
      </c>
      <c r="Z295" s="100">
        <v>0.69791666666666663</v>
      </c>
      <c r="AA295" s="83"/>
      <c r="AB295" s="73"/>
      <c r="AE295" s="3" t="str">
        <f t="shared" si="43"/>
        <v>-</v>
      </c>
      <c r="AF295" s="51"/>
      <c r="AG295" s="52" t="str">
        <f t="shared" ca="1" si="46"/>
        <v/>
      </c>
      <c r="AI295" s="54"/>
      <c r="AK295" s="3">
        <v>1</v>
      </c>
      <c r="AP295" s="4"/>
    </row>
    <row r="296" spans="1:45" ht="19.5" customHeight="1">
      <c r="A296" s="35" t="e">
        <f t="shared" si="44"/>
        <v>#REF!</v>
      </c>
      <c r="C296" s="102"/>
      <c r="I296" s="37" t="s">
        <v>50</v>
      </c>
      <c r="J296" s="43"/>
      <c r="K296" s="43"/>
      <c r="L296" s="43" t="s">
        <v>52</v>
      </c>
      <c r="N296" s="44" t="str">
        <f t="shared" si="45"/>
        <v/>
      </c>
      <c r="O296" s="45" t="s">
        <v>61</v>
      </c>
      <c r="P296" s="67"/>
      <c r="Q296" s="67"/>
      <c r="R296" s="68"/>
      <c r="S296" s="69"/>
      <c r="T296" s="82">
        <v>0.6875</v>
      </c>
      <c r="U296" s="82">
        <v>0.69444444444444453</v>
      </c>
      <c r="V296" s="97" t="s">
        <v>85</v>
      </c>
      <c r="X296" s="72" t="s">
        <v>66</v>
      </c>
      <c r="Y296" s="99">
        <v>0.69097222222222221</v>
      </c>
      <c r="Z296" s="99">
        <v>0.69791666666666663</v>
      </c>
      <c r="AA296" s="97" t="s">
        <v>86</v>
      </c>
      <c r="AB296" s="73"/>
      <c r="AC296" s="103"/>
      <c r="AD296" s="104"/>
      <c r="AE296" s="3" t="str">
        <f t="shared" si="43"/>
        <v>-</v>
      </c>
      <c r="AF296" s="105"/>
      <c r="AG296" s="52" t="str">
        <f t="shared" ca="1" si="46"/>
        <v/>
      </c>
      <c r="AI296" s="54"/>
      <c r="AK296" s="3">
        <v>1</v>
      </c>
      <c r="AP296" s="4"/>
    </row>
    <row r="297" spans="1:45" ht="19.5" customHeight="1">
      <c r="A297" s="35" t="e">
        <f t="shared" si="44"/>
        <v>#REF!</v>
      </c>
      <c r="C297" s="102"/>
      <c r="I297" s="37" t="s">
        <v>50</v>
      </c>
      <c r="J297" s="43"/>
      <c r="K297" s="43"/>
      <c r="L297" s="43" t="s">
        <v>52</v>
      </c>
      <c r="N297" s="44" t="str">
        <f t="shared" si="45"/>
        <v/>
      </c>
      <c r="O297" s="45" t="s">
        <v>61</v>
      </c>
      <c r="P297" s="67"/>
      <c r="Q297" s="67"/>
      <c r="R297" s="68"/>
      <c r="S297" s="69"/>
      <c r="T297" s="82">
        <v>0.6875</v>
      </c>
      <c r="U297" s="82">
        <v>0.69444444444444453</v>
      </c>
      <c r="V297" s="97" t="s">
        <v>85</v>
      </c>
      <c r="X297" s="72" t="s">
        <v>66</v>
      </c>
      <c r="Y297" s="99">
        <v>0.69097222222222221</v>
      </c>
      <c r="Z297" s="99">
        <v>0.69791666666666663</v>
      </c>
      <c r="AA297" s="97" t="s">
        <v>86</v>
      </c>
      <c r="AB297" s="73"/>
      <c r="AD297" s="106" t="s">
        <v>87</v>
      </c>
      <c r="AE297" s="3" t="str">
        <f t="shared" si="43"/>
        <v>-</v>
      </c>
      <c r="AF297" s="107">
        <v>0.69444444444444453</v>
      </c>
      <c r="AG297" s="119">
        <v>0.71527777777777779</v>
      </c>
      <c r="AI297" s="54"/>
      <c r="AK297" s="3">
        <v>1</v>
      </c>
      <c r="AP297" s="4"/>
    </row>
    <row r="298" spans="1:45" ht="19.5" customHeight="1">
      <c r="A298" s="35" t="e">
        <f>A297</f>
        <v>#REF!</v>
      </c>
      <c r="C298" s="102"/>
      <c r="I298" s="3" t="s">
        <v>50</v>
      </c>
      <c r="L298" s="78" t="s">
        <v>52</v>
      </c>
      <c r="N298" s="44" t="str">
        <f t="shared" si="45"/>
        <v/>
      </c>
      <c r="O298" s="45" t="s">
        <v>61</v>
      </c>
      <c r="P298" s="67"/>
      <c r="Q298" s="67"/>
      <c r="R298" s="68"/>
      <c r="S298" s="69"/>
      <c r="T298" s="82">
        <v>0.6875</v>
      </c>
      <c r="U298" s="82">
        <v>0.69444444444444453</v>
      </c>
      <c r="V298" s="97" t="s">
        <v>85</v>
      </c>
      <c r="X298" s="72" t="s">
        <v>66</v>
      </c>
      <c r="Y298" s="99">
        <v>0.69097222222222221</v>
      </c>
      <c r="Z298" s="99">
        <v>0.69791666666666663</v>
      </c>
      <c r="AA298" s="97" t="s">
        <v>86</v>
      </c>
      <c r="AB298" s="73"/>
      <c r="AD298" s="106" t="s">
        <v>87</v>
      </c>
      <c r="AE298" s="3" t="str">
        <f t="shared" si="43"/>
        <v>-</v>
      </c>
      <c r="AF298" s="107">
        <v>0.69444444444444453</v>
      </c>
      <c r="AG298" s="108">
        <v>0.72569444444444453</v>
      </c>
      <c r="AH298" s="109"/>
      <c r="AI298" s="54"/>
      <c r="AK298" s="3">
        <v>1</v>
      </c>
      <c r="AP298" s="4"/>
    </row>
    <row r="299" spans="1:45" ht="19.5" customHeight="1">
      <c r="A299" s="35" t="e">
        <f>A298</f>
        <v>#REF!</v>
      </c>
      <c r="B299" s="155"/>
      <c r="C299" s="156"/>
      <c r="I299" s="157" t="s">
        <v>50</v>
      </c>
      <c r="L299" s="78" t="s">
        <v>52</v>
      </c>
      <c r="N299" s="44" t="str">
        <f t="shared" si="45"/>
        <v/>
      </c>
      <c r="O299" s="45" t="s">
        <v>61</v>
      </c>
      <c r="P299" s="67"/>
      <c r="Q299" s="67"/>
      <c r="R299" s="68"/>
      <c r="S299" s="69"/>
      <c r="T299" s="82">
        <v>0.6875</v>
      </c>
      <c r="U299" s="82">
        <v>0.69444444444444453</v>
      </c>
      <c r="V299" s="97" t="s">
        <v>85</v>
      </c>
      <c r="X299" s="158" t="s">
        <v>66</v>
      </c>
      <c r="Y299" s="99">
        <v>0.69097222222222221</v>
      </c>
      <c r="Z299" s="99">
        <v>0.69791666666666663</v>
      </c>
      <c r="AA299" s="157" t="s">
        <v>86</v>
      </c>
      <c r="AB299" s="73"/>
      <c r="AD299" s="106" t="s">
        <v>87</v>
      </c>
      <c r="AE299" s="3" t="str">
        <f t="shared" si="43"/>
        <v>-</v>
      </c>
      <c r="AF299" s="107">
        <v>0.69444444444444453</v>
      </c>
      <c r="AG299" s="108">
        <v>0.72569444444444453</v>
      </c>
      <c r="AH299" s="109"/>
      <c r="AI299" s="159" t="s">
        <v>130</v>
      </c>
      <c r="AK299" s="3">
        <v>1</v>
      </c>
      <c r="AP299" s="4"/>
    </row>
    <row r="300" spans="1:45" ht="19.5" customHeight="1">
      <c r="A300" s="35" t="e">
        <f>A298</f>
        <v>#REF!</v>
      </c>
      <c r="C300" s="102"/>
      <c r="I300" s="3" t="s">
        <v>50</v>
      </c>
      <c r="L300" s="78" t="s">
        <v>52</v>
      </c>
      <c r="N300" s="44" t="str">
        <f t="shared" si="45"/>
        <v/>
      </c>
      <c r="O300" s="160" t="s">
        <v>61</v>
      </c>
      <c r="P300" s="161"/>
      <c r="Q300" s="161"/>
      <c r="R300" s="162"/>
      <c r="S300" s="163"/>
      <c r="T300" s="82">
        <v>0.6875</v>
      </c>
      <c r="U300" s="82">
        <v>0.69444444444444453</v>
      </c>
      <c r="V300" s="97" t="s">
        <v>85</v>
      </c>
      <c r="X300" s="72" t="s">
        <v>66</v>
      </c>
      <c r="Y300" s="99">
        <v>0.69097222222222221</v>
      </c>
      <c r="Z300" s="99">
        <v>0.69791666666666663</v>
      </c>
      <c r="AA300" s="164" t="s">
        <v>94</v>
      </c>
      <c r="AB300" s="73"/>
      <c r="AD300" s="106" t="s">
        <v>87</v>
      </c>
      <c r="AE300" s="3" t="str">
        <f t="shared" si="43"/>
        <v>-</v>
      </c>
      <c r="AF300" s="107">
        <v>0.69444444444444453</v>
      </c>
      <c r="AG300" s="110">
        <v>0.72569444444444453</v>
      </c>
      <c r="AH300" s="136"/>
      <c r="AI300" s="54"/>
      <c r="AK300" s="3">
        <v>1</v>
      </c>
      <c r="AP300" s="4"/>
    </row>
    <row r="301" spans="1:45" s="53" customFormat="1" ht="19.5" customHeight="1">
      <c r="A301" s="35" t="e">
        <f>A300</f>
        <v>#REF!</v>
      </c>
      <c r="B301" s="81"/>
      <c r="C301" s="3"/>
      <c r="D301" s="46"/>
      <c r="E301" s="3"/>
      <c r="F301" s="3"/>
      <c r="G301" s="3"/>
      <c r="H301" s="41"/>
      <c r="I301" s="3" t="s">
        <v>50</v>
      </c>
      <c r="J301" s="78"/>
      <c r="K301" s="78"/>
      <c r="L301" s="149" t="s">
        <v>52</v>
      </c>
      <c r="M301" s="149"/>
      <c r="N301" s="44" t="str">
        <f t="shared" si="45"/>
        <v/>
      </c>
      <c r="O301" s="45" t="s">
        <v>58</v>
      </c>
      <c r="P301" s="129"/>
      <c r="Q301" s="129"/>
      <c r="R301" s="130"/>
      <c r="S301" s="131"/>
      <c r="T301" s="82">
        <v>0.6875</v>
      </c>
      <c r="U301" s="82">
        <v>0.69444444444444453</v>
      </c>
      <c r="V301" s="97" t="s">
        <v>85</v>
      </c>
      <c r="W301" s="126"/>
      <c r="X301" s="72" t="s">
        <v>66</v>
      </c>
      <c r="Y301" s="85">
        <v>0.69097222222222221</v>
      </c>
      <c r="Z301" s="85">
        <v>0.69791666666666663</v>
      </c>
      <c r="AA301" s="126" t="s">
        <v>94</v>
      </c>
      <c r="AB301" s="127"/>
      <c r="AC301" s="50"/>
      <c r="AD301" s="84" t="s">
        <v>87</v>
      </c>
      <c r="AE301" s="126" t="str">
        <f t="shared" si="43"/>
        <v>-</v>
      </c>
      <c r="AF301" s="128">
        <v>0.69444444444444453</v>
      </c>
      <c r="AG301" s="165">
        <f ca="1">IF(AF301="","",IF($AF301+TIME(0,30,0)&lt;(TEXT(NOW(),"h:mm:ss")*1),$AF301+TIME(0,45,0),$AF301+TIME(0,30,0)))</f>
        <v>0.72569444444444453</v>
      </c>
      <c r="AH301" s="166"/>
      <c r="AI301" s="54"/>
      <c r="AJ301" s="3"/>
      <c r="AK301" s="3">
        <v>1</v>
      </c>
      <c r="AL301" s="3"/>
      <c r="AM301" s="4"/>
      <c r="AN301" s="4"/>
      <c r="AO301" s="3"/>
      <c r="AP301" s="4"/>
      <c r="AQ301" s="3"/>
      <c r="AR301" s="3"/>
      <c r="AS301" s="3"/>
    </row>
    <row r="302" spans="1:45" s="53" customFormat="1" ht="19.5" customHeight="1">
      <c r="A302" s="35" t="e">
        <f>A301</f>
        <v>#REF!</v>
      </c>
      <c r="B302" s="81"/>
      <c r="C302" s="3"/>
      <c r="D302" s="46"/>
      <c r="E302" s="3"/>
      <c r="F302" s="3"/>
      <c r="G302" s="3"/>
      <c r="H302" s="41"/>
      <c r="I302" s="3" t="s">
        <v>50</v>
      </c>
      <c r="J302" s="78"/>
      <c r="K302" s="78"/>
      <c r="L302" s="149" t="s">
        <v>52</v>
      </c>
      <c r="M302" s="149"/>
      <c r="N302" s="44" t="str">
        <f t="shared" si="45"/>
        <v/>
      </c>
      <c r="O302" s="45" t="s">
        <v>58</v>
      </c>
      <c r="P302" s="129"/>
      <c r="Q302" s="129"/>
      <c r="R302" s="130"/>
      <c r="S302" s="131"/>
      <c r="T302" s="82">
        <v>0.6875</v>
      </c>
      <c r="U302" s="82">
        <v>0.69444444444444453</v>
      </c>
      <c r="V302" s="97" t="s">
        <v>85</v>
      </c>
      <c r="W302" s="126"/>
      <c r="X302" s="72" t="s">
        <v>66</v>
      </c>
      <c r="Y302" s="85">
        <v>0.69097222222222221</v>
      </c>
      <c r="Z302" s="85">
        <v>0.69791666666666663</v>
      </c>
      <c r="AA302" s="126" t="s">
        <v>94</v>
      </c>
      <c r="AB302" s="127"/>
      <c r="AC302" s="50"/>
      <c r="AD302" s="84" t="s">
        <v>87</v>
      </c>
      <c r="AE302" s="126" t="str">
        <f t="shared" si="43"/>
        <v>-</v>
      </c>
      <c r="AF302" s="128">
        <v>0.69444444444444453</v>
      </c>
      <c r="AG302" s="167">
        <v>0.75</v>
      </c>
      <c r="AH302" s="168">
        <v>10</v>
      </c>
      <c r="AI302" s="54"/>
      <c r="AJ302" s="3"/>
      <c r="AK302" s="3"/>
      <c r="AL302" s="3"/>
      <c r="AM302" s="4"/>
      <c r="AN302" s="4"/>
      <c r="AO302" s="3"/>
      <c r="AP302" s="4"/>
      <c r="AQ302" s="3"/>
      <c r="AR302" s="3"/>
      <c r="AS302" s="3"/>
    </row>
    <row r="303" spans="1:45" s="53" customFormat="1" ht="19.5" customHeight="1">
      <c r="A303" s="35"/>
      <c r="B303" s="81"/>
      <c r="C303" s="3"/>
      <c r="D303" s="46"/>
      <c r="E303" s="3"/>
      <c r="F303" s="3"/>
      <c r="G303" s="3"/>
      <c r="H303" s="41"/>
      <c r="I303" s="3"/>
      <c r="J303" s="78"/>
      <c r="K303" s="78"/>
      <c r="L303" s="78"/>
      <c r="M303" s="78"/>
      <c r="N303" s="44"/>
      <c r="O303" s="45"/>
      <c r="P303" s="46"/>
      <c r="Q303" s="46"/>
      <c r="R303" s="47"/>
      <c r="S303" s="48"/>
      <c r="T303" s="49"/>
      <c r="U303" s="49"/>
      <c r="V303" s="3"/>
      <c r="W303" s="3"/>
      <c r="X303" s="50"/>
      <c r="Y303" s="80"/>
      <c r="Z303" s="80"/>
      <c r="AA303" s="3"/>
      <c r="AC303" s="50"/>
      <c r="AD303" s="50"/>
      <c r="AE303" s="3"/>
      <c r="AF303" s="51"/>
      <c r="AG303" s="169"/>
      <c r="AH303" s="34"/>
      <c r="AI303" s="54"/>
      <c r="AJ303" s="3"/>
      <c r="AK303" s="3">
        <v>1</v>
      </c>
      <c r="AL303" s="3"/>
      <c r="AM303" s="4"/>
      <c r="AN303" s="4"/>
      <c r="AO303" s="3"/>
      <c r="AP303" s="4"/>
      <c r="AQ303" s="3"/>
      <c r="AR303" s="3"/>
      <c r="AS303" s="3"/>
    </row>
    <row r="304" spans="1:45" ht="19.5" customHeight="1">
      <c r="A304" s="35" t="e">
        <f>A301</f>
        <v>#REF!</v>
      </c>
      <c r="N304" s="44" t="str">
        <f t="shared" ref="N304:N311" si="47">IF(C304="","",C304)</f>
        <v/>
      </c>
      <c r="P304" s="46"/>
      <c r="R304" s="47"/>
      <c r="AE304" s="3" t="str">
        <f>IF(OR(V304="電話不通 x2",V304="DS判断"),"DS確認→U列入力",IF(V304="希望","U列入力",IF(V304="拒否","DS確認",IF(V304="外国語","DS確認",IF(V304="電話不通 x1","ORM再架電","-")))))</f>
        <v>-</v>
      </c>
      <c r="AF304" s="51"/>
      <c r="AG304" s="52" t="str">
        <f ca="1">IF(AF304="","",IF($AF304+TIME(0,30,0)&lt;(TEXT(NOW(),"h:mm:ss")*1),$AF304+TIME(0,45,0),$AF304+TIME(0,30,0)))</f>
        <v/>
      </c>
      <c r="AI304" s="54"/>
      <c r="AK304" s="3">
        <v>1</v>
      </c>
      <c r="AP304" s="4"/>
    </row>
    <row r="305" spans="1:45" s="53" customFormat="1" ht="19.5" customHeight="1">
      <c r="A305" s="35" t="e">
        <f>#REF!</f>
        <v>#REF!</v>
      </c>
      <c r="B305" s="77">
        <v>11</v>
      </c>
      <c r="C305" s="102"/>
      <c r="D305" s="38" t="s">
        <v>102</v>
      </c>
      <c r="E305" s="3"/>
      <c r="F305" s="3"/>
      <c r="G305" s="3"/>
      <c r="H305" s="41"/>
      <c r="I305" s="3" t="s">
        <v>50</v>
      </c>
      <c r="J305" s="78"/>
      <c r="K305" s="78"/>
      <c r="L305" s="78" t="s">
        <v>52</v>
      </c>
      <c r="M305" s="78"/>
      <c r="N305" s="44" t="str">
        <f t="shared" si="47"/>
        <v/>
      </c>
      <c r="O305" s="148" t="s">
        <v>61</v>
      </c>
      <c r="P305" s="129"/>
      <c r="Q305" s="129"/>
      <c r="R305" s="130"/>
      <c r="S305" s="131"/>
      <c r="T305" s="82">
        <v>0.6875</v>
      </c>
      <c r="U305" s="82">
        <v>0.69444444444444453</v>
      </c>
      <c r="V305" s="97" t="s">
        <v>85</v>
      </c>
      <c r="W305" s="3"/>
      <c r="X305" s="72" t="s">
        <v>66</v>
      </c>
      <c r="Y305" s="99">
        <v>0.69097222222222221</v>
      </c>
      <c r="Z305" s="99">
        <v>0.69791666666666663</v>
      </c>
      <c r="AA305" s="63" t="s">
        <v>94</v>
      </c>
      <c r="AB305" s="73"/>
      <c r="AC305" s="50"/>
      <c r="AD305" s="106" t="s">
        <v>87</v>
      </c>
      <c r="AE305" s="3" t="str">
        <f>IF(OR(V305="電話不通 x2",V305="DS判断"),"DS確認→U列入力",IF(V305="希望","U列入力",IF(V305="拒否","DS確認",IF(V305="外国語","DS確認",IF(V305="電話不通 x1","ORM再架電","-")))))</f>
        <v>-</v>
      </c>
      <c r="AF305" s="107">
        <v>0.69444444444444453</v>
      </c>
      <c r="AG305" s="110">
        <v>0.72569444444444453</v>
      </c>
      <c r="AH305" s="136"/>
      <c r="AI305" s="54"/>
      <c r="AJ305" s="3"/>
      <c r="AK305" s="3">
        <v>1</v>
      </c>
      <c r="AL305" s="3"/>
      <c r="AM305" s="4"/>
      <c r="AN305" s="4"/>
      <c r="AO305" s="3"/>
      <c r="AP305" s="4"/>
      <c r="AQ305" s="3"/>
      <c r="AR305" s="3"/>
      <c r="AS305" s="3"/>
    </row>
    <row r="306" spans="1:45" s="53" customFormat="1" ht="19.5" customHeight="1">
      <c r="A306" s="35" t="e">
        <f>A305</f>
        <v>#REF!</v>
      </c>
      <c r="B306" s="81"/>
      <c r="C306" s="3"/>
      <c r="D306" s="46"/>
      <c r="E306" s="3"/>
      <c r="F306" s="3"/>
      <c r="G306" s="3"/>
      <c r="H306" s="41"/>
      <c r="I306" s="3" t="s">
        <v>50</v>
      </c>
      <c r="J306" s="78"/>
      <c r="K306" s="78"/>
      <c r="L306" s="78" t="s">
        <v>52</v>
      </c>
      <c r="M306" s="78"/>
      <c r="N306" s="44" t="str">
        <f t="shared" si="47"/>
        <v/>
      </c>
      <c r="O306" s="45" t="s">
        <v>55</v>
      </c>
      <c r="P306" s="129"/>
      <c r="Q306" s="129"/>
      <c r="R306" s="130"/>
      <c r="S306" s="131"/>
      <c r="T306" s="82">
        <v>0.6875</v>
      </c>
      <c r="U306" s="82">
        <v>0.69444444444444453</v>
      </c>
      <c r="V306" s="97" t="s">
        <v>85</v>
      </c>
      <c r="W306" s="126"/>
      <c r="X306" s="72" t="s">
        <v>66</v>
      </c>
      <c r="Y306" s="85">
        <v>0.69097222222222221</v>
      </c>
      <c r="Z306" s="85">
        <v>0.69791666666666663</v>
      </c>
      <c r="AA306" s="126" t="s">
        <v>94</v>
      </c>
      <c r="AB306" s="127"/>
      <c r="AC306" s="50"/>
      <c r="AD306" s="84" t="s">
        <v>87</v>
      </c>
      <c r="AE306" s="126" t="str">
        <f>IF(OR(V306="電話不通 x2",V306="DS判断"),"DS確認→U列入力",IF(V306="希望","U列入力",IF(V306="拒否","DS確認",IF(V306="外国語","DS確認",IF(V306="電話不通 x1","ORM再架電","-")))))</f>
        <v>-</v>
      </c>
      <c r="AF306" s="128">
        <v>0.69444444444444453</v>
      </c>
      <c r="AG306" s="138">
        <f ca="1">IF(AF306="","",IF($AF306+TIME(0,30,0)&lt;(TEXT(NOW(),"h:mm:ss")*1),$AF306+TIME(0,45,0),$AF306+TIME(0,30,0)))</f>
        <v>0.72569444444444453</v>
      </c>
      <c r="AH306" s="139"/>
      <c r="AI306" s="54"/>
      <c r="AJ306" s="3"/>
      <c r="AK306" s="3"/>
      <c r="AL306" s="3"/>
      <c r="AM306" s="4"/>
      <c r="AN306" s="4"/>
      <c r="AO306" s="3"/>
      <c r="AP306" s="4"/>
      <c r="AQ306" s="3"/>
      <c r="AR306" s="3"/>
      <c r="AS306" s="3"/>
    </row>
    <row r="307" spans="1:45" s="53" customFormat="1" ht="19.5" customHeight="1">
      <c r="A307" s="35"/>
      <c r="B307" s="81"/>
      <c r="C307" s="3"/>
      <c r="D307" s="46"/>
      <c r="E307" s="3"/>
      <c r="F307" s="3"/>
      <c r="G307" s="3"/>
      <c r="H307" s="41"/>
      <c r="I307" s="3"/>
      <c r="J307" s="78"/>
      <c r="K307" s="78"/>
      <c r="L307" s="78"/>
      <c r="M307" s="78"/>
      <c r="N307" s="44"/>
      <c r="O307" s="45"/>
      <c r="P307" s="46"/>
      <c r="Q307" s="46"/>
      <c r="R307" s="47"/>
      <c r="S307" s="48"/>
      <c r="T307" s="49"/>
      <c r="U307" s="49"/>
      <c r="V307" s="3"/>
      <c r="W307" s="3"/>
      <c r="X307" s="50"/>
      <c r="Y307" s="80"/>
      <c r="Z307" s="80"/>
      <c r="AA307" s="3"/>
      <c r="AC307" s="50"/>
      <c r="AD307" s="50"/>
      <c r="AE307" s="3"/>
      <c r="AF307" s="51"/>
      <c r="AG307" s="169"/>
      <c r="AH307" s="34"/>
      <c r="AI307" s="54"/>
      <c r="AJ307" s="3"/>
      <c r="AK307" s="3">
        <v>1</v>
      </c>
      <c r="AL307" s="3"/>
      <c r="AM307" s="4"/>
      <c r="AN307" s="4"/>
      <c r="AO307" s="3"/>
      <c r="AP307" s="4"/>
      <c r="AQ307" s="3"/>
      <c r="AR307" s="3"/>
      <c r="AS307" s="3"/>
    </row>
    <row r="308" spans="1:45" ht="19.5" customHeight="1">
      <c r="A308" s="35" t="e">
        <f>A306</f>
        <v>#REF!</v>
      </c>
      <c r="N308" s="44" t="str">
        <f>IF(C308="","",C308)</f>
        <v/>
      </c>
      <c r="P308" s="46"/>
      <c r="R308" s="47"/>
      <c r="AE308" s="3" t="str">
        <f t="shared" ref="AE308:AE324" si="48">IF(OR(V308="電話不通 x2",V308="DS判断"),"DS確認→U列入力",IF(V308="希望","U列入力",IF(V308="拒否","DS確認",IF(V308="外国語","DS確認",IF(V308="電話不通 x1","ORM再架電","-")))))</f>
        <v>-</v>
      </c>
      <c r="AF308" s="51"/>
      <c r="AG308" s="52" t="str">
        <f ca="1">IF(AF308="","",IF($AF308+TIME(0,30,0)&lt;(TEXT(NOW(),"h:mm:ss")*1),$AF308+TIME(0,45,0),$AF308+TIME(0,30,0)))</f>
        <v/>
      </c>
      <c r="AI308" s="54"/>
      <c r="AK308" s="3">
        <v>1</v>
      </c>
      <c r="AP308" s="4"/>
    </row>
    <row r="309" spans="1:45" s="53" customFormat="1" ht="19.5" customHeight="1">
      <c r="A309" s="35" t="e">
        <f>#REF!</f>
        <v>#REF!</v>
      </c>
      <c r="B309" s="77">
        <v>12</v>
      </c>
      <c r="C309" s="102"/>
      <c r="D309" s="38" t="s">
        <v>131</v>
      </c>
      <c r="E309" s="3"/>
      <c r="F309" s="3"/>
      <c r="G309" s="3"/>
      <c r="H309" s="41"/>
      <c r="I309" s="3" t="s">
        <v>50</v>
      </c>
      <c r="J309" s="78"/>
      <c r="K309" s="78"/>
      <c r="L309" s="78" t="s">
        <v>52</v>
      </c>
      <c r="M309" s="78"/>
      <c r="N309" s="44" t="str">
        <f>IF(C309="","",C309)</f>
        <v/>
      </c>
      <c r="O309" s="148" t="s">
        <v>61</v>
      </c>
      <c r="P309" s="129"/>
      <c r="Q309" s="129"/>
      <c r="R309" s="130"/>
      <c r="S309" s="131"/>
      <c r="T309" s="82">
        <v>0.6875</v>
      </c>
      <c r="U309" s="82">
        <v>0.69444444444444453</v>
      </c>
      <c r="V309" s="97" t="s">
        <v>85</v>
      </c>
      <c r="W309" s="3"/>
      <c r="X309" s="72" t="s">
        <v>66</v>
      </c>
      <c r="Y309" s="99">
        <v>0.69097222222222221</v>
      </c>
      <c r="Z309" s="99">
        <v>0.69791666666666663</v>
      </c>
      <c r="AA309" s="63" t="s">
        <v>94</v>
      </c>
      <c r="AB309" s="73"/>
      <c r="AC309" s="50"/>
      <c r="AD309" s="106" t="s">
        <v>87</v>
      </c>
      <c r="AE309" s="3" t="str">
        <f t="shared" si="48"/>
        <v>-</v>
      </c>
      <c r="AF309" s="107">
        <v>0.69444444444444453</v>
      </c>
      <c r="AG309" s="110">
        <v>0.72569444444444453</v>
      </c>
      <c r="AH309" s="136"/>
      <c r="AI309" s="54"/>
      <c r="AJ309" s="3"/>
      <c r="AK309" s="3">
        <v>1</v>
      </c>
      <c r="AL309" s="3"/>
      <c r="AM309" s="4"/>
      <c r="AN309" s="4"/>
      <c r="AO309" s="3"/>
      <c r="AP309" s="4"/>
      <c r="AQ309" s="3"/>
      <c r="AR309" s="3"/>
      <c r="AS309" s="3"/>
    </row>
    <row r="310" spans="1:45" s="53" customFormat="1" ht="19.5" customHeight="1">
      <c r="A310" s="35" t="e">
        <f>A309</f>
        <v>#REF!</v>
      </c>
      <c r="B310" s="81"/>
      <c r="C310" s="3"/>
      <c r="D310" s="46"/>
      <c r="E310" s="3"/>
      <c r="F310" s="3"/>
      <c r="G310" s="3"/>
      <c r="H310" s="41"/>
      <c r="I310" s="3" t="s">
        <v>50</v>
      </c>
      <c r="J310" s="78"/>
      <c r="K310" s="78"/>
      <c r="L310" s="78" t="s">
        <v>52</v>
      </c>
      <c r="M310" s="78"/>
      <c r="N310" s="44" t="str">
        <f>IF(C310="","",C310)</f>
        <v/>
      </c>
      <c r="O310" s="45" t="s">
        <v>53</v>
      </c>
      <c r="P310" s="129"/>
      <c r="Q310" s="129"/>
      <c r="R310" s="130"/>
      <c r="S310" s="131"/>
      <c r="T310" s="82">
        <v>0.6875</v>
      </c>
      <c r="U310" s="82">
        <v>0.69444444444444453</v>
      </c>
      <c r="V310" s="97" t="s">
        <v>85</v>
      </c>
      <c r="W310" s="126"/>
      <c r="X310" s="72" t="s">
        <v>66</v>
      </c>
      <c r="Y310" s="85">
        <v>0.69097222222222221</v>
      </c>
      <c r="Z310" s="85">
        <v>0.69791666666666663</v>
      </c>
      <c r="AA310" s="126" t="s">
        <v>94</v>
      </c>
      <c r="AB310" s="127"/>
      <c r="AC310" s="50"/>
      <c r="AD310" s="84" t="s">
        <v>87</v>
      </c>
      <c r="AE310" s="126" t="str">
        <f t="shared" si="48"/>
        <v>-</v>
      </c>
      <c r="AF310" s="128">
        <v>0.69444444444444453</v>
      </c>
      <c r="AG310" s="138">
        <f ca="1">IF(AF310="","",IF($AF310+TIME(0,30,0)&lt;(TEXT(NOW(),"h:mm:ss")*1),$AF310+TIME(0,45,0),$AF310+TIME(0,30,0)))</f>
        <v>0.72569444444444453</v>
      </c>
      <c r="AH310" s="139"/>
      <c r="AI310" s="54"/>
      <c r="AJ310" s="3"/>
      <c r="AK310" s="3">
        <v>1</v>
      </c>
      <c r="AL310" s="3"/>
      <c r="AM310" s="4"/>
      <c r="AN310" s="4"/>
      <c r="AO310" s="3"/>
      <c r="AP310" s="4"/>
      <c r="AQ310" s="3"/>
      <c r="AR310" s="3"/>
      <c r="AS310" s="3"/>
    </row>
    <row r="311" spans="1:45" s="53" customFormat="1" ht="19.5" customHeight="1">
      <c r="A311" s="35" t="e">
        <f>A304</f>
        <v>#REF!</v>
      </c>
      <c r="B311" s="81"/>
      <c r="C311" s="3"/>
      <c r="D311" s="46"/>
      <c r="E311" s="3"/>
      <c r="F311" s="3"/>
      <c r="G311" s="3"/>
      <c r="H311" s="41"/>
      <c r="I311" s="3"/>
      <c r="J311" s="78"/>
      <c r="K311" s="78"/>
      <c r="L311" s="78"/>
      <c r="M311" s="78"/>
      <c r="N311" s="44" t="str">
        <f t="shared" si="47"/>
        <v/>
      </c>
      <c r="O311" s="45"/>
      <c r="P311" s="46"/>
      <c r="Q311" s="46"/>
      <c r="R311" s="47"/>
      <c r="S311" s="48"/>
      <c r="T311" s="80"/>
      <c r="U311" s="80"/>
      <c r="V311" s="3"/>
      <c r="W311" s="3"/>
      <c r="X311" s="50"/>
      <c r="Y311" s="80"/>
      <c r="Z311" s="80"/>
      <c r="AA311" s="3"/>
      <c r="AC311" s="50"/>
      <c r="AD311" s="50"/>
      <c r="AE311" s="3" t="str">
        <f t="shared" si="48"/>
        <v>-</v>
      </c>
      <c r="AF311" s="51"/>
      <c r="AG311" s="52" t="str">
        <f ca="1">IF(AF311="","",IF($AF311+TIME(0,30,0)&lt;(TEXT(NOW(),"h:mm:ss")*1),$AF311+TIME(0,45,0),$AF311+TIME(0,30,0)))</f>
        <v/>
      </c>
      <c r="AI311" s="54"/>
      <c r="AJ311" s="3"/>
      <c r="AK311" s="3">
        <v>1</v>
      </c>
      <c r="AL311" s="3"/>
      <c r="AM311" s="4"/>
      <c r="AN311" s="4"/>
      <c r="AO311" s="3"/>
      <c r="AP311" s="4"/>
      <c r="AQ311" s="3"/>
      <c r="AR311" s="3"/>
      <c r="AS311" s="3"/>
    </row>
    <row r="312" spans="1:45" s="53" customFormat="1" ht="19.5" customHeight="1">
      <c r="A312" s="35" t="e">
        <f>A301</f>
        <v>#REF!</v>
      </c>
      <c r="B312" s="81"/>
      <c r="C312" s="3"/>
      <c r="D312" s="46"/>
      <c r="E312" s="3"/>
      <c r="F312" s="3"/>
      <c r="G312" s="3"/>
      <c r="H312" s="41"/>
      <c r="I312" s="3"/>
      <c r="J312" s="78"/>
      <c r="K312" s="78"/>
      <c r="L312" s="78"/>
      <c r="M312" s="78"/>
      <c r="N312" s="44" t="str">
        <f>IF(C312="","",C312)</f>
        <v/>
      </c>
      <c r="O312" s="45"/>
      <c r="P312" s="46"/>
      <c r="Q312" s="46"/>
      <c r="R312" s="47"/>
      <c r="S312" s="48"/>
      <c r="T312" s="80"/>
      <c r="U312" s="80"/>
      <c r="V312" s="3"/>
      <c r="W312" s="3"/>
      <c r="X312" s="50"/>
      <c r="Y312" s="80"/>
      <c r="Z312" s="80"/>
      <c r="AA312" s="3"/>
      <c r="AC312" s="50"/>
      <c r="AD312" s="50"/>
      <c r="AE312" s="3" t="str">
        <f t="shared" si="48"/>
        <v>-</v>
      </c>
      <c r="AF312" s="51"/>
      <c r="AG312" s="52" t="str">
        <f ca="1">IF(AF312="","",IF($AF312+TIME(0,30,0)&lt;(TEXT(NOW(),"h:mm:ss")*1),$AF312+TIME(0,45,0),$AF312+TIME(0,30,0)))</f>
        <v/>
      </c>
      <c r="AI312" s="54"/>
      <c r="AJ312" s="3"/>
      <c r="AK312" s="3">
        <v>1</v>
      </c>
      <c r="AL312" s="3"/>
      <c r="AM312" s="4"/>
      <c r="AN312" s="4"/>
      <c r="AO312" s="3"/>
      <c r="AP312" s="4"/>
      <c r="AQ312" s="3"/>
      <c r="AR312" s="3"/>
      <c r="AS312" s="3"/>
    </row>
    <row r="313" spans="1:45" s="53" customFormat="1" ht="19.5" customHeight="1">
      <c r="A313" s="35" t="e">
        <f>#REF!</f>
        <v>#REF!</v>
      </c>
      <c r="B313" s="77">
        <v>13</v>
      </c>
      <c r="C313" s="3"/>
      <c r="D313" s="46" t="s">
        <v>93</v>
      </c>
      <c r="E313" s="3"/>
      <c r="F313" s="3"/>
      <c r="G313" s="3"/>
      <c r="H313" s="41"/>
      <c r="I313" s="3" t="s">
        <v>50</v>
      </c>
      <c r="J313" s="78"/>
      <c r="K313" s="78"/>
      <c r="L313" s="78" t="s">
        <v>52</v>
      </c>
      <c r="M313" s="78"/>
      <c r="N313" s="44" t="str">
        <f>IF(C313="","",C313)</f>
        <v/>
      </c>
      <c r="O313" s="148" t="s">
        <v>61</v>
      </c>
      <c r="P313" s="129"/>
      <c r="Q313" s="129"/>
      <c r="R313" s="130"/>
      <c r="S313" s="131"/>
      <c r="T313" s="82">
        <v>0.6875</v>
      </c>
      <c r="U313" s="82">
        <v>0.69444444444444453</v>
      </c>
      <c r="V313" s="97" t="s">
        <v>85</v>
      </c>
      <c r="W313" s="3"/>
      <c r="X313" s="72" t="s">
        <v>66</v>
      </c>
      <c r="Y313" s="99">
        <v>0.69097222222222221</v>
      </c>
      <c r="Z313" s="99">
        <v>0.69791666666666663</v>
      </c>
      <c r="AA313" s="63" t="s">
        <v>94</v>
      </c>
      <c r="AB313" s="73"/>
      <c r="AC313" s="50"/>
      <c r="AD313" s="118" t="s">
        <v>87</v>
      </c>
      <c r="AE313" s="3" t="str">
        <f t="shared" si="48"/>
        <v>-</v>
      </c>
      <c r="AF313" s="107">
        <v>0.69444444444444453</v>
      </c>
      <c r="AG313" s="110">
        <v>0.72569444444444453</v>
      </c>
      <c r="AH313" s="121"/>
      <c r="AI313" s="54"/>
      <c r="AJ313" s="3"/>
      <c r="AK313" s="3"/>
      <c r="AL313" s="3"/>
      <c r="AM313" s="4"/>
      <c r="AN313" s="4"/>
      <c r="AO313" s="3"/>
      <c r="AP313" s="4"/>
      <c r="AQ313" s="3"/>
      <c r="AR313" s="3"/>
      <c r="AS313" s="3"/>
    </row>
    <row r="314" spans="1:45" ht="19.5" customHeight="1">
      <c r="A314" s="35" t="e">
        <f>#REF!</f>
        <v>#REF!</v>
      </c>
      <c r="B314" s="36"/>
      <c r="C314" s="37"/>
      <c r="D314" s="3"/>
      <c r="E314" s="37"/>
      <c r="F314" s="39"/>
      <c r="G314" s="40"/>
      <c r="I314" s="170" t="s">
        <v>50</v>
      </c>
      <c r="J314" s="171"/>
      <c r="K314" s="171"/>
      <c r="L314" s="171" t="s">
        <v>52</v>
      </c>
      <c r="M314" s="171"/>
      <c r="N314" s="44" t="e">
        <f>IF(#REF!="","",#REF!)</f>
        <v>#REF!</v>
      </c>
      <c r="O314" s="148" t="s">
        <v>95</v>
      </c>
      <c r="P314" s="95"/>
      <c r="Q314" s="95"/>
      <c r="R314" s="47"/>
      <c r="T314" s="82">
        <v>0.6875</v>
      </c>
      <c r="U314" s="82">
        <v>0.69444444444444453</v>
      </c>
      <c r="V314" s="97" t="s">
        <v>85</v>
      </c>
      <c r="X314" s="72" t="s">
        <v>66</v>
      </c>
      <c r="Y314" s="99">
        <v>0.69097222222222221</v>
      </c>
      <c r="Z314" s="99">
        <v>0.69791666666666663</v>
      </c>
      <c r="AA314" s="63" t="s">
        <v>94</v>
      </c>
      <c r="AB314" s="73"/>
      <c r="AD314" s="118" t="s">
        <v>87</v>
      </c>
      <c r="AE314" s="3" t="str">
        <f t="shared" si="48"/>
        <v>-</v>
      </c>
      <c r="AF314" s="107">
        <v>0.69444444444444453</v>
      </c>
      <c r="AG314" s="110">
        <v>0.72569444444444453</v>
      </c>
      <c r="AH314" s="136"/>
      <c r="AI314" s="54"/>
      <c r="AK314" s="3">
        <v>1</v>
      </c>
      <c r="AP314" s="4"/>
    </row>
    <row r="315" spans="1:45" ht="19.5" customHeight="1">
      <c r="A315" s="35" t="e">
        <f>#REF!</f>
        <v>#REF!</v>
      </c>
      <c r="B315" s="36"/>
      <c r="C315" s="37"/>
      <c r="D315" s="3"/>
      <c r="E315" s="37"/>
      <c r="F315" s="39"/>
      <c r="G315" s="40"/>
      <c r="I315" s="170" t="s">
        <v>50</v>
      </c>
      <c r="J315" s="171"/>
      <c r="K315" s="171"/>
      <c r="L315" s="171" t="s">
        <v>52</v>
      </c>
      <c r="M315" s="171"/>
      <c r="N315" s="44" t="e">
        <f>IF(#REF!="","",#REF!)</f>
        <v>#REF!</v>
      </c>
      <c r="O315" s="148" t="s">
        <v>95</v>
      </c>
      <c r="P315" s="95" t="s">
        <v>56</v>
      </c>
      <c r="Q315" s="95">
        <v>20</v>
      </c>
      <c r="R315" s="47"/>
      <c r="T315" s="82">
        <v>0.6875</v>
      </c>
      <c r="U315" s="82">
        <v>0.69444444444444453</v>
      </c>
      <c r="V315" s="97" t="s">
        <v>85</v>
      </c>
      <c r="X315" s="72" t="s">
        <v>66</v>
      </c>
      <c r="Y315" s="99">
        <v>0.69097222222222221</v>
      </c>
      <c r="Z315" s="99">
        <v>0.69791666666666663</v>
      </c>
      <c r="AA315" s="63" t="s">
        <v>94</v>
      </c>
      <c r="AB315" s="73"/>
      <c r="AD315" s="118" t="s">
        <v>87</v>
      </c>
      <c r="AE315" s="3" t="str">
        <f t="shared" si="48"/>
        <v>-</v>
      </c>
      <c r="AF315" s="107">
        <v>0.69444444444444453</v>
      </c>
      <c r="AG315" s="110">
        <v>0.72569444444444453</v>
      </c>
      <c r="AH315" s="136"/>
      <c r="AI315" s="54"/>
      <c r="AK315" s="3">
        <v>1</v>
      </c>
      <c r="AP315" s="4"/>
    </row>
    <row r="316" spans="1:45" ht="19.5" customHeight="1">
      <c r="A316" s="35" t="e">
        <f>#REF!</f>
        <v>#REF!</v>
      </c>
      <c r="B316" s="36"/>
      <c r="C316" s="37"/>
      <c r="D316" s="3"/>
      <c r="E316" s="37"/>
      <c r="F316" s="39"/>
      <c r="G316" s="40"/>
      <c r="I316" s="170" t="s">
        <v>50</v>
      </c>
      <c r="J316" s="171"/>
      <c r="K316" s="171"/>
      <c r="L316" s="171" t="s">
        <v>52</v>
      </c>
      <c r="M316" s="171"/>
      <c r="N316" s="44" t="e">
        <f>IF(#REF!="","",#REF!)</f>
        <v>#REF!</v>
      </c>
      <c r="O316" s="148" t="s">
        <v>125</v>
      </c>
      <c r="P316" s="96" t="s">
        <v>84</v>
      </c>
      <c r="Q316" s="96">
        <v>20</v>
      </c>
      <c r="R316" s="47"/>
      <c r="T316" s="82">
        <v>0.6875</v>
      </c>
      <c r="U316" s="82">
        <v>0.69444444444444453</v>
      </c>
      <c r="V316" s="97" t="s">
        <v>85</v>
      </c>
      <c r="X316" s="118" t="s">
        <v>66</v>
      </c>
      <c r="Y316" s="134">
        <v>0.69097222222222221</v>
      </c>
      <c r="Z316" s="134">
        <v>0.69791666666666663</v>
      </c>
      <c r="AA316" s="83" t="s">
        <v>94</v>
      </c>
      <c r="AB316" s="73"/>
      <c r="AD316" s="118" t="s">
        <v>87</v>
      </c>
      <c r="AE316" s="3" t="str">
        <f t="shared" si="48"/>
        <v>-</v>
      </c>
      <c r="AF316" s="107">
        <v>0.69444444444444453</v>
      </c>
      <c r="AG316" s="110">
        <v>0.72569444444444453</v>
      </c>
      <c r="AH316" s="136"/>
      <c r="AI316" s="54"/>
      <c r="AK316" s="3">
        <v>1</v>
      </c>
      <c r="AP316" s="4"/>
    </row>
    <row r="317" spans="1:45" ht="19.5" customHeight="1">
      <c r="A317" s="35" t="e">
        <f>A316</f>
        <v>#REF!</v>
      </c>
      <c r="B317" s="36"/>
      <c r="C317" s="37"/>
      <c r="D317" s="38"/>
      <c r="E317" s="37"/>
      <c r="F317" s="39"/>
      <c r="G317" s="40"/>
      <c r="I317" s="170" t="s">
        <v>50</v>
      </c>
      <c r="J317" s="171"/>
      <c r="K317" s="171"/>
      <c r="L317" s="171" t="s">
        <v>52</v>
      </c>
      <c r="M317" s="171"/>
      <c r="N317" s="44" t="str">
        <f>IF(C313="","",C313)</f>
        <v/>
      </c>
      <c r="O317" s="152" t="s">
        <v>125</v>
      </c>
      <c r="P317" s="96" t="s">
        <v>84</v>
      </c>
      <c r="Q317" s="96">
        <v>20</v>
      </c>
      <c r="R317" s="47"/>
      <c r="T317" s="82">
        <v>0.6875</v>
      </c>
      <c r="U317" s="82">
        <v>0.69444444444444453</v>
      </c>
      <c r="V317" s="97" t="s">
        <v>85</v>
      </c>
      <c r="X317" s="144" t="s">
        <v>132</v>
      </c>
      <c r="Y317" s="100">
        <v>0.69097222222222221</v>
      </c>
      <c r="Z317" s="134">
        <v>0.69791666666666663</v>
      </c>
      <c r="AA317" s="83" t="s">
        <v>133</v>
      </c>
      <c r="AB317" s="73"/>
      <c r="AD317" s="118" t="s">
        <v>87</v>
      </c>
      <c r="AE317" s="3" t="str">
        <f t="shared" si="48"/>
        <v>-</v>
      </c>
      <c r="AF317" s="107">
        <v>0.69444444444444453</v>
      </c>
      <c r="AG317" s="110">
        <v>0.72569444444444453</v>
      </c>
      <c r="AH317" s="136"/>
      <c r="AI317" s="54"/>
      <c r="AK317" s="3">
        <v>1</v>
      </c>
      <c r="AP317" s="4"/>
    </row>
    <row r="318" spans="1:45" ht="19.5" customHeight="1">
      <c r="A318" s="35" t="e">
        <f>A317</f>
        <v>#REF!</v>
      </c>
      <c r="B318" s="36"/>
      <c r="C318" s="37"/>
      <c r="D318" s="38"/>
      <c r="E318" s="37"/>
      <c r="F318" s="39"/>
      <c r="G318" s="40"/>
      <c r="I318" s="170" t="s">
        <v>50</v>
      </c>
      <c r="J318" s="171"/>
      <c r="K318" s="171"/>
      <c r="L318" s="171" t="s">
        <v>52</v>
      </c>
      <c r="M318" s="171"/>
      <c r="N318" s="44" t="str">
        <f>IF(C313="","",C313)</f>
        <v/>
      </c>
      <c r="O318" s="152" t="s">
        <v>125</v>
      </c>
      <c r="P318" s="96" t="s">
        <v>84</v>
      </c>
      <c r="Q318" s="96">
        <v>20</v>
      </c>
      <c r="R318" s="47"/>
      <c r="T318" s="82">
        <v>0.6875</v>
      </c>
      <c r="U318" s="82">
        <v>0.69444444444444453</v>
      </c>
      <c r="V318" s="97" t="s">
        <v>85</v>
      </c>
      <c r="X318" s="144" t="s">
        <v>132</v>
      </c>
      <c r="Y318" s="99">
        <v>0.69444444444444453</v>
      </c>
      <c r="Z318" s="100">
        <v>0.70138888888888884</v>
      </c>
      <c r="AA318" s="83" t="s">
        <v>128</v>
      </c>
      <c r="AB318" s="73"/>
      <c r="AD318" s="118" t="s">
        <v>87</v>
      </c>
      <c r="AE318" s="3" t="str">
        <f t="shared" si="48"/>
        <v>-</v>
      </c>
      <c r="AF318" s="107">
        <v>0.69444444444444453</v>
      </c>
      <c r="AG318" s="110">
        <v>0.72569444444444453</v>
      </c>
      <c r="AH318" s="136"/>
      <c r="AI318" s="54"/>
      <c r="AK318" s="3">
        <v>1</v>
      </c>
      <c r="AP318" s="4"/>
    </row>
    <row r="319" spans="1:45" s="53" customFormat="1" ht="19.5" customHeight="1">
      <c r="A319" s="35" t="e">
        <f>#REF!</f>
        <v>#REF!</v>
      </c>
      <c r="B319" s="81"/>
      <c r="C319" s="3"/>
      <c r="D319" s="46"/>
      <c r="E319" s="3"/>
      <c r="F319" s="3"/>
      <c r="G319" s="3"/>
      <c r="H319" s="41"/>
      <c r="I319" s="170" t="s">
        <v>50</v>
      </c>
      <c r="J319" s="171"/>
      <c r="K319" s="171"/>
      <c r="L319" s="171" t="s">
        <v>52</v>
      </c>
      <c r="M319" s="171"/>
      <c r="N319" s="44" t="str">
        <f t="shared" ref="N319:N324" si="49">IF(C319="","",C319)</f>
        <v/>
      </c>
      <c r="O319" s="152" t="s">
        <v>125</v>
      </c>
      <c r="P319" s="96" t="s">
        <v>84</v>
      </c>
      <c r="Q319" s="96">
        <v>20</v>
      </c>
      <c r="R319" s="47"/>
      <c r="S319" s="48"/>
      <c r="T319" s="82">
        <v>0.6875</v>
      </c>
      <c r="U319" s="82">
        <v>0.69444444444444453</v>
      </c>
      <c r="V319" s="97" t="s">
        <v>85</v>
      </c>
      <c r="W319" s="3"/>
      <c r="X319" s="144" t="s">
        <v>132</v>
      </c>
      <c r="Y319" s="99">
        <v>0.69444444444444453</v>
      </c>
      <c r="Z319" s="99">
        <v>0.70138888888888884</v>
      </c>
      <c r="AA319" s="125" t="s">
        <v>129</v>
      </c>
      <c r="AB319" s="73"/>
      <c r="AC319" s="50"/>
      <c r="AD319" s="106" t="s">
        <v>87</v>
      </c>
      <c r="AE319" s="3" t="str">
        <f t="shared" si="48"/>
        <v>-</v>
      </c>
      <c r="AF319" s="107">
        <v>0.70833333333333337</v>
      </c>
      <c r="AG319" s="119">
        <v>0.72916666666666663</v>
      </c>
      <c r="AH319" s="172"/>
      <c r="AI319" s="54"/>
      <c r="AJ319" s="3"/>
      <c r="AK319" s="3">
        <v>1</v>
      </c>
      <c r="AL319" s="3"/>
      <c r="AM319" s="4"/>
      <c r="AN319" s="4"/>
      <c r="AO319" s="3"/>
      <c r="AP319" s="4"/>
      <c r="AQ319" s="3"/>
      <c r="AR319" s="3"/>
      <c r="AS319" s="3"/>
    </row>
    <row r="320" spans="1:45" s="53" customFormat="1" ht="19.5" customHeight="1">
      <c r="A320" s="35" t="e">
        <f>#REF!</f>
        <v>#REF!</v>
      </c>
      <c r="B320" s="81"/>
      <c r="C320" s="3"/>
      <c r="D320" s="46"/>
      <c r="E320" s="3"/>
      <c r="F320" s="3"/>
      <c r="G320" s="3"/>
      <c r="H320" s="41"/>
      <c r="I320" s="170" t="s">
        <v>50</v>
      </c>
      <c r="J320" s="171"/>
      <c r="K320" s="171"/>
      <c r="L320" s="171" t="s">
        <v>52</v>
      </c>
      <c r="M320" s="171"/>
      <c r="N320" s="44" t="str">
        <f t="shared" si="49"/>
        <v/>
      </c>
      <c r="O320" s="152" t="s">
        <v>125</v>
      </c>
      <c r="P320" s="96" t="s">
        <v>84</v>
      </c>
      <c r="Q320" s="96">
        <v>20</v>
      </c>
      <c r="R320" s="47"/>
      <c r="S320" s="48"/>
      <c r="T320" s="82">
        <v>0.6875</v>
      </c>
      <c r="U320" s="82">
        <v>0.69444444444444453</v>
      </c>
      <c r="V320" s="97" t="s">
        <v>85</v>
      </c>
      <c r="W320" s="3"/>
      <c r="X320" s="144" t="s">
        <v>132</v>
      </c>
      <c r="Y320" s="99">
        <v>0.69444444444444453</v>
      </c>
      <c r="Z320" s="99">
        <v>0.70138888888888884</v>
      </c>
      <c r="AA320" s="125" t="s">
        <v>129</v>
      </c>
      <c r="AB320" s="73"/>
      <c r="AC320" s="50"/>
      <c r="AD320" s="106" t="s">
        <v>87</v>
      </c>
      <c r="AE320" s="3" t="str">
        <f t="shared" si="48"/>
        <v>-</v>
      </c>
      <c r="AF320" s="107">
        <v>0.70833333333333337</v>
      </c>
      <c r="AG320" s="173">
        <f ca="1">IF(AF320="","",IF($AF320+TIME(0,30,0)&lt;(TEXT(NOW(),"h:mm:ss")*1),$AF320+TIME(0,45,0),$AF320+TIME(0,30,0)))</f>
        <v>0.72916666666666674</v>
      </c>
      <c r="AH320" s="172"/>
      <c r="AI320" s="54"/>
      <c r="AJ320" s="3"/>
      <c r="AK320" s="3">
        <v>1</v>
      </c>
      <c r="AL320" s="3"/>
      <c r="AM320" s="4"/>
      <c r="AN320" s="4"/>
      <c r="AO320" s="3"/>
      <c r="AP320" s="4"/>
      <c r="AQ320" s="3"/>
      <c r="AR320" s="3"/>
      <c r="AS320" s="3"/>
    </row>
    <row r="321" spans="1:45" s="53" customFormat="1" ht="19.5" customHeight="1">
      <c r="A321" s="35" t="e">
        <f>A320</f>
        <v>#REF!</v>
      </c>
      <c r="B321" s="81"/>
      <c r="C321" s="3"/>
      <c r="D321" s="46"/>
      <c r="E321" s="3"/>
      <c r="F321" s="3"/>
      <c r="G321" s="3"/>
      <c r="H321" s="41"/>
      <c r="I321" s="170" t="s">
        <v>50</v>
      </c>
      <c r="J321" s="171"/>
      <c r="K321" s="171"/>
      <c r="L321" s="171" t="s">
        <v>52</v>
      </c>
      <c r="M321" s="171"/>
      <c r="N321" s="44" t="str">
        <f t="shared" si="49"/>
        <v/>
      </c>
      <c r="O321" s="152" t="s">
        <v>125</v>
      </c>
      <c r="P321" s="96" t="s">
        <v>84</v>
      </c>
      <c r="Q321" s="96">
        <v>20</v>
      </c>
      <c r="R321" s="47"/>
      <c r="S321" s="48"/>
      <c r="T321" s="82">
        <v>0.6875</v>
      </c>
      <c r="U321" s="82">
        <v>0.69444444444444453</v>
      </c>
      <c r="V321" s="97" t="s">
        <v>85</v>
      </c>
      <c r="W321" s="3"/>
      <c r="X321" s="144" t="s">
        <v>132</v>
      </c>
      <c r="Y321" s="99">
        <v>0.69444444444444453</v>
      </c>
      <c r="Z321" s="99">
        <v>0.70138888888888884</v>
      </c>
      <c r="AA321" s="125" t="s">
        <v>129</v>
      </c>
      <c r="AB321" s="73"/>
      <c r="AC321" s="50"/>
      <c r="AD321" s="106" t="s">
        <v>87</v>
      </c>
      <c r="AE321" s="83" t="str">
        <f t="shared" si="48"/>
        <v>-</v>
      </c>
      <c r="AF321" s="107">
        <v>0.70833333333333337</v>
      </c>
      <c r="AG321" s="112">
        <v>0.71875</v>
      </c>
      <c r="AH321" s="113">
        <v>10</v>
      </c>
      <c r="AI321" s="54"/>
      <c r="AJ321" s="3"/>
      <c r="AK321" s="3">
        <v>1</v>
      </c>
      <c r="AL321" s="3"/>
      <c r="AM321" s="4"/>
      <c r="AN321" s="4"/>
      <c r="AO321" s="3"/>
      <c r="AP321" s="4"/>
      <c r="AQ321" s="3"/>
      <c r="AR321" s="3"/>
      <c r="AS321" s="3"/>
    </row>
    <row r="322" spans="1:45" s="53" customFormat="1" ht="19.5" customHeight="1">
      <c r="A322" s="35" t="e">
        <f>A321</f>
        <v>#REF!</v>
      </c>
      <c r="B322" s="81"/>
      <c r="C322" s="3"/>
      <c r="D322" s="46"/>
      <c r="E322" s="3"/>
      <c r="F322" s="3"/>
      <c r="G322" s="3"/>
      <c r="H322" s="41"/>
      <c r="I322" s="3"/>
      <c r="J322" s="78"/>
      <c r="K322" s="78"/>
      <c r="L322" s="78"/>
      <c r="M322" s="78"/>
      <c r="N322" s="44" t="str">
        <f t="shared" si="49"/>
        <v/>
      </c>
      <c r="O322" s="45"/>
      <c r="P322" s="46"/>
      <c r="Q322" s="46"/>
      <c r="R322" s="47"/>
      <c r="S322" s="48"/>
      <c r="T322" s="80"/>
      <c r="U322" s="80"/>
      <c r="V322" s="3"/>
      <c r="W322" s="3"/>
      <c r="X322" s="50"/>
      <c r="Y322" s="80"/>
      <c r="Z322" s="80"/>
      <c r="AA322" s="3"/>
      <c r="AC322" s="50"/>
      <c r="AD322" s="50"/>
      <c r="AE322" s="3" t="str">
        <f t="shared" si="48"/>
        <v>-</v>
      </c>
      <c r="AF322" s="51"/>
      <c r="AG322" s="52" t="str">
        <f ca="1">IF(AF322="","",IF($AF322+TIME(0,30,0)&lt;(TEXT(NOW(),"h:mm:ss")*1),$AF322+TIME(0,45,0),$AF322+TIME(0,30,0)))</f>
        <v/>
      </c>
      <c r="AI322" s="54"/>
      <c r="AJ322" s="3"/>
      <c r="AK322" s="3">
        <v>1</v>
      </c>
      <c r="AL322" s="3"/>
      <c r="AM322" s="4"/>
      <c r="AN322" s="4"/>
      <c r="AO322" s="3"/>
      <c r="AP322" s="4"/>
      <c r="AQ322" s="3"/>
      <c r="AR322" s="3"/>
      <c r="AS322" s="3"/>
    </row>
    <row r="323" spans="1:45" s="53" customFormat="1" ht="19.5" customHeight="1">
      <c r="A323" s="35" t="e">
        <f>A322</f>
        <v>#REF!</v>
      </c>
      <c r="B323" s="81"/>
      <c r="C323" s="3"/>
      <c r="D323" s="46"/>
      <c r="E323" s="3"/>
      <c r="F323" s="3"/>
      <c r="G323" s="3"/>
      <c r="H323" s="41"/>
      <c r="I323" s="3"/>
      <c r="J323" s="78"/>
      <c r="K323" s="78"/>
      <c r="L323" s="78"/>
      <c r="M323" s="78"/>
      <c r="N323" s="44" t="str">
        <f t="shared" si="49"/>
        <v/>
      </c>
      <c r="O323" s="45"/>
      <c r="P323" s="46"/>
      <c r="Q323" s="46"/>
      <c r="R323" s="47"/>
      <c r="S323" s="48"/>
      <c r="T323" s="80"/>
      <c r="U323" s="80"/>
      <c r="V323" s="3"/>
      <c r="W323" s="3"/>
      <c r="X323" s="50"/>
      <c r="Y323" s="80"/>
      <c r="Z323" s="80"/>
      <c r="AA323" s="3"/>
      <c r="AC323" s="50"/>
      <c r="AD323" s="50"/>
      <c r="AE323" s="3" t="str">
        <f t="shared" si="48"/>
        <v>-</v>
      </c>
      <c r="AF323" s="51"/>
      <c r="AG323" s="52" t="str">
        <f ca="1">IF(AF323="","",IF($AF323+TIME(0,30,0)&lt;(TEXT(NOW(),"h:mm:ss")*1),$AF323+TIME(0,45,0),$AF323+TIME(0,30,0)))</f>
        <v/>
      </c>
      <c r="AI323" s="54"/>
      <c r="AJ323" s="3"/>
      <c r="AK323" s="3">
        <v>1</v>
      </c>
      <c r="AL323" s="3"/>
      <c r="AM323" s="4"/>
      <c r="AN323" s="4"/>
      <c r="AO323" s="3"/>
      <c r="AP323" s="4"/>
      <c r="AQ323" s="3"/>
      <c r="AR323" s="3"/>
      <c r="AS323" s="3"/>
    </row>
    <row r="324" spans="1:45" s="53" customFormat="1" ht="19.5" customHeight="1">
      <c r="A324" s="35" t="e">
        <f>#REF!</f>
        <v>#REF!</v>
      </c>
      <c r="B324" s="81"/>
      <c r="C324" s="3"/>
      <c r="D324" s="46"/>
      <c r="E324" s="3"/>
      <c r="F324" s="3"/>
      <c r="G324" s="3"/>
      <c r="H324" s="41"/>
      <c r="I324" s="3"/>
      <c r="J324" s="78"/>
      <c r="K324" s="78"/>
      <c r="L324" s="78"/>
      <c r="M324" s="78"/>
      <c r="N324" s="44" t="str">
        <f t="shared" si="49"/>
        <v/>
      </c>
      <c r="O324" s="45"/>
      <c r="P324" s="3"/>
      <c r="Q324" s="46"/>
      <c r="R324" s="47"/>
      <c r="S324" s="48"/>
      <c r="T324" s="345" t="s">
        <v>134</v>
      </c>
      <c r="U324" s="346"/>
      <c r="V324" s="346"/>
      <c r="W324" s="3"/>
      <c r="X324" s="50"/>
      <c r="Y324" s="80"/>
      <c r="Z324" s="80"/>
      <c r="AA324" s="3"/>
      <c r="AC324" s="50"/>
      <c r="AD324" s="50"/>
      <c r="AE324" s="3" t="str">
        <f t="shared" si="48"/>
        <v>-</v>
      </c>
      <c r="AF324" s="51"/>
      <c r="AG324" s="52" t="str">
        <f ca="1">IF(AF324="","",IF($AF324+TIME(0,30,0)&lt;(TEXT(NOW(),"h:mm:ss")*1),$AF324+TIME(0,45,0),$AF324+TIME(0,30,0)))</f>
        <v/>
      </c>
      <c r="AI324" s="54"/>
      <c r="AJ324" s="3"/>
      <c r="AK324" s="3">
        <v>1</v>
      </c>
      <c r="AL324" s="3"/>
      <c r="AM324" s="4"/>
      <c r="AN324" s="4"/>
      <c r="AO324" s="3"/>
      <c r="AP324" s="4"/>
      <c r="AQ324" s="3"/>
      <c r="AR324" s="3"/>
      <c r="AS324" s="3"/>
    </row>
    <row r="325" spans="1:45" s="53" customFormat="1" ht="19.5" hidden="1" customHeight="1">
      <c r="A325" s="35" t="e">
        <f>A324</f>
        <v>#REF!</v>
      </c>
      <c r="B325" s="81"/>
      <c r="C325" s="3"/>
      <c r="D325" s="347" t="s">
        <v>106</v>
      </c>
      <c r="E325" s="3"/>
      <c r="F325" s="3"/>
      <c r="G325" s="3"/>
      <c r="H325" s="41"/>
      <c r="I325" s="3"/>
      <c r="J325" s="78"/>
      <c r="K325" s="78"/>
      <c r="L325" s="78"/>
      <c r="M325" s="78"/>
      <c r="N325" s="44"/>
      <c r="O325" s="45"/>
      <c r="P325" s="3"/>
      <c r="Q325" s="46"/>
      <c r="R325" s="47"/>
      <c r="S325" s="48"/>
      <c r="T325" s="345"/>
      <c r="U325" s="346"/>
      <c r="V325" s="346"/>
      <c r="W325" s="3"/>
      <c r="X325" s="50"/>
      <c r="Y325" s="80"/>
      <c r="Z325" s="80"/>
      <c r="AA325" s="3"/>
      <c r="AC325" s="50"/>
      <c r="AD325" s="50"/>
      <c r="AE325" s="3"/>
      <c r="AF325" s="51"/>
      <c r="AG325" s="52"/>
      <c r="AI325" s="54"/>
      <c r="AJ325" s="3"/>
      <c r="AK325" s="3">
        <v>1</v>
      </c>
      <c r="AL325" s="3"/>
      <c r="AM325" s="4"/>
      <c r="AN325" s="4"/>
      <c r="AO325" s="3"/>
      <c r="AP325" s="4"/>
      <c r="AQ325" s="3"/>
      <c r="AR325" s="3"/>
      <c r="AS325" s="3"/>
    </row>
    <row r="326" spans="1:45" s="53" customFormat="1" ht="19.5" hidden="1" customHeight="1">
      <c r="A326" s="35" t="e">
        <f>A325</f>
        <v>#REF!</v>
      </c>
      <c r="B326" s="81"/>
      <c r="C326" s="3"/>
      <c r="D326" s="347"/>
      <c r="E326" s="3"/>
      <c r="F326" s="3"/>
      <c r="G326" s="3"/>
      <c r="H326" s="41"/>
      <c r="I326" s="3"/>
      <c r="J326" s="78"/>
      <c r="K326" s="78"/>
      <c r="L326" s="78"/>
      <c r="M326" s="78"/>
      <c r="N326" s="44"/>
      <c r="O326" s="45"/>
      <c r="P326" s="3"/>
      <c r="Q326" s="46"/>
      <c r="R326" s="47"/>
      <c r="S326" s="48"/>
      <c r="T326" s="345"/>
      <c r="U326" s="346"/>
      <c r="V326" s="346"/>
      <c r="W326" s="3"/>
      <c r="X326" s="50"/>
      <c r="Y326" s="80"/>
      <c r="Z326" s="80"/>
      <c r="AA326" s="3"/>
      <c r="AC326" s="50"/>
      <c r="AD326" s="50"/>
      <c r="AE326" s="3"/>
      <c r="AF326" s="51"/>
      <c r="AG326" s="52"/>
      <c r="AI326" s="54"/>
      <c r="AJ326" s="3"/>
      <c r="AK326" s="3">
        <v>1</v>
      </c>
      <c r="AL326" s="3"/>
      <c r="AM326" s="4"/>
      <c r="AN326" s="4"/>
      <c r="AO326" s="3"/>
      <c r="AP326" s="4"/>
      <c r="AQ326" s="3"/>
      <c r="AR326" s="3"/>
      <c r="AS326" s="3"/>
    </row>
    <row r="327" spans="1:45" s="53" customFormat="1" ht="19.5" hidden="1" customHeight="1">
      <c r="A327" s="35" t="e">
        <f>A326</f>
        <v>#REF!</v>
      </c>
      <c r="B327" s="81"/>
      <c r="C327" s="3"/>
      <c r="D327" s="46"/>
      <c r="E327" s="3"/>
      <c r="F327" s="3"/>
      <c r="G327" s="3"/>
      <c r="H327" s="41"/>
      <c r="I327" s="3"/>
      <c r="J327" s="78"/>
      <c r="K327" s="78"/>
      <c r="L327" s="78"/>
      <c r="M327" s="78"/>
      <c r="N327" s="44" t="str">
        <f>IF(C327="","",C327)</f>
        <v/>
      </c>
      <c r="O327" s="45"/>
      <c r="P327" s="3"/>
      <c r="Q327" s="46"/>
      <c r="R327" s="47"/>
      <c r="S327" s="48"/>
      <c r="T327" s="345"/>
      <c r="U327" s="346"/>
      <c r="V327" s="346"/>
      <c r="W327" s="3"/>
      <c r="X327" s="50"/>
      <c r="Y327" s="80"/>
      <c r="Z327" s="80"/>
      <c r="AA327" s="3"/>
      <c r="AC327" s="50"/>
      <c r="AD327" s="50"/>
      <c r="AE327" s="3" t="str">
        <f>IF(OR(V327="電話不通 x2",V327="DS判断"),"DS確認→U列入力",IF(V327="希望","U列入力",IF(V327="拒否","DS確認",IF(V327="外国語","DS確認",IF(V327="電話不通 x1","ORM再架電","-")))))</f>
        <v>-</v>
      </c>
      <c r="AF327" s="51"/>
      <c r="AG327" s="52" t="str">
        <f ca="1">IF(AF327="","",IF($AF327+TIME(0,30,0)&lt;(TEXT(NOW(),"h:mm:ss")*1),$AF327+TIME(0,45,0),$AF327+TIME(0,30,0)))</f>
        <v/>
      </c>
      <c r="AI327" s="54"/>
      <c r="AJ327" s="3"/>
      <c r="AK327" s="3">
        <v>1</v>
      </c>
      <c r="AL327" s="3"/>
      <c r="AM327" s="4"/>
      <c r="AN327" s="4"/>
      <c r="AO327" s="3"/>
      <c r="AP327" s="4"/>
      <c r="AQ327" s="3"/>
      <c r="AR327" s="3"/>
      <c r="AS327" s="3"/>
    </row>
    <row r="328" spans="1:45" s="53" customFormat="1" ht="19.5" hidden="1" customHeight="1">
      <c r="A328" s="35" t="e">
        <v>#REF!</v>
      </c>
      <c r="B328" s="81"/>
      <c r="C328" s="3"/>
      <c r="D328" s="38" t="s">
        <v>88</v>
      </c>
      <c r="E328" s="3"/>
      <c r="F328" s="3"/>
      <c r="G328" s="3"/>
      <c r="H328" s="41"/>
      <c r="I328" s="37" t="s">
        <v>80</v>
      </c>
      <c r="J328" s="43"/>
      <c r="K328" s="43"/>
      <c r="L328" s="43" t="s">
        <v>81</v>
      </c>
      <c r="M328" s="78"/>
      <c r="N328" s="44" t="s">
        <v>135</v>
      </c>
      <c r="O328" s="45" t="s">
        <v>136</v>
      </c>
      <c r="P328" s="67"/>
      <c r="Q328" s="67"/>
      <c r="R328" s="68"/>
      <c r="S328" s="69"/>
      <c r="T328" s="345"/>
      <c r="U328" s="346"/>
      <c r="V328" s="346"/>
      <c r="W328" s="3"/>
      <c r="X328" s="84" t="s">
        <v>66</v>
      </c>
      <c r="Y328" s="80"/>
      <c r="Z328" s="80"/>
      <c r="AA328" s="3"/>
      <c r="AC328" s="50"/>
      <c r="AD328" s="50"/>
      <c r="AE328" s="3" t="s">
        <v>83</v>
      </c>
      <c r="AF328" s="51"/>
      <c r="AG328" s="52" t="s">
        <v>135</v>
      </c>
      <c r="AI328" s="54"/>
      <c r="AJ328" s="3"/>
      <c r="AK328" s="3">
        <v>1</v>
      </c>
      <c r="AL328" s="3"/>
      <c r="AM328" s="4"/>
      <c r="AN328" s="4"/>
      <c r="AO328" s="3"/>
      <c r="AP328" s="4"/>
      <c r="AQ328" s="3"/>
      <c r="AR328" s="3"/>
      <c r="AS328" s="3"/>
    </row>
    <row r="329" spans="1:45" s="53" customFormat="1" ht="19.5" hidden="1" customHeight="1">
      <c r="A329" s="35" t="e">
        <v>#REF!</v>
      </c>
      <c r="B329" s="81"/>
      <c r="C329" s="3"/>
      <c r="D329" s="46"/>
      <c r="E329" s="3"/>
      <c r="F329" s="3"/>
      <c r="G329" s="3"/>
      <c r="H329" s="41"/>
      <c r="I329" s="37" t="s">
        <v>80</v>
      </c>
      <c r="J329" s="43"/>
      <c r="K329" s="43"/>
      <c r="L329" s="43" t="s">
        <v>81</v>
      </c>
      <c r="M329" s="78"/>
      <c r="N329" s="44" t="s">
        <v>135</v>
      </c>
      <c r="O329" s="45" t="s">
        <v>136</v>
      </c>
      <c r="P329" s="67"/>
      <c r="Q329" s="67"/>
      <c r="R329" s="68"/>
      <c r="S329" s="69"/>
      <c r="T329" s="345"/>
      <c r="U329" s="346"/>
      <c r="V329" s="346"/>
      <c r="W329" s="3"/>
      <c r="X329" s="84" t="s">
        <v>66</v>
      </c>
      <c r="Y329" s="80"/>
      <c r="Z329" s="80"/>
      <c r="AA329" s="3"/>
      <c r="AC329" s="50"/>
      <c r="AD329" s="50"/>
      <c r="AE329" s="3" t="s">
        <v>83</v>
      </c>
      <c r="AF329" s="51"/>
      <c r="AG329" s="52" t="s">
        <v>135</v>
      </c>
      <c r="AI329" s="54"/>
      <c r="AJ329" s="3"/>
      <c r="AK329" s="3">
        <v>1</v>
      </c>
      <c r="AL329" s="3"/>
      <c r="AM329" s="4"/>
      <c r="AN329" s="4"/>
      <c r="AO329" s="3"/>
      <c r="AP329" s="4"/>
      <c r="AQ329" s="3"/>
      <c r="AR329" s="3"/>
      <c r="AS329" s="3"/>
    </row>
    <row r="330" spans="1:45" s="53" customFormat="1" ht="19.5" hidden="1" customHeight="1">
      <c r="A330" s="35" t="e">
        <v>#REF!</v>
      </c>
      <c r="B330" s="81"/>
      <c r="C330" s="3"/>
      <c r="D330" s="46"/>
      <c r="E330" s="3"/>
      <c r="F330" s="3"/>
      <c r="G330" s="3"/>
      <c r="H330" s="41"/>
      <c r="I330" s="37" t="s">
        <v>80</v>
      </c>
      <c r="J330" s="43"/>
      <c r="K330" s="43"/>
      <c r="L330" s="43" t="s">
        <v>81</v>
      </c>
      <c r="M330" s="78"/>
      <c r="N330" s="44" t="s">
        <v>135</v>
      </c>
      <c r="O330" s="45" t="s">
        <v>136</v>
      </c>
      <c r="P330" s="67"/>
      <c r="Q330" s="67"/>
      <c r="R330" s="68"/>
      <c r="S330" s="69"/>
      <c r="T330" s="345"/>
      <c r="U330" s="346"/>
      <c r="V330" s="346"/>
      <c r="W330" s="3"/>
      <c r="X330" s="84" t="s">
        <v>66</v>
      </c>
      <c r="Y330" s="80"/>
      <c r="Z330" s="80"/>
      <c r="AA330" s="3"/>
      <c r="AC330" s="50"/>
      <c r="AD330" s="50"/>
      <c r="AE330" s="3" t="s">
        <v>83</v>
      </c>
      <c r="AF330" s="51"/>
      <c r="AG330" s="52" t="s">
        <v>135</v>
      </c>
      <c r="AI330" s="54"/>
      <c r="AJ330" s="3"/>
      <c r="AK330" s="3">
        <v>1</v>
      </c>
      <c r="AL330" s="3"/>
      <c r="AM330" s="4"/>
      <c r="AN330" s="4"/>
      <c r="AO330" s="3"/>
      <c r="AP330" s="4"/>
      <c r="AQ330" s="3"/>
      <c r="AR330" s="3"/>
      <c r="AS330" s="3"/>
    </row>
    <row r="331" spans="1:45" s="53" customFormat="1" ht="19.5" hidden="1" customHeight="1">
      <c r="A331" s="35" t="e">
        <v>#REF!</v>
      </c>
      <c r="B331" s="81"/>
      <c r="C331" s="3"/>
      <c r="D331" s="46"/>
      <c r="E331" s="3"/>
      <c r="F331" s="3"/>
      <c r="G331" s="3"/>
      <c r="H331" s="41"/>
      <c r="I331" s="174" t="s">
        <v>80</v>
      </c>
      <c r="J331" s="175"/>
      <c r="K331" s="43"/>
      <c r="L331" s="43" t="s">
        <v>81</v>
      </c>
      <c r="M331" s="78"/>
      <c r="N331" s="44" t="s">
        <v>135</v>
      </c>
      <c r="O331" s="45" t="s">
        <v>136</v>
      </c>
      <c r="P331" s="67"/>
      <c r="Q331" s="67"/>
      <c r="R331" s="68"/>
      <c r="S331" s="69"/>
      <c r="T331" s="345"/>
      <c r="U331" s="346"/>
      <c r="V331" s="346"/>
      <c r="W331" s="3"/>
      <c r="X331" s="84" t="s">
        <v>66</v>
      </c>
      <c r="Y331" s="80"/>
      <c r="Z331" s="80"/>
      <c r="AA331" s="3"/>
      <c r="AC331" s="50"/>
      <c r="AD331" s="50"/>
      <c r="AE331" s="3" t="s">
        <v>83</v>
      </c>
      <c r="AF331" s="51"/>
      <c r="AG331" s="52" t="s">
        <v>135</v>
      </c>
      <c r="AI331" s="54"/>
      <c r="AJ331" s="3"/>
      <c r="AK331" s="3">
        <v>1</v>
      </c>
      <c r="AL331" s="3"/>
      <c r="AM331" s="4"/>
      <c r="AN331" s="4"/>
      <c r="AO331" s="3"/>
      <c r="AP331" s="4"/>
      <c r="AQ331" s="3"/>
      <c r="AR331" s="3"/>
      <c r="AS331" s="3"/>
    </row>
    <row r="332" spans="1:45" s="53" customFormat="1" ht="19.5" hidden="1" customHeight="1">
      <c r="A332" s="35" t="e">
        <v>#REF!</v>
      </c>
      <c r="B332" s="81"/>
      <c r="C332" s="3"/>
      <c r="D332" s="46"/>
      <c r="E332" s="3"/>
      <c r="F332" s="3"/>
      <c r="G332" s="3"/>
      <c r="H332" s="41"/>
      <c r="I332" s="37" t="s">
        <v>80</v>
      </c>
      <c r="J332" s="43"/>
      <c r="K332" s="43"/>
      <c r="L332" s="43" t="s">
        <v>81</v>
      </c>
      <c r="M332" s="78"/>
      <c r="N332" s="44" t="s">
        <v>135</v>
      </c>
      <c r="O332" s="45" t="s">
        <v>136</v>
      </c>
      <c r="P332" s="67"/>
      <c r="Q332" s="67"/>
      <c r="R332" s="68"/>
      <c r="S332" s="69"/>
      <c r="T332" s="345"/>
      <c r="U332" s="346"/>
      <c r="V332" s="346"/>
      <c r="W332" s="3"/>
      <c r="X332" s="106" t="s">
        <v>66</v>
      </c>
      <c r="Y332" s="85"/>
      <c r="Z332" s="85"/>
      <c r="AA332" s="71"/>
      <c r="AB332" s="83"/>
      <c r="AC332" s="50"/>
      <c r="AD332" s="50"/>
      <c r="AE332" s="3" t="s">
        <v>83</v>
      </c>
      <c r="AF332" s="51"/>
      <c r="AG332" s="52" t="s">
        <v>135</v>
      </c>
      <c r="AI332" s="54"/>
      <c r="AJ332" s="3"/>
      <c r="AK332" s="3">
        <v>1</v>
      </c>
      <c r="AL332" s="3"/>
      <c r="AM332" s="4"/>
      <c r="AN332" s="4"/>
      <c r="AO332" s="3"/>
      <c r="AP332" s="4"/>
      <c r="AQ332" s="3"/>
      <c r="AR332" s="3"/>
      <c r="AS332" s="3"/>
    </row>
    <row r="333" spans="1:45" s="53" customFormat="1" ht="19.5" hidden="1" customHeight="1">
      <c r="A333" s="35" t="e">
        <v>#REF!</v>
      </c>
      <c r="B333" s="81"/>
      <c r="C333" s="3"/>
      <c r="D333" s="116"/>
      <c r="E333" s="3"/>
      <c r="F333" s="3"/>
      <c r="G333" s="3"/>
      <c r="H333" s="41"/>
      <c r="I333" s="89" t="s">
        <v>80</v>
      </c>
      <c r="J333" s="90"/>
      <c r="K333" s="43"/>
      <c r="L333" s="90" t="s">
        <v>81</v>
      </c>
      <c r="M333" s="123"/>
      <c r="N333" s="44" t="s">
        <v>135</v>
      </c>
      <c r="O333" s="45" t="s">
        <v>136</v>
      </c>
      <c r="P333" s="67"/>
      <c r="Q333" s="67"/>
      <c r="R333" s="68"/>
      <c r="S333" s="69"/>
      <c r="T333" s="345"/>
      <c r="U333" s="346"/>
      <c r="V333" s="346"/>
      <c r="W333" s="3"/>
      <c r="X333" s="117" t="s">
        <v>66</v>
      </c>
      <c r="Y333" s="85"/>
      <c r="Z333" s="85"/>
      <c r="AA333" s="176"/>
      <c r="AB333" s="89" t="s">
        <v>109</v>
      </c>
      <c r="AC333" s="50"/>
      <c r="AD333" s="50"/>
      <c r="AE333" s="3" t="s">
        <v>83</v>
      </c>
      <c r="AF333" s="51"/>
      <c r="AG333" s="52" t="s">
        <v>135</v>
      </c>
      <c r="AI333" s="54"/>
      <c r="AJ333" s="3"/>
      <c r="AK333" s="3">
        <v>1</v>
      </c>
      <c r="AL333" s="3"/>
      <c r="AM333" s="4"/>
      <c r="AN333" s="4"/>
      <c r="AO333" s="3"/>
      <c r="AP333" s="4"/>
      <c r="AQ333" s="3"/>
      <c r="AR333" s="3"/>
      <c r="AS333" s="3"/>
    </row>
    <row r="334" spans="1:45" s="53" customFormat="1" ht="19.5" hidden="1" customHeight="1">
      <c r="A334" s="35" t="e">
        <v>#REF!</v>
      </c>
      <c r="B334" s="81"/>
      <c r="C334" s="3"/>
      <c r="D334" s="46"/>
      <c r="E334" s="3"/>
      <c r="F334" s="3"/>
      <c r="G334" s="3"/>
      <c r="H334" s="41"/>
      <c r="I334" s="37" t="s">
        <v>80</v>
      </c>
      <c r="J334" s="43"/>
      <c r="K334" s="43"/>
      <c r="L334" s="43" t="s">
        <v>81</v>
      </c>
      <c r="M334" s="78"/>
      <c r="N334" s="44" t="s">
        <v>135</v>
      </c>
      <c r="O334" s="45" t="s">
        <v>136</v>
      </c>
      <c r="P334" s="67"/>
      <c r="Q334" s="67"/>
      <c r="R334" s="68"/>
      <c r="S334" s="69"/>
      <c r="T334" s="345"/>
      <c r="U334" s="346"/>
      <c r="V334" s="346"/>
      <c r="W334" s="3"/>
      <c r="X334" s="106" t="s">
        <v>66</v>
      </c>
      <c r="Y334" s="85"/>
      <c r="Z334" s="85"/>
      <c r="AA334" s="71"/>
      <c r="AB334" s="97" t="s">
        <v>92</v>
      </c>
      <c r="AC334" s="50"/>
      <c r="AD334" s="118"/>
      <c r="AE334" s="3" t="s">
        <v>83</v>
      </c>
      <c r="AF334" s="105"/>
      <c r="AG334" s="52" t="s">
        <v>135</v>
      </c>
      <c r="AI334" s="54"/>
      <c r="AJ334" s="3"/>
      <c r="AK334" s="3">
        <v>1</v>
      </c>
      <c r="AL334" s="3"/>
      <c r="AM334" s="4"/>
      <c r="AN334" s="4"/>
      <c r="AO334" s="3"/>
      <c r="AP334" s="4"/>
      <c r="AQ334" s="3"/>
      <c r="AR334" s="3"/>
      <c r="AS334" s="3"/>
    </row>
    <row r="335" spans="1:45" s="53" customFormat="1" ht="19.5" hidden="1" customHeight="1">
      <c r="A335" s="35" t="e">
        <v>#REF!</v>
      </c>
      <c r="B335" s="81"/>
      <c r="C335" s="3"/>
      <c r="D335" s="46"/>
      <c r="E335" s="3"/>
      <c r="F335" s="3"/>
      <c r="G335" s="3"/>
      <c r="H335" s="41"/>
      <c r="I335" s="37" t="s">
        <v>80</v>
      </c>
      <c r="J335" s="43"/>
      <c r="K335" s="43"/>
      <c r="L335" s="43" t="s">
        <v>81</v>
      </c>
      <c r="M335" s="78"/>
      <c r="N335" s="44" t="s">
        <v>135</v>
      </c>
      <c r="O335" s="45" t="s">
        <v>136</v>
      </c>
      <c r="P335" s="67"/>
      <c r="Q335" s="67"/>
      <c r="R335" s="68"/>
      <c r="S335" s="69"/>
      <c r="T335" s="345"/>
      <c r="U335" s="346"/>
      <c r="V335" s="346"/>
      <c r="W335" s="3"/>
      <c r="X335" s="106" t="s">
        <v>66</v>
      </c>
      <c r="Y335" s="85"/>
      <c r="Z335" s="85"/>
      <c r="AA335" s="71"/>
      <c r="AB335" s="97" t="s">
        <v>92</v>
      </c>
      <c r="AC335" s="50"/>
      <c r="AD335" s="106" t="s">
        <v>101</v>
      </c>
      <c r="AE335" s="3" t="s">
        <v>83</v>
      </c>
      <c r="AF335" s="107">
        <v>0.69444444444444453</v>
      </c>
      <c r="AG335" s="119">
        <v>0.71527777777777779</v>
      </c>
      <c r="AI335" s="54"/>
      <c r="AJ335" s="3"/>
      <c r="AK335" s="3">
        <v>1</v>
      </c>
      <c r="AL335" s="3"/>
      <c r="AM335" s="4"/>
      <c r="AN335" s="4"/>
      <c r="AO335" s="3"/>
      <c r="AP335" s="4"/>
      <c r="AQ335" s="3"/>
      <c r="AR335" s="3"/>
      <c r="AS335" s="3"/>
    </row>
    <row r="336" spans="1:45" s="53" customFormat="1" ht="19.5" hidden="1" customHeight="1">
      <c r="A336" s="35" t="e">
        <v>#REF!</v>
      </c>
      <c r="B336" s="81"/>
      <c r="C336" s="3"/>
      <c r="D336" s="46"/>
      <c r="E336" s="3"/>
      <c r="F336" s="3"/>
      <c r="G336" s="3"/>
      <c r="H336" s="41"/>
      <c r="I336" s="37" t="s">
        <v>80</v>
      </c>
      <c r="J336" s="43"/>
      <c r="K336" s="43"/>
      <c r="L336" s="43" t="s">
        <v>81</v>
      </c>
      <c r="M336" s="78"/>
      <c r="N336" s="44" t="s">
        <v>135</v>
      </c>
      <c r="O336" s="45" t="s">
        <v>136</v>
      </c>
      <c r="P336" s="67"/>
      <c r="Q336" s="67"/>
      <c r="R336" s="68"/>
      <c r="S336" s="69"/>
      <c r="T336" s="345"/>
      <c r="U336" s="346"/>
      <c r="V336" s="346"/>
      <c r="W336" s="3"/>
      <c r="X336" s="106" t="s">
        <v>66</v>
      </c>
      <c r="Y336" s="85"/>
      <c r="Z336" s="85"/>
      <c r="AA336" s="71"/>
      <c r="AB336" s="97" t="s">
        <v>92</v>
      </c>
      <c r="AC336" s="50"/>
      <c r="AD336" s="106" t="s">
        <v>101</v>
      </c>
      <c r="AE336" s="3" t="s">
        <v>83</v>
      </c>
      <c r="AF336" s="107">
        <v>0.69444444444444453</v>
      </c>
      <c r="AG336" s="108">
        <v>0.72569444444444453</v>
      </c>
      <c r="AH336" s="109"/>
      <c r="AI336" s="54"/>
      <c r="AJ336" s="3"/>
      <c r="AK336" s="3">
        <v>1</v>
      </c>
      <c r="AL336" s="3"/>
      <c r="AM336" s="4"/>
      <c r="AN336" s="4"/>
      <c r="AO336" s="3"/>
      <c r="AP336" s="4"/>
      <c r="AQ336" s="3"/>
      <c r="AR336" s="3"/>
      <c r="AS336" s="3"/>
    </row>
    <row r="337" spans="1:45" s="53" customFormat="1" ht="19.5" hidden="1" customHeight="1">
      <c r="A337" s="35" t="e">
        <v>#REF!</v>
      </c>
      <c r="B337" s="81"/>
      <c r="C337" s="3"/>
      <c r="D337" s="46"/>
      <c r="E337" s="3"/>
      <c r="F337" s="3"/>
      <c r="G337" s="3"/>
      <c r="H337" s="41"/>
      <c r="I337" s="37" t="s">
        <v>80</v>
      </c>
      <c r="J337" s="43"/>
      <c r="K337" s="43"/>
      <c r="L337" s="43" t="s">
        <v>81</v>
      </c>
      <c r="M337" s="78"/>
      <c r="N337" s="44" t="s">
        <v>135</v>
      </c>
      <c r="O337" s="45" t="s">
        <v>136</v>
      </c>
      <c r="P337" s="67"/>
      <c r="Q337" s="67"/>
      <c r="R337" s="68"/>
      <c r="S337" s="69"/>
      <c r="T337" s="345"/>
      <c r="U337" s="346"/>
      <c r="V337" s="346"/>
      <c r="W337" s="3"/>
      <c r="X337" s="106" t="s">
        <v>66</v>
      </c>
      <c r="Y337" s="85"/>
      <c r="Z337" s="85"/>
      <c r="AA337" s="71"/>
      <c r="AB337" s="97" t="s">
        <v>92</v>
      </c>
      <c r="AC337" s="50"/>
      <c r="AD337" s="106" t="s">
        <v>101</v>
      </c>
      <c r="AE337" s="3" t="s">
        <v>83</v>
      </c>
      <c r="AF337" s="107">
        <v>0.69444444444444453</v>
      </c>
      <c r="AG337" s="110">
        <v>0.72569444444444453</v>
      </c>
      <c r="AH337" s="136"/>
      <c r="AI337" s="54"/>
      <c r="AJ337" s="3"/>
      <c r="AK337" s="3">
        <v>1</v>
      </c>
      <c r="AL337" s="3"/>
      <c r="AM337" s="4"/>
      <c r="AN337" s="4"/>
      <c r="AO337" s="3"/>
      <c r="AP337" s="4"/>
      <c r="AQ337" s="3"/>
      <c r="AR337" s="3"/>
      <c r="AS337" s="3"/>
    </row>
    <row r="338" spans="1:45" s="53" customFormat="1" ht="19.5" hidden="1" customHeight="1">
      <c r="A338" s="35" t="e">
        <v>#REF!</v>
      </c>
      <c r="B338" s="81"/>
      <c r="C338" s="3"/>
      <c r="D338" s="46"/>
      <c r="E338" s="3"/>
      <c r="F338" s="3"/>
      <c r="G338" s="3"/>
      <c r="H338" s="41"/>
      <c r="I338" s="37" t="s">
        <v>80</v>
      </c>
      <c r="J338" s="43"/>
      <c r="K338" s="43"/>
      <c r="L338" s="43" t="s">
        <v>81</v>
      </c>
      <c r="M338" s="78"/>
      <c r="N338" s="44" t="s">
        <v>135</v>
      </c>
      <c r="O338" s="45" t="s">
        <v>136</v>
      </c>
      <c r="P338" s="67"/>
      <c r="Q338" s="67"/>
      <c r="R338" s="68"/>
      <c r="S338" s="69"/>
      <c r="T338" s="345"/>
      <c r="U338" s="346"/>
      <c r="V338" s="346"/>
      <c r="W338" s="3"/>
      <c r="X338" s="106" t="s">
        <v>66</v>
      </c>
      <c r="Y338" s="85"/>
      <c r="Z338" s="85"/>
      <c r="AA338" s="71"/>
      <c r="AB338" s="97" t="s">
        <v>92</v>
      </c>
      <c r="AC338" s="50"/>
      <c r="AD338" s="106" t="s">
        <v>101</v>
      </c>
      <c r="AE338" s="3" t="s">
        <v>83</v>
      </c>
      <c r="AF338" s="107">
        <v>0.69444444444444453</v>
      </c>
      <c r="AG338" s="177">
        <v>0.72569444444444453</v>
      </c>
      <c r="AH338" s="178">
        <v>10</v>
      </c>
      <c r="AI338" s="54"/>
      <c r="AJ338" s="3"/>
      <c r="AK338" s="3">
        <v>1</v>
      </c>
      <c r="AL338" s="3"/>
      <c r="AM338" s="4"/>
      <c r="AN338" s="4"/>
      <c r="AO338" s="3"/>
      <c r="AP338" s="4"/>
      <c r="AQ338" s="3"/>
      <c r="AR338" s="3"/>
      <c r="AS338" s="3"/>
    </row>
    <row r="339" spans="1:45" s="53" customFormat="1" ht="19.5" hidden="1" customHeight="1">
      <c r="A339" s="35" t="e">
        <f>A337</f>
        <v>#REF!</v>
      </c>
      <c r="B339" s="81"/>
      <c r="C339" s="3"/>
      <c r="D339" s="46"/>
      <c r="E339" s="3"/>
      <c r="F339" s="3"/>
      <c r="G339" s="3"/>
      <c r="H339" s="41"/>
      <c r="I339" s="3"/>
      <c r="J339" s="78"/>
      <c r="K339" s="78"/>
      <c r="L339" s="78"/>
      <c r="M339" s="78"/>
      <c r="N339" s="44" t="str">
        <f>IF(C339="","",C339)</f>
        <v/>
      </c>
      <c r="O339" s="45"/>
      <c r="P339" s="3"/>
      <c r="Q339" s="46"/>
      <c r="R339" s="47"/>
      <c r="S339" s="48"/>
      <c r="T339" s="345"/>
      <c r="U339" s="346"/>
      <c r="V339" s="346"/>
      <c r="W339" s="3"/>
      <c r="X339" s="50"/>
      <c r="Y339" s="80"/>
      <c r="Z339" s="80"/>
      <c r="AA339" s="3"/>
      <c r="AC339" s="50"/>
      <c r="AD339" s="50"/>
      <c r="AE339" s="3" t="str">
        <f>IF(OR(V339="電話不通 x2",V339="DS判断"),"DS確認→U列入力",IF(V339="希望","U列入力",IF(V339="拒否","DS確認",IF(V339="外国語","DS確認",IF(V339="電話不通 x1","ORM再架電","-")))))</f>
        <v>-</v>
      </c>
      <c r="AF339" s="51"/>
      <c r="AG339" s="52" t="str">
        <f ca="1">IF(AF339="","",IF($AF339+TIME(0,30,0)&lt;(TEXT(NOW(),"h:mm:ss")*1),$AF339+TIME(0,45,0),$AF339+TIME(0,30,0)))</f>
        <v/>
      </c>
      <c r="AI339" s="54"/>
      <c r="AJ339" s="3"/>
      <c r="AK339" s="3"/>
      <c r="AL339" s="3"/>
      <c r="AM339" s="4"/>
      <c r="AN339" s="4"/>
      <c r="AO339" s="3"/>
      <c r="AP339" s="4"/>
      <c r="AQ339" s="3"/>
      <c r="AR339" s="3"/>
      <c r="AS339" s="3"/>
    </row>
    <row r="340" spans="1:45" s="53" customFormat="1" ht="19.5" hidden="1" customHeight="1">
      <c r="A340" s="35" t="e">
        <f>A397</f>
        <v>#REF!</v>
      </c>
      <c r="B340" s="81"/>
      <c r="C340" s="3"/>
      <c r="D340" s="46"/>
      <c r="E340" s="3"/>
      <c r="F340" s="3"/>
      <c r="G340" s="3"/>
      <c r="H340" s="41"/>
      <c r="I340" s="3"/>
      <c r="J340" s="78"/>
      <c r="K340" s="78"/>
      <c r="L340" s="78"/>
      <c r="M340" s="78"/>
      <c r="N340" s="44"/>
      <c r="O340" s="45"/>
      <c r="P340" s="46"/>
      <c r="Q340" s="46"/>
      <c r="R340" s="47"/>
      <c r="S340" s="48"/>
      <c r="T340" s="345"/>
      <c r="U340" s="346"/>
      <c r="V340" s="346"/>
      <c r="W340" s="3"/>
      <c r="X340" s="50"/>
      <c r="Y340" s="80"/>
      <c r="Z340" s="80"/>
      <c r="AA340" s="3"/>
      <c r="AC340" s="50"/>
      <c r="AD340" s="50"/>
      <c r="AE340" s="3"/>
      <c r="AF340" s="51"/>
      <c r="AG340" s="52"/>
      <c r="AI340" s="54"/>
      <c r="AJ340" s="3"/>
      <c r="AK340" s="3">
        <v>1</v>
      </c>
      <c r="AL340" s="3"/>
      <c r="AM340" s="4"/>
      <c r="AN340" s="4"/>
      <c r="AO340" s="3"/>
      <c r="AP340" s="4"/>
      <c r="AQ340" s="3"/>
      <c r="AR340" s="3"/>
      <c r="AS340" s="3"/>
    </row>
    <row r="341" spans="1:45" s="53" customFormat="1" ht="19.5" hidden="1" customHeight="1">
      <c r="A341" s="35" t="e">
        <f t="shared" ref="A341:A349" si="50">A340</f>
        <v>#REF!</v>
      </c>
      <c r="B341" s="81"/>
      <c r="C341" s="3"/>
      <c r="D341" s="38" t="s">
        <v>113</v>
      </c>
      <c r="E341" s="3"/>
      <c r="F341" s="3"/>
      <c r="G341" s="3"/>
      <c r="H341" s="41"/>
      <c r="I341" s="37" t="s">
        <v>50</v>
      </c>
      <c r="J341" s="43"/>
      <c r="K341" s="43"/>
      <c r="L341" s="43" t="s">
        <v>52</v>
      </c>
      <c r="M341" s="78"/>
      <c r="N341" s="44" t="str">
        <f>IF(C341="","",C341)</f>
        <v/>
      </c>
      <c r="O341" s="45" t="s">
        <v>61</v>
      </c>
      <c r="P341" s="67"/>
      <c r="Q341" s="67"/>
      <c r="R341" s="68"/>
      <c r="S341" s="69"/>
      <c r="T341" s="345"/>
      <c r="U341" s="346"/>
      <c r="V341" s="346"/>
      <c r="W341" s="3"/>
      <c r="X341" s="84" t="s">
        <v>66</v>
      </c>
      <c r="Y341" s="80"/>
      <c r="Z341" s="80"/>
      <c r="AA341" s="3"/>
      <c r="AC341" s="50"/>
      <c r="AD341" s="50"/>
      <c r="AE341" s="3" t="str">
        <f>IF(OR(V341="電話不通 x2",V341="DS判断"),"DS確認→U列入力",IF(V341="希望","U列入力",IF(V341="拒否","DS確認",IF(V341="外国語","DS確認",IF(V341="電話不通 x1","ORM再架電","-")))))</f>
        <v>-</v>
      </c>
      <c r="AF341" s="51"/>
      <c r="AG341" s="52" t="str">
        <f ca="1">IF(AF341="","",IF($AF341+TIME(0,30,0)&lt;(TEXT(NOW(),"h:mm:ss")*1),$AF341+TIME(0,45,0),$AF341+TIME(0,30,0)))</f>
        <v/>
      </c>
      <c r="AI341" s="54"/>
      <c r="AJ341" s="3"/>
      <c r="AK341" s="3">
        <v>1</v>
      </c>
      <c r="AL341" s="3"/>
      <c r="AM341" s="4"/>
      <c r="AN341" s="4"/>
      <c r="AO341" s="3"/>
      <c r="AP341" s="4"/>
      <c r="AQ341" s="3"/>
      <c r="AR341" s="3"/>
      <c r="AS341" s="3"/>
    </row>
    <row r="342" spans="1:45" s="53" customFormat="1" ht="19.5" hidden="1" customHeight="1">
      <c r="A342" s="35" t="e">
        <f t="shared" si="50"/>
        <v>#REF!</v>
      </c>
      <c r="B342" s="81"/>
      <c r="C342" s="3"/>
      <c r="D342" s="46"/>
      <c r="E342" s="3"/>
      <c r="F342" s="3"/>
      <c r="G342" s="3"/>
      <c r="H342" s="41"/>
      <c r="I342" s="37" t="s">
        <v>50</v>
      </c>
      <c r="J342" s="43"/>
      <c r="K342" s="43"/>
      <c r="L342" s="43" t="s">
        <v>52</v>
      </c>
      <c r="M342" s="78"/>
      <c r="N342" s="44" t="str">
        <f>IF(C342="","",C342)</f>
        <v/>
      </c>
      <c r="O342" s="45" t="s">
        <v>61</v>
      </c>
      <c r="P342" s="67"/>
      <c r="Q342" s="67"/>
      <c r="R342" s="68"/>
      <c r="S342" s="69"/>
      <c r="T342" s="345"/>
      <c r="U342" s="346"/>
      <c r="V342" s="346"/>
      <c r="W342" s="3"/>
      <c r="X342" s="84" t="s">
        <v>66</v>
      </c>
      <c r="Y342" s="80"/>
      <c r="Z342" s="80"/>
      <c r="AA342" s="3"/>
      <c r="AC342" s="50"/>
      <c r="AD342" s="50"/>
      <c r="AE342" s="3" t="str">
        <f>IF(OR(V342="電話不通 x2",V342="DS判断"),"DS確認→U列入力",IF(V342="希望","U列入力",IF(V342="拒否","DS確認",IF(V342="外国語","DS確認",IF(V342="電話不通 x1","ORM再架電","-")))))</f>
        <v>-</v>
      </c>
      <c r="AF342" s="51"/>
      <c r="AG342" s="52" t="str">
        <f ca="1">IF(AF342="","",IF($AF342+TIME(0,30,0)&lt;(TEXT(NOW(),"h:mm:ss")*1),$AF342+TIME(0,45,0),$AF342+TIME(0,30,0)))</f>
        <v/>
      </c>
      <c r="AI342" s="54"/>
      <c r="AJ342" s="3"/>
      <c r="AK342" s="3">
        <v>1</v>
      </c>
      <c r="AL342" s="3"/>
      <c r="AM342" s="4"/>
      <c r="AN342" s="4"/>
      <c r="AO342" s="3"/>
      <c r="AP342" s="4"/>
      <c r="AQ342" s="3"/>
      <c r="AR342" s="3"/>
      <c r="AS342" s="3"/>
    </row>
    <row r="343" spans="1:45" s="53" customFormat="1" ht="19.5" hidden="1" customHeight="1">
      <c r="A343" s="35" t="e">
        <v>#REF!</v>
      </c>
      <c r="B343" s="81"/>
      <c r="C343" s="3"/>
      <c r="D343" s="46"/>
      <c r="E343" s="3"/>
      <c r="F343" s="3"/>
      <c r="G343" s="3"/>
      <c r="H343" s="41"/>
      <c r="I343" s="37" t="s">
        <v>80</v>
      </c>
      <c r="J343" s="43"/>
      <c r="K343" s="43"/>
      <c r="L343" s="43" t="s">
        <v>81</v>
      </c>
      <c r="M343" s="78"/>
      <c r="N343" s="44" t="s">
        <v>135</v>
      </c>
      <c r="O343" s="45" t="s">
        <v>136</v>
      </c>
      <c r="P343" s="67"/>
      <c r="Q343" s="67"/>
      <c r="R343" s="68"/>
      <c r="S343" s="69"/>
      <c r="T343" s="345"/>
      <c r="U343" s="346"/>
      <c r="V343" s="346"/>
      <c r="W343" s="3"/>
      <c r="X343" s="84" t="s">
        <v>66</v>
      </c>
      <c r="Y343" s="80"/>
      <c r="Z343" s="80"/>
      <c r="AA343" s="3"/>
      <c r="AC343" s="50"/>
      <c r="AD343" s="50"/>
      <c r="AE343" s="3" t="s">
        <v>83</v>
      </c>
      <c r="AF343" s="51"/>
      <c r="AG343" s="52" t="s">
        <v>135</v>
      </c>
      <c r="AI343" s="54"/>
      <c r="AJ343" s="3"/>
      <c r="AK343" s="3">
        <v>1</v>
      </c>
      <c r="AL343" s="3"/>
      <c r="AM343" s="4"/>
      <c r="AN343" s="4"/>
      <c r="AO343" s="3"/>
      <c r="AP343" s="4"/>
      <c r="AQ343" s="3"/>
      <c r="AR343" s="3"/>
      <c r="AS343" s="3"/>
    </row>
    <row r="344" spans="1:45" s="53" customFormat="1" ht="19.5" hidden="1" customHeight="1">
      <c r="A344" s="35" t="e">
        <v>#REF!</v>
      </c>
      <c r="B344" s="81"/>
      <c r="C344" s="3"/>
      <c r="D344" s="46"/>
      <c r="E344" s="3"/>
      <c r="F344" s="3"/>
      <c r="G344" s="3"/>
      <c r="H344" s="41"/>
      <c r="I344" s="174" t="s">
        <v>80</v>
      </c>
      <c r="J344" s="175"/>
      <c r="K344" s="43"/>
      <c r="L344" s="43" t="s">
        <v>81</v>
      </c>
      <c r="M344" s="78"/>
      <c r="N344" s="44" t="s">
        <v>135</v>
      </c>
      <c r="O344" s="45" t="s">
        <v>136</v>
      </c>
      <c r="P344" s="67"/>
      <c r="Q344" s="67"/>
      <c r="R344" s="68"/>
      <c r="S344" s="69"/>
      <c r="T344" s="345"/>
      <c r="U344" s="346"/>
      <c r="V344" s="346"/>
      <c r="W344" s="3"/>
      <c r="X344" s="84" t="s">
        <v>66</v>
      </c>
      <c r="Y344" s="80"/>
      <c r="Z344" s="80"/>
      <c r="AA344" s="3"/>
      <c r="AC344" s="50"/>
      <c r="AD344" s="50"/>
      <c r="AE344" s="3" t="s">
        <v>83</v>
      </c>
      <c r="AF344" s="51"/>
      <c r="AG344" s="52" t="s">
        <v>135</v>
      </c>
      <c r="AI344" s="54"/>
      <c r="AJ344" s="3"/>
      <c r="AK344" s="3">
        <v>1</v>
      </c>
      <c r="AL344" s="3"/>
      <c r="AM344" s="4"/>
      <c r="AN344" s="4"/>
      <c r="AO344" s="3"/>
      <c r="AP344" s="4"/>
      <c r="AQ344" s="3"/>
      <c r="AR344" s="3"/>
      <c r="AS344" s="3"/>
    </row>
    <row r="345" spans="1:45" s="53" customFormat="1" ht="19.5" hidden="1" customHeight="1">
      <c r="A345" s="35" t="e">
        <f>A342</f>
        <v>#REF!</v>
      </c>
      <c r="B345" s="81"/>
      <c r="C345" s="3"/>
      <c r="D345" s="46"/>
      <c r="E345" s="3"/>
      <c r="F345" s="3"/>
      <c r="G345" s="3"/>
      <c r="H345" s="41"/>
      <c r="I345" s="37" t="s">
        <v>50</v>
      </c>
      <c r="J345" s="43"/>
      <c r="K345" s="43"/>
      <c r="L345" s="43" t="s">
        <v>52</v>
      </c>
      <c r="M345" s="78"/>
      <c r="N345" s="44" t="str">
        <f>IF(C345="","",C345)</f>
        <v/>
      </c>
      <c r="O345" s="45" t="s">
        <v>61</v>
      </c>
      <c r="P345" s="67"/>
      <c r="Q345" s="67"/>
      <c r="R345" s="68"/>
      <c r="S345" s="69"/>
      <c r="T345" s="345"/>
      <c r="U345" s="346"/>
      <c r="V345" s="346"/>
      <c r="W345" s="3"/>
      <c r="X345" s="106" t="s">
        <v>66</v>
      </c>
      <c r="Y345" s="85"/>
      <c r="Z345" s="85"/>
      <c r="AA345" s="71"/>
      <c r="AB345" s="83"/>
      <c r="AC345" s="50"/>
      <c r="AD345" s="50"/>
      <c r="AE345" s="3" t="str">
        <f>IF(OR(V345="電話不通 x2",V345="DS判断"),"DS確認→U列入力",IF(V345="希望","U列入力",IF(V345="拒否","DS確認",IF(V345="外国語","DS確認",IF(V345="電話不通 x1","ORM再架電","-")))))</f>
        <v>-</v>
      </c>
      <c r="AF345" s="51"/>
      <c r="AG345" s="52" t="str">
        <f ca="1">IF(AF345="","",IF($AF345+TIME(0,30,0)&lt;(TEXT(NOW(),"h:mm:ss")*1),$AF345+TIME(0,45,0),$AF345+TIME(0,30,0)))</f>
        <v/>
      </c>
      <c r="AI345" s="54"/>
      <c r="AJ345" s="3"/>
      <c r="AK345" s="3">
        <v>1</v>
      </c>
      <c r="AL345" s="3"/>
      <c r="AM345" s="4"/>
      <c r="AN345" s="4"/>
      <c r="AO345" s="3"/>
      <c r="AP345" s="4"/>
      <c r="AQ345" s="3"/>
      <c r="AR345" s="3"/>
      <c r="AS345" s="3"/>
    </row>
    <row r="346" spans="1:45" s="53" customFormat="1" ht="19.5" hidden="1" customHeight="1">
      <c r="A346" s="35" t="e">
        <f t="shared" si="50"/>
        <v>#REF!</v>
      </c>
      <c r="B346" s="81"/>
      <c r="C346" s="3"/>
      <c r="D346" s="116"/>
      <c r="E346" s="3"/>
      <c r="F346" s="3"/>
      <c r="G346" s="3"/>
      <c r="H346" s="41"/>
      <c r="I346" s="89" t="s">
        <v>50</v>
      </c>
      <c r="J346" s="90"/>
      <c r="K346" s="43"/>
      <c r="L346" s="90" t="s">
        <v>52</v>
      </c>
      <c r="M346" s="123"/>
      <c r="N346" s="44" t="str">
        <f>IF(C346="","",C346)</f>
        <v/>
      </c>
      <c r="O346" s="45" t="s">
        <v>61</v>
      </c>
      <c r="P346" s="67"/>
      <c r="Q346" s="67"/>
      <c r="R346" s="68"/>
      <c r="S346" s="69"/>
      <c r="T346" s="345"/>
      <c r="U346" s="346"/>
      <c r="V346" s="346"/>
      <c r="W346" s="3"/>
      <c r="X346" s="117" t="s">
        <v>66</v>
      </c>
      <c r="Y346" s="85"/>
      <c r="Z346" s="85"/>
      <c r="AA346" s="176"/>
      <c r="AB346" s="89" t="s">
        <v>109</v>
      </c>
      <c r="AC346" s="50"/>
      <c r="AD346" s="50"/>
      <c r="AE346" s="3" t="str">
        <f>IF(OR(V346="電話不通 x2",V346="DS判断"),"DS確認→U列入力",IF(V346="希望","U列入力",IF(V346="拒否","DS確認",IF(V346="外国語","DS確認",IF(V346="電話不通 x1","ORM再架電","-")))))</f>
        <v>-</v>
      </c>
      <c r="AF346" s="51"/>
      <c r="AG346" s="52" t="str">
        <f ca="1">IF(AF346="","",IF($AF346+TIME(0,30,0)&lt;(TEXT(NOW(),"h:mm:ss")*1),$AF346+TIME(0,45,0),$AF346+TIME(0,30,0)))</f>
        <v/>
      </c>
      <c r="AI346" s="54"/>
      <c r="AJ346" s="3"/>
      <c r="AK346" s="3">
        <v>1</v>
      </c>
      <c r="AL346" s="3"/>
      <c r="AM346" s="4"/>
      <c r="AN346" s="4"/>
      <c r="AO346" s="3"/>
      <c r="AP346" s="4"/>
      <c r="AQ346" s="3"/>
      <c r="AR346" s="3"/>
      <c r="AS346" s="3"/>
    </row>
    <row r="347" spans="1:45" s="53" customFormat="1" ht="19.5" hidden="1" customHeight="1">
      <c r="A347" s="35" t="e">
        <f t="shared" si="50"/>
        <v>#REF!</v>
      </c>
      <c r="B347" s="81"/>
      <c r="C347" s="3"/>
      <c r="D347" s="46"/>
      <c r="E347" s="3"/>
      <c r="F347" s="3"/>
      <c r="G347" s="3"/>
      <c r="H347" s="41"/>
      <c r="I347" s="37" t="s">
        <v>50</v>
      </c>
      <c r="J347" s="43"/>
      <c r="K347" s="43"/>
      <c r="L347" s="43" t="s">
        <v>52</v>
      </c>
      <c r="M347" s="78"/>
      <c r="N347" s="44" t="str">
        <f>IF(C347="","",C347)</f>
        <v/>
      </c>
      <c r="O347" s="45" t="s">
        <v>61</v>
      </c>
      <c r="P347" s="67"/>
      <c r="Q347" s="67"/>
      <c r="R347" s="68"/>
      <c r="S347" s="69"/>
      <c r="T347" s="345"/>
      <c r="U347" s="346"/>
      <c r="V347" s="346"/>
      <c r="W347" s="3"/>
      <c r="X347" s="106" t="s">
        <v>66</v>
      </c>
      <c r="Y347" s="85"/>
      <c r="Z347" s="85"/>
      <c r="AA347" s="71"/>
      <c r="AB347" s="83" t="s">
        <v>70</v>
      </c>
      <c r="AC347" s="50"/>
      <c r="AD347" s="118"/>
      <c r="AE347" s="3" t="str">
        <f>IF(OR(V347="電話不通 x2",V347="DS判断"),"DS確認→U列入力",IF(V347="希望","U列入力",IF(V347="拒否","DS確認",IF(V347="外国語","DS確認",IF(V347="電話不通 x1","ORM再架電","-")))))</f>
        <v>-</v>
      </c>
      <c r="AF347" s="51"/>
      <c r="AG347" s="52" t="str">
        <f ca="1">IF(AF347="","",IF($AF347+TIME(0,30,0)&lt;(TEXT(NOW(),"h:mm:ss")*1),$AF347+TIME(0,45,0),$AF347+TIME(0,30,0)))</f>
        <v/>
      </c>
      <c r="AI347" s="54"/>
      <c r="AJ347" s="3"/>
      <c r="AK347" s="3">
        <v>1</v>
      </c>
      <c r="AL347" s="3"/>
      <c r="AM347" s="4"/>
      <c r="AN347" s="4"/>
      <c r="AO347" s="3"/>
      <c r="AP347" s="4"/>
      <c r="AQ347" s="3"/>
      <c r="AR347" s="3"/>
      <c r="AS347" s="3"/>
    </row>
    <row r="348" spans="1:45" s="53" customFormat="1" ht="19.5" hidden="1" customHeight="1">
      <c r="A348" s="35" t="e">
        <f t="shared" si="50"/>
        <v>#REF!</v>
      </c>
      <c r="B348" s="81"/>
      <c r="C348" s="3"/>
      <c r="D348" s="46"/>
      <c r="E348" s="3"/>
      <c r="F348" s="3"/>
      <c r="G348" s="3"/>
      <c r="H348" s="41"/>
      <c r="I348" s="37" t="s">
        <v>50</v>
      </c>
      <c r="J348" s="43"/>
      <c r="K348" s="43"/>
      <c r="L348" s="43" t="s">
        <v>52</v>
      </c>
      <c r="M348" s="78"/>
      <c r="N348" s="44" t="str">
        <f>IF(C348="","",C348)</f>
        <v/>
      </c>
      <c r="O348" s="45" t="s">
        <v>61</v>
      </c>
      <c r="P348" s="67"/>
      <c r="Q348" s="67"/>
      <c r="R348" s="68"/>
      <c r="S348" s="69"/>
      <c r="T348" s="345"/>
      <c r="U348" s="346"/>
      <c r="V348" s="346"/>
      <c r="W348" s="3"/>
      <c r="X348" s="106" t="s">
        <v>66</v>
      </c>
      <c r="Y348" s="85"/>
      <c r="Z348" s="85"/>
      <c r="AA348" s="71"/>
      <c r="AB348" s="83" t="s">
        <v>70</v>
      </c>
      <c r="AC348" s="50"/>
      <c r="AD348" s="106" t="s">
        <v>117</v>
      </c>
      <c r="AE348" s="3" t="str">
        <f>IF(OR(V348="電話不通 x2",V348="DS判断"),"DS確認→U列入力",IF(V348="希望","U列入力",IF(V348="拒否","DS確認",IF(V348="外国語","DS確認",IF(V348="電話不通 x1","ORM再架電","-")))))</f>
        <v>-</v>
      </c>
      <c r="AF348" s="51"/>
      <c r="AG348" s="52" t="str">
        <f ca="1">IF(AF348="","",IF($AF348+TIME(0,30,0)&lt;(TEXT(NOW(),"h:mm:ss")*1),$AF348+TIME(0,45,0),$AF348+TIME(0,30,0)))</f>
        <v/>
      </c>
      <c r="AI348" s="54"/>
      <c r="AJ348" s="3"/>
      <c r="AK348" s="3">
        <v>1</v>
      </c>
      <c r="AL348" s="3"/>
      <c r="AM348" s="4"/>
      <c r="AN348" s="4"/>
      <c r="AO348" s="3"/>
      <c r="AP348" s="4"/>
      <c r="AQ348" s="3"/>
      <c r="AR348" s="3"/>
      <c r="AS348" s="3"/>
    </row>
    <row r="349" spans="1:45" s="53" customFormat="1" ht="19.5" hidden="1" customHeight="1">
      <c r="A349" s="35" t="e">
        <f t="shared" si="50"/>
        <v>#REF!</v>
      </c>
      <c r="B349" s="81"/>
      <c r="C349" s="3"/>
      <c r="D349" s="46"/>
      <c r="E349" s="3"/>
      <c r="F349" s="3"/>
      <c r="G349" s="3"/>
      <c r="H349" s="41"/>
      <c r="I349" s="37" t="s">
        <v>50</v>
      </c>
      <c r="J349" s="43"/>
      <c r="K349" s="43"/>
      <c r="L349" s="43" t="s">
        <v>52</v>
      </c>
      <c r="M349" s="78"/>
      <c r="N349" s="44" t="str">
        <f>IF(C349="","",C349)</f>
        <v/>
      </c>
      <c r="O349" s="45" t="s">
        <v>61</v>
      </c>
      <c r="P349" s="67"/>
      <c r="Q349" s="67"/>
      <c r="R349" s="68"/>
      <c r="S349" s="69"/>
      <c r="T349" s="345"/>
      <c r="U349" s="346"/>
      <c r="V349" s="346"/>
      <c r="W349" s="3"/>
      <c r="X349" s="106" t="s">
        <v>66</v>
      </c>
      <c r="Y349" s="85"/>
      <c r="Z349" s="85"/>
      <c r="AA349" s="71"/>
      <c r="AB349" s="92" t="s">
        <v>73</v>
      </c>
      <c r="AC349" s="50"/>
      <c r="AD349" s="106" t="s">
        <v>137</v>
      </c>
      <c r="AE349" s="3" t="str">
        <f>IF(OR(V349="電話不通 x2",V349="DS判断"),"DS確認→U列入力",IF(V349="希望","U列入力",IF(V349="拒否","DS確認",IF(V349="外国語","DS確認",IF(V349="電話不通 x1","ORM再架電","-")))))</f>
        <v>-</v>
      </c>
      <c r="AF349" s="51"/>
      <c r="AG349" s="52" t="str">
        <f ca="1">IF(AF349="","",IF($AF349+TIME(0,30,0)&lt;(TEXT(NOW(),"h:mm:ss")*1),$AF349+TIME(0,45,0),$AF349+TIME(0,30,0)))</f>
        <v/>
      </c>
      <c r="AI349" s="54"/>
      <c r="AJ349" s="3"/>
      <c r="AK349" s="3"/>
      <c r="AL349" s="3"/>
      <c r="AM349" s="4"/>
      <c r="AN349" s="4"/>
      <c r="AO349" s="3"/>
      <c r="AP349" s="4"/>
      <c r="AQ349" s="3"/>
      <c r="AR349" s="3"/>
      <c r="AS349" s="3"/>
    </row>
    <row r="350" spans="1:45" ht="19.5" hidden="1" customHeight="1">
      <c r="A350" s="35" t="e">
        <f>#REF!</f>
        <v>#REF!</v>
      </c>
      <c r="P350" s="46"/>
      <c r="R350" s="47"/>
      <c r="T350" s="345"/>
      <c r="U350" s="346"/>
      <c r="V350" s="346"/>
      <c r="AF350" s="51"/>
      <c r="AG350" s="52"/>
      <c r="AI350" s="54"/>
      <c r="AK350" s="3">
        <v>1</v>
      </c>
      <c r="AP350" s="4"/>
    </row>
    <row r="351" spans="1:45" ht="19.5" hidden="1" customHeight="1">
      <c r="R351" s="47"/>
      <c r="T351" s="345"/>
      <c r="U351" s="346"/>
      <c r="V351" s="346"/>
      <c r="AF351" s="51"/>
      <c r="AG351" s="52"/>
      <c r="AI351" s="54"/>
      <c r="AK351" s="3">
        <v>1</v>
      </c>
      <c r="AP351" s="4"/>
    </row>
    <row r="352" spans="1:45" s="53" customFormat="1" ht="19.5" hidden="1" customHeight="1">
      <c r="A352" s="35" t="e">
        <f>A340</f>
        <v>#REF!</v>
      </c>
      <c r="B352" s="81"/>
      <c r="C352" s="3"/>
      <c r="D352" s="38" t="s">
        <v>138</v>
      </c>
      <c r="E352" s="3"/>
      <c r="F352" s="3"/>
      <c r="G352" s="3"/>
      <c r="H352" s="41"/>
      <c r="I352" s="37" t="s">
        <v>50</v>
      </c>
      <c r="J352" s="43"/>
      <c r="K352" s="43"/>
      <c r="L352" s="43" t="s">
        <v>52</v>
      </c>
      <c r="M352" s="78"/>
      <c r="N352" s="44" t="str">
        <f t="shared" ref="N352:N358" si="51">IF(C352="","",C352)</f>
        <v/>
      </c>
      <c r="O352" s="45" t="s">
        <v>61</v>
      </c>
      <c r="P352" s="67"/>
      <c r="Q352" s="67"/>
      <c r="R352" s="68"/>
      <c r="S352" s="69"/>
      <c r="T352" s="345"/>
      <c r="U352" s="346"/>
      <c r="V352" s="346"/>
      <c r="W352" s="3"/>
      <c r="X352" s="84" t="s">
        <v>66</v>
      </c>
      <c r="Y352" s="80"/>
      <c r="Z352" s="80"/>
      <c r="AA352" s="3"/>
      <c r="AC352" s="50"/>
      <c r="AD352" s="50"/>
      <c r="AE352" s="3" t="str">
        <f>IF(OR(V352="電話不通 x2",V352="DS判断"),"DS確認→U列入力",IF(V352="希望","U列入力",IF(V352="拒否","DS確認",IF(V352="外国語","DS確認",IF(V352="電話不通 x1","ORM再架電","-")))))</f>
        <v>-</v>
      </c>
      <c r="AF352" s="51"/>
      <c r="AG352" s="52" t="str">
        <f ca="1">IF(AF352="","",IF($AF352+TIME(0,30,0)&lt;(TEXT(NOW(),"h:mm:ss")*1),$AF352+TIME(0,45,0),$AF352+TIME(0,30,0)))</f>
        <v/>
      </c>
      <c r="AI352" s="54"/>
      <c r="AJ352" s="3"/>
      <c r="AK352" s="3">
        <v>1</v>
      </c>
      <c r="AL352" s="3"/>
      <c r="AM352" s="4"/>
      <c r="AN352" s="4"/>
      <c r="AO352" s="3"/>
      <c r="AP352" s="4"/>
      <c r="AQ352" s="3"/>
      <c r="AR352" s="3"/>
      <c r="AS352" s="3"/>
    </row>
    <row r="353" spans="1:45" s="53" customFormat="1" ht="19.5" hidden="1" customHeight="1">
      <c r="A353" s="35" t="e">
        <f>A352</f>
        <v>#REF!</v>
      </c>
      <c r="B353" s="81"/>
      <c r="C353" s="3"/>
      <c r="D353" s="46"/>
      <c r="E353" s="3"/>
      <c r="F353" s="3"/>
      <c r="G353" s="3"/>
      <c r="H353" s="41"/>
      <c r="I353" s="37" t="s">
        <v>50</v>
      </c>
      <c r="J353" s="43"/>
      <c r="K353" s="43"/>
      <c r="L353" s="43" t="s">
        <v>52</v>
      </c>
      <c r="M353" s="78"/>
      <c r="N353" s="44" t="str">
        <f t="shared" si="51"/>
        <v/>
      </c>
      <c r="O353" s="45" t="s">
        <v>61</v>
      </c>
      <c r="P353" s="67"/>
      <c r="Q353" s="67"/>
      <c r="R353" s="68"/>
      <c r="S353" s="69"/>
      <c r="T353" s="345"/>
      <c r="U353" s="346"/>
      <c r="V353" s="346"/>
      <c r="W353" s="3"/>
      <c r="X353" s="84" t="s">
        <v>66</v>
      </c>
      <c r="Y353" s="80"/>
      <c r="Z353" s="80"/>
      <c r="AA353" s="3"/>
      <c r="AC353" s="50"/>
      <c r="AD353" s="50"/>
      <c r="AE353" s="3" t="str">
        <f>IF(OR(V353="電話不通 x2",V353="DS判断"),"DS確認→U列入力",IF(V353="希望","U列入力",IF(V353="拒否","DS確認",IF(V353="外国語","DS確認",IF(V353="電話不通 x1","ORM再架電","-")))))</f>
        <v>-</v>
      </c>
      <c r="AF353" s="51"/>
      <c r="AG353" s="52" t="str">
        <f ca="1">IF(AF353="","",IF($AF353+TIME(0,30,0)&lt;(TEXT(NOW(),"h:mm:ss")*1),$AF353+TIME(0,45,0),$AF353+TIME(0,30,0)))</f>
        <v/>
      </c>
      <c r="AI353" s="54"/>
      <c r="AJ353" s="3"/>
      <c r="AK353" s="3">
        <v>1</v>
      </c>
      <c r="AL353" s="3"/>
      <c r="AM353" s="4"/>
      <c r="AN353" s="4"/>
      <c r="AO353" s="3"/>
      <c r="AP353" s="4"/>
      <c r="AQ353" s="3"/>
      <c r="AR353" s="3"/>
      <c r="AS353" s="3"/>
    </row>
    <row r="354" spans="1:45" s="53" customFormat="1" ht="19.5" hidden="1" customHeight="1">
      <c r="A354" s="35" t="e">
        <v>#REF!</v>
      </c>
      <c r="B354" s="81"/>
      <c r="C354" s="3"/>
      <c r="D354" s="46"/>
      <c r="E354" s="3"/>
      <c r="F354" s="3"/>
      <c r="G354" s="3"/>
      <c r="H354" s="41"/>
      <c r="I354" s="37" t="s">
        <v>80</v>
      </c>
      <c r="J354" s="43"/>
      <c r="K354" s="43"/>
      <c r="L354" s="43" t="s">
        <v>81</v>
      </c>
      <c r="M354" s="78"/>
      <c r="N354" s="44" t="s">
        <v>135</v>
      </c>
      <c r="O354" s="45" t="s">
        <v>136</v>
      </c>
      <c r="P354" s="67"/>
      <c r="Q354" s="67"/>
      <c r="R354" s="68"/>
      <c r="S354" s="69"/>
      <c r="T354" s="345"/>
      <c r="U354" s="346"/>
      <c r="V354" s="346"/>
      <c r="W354" s="3"/>
      <c r="X354" s="84" t="s">
        <v>66</v>
      </c>
      <c r="Y354" s="80"/>
      <c r="Z354" s="80"/>
      <c r="AA354" s="3"/>
      <c r="AC354" s="50"/>
      <c r="AD354" s="50"/>
      <c r="AE354" s="3" t="s">
        <v>83</v>
      </c>
      <c r="AF354" s="51"/>
      <c r="AG354" s="52" t="s">
        <v>135</v>
      </c>
      <c r="AI354" s="54"/>
      <c r="AJ354" s="3"/>
      <c r="AK354" s="3">
        <v>1</v>
      </c>
      <c r="AL354" s="3"/>
      <c r="AM354" s="4"/>
      <c r="AN354" s="4"/>
      <c r="AO354" s="3"/>
      <c r="AP354" s="4"/>
      <c r="AQ354" s="3"/>
      <c r="AR354" s="3"/>
      <c r="AS354" s="3"/>
    </row>
    <row r="355" spans="1:45" s="53" customFormat="1" ht="19.5" hidden="1" customHeight="1">
      <c r="A355" s="35" t="e">
        <v>#REF!</v>
      </c>
      <c r="B355" s="81"/>
      <c r="C355" s="3"/>
      <c r="D355" s="46"/>
      <c r="E355" s="3"/>
      <c r="F355" s="3"/>
      <c r="G355" s="3"/>
      <c r="H355" s="41"/>
      <c r="I355" s="174" t="s">
        <v>80</v>
      </c>
      <c r="J355" s="175"/>
      <c r="K355" s="43"/>
      <c r="L355" s="43" t="s">
        <v>81</v>
      </c>
      <c r="M355" s="78"/>
      <c r="N355" s="44" t="s">
        <v>135</v>
      </c>
      <c r="O355" s="45" t="s">
        <v>136</v>
      </c>
      <c r="P355" s="67"/>
      <c r="Q355" s="67"/>
      <c r="R355" s="68"/>
      <c r="S355" s="69"/>
      <c r="T355" s="345"/>
      <c r="U355" s="346"/>
      <c r="V355" s="346"/>
      <c r="W355" s="3"/>
      <c r="X355" s="84" t="s">
        <v>66</v>
      </c>
      <c r="Y355" s="80"/>
      <c r="Z355" s="80"/>
      <c r="AA355" s="3"/>
      <c r="AC355" s="50"/>
      <c r="AD355" s="50"/>
      <c r="AE355" s="3" t="s">
        <v>83</v>
      </c>
      <c r="AF355" s="51"/>
      <c r="AG355" s="52" t="s">
        <v>135</v>
      </c>
      <c r="AI355" s="54"/>
      <c r="AJ355" s="3"/>
      <c r="AK355" s="3">
        <v>1</v>
      </c>
      <c r="AL355" s="3"/>
      <c r="AM355" s="4"/>
      <c r="AN355" s="4"/>
      <c r="AO355" s="3"/>
      <c r="AP355" s="4"/>
      <c r="AQ355" s="3"/>
      <c r="AR355" s="3"/>
      <c r="AS355" s="3"/>
    </row>
    <row r="356" spans="1:45" s="53" customFormat="1" ht="19.5" hidden="1" customHeight="1">
      <c r="A356" s="35" t="e">
        <f>A353</f>
        <v>#REF!</v>
      </c>
      <c r="B356" s="81"/>
      <c r="C356" s="3"/>
      <c r="D356" s="46"/>
      <c r="E356" s="3"/>
      <c r="F356" s="3"/>
      <c r="G356" s="3"/>
      <c r="H356" s="41"/>
      <c r="I356" s="37" t="s">
        <v>50</v>
      </c>
      <c r="J356" s="43"/>
      <c r="K356" s="43"/>
      <c r="L356" s="43" t="s">
        <v>52</v>
      </c>
      <c r="M356" s="78"/>
      <c r="N356" s="44" t="str">
        <f t="shared" si="51"/>
        <v/>
      </c>
      <c r="O356" s="45" t="s">
        <v>61</v>
      </c>
      <c r="P356" s="67"/>
      <c r="Q356" s="67"/>
      <c r="R356" s="68"/>
      <c r="S356" s="69"/>
      <c r="T356" s="345"/>
      <c r="U356" s="346"/>
      <c r="V356" s="346"/>
      <c r="W356" s="3"/>
      <c r="X356" s="106" t="s">
        <v>66</v>
      </c>
      <c r="Y356" s="85"/>
      <c r="Z356" s="85"/>
      <c r="AA356" s="71"/>
      <c r="AB356" s="83"/>
      <c r="AC356" s="50"/>
      <c r="AD356" s="50"/>
      <c r="AE356" s="3" t="str">
        <f>IF(OR(V356="電話不通 x2",V356="DS判断"),"DS確認→U列入力",IF(V356="希望","U列入力",IF(V356="拒否","DS確認",IF(V356="外国語","DS確認",IF(V356="電話不通 x1","ORM再架電","-")))))</f>
        <v>-</v>
      </c>
      <c r="AF356" s="51"/>
      <c r="AG356" s="52" t="str">
        <f ca="1">IF(AF356="","",IF($AF356+TIME(0,30,0)&lt;(TEXT(NOW(),"h:mm:ss")*1),$AF356+TIME(0,45,0),$AF356+TIME(0,30,0)))</f>
        <v/>
      </c>
      <c r="AI356" s="54"/>
      <c r="AJ356" s="3"/>
      <c r="AK356" s="3">
        <v>1</v>
      </c>
      <c r="AL356" s="3"/>
      <c r="AM356" s="4"/>
      <c r="AN356" s="4"/>
      <c r="AO356" s="3"/>
      <c r="AP356" s="4"/>
      <c r="AQ356" s="3"/>
      <c r="AR356" s="3"/>
      <c r="AS356" s="3"/>
    </row>
    <row r="357" spans="1:45" s="53" customFormat="1" ht="19.5" hidden="1" customHeight="1">
      <c r="A357" s="35" t="e">
        <f>A356</f>
        <v>#REF!</v>
      </c>
      <c r="B357" s="81"/>
      <c r="C357" s="3"/>
      <c r="D357" s="116"/>
      <c r="E357" s="3"/>
      <c r="F357" s="3"/>
      <c r="G357" s="3"/>
      <c r="H357" s="41"/>
      <c r="I357" s="89" t="s">
        <v>50</v>
      </c>
      <c r="J357" s="90"/>
      <c r="K357" s="43"/>
      <c r="L357" s="90" t="s">
        <v>52</v>
      </c>
      <c r="M357" s="123"/>
      <c r="N357" s="44" t="str">
        <f t="shared" si="51"/>
        <v/>
      </c>
      <c r="O357" s="45" t="s">
        <v>61</v>
      </c>
      <c r="P357" s="67"/>
      <c r="Q357" s="67"/>
      <c r="R357" s="68"/>
      <c r="S357" s="69"/>
      <c r="T357" s="345"/>
      <c r="U357" s="346"/>
      <c r="V357" s="346"/>
      <c r="W357" s="3"/>
      <c r="X357" s="117" t="s">
        <v>66</v>
      </c>
      <c r="Y357" s="85"/>
      <c r="Z357" s="85"/>
      <c r="AA357" s="176"/>
      <c r="AB357" s="89" t="s">
        <v>109</v>
      </c>
      <c r="AC357" s="50"/>
      <c r="AD357" s="50"/>
      <c r="AE357" s="3" t="str">
        <f>IF(OR(V357="電話不通 x2",V357="DS判断"),"DS確認→U列入力",IF(V357="希望","U列入力",IF(V357="拒否","DS確認",IF(V357="外国語","DS確認",IF(V357="電話不通 x1","ORM再架電","-")))))</f>
        <v>-</v>
      </c>
      <c r="AF357" s="51"/>
      <c r="AG357" s="52" t="str">
        <f ca="1">IF(AF357="","",IF($AF357+TIME(0,30,0)&lt;(TEXT(NOW(),"h:mm:ss")*1),$AF357+TIME(0,45,0),$AF357+TIME(0,30,0)))</f>
        <v/>
      </c>
      <c r="AI357" s="54"/>
      <c r="AJ357" s="3"/>
      <c r="AK357" s="3">
        <v>1</v>
      </c>
      <c r="AL357" s="3"/>
      <c r="AM357" s="4"/>
      <c r="AN357" s="4"/>
      <c r="AO357" s="3"/>
      <c r="AP357" s="4"/>
      <c r="AQ357" s="3"/>
      <c r="AR357" s="3"/>
      <c r="AS357" s="3"/>
    </row>
    <row r="358" spans="1:45" s="53" customFormat="1" ht="19.5" hidden="1" customHeight="1">
      <c r="A358" s="35" t="e">
        <f>A357</f>
        <v>#REF!</v>
      </c>
      <c r="B358" s="81"/>
      <c r="C358" s="3"/>
      <c r="D358" s="46"/>
      <c r="E358" s="3"/>
      <c r="F358" s="3"/>
      <c r="G358" s="3"/>
      <c r="H358" s="41"/>
      <c r="I358" s="37" t="s">
        <v>50</v>
      </c>
      <c r="J358" s="43"/>
      <c r="K358" s="43"/>
      <c r="L358" s="43" t="s">
        <v>52</v>
      </c>
      <c r="M358" s="78"/>
      <c r="N358" s="44" t="str">
        <f t="shared" si="51"/>
        <v/>
      </c>
      <c r="O358" s="45" t="s">
        <v>61</v>
      </c>
      <c r="P358" s="67"/>
      <c r="Q358" s="67"/>
      <c r="R358" s="68"/>
      <c r="S358" s="69"/>
      <c r="T358" s="345"/>
      <c r="U358" s="346"/>
      <c r="V358" s="346"/>
      <c r="W358" s="3"/>
      <c r="X358" s="106" t="s">
        <v>66</v>
      </c>
      <c r="Y358" s="85"/>
      <c r="Z358" s="85"/>
      <c r="AA358" s="71"/>
      <c r="AB358" s="92" t="s">
        <v>76</v>
      </c>
      <c r="AC358" s="50"/>
      <c r="AD358" s="50"/>
      <c r="AE358" s="3" t="str">
        <f>IF(OR(V358="電話不通 x2",V358="DS判断"),"DS確認→U列入力",IF(V358="希望","U列入力",IF(V358="拒否","DS確認",IF(V358="外国語","DS確認",IF(V358="電話不通 x1","ORM再架電","-")))))</f>
        <v>-</v>
      </c>
      <c r="AF358" s="51"/>
      <c r="AG358" s="52" t="str">
        <f ca="1">IF(AF358="","",IF($AF358+TIME(0,30,0)&lt;(TEXT(NOW(),"h:mm:ss")*1),$AF358+TIME(0,45,0),$AF358+TIME(0,30,0)))</f>
        <v/>
      </c>
      <c r="AI358" s="54"/>
      <c r="AJ358" s="3"/>
      <c r="AK358" s="3"/>
      <c r="AL358" s="3"/>
      <c r="AM358" s="4"/>
      <c r="AN358" s="4"/>
      <c r="AO358" s="3"/>
      <c r="AP358" s="4"/>
      <c r="AQ358" s="3"/>
      <c r="AR358" s="3"/>
      <c r="AS358" s="3"/>
    </row>
    <row r="359" spans="1:45" s="53" customFormat="1" ht="19.5" hidden="1" customHeight="1">
      <c r="A359" s="35"/>
      <c r="B359" s="81"/>
      <c r="C359" s="3"/>
      <c r="D359" s="46"/>
      <c r="E359" s="3"/>
      <c r="F359" s="3"/>
      <c r="G359" s="3"/>
      <c r="H359" s="41"/>
      <c r="I359" s="37"/>
      <c r="J359" s="43"/>
      <c r="K359" s="43"/>
      <c r="L359" s="43"/>
      <c r="M359" s="78"/>
      <c r="N359" s="44"/>
      <c r="O359" s="45"/>
      <c r="P359" s="46"/>
      <c r="Q359" s="46"/>
      <c r="R359" s="47"/>
      <c r="S359" s="48"/>
      <c r="T359" s="345"/>
      <c r="U359" s="346"/>
      <c r="V359" s="346"/>
      <c r="W359" s="3"/>
      <c r="X359" s="50"/>
      <c r="Y359" s="80"/>
      <c r="Z359" s="80"/>
      <c r="AA359" s="3"/>
      <c r="AC359" s="50"/>
      <c r="AD359" s="50"/>
      <c r="AE359" s="3"/>
      <c r="AF359" s="51"/>
      <c r="AG359" s="52"/>
      <c r="AI359" s="54"/>
      <c r="AJ359" s="3"/>
      <c r="AK359" s="3"/>
      <c r="AL359" s="3"/>
      <c r="AM359" s="4"/>
      <c r="AN359" s="4"/>
      <c r="AO359" s="3"/>
      <c r="AP359" s="4"/>
      <c r="AQ359" s="3"/>
      <c r="AR359" s="3"/>
      <c r="AS359" s="3"/>
    </row>
    <row r="360" spans="1:45" s="53" customFormat="1" ht="19.5" hidden="1" customHeight="1">
      <c r="A360" s="35"/>
      <c r="B360" s="81"/>
      <c r="C360" s="3"/>
      <c r="D360" s="46"/>
      <c r="E360" s="3"/>
      <c r="F360" s="3"/>
      <c r="G360" s="3"/>
      <c r="H360" s="41"/>
      <c r="I360" s="37"/>
      <c r="J360" s="43"/>
      <c r="K360" s="43"/>
      <c r="L360" s="43"/>
      <c r="M360" s="78"/>
      <c r="N360" s="44"/>
      <c r="O360" s="45"/>
      <c r="P360" s="46"/>
      <c r="Q360" s="46"/>
      <c r="R360" s="47"/>
      <c r="S360" s="48"/>
      <c r="T360" s="345"/>
      <c r="U360" s="346"/>
      <c r="V360" s="346"/>
      <c r="W360" s="3"/>
      <c r="X360" s="50"/>
      <c r="Y360" s="80"/>
      <c r="Z360" s="80"/>
      <c r="AA360" s="3"/>
      <c r="AC360" s="50"/>
      <c r="AD360" s="50"/>
      <c r="AE360" s="3"/>
      <c r="AF360" s="51"/>
      <c r="AG360" s="52"/>
      <c r="AI360" s="54"/>
      <c r="AJ360" s="3"/>
      <c r="AK360" s="3">
        <v>1</v>
      </c>
      <c r="AL360" s="3"/>
      <c r="AM360" s="4"/>
      <c r="AN360" s="4"/>
      <c r="AO360" s="3"/>
      <c r="AP360" s="4"/>
      <c r="AQ360" s="3"/>
      <c r="AR360" s="3"/>
      <c r="AS360" s="3"/>
    </row>
    <row r="361" spans="1:45" ht="19.5" hidden="1" customHeight="1">
      <c r="A361" s="35" t="e">
        <f>#REF!</f>
        <v>#REF!</v>
      </c>
      <c r="C361" s="102"/>
      <c r="D361" s="38" t="s">
        <v>121</v>
      </c>
      <c r="I361" s="37" t="s">
        <v>50</v>
      </c>
      <c r="J361" s="43"/>
      <c r="K361" s="43"/>
      <c r="L361" s="43" t="s">
        <v>52</v>
      </c>
      <c r="N361" s="44" t="str">
        <f t="shared" ref="N361:N389" si="52">IF(C361="","",C361)</f>
        <v/>
      </c>
      <c r="O361" s="45" t="s">
        <v>61</v>
      </c>
      <c r="P361" s="67"/>
      <c r="Q361" s="67"/>
      <c r="R361" s="68"/>
      <c r="S361" s="69"/>
      <c r="T361" s="345"/>
      <c r="U361" s="346"/>
      <c r="V361" s="346"/>
      <c r="X361" s="84" t="s">
        <v>66</v>
      </c>
      <c r="Y361" s="49"/>
      <c r="Z361" s="49"/>
      <c r="AE361" s="3" t="str">
        <f>IF(OR(V361="電話不通 x2",V361="DS判断"),"DS確認→U列入力",IF(V361="希望","U列入力",IF(V361="拒否","DS確認",IF(V361="外国語","DS確認",IF(V361="電話不通 x1","ORM再架電","-")))))</f>
        <v>-</v>
      </c>
      <c r="AF361" s="51"/>
      <c r="AG361" s="52" t="str">
        <f t="shared" ref="AG361:AG379" ca="1" si="53">IF(AF361="","",IF($AF361+TIME(0,30,0)&lt;(TEXT(NOW(),"h:mm:ss")*1),$AF361+TIME(0,45,0),$AF361+TIME(0,30,0)))</f>
        <v/>
      </c>
      <c r="AI361" s="54"/>
      <c r="AK361" s="3">
        <v>1</v>
      </c>
      <c r="AP361" s="4"/>
    </row>
    <row r="362" spans="1:45" ht="19.5" hidden="1" customHeight="1">
      <c r="A362" s="35" t="e">
        <f>A361</f>
        <v>#REF!</v>
      </c>
      <c r="C362" s="102"/>
      <c r="I362" s="37" t="s">
        <v>50</v>
      </c>
      <c r="J362" s="43"/>
      <c r="K362" s="43"/>
      <c r="L362" s="43" t="s">
        <v>52</v>
      </c>
      <c r="N362" s="44" t="str">
        <f t="shared" si="52"/>
        <v/>
      </c>
      <c r="O362" s="45" t="s">
        <v>61</v>
      </c>
      <c r="P362" s="67"/>
      <c r="Q362" s="67"/>
      <c r="R362" s="68"/>
      <c r="S362" s="69"/>
      <c r="T362" s="345"/>
      <c r="U362" s="346"/>
      <c r="V362" s="346"/>
      <c r="X362" s="84" t="s">
        <v>66</v>
      </c>
      <c r="Y362" s="49"/>
      <c r="Z362" s="49"/>
      <c r="AE362" s="3" t="str">
        <f>IF(OR(V362="電話不通 x2",V362="DS判断"),"DS確認→U列入力",IF(V362="希望","U列入力",IF(V362="拒否","DS確認",IF(V362="外国語","DS確認",IF(V362="電話不通 x1","ORM再架電","-")))))</f>
        <v>-</v>
      </c>
      <c r="AF362" s="51"/>
      <c r="AG362" s="52" t="str">
        <f t="shared" ca="1" si="53"/>
        <v/>
      </c>
      <c r="AI362" s="54"/>
      <c r="AK362" s="3">
        <v>1</v>
      </c>
      <c r="AP362" s="4"/>
    </row>
    <row r="363" spans="1:45" s="53" customFormat="1" ht="19.5" hidden="1" customHeight="1">
      <c r="A363" s="35" t="e">
        <v>#REF!</v>
      </c>
      <c r="B363" s="81"/>
      <c r="C363" s="3"/>
      <c r="D363" s="46"/>
      <c r="E363" s="3"/>
      <c r="F363" s="3"/>
      <c r="G363" s="3"/>
      <c r="H363" s="41"/>
      <c r="I363" s="37" t="s">
        <v>80</v>
      </c>
      <c r="J363" s="43"/>
      <c r="K363" s="43"/>
      <c r="L363" s="43" t="s">
        <v>81</v>
      </c>
      <c r="M363" s="78"/>
      <c r="N363" s="44" t="s">
        <v>135</v>
      </c>
      <c r="O363" s="45" t="s">
        <v>136</v>
      </c>
      <c r="P363" s="67"/>
      <c r="Q363" s="67"/>
      <c r="R363" s="68"/>
      <c r="S363" s="69"/>
      <c r="T363" s="345"/>
      <c r="U363" s="346"/>
      <c r="V363" s="346"/>
      <c r="W363" s="3"/>
      <c r="X363" s="84" t="s">
        <v>66</v>
      </c>
      <c r="Y363" s="80"/>
      <c r="Z363" s="80"/>
      <c r="AA363" s="3"/>
      <c r="AC363" s="50"/>
      <c r="AD363" s="50"/>
      <c r="AE363" s="3" t="s">
        <v>83</v>
      </c>
      <c r="AF363" s="51"/>
      <c r="AG363" s="52" t="s">
        <v>135</v>
      </c>
      <c r="AI363" s="54"/>
      <c r="AJ363" s="3"/>
      <c r="AK363" s="3">
        <v>1</v>
      </c>
      <c r="AL363" s="3"/>
      <c r="AM363" s="4"/>
      <c r="AN363" s="4"/>
      <c r="AO363" s="3"/>
      <c r="AP363" s="4"/>
      <c r="AQ363" s="3"/>
      <c r="AR363" s="3"/>
      <c r="AS363" s="3"/>
    </row>
    <row r="364" spans="1:45" s="53" customFormat="1" ht="19.5" hidden="1" customHeight="1">
      <c r="A364" s="35" t="e">
        <v>#REF!</v>
      </c>
      <c r="B364" s="81"/>
      <c r="C364" s="3"/>
      <c r="D364" s="46"/>
      <c r="E364" s="3"/>
      <c r="F364" s="3"/>
      <c r="G364" s="3"/>
      <c r="H364" s="41"/>
      <c r="I364" s="174" t="s">
        <v>80</v>
      </c>
      <c r="J364" s="175"/>
      <c r="K364" s="43"/>
      <c r="L364" s="43" t="s">
        <v>81</v>
      </c>
      <c r="M364" s="78"/>
      <c r="N364" s="44" t="s">
        <v>135</v>
      </c>
      <c r="O364" s="45" t="s">
        <v>136</v>
      </c>
      <c r="P364" s="67"/>
      <c r="Q364" s="67"/>
      <c r="R364" s="68"/>
      <c r="S364" s="69"/>
      <c r="T364" s="345"/>
      <c r="U364" s="346"/>
      <c r="V364" s="346"/>
      <c r="W364" s="3"/>
      <c r="X364" s="84" t="s">
        <v>66</v>
      </c>
      <c r="Y364" s="80"/>
      <c r="Z364" s="80"/>
      <c r="AA364" s="3"/>
      <c r="AC364" s="50"/>
      <c r="AD364" s="50"/>
      <c r="AE364" s="3" t="s">
        <v>83</v>
      </c>
      <c r="AF364" s="51"/>
      <c r="AG364" s="52" t="s">
        <v>135</v>
      </c>
      <c r="AI364" s="54"/>
      <c r="AJ364" s="3"/>
      <c r="AK364" s="3">
        <v>1</v>
      </c>
      <c r="AL364" s="3"/>
      <c r="AM364" s="4"/>
      <c r="AN364" s="4"/>
      <c r="AO364" s="3"/>
      <c r="AP364" s="4"/>
      <c r="AQ364" s="3"/>
      <c r="AR364" s="3"/>
      <c r="AS364" s="3"/>
    </row>
    <row r="365" spans="1:45" ht="19.5" hidden="1" customHeight="1">
      <c r="A365" s="35" t="e">
        <f>A362</f>
        <v>#REF!</v>
      </c>
      <c r="C365" s="102"/>
      <c r="I365" s="37" t="s">
        <v>50</v>
      </c>
      <c r="J365" s="43"/>
      <c r="K365" s="43"/>
      <c r="L365" s="43" t="s">
        <v>52</v>
      </c>
      <c r="N365" s="44" t="str">
        <f t="shared" si="52"/>
        <v/>
      </c>
      <c r="O365" s="45" t="s">
        <v>61</v>
      </c>
      <c r="P365" s="67"/>
      <c r="Q365" s="67"/>
      <c r="R365" s="68"/>
      <c r="S365" s="69"/>
      <c r="T365" s="345"/>
      <c r="U365" s="346"/>
      <c r="V365" s="346"/>
      <c r="X365" s="106" t="s">
        <v>66</v>
      </c>
      <c r="Y365" s="70"/>
      <c r="Z365" s="70"/>
      <c r="AA365" s="71"/>
      <c r="AB365" s="83"/>
      <c r="AE365" s="3" t="str">
        <f>IF(OR(V365="電話不通 x2",V365="DS判断"),"DS確認→U列入力",IF(V365="希望","U列入力",IF(V365="拒否","DS確認",IF(V365="外国語","DS確認",IF(V365="電話不通 x1","ORM再架電","-")))))</f>
        <v>-</v>
      </c>
      <c r="AF365" s="51"/>
      <c r="AG365" s="52" t="str">
        <f t="shared" ca="1" si="53"/>
        <v/>
      </c>
      <c r="AI365" s="54"/>
      <c r="AK365" s="3">
        <v>1</v>
      </c>
      <c r="AP365" s="4"/>
    </row>
    <row r="366" spans="1:45" ht="19.5" hidden="1" customHeight="1">
      <c r="A366" s="35" t="e">
        <f>A365</f>
        <v>#REF!</v>
      </c>
      <c r="C366" s="102"/>
      <c r="D366" s="116"/>
      <c r="I366" s="89" t="s">
        <v>50</v>
      </c>
      <c r="J366" s="90"/>
      <c r="K366" s="43"/>
      <c r="L366" s="90" t="s">
        <v>52</v>
      </c>
      <c r="M366" s="123"/>
      <c r="N366" s="44" t="str">
        <f t="shared" si="52"/>
        <v/>
      </c>
      <c r="O366" s="45" t="s">
        <v>61</v>
      </c>
      <c r="P366" s="67"/>
      <c r="Q366" s="67"/>
      <c r="R366" s="68"/>
      <c r="S366" s="69"/>
      <c r="T366" s="345"/>
      <c r="U366" s="346"/>
      <c r="V366" s="346"/>
      <c r="X366" s="117" t="s">
        <v>66</v>
      </c>
      <c r="Y366" s="134"/>
      <c r="Z366" s="134"/>
      <c r="AA366" s="176"/>
      <c r="AB366" s="89" t="s">
        <v>109</v>
      </c>
      <c r="AE366" s="3" t="str">
        <f>IF(OR(V366="電話不通 x2",V366="DS判断"),"DS確認→U列入力",IF(V366="希望","U列入力",IF(V366="拒否","DS確認",IF(V366="外国語","DS確認",IF(V366="電話不通 x1","ORM再架電","-")))))</f>
        <v>-</v>
      </c>
      <c r="AF366" s="51"/>
      <c r="AG366" s="52" t="str">
        <f t="shared" ca="1" si="53"/>
        <v/>
      </c>
      <c r="AI366" s="54"/>
      <c r="AK366" s="3">
        <v>1</v>
      </c>
      <c r="AP366" s="4"/>
    </row>
    <row r="367" spans="1:45" ht="19.5" hidden="1" customHeight="1">
      <c r="A367" s="35" t="e">
        <f>#REF!</f>
        <v>#REF!</v>
      </c>
      <c r="C367" s="102"/>
      <c r="I367" s="37" t="s">
        <v>50</v>
      </c>
      <c r="J367" s="43"/>
      <c r="K367" s="43"/>
      <c r="L367" s="43" t="s">
        <v>52</v>
      </c>
      <c r="N367" s="44" t="str">
        <f t="shared" si="52"/>
        <v/>
      </c>
      <c r="O367" s="148" t="s">
        <v>61</v>
      </c>
      <c r="P367" s="67"/>
      <c r="Q367" s="67"/>
      <c r="R367" s="68"/>
      <c r="S367" s="69"/>
      <c r="T367" s="345"/>
      <c r="U367" s="346"/>
      <c r="V367" s="346"/>
      <c r="X367" s="106" t="s">
        <v>66</v>
      </c>
      <c r="Y367" s="134"/>
      <c r="Z367" s="134"/>
      <c r="AA367" s="71"/>
      <c r="AB367" s="97" t="s">
        <v>104</v>
      </c>
      <c r="AC367" s="140"/>
      <c r="AD367" s="140"/>
      <c r="AE367" s="3" t="str">
        <f>IF(OR(V367="電話不通 x2",V367="DS判断"),"DS確認→U列入力",IF(V367="希望","U列入力",IF(V367="拒否","DS確認",IF(V367="外国語","DS確認",IF(V367="電話不通 x1","ORM再架電","-")))))</f>
        <v>-</v>
      </c>
      <c r="AF367" s="51"/>
      <c r="AG367" s="52" t="str">
        <f t="shared" ca="1" si="53"/>
        <v/>
      </c>
      <c r="AI367" s="54"/>
      <c r="AK367" s="3">
        <v>1</v>
      </c>
      <c r="AP367" s="4"/>
    </row>
    <row r="368" spans="1:45" s="53" customFormat="1" ht="19.5" hidden="1" customHeight="1">
      <c r="A368" s="35" t="e">
        <f>#REF!</f>
        <v>#REF!</v>
      </c>
      <c r="B368" s="81"/>
      <c r="C368" s="102"/>
      <c r="D368" s="46"/>
      <c r="E368" s="3"/>
      <c r="F368" s="3"/>
      <c r="G368" s="3"/>
      <c r="H368" s="41"/>
      <c r="I368" s="37" t="s">
        <v>50</v>
      </c>
      <c r="J368" s="43"/>
      <c r="K368" s="43"/>
      <c r="L368" s="43" t="s">
        <v>52</v>
      </c>
      <c r="M368" s="78"/>
      <c r="N368" s="44" t="str">
        <f t="shared" si="52"/>
        <v/>
      </c>
      <c r="O368" s="45" t="s">
        <v>58</v>
      </c>
      <c r="P368" s="67"/>
      <c r="Q368" s="67"/>
      <c r="R368" s="68"/>
      <c r="S368" s="69"/>
      <c r="T368" s="345"/>
      <c r="U368" s="346"/>
      <c r="V368" s="346"/>
      <c r="W368" s="3"/>
      <c r="X368" s="106" t="s">
        <v>66</v>
      </c>
      <c r="Y368" s="134"/>
      <c r="Z368" s="134"/>
      <c r="AA368" s="71"/>
      <c r="AB368" s="71" t="s">
        <v>104</v>
      </c>
      <c r="AC368" s="140"/>
      <c r="AD368" s="140"/>
      <c r="AE368" s="3" t="str">
        <f>IF(OR(V368="電話不通 x2",V368="DS判断"),"DS確認→U列入力",IF(V368="希望","U列入力",IF(V368="拒否","DS確認",IF(V368="外国語","DS確認",IF(V368="電話不通 x1","ORM再架電","-")))))</f>
        <v>-</v>
      </c>
      <c r="AF368" s="51"/>
      <c r="AG368" s="119" t="str">
        <f t="shared" ca="1" si="53"/>
        <v/>
      </c>
      <c r="AH368" s="101"/>
      <c r="AI368" s="54"/>
      <c r="AJ368" s="3"/>
      <c r="AK368" s="3">
        <v>1</v>
      </c>
      <c r="AL368" s="3"/>
      <c r="AM368" s="4"/>
      <c r="AN368" s="4"/>
      <c r="AO368" s="3"/>
      <c r="AP368" s="4"/>
      <c r="AQ368" s="3"/>
      <c r="AR368" s="3"/>
      <c r="AS368" s="3"/>
    </row>
    <row r="369" spans="1:45" s="53" customFormat="1" ht="19.5" hidden="1" customHeight="1">
      <c r="A369" s="35" t="e">
        <f>#REF!</f>
        <v>#REF!</v>
      </c>
      <c r="B369" s="81"/>
      <c r="C369" s="102"/>
      <c r="D369" s="46"/>
      <c r="E369" s="3"/>
      <c r="F369" s="3"/>
      <c r="G369" s="3"/>
      <c r="H369" s="41"/>
      <c r="I369" s="37" t="s">
        <v>50</v>
      </c>
      <c r="J369" s="43"/>
      <c r="K369" s="43"/>
      <c r="L369" s="43" t="s">
        <v>52</v>
      </c>
      <c r="M369" s="78"/>
      <c r="N369" s="44" t="str">
        <f t="shared" si="52"/>
        <v/>
      </c>
      <c r="O369" s="45" t="s">
        <v>58</v>
      </c>
      <c r="P369" s="67"/>
      <c r="Q369" s="67"/>
      <c r="R369" s="68"/>
      <c r="S369" s="69"/>
      <c r="T369" s="345"/>
      <c r="U369" s="346"/>
      <c r="V369" s="346"/>
      <c r="W369" s="3"/>
      <c r="X369" s="106" t="s">
        <v>66</v>
      </c>
      <c r="Y369" s="134"/>
      <c r="Z369" s="134"/>
      <c r="AA369" s="71"/>
      <c r="AB369" s="71" t="s">
        <v>104</v>
      </c>
      <c r="AC369" s="140"/>
      <c r="AD369" s="140"/>
      <c r="AE369" s="3" t="str">
        <f>IF(OR(V369="電話不通 x2",V369="DS判断"),"DS確認→U列入力",IF(V369="希望","U列入力",IF(V369="拒否","DS確認",IF(V369="外国語","DS確認",IF(V369="電話不通 x1","ORM再架電","-")))))</f>
        <v>-</v>
      </c>
      <c r="AF369" s="51"/>
      <c r="AG369" s="112">
        <v>0.70833333333333337</v>
      </c>
      <c r="AH369" s="113">
        <v>10</v>
      </c>
      <c r="AI369" s="54"/>
      <c r="AJ369" s="3"/>
      <c r="AK369" s="3">
        <v>1</v>
      </c>
      <c r="AL369" s="3"/>
      <c r="AM369" s="4"/>
      <c r="AN369" s="4"/>
      <c r="AO369" s="3"/>
      <c r="AP369" s="4"/>
      <c r="AQ369" s="3"/>
      <c r="AR369" s="3"/>
      <c r="AS369" s="3"/>
    </row>
    <row r="370" spans="1:45" s="53" customFormat="1" ht="19.5" hidden="1" customHeight="1">
      <c r="A370" s="35" t="e">
        <f>A368</f>
        <v>#REF!</v>
      </c>
      <c r="B370" s="81"/>
      <c r="C370" s="3"/>
      <c r="D370" s="46"/>
      <c r="E370" s="3"/>
      <c r="F370" s="3"/>
      <c r="G370" s="3"/>
      <c r="H370" s="41"/>
      <c r="I370" s="37"/>
      <c r="J370" s="43"/>
      <c r="K370" s="43"/>
      <c r="L370" s="43"/>
      <c r="M370" s="78"/>
      <c r="N370" s="44" t="str">
        <f t="shared" si="52"/>
        <v/>
      </c>
      <c r="O370" s="45"/>
      <c r="P370" s="46"/>
      <c r="Q370" s="46"/>
      <c r="R370" s="47"/>
      <c r="S370" s="48"/>
      <c r="T370" s="345"/>
      <c r="U370" s="346"/>
      <c r="V370" s="346"/>
      <c r="W370" s="3"/>
      <c r="X370" s="50"/>
      <c r="Y370" s="80"/>
      <c r="Z370" s="80"/>
      <c r="AA370" s="3"/>
      <c r="AC370" s="50"/>
      <c r="AD370" s="50"/>
      <c r="AE370" s="3"/>
      <c r="AF370" s="51"/>
      <c r="AG370" s="52" t="str">
        <f t="shared" ca="1" si="53"/>
        <v/>
      </c>
      <c r="AI370" s="54"/>
      <c r="AJ370" s="3"/>
      <c r="AK370" s="3">
        <v>1</v>
      </c>
      <c r="AL370" s="3"/>
      <c r="AM370" s="4"/>
      <c r="AN370" s="4"/>
      <c r="AO370" s="3"/>
      <c r="AP370" s="4"/>
      <c r="AQ370" s="3"/>
      <c r="AR370" s="3"/>
      <c r="AS370" s="3"/>
    </row>
    <row r="371" spans="1:45" ht="19.5" hidden="1" customHeight="1">
      <c r="A371" s="35" t="e">
        <f>A370</f>
        <v>#REF!</v>
      </c>
      <c r="I371" s="37"/>
      <c r="J371" s="43"/>
      <c r="K371" s="43"/>
      <c r="L371" s="43"/>
      <c r="N371" s="44" t="str">
        <f t="shared" si="52"/>
        <v/>
      </c>
      <c r="P371" s="46"/>
      <c r="R371" s="47"/>
      <c r="T371" s="345"/>
      <c r="U371" s="346"/>
      <c r="V371" s="346"/>
      <c r="AF371" s="51"/>
      <c r="AG371" s="52" t="str">
        <f t="shared" ca="1" si="53"/>
        <v/>
      </c>
      <c r="AI371" s="54"/>
      <c r="AK371" s="3">
        <v>1</v>
      </c>
      <c r="AP371" s="4"/>
    </row>
    <row r="372" spans="1:45" ht="19.5" hidden="1" customHeight="1">
      <c r="A372" s="35" t="e">
        <f>#REF!</f>
        <v>#REF!</v>
      </c>
      <c r="C372" s="102"/>
      <c r="D372" s="38" t="s">
        <v>122</v>
      </c>
      <c r="I372" s="37" t="s">
        <v>50</v>
      </c>
      <c r="J372" s="43"/>
      <c r="K372" s="43"/>
      <c r="L372" s="43" t="s">
        <v>52</v>
      </c>
      <c r="N372" s="44" t="str">
        <f t="shared" si="52"/>
        <v/>
      </c>
      <c r="O372" s="148" t="s">
        <v>61</v>
      </c>
      <c r="P372" s="67"/>
      <c r="Q372" s="67"/>
      <c r="R372" s="68"/>
      <c r="S372" s="69"/>
      <c r="T372" s="345"/>
      <c r="U372" s="346"/>
      <c r="V372" s="346"/>
      <c r="X372" s="106" t="s">
        <v>66</v>
      </c>
      <c r="Y372" s="134"/>
      <c r="Z372" s="134"/>
      <c r="AA372" s="71"/>
      <c r="AB372" s="97" t="s">
        <v>104</v>
      </c>
      <c r="AC372" s="140"/>
      <c r="AD372" s="140"/>
      <c r="AE372" s="3" t="str">
        <f>IF(OR(V372="電話不通 x2",V372="DS判断"),"DS確認→U列入力",IF(V372="希望","U列入力",IF(V372="拒否","DS確認",IF(V372="外国語","DS確認",IF(V372="電話不通 x1","ORM再架電","-")))))</f>
        <v>-</v>
      </c>
      <c r="AF372" s="51"/>
      <c r="AG372" s="52" t="str">
        <f t="shared" ca="1" si="53"/>
        <v/>
      </c>
      <c r="AI372" s="54"/>
      <c r="AK372" s="3">
        <v>1</v>
      </c>
      <c r="AP372" s="4"/>
    </row>
    <row r="373" spans="1:45" s="53" customFormat="1" ht="19.5" hidden="1" customHeight="1">
      <c r="A373" s="35" t="e">
        <f>#REF!</f>
        <v>#REF!</v>
      </c>
      <c r="B373" s="81"/>
      <c r="C373" s="102"/>
      <c r="D373" s="46"/>
      <c r="E373" s="3"/>
      <c r="F373" s="3"/>
      <c r="G373" s="3"/>
      <c r="H373" s="41"/>
      <c r="I373" s="37" t="s">
        <v>50</v>
      </c>
      <c r="J373" s="43"/>
      <c r="K373" s="43"/>
      <c r="L373" s="43" t="s">
        <v>52</v>
      </c>
      <c r="M373" s="78"/>
      <c r="N373" s="44" t="str">
        <f t="shared" si="52"/>
        <v/>
      </c>
      <c r="O373" s="45" t="s">
        <v>55</v>
      </c>
      <c r="P373" s="67"/>
      <c r="Q373" s="67"/>
      <c r="R373" s="68"/>
      <c r="S373" s="69"/>
      <c r="T373" s="345"/>
      <c r="U373" s="346"/>
      <c r="V373" s="346"/>
      <c r="W373" s="3"/>
      <c r="X373" s="106" t="s">
        <v>66</v>
      </c>
      <c r="Y373" s="134"/>
      <c r="Z373" s="134"/>
      <c r="AA373" s="71"/>
      <c r="AB373" s="71" t="s">
        <v>104</v>
      </c>
      <c r="AC373" s="140"/>
      <c r="AD373" s="140"/>
      <c r="AE373" s="3" t="str">
        <f>IF(OR(V373="電話不通 x2",V373="DS判断"),"DS確認→U列入力",IF(V373="希望","U列入力",IF(V373="拒否","DS確認",IF(V373="外国語","DS確認",IF(V373="電話不通 x1","ORM再架電","-")))))</f>
        <v>-</v>
      </c>
      <c r="AF373" s="51"/>
      <c r="AG373" s="52" t="str">
        <f t="shared" ca="1" si="53"/>
        <v/>
      </c>
      <c r="AI373" s="54"/>
      <c r="AJ373" s="3"/>
      <c r="AK373" s="3">
        <v>1</v>
      </c>
      <c r="AL373" s="3"/>
      <c r="AM373" s="4"/>
      <c r="AN373" s="4"/>
      <c r="AO373" s="3"/>
      <c r="AP373" s="4"/>
      <c r="AQ373" s="3"/>
      <c r="AR373" s="3"/>
      <c r="AS373" s="3"/>
    </row>
    <row r="374" spans="1:45" s="53" customFormat="1" ht="19.5" hidden="1" customHeight="1">
      <c r="A374" s="35" t="e">
        <f>A373</f>
        <v>#REF!</v>
      </c>
      <c r="B374" s="81"/>
      <c r="C374" s="3"/>
      <c r="D374" s="46"/>
      <c r="E374" s="3"/>
      <c r="F374" s="3"/>
      <c r="G374" s="3"/>
      <c r="H374" s="41"/>
      <c r="I374" s="37"/>
      <c r="J374" s="43"/>
      <c r="K374" s="43"/>
      <c r="L374" s="43"/>
      <c r="M374" s="78"/>
      <c r="N374" s="44" t="str">
        <f t="shared" si="52"/>
        <v/>
      </c>
      <c r="O374" s="45"/>
      <c r="P374" s="46"/>
      <c r="Q374" s="46"/>
      <c r="R374" s="47"/>
      <c r="S374" s="48"/>
      <c r="T374" s="345"/>
      <c r="U374" s="346"/>
      <c r="V374" s="346"/>
      <c r="W374" s="3"/>
      <c r="X374" s="50"/>
      <c r="Y374" s="80"/>
      <c r="Z374" s="80"/>
      <c r="AA374" s="3"/>
      <c r="AC374" s="50"/>
      <c r="AD374" s="50"/>
      <c r="AE374" s="3"/>
      <c r="AF374" s="51"/>
      <c r="AG374" s="52" t="str">
        <f t="shared" ca="1" si="53"/>
        <v/>
      </c>
      <c r="AI374" s="54"/>
      <c r="AJ374" s="3"/>
      <c r="AK374" s="3">
        <v>1</v>
      </c>
      <c r="AL374" s="3"/>
      <c r="AM374" s="4"/>
      <c r="AN374" s="4"/>
      <c r="AO374" s="3"/>
      <c r="AP374" s="4"/>
      <c r="AQ374" s="3"/>
      <c r="AR374" s="3"/>
      <c r="AS374" s="3"/>
    </row>
    <row r="375" spans="1:45" ht="19.5" hidden="1" customHeight="1">
      <c r="A375" s="35" t="e">
        <f>A374</f>
        <v>#REF!</v>
      </c>
      <c r="I375" s="37"/>
      <c r="J375" s="43"/>
      <c r="K375" s="43"/>
      <c r="L375" s="43"/>
      <c r="N375" s="44" t="str">
        <f t="shared" si="52"/>
        <v/>
      </c>
      <c r="P375" s="46"/>
      <c r="R375" s="47"/>
      <c r="T375" s="345"/>
      <c r="U375" s="346"/>
      <c r="V375" s="346"/>
      <c r="AF375" s="51"/>
      <c r="AG375" s="52" t="str">
        <f t="shared" ca="1" si="53"/>
        <v/>
      </c>
      <c r="AI375" s="54"/>
      <c r="AK375" s="3">
        <v>1</v>
      </c>
      <c r="AP375" s="4"/>
    </row>
    <row r="376" spans="1:45" ht="19.5" hidden="1" customHeight="1">
      <c r="A376" s="35" t="e">
        <f>#REF!</f>
        <v>#REF!</v>
      </c>
      <c r="C376" s="102"/>
      <c r="D376" s="38" t="s">
        <v>123</v>
      </c>
      <c r="I376" s="37" t="s">
        <v>50</v>
      </c>
      <c r="J376" s="43"/>
      <c r="K376" s="43"/>
      <c r="L376" s="43" t="s">
        <v>52</v>
      </c>
      <c r="N376" s="44" t="str">
        <f t="shared" si="52"/>
        <v/>
      </c>
      <c r="O376" s="148" t="s">
        <v>61</v>
      </c>
      <c r="P376" s="67"/>
      <c r="Q376" s="67"/>
      <c r="R376" s="68"/>
      <c r="S376" s="69"/>
      <c r="T376" s="345"/>
      <c r="U376" s="346"/>
      <c r="V376" s="346"/>
      <c r="X376" s="106" t="s">
        <v>66</v>
      </c>
      <c r="Y376" s="134"/>
      <c r="Z376" s="134"/>
      <c r="AA376" s="71"/>
      <c r="AB376" s="97" t="s">
        <v>104</v>
      </c>
      <c r="AC376" s="140"/>
      <c r="AD376" s="140"/>
      <c r="AE376" s="3" t="str">
        <f t="shared" ref="AE376:AE384" si="54">IF(OR(V376="電話不通 x2",V376="DS判断"),"DS確認→U列入力",IF(V376="希望","U列入力",IF(V376="拒否","DS確認",IF(V376="外国語","DS確認",IF(V376="電話不通 x1","ORM再架電","-")))))</f>
        <v>-</v>
      </c>
      <c r="AF376" s="51"/>
      <c r="AG376" s="52" t="str">
        <f t="shared" ca="1" si="53"/>
        <v/>
      </c>
      <c r="AI376" s="54"/>
      <c r="AK376" s="3">
        <v>1</v>
      </c>
      <c r="AP376" s="4"/>
    </row>
    <row r="377" spans="1:45" s="53" customFormat="1" ht="19.5" hidden="1" customHeight="1">
      <c r="A377" s="35" t="e">
        <f>#REF!</f>
        <v>#REF!</v>
      </c>
      <c r="B377" s="81"/>
      <c r="C377" s="102"/>
      <c r="D377" s="46"/>
      <c r="E377" s="3"/>
      <c r="F377" s="3"/>
      <c r="G377" s="3"/>
      <c r="H377" s="41"/>
      <c r="I377" s="37" t="s">
        <v>50</v>
      </c>
      <c r="J377" s="43"/>
      <c r="K377" s="43"/>
      <c r="L377" s="43" t="s">
        <v>52</v>
      </c>
      <c r="M377" s="78"/>
      <c r="N377" s="44" t="str">
        <f t="shared" si="52"/>
        <v/>
      </c>
      <c r="O377" s="45" t="s">
        <v>53</v>
      </c>
      <c r="P377" s="67"/>
      <c r="Q377" s="67"/>
      <c r="R377" s="68"/>
      <c r="S377" s="69"/>
      <c r="T377" s="345"/>
      <c r="U377" s="346"/>
      <c r="V377" s="346"/>
      <c r="W377" s="3"/>
      <c r="X377" s="106" t="s">
        <v>66</v>
      </c>
      <c r="Y377" s="134"/>
      <c r="Z377" s="134"/>
      <c r="AA377" s="71"/>
      <c r="AB377" s="71" t="s">
        <v>104</v>
      </c>
      <c r="AC377" s="140"/>
      <c r="AD377" s="140"/>
      <c r="AE377" s="3" t="str">
        <f t="shared" si="54"/>
        <v>-</v>
      </c>
      <c r="AF377" s="51"/>
      <c r="AG377" s="52" t="str">
        <f t="shared" ca="1" si="53"/>
        <v/>
      </c>
      <c r="AI377" s="54"/>
      <c r="AJ377" s="3"/>
      <c r="AK377" s="3">
        <v>1</v>
      </c>
      <c r="AL377" s="3"/>
      <c r="AM377" s="4"/>
      <c r="AN377" s="4"/>
      <c r="AO377" s="3"/>
      <c r="AP377" s="4"/>
      <c r="AQ377" s="3"/>
      <c r="AR377" s="3"/>
      <c r="AS377" s="3"/>
    </row>
    <row r="378" spans="1:45" s="53" customFormat="1" ht="19.5" hidden="1" customHeight="1">
      <c r="A378" s="35" t="e">
        <f>#REF!</f>
        <v>#REF!</v>
      </c>
      <c r="B378" s="81"/>
      <c r="C378" s="3"/>
      <c r="D378" s="46"/>
      <c r="E378" s="3"/>
      <c r="F378" s="3"/>
      <c r="G378" s="3"/>
      <c r="H378" s="41"/>
      <c r="I378" s="3"/>
      <c r="J378" s="78"/>
      <c r="K378" s="78"/>
      <c r="L378" s="78"/>
      <c r="M378" s="78"/>
      <c r="N378" s="44" t="str">
        <f t="shared" si="52"/>
        <v/>
      </c>
      <c r="O378" s="45"/>
      <c r="P378" s="46"/>
      <c r="Q378" s="46"/>
      <c r="R378" s="47"/>
      <c r="S378" s="48"/>
      <c r="T378" s="345"/>
      <c r="U378" s="346"/>
      <c r="V378" s="346"/>
      <c r="W378" s="3"/>
      <c r="X378" s="50"/>
      <c r="Y378" s="80"/>
      <c r="Z378" s="80"/>
      <c r="AA378" s="3"/>
      <c r="AC378" s="50"/>
      <c r="AD378" s="50"/>
      <c r="AE378" s="3" t="str">
        <f t="shared" si="54"/>
        <v>-</v>
      </c>
      <c r="AF378" s="51"/>
      <c r="AG378" s="52" t="str">
        <f t="shared" ca="1" si="53"/>
        <v/>
      </c>
      <c r="AI378" s="54"/>
      <c r="AJ378" s="3"/>
      <c r="AK378" s="3">
        <v>1</v>
      </c>
      <c r="AL378" s="3"/>
      <c r="AM378" s="4"/>
      <c r="AN378" s="4"/>
      <c r="AO378" s="3"/>
      <c r="AP378" s="4"/>
      <c r="AQ378" s="3"/>
      <c r="AR378" s="3"/>
      <c r="AS378" s="3"/>
    </row>
    <row r="379" spans="1:45" s="53" customFormat="1" ht="19.5" hidden="1" customHeight="1">
      <c r="A379" s="35" t="e">
        <f>#REF!</f>
        <v>#REF!</v>
      </c>
      <c r="B379" s="81"/>
      <c r="C379" s="3"/>
      <c r="D379" s="46"/>
      <c r="E379" s="3"/>
      <c r="F379" s="3"/>
      <c r="G379" s="3"/>
      <c r="H379" s="41"/>
      <c r="I379" s="3"/>
      <c r="J379" s="78"/>
      <c r="K379" s="78"/>
      <c r="L379" s="78"/>
      <c r="M379" s="78"/>
      <c r="N379" s="44" t="str">
        <f t="shared" si="52"/>
        <v/>
      </c>
      <c r="O379" s="45"/>
      <c r="P379" s="46"/>
      <c r="Q379" s="46"/>
      <c r="R379" s="47"/>
      <c r="S379" s="48"/>
      <c r="T379" s="345"/>
      <c r="U379" s="346"/>
      <c r="V379" s="346"/>
      <c r="W379" s="3"/>
      <c r="X379" s="50"/>
      <c r="Y379" s="80"/>
      <c r="Z379" s="80"/>
      <c r="AA379" s="3"/>
      <c r="AC379" s="50"/>
      <c r="AD379" s="50"/>
      <c r="AE379" s="3" t="str">
        <f t="shared" si="54"/>
        <v>-</v>
      </c>
      <c r="AF379" s="51"/>
      <c r="AG379" s="52" t="str">
        <f t="shared" ca="1" si="53"/>
        <v/>
      </c>
      <c r="AI379" s="54"/>
      <c r="AJ379" s="3"/>
      <c r="AK379" s="3">
        <v>1</v>
      </c>
      <c r="AL379" s="3"/>
      <c r="AM379" s="4"/>
      <c r="AN379" s="4"/>
      <c r="AO379" s="3"/>
      <c r="AP379" s="4"/>
      <c r="AQ379" s="3"/>
      <c r="AR379" s="3"/>
      <c r="AS379" s="3"/>
    </row>
    <row r="380" spans="1:45" s="53" customFormat="1" ht="19.5" hidden="1" customHeight="1">
      <c r="A380" s="35" t="e">
        <f>#REF!</f>
        <v>#REF!</v>
      </c>
      <c r="B380" s="81"/>
      <c r="C380" s="3"/>
      <c r="D380" s="38" t="s">
        <v>124</v>
      </c>
      <c r="E380" s="3"/>
      <c r="F380" s="3"/>
      <c r="G380" s="3"/>
      <c r="H380" s="41"/>
      <c r="I380" s="37" t="s">
        <v>50</v>
      </c>
      <c r="J380" s="43"/>
      <c r="K380" s="43"/>
      <c r="L380" s="43" t="s">
        <v>52</v>
      </c>
      <c r="M380" s="78"/>
      <c r="N380" s="44" t="str">
        <f t="shared" si="52"/>
        <v/>
      </c>
      <c r="O380" s="148" t="s">
        <v>61</v>
      </c>
      <c r="P380" s="67"/>
      <c r="Q380" s="67"/>
      <c r="R380" s="68"/>
      <c r="S380" s="69"/>
      <c r="T380" s="345"/>
      <c r="U380" s="346"/>
      <c r="V380" s="346"/>
      <c r="W380" s="3"/>
      <c r="X380" s="106" t="s">
        <v>66</v>
      </c>
      <c r="Y380" s="134"/>
      <c r="Z380" s="134"/>
      <c r="AA380" s="71"/>
      <c r="AB380" s="97" t="s">
        <v>104</v>
      </c>
      <c r="AC380" s="50"/>
      <c r="AD380" s="50"/>
      <c r="AE380" s="3" t="str">
        <f t="shared" si="54"/>
        <v>-</v>
      </c>
      <c r="AF380" s="51"/>
      <c r="AG380" s="52"/>
      <c r="AI380" s="54"/>
      <c r="AJ380" s="3"/>
      <c r="AK380" s="3">
        <v>1</v>
      </c>
      <c r="AL380" s="3"/>
      <c r="AM380" s="4"/>
      <c r="AN380" s="4"/>
      <c r="AO380" s="3"/>
      <c r="AP380" s="4"/>
      <c r="AQ380" s="3"/>
      <c r="AR380" s="3"/>
      <c r="AS380" s="3"/>
    </row>
    <row r="381" spans="1:45" s="53" customFormat="1" ht="19.5" hidden="1" customHeight="1">
      <c r="A381" s="35" t="e">
        <f>#REF!</f>
        <v>#REF!</v>
      </c>
      <c r="B381" s="81"/>
      <c r="C381" s="3"/>
      <c r="D381" s="46"/>
      <c r="E381" s="3"/>
      <c r="F381" s="3"/>
      <c r="G381" s="3"/>
      <c r="H381" s="41"/>
      <c r="I381" s="3" t="s">
        <v>50</v>
      </c>
      <c r="J381" s="78"/>
      <c r="K381" s="78"/>
      <c r="L381" s="78" t="s">
        <v>52</v>
      </c>
      <c r="M381" s="78"/>
      <c r="N381" s="44" t="str">
        <f t="shared" si="52"/>
        <v/>
      </c>
      <c r="O381" s="45" t="s">
        <v>95</v>
      </c>
      <c r="P381" s="95"/>
      <c r="Q381" s="95"/>
      <c r="R381" s="150"/>
      <c r="S381" s="48"/>
      <c r="T381" s="345"/>
      <c r="U381" s="346"/>
      <c r="V381" s="346"/>
      <c r="W381" s="3"/>
      <c r="X381" s="106" t="s">
        <v>66</v>
      </c>
      <c r="Y381" s="134"/>
      <c r="Z381" s="134"/>
      <c r="AA381" s="71"/>
      <c r="AB381" s="97" t="s">
        <v>104</v>
      </c>
      <c r="AC381" s="50"/>
      <c r="AD381" s="50"/>
      <c r="AE381" s="3" t="str">
        <f t="shared" si="54"/>
        <v>-</v>
      </c>
      <c r="AF381" s="51"/>
      <c r="AG381" s="151"/>
      <c r="AI381" s="54"/>
      <c r="AJ381" s="3"/>
      <c r="AK381" s="3">
        <v>1</v>
      </c>
      <c r="AL381" s="3"/>
      <c r="AM381" s="4"/>
      <c r="AN381" s="4"/>
      <c r="AO381" s="3"/>
      <c r="AP381" s="4"/>
      <c r="AQ381" s="3"/>
      <c r="AR381" s="3"/>
      <c r="AS381" s="3"/>
    </row>
    <row r="382" spans="1:45" s="53" customFormat="1" ht="19.5" hidden="1" customHeight="1">
      <c r="A382" s="35" t="e">
        <f>A381</f>
        <v>#REF!</v>
      </c>
      <c r="B382" s="81"/>
      <c r="C382" s="3"/>
      <c r="D382" s="46"/>
      <c r="E382" s="3"/>
      <c r="F382" s="3"/>
      <c r="G382" s="3"/>
      <c r="H382" s="41"/>
      <c r="I382" s="3" t="s">
        <v>50</v>
      </c>
      <c r="J382" s="78"/>
      <c r="K382" s="98"/>
      <c r="L382" s="98" t="s">
        <v>52</v>
      </c>
      <c r="M382" s="98"/>
      <c r="N382" s="44" t="str">
        <f t="shared" si="52"/>
        <v/>
      </c>
      <c r="O382" s="45" t="s">
        <v>95</v>
      </c>
      <c r="P382" s="96" t="s">
        <v>56</v>
      </c>
      <c r="Q382" s="96">
        <v>10</v>
      </c>
      <c r="R382" s="47"/>
      <c r="S382" s="48"/>
      <c r="T382" s="345"/>
      <c r="U382" s="346"/>
      <c r="V382" s="346"/>
      <c r="W382" s="3"/>
      <c r="X382" s="118" t="s">
        <v>126</v>
      </c>
      <c r="Y382" s="134"/>
      <c r="Z382" s="134"/>
      <c r="AA382" s="71"/>
      <c r="AB382" s="83" t="s">
        <v>104</v>
      </c>
      <c r="AC382" s="50"/>
      <c r="AD382" s="50"/>
      <c r="AE382" s="83" t="str">
        <f t="shared" si="54"/>
        <v>-</v>
      </c>
      <c r="AF382" s="51"/>
      <c r="AG382" s="151"/>
      <c r="AI382" s="54"/>
      <c r="AJ382" s="3"/>
      <c r="AK382" s="3">
        <v>1</v>
      </c>
      <c r="AL382" s="3"/>
      <c r="AM382" s="4"/>
      <c r="AN382" s="4"/>
      <c r="AO382" s="3"/>
      <c r="AP382" s="4"/>
      <c r="AQ382" s="3"/>
      <c r="AR382" s="3"/>
      <c r="AS382" s="3"/>
    </row>
    <row r="383" spans="1:45" s="53" customFormat="1" ht="19.5" hidden="1" customHeight="1">
      <c r="A383" s="35" t="e">
        <f>#REF!</f>
        <v>#REF!</v>
      </c>
      <c r="B383" s="81"/>
      <c r="C383" s="3"/>
      <c r="D383" s="46"/>
      <c r="E383" s="3"/>
      <c r="F383" s="3"/>
      <c r="G383" s="3"/>
      <c r="H383" s="41"/>
      <c r="I383" s="3" t="s">
        <v>50</v>
      </c>
      <c r="J383" s="78"/>
      <c r="K383" s="98"/>
      <c r="L383" s="98" t="s">
        <v>52</v>
      </c>
      <c r="M383" s="98"/>
      <c r="N383" s="44" t="str">
        <f t="shared" si="52"/>
        <v/>
      </c>
      <c r="O383" s="45" t="s">
        <v>95</v>
      </c>
      <c r="P383" s="96" t="s">
        <v>56</v>
      </c>
      <c r="Q383" s="96">
        <v>10</v>
      </c>
      <c r="R383" s="47"/>
      <c r="S383" s="48"/>
      <c r="T383" s="345"/>
      <c r="U383" s="346"/>
      <c r="V383" s="346"/>
      <c r="W383" s="3"/>
      <c r="X383" s="106" t="s">
        <v>126</v>
      </c>
      <c r="Y383" s="134"/>
      <c r="Z383" s="134"/>
      <c r="AA383" s="71"/>
      <c r="AB383" s="83" t="s">
        <v>127</v>
      </c>
      <c r="AC383" s="50"/>
      <c r="AD383" s="50"/>
      <c r="AE383" s="83" t="str">
        <f t="shared" si="54"/>
        <v>-</v>
      </c>
      <c r="AF383" s="51"/>
      <c r="AG383" s="151"/>
      <c r="AI383" s="54"/>
      <c r="AJ383" s="3"/>
      <c r="AK383" s="3">
        <v>1</v>
      </c>
      <c r="AL383" s="3"/>
      <c r="AM383" s="4"/>
      <c r="AN383" s="4"/>
      <c r="AO383" s="3"/>
      <c r="AP383" s="4"/>
      <c r="AQ383" s="3"/>
      <c r="AR383" s="3"/>
      <c r="AS383" s="3"/>
    </row>
    <row r="384" spans="1:45" s="53" customFormat="1" ht="19.5" hidden="1" customHeight="1">
      <c r="A384" s="35" t="e">
        <f>A382</f>
        <v>#REF!</v>
      </c>
      <c r="B384" s="122"/>
      <c r="C384" s="58"/>
      <c r="D384" s="116"/>
      <c r="E384" s="3"/>
      <c r="F384" s="3"/>
      <c r="G384" s="3"/>
      <c r="H384" s="41"/>
      <c r="I384" s="89" t="s">
        <v>50</v>
      </c>
      <c r="J384" s="90"/>
      <c r="K384" s="171"/>
      <c r="L384" s="179" t="s">
        <v>52</v>
      </c>
      <c r="M384" s="153"/>
      <c r="N384" s="44" t="str">
        <f t="shared" si="52"/>
        <v/>
      </c>
      <c r="O384" s="45" t="s">
        <v>95</v>
      </c>
      <c r="P384" s="116" t="s">
        <v>56</v>
      </c>
      <c r="Q384" s="116">
        <v>10</v>
      </c>
      <c r="R384" s="47"/>
      <c r="S384" s="48"/>
      <c r="T384" s="345"/>
      <c r="U384" s="346"/>
      <c r="V384" s="346"/>
      <c r="W384" s="3"/>
      <c r="X384" s="117" t="s">
        <v>126</v>
      </c>
      <c r="Y384" s="134"/>
      <c r="Z384" s="134"/>
      <c r="AA384" s="176"/>
      <c r="AB384" s="89" t="s">
        <v>109</v>
      </c>
      <c r="AC384" s="50"/>
      <c r="AD384" s="50"/>
      <c r="AE384" s="83" t="str">
        <f t="shared" si="54"/>
        <v>-</v>
      </c>
      <c r="AF384" s="51"/>
      <c r="AG384" s="151"/>
      <c r="AI384" s="54"/>
      <c r="AJ384" s="3"/>
      <c r="AK384" s="3">
        <v>1</v>
      </c>
      <c r="AL384" s="3"/>
      <c r="AM384" s="4"/>
      <c r="AN384" s="4"/>
      <c r="AO384" s="3"/>
      <c r="AP384" s="4"/>
      <c r="AQ384" s="3"/>
      <c r="AR384" s="3"/>
      <c r="AS384" s="3"/>
    </row>
    <row r="385" spans="1:45" s="53" customFormat="1" ht="19.5" hidden="1" customHeight="1">
      <c r="A385" s="35" t="e">
        <f>A384</f>
        <v>#REF!</v>
      </c>
      <c r="B385" s="81"/>
      <c r="C385" s="3"/>
      <c r="D385" s="46"/>
      <c r="E385" s="3"/>
      <c r="F385" s="3"/>
      <c r="G385" s="3"/>
      <c r="H385" s="41"/>
      <c r="I385" s="3" t="s">
        <v>50</v>
      </c>
      <c r="J385" s="78"/>
      <c r="K385" s="98"/>
      <c r="L385" s="98" t="s">
        <v>52</v>
      </c>
      <c r="M385" s="98"/>
      <c r="N385" s="44" t="str">
        <f t="shared" si="52"/>
        <v/>
      </c>
      <c r="O385" s="45" t="s">
        <v>95</v>
      </c>
      <c r="P385" s="96" t="s">
        <v>56</v>
      </c>
      <c r="Q385" s="96">
        <v>10</v>
      </c>
      <c r="R385" s="47"/>
      <c r="S385" s="48"/>
      <c r="T385" s="345"/>
      <c r="U385" s="346"/>
      <c r="V385" s="346"/>
      <c r="W385" s="3"/>
      <c r="X385" s="106" t="s">
        <v>126</v>
      </c>
      <c r="Y385" s="134"/>
      <c r="Z385" s="134"/>
      <c r="AA385" s="71"/>
      <c r="AB385" s="97" t="s">
        <v>139</v>
      </c>
      <c r="AC385" s="50"/>
      <c r="AD385" s="118"/>
      <c r="AE385" s="3" t="s">
        <v>83</v>
      </c>
      <c r="AF385" s="105"/>
      <c r="AG385" s="52" t="s">
        <v>135</v>
      </c>
      <c r="AI385" s="54"/>
      <c r="AJ385" s="3"/>
      <c r="AK385" s="3">
        <v>1</v>
      </c>
      <c r="AL385" s="3"/>
      <c r="AM385" s="4"/>
      <c r="AN385" s="4"/>
      <c r="AO385" s="3"/>
      <c r="AP385" s="4"/>
      <c r="AQ385" s="3"/>
      <c r="AR385" s="3"/>
      <c r="AS385" s="3"/>
    </row>
    <row r="386" spans="1:45" s="53" customFormat="1" ht="19.5" hidden="1" customHeight="1">
      <c r="A386" s="35" t="e">
        <f>A385</f>
        <v>#REF!</v>
      </c>
      <c r="B386" s="81"/>
      <c r="C386" s="3"/>
      <c r="D386" s="46"/>
      <c r="E386" s="3"/>
      <c r="F386" s="3"/>
      <c r="G386" s="3"/>
      <c r="H386" s="41"/>
      <c r="I386" s="3" t="s">
        <v>50</v>
      </c>
      <c r="J386" s="78"/>
      <c r="K386" s="98"/>
      <c r="L386" s="98" t="s">
        <v>52</v>
      </c>
      <c r="M386" s="98"/>
      <c r="N386" s="44" t="str">
        <f t="shared" si="52"/>
        <v/>
      </c>
      <c r="O386" s="45" t="s">
        <v>95</v>
      </c>
      <c r="P386" s="96" t="s">
        <v>56</v>
      </c>
      <c r="Q386" s="96">
        <v>10</v>
      </c>
      <c r="R386" s="47"/>
      <c r="S386" s="48"/>
      <c r="T386" s="345"/>
      <c r="U386" s="346"/>
      <c r="V386" s="346"/>
      <c r="W386" s="3"/>
      <c r="X386" s="106" t="s">
        <v>126</v>
      </c>
      <c r="Y386" s="134"/>
      <c r="Z386" s="134"/>
      <c r="AA386" s="71"/>
      <c r="AB386" s="97" t="s">
        <v>139</v>
      </c>
      <c r="AC386" s="50"/>
      <c r="AD386" s="106" t="s">
        <v>101</v>
      </c>
      <c r="AE386" s="3" t="s">
        <v>83</v>
      </c>
      <c r="AF386" s="107">
        <v>0.69444444444444453</v>
      </c>
      <c r="AG386" s="119">
        <v>0.71527777777777779</v>
      </c>
      <c r="AI386" s="54"/>
      <c r="AJ386" s="3"/>
      <c r="AK386" s="3">
        <v>1</v>
      </c>
      <c r="AL386" s="3"/>
      <c r="AM386" s="4"/>
      <c r="AN386" s="4"/>
      <c r="AO386" s="3"/>
      <c r="AP386" s="4"/>
      <c r="AQ386" s="3"/>
      <c r="AR386" s="3"/>
      <c r="AS386" s="3"/>
    </row>
    <row r="387" spans="1:45" s="53" customFormat="1" ht="19.5" hidden="1" customHeight="1">
      <c r="A387" s="35" t="e">
        <f>A386</f>
        <v>#REF!</v>
      </c>
      <c r="B387" s="81"/>
      <c r="C387" s="3"/>
      <c r="D387" s="46"/>
      <c r="E387" s="3"/>
      <c r="F387" s="3"/>
      <c r="G387" s="3"/>
      <c r="H387" s="41"/>
      <c r="I387" s="3" t="s">
        <v>50</v>
      </c>
      <c r="J387" s="78"/>
      <c r="K387" s="98"/>
      <c r="L387" s="98" t="s">
        <v>52</v>
      </c>
      <c r="M387" s="98"/>
      <c r="N387" s="44" t="str">
        <f t="shared" si="52"/>
        <v/>
      </c>
      <c r="O387" s="45" t="s">
        <v>95</v>
      </c>
      <c r="P387" s="96" t="s">
        <v>56</v>
      </c>
      <c r="Q387" s="96">
        <v>10</v>
      </c>
      <c r="R387" s="47"/>
      <c r="S387" s="48"/>
      <c r="T387" s="345"/>
      <c r="U387" s="346"/>
      <c r="V387" s="346"/>
      <c r="W387" s="3"/>
      <c r="X387" s="106" t="s">
        <v>126</v>
      </c>
      <c r="Y387" s="134"/>
      <c r="Z387" s="134"/>
      <c r="AA387" s="71"/>
      <c r="AB387" s="97" t="s">
        <v>139</v>
      </c>
      <c r="AC387" s="50"/>
      <c r="AD387" s="106" t="s">
        <v>101</v>
      </c>
      <c r="AE387" s="3" t="s">
        <v>83</v>
      </c>
      <c r="AF387" s="107">
        <v>0.69444444444444453</v>
      </c>
      <c r="AG387" s="108">
        <v>0.72569444444444453</v>
      </c>
      <c r="AH387" s="109"/>
      <c r="AI387" s="54"/>
      <c r="AJ387" s="3"/>
      <c r="AK387" s="3">
        <v>1</v>
      </c>
      <c r="AL387" s="3"/>
      <c r="AM387" s="4"/>
      <c r="AN387" s="4"/>
      <c r="AO387" s="3"/>
      <c r="AP387" s="4"/>
      <c r="AQ387" s="3"/>
      <c r="AR387" s="3"/>
      <c r="AS387" s="3"/>
    </row>
    <row r="388" spans="1:45" s="53" customFormat="1" ht="19.5" hidden="1" customHeight="1">
      <c r="A388" s="35" t="e">
        <f>A387</f>
        <v>#REF!</v>
      </c>
      <c r="B388" s="81"/>
      <c r="C388" s="3"/>
      <c r="D388" s="46"/>
      <c r="E388" s="3"/>
      <c r="F388" s="3"/>
      <c r="G388" s="3"/>
      <c r="H388" s="41"/>
      <c r="I388" s="3" t="s">
        <v>50</v>
      </c>
      <c r="J388" s="78"/>
      <c r="K388" s="98"/>
      <c r="L388" s="98" t="s">
        <v>52</v>
      </c>
      <c r="M388" s="98"/>
      <c r="N388" s="44" t="str">
        <f t="shared" si="52"/>
        <v/>
      </c>
      <c r="O388" s="45" t="s">
        <v>95</v>
      </c>
      <c r="P388" s="96" t="s">
        <v>56</v>
      </c>
      <c r="Q388" s="96">
        <v>10</v>
      </c>
      <c r="R388" s="47"/>
      <c r="S388" s="48"/>
      <c r="T388" s="345"/>
      <c r="U388" s="346"/>
      <c r="V388" s="346"/>
      <c r="W388" s="3"/>
      <c r="X388" s="106" t="s">
        <v>126</v>
      </c>
      <c r="Y388" s="134"/>
      <c r="Z388" s="134"/>
      <c r="AA388" s="71"/>
      <c r="AB388" s="97" t="s">
        <v>139</v>
      </c>
      <c r="AC388" s="50"/>
      <c r="AD388" s="106" t="s">
        <v>101</v>
      </c>
      <c r="AE388" s="3" t="s">
        <v>83</v>
      </c>
      <c r="AF388" s="107">
        <v>0.69444444444444453</v>
      </c>
      <c r="AG388" s="110">
        <v>0.72569444444444453</v>
      </c>
      <c r="AH388" s="136"/>
      <c r="AI388" s="54"/>
      <c r="AJ388" s="3"/>
      <c r="AK388" s="3"/>
      <c r="AL388" s="3"/>
      <c r="AM388" s="4"/>
      <c r="AN388" s="4"/>
      <c r="AO388" s="3"/>
      <c r="AP388" s="4"/>
      <c r="AQ388" s="3"/>
      <c r="AR388" s="3"/>
      <c r="AS388" s="3"/>
    </row>
    <row r="389" spans="1:45" s="53" customFormat="1" ht="19.5" hidden="1" customHeight="1">
      <c r="A389" s="35" t="e">
        <f>A388</f>
        <v>#REF!</v>
      </c>
      <c r="B389" s="81"/>
      <c r="C389" s="3"/>
      <c r="D389" s="46"/>
      <c r="E389" s="3"/>
      <c r="F389" s="3"/>
      <c r="G389" s="3"/>
      <c r="H389" s="41"/>
      <c r="I389" s="3" t="s">
        <v>50</v>
      </c>
      <c r="J389" s="78"/>
      <c r="K389" s="98"/>
      <c r="L389" s="98" t="s">
        <v>52</v>
      </c>
      <c r="M389" s="98"/>
      <c r="N389" s="44" t="str">
        <f t="shared" si="52"/>
        <v/>
      </c>
      <c r="O389" s="45" t="s">
        <v>95</v>
      </c>
      <c r="P389" s="96" t="s">
        <v>56</v>
      </c>
      <c r="Q389" s="96">
        <v>10</v>
      </c>
      <c r="R389" s="47"/>
      <c r="S389" s="48"/>
      <c r="T389" s="345"/>
      <c r="U389" s="346"/>
      <c r="V389" s="346"/>
      <c r="W389" s="3"/>
      <c r="X389" s="106" t="s">
        <v>126</v>
      </c>
      <c r="Y389" s="134"/>
      <c r="Z389" s="134"/>
      <c r="AA389" s="71"/>
      <c r="AB389" s="97" t="s">
        <v>139</v>
      </c>
      <c r="AC389" s="50"/>
      <c r="AD389" s="106" t="s">
        <v>101</v>
      </c>
      <c r="AE389" s="3" t="s">
        <v>83</v>
      </c>
      <c r="AF389" s="107">
        <v>0.69444444444444453</v>
      </c>
      <c r="AG389" s="177">
        <v>0.72916666666666663</v>
      </c>
      <c r="AH389" s="178">
        <v>10</v>
      </c>
      <c r="AI389" s="54"/>
      <c r="AJ389" s="3"/>
      <c r="AK389" s="3"/>
      <c r="AL389" s="3"/>
      <c r="AM389" s="4"/>
      <c r="AN389" s="4"/>
      <c r="AO389" s="3"/>
      <c r="AP389" s="4"/>
      <c r="AQ389" s="3"/>
      <c r="AR389" s="3"/>
      <c r="AS389" s="3"/>
    </row>
    <row r="390" spans="1:45" s="53" customFormat="1" ht="19.5" hidden="1" customHeight="1">
      <c r="A390" s="35" t="e">
        <f>#REF!</f>
        <v>#REF!</v>
      </c>
      <c r="B390" s="81"/>
      <c r="C390" s="3"/>
      <c r="D390" s="46"/>
      <c r="E390" s="3"/>
      <c r="F390" s="3"/>
      <c r="G390" s="3"/>
      <c r="H390" s="41"/>
      <c r="I390" s="3"/>
      <c r="J390" s="78"/>
      <c r="K390" s="78"/>
      <c r="L390" s="78"/>
      <c r="M390" s="78"/>
      <c r="N390" s="44"/>
      <c r="O390" s="45"/>
      <c r="P390" s="46"/>
      <c r="Q390" s="46"/>
      <c r="R390" s="47"/>
      <c r="S390" s="48"/>
      <c r="T390" s="345"/>
      <c r="U390" s="346"/>
      <c r="V390" s="346"/>
      <c r="W390" s="3"/>
      <c r="X390" s="50"/>
      <c r="Y390" s="80"/>
      <c r="Z390" s="80"/>
      <c r="AA390" s="3"/>
      <c r="AC390" s="50"/>
      <c r="AD390" s="50"/>
      <c r="AE390" s="3"/>
      <c r="AF390" s="51"/>
      <c r="AG390" s="52"/>
      <c r="AI390" s="54"/>
      <c r="AJ390" s="3"/>
      <c r="AK390" s="3">
        <v>1</v>
      </c>
      <c r="AL390" s="3"/>
      <c r="AM390" s="4"/>
      <c r="AN390" s="4"/>
      <c r="AO390" s="3"/>
      <c r="AP390" s="4"/>
      <c r="AQ390" s="3"/>
      <c r="AR390" s="3"/>
      <c r="AS390" s="3"/>
    </row>
    <row r="391" spans="1:45" s="53" customFormat="1" ht="19.5" hidden="1" customHeight="1">
      <c r="A391" s="35" t="e">
        <f>#REF!</f>
        <v>#REF!</v>
      </c>
      <c r="B391" s="81"/>
      <c r="C391" s="3"/>
      <c r="D391" s="46"/>
      <c r="E391" s="3"/>
      <c r="F391" s="3"/>
      <c r="G391" s="3"/>
      <c r="H391" s="41"/>
      <c r="I391" s="3"/>
      <c r="J391" s="78"/>
      <c r="K391" s="78"/>
      <c r="L391" s="78"/>
      <c r="M391" s="78"/>
      <c r="N391" s="44" t="str">
        <f t="shared" ref="N391:N403" si="55">IF(C391="","",C391)</f>
        <v/>
      </c>
      <c r="O391" s="45"/>
      <c r="P391" s="3"/>
      <c r="Q391" s="46"/>
      <c r="R391" s="47"/>
      <c r="S391" s="48"/>
      <c r="T391" s="345"/>
      <c r="U391" s="346"/>
      <c r="V391" s="346"/>
      <c r="W391" s="3"/>
      <c r="X391" s="50"/>
      <c r="Y391" s="80"/>
      <c r="Z391" s="80"/>
      <c r="AA391" s="3"/>
      <c r="AC391" s="50"/>
      <c r="AD391" s="50"/>
      <c r="AE391" s="3" t="str">
        <f>IF(OR(V391="電話不通 x2",V391="DS判断"),"DS確認→U列入力",IF(V391="希望","U列入力",IF(V391="拒否","DS確認",IF(V391="外国語","DS確認",IF(V391="電話不通 x1","ORM再架電","-")))))</f>
        <v>-</v>
      </c>
      <c r="AF391" s="51"/>
      <c r="AG391" s="52" t="str">
        <f t="shared" ref="AG391:AG412" ca="1" si="56">IF(AF391="","",IF($AF391+TIME(0,30,0)&lt;(TEXT(NOW(),"h:mm:ss")*1),$AF391+TIME(0,45,0),$AF391+TIME(0,30,0)))</f>
        <v/>
      </c>
      <c r="AI391" s="54"/>
      <c r="AJ391" s="3"/>
      <c r="AK391" s="3">
        <v>1</v>
      </c>
      <c r="AL391" s="3"/>
      <c r="AM391" s="4"/>
      <c r="AN391" s="4"/>
      <c r="AO391" s="3"/>
      <c r="AP391" s="4"/>
      <c r="AQ391" s="3"/>
      <c r="AR391" s="3"/>
      <c r="AS391" s="3"/>
    </row>
    <row r="392" spans="1:45" s="53" customFormat="1" ht="19.5" hidden="1" customHeight="1">
      <c r="A392" s="35" t="e">
        <f>#REF!</f>
        <v>#REF!</v>
      </c>
      <c r="B392" s="81"/>
      <c r="C392" s="3"/>
      <c r="D392" s="38" t="s">
        <v>100</v>
      </c>
      <c r="E392" s="3"/>
      <c r="F392" s="3"/>
      <c r="G392" s="3"/>
      <c r="H392" s="41"/>
      <c r="I392" s="37" t="s">
        <v>50</v>
      </c>
      <c r="J392" s="43"/>
      <c r="K392" s="43"/>
      <c r="L392" s="43" t="s">
        <v>52</v>
      </c>
      <c r="M392" s="78"/>
      <c r="N392" s="44" t="str">
        <f t="shared" si="55"/>
        <v/>
      </c>
      <c r="O392" s="45" t="s">
        <v>61</v>
      </c>
      <c r="P392" s="67"/>
      <c r="Q392" s="67"/>
      <c r="R392" s="68"/>
      <c r="S392" s="69"/>
      <c r="T392" s="345"/>
      <c r="U392" s="346"/>
      <c r="V392" s="346"/>
      <c r="W392" s="3"/>
      <c r="X392" s="84" t="s">
        <v>66</v>
      </c>
      <c r="Y392" s="80"/>
      <c r="Z392" s="80"/>
      <c r="AA392" s="3"/>
      <c r="AC392" s="50"/>
      <c r="AD392" s="50"/>
      <c r="AE392" s="3" t="str">
        <f>IF(OR(V392="電話不通 x2",V392="DS判断"),"DS確認→U列入力",IF(V392="希望","U列入力",IF(V392="拒否","DS確認",IF(V392="外国語","DS確認",IF(V392="電話不通 x1","ORM再架電","-")))))</f>
        <v>-</v>
      </c>
      <c r="AF392" s="51"/>
      <c r="AG392" s="52" t="str">
        <f t="shared" ca="1" si="56"/>
        <v/>
      </c>
      <c r="AI392" s="54"/>
      <c r="AJ392" s="3"/>
      <c r="AK392" s="3">
        <v>1</v>
      </c>
      <c r="AL392" s="3"/>
      <c r="AM392" s="4"/>
      <c r="AN392" s="4"/>
      <c r="AO392" s="3"/>
      <c r="AP392" s="4"/>
      <c r="AQ392" s="3"/>
      <c r="AR392" s="3"/>
      <c r="AS392" s="3"/>
    </row>
    <row r="393" spans="1:45" s="53" customFormat="1" ht="19.5" hidden="1" customHeight="1">
      <c r="A393" s="35" t="e">
        <f t="shared" ref="A393:A456" si="57">A392</f>
        <v>#REF!</v>
      </c>
      <c r="B393" s="81"/>
      <c r="C393" s="3"/>
      <c r="D393" s="38"/>
      <c r="E393" s="3"/>
      <c r="F393" s="3"/>
      <c r="G393" s="3"/>
      <c r="H393" s="41"/>
      <c r="I393" s="37" t="s">
        <v>50</v>
      </c>
      <c r="J393" s="43"/>
      <c r="K393" s="43"/>
      <c r="L393" s="43" t="s">
        <v>52</v>
      </c>
      <c r="M393" s="78"/>
      <c r="N393" s="44" t="str">
        <f t="shared" si="55"/>
        <v/>
      </c>
      <c r="O393" s="45" t="s">
        <v>61</v>
      </c>
      <c r="P393" s="67"/>
      <c r="Q393" s="67"/>
      <c r="R393" s="68"/>
      <c r="S393" s="69"/>
      <c r="T393" s="345"/>
      <c r="U393" s="346"/>
      <c r="V393" s="346"/>
      <c r="W393" s="3"/>
      <c r="X393" s="84" t="s">
        <v>66</v>
      </c>
      <c r="Y393" s="80"/>
      <c r="Z393" s="80"/>
      <c r="AA393" s="3"/>
      <c r="AC393" s="50"/>
      <c r="AD393" s="50"/>
      <c r="AE393" s="3" t="str">
        <f>IF(OR(V393="電話不通 x2",V393="DS判断"),"DS確認→U列入力",IF(V393="希望","U列入力",IF(V393="拒否","DS確認",IF(V393="外国語","DS確認",IF(V393="電話不通 x1","ORM再架電","-")))))</f>
        <v>-</v>
      </c>
      <c r="AF393" s="51"/>
      <c r="AG393" s="52" t="str">
        <f t="shared" ca="1" si="56"/>
        <v/>
      </c>
      <c r="AI393" s="54"/>
      <c r="AJ393" s="3"/>
      <c r="AK393" s="3">
        <v>1</v>
      </c>
      <c r="AL393" s="3"/>
      <c r="AM393" s="4"/>
      <c r="AN393" s="4"/>
      <c r="AO393" s="3"/>
      <c r="AP393" s="4"/>
      <c r="AQ393" s="3"/>
      <c r="AR393" s="3"/>
      <c r="AS393" s="3"/>
    </row>
    <row r="394" spans="1:45" s="53" customFormat="1" ht="19.5" hidden="1" customHeight="1">
      <c r="A394" s="35" t="e">
        <v>#REF!</v>
      </c>
      <c r="B394" s="81"/>
      <c r="C394" s="3"/>
      <c r="D394" s="46"/>
      <c r="E394" s="3"/>
      <c r="F394" s="3"/>
      <c r="G394" s="3"/>
      <c r="H394" s="41"/>
      <c r="I394" s="37" t="s">
        <v>80</v>
      </c>
      <c r="J394" s="43"/>
      <c r="K394" s="43"/>
      <c r="L394" s="43" t="s">
        <v>81</v>
      </c>
      <c r="M394" s="78"/>
      <c r="N394" s="44" t="s">
        <v>135</v>
      </c>
      <c r="O394" s="45" t="s">
        <v>136</v>
      </c>
      <c r="P394" s="67"/>
      <c r="Q394" s="67"/>
      <c r="R394" s="68"/>
      <c r="S394" s="69"/>
      <c r="T394" s="345"/>
      <c r="U394" s="346"/>
      <c r="V394" s="346"/>
      <c r="W394" s="3"/>
      <c r="X394" s="84" t="s">
        <v>66</v>
      </c>
      <c r="Y394" s="80"/>
      <c r="Z394" s="80"/>
      <c r="AA394" s="3"/>
      <c r="AC394" s="50"/>
      <c r="AD394" s="50"/>
      <c r="AE394" s="3" t="s">
        <v>83</v>
      </c>
      <c r="AF394" s="51"/>
      <c r="AG394" s="52" t="s">
        <v>135</v>
      </c>
      <c r="AI394" s="54"/>
      <c r="AJ394" s="3"/>
      <c r="AK394" s="3">
        <v>1</v>
      </c>
      <c r="AL394" s="3"/>
      <c r="AM394" s="4"/>
      <c r="AN394" s="4"/>
      <c r="AO394" s="3"/>
      <c r="AP394" s="4"/>
      <c r="AQ394" s="3"/>
      <c r="AR394" s="3"/>
      <c r="AS394" s="3"/>
    </row>
    <row r="395" spans="1:45" s="53" customFormat="1" ht="19.5" hidden="1" customHeight="1">
      <c r="A395" s="35" t="e">
        <v>#REF!</v>
      </c>
      <c r="B395" s="81"/>
      <c r="C395" s="3"/>
      <c r="D395" s="46"/>
      <c r="E395" s="3"/>
      <c r="F395" s="3"/>
      <c r="G395" s="3"/>
      <c r="H395" s="41"/>
      <c r="I395" s="174" t="s">
        <v>80</v>
      </c>
      <c r="J395" s="175"/>
      <c r="K395" s="43"/>
      <c r="L395" s="43" t="s">
        <v>81</v>
      </c>
      <c r="M395" s="78"/>
      <c r="N395" s="44" t="s">
        <v>135</v>
      </c>
      <c r="O395" s="45" t="s">
        <v>136</v>
      </c>
      <c r="P395" s="67"/>
      <c r="Q395" s="67"/>
      <c r="R395" s="68"/>
      <c r="S395" s="69"/>
      <c r="T395" s="345"/>
      <c r="U395" s="346"/>
      <c r="V395" s="346"/>
      <c r="W395" s="3"/>
      <c r="X395" s="84" t="s">
        <v>66</v>
      </c>
      <c r="Y395" s="80"/>
      <c r="Z395" s="80"/>
      <c r="AA395" s="3"/>
      <c r="AC395" s="50"/>
      <c r="AD395" s="50"/>
      <c r="AE395" s="3" t="s">
        <v>83</v>
      </c>
      <c r="AF395" s="51"/>
      <c r="AG395" s="52" t="s">
        <v>135</v>
      </c>
      <c r="AI395" s="54"/>
      <c r="AJ395" s="3"/>
      <c r="AK395" s="3">
        <v>1</v>
      </c>
      <c r="AL395" s="3"/>
      <c r="AM395" s="4"/>
      <c r="AN395" s="4"/>
      <c r="AO395" s="3"/>
      <c r="AP395" s="4"/>
      <c r="AQ395" s="3"/>
      <c r="AR395" s="3"/>
      <c r="AS395" s="3"/>
    </row>
    <row r="396" spans="1:45" s="53" customFormat="1" ht="19.5" hidden="1" customHeight="1">
      <c r="A396" s="35" t="e">
        <f>A393</f>
        <v>#REF!</v>
      </c>
      <c r="B396" s="81"/>
      <c r="C396" s="3"/>
      <c r="D396" s="46"/>
      <c r="E396" s="3"/>
      <c r="F396" s="3"/>
      <c r="G396" s="3"/>
      <c r="H396" s="41"/>
      <c r="I396" s="37" t="s">
        <v>50</v>
      </c>
      <c r="J396" s="43"/>
      <c r="K396" s="43"/>
      <c r="L396" s="43" t="s">
        <v>52</v>
      </c>
      <c r="M396" s="78"/>
      <c r="N396" s="44" t="str">
        <f t="shared" si="55"/>
        <v/>
      </c>
      <c r="O396" s="45" t="s">
        <v>61</v>
      </c>
      <c r="P396" s="67"/>
      <c r="Q396" s="67"/>
      <c r="R396" s="68"/>
      <c r="S396" s="69"/>
      <c r="T396" s="345"/>
      <c r="U396" s="346"/>
      <c r="V396" s="346"/>
      <c r="W396" s="3"/>
      <c r="X396" s="106" t="s">
        <v>66</v>
      </c>
      <c r="Y396" s="85"/>
      <c r="Z396" s="85"/>
      <c r="AA396" s="71"/>
      <c r="AB396" s="83"/>
      <c r="AC396" s="50"/>
      <c r="AD396" s="50"/>
      <c r="AE396" s="3" t="str">
        <f t="shared" ref="AE396:AE412" si="58">IF(OR(V396="電話不通 x2",V396="DS判断"),"DS確認→U列入力",IF(V396="希望","U列入力",IF(V396="拒否","DS確認",IF(V396="外国語","DS確認",IF(V396="電話不通 x1","ORM再架電","-")))))</f>
        <v>-</v>
      </c>
      <c r="AF396" s="51"/>
      <c r="AG396" s="52" t="str">
        <f t="shared" ca="1" si="56"/>
        <v/>
      </c>
      <c r="AI396" s="54"/>
      <c r="AJ396" s="3"/>
      <c r="AK396" s="3">
        <v>1</v>
      </c>
      <c r="AL396" s="3"/>
      <c r="AM396" s="4"/>
      <c r="AN396" s="4"/>
      <c r="AO396" s="3"/>
      <c r="AP396" s="4"/>
      <c r="AQ396" s="3"/>
      <c r="AR396" s="3"/>
      <c r="AS396" s="3"/>
    </row>
    <row r="397" spans="1:45" s="53" customFormat="1" ht="19.5" hidden="1" customHeight="1">
      <c r="A397" s="35" t="e">
        <f t="shared" si="57"/>
        <v>#REF!</v>
      </c>
      <c r="B397" s="81"/>
      <c r="C397" s="3"/>
      <c r="D397" s="116"/>
      <c r="E397" s="3"/>
      <c r="F397" s="3"/>
      <c r="G397" s="3"/>
      <c r="H397" s="41"/>
      <c r="I397" s="89" t="s">
        <v>50</v>
      </c>
      <c r="J397" s="90"/>
      <c r="K397" s="43"/>
      <c r="L397" s="90" t="s">
        <v>52</v>
      </c>
      <c r="M397" s="123"/>
      <c r="N397" s="44" t="str">
        <f t="shared" si="55"/>
        <v/>
      </c>
      <c r="O397" s="45" t="s">
        <v>61</v>
      </c>
      <c r="P397" s="67"/>
      <c r="Q397" s="67"/>
      <c r="R397" s="68"/>
      <c r="S397" s="69"/>
      <c r="T397" s="345"/>
      <c r="U397" s="346"/>
      <c r="V397" s="346"/>
      <c r="W397" s="3"/>
      <c r="X397" s="117" t="s">
        <v>66</v>
      </c>
      <c r="Y397" s="85"/>
      <c r="Z397" s="85"/>
      <c r="AA397" s="176"/>
      <c r="AB397" s="89" t="s">
        <v>109</v>
      </c>
      <c r="AC397" s="50"/>
      <c r="AD397" s="50"/>
      <c r="AE397" s="3" t="str">
        <f t="shared" si="58"/>
        <v>-</v>
      </c>
      <c r="AF397" s="51"/>
      <c r="AG397" s="52" t="str">
        <f t="shared" ca="1" si="56"/>
        <v/>
      </c>
      <c r="AI397" s="54"/>
      <c r="AJ397" s="3"/>
      <c r="AK397" s="3">
        <v>1</v>
      </c>
      <c r="AL397" s="3"/>
      <c r="AM397" s="4"/>
      <c r="AN397" s="4"/>
      <c r="AO397" s="3"/>
      <c r="AP397" s="4"/>
      <c r="AQ397" s="3"/>
      <c r="AR397" s="3"/>
      <c r="AS397" s="3"/>
    </row>
    <row r="398" spans="1:45" s="53" customFormat="1" ht="19.5" hidden="1" customHeight="1">
      <c r="A398" s="35" t="e">
        <f t="shared" si="57"/>
        <v>#REF!</v>
      </c>
      <c r="B398" s="81"/>
      <c r="C398" s="3"/>
      <c r="D398" s="46"/>
      <c r="E398" s="3"/>
      <c r="F398" s="3"/>
      <c r="G398" s="3"/>
      <c r="H398" s="41"/>
      <c r="I398" s="37" t="s">
        <v>50</v>
      </c>
      <c r="J398" s="43"/>
      <c r="K398" s="43"/>
      <c r="L398" s="43" t="s">
        <v>52</v>
      </c>
      <c r="M398" s="78"/>
      <c r="N398" s="44" t="str">
        <f t="shared" si="55"/>
        <v/>
      </c>
      <c r="O398" s="45" t="s">
        <v>61</v>
      </c>
      <c r="P398" s="67"/>
      <c r="Q398" s="67"/>
      <c r="R398" s="68"/>
      <c r="S398" s="69"/>
      <c r="T398" s="345"/>
      <c r="U398" s="346"/>
      <c r="V398" s="346"/>
      <c r="W398" s="3"/>
      <c r="X398" s="106" t="s">
        <v>66</v>
      </c>
      <c r="Y398" s="85"/>
      <c r="Z398" s="85"/>
      <c r="AA398" s="71"/>
      <c r="AB398" s="97" t="s">
        <v>92</v>
      </c>
      <c r="AC398" s="50"/>
      <c r="AD398" s="118"/>
      <c r="AE398" s="3" t="str">
        <f t="shared" si="58"/>
        <v>-</v>
      </c>
      <c r="AF398" s="105"/>
      <c r="AG398" s="52" t="str">
        <f t="shared" ca="1" si="56"/>
        <v/>
      </c>
      <c r="AI398" s="54"/>
      <c r="AJ398" s="3"/>
      <c r="AK398" s="3">
        <v>1</v>
      </c>
      <c r="AL398" s="3"/>
      <c r="AM398" s="4"/>
      <c r="AN398" s="4"/>
      <c r="AO398" s="3"/>
      <c r="AP398" s="4"/>
      <c r="AQ398" s="3"/>
      <c r="AR398" s="3"/>
      <c r="AS398" s="3"/>
    </row>
    <row r="399" spans="1:45" s="53" customFormat="1" ht="19.5" hidden="1" customHeight="1">
      <c r="A399" s="35" t="e">
        <f t="shared" si="57"/>
        <v>#REF!</v>
      </c>
      <c r="B399" s="81"/>
      <c r="C399" s="3"/>
      <c r="D399" s="46"/>
      <c r="E399" s="3"/>
      <c r="F399" s="3"/>
      <c r="G399" s="3"/>
      <c r="H399" s="41"/>
      <c r="I399" s="37" t="s">
        <v>50</v>
      </c>
      <c r="J399" s="43"/>
      <c r="K399" s="43"/>
      <c r="L399" s="43" t="s">
        <v>52</v>
      </c>
      <c r="M399" s="78"/>
      <c r="N399" s="44" t="str">
        <f t="shared" si="55"/>
        <v/>
      </c>
      <c r="O399" s="45" t="s">
        <v>61</v>
      </c>
      <c r="P399" s="67"/>
      <c r="Q399" s="67"/>
      <c r="R399" s="68"/>
      <c r="S399" s="69"/>
      <c r="T399" s="345"/>
      <c r="U399" s="346"/>
      <c r="V399" s="346"/>
      <c r="W399" s="3"/>
      <c r="X399" s="106" t="s">
        <v>66</v>
      </c>
      <c r="Y399" s="85"/>
      <c r="Z399" s="85"/>
      <c r="AA399" s="71"/>
      <c r="AB399" s="97" t="s">
        <v>92</v>
      </c>
      <c r="AC399" s="50"/>
      <c r="AD399" s="106" t="s">
        <v>101</v>
      </c>
      <c r="AE399" s="3" t="str">
        <f t="shared" si="58"/>
        <v>-</v>
      </c>
      <c r="AF399" s="107">
        <v>0.69444444444444453</v>
      </c>
      <c r="AG399" s="119">
        <f t="shared" ca="1" si="56"/>
        <v>0.72569444444444453</v>
      </c>
      <c r="AI399" s="54"/>
      <c r="AJ399" s="3"/>
      <c r="AK399" s="3">
        <v>1</v>
      </c>
      <c r="AL399" s="3"/>
      <c r="AM399" s="4"/>
      <c r="AN399" s="4"/>
      <c r="AO399" s="3"/>
      <c r="AP399" s="4"/>
      <c r="AQ399" s="3"/>
      <c r="AR399" s="3"/>
      <c r="AS399" s="3"/>
    </row>
    <row r="400" spans="1:45" s="53" customFormat="1" ht="19.5" hidden="1" customHeight="1">
      <c r="A400" s="35" t="e">
        <f t="shared" si="57"/>
        <v>#REF!</v>
      </c>
      <c r="B400" s="81"/>
      <c r="C400" s="3"/>
      <c r="D400" s="46"/>
      <c r="E400" s="3"/>
      <c r="F400" s="3"/>
      <c r="G400" s="3"/>
      <c r="H400" s="41"/>
      <c r="I400" s="37" t="s">
        <v>50</v>
      </c>
      <c r="J400" s="43"/>
      <c r="K400" s="43"/>
      <c r="L400" s="43" t="s">
        <v>52</v>
      </c>
      <c r="M400" s="78"/>
      <c r="N400" s="44" t="str">
        <f t="shared" si="55"/>
        <v/>
      </c>
      <c r="O400" s="45" t="s">
        <v>61</v>
      </c>
      <c r="P400" s="67"/>
      <c r="Q400" s="67"/>
      <c r="R400" s="68"/>
      <c r="S400" s="69"/>
      <c r="T400" s="345"/>
      <c r="U400" s="346"/>
      <c r="V400" s="346"/>
      <c r="W400" s="3"/>
      <c r="X400" s="106" t="s">
        <v>66</v>
      </c>
      <c r="Y400" s="85"/>
      <c r="Z400" s="85"/>
      <c r="AA400" s="71"/>
      <c r="AB400" s="180" t="s">
        <v>92</v>
      </c>
      <c r="AC400" s="50"/>
      <c r="AD400" s="106" t="s">
        <v>101</v>
      </c>
      <c r="AE400" s="3" t="str">
        <f t="shared" si="58"/>
        <v>-</v>
      </c>
      <c r="AF400" s="107">
        <v>0.69444444444444453</v>
      </c>
      <c r="AG400" s="108">
        <v>0.72569444444444453</v>
      </c>
      <c r="AH400" s="109"/>
      <c r="AI400" s="181" t="s">
        <v>130</v>
      </c>
      <c r="AJ400" s="3"/>
      <c r="AK400" s="3">
        <v>1</v>
      </c>
      <c r="AL400" s="3"/>
      <c r="AM400" s="4"/>
      <c r="AN400" s="4"/>
      <c r="AO400" s="3"/>
      <c r="AP400" s="4"/>
      <c r="AQ400" s="3"/>
      <c r="AR400" s="3"/>
      <c r="AS400" s="3"/>
    </row>
    <row r="401" spans="1:45" s="53" customFormat="1" ht="19.5" hidden="1" customHeight="1">
      <c r="A401" s="35" t="e">
        <f>A399</f>
        <v>#REF!</v>
      </c>
      <c r="B401" s="81"/>
      <c r="C401" s="3"/>
      <c r="D401" s="46"/>
      <c r="E401" s="3"/>
      <c r="F401" s="3"/>
      <c r="G401" s="3"/>
      <c r="H401" s="41"/>
      <c r="I401" s="37" t="s">
        <v>50</v>
      </c>
      <c r="J401" s="43"/>
      <c r="K401" s="43"/>
      <c r="L401" s="43" t="s">
        <v>52</v>
      </c>
      <c r="M401" s="78"/>
      <c r="N401" s="44" t="str">
        <f t="shared" si="55"/>
        <v/>
      </c>
      <c r="O401" s="148" t="s">
        <v>61</v>
      </c>
      <c r="P401" s="67"/>
      <c r="Q401" s="67"/>
      <c r="R401" s="68"/>
      <c r="S401" s="69"/>
      <c r="T401" s="345"/>
      <c r="U401" s="346"/>
      <c r="V401" s="346"/>
      <c r="W401" s="3"/>
      <c r="X401" s="106" t="s">
        <v>66</v>
      </c>
      <c r="Y401" s="85"/>
      <c r="Z401" s="85"/>
      <c r="AA401" s="71"/>
      <c r="AB401" s="63" t="s">
        <v>94</v>
      </c>
      <c r="AC401" s="50"/>
      <c r="AD401" s="118" t="s">
        <v>101</v>
      </c>
      <c r="AE401" s="3" t="str">
        <f t="shared" si="58"/>
        <v>-</v>
      </c>
      <c r="AF401" s="107">
        <v>0.69444444444444453</v>
      </c>
      <c r="AG401" s="110">
        <v>0.72569444444444453</v>
      </c>
      <c r="AH401" s="136"/>
      <c r="AI401" s="54"/>
      <c r="AJ401" s="3"/>
      <c r="AK401" s="3">
        <v>1</v>
      </c>
      <c r="AL401" s="3"/>
      <c r="AM401" s="4"/>
      <c r="AN401" s="4"/>
      <c r="AO401" s="3"/>
      <c r="AP401" s="4"/>
      <c r="AQ401" s="3"/>
      <c r="AR401" s="3"/>
      <c r="AS401" s="3"/>
    </row>
    <row r="402" spans="1:45" s="53" customFormat="1" ht="19.5" hidden="1" customHeight="1">
      <c r="A402" s="35" t="e">
        <f>A401</f>
        <v>#REF!</v>
      </c>
      <c r="B402" s="81"/>
      <c r="C402" s="3"/>
      <c r="D402" s="46"/>
      <c r="E402" s="3"/>
      <c r="F402" s="3"/>
      <c r="G402" s="3"/>
      <c r="H402" s="41"/>
      <c r="I402" s="37" t="s">
        <v>50</v>
      </c>
      <c r="J402" s="43"/>
      <c r="K402" s="43"/>
      <c r="L402" s="43" t="s">
        <v>52</v>
      </c>
      <c r="M402" s="78"/>
      <c r="N402" s="44" t="str">
        <f t="shared" si="55"/>
        <v/>
      </c>
      <c r="O402" s="45" t="s">
        <v>58</v>
      </c>
      <c r="P402" s="67"/>
      <c r="Q402" s="67"/>
      <c r="R402" s="68"/>
      <c r="S402" s="69"/>
      <c r="T402" s="345"/>
      <c r="U402" s="346"/>
      <c r="V402" s="346"/>
      <c r="W402" s="71"/>
      <c r="X402" s="106" t="s">
        <v>66</v>
      </c>
      <c r="Y402" s="134"/>
      <c r="Z402" s="134"/>
      <c r="AA402" s="71"/>
      <c r="AB402" s="71" t="s">
        <v>94</v>
      </c>
      <c r="AC402" s="50"/>
      <c r="AD402" s="84" t="s">
        <v>101</v>
      </c>
      <c r="AE402" s="71" t="str">
        <f t="shared" si="58"/>
        <v>-</v>
      </c>
      <c r="AF402" s="74">
        <v>0.69444444444444453</v>
      </c>
      <c r="AG402" s="119">
        <f t="shared" ca="1" si="56"/>
        <v>0.72569444444444453</v>
      </c>
      <c r="AH402" s="101"/>
      <c r="AI402" s="54"/>
      <c r="AJ402" s="3"/>
      <c r="AK402" s="3">
        <v>1</v>
      </c>
      <c r="AL402" s="3"/>
      <c r="AM402" s="4"/>
      <c r="AN402" s="4"/>
      <c r="AO402" s="3"/>
      <c r="AP402" s="4"/>
      <c r="AQ402" s="3"/>
      <c r="AR402" s="3"/>
      <c r="AS402" s="3"/>
    </row>
    <row r="403" spans="1:45" s="53" customFormat="1" ht="19.5" hidden="1" customHeight="1">
      <c r="A403" s="35" t="e">
        <f t="shared" si="57"/>
        <v>#REF!</v>
      </c>
      <c r="B403" s="81"/>
      <c r="C403" s="3"/>
      <c r="D403" s="46"/>
      <c r="E403" s="3"/>
      <c r="F403" s="3"/>
      <c r="G403" s="3"/>
      <c r="H403" s="41"/>
      <c r="I403" s="37" t="s">
        <v>50</v>
      </c>
      <c r="J403" s="43"/>
      <c r="K403" s="43"/>
      <c r="L403" s="43" t="s">
        <v>52</v>
      </c>
      <c r="M403" s="78"/>
      <c r="N403" s="44" t="str">
        <f t="shared" si="55"/>
        <v/>
      </c>
      <c r="O403" s="45" t="s">
        <v>58</v>
      </c>
      <c r="P403" s="67"/>
      <c r="Q403" s="67"/>
      <c r="R403" s="68"/>
      <c r="S403" s="69"/>
      <c r="T403" s="345"/>
      <c r="U403" s="346"/>
      <c r="V403" s="346"/>
      <c r="W403" s="71"/>
      <c r="X403" s="106" t="s">
        <v>66</v>
      </c>
      <c r="Y403" s="134"/>
      <c r="Z403" s="134"/>
      <c r="AA403" s="71"/>
      <c r="AB403" s="71" t="s">
        <v>94</v>
      </c>
      <c r="AC403" s="50"/>
      <c r="AD403" s="84" t="s">
        <v>101</v>
      </c>
      <c r="AE403" s="71" t="str">
        <f t="shared" si="58"/>
        <v>-</v>
      </c>
      <c r="AF403" s="74">
        <v>0.69444444444444453</v>
      </c>
      <c r="AG403" s="112">
        <v>0.73263888888888884</v>
      </c>
      <c r="AH403" s="113">
        <v>10</v>
      </c>
      <c r="AI403" s="54"/>
      <c r="AJ403" s="3"/>
      <c r="AK403" s="3">
        <v>1</v>
      </c>
      <c r="AL403" s="3"/>
      <c r="AM403" s="4"/>
      <c r="AN403" s="4"/>
      <c r="AO403" s="3"/>
      <c r="AP403" s="4"/>
      <c r="AQ403" s="3"/>
      <c r="AR403" s="3"/>
      <c r="AS403" s="3"/>
    </row>
    <row r="404" spans="1:45" s="53" customFormat="1" ht="19.5" hidden="1" customHeight="1">
      <c r="A404" s="35" t="e">
        <f>A402</f>
        <v>#REF!</v>
      </c>
      <c r="B404" s="81"/>
      <c r="C404" s="3"/>
      <c r="D404" s="46"/>
      <c r="E404" s="3"/>
      <c r="F404" s="3"/>
      <c r="G404" s="3"/>
      <c r="H404" s="41"/>
      <c r="I404" s="3"/>
      <c r="J404" s="78"/>
      <c r="K404" s="78"/>
      <c r="L404" s="78"/>
      <c r="M404" s="78"/>
      <c r="N404" s="44" t="str">
        <f t="shared" ref="N404:N412" si="59">IF(C404="","",C404)</f>
        <v/>
      </c>
      <c r="O404" s="45"/>
      <c r="P404" s="3"/>
      <c r="Q404" s="46"/>
      <c r="R404" s="47"/>
      <c r="S404" s="48"/>
      <c r="T404" s="345"/>
      <c r="U404" s="346"/>
      <c r="V404" s="346"/>
      <c r="W404" s="3"/>
      <c r="X404" s="50"/>
      <c r="Y404" s="80"/>
      <c r="Z404" s="80"/>
      <c r="AA404" s="3"/>
      <c r="AC404" s="50"/>
      <c r="AD404" s="50"/>
      <c r="AE404" s="3" t="str">
        <f t="shared" si="58"/>
        <v>-</v>
      </c>
      <c r="AF404" s="51"/>
      <c r="AG404" s="52" t="str">
        <f t="shared" ca="1" si="56"/>
        <v/>
      </c>
      <c r="AI404" s="54"/>
      <c r="AJ404" s="3"/>
      <c r="AK404" s="3">
        <v>1</v>
      </c>
      <c r="AL404" s="3"/>
      <c r="AM404" s="4"/>
      <c r="AN404" s="4"/>
      <c r="AO404" s="3"/>
      <c r="AP404" s="4"/>
      <c r="AQ404" s="3"/>
      <c r="AR404" s="3"/>
      <c r="AS404" s="3"/>
    </row>
    <row r="405" spans="1:45" ht="19.5" hidden="1" customHeight="1">
      <c r="A405" s="35" t="e">
        <f t="shared" si="57"/>
        <v>#REF!</v>
      </c>
      <c r="N405" s="44" t="str">
        <f t="shared" si="59"/>
        <v/>
      </c>
      <c r="R405" s="47"/>
      <c r="T405" s="345"/>
      <c r="U405" s="346"/>
      <c r="V405" s="346"/>
      <c r="AE405" s="3" t="str">
        <f t="shared" si="58"/>
        <v>-</v>
      </c>
      <c r="AF405" s="51"/>
      <c r="AG405" s="52" t="str">
        <f t="shared" ca="1" si="56"/>
        <v/>
      </c>
      <c r="AI405" s="54"/>
      <c r="AK405" s="3">
        <v>1</v>
      </c>
      <c r="AP405" s="4"/>
    </row>
    <row r="406" spans="1:45" s="53" customFormat="1" ht="19.5" hidden="1" customHeight="1">
      <c r="A406" s="35" t="e">
        <f>#REF!</f>
        <v>#REF!</v>
      </c>
      <c r="B406" s="81"/>
      <c r="C406" s="102"/>
      <c r="D406" s="38" t="s">
        <v>102</v>
      </c>
      <c r="E406" s="3"/>
      <c r="F406" s="3"/>
      <c r="G406" s="3"/>
      <c r="H406" s="41"/>
      <c r="I406" s="3" t="s">
        <v>50</v>
      </c>
      <c r="J406" s="78"/>
      <c r="K406" s="78"/>
      <c r="L406" s="78" t="s">
        <v>52</v>
      </c>
      <c r="M406" s="78"/>
      <c r="N406" s="44" t="str">
        <f t="shared" si="59"/>
        <v/>
      </c>
      <c r="O406" s="148" t="s">
        <v>61</v>
      </c>
      <c r="P406" s="67"/>
      <c r="Q406" s="67"/>
      <c r="R406" s="68"/>
      <c r="S406" s="69"/>
      <c r="T406" s="345"/>
      <c r="U406" s="346"/>
      <c r="V406" s="346"/>
      <c r="W406" s="3"/>
      <c r="X406" s="106" t="s">
        <v>66</v>
      </c>
      <c r="Y406" s="99">
        <v>0.69097222222222221</v>
      </c>
      <c r="Z406" s="99">
        <v>0.69791666666666663</v>
      </c>
      <c r="AA406" s="71"/>
      <c r="AB406" s="63" t="s">
        <v>94</v>
      </c>
      <c r="AC406" s="50"/>
      <c r="AD406" s="106" t="s">
        <v>87</v>
      </c>
      <c r="AE406" s="3" t="str">
        <f t="shared" si="58"/>
        <v>-</v>
      </c>
      <c r="AF406" s="107">
        <v>0.69444444444444453</v>
      </c>
      <c r="AG406" s="110">
        <v>0.72569444444444453</v>
      </c>
      <c r="AH406" s="136"/>
      <c r="AI406" s="54"/>
      <c r="AJ406" s="3"/>
      <c r="AK406" s="3">
        <v>1</v>
      </c>
      <c r="AL406" s="3"/>
      <c r="AM406" s="4"/>
      <c r="AN406" s="4"/>
      <c r="AO406" s="3"/>
      <c r="AP406" s="4"/>
      <c r="AQ406" s="3"/>
      <c r="AR406" s="3"/>
      <c r="AS406" s="3"/>
    </row>
    <row r="407" spans="1:45" s="53" customFormat="1" ht="19.5" hidden="1" customHeight="1">
      <c r="A407" s="35" t="e">
        <f t="shared" si="57"/>
        <v>#REF!</v>
      </c>
      <c r="B407" s="81"/>
      <c r="C407" s="3"/>
      <c r="D407" s="46"/>
      <c r="E407" s="3"/>
      <c r="F407" s="3"/>
      <c r="G407" s="3"/>
      <c r="H407" s="41"/>
      <c r="I407" s="3" t="s">
        <v>50</v>
      </c>
      <c r="J407" s="78"/>
      <c r="K407" s="78"/>
      <c r="L407" s="78" t="s">
        <v>52</v>
      </c>
      <c r="M407" s="78"/>
      <c r="N407" s="44" t="str">
        <f t="shared" si="59"/>
        <v/>
      </c>
      <c r="O407" s="45" t="s">
        <v>55</v>
      </c>
      <c r="P407" s="129"/>
      <c r="Q407" s="129"/>
      <c r="R407" s="130"/>
      <c r="S407" s="131"/>
      <c r="T407" s="345"/>
      <c r="U407" s="346"/>
      <c r="V407" s="346"/>
      <c r="W407" s="126"/>
      <c r="X407" s="106" t="s">
        <v>66</v>
      </c>
      <c r="Y407" s="85">
        <v>0.69097222222222221</v>
      </c>
      <c r="Z407" s="85">
        <v>0.69791666666666663</v>
      </c>
      <c r="AA407" s="71"/>
      <c r="AB407" s="71" t="s">
        <v>94</v>
      </c>
      <c r="AC407" s="50"/>
      <c r="AD407" s="84" t="s">
        <v>87</v>
      </c>
      <c r="AE407" s="126" t="str">
        <f t="shared" si="58"/>
        <v>-</v>
      </c>
      <c r="AF407" s="128">
        <v>0.69444444444444453</v>
      </c>
      <c r="AG407" s="133">
        <f t="shared" ca="1" si="56"/>
        <v>0.72569444444444453</v>
      </c>
      <c r="AH407" s="139"/>
      <c r="AI407" s="54"/>
      <c r="AJ407" s="3"/>
      <c r="AK407" s="3">
        <v>1</v>
      </c>
      <c r="AL407" s="3"/>
      <c r="AM407" s="4"/>
      <c r="AN407" s="4"/>
      <c r="AO407" s="3"/>
      <c r="AP407" s="4"/>
      <c r="AQ407" s="3"/>
      <c r="AR407" s="3"/>
      <c r="AS407" s="3"/>
    </row>
    <row r="408" spans="1:45" s="53" customFormat="1" ht="19.5" hidden="1" customHeight="1">
      <c r="A408" s="35" t="e">
        <f t="shared" si="57"/>
        <v>#REF!</v>
      </c>
      <c r="B408" s="81"/>
      <c r="C408" s="3"/>
      <c r="D408" s="46"/>
      <c r="E408" s="3"/>
      <c r="F408" s="3"/>
      <c r="G408" s="3"/>
      <c r="H408" s="41"/>
      <c r="I408" s="3"/>
      <c r="J408" s="78"/>
      <c r="K408" s="78"/>
      <c r="L408" s="78"/>
      <c r="M408" s="78"/>
      <c r="N408" s="44" t="str">
        <f t="shared" si="59"/>
        <v/>
      </c>
      <c r="O408" s="45"/>
      <c r="P408" s="3"/>
      <c r="Q408" s="46"/>
      <c r="R408" s="47"/>
      <c r="S408" s="48"/>
      <c r="T408" s="345"/>
      <c r="U408" s="346"/>
      <c r="V408" s="346"/>
      <c r="W408" s="3"/>
      <c r="X408" s="50"/>
      <c r="Y408" s="80"/>
      <c r="Z408" s="80"/>
      <c r="AA408" s="3"/>
      <c r="AC408" s="50"/>
      <c r="AD408" s="50"/>
      <c r="AE408" s="3" t="str">
        <f t="shared" si="58"/>
        <v>-</v>
      </c>
      <c r="AF408" s="51"/>
      <c r="AG408" s="52" t="str">
        <f t="shared" ca="1" si="56"/>
        <v/>
      </c>
      <c r="AI408" s="54"/>
      <c r="AJ408" s="3"/>
      <c r="AK408" s="3">
        <v>1</v>
      </c>
      <c r="AL408" s="3"/>
      <c r="AM408" s="4"/>
      <c r="AN408" s="4"/>
      <c r="AO408" s="3"/>
      <c r="AP408" s="4"/>
      <c r="AQ408" s="3"/>
      <c r="AR408" s="3"/>
      <c r="AS408" s="3"/>
    </row>
    <row r="409" spans="1:45" ht="19.5" hidden="1" customHeight="1">
      <c r="A409" s="35" t="e">
        <f t="shared" si="57"/>
        <v>#REF!</v>
      </c>
      <c r="N409" s="44" t="str">
        <f t="shared" si="59"/>
        <v/>
      </c>
      <c r="R409" s="47"/>
      <c r="T409" s="345"/>
      <c r="U409" s="346"/>
      <c r="V409" s="346"/>
      <c r="AE409" s="3" t="str">
        <f t="shared" si="58"/>
        <v>-</v>
      </c>
      <c r="AF409" s="51"/>
      <c r="AG409" s="52" t="str">
        <f t="shared" ca="1" si="56"/>
        <v/>
      </c>
      <c r="AI409" s="54"/>
      <c r="AK409" s="3">
        <v>1</v>
      </c>
      <c r="AP409" s="4"/>
    </row>
    <row r="410" spans="1:45" s="53" customFormat="1" ht="19.5" hidden="1" customHeight="1">
      <c r="A410" s="35" t="e">
        <f>#REF!</f>
        <v>#REF!</v>
      </c>
      <c r="B410" s="81"/>
      <c r="C410" s="102"/>
      <c r="D410" s="38" t="s">
        <v>131</v>
      </c>
      <c r="E410" s="3"/>
      <c r="F410" s="3"/>
      <c r="G410" s="3"/>
      <c r="H410" s="41"/>
      <c r="I410" s="3" t="s">
        <v>50</v>
      </c>
      <c r="J410" s="78"/>
      <c r="K410" s="78"/>
      <c r="L410" s="78" t="s">
        <v>52</v>
      </c>
      <c r="M410" s="78"/>
      <c r="N410" s="44" t="str">
        <f t="shared" si="59"/>
        <v/>
      </c>
      <c r="O410" s="148" t="s">
        <v>61</v>
      </c>
      <c r="P410" s="67"/>
      <c r="Q410" s="67"/>
      <c r="R410" s="68"/>
      <c r="S410" s="69"/>
      <c r="T410" s="345"/>
      <c r="U410" s="346"/>
      <c r="V410" s="346"/>
      <c r="W410" s="3"/>
      <c r="X410" s="106" t="s">
        <v>66</v>
      </c>
      <c r="Y410" s="99">
        <v>0.69097222222222221</v>
      </c>
      <c r="Z410" s="99">
        <v>0.69791666666666663</v>
      </c>
      <c r="AA410" s="71"/>
      <c r="AB410" s="63" t="s">
        <v>94</v>
      </c>
      <c r="AC410" s="50"/>
      <c r="AD410" s="106" t="s">
        <v>87</v>
      </c>
      <c r="AE410" s="3" t="str">
        <f t="shared" si="58"/>
        <v>-</v>
      </c>
      <c r="AF410" s="107">
        <v>0.69444444444444453</v>
      </c>
      <c r="AG410" s="110">
        <v>0.72569444444444453</v>
      </c>
      <c r="AH410" s="136"/>
      <c r="AI410" s="54"/>
      <c r="AJ410" s="3"/>
      <c r="AK410" s="3">
        <v>1</v>
      </c>
      <c r="AL410" s="3"/>
      <c r="AM410" s="4"/>
      <c r="AN410" s="4"/>
      <c r="AO410" s="3"/>
      <c r="AP410" s="4"/>
      <c r="AQ410" s="3"/>
      <c r="AR410" s="3"/>
      <c r="AS410" s="3"/>
    </row>
    <row r="411" spans="1:45" s="53" customFormat="1" ht="19.5" hidden="1" customHeight="1">
      <c r="A411" s="35" t="e">
        <f t="shared" si="57"/>
        <v>#REF!</v>
      </c>
      <c r="B411" s="81"/>
      <c r="C411" s="3"/>
      <c r="D411" s="46"/>
      <c r="E411" s="3"/>
      <c r="F411" s="3"/>
      <c r="G411" s="3"/>
      <c r="H411" s="41"/>
      <c r="I411" s="3" t="s">
        <v>50</v>
      </c>
      <c r="J411" s="78"/>
      <c r="K411" s="78"/>
      <c r="L411" s="78" t="s">
        <v>52</v>
      </c>
      <c r="M411" s="78"/>
      <c r="N411" s="44" t="str">
        <f t="shared" si="59"/>
        <v/>
      </c>
      <c r="O411" s="45" t="s">
        <v>53</v>
      </c>
      <c r="P411" s="129"/>
      <c r="Q411" s="129"/>
      <c r="R411" s="130"/>
      <c r="S411" s="131"/>
      <c r="T411" s="345"/>
      <c r="U411" s="346"/>
      <c r="V411" s="346"/>
      <c r="W411" s="126"/>
      <c r="X411" s="106" t="s">
        <v>66</v>
      </c>
      <c r="Y411" s="85">
        <v>0.69097222222222221</v>
      </c>
      <c r="Z411" s="85">
        <v>0.69791666666666663</v>
      </c>
      <c r="AA411" s="71"/>
      <c r="AB411" s="71" t="s">
        <v>94</v>
      </c>
      <c r="AC411" s="50"/>
      <c r="AD411" s="84" t="s">
        <v>87</v>
      </c>
      <c r="AE411" s="126" t="str">
        <f t="shared" si="58"/>
        <v>-</v>
      </c>
      <c r="AF411" s="128">
        <v>0.69444444444444453</v>
      </c>
      <c r="AG411" s="133">
        <f t="shared" ca="1" si="56"/>
        <v>0.72569444444444453</v>
      </c>
      <c r="AH411" s="139"/>
      <c r="AI411" s="54"/>
      <c r="AJ411" s="3"/>
      <c r="AK411" s="3">
        <v>1</v>
      </c>
      <c r="AL411" s="3"/>
      <c r="AM411" s="4"/>
      <c r="AN411" s="4"/>
      <c r="AO411" s="3"/>
      <c r="AP411" s="4"/>
      <c r="AQ411" s="3"/>
      <c r="AR411" s="3"/>
      <c r="AS411" s="3"/>
    </row>
    <row r="412" spans="1:45" s="53" customFormat="1" ht="19.5" hidden="1" customHeight="1">
      <c r="A412" s="35" t="e">
        <f>A405</f>
        <v>#REF!</v>
      </c>
      <c r="B412" s="81"/>
      <c r="C412" s="3"/>
      <c r="D412" s="46"/>
      <c r="E412" s="3"/>
      <c r="F412" s="3"/>
      <c r="G412" s="3"/>
      <c r="H412" s="41"/>
      <c r="I412" s="3"/>
      <c r="J412" s="78"/>
      <c r="K412" s="78"/>
      <c r="L412" s="78"/>
      <c r="M412" s="78"/>
      <c r="N412" s="44" t="str">
        <f t="shared" si="59"/>
        <v/>
      </c>
      <c r="O412" s="45"/>
      <c r="P412" s="46"/>
      <c r="Q412" s="46"/>
      <c r="R412" s="47"/>
      <c r="S412" s="48"/>
      <c r="T412" s="345"/>
      <c r="U412" s="346"/>
      <c r="V412" s="346"/>
      <c r="W412" s="3"/>
      <c r="X412" s="50"/>
      <c r="Y412" s="80"/>
      <c r="Z412" s="80"/>
      <c r="AA412" s="3"/>
      <c r="AC412" s="50"/>
      <c r="AD412" s="50"/>
      <c r="AE412" s="3" t="str">
        <f t="shared" si="58"/>
        <v>-</v>
      </c>
      <c r="AF412" s="51"/>
      <c r="AG412" s="52" t="str">
        <f t="shared" ca="1" si="56"/>
        <v/>
      </c>
      <c r="AI412" s="54"/>
      <c r="AJ412" s="3"/>
      <c r="AK412" s="3"/>
      <c r="AL412" s="3"/>
      <c r="AM412" s="4"/>
      <c r="AN412" s="4"/>
      <c r="AO412" s="3"/>
      <c r="AP412" s="4"/>
      <c r="AQ412" s="3"/>
      <c r="AR412" s="3"/>
      <c r="AS412" s="3"/>
    </row>
    <row r="413" spans="1:45" ht="19.5" hidden="1" customHeight="1">
      <c r="A413" s="35" t="e">
        <f>#REF!</f>
        <v>#REF!</v>
      </c>
      <c r="P413" s="46"/>
      <c r="R413" s="47"/>
      <c r="T413" s="345"/>
      <c r="U413" s="346"/>
      <c r="V413" s="346"/>
      <c r="AF413" s="51"/>
      <c r="AG413" s="52"/>
      <c r="AI413" s="54"/>
      <c r="AK413" s="3">
        <v>1</v>
      </c>
      <c r="AP413" s="4"/>
    </row>
    <row r="414" spans="1:45" s="53" customFormat="1" ht="19.5" hidden="1" customHeight="1">
      <c r="A414" s="35" t="e">
        <f>#REF!</f>
        <v>#REF!</v>
      </c>
      <c r="B414" s="81"/>
      <c r="C414" s="102"/>
      <c r="D414" s="38" t="s">
        <v>93</v>
      </c>
      <c r="E414" s="3"/>
      <c r="F414" s="3"/>
      <c r="G414" s="3"/>
      <c r="H414" s="41"/>
      <c r="I414" s="3" t="s">
        <v>50</v>
      </c>
      <c r="J414" s="78"/>
      <c r="K414" s="78"/>
      <c r="L414" s="78" t="s">
        <v>52</v>
      </c>
      <c r="M414" s="78"/>
      <c r="N414" s="44" t="str">
        <f>IF(C414="","",C414)</f>
        <v/>
      </c>
      <c r="O414" s="148" t="s">
        <v>61</v>
      </c>
      <c r="P414" s="67"/>
      <c r="Q414" s="67"/>
      <c r="R414" s="68"/>
      <c r="S414" s="69"/>
      <c r="T414" s="345"/>
      <c r="U414" s="346"/>
      <c r="V414" s="346"/>
      <c r="W414" s="3"/>
      <c r="X414" s="106" t="s">
        <v>66</v>
      </c>
      <c r="Y414" s="134"/>
      <c r="Z414" s="134"/>
      <c r="AA414" s="71"/>
      <c r="AB414" s="63" t="s">
        <v>94</v>
      </c>
      <c r="AC414" s="50"/>
      <c r="AD414" s="106" t="s">
        <v>87</v>
      </c>
      <c r="AE414" s="97" t="str">
        <f>IF(OR(V414="電話不通 x2",V414="DS判断"),"DS確認→U列入力",IF(V414="希望","U列入力",IF(V414="拒否","DS確認",IF(V414="外国語","DS確認",IF(V414="電話不通 x1","ORM再架電","-")))))</f>
        <v>-</v>
      </c>
      <c r="AF414" s="107">
        <v>0.69444444444444453</v>
      </c>
      <c r="AG414" s="110">
        <v>0.72569444444444453</v>
      </c>
      <c r="AH414" s="121"/>
      <c r="AI414" s="54"/>
      <c r="AJ414" s="3"/>
      <c r="AK414" s="3">
        <v>1</v>
      </c>
      <c r="AL414" s="3"/>
      <c r="AM414" s="4"/>
      <c r="AN414" s="4"/>
      <c r="AO414" s="3"/>
      <c r="AP414" s="4"/>
      <c r="AQ414" s="3"/>
      <c r="AR414" s="3"/>
      <c r="AS414" s="3"/>
    </row>
    <row r="415" spans="1:45" s="53" customFormat="1" ht="19.5" hidden="1" customHeight="1">
      <c r="A415" s="35" t="e">
        <f t="shared" si="57"/>
        <v>#REF!</v>
      </c>
      <c r="B415" s="81"/>
      <c r="C415" s="3"/>
      <c r="D415" s="46"/>
      <c r="E415" s="3"/>
      <c r="F415" s="3"/>
      <c r="G415" s="3"/>
      <c r="H415" s="41"/>
      <c r="I415" s="3" t="s">
        <v>50</v>
      </c>
      <c r="J415" s="78"/>
      <c r="K415" s="78"/>
      <c r="L415" s="149" t="s">
        <v>52</v>
      </c>
      <c r="M415" s="149"/>
      <c r="N415" s="44" t="str">
        <f>IF(C415="","",C415)</f>
        <v/>
      </c>
      <c r="O415" s="45" t="s">
        <v>95</v>
      </c>
      <c r="P415" s="95"/>
      <c r="Q415" s="95"/>
      <c r="R415" s="47"/>
      <c r="S415" s="48"/>
      <c r="T415" s="345"/>
      <c r="U415" s="346"/>
      <c r="V415" s="346"/>
      <c r="W415" s="3"/>
      <c r="X415" s="106" t="s">
        <v>66</v>
      </c>
      <c r="Y415" s="134"/>
      <c r="Z415" s="134"/>
      <c r="AA415" s="71"/>
      <c r="AB415" s="63" t="s">
        <v>94</v>
      </c>
      <c r="AC415" s="50"/>
      <c r="AD415" s="106" t="s">
        <v>87</v>
      </c>
      <c r="AE415" s="97" t="str">
        <f>IF(OR(V415="電話不通 x2",V415="DS判断"),"DS確認→U列入力",IF(V415="希望","U列入力",IF(V415="拒否","DS確認",IF(V415="外国語","DS確認",IF(V415="電話不通 x1","ORM再架電","-")))))</f>
        <v>-</v>
      </c>
      <c r="AF415" s="107">
        <v>0.69444444444444453</v>
      </c>
      <c r="AG415" s="110">
        <v>0.72569444444444453</v>
      </c>
      <c r="AH415" s="121"/>
      <c r="AI415" s="54"/>
      <c r="AJ415" s="3"/>
      <c r="AK415" s="3"/>
      <c r="AL415" s="3"/>
      <c r="AM415" s="4"/>
      <c r="AN415" s="4"/>
      <c r="AO415" s="3"/>
      <c r="AP415" s="4"/>
      <c r="AQ415" s="3"/>
      <c r="AR415" s="3"/>
      <c r="AS415" s="3"/>
    </row>
    <row r="416" spans="1:45" s="53" customFormat="1" ht="19.5" hidden="1" customHeight="1">
      <c r="A416" s="35" t="e">
        <f t="shared" si="57"/>
        <v>#REF!</v>
      </c>
      <c r="B416" s="81"/>
      <c r="C416" s="3"/>
      <c r="D416" s="46"/>
      <c r="E416" s="3"/>
      <c r="F416" s="3"/>
      <c r="G416" s="3"/>
      <c r="H416" s="41"/>
      <c r="I416" s="3" t="s">
        <v>50</v>
      </c>
      <c r="J416" s="78"/>
      <c r="K416" s="78"/>
      <c r="L416" s="149" t="s">
        <v>52</v>
      </c>
      <c r="M416" s="149"/>
      <c r="N416" s="44"/>
      <c r="O416" s="45" t="s">
        <v>95</v>
      </c>
      <c r="P416" s="96" t="s">
        <v>56</v>
      </c>
      <c r="Q416" s="96">
        <v>10</v>
      </c>
      <c r="R416" s="47"/>
      <c r="S416" s="48"/>
      <c r="T416" s="345"/>
      <c r="U416" s="346"/>
      <c r="V416" s="346"/>
      <c r="W416" s="3"/>
      <c r="X416" s="118" t="s">
        <v>66</v>
      </c>
      <c r="Y416" s="134"/>
      <c r="Z416" s="134"/>
      <c r="AA416" s="71"/>
      <c r="AB416" s="83" t="s">
        <v>94</v>
      </c>
      <c r="AC416" s="50"/>
      <c r="AD416" s="118" t="s">
        <v>87</v>
      </c>
      <c r="AE416" s="83" t="str">
        <f>IF(OR(V416="電話不通 x2",V416="DS判断"),"DS確認→U列入力",IF(V416="希望","U列入力",IF(V416="拒否","DS確認",IF(V416="外国語","DS確認",IF(V416="電話不通 x1","ORM再架電","-")))))</f>
        <v>-</v>
      </c>
      <c r="AF416" s="105">
        <v>0.69444444444444453</v>
      </c>
      <c r="AG416" s="110">
        <v>0.72569444444444453</v>
      </c>
      <c r="AH416" s="121"/>
      <c r="AI416" s="54"/>
      <c r="AJ416" s="3"/>
      <c r="AK416" s="3"/>
      <c r="AL416" s="3"/>
      <c r="AM416" s="4"/>
      <c r="AN416" s="4"/>
      <c r="AO416" s="3"/>
      <c r="AP416" s="4"/>
      <c r="AQ416" s="3"/>
      <c r="AR416" s="3"/>
      <c r="AS416" s="3"/>
    </row>
    <row r="417" spans="1:45" s="53" customFormat="1" ht="19.5" hidden="1" customHeight="1">
      <c r="A417" s="35" t="e">
        <f t="shared" si="57"/>
        <v>#REF!</v>
      </c>
      <c r="B417" s="81"/>
      <c r="C417" s="3"/>
      <c r="D417" s="46"/>
      <c r="E417" s="3"/>
      <c r="F417" s="3"/>
      <c r="G417" s="3"/>
      <c r="H417" s="41"/>
      <c r="I417" s="3" t="s">
        <v>50</v>
      </c>
      <c r="J417" s="78"/>
      <c r="K417" s="78"/>
      <c r="L417" s="149" t="s">
        <v>52</v>
      </c>
      <c r="M417" s="149"/>
      <c r="N417" s="44"/>
      <c r="O417" s="45" t="s">
        <v>95</v>
      </c>
      <c r="P417" s="96" t="s">
        <v>56</v>
      </c>
      <c r="Q417" s="96">
        <v>10</v>
      </c>
      <c r="R417" s="47"/>
      <c r="S417" s="48"/>
      <c r="T417" s="345"/>
      <c r="U417" s="346"/>
      <c r="V417" s="346"/>
      <c r="W417" s="3"/>
      <c r="X417" s="106" t="s">
        <v>126</v>
      </c>
      <c r="Y417" s="134"/>
      <c r="Z417" s="134"/>
      <c r="AA417" s="71"/>
      <c r="AB417" s="83" t="s">
        <v>140</v>
      </c>
      <c r="AC417" s="50"/>
      <c r="AD417" s="118" t="s">
        <v>87</v>
      </c>
      <c r="AE417" s="83" t="str">
        <f>IF(OR(V417="電話不通 x2",V417="DS判断"),"DS確認→U列入力",IF(V417="希望","U列入力",IF(V417="拒否","DS確認",IF(V417="外国語","DS確認",IF(V417="電話不通 x1","ORM再架電","-")))))</f>
        <v>-</v>
      </c>
      <c r="AF417" s="105">
        <v>0.69444444444444453</v>
      </c>
      <c r="AG417" s="110">
        <v>0.72569444444444453</v>
      </c>
      <c r="AH417" s="121"/>
      <c r="AI417" s="54"/>
      <c r="AJ417" s="3"/>
      <c r="AK417" s="3"/>
      <c r="AL417" s="3"/>
      <c r="AM417" s="4"/>
      <c r="AN417" s="4"/>
      <c r="AO417" s="3"/>
      <c r="AP417" s="4"/>
      <c r="AQ417" s="3"/>
      <c r="AR417" s="3"/>
      <c r="AS417" s="3"/>
    </row>
    <row r="418" spans="1:45" s="53" customFormat="1" ht="19.5" hidden="1" customHeight="1">
      <c r="A418" s="35" t="e">
        <f>A416</f>
        <v>#REF!</v>
      </c>
      <c r="B418" s="81"/>
      <c r="C418" s="3"/>
      <c r="D418" s="182"/>
      <c r="E418" s="3"/>
      <c r="F418" s="3"/>
      <c r="G418" s="3"/>
      <c r="H418" s="41"/>
      <c r="I418" s="183" t="s">
        <v>50</v>
      </c>
      <c r="J418" s="184"/>
      <c r="K418" s="78"/>
      <c r="L418" s="149" t="s">
        <v>52</v>
      </c>
      <c r="M418" s="149"/>
      <c r="N418" s="44"/>
      <c r="O418" s="45" t="s">
        <v>95</v>
      </c>
      <c r="P418" s="116" t="s">
        <v>56</v>
      </c>
      <c r="Q418" s="116">
        <v>10</v>
      </c>
      <c r="R418" s="47"/>
      <c r="S418" s="48"/>
      <c r="T418" s="345"/>
      <c r="U418" s="346"/>
      <c r="V418" s="346"/>
      <c r="W418" s="3"/>
      <c r="X418" s="117" t="s">
        <v>141</v>
      </c>
      <c r="Y418" s="134"/>
      <c r="Z418" s="134"/>
      <c r="AA418" s="176"/>
      <c r="AB418" s="89" t="s">
        <v>97</v>
      </c>
      <c r="AC418" s="50"/>
      <c r="AD418" s="118" t="s">
        <v>87</v>
      </c>
      <c r="AE418" s="3" t="str">
        <f>IF(OR(V418="電話不通 x2",V418="DS判断"),"DS確認→U列入力",IF(V418="希望","U列入力",IF(V418="拒否","DS確認",IF(V418="外国語","DS確認",IF(V418="電話不通 x1","ORM再架電","-")))))</f>
        <v>-</v>
      </c>
      <c r="AF418" s="105">
        <v>0.69444444444444453</v>
      </c>
      <c r="AG418" s="110">
        <v>0.72569444444444453</v>
      </c>
      <c r="AH418" s="121"/>
      <c r="AI418" s="54"/>
      <c r="AJ418" s="3"/>
      <c r="AK418" s="3"/>
      <c r="AL418" s="3"/>
      <c r="AM418" s="4"/>
      <c r="AN418" s="4"/>
      <c r="AO418" s="3"/>
      <c r="AP418" s="4"/>
      <c r="AQ418" s="3"/>
      <c r="AR418" s="3"/>
      <c r="AS418" s="3"/>
    </row>
    <row r="419" spans="1:45" s="53" customFormat="1" ht="19.5" hidden="1" customHeight="1">
      <c r="A419" s="35" t="e">
        <f>#REF!</f>
        <v>#REF!</v>
      </c>
      <c r="B419" s="81"/>
      <c r="C419" s="3"/>
      <c r="D419" s="46"/>
      <c r="E419" s="3"/>
      <c r="F419" s="3"/>
      <c r="G419" s="3"/>
      <c r="H419" s="41"/>
      <c r="I419" s="3" t="s">
        <v>50</v>
      </c>
      <c r="J419" s="78"/>
      <c r="K419" s="78"/>
      <c r="L419" s="98" t="s">
        <v>52</v>
      </c>
      <c r="M419" s="98"/>
      <c r="N419" s="44" t="str">
        <f>IF(C419="","",C419)</f>
        <v/>
      </c>
      <c r="O419" s="45" t="s">
        <v>95</v>
      </c>
      <c r="P419" s="96" t="s">
        <v>56</v>
      </c>
      <c r="Q419" s="96">
        <v>10</v>
      </c>
      <c r="R419" s="47"/>
      <c r="S419" s="48"/>
      <c r="T419" s="345"/>
      <c r="U419" s="346"/>
      <c r="V419" s="346"/>
      <c r="W419" s="3"/>
      <c r="X419" s="106" t="s">
        <v>126</v>
      </c>
      <c r="Y419" s="134"/>
      <c r="Z419" s="134"/>
      <c r="AA419" s="71"/>
      <c r="AB419" s="97" t="s">
        <v>139</v>
      </c>
      <c r="AC419" s="50"/>
      <c r="AD419" s="106" t="s">
        <v>142</v>
      </c>
      <c r="AE419" s="3" t="s">
        <v>83</v>
      </c>
      <c r="AF419" s="107">
        <v>0.70138888888888884</v>
      </c>
      <c r="AG419" s="119">
        <v>0.72222222222222221</v>
      </c>
      <c r="AI419" s="54"/>
      <c r="AJ419" s="3"/>
      <c r="AK419" s="3">
        <v>1</v>
      </c>
      <c r="AL419" s="3"/>
      <c r="AM419" s="4"/>
      <c r="AN419" s="4"/>
      <c r="AO419" s="3"/>
      <c r="AP419" s="4"/>
      <c r="AQ419" s="3"/>
      <c r="AR419" s="3"/>
      <c r="AS419" s="3"/>
    </row>
    <row r="420" spans="1:45" s="53" customFormat="1" ht="19.5" hidden="1" customHeight="1">
      <c r="A420" s="35" t="e">
        <f>A419</f>
        <v>#REF!</v>
      </c>
      <c r="B420" s="81"/>
      <c r="C420" s="3"/>
      <c r="D420" s="46"/>
      <c r="E420" s="3"/>
      <c r="F420" s="3"/>
      <c r="G420" s="3"/>
      <c r="H420" s="41"/>
      <c r="I420" s="3" t="s">
        <v>50</v>
      </c>
      <c r="J420" s="78"/>
      <c r="K420" s="78"/>
      <c r="L420" s="98" t="s">
        <v>52</v>
      </c>
      <c r="M420" s="98"/>
      <c r="N420" s="44" t="str">
        <f>IF(C420="","",C420)</f>
        <v/>
      </c>
      <c r="O420" s="45" t="s">
        <v>95</v>
      </c>
      <c r="P420" s="96" t="s">
        <v>56</v>
      </c>
      <c r="Q420" s="96">
        <v>10</v>
      </c>
      <c r="R420" s="47"/>
      <c r="S420" s="48"/>
      <c r="T420" s="345"/>
      <c r="U420" s="346"/>
      <c r="V420" s="346"/>
      <c r="W420" s="3"/>
      <c r="X420" s="106" t="s">
        <v>126</v>
      </c>
      <c r="Y420" s="134"/>
      <c r="Z420" s="134"/>
      <c r="AA420" s="71"/>
      <c r="AB420" s="97" t="s">
        <v>139</v>
      </c>
      <c r="AC420" s="50"/>
      <c r="AD420" s="106" t="s">
        <v>142</v>
      </c>
      <c r="AE420" s="3" t="s">
        <v>83</v>
      </c>
      <c r="AF420" s="107">
        <v>0.70138888888888884</v>
      </c>
      <c r="AG420" s="108">
        <v>0.73263888888888884</v>
      </c>
      <c r="AH420" s="109"/>
      <c r="AI420" s="54"/>
      <c r="AJ420" s="3"/>
      <c r="AK420" s="3">
        <v>1</v>
      </c>
      <c r="AL420" s="3"/>
      <c r="AM420" s="4"/>
      <c r="AN420" s="4"/>
      <c r="AO420" s="3"/>
      <c r="AP420" s="4"/>
      <c r="AQ420" s="3"/>
      <c r="AR420" s="3"/>
      <c r="AS420" s="3"/>
    </row>
    <row r="421" spans="1:45" s="53" customFormat="1" ht="19.5" hidden="1" customHeight="1">
      <c r="A421" s="35" t="e">
        <f>#REF!</f>
        <v>#REF!</v>
      </c>
      <c r="B421" s="81"/>
      <c r="C421" s="3"/>
      <c r="D421" s="46"/>
      <c r="E421" s="3"/>
      <c r="F421" s="3"/>
      <c r="G421" s="3"/>
      <c r="H421" s="41"/>
      <c r="I421" s="3" t="s">
        <v>50</v>
      </c>
      <c r="J421" s="78"/>
      <c r="K421" s="78"/>
      <c r="L421" s="98" t="s">
        <v>52</v>
      </c>
      <c r="M421" s="98"/>
      <c r="N421" s="44" t="str">
        <f>IF(C421="","",C421)</f>
        <v/>
      </c>
      <c r="O421" s="45" t="s">
        <v>95</v>
      </c>
      <c r="P421" s="96" t="s">
        <v>56</v>
      </c>
      <c r="Q421" s="96">
        <v>10</v>
      </c>
      <c r="R421" s="47"/>
      <c r="S421" s="48"/>
      <c r="T421" s="345"/>
      <c r="U421" s="346"/>
      <c r="V421" s="346"/>
      <c r="W421" s="3"/>
      <c r="X421" s="106" t="s">
        <v>126</v>
      </c>
      <c r="Y421" s="134"/>
      <c r="Z421" s="134"/>
      <c r="AA421" s="71"/>
      <c r="AB421" s="97" t="s">
        <v>139</v>
      </c>
      <c r="AC421" s="50"/>
      <c r="AD421" s="106" t="s">
        <v>142</v>
      </c>
      <c r="AE421" s="3" t="s">
        <v>83</v>
      </c>
      <c r="AF421" s="107">
        <v>0.70138888888888884</v>
      </c>
      <c r="AG421" s="177">
        <v>0.72916666666666663</v>
      </c>
      <c r="AH421" s="178">
        <v>10</v>
      </c>
      <c r="AI421" s="54"/>
      <c r="AJ421" s="3"/>
      <c r="AK421" s="3"/>
      <c r="AL421" s="3"/>
      <c r="AM421" s="4"/>
      <c r="AN421" s="4"/>
      <c r="AO421" s="3"/>
      <c r="AP421" s="4"/>
      <c r="AQ421" s="3"/>
      <c r="AR421" s="3"/>
      <c r="AS421" s="3"/>
    </row>
    <row r="422" spans="1:45" s="53" customFormat="1" ht="19.5" hidden="1" customHeight="1">
      <c r="A422" s="35" t="e">
        <f>#REF!</f>
        <v>#REF!</v>
      </c>
      <c r="B422" s="81"/>
      <c r="C422" s="3"/>
      <c r="D422" s="46"/>
      <c r="E422" s="3"/>
      <c r="F422" s="3"/>
      <c r="G422" s="3"/>
      <c r="H422" s="41"/>
      <c r="I422" s="3"/>
      <c r="J422" s="78"/>
      <c r="K422" s="78"/>
      <c r="L422" s="78"/>
      <c r="M422" s="78"/>
      <c r="N422" s="44"/>
      <c r="O422" s="45"/>
      <c r="P422" s="46"/>
      <c r="Q422" s="46"/>
      <c r="R422" s="47"/>
      <c r="S422" s="48"/>
      <c r="T422" s="345"/>
      <c r="U422" s="346"/>
      <c r="V422" s="346"/>
      <c r="W422" s="3"/>
      <c r="X422" s="50"/>
      <c r="Y422" s="80"/>
      <c r="Z422" s="80"/>
      <c r="AA422" s="3"/>
      <c r="AC422" s="50"/>
      <c r="AD422" s="50"/>
      <c r="AE422" s="3"/>
      <c r="AF422" s="51"/>
      <c r="AG422" s="52"/>
      <c r="AI422" s="54"/>
      <c r="AJ422" s="3"/>
      <c r="AK422" s="3"/>
      <c r="AL422" s="3"/>
      <c r="AM422" s="4"/>
      <c r="AN422" s="4"/>
      <c r="AO422" s="3"/>
      <c r="AP422" s="4"/>
      <c r="AQ422" s="3"/>
      <c r="AR422" s="3"/>
      <c r="AS422" s="3"/>
    </row>
    <row r="423" spans="1:45" s="53" customFormat="1" ht="19.5" customHeight="1">
      <c r="A423" s="35" t="e">
        <f>#REF!</f>
        <v>#REF!</v>
      </c>
      <c r="B423" s="81"/>
      <c r="C423" s="3"/>
      <c r="D423" s="46"/>
      <c r="E423" s="3"/>
      <c r="F423" s="3"/>
      <c r="G423" s="3"/>
      <c r="H423" s="41"/>
      <c r="I423" s="3"/>
      <c r="J423" s="78"/>
      <c r="K423" s="78"/>
      <c r="L423" s="78"/>
      <c r="M423" s="78"/>
      <c r="N423" s="44"/>
      <c r="O423" s="45"/>
      <c r="P423" s="46"/>
      <c r="Q423" s="46"/>
      <c r="R423" s="47"/>
      <c r="S423" s="48"/>
      <c r="T423" s="345"/>
      <c r="U423" s="346"/>
      <c r="V423" s="346"/>
      <c r="W423" s="3"/>
      <c r="X423" s="50"/>
      <c r="Y423" s="80"/>
      <c r="Z423" s="80"/>
      <c r="AA423" s="3"/>
      <c r="AC423" s="50"/>
      <c r="AD423" s="50"/>
      <c r="AE423" s="3"/>
      <c r="AF423" s="51"/>
      <c r="AG423" s="52"/>
      <c r="AI423" s="54"/>
      <c r="AJ423" s="3"/>
      <c r="AK423" s="3"/>
      <c r="AL423" s="3"/>
      <c r="AM423" s="4"/>
      <c r="AN423" s="4"/>
      <c r="AO423" s="3"/>
      <c r="AP423" s="4"/>
      <c r="AQ423" s="3"/>
      <c r="AR423" s="3"/>
      <c r="AS423" s="3"/>
    </row>
    <row r="424" spans="1:45" ht="19.5" customHeight="1">
      <c r="A424" s="35" t="e">
        <f t="shared" si="57"/>
        <v>#REF!</v>
      </c>
      <c r="P424" s="46"/>
      <c r="R424" s="47"/>
      <c r="AF424" s="51"/>
      <c r="AG424" s="52"/>
      <c r="AI424" s="54"/>
      <c r="AK424" s="3">
        <v>1</v>
      </c>
      <c r="AP424" s="4"/>
    </row>
    <row r="425" spans="1:45" s="53" customFormat="1" ht="19.5" customHeight="1">
      <c r="A425" s="35" t="e">
        <f t="shared" si="57"/>
        <v>#REF!</v>
      </c>
      <c r="B425" s="81"/>
      <c r="C425" s="3"/>
      <c r="D425" s="46"/>
      <c r="E425" s="3"/>
      <c r="F425" s="3"/>
      <c r="G425" s="3"/>
      <c r="H425" s="41"/>
      <c r="I425" s="37" t="s">
        <v>50</v>
      </c>
      <c r="J425" s="43"/>
      <c r="K425" s="43"/>
      <c r="L425" s="43" t="s">
        <v>52</v>
      </c>
      <c r="M425" s="78"/>
      <c r="N425" s="44" t="str">
        <f t="shared" ref="N425:N488" si="60">IF(C425="","",C425)</f>
        <v/>
      </c>
      <c r="O425" s="45" t="s">
        <v>61</v>
      </c>
      <c r="P425" s="67"/>
      <c r="Q425" s="67"/>
      <c r="R425" s="68"/>
      <c r="S425" s="69"/>
      <c r="T425" s="79"/>
      <c r="U425" s="114" t="s">
        <v>89</v>
      </c>
      <c r="V425" s="3"/>
      <c r="W425" s="3"/>
      <c r="X425" s="84" t="s">
        <v>66</v>
      </c>
      <c r="Y425" s="80"/>
      <c r="Z425" s="80"/>
      <c r="AA425" s="3"/>
      <c r="AC425" s="50"/>
      <c r="AD425" s="50"/>
      <c r="AE425" s="3" t="str">
        <f t="shared" ref="AE425:AE436" si="61">IF(OR(V425="電話不通 x2",V425="DS判断"),"DS確認→U列入力",IF(V425="希望","U列入力",IF(V425="拒否","DS確認",IF(V425="外国語","DS確認",IF(V425="電話不通 x1","ORM再架電","-")))))</f>
        <v>-</v>
      </c>
      <c r="AF425" s="51"/>
      <c r="AG425" s="52" t="str">
        <f t="shared" ref="AG425:AG447" ca="1" si="62">IF(AF425="","",IF($AF425+TIME(0,30,0)&lt;(TEXT(NOW(),"h:mm:ss")*1),$AF425+TIME(0,45,0),$AF425+TIME(0,30,0)))</f>
        <v/>
      </c>
      <c r="AI425" s="54"/>
      <c r="AJ425" s="3"/>
      <c r="AK425" s="3">
        <v>1</v>
      </c>
      <c r="AL425" s="3"/>
      <c r="AM425" s="4"/>
      <c r="AN425" s="4"/>
      <c r="AO425" s="3"/>
      <c r="AP425" s="4"/>
      <c r="AQ425" s="3"/>
      <c r="AR425" s="3"/>
      <c r="AS425" s="3"/>
    </row>
    <row r="426" spans="1:45" s="53" customFormat="1" ht="19.5" customHeight="1">
      <c r="A426" s="35" t="e">
        <f t="shared" si="57"/>
        <v>#REF!</v>
      </c>
      <c r="B426" s="81"/>
      <c r="C426" s="3"/>
      <c r="D426" s="46"/>
      <c r="E426" s="3"/>
      <c r="F426" s="3"/>
      <c r="G426" s="3"/>
      <c r="H426" s="41"/>
      <c r="I426" s="37" t="s">
        <v>50</v>
      </c>
      <c r="J426" s="43"/>
      <c r="K426" s="43"/>
      <c r="L426" s="43" t="s">
        <v>52</v>
      </c>
      <c r="M426" s="78"/>
      <c r="N426" s="44" t="str">
        <f t="shared" si="60"/>
        <v/>
      </c>
      <c r="O426" s="45" t="s">
        <v>61</v>
      </c>
      <c r="P426" s="67"/>
      <c r="Q426" s="67"/>
      <c r="R426" s="68"/>
      <c r="S426" s="69"/>
      <c r="T426" s="82">
        <v>0.6875</v>
      </c>
      <c r="U426" s="87">
        <v>0.69444444444444453</v>
      </c>
      <c r="V426" s="3"/>
      <c r="W426" s="3"/>
      <c r="X426" s="84" t="s">
        <v>66</v>
      </c>
      <c r="Y426" s="80"/>
      <c r="Z426" s="80"/>
      <c r="AA426" s="3"/>
      <c r="AC426" s="50"/>
      <c r="AD426" s="50"/>
      <c r="AE426" s="3" t="str">
        <f t="shared" si="61"/>
        <v>-</v>
      </c>
      <c r="AF426" s="51"/>
      <c r="AG426" s="52" t="str">
        <f t="shared" ca="1" si="62"/>
        <v/>
      </c>
      <c r="AI426" s="54"/>
      <c r="AJ426" s="3"/>
      <c r="AK426" s="3">
        <v>1</v>
      </c>
      <c r="AL426" s="3"/>
      <c r="AM426" s="4"/>
      <c r="AN426" s="4"/>
      <c r="AO426" s="3"/>
      <c r="AP426" s="4"/>
      <c r="AQ426" s="3"/>
      <c r="AR426" s="3"/>
      <c r="AS426" s="3"/>
    </row>
    <row r="427" spans="1:45" s="53" customFormat="1" ht="19.5" customHeight="1">
      <c r="A427" s="35" t="e">
        <f t="shared" si="57"/>
        <v>#REF!</v>
      </c>
      <c r="B427" s="81"/>
      <c r="C427" s="3"/>
      <c r="D427" s="88"/>
      <c r="E427" s="3"/>
      <c r="F427" s="3"/>
      <c r="G427" s="3"/>
      <c r="H427" s="41"/>
      <c r="I427" s="89" t="s">
        <v>50</v>
      </c>
      <c r="J427" s="90"/>
      <c r="K427" s="43"/>
      <c r="L427" s="43" t="s">
        <v>52</v>
      </c>
      <c r="M427" s="78"/>
      <c r="N427" s="44" t="str">
        <f t="shared" si="60"/>
        <v/>
      </c>
      <c r="O427" s="45" t="s">
        <v>61</v>
      </c>
      <c r="P427" s="67"/>
      <c r="Q427" s="67"/>
      <c r="R427" s="68"/>
      <c r="S427" s="69"/>
      <c r="T427" s="82">
        <v>0.6875</v>
      </c>
      <c r="U427" s="91">
        <v>0.69444444444444453</v>
      </c>
      <c r="V427" s="89" t="s">
        <v>67</v>
      </c>
      <c r="W427" s="3"/>
      <c r="X427" s="84" t="s">
        <v>66</v>
      </c>
      <c r="Y427" s="80"/>
      <c r="Z427" s="80"/>
      <c r="AA427" s="3"/>
      <c r="AC427" s="50"/>
      <c r="AD427" s="50"/>
      <c r="AE427" s="3" t="str">
        <f t="shared" si="61"/>
        <v>-</v>
      </c>
      <c r="AF427" s="51"/>
      <c r="AG427" s="52" t="str">
        <f t="shared" ca="1" si="62"/>
        <v/>
      </c>
      <c r="AI427" s="54"/>
      <c r="AJ427" s="3"/>
      <c r="AK427" s="3">
        <v>1</v>
      </c>
      <c r="AL427" s="3"/>
      <c r="AM427" s="4"/>
      <c r="AN427" s="4"/>
      <c r="AO427" s="3"/>
      <c r="AP427" s="4"/>
      <c r="AQ427" s="3"/>
      <c r="AR427" s="3"/>
      <c r="AS427" s="3"/>
    </row>
    <row r="428" spans="1:45" s="53" customFormat="1" ht="19.5" customHeight="1">
      <c r="A428" s="35" t="e">
        <f t="shared" si="57"/>
        <v>#REF!</v>
      </c>
      <c r="B428" s="81"/>
      <c r="C428" s="3"/>
      <c r="D428" s="46"/>
      <c r="E428" s="3"/>
      <c r="F428" s="3"/>
      <c r="G428" s="3"/>
      <c r="H428" s="41"/>
      <c r="I428" s="37" t="s">
        <v>50</v>
      </c>
      <c r="J428" s="43"/>
      <c r="K428" s="43"/>
      <c r="L428" s="43" t="s">
        <v>52</v>
      </c>
      <c r="M428" s="78"/>
      <c r="N428" s="44" t="str">
        <f t="shared" si="60"/>
        <v/>
      </c>
      <c r="O428" s="45" t="s">
        <v>61</v>
      </c>
      <c r="P428" s="67"/>
      <c r="Q428" s="67"/>
      <c r="R428" s="68"/>
      <c r="S428" s="69"/>
      <c r="T428" s="82">
        <v>0.6875</v>
      </c>
      <c r="U428" s="82">
        <v>0.69444444444444453</v>
      </c>
      <c r="V428" s="97" t="s">
        <v>85</v>
      </c>
      <c r="W428" s="3"/>
      <c r="X428" s="84" t="s">
        <v>66</v>
      </c>
      <c r="Y428" s="100"/>
      <c r="Z428" s="80"/>
      <c r="AA428" s="3"/>
      <c r="AC428" s="50"/>
      <c r="AD428" s="50"/>
      <c r="AE428" s="3" t="str">
        <f t="shared" si="61"/>
        <v>-</v>
      </c>
      <c r="AF428" s="51"/>
      <c r="AG428" s="52" t="str">
        <f t="shared" ca="1" si="62"/>
        <v/>
      </c>
      <c r="AI428" s="54"/>
      <c r="AJ428" s="3"/>
      <c r="AK428" s="3">
        <v>1</v>
      </c>
      <c r="AL428" s="3"/>
      <c r="AM428" s="4"/>
      <c r="AN428" s="4"/>
      <c r="AO428" s="3"/>
      <c r="AP428" s="4"/>
      <c r="AQ428" s="3"/>
      <c r="AR428" s="3"/>
      <c r="AS428" s="3"/>
    </row>
    <row r="429" spans="1:45" s="53" customFormat="1" ht="19.5" customHeight="1">
      <c r="A429" s="35" t="e">
        <f t="shared" si="57"/>
        <v>#REF!</v>
      </c>
      <c r="B429" s="81"/>
      <c r="C429" s="3"/>
      <c r="D429" s="46"/>
      <c r="E429" s="3"/>
      <c r="F429" s="3"/>
      <c r="G429" s="3"/>
      <c r="H429" s="41"/>
      <c r="I429" s="3"/>
      <c r="J429" s="78"/>
      <c r="K429" s="78"/>
      <c r="L429" s="78"/>
      <c r="M429" s="78"/>
      <c r="N429" s="44" t="str">
        <f t="shared" si="60"/>
        <v/>
      </c>
      <c r="O429" s="45"/>
      <c r="P429" s="3"/>
      <c r="Q429" s="46"/>
      <c r="R429" s="47"/>
      <c r="S429" s="48"/>
      <c r="T429" s="80"/>
      <c r="U429" s="80"/>
      <c r="V429" s="3"/>
      <c r="W429" s="3"/>
      <c r="X429" s="50"/>
      <c r="Y429" s="80"/>
      <c r="Z429" s="80"/>
      <c r="AA429" s="3"/>
      <c r="AC429" s="50"/>
      <c r="AD429" s="50"/>
      <c r="AE429" s="3" t="str">
        <f t="shared" si="61"/>
        <v>-</v>
      </c>
      <c r="AF429" s="51"/>
      <c r="AG429" s="52" t="str">
        <f t="shared" ca="1" si="62"/>
        <v/>
      </c>
      <c r="AI429" s="54"/>
      <c r="AJ429" s="3"/>
      <c r="AK429" s="3">
        <v>1</v>
      </c>
      <c r="AL429" s="3"/>
      <c r="AM429" s="4"/>
      <c r="AN429" s="4"/>
      <c r="AO429" s="3"/>
      <c r="AP429" s="4"/>
      <c r="AQ429" s="3"/>
      <c r="AR429" s="3"/>
      <c r="AS429" s="3"/>
    </row>
    <row r="430" spans="1:45" s="53" customFormat="1" ht="19.5" customHeight="1">
      <c r="A430" s="35" t="e">
        <f t="shared" si="57"/>
        <v>#REF!</v>
      </c>
      <c r="B430" s="81"/>
      <c r="C430" s="3"/>
      <c r="D430" s="46"/>
      <c r="E430" s="3"/>
      <c r="F430" s="3"/>
      <c r="G430" s="3"/>
      <c r="H430" s="41"/>
      <c r="I430" s="3"/>
      <c r="J430" s="78"/>
      <c r="K430" s="78"/>
      <c r="L430" s="78"/>
      <c r="M430" s="78"/>
      <c r="N430" s="44" t="str">
        <f t="shared" si="60"/>
        <v/>
      </c>
      <c r="O430" s="45"/>
      <c r="P430" s="3"/>
      <c r="Q430" s="46"/>
      <c r="R430" s="47"/>
      <c r="S430" s="48"/>
      <c r="T430" s="80"/>
      <c r="U430" s="80"/>
      <c r="V430" s="3"/>
      <c r="W430" s="3"/>
      <c r="X430" s="50"/>
      <c r="Y430" s="80"/>
      <c r="Z430" s="80"/>
      <c r="AA430" s="3"/>
      <c r="AC430" s="50"/>
      <c r="AD430" s="50"/>
      <c r="AE430" s="3" t="str">
        <f t="shared" si="61"/>
        <v>-</v>
      </c>
      <c r="AF430" s="51"/>
      <c r="AG430" s="52" t="str">
        <f t="shared" ca="1" si="62"/>
        <v/>
      </c>
      <c r="AI430" s="54"/>
      <c r="AJ430" s="3"/>
      <c r="AK430" s="3">
        <v>1</v>
      </c>
      <c r="AL430" s="3"/>
      <c r="AM430" s="4"/>
      <c r="AN430" s="4"/>
      <c r="AO430" s="3"/>
      <c r="AP430" s="4"/>
      <c r="AQ430" s="3"/>
      <c r="AR430" s="3"/>
      <c r="AS430" s="3"/>
    </row>
    <row r="431" spans="1:45" s="53" customFormat="1" ht="19.5" customHeight="1">
      <c r="A431" s="35" t="e">
        <f t="shared" si="57"/>
        <v>#REF!</v>
      </c>
      <c r="B431" s="81"/>
      <c r="C431" s="3"/>
      <c r="D431" s="46"/>
      <c r="E431" s="3"/>
      <c r="F431" s="3"/>
      <c r="G431" s="3"/>
      <c r="H431" s="41"/>
      <c r="I431" s="37" t="s">
        <v>50</v>
      </c>
      <c r="J431" s="43"/>
      <c r="K431" s="43"/>
      <c r="L431" s="43" t="s">
        <v>52</v>
      </c>
      <c r="M431" s="78"/>
      <c r="N431" s="44" t="str">
        <f t="shared" si="60"/>
        <v/>
      </c>
      <c r="O431" s="45" t="s">
        <v>61</v>
      </c>
      <c r="P431" s="67"/>
      <c r="Q431" s="67"/>
      <c r="R431" s="68"/>
      <c r="S431" s="69"/>
      <c r="T431" s="79"/>
      <c r="U431" s="86"/>
      <c r="V431" s="3"/>
      <c r="W431" s="3"/>
      <c r="X431" s="84" t="s">
        <v>66</v>
      </c>
      <c r="Y431" s="80"/>
      <c r="Z431" s="80"/>
      <c r="AA431" s="3"/>
      <c r="AC431" s="50"/>
      <c r="AD431" s="50"/>
      <c r="AE431" s="3" t="str">
        <f t="shared" si="61"/>
        <v>-</v>
      </c>
      <c r="AF431" s="51"/>
      <c r="AG431" s="52" t="str">
        <f t="shared" ca="1" si="62"/>
        <v/>
      </c>
      <c r="AI431" s="54"/>
      <c r="AJ431" s="3"/>
      <c r="AK431" s="3">
        <v>1</v>
      </c>
      <c r="AL431" s="3"/>
      <c r="AM431" s="4"/>
      <c r="AN431" s="4"/>
      <c r="AO431" s="3"/>
      <c r="AP431" s="4"/>
      <c r="AQ431" s="3"/>
      <c r="AR431" s="3"/>
      <c r="AS431" s="3"/>
    </row>
    <row r="432" spans="1:45" s="53" customFormat="1" ht="19.5" customHeight="1">
      <c r="A432" s="35" t="e">
        <f t="shared" si="57"/>
        <v>#REF!</v>
      </c>
      <c r="B432" s="81"/>
      <c r="C432" s="3"/>
      <c r="D432" s="46"/>
      <c r="E432" s="3"/>
      <c r="F432" s="3"/>
      <c r="G432" s="3"/>
      <c r="H432" s="41"/>
      <c r="I432" s="37" t="s">
        <v>50</v>
      </c>
      <c r="J432" s="43"/>
      <c r="K432" s="43"/>
      <c r="L432" s="43" t="s">
        <v>52</v>
      </c>
      <c r="M432" s="78"/>
      <c r="N432" s="44" t="str">
        <f t="shared" si="60"/>
        <v/>
      </c>
      <c r="O432" s="45" t="s">
        <v>61</v>
      </c>
      <c r="P432" s="67"/>
      <c r="Q432" s="67"/>
      <c r="R432" s="68"/>
      <c r="S432" s="69"/>
      <c r="T432" s="82">
        <v>0.6875</v>
      </c>
      <c r="U432" s="87">
        <v>0.69444444444444453</v>
      </c>
      <c r="V432" s="3"/>
      <c r="W432" s="3"/>
      <c r="X432" s="84" t="s">
        <v>66</v>
      </c>
      <c r="Y432" s="80"/>
      <c r="Z432" s="80"/>
      <c r="AA432" s="3"/>
      <c r="AC432" s="50"/>
      <c r="AD432" s="50"/>
      <c r="AE432" s="3" t="str">
        <f t="shared" si="61"/>
        <v>-</v>
      </c>
      <c r="AF432" s="51"/>
      <c r="AG432" s="52" t="str">
        <f t="shared" ca="1" si="62"/>
        <v/>
      </c>
      <c r="AI432" s="54"/>
      <c r="AJ432" s="3"/>
      <c r="AK432" s="3">
        <v>1</v>
      </c>
      <c r="AL432" s="3"/>
      <c r="AM432" s="4"/>
      <c r="AN432" s="4"/>
      <c r="AO432" s="3"/>
      <c r="AP432" s="4"/>
      <c r="AQ432" s="3"/>
      <c r="AR432" s="3"/>
      <c r="AS432" s="3"/>
    </row>
    <row r="433" spans="1:45" s="53" customFormat="1" ht="19.5" customHeight="1">
      <c r="A433" s="35" t="e">
        <f t="shared" si="57"/>
        <v>#REF!</v>
      </c>
      <c r="B433" s="81"/>
      <c r="C433" s="3"/>
      <c r="D433" s="88"/>
      <c r="E433" s="3"/>
      <c r="F433" s="3"/>
      <c r="G433" s="3"/>
      <c r="H433" s="41"/>
      <c r="I433" s="89" t="s">
        <v>50</v>
      </c>
      <c r="J433" s="90"/>
      <c r="K433" s="43"/>
      <c r="L433" s="43" t="s">
        <v>52</v>
      </c>
      <c r="M433" s="78"/>
      <c r="N433" s="44" t="str">
        <f t="shared" si="60"/>
        <v/>
      </c>
      <c r="O433" s="45" t="s">
        <v>61</v>
      </c>
      <c r="P433" s="67"/>
      <c r="Q433" s="67"/>
      <c r="R433" s="68"/>
      <c r="S433" s="69"/>
      <c r="T433" s="82">
        <v>0.6875</v>
      </c>
      <c r="U433" s="91">
        <v>0.69444444444444453</v>
      </c>
      <c r="V433" s="89" t="s">
        <v>67</v>
      </c>
      <c r="W433" s="3"/>
      <c r="X433" s="84" t="s">
        <v>66</v>
      </c>
      <c r="Y433" s="80"/>
      <c r="Z433" s="80"/>
      <c r="AA433" s="3"/>
      <c r="AC433" s="50"/>
      <c r="AD433" s="50"/>
      <c r="AE433" s="3" t="str">
        <f t="shared" si="61"/>
        <v>-</v>
      </c>
      <c r="AF433" s="51"/>
      <c r="AG433" s="52" t="str">
        <f t="shared" ca="1" si="62"/>
        <v/>
      </c>
      <c r="AI433" s="54"/>
      <c r="AJ433" s="3"/>
      <c r="AK433" s="3">
        <v>1</v>
      </c>
      <c r="AL433" s="3"/>
      <c r="AM433" s="4"/>
      <c r="AN433" s="4"/>
      <c r="AO433" s="3"/>
      <c r="AP433" s="4"/>
      <c r="AQ433" s="3"/>
      <c r="AR433" s="3"/>
      <c r="AS433" s="3"/>
    </row>
    <row r="434" spans="1:45" s="53" customFormat="1" ht="19.5" customHeight="1">
      <c r="A434" s="35" t="e">
        <f t="shared" si="57"/>
        <v>#REF!</v>
      </c>
      <c r="B434" s="81"/>
      <c r="C434" s="3"/>
      <c r="D434" s="46"/>
      <c r="E434" s="3"/>
      <c r="F434" s="3"/>
      <c r="G434" s="3"/>
      <c r="H434" s="41"/>
      <c r="I434" s="37" t="s">
        <v>50</v>
      </c>
      <c r="J434" s="43"/>
      <c r="K434" s="43"/>
      <c r="L434" s="43" t="s">
        <v>52</v>
      </c>
      <c r="M434" s="78"/>
      <c r="N434" s="44" t="str">
        <f t="shared" si="60"/>
        <v/>
      </c>
      <c r="O434" s="45" t="s">
        <v>61</v>
      </c>
      <c r="P434" s="67"/>
      <c r="Q434" s="67"/>
      <c r="R434" s="68"/>
      <c r="S434" s="69"/>
      <c r="T434" s="82">
        <v>0.6875</v>
      </c>
      <c r="U434" s="82">
        <v>0.69444444444444453</v>
      </c>
      <c r="V434" s="83" t="s">
        <v>70</v>
      </c>
      <c r="W434" s="83"/>
      <c r="X434" s="84" t="s">
        <v>66</v>
      </c>
      <c r="Y434" s="80"/>
      <c r="Z434" s="80"/>
      <c r="AA434" s="3"/>
      <c r="AC434" s="50"/>
      <c r="AD434" s="50"/>
      <c r="AE434" s="3" t="str">
        <f t="shared" si="61"/>
        <v>-</v>
      </c>
      <c r="AF434" s="51"/>
      <c r="AG434" s="52" t="str">
        <f t="shared" ca="1" si="62"/>
        <v/>
      </c>
      <c r="AI434" s="54"/>
      <c r="AJ434" s="3"/>
      <c r="AK434" s="3">
        <v>1</v>
      </c>
      <c r="AL434" s="3"/>
      <c r="AM434" s="4"/>
      <c r="AN434" s="4"/>
      <c r="AO434" s="3"/>
      <c r="AP434" s="4"/>
      <c r="AQ434" s="3"/>
      <c r="AR434" s="3"/>
      <c r="AS434" s="3"/>
    </row>
    <row r="435" spans="1:45" s="53" customFormat="1" ht="19.5" customHeight="1">
      <c r="A435" s="35" t="e">
        <f t="shared" si="57"/>
        <v>#REF!</v>
      </c>
      <c r="B435" s="81"/>
      <c r="C435" s="3"/>
      <c r="D435" s="46"/>
      <c r="E435" s="3"/>
      <c r="F435" s="3"/>
      <c r="G435" s="3"/>
      <c r="H435" s="41"/>
      <c r="I435" s="37" t="s">
        <v>50</v>
      </c>
      <c r="J435" s="43"/>
      <c r="K435" s="43"/>
      <c r="L435" s="43" t="s">
        <v>52</v>
      </c>
      <c r="M435" s="78"/>
      <c r="N435" s="44" t="str">
        <f t="shared" si="60"/>
        <v/>
      </c>
      <c r="O435" s="45" t="s">
        <v>61</v>
      </c>
      <c r="P435" s="67"/>
      <c r="Q435" s="67"/>
      <c r="R435" s="68"/>
      <c r="S435" s="69"/>
      <c r="T435" s="82">
        <v>0.6875</v>
      </c>
      <c r="U435" s="82">
        <v>0.69444444444444453</v>
      </c>
      <c r="V435" s="63" t="s">
        <v>73</v>
      </c>
      <c r="W435" s="83"/>
      <c r="X435" s="84" t="s">
        <v>66</v>
      </c>
      <c r="Y435" s="80"/>
      <c r="Z435" s="80"/>
      <c r="AA435" s="3"/>
      <c r="AC435" s="50"/>
      <c r="AD435" s="50"/>
      <c r="AE435" s="3" t="str">
        <f t="shared" si="61"/>
        <v>-</v>
      </c>
      <c r="AF435" s="51"/>
      <c r="AG435" s="52" t="str">
        <f t="shared" ca="1" si="62"/>
        <v/>
      </c>
      <c r="AI435" s="54"/>
      <c r="AJ435" s="3"/>
      <c r="AK435" s="3">
        <v>1</v>
      </c>
      <c r="AL435" s="3"/>
      <c r="AM435" s="4"/>
      <c r="AN435" s="4"/>
      <c r="AO435" s="3"/>
      <c r="AP435" s="4"/>
      <c r="AQ435" s="3"/>
      <c r="AR435" s="3"/>
      <c r="AS435" s="3"/>
    </row>
    <row r="436" spans="1:45" s="53" customFormat="1" ht="19.5" customHeight="1">
      <c r="A436" s="35" t="e">
        <f t="shared" si="57"/>
        <v>#REF!</v>
      </c>
      <c r="B436" s="81"/>
      <c r="C436" s="3"/>
      <c r="D436" s="46"/>
      <c r="E436" s="3"/>
      <c r="F436" s="3"/>
      <c r="G436" s="3"/>
      <c r="H436" s="41"/>
      <c r="I436" s="37" t="s">
        <v>50</v>
      </c>
      <c r="J436" s="43"/>
      <c r="K436" s="43"/>
      <c r="L436" s="43" t="s">
        <v>52</v>
      </c>
      <c r="M436" s="78"/>
      <c r="N436" s="44" t="str">
        <f t="shared" si="60"/>
        <v/>
      </c>
      <c r="O436" s="45" t="s">
        <v>61</v>
      </c>
      <c r="P436" s="67"/>
      <c r="Q436" s="67"/>
      <c r="R436" s="68"/>
      <c r="S436" s="69"/>
      <c r="T436" s="82">
        <v>0.6875</v>
      </c>
      <c r="U436" s="82">
        <v>0.69444444444444453</v>
      </c>
      <c r="V436" s="92" t="s">
        <v>76</v>
      </c>
      <c r="W436" s="3"/>
      <c r="X436" s="84" t="s">
        <v>66</v>
      </c>
      <c r="Y436" s="80"/>
      <c r="Z436" s="80"/>
      <c r="AA436" s="3"/>
      <c r="AC436" s="50"/>
      <c r="AD436" s="50"/>
      <c r="AE436" s="3" t="str">
        <f t="shared" si="61"/>
        <v>DS確認</v>
      </c>
      <c r="AF436" s="51"/>
      <c r="AG436" s="52" t="str">
        <f t="shared" ca="1" si="62"/>
        <v/>
      </c>
      <c r="AI436" s="54"/>
      <c r="AJ436" s="3"/>
      <c r="AK436" s="3"/>
      <c r="AL436" s="3"/>
      <c r="AM436" s="4"/>
      <c r="AN436" s="4"/>
      <c r="AO436" s="3"/>
      <c r="AP436" s="4"/>
      <c r="AQ436" s="3"/>
      <c r="AR436" s="3"/>
      <c r="AS436" s="3"/>
    </row>
    <row r="437" spans="1:45" s="53" customFormat="1" ht="19.5" customHeight="1">
      <c r="A437" s="35"/>
      <c r="B437" s="81"/>
      <c r="C437" s="3"/>
      <c r="D437" s="46"/>
      <c r="E437" s="3"/>
      <c r="F437" s="3"/>
      <c r="G437" s="3"/>
      <c r="H437" s="41"/>
      <c r="I437" s="3"/>
      <c r="J437" s="78"/>
      <c r="K437" s="78"/>
      <c r="L437" s="78"/>
      <c r="M437" s="78"/>
      <c r="N437" s="44"/>
      <c r="O437" s="45"/>
      <c r="P437" s="3"/>
      <c r="Q437" s="46"/>
      <c r="R437" s="47"/>
      <c r="S437" s="48"/>
      <c r="T437" s="80"/>
      <c r="U437" s="80"/>
      <c r="V437" s="3"/>
      <c r="W437" s="3"/>
      <c r="X437" s="50"/>
      <c r="Y437" s="80"/>
      <c r="Z437" s="80"/>
      <c r="AA437" s="3"/>
      <c r="AC437" s="50"/>
      <c r="AD437" s="50"/>
      <c r="AE437" s="3"/>
      <c r="AF437" s="51"/>
      <c r="AG437" s="52"/>
      <c r="AI437" s="54"/>
      <c r="AJ437" s="3"/>
      <c r="AK437" s="3"/>
      <c r="AL437" s="3"/>
      <c r="AM437" s="4"/>
      <c r="AN437" s="4"/>
      <c r="AO437" s="3"/>
      <c r="AP437" s="4"/>
      <c r="AQ437" s="3"/>
      <c r="AR437" s="3"/>
      <c r="AS437" s="3"/>
    </row>
    <row r="438" spans="1:45" s="53" customFormat="1" ht="19.5" hidden="1" customHeight="1">
      <c r="A438" s="35" t="e">
        <f>A436</f>
        <v>#REF!</v>
      </c>
      <c r="B438" s="81"/>
      <c r="C438" s="3"/>
      <c r="D438" s="93" t="s">
        <v>77</v>
      </c>
      <c r="E438" s="3"/>
      <c r="F438" s="3"/>
      <c r="G438" s="3"/>
      <c r="H438" s="41"/>
      <c r="I438" s="3"/>
      <c r="J438" s="78"/>
      <c r="K438" s="78"/>
      <c r="L438" s="78"/>
      <c r="M438" s="78"/>
      <c r="N438" s="44"/>
      <c r="O438" s="45"/>
      <c r="P438" s="3"/>
      <c r="Q438" s="46"/>
      <c r="R438" s="47"/>
      <c r="S438" s="48"/>
      <c r="T438" s="80"/>
      <c r="U438" s="80"/>
      <c r="V438" s="3"/>
      <c r="W438" s="3"/>
      <c r="X438" s="50"/>
      <c r="Y438" s="80"/>
      <c r="Z438" s="80"/>
      <c r="AA438" s="3"/>
      <c r="AC438" s="50"/>
      <c r="AD438" s="50"/>
      <c r="AE438" s="3"/>
      <c r="AF438" s="51"/>
      <c r="AG438" s="52"/>
      <c r="AI438" s="54"/>
      <c r="AJ438" s="3"/>
      <c r="AK438" s="3"/>
      <c r="AL438" s="3"/>
      <c r="AM438" s="4"/>
      <c r="AN438" s="4"/>
      <c r="AO438" s="3"/>
      <c r="AP438" s="4"/>
      <c r="AQ438" s="3"/>
      <c r="AR438" s="3"/>
      <c r="AS438" s="3"/>
    </row>
    <row r="439" spans="1:45" s="53" customFormat="1" ht="19.5" hidden="1" customHeight="1">
      <c r="A439" s="35" t="e">
        <f t="shared" si="57"/>
        <v>#REF!</v>
      </c>
      <c r="B439" s="81"/>
      <c r="C439" s="3"/>
      <c r="D439" s="348" t="s">
        <v>78</v>
      </c>
      <c r="E439" s="3"/>
      <c r="F439" s="3"/>
      <c r="G439" s="3"/>
      <c r="H439" s="41"/>
      <c r="I439" s="3"/>
      <c r="J439" s="78"/>
      <c r="K439" s="78"/>
      <c r="L439" s="78"/>
      <c r="M439" s="78"/>
      <c r="N439" s="44"/>
      <c r="O439" s="45"/>
      <c r="P439" s="3"/>
      <c r="Q439" s="46"/>
      <c r="R439" s="47"/>
      <c r="S439" s="48"/>
      <c r="T439" s="80"/>
      <c r="U439" s="80"/>
      <c r="V439" s="3"/>
      <c r="W439" s="3"/>
      <c r="X439" s="50"/>
      <c r="Y439" s="80"/>
      <c r="Z439" s="80"/>
      <c r="AA439" s="3"/>
      <c r="AC439" s="50"/>
      <c r="AD439" s="50"/>
      <c r="AE439" s="3"/>
      <c r="AF439" s="51"/>
      <c r="AG439" s="52"/>
      <c r="AI439" s="54"/>
      <c r="AJ439" s="3"/>
      <c r="AK439" s="3">
        <v>1</v>
      </c>
      <c r="AL439" s="3"/>
      <c r="AM439" s="4"/>
      <c r="AN439" s="4"/>
      <c r="AO439" s="3"/>
      <c r="AP439" s="4"/>
      <c r="AQ439" s="3"/>
      <c r="AR439" s="3"/>
      <c r="AS439" s="3"/>
    </row>
    <row r="440" spans="1:45" s="53" customFormat="1" ht="21.6" hidden="1" customHeight="1">
      <c r="A440" s="35" t="e">
        <f t="shared" si="57"/>
        <v>#REF!</v>
      </c>
      <c r="B440" s="81"/>
      <c r="C440" s="3"/>
      <c r="D440" s="348"/>
      <c r="E440" s="3"/>
      <c r="F440" s="3"/>
      <c r="G440" s="3"/>
      <c r="H440" s="41"/>
      <c r="I440" s="3"/>
      <c r="J440" s="78"/>
      <c r="K440" s="78"/>
      <c r="L440" s="78"/>
      <c r="M440" s="78"/>
      <c r="N440" s="44" t="str">
        <f t="shared" si="60"/>
        <v/>
      </c>
      <c r="O440" s="45"/>
      <c r="P440" s="3"/>
      <c r="Q440" s="46"/>
      <c r="R440" s="47"/>
      <c r="S440" s="48"/>
      <c r="T440" s="80"/>
      <c r="U440" s="80"/>
      <c r="V440" s="3"/>
      <c r="W440" s="3"/>
      <c r="X440" s="50"/>
      <c r="Y440" s="80"/>
      <c r="Z440" s="80"/>
      <c r="AA440" s="3"/>
      <c r="AC440" s="50"/>
      <c r="AD440" s="50"/>
      <c r="AE440" s="3" t="str">
        <f>IF(OR(V440="電話不通 x2",V440="DS判断"),"DS確認→U列入力",IF(V440="希望","U列入力",IF(V440="拒否","DS確認",IF(V440="外国語","DS確認",IF(V440="電話不通 x1","ORM再架電","-")))))</f>
        <v>-</v>
      </c>
      <c r="AF440" s="51"/>
      <c r="AG440" s="52" t="str">
        <f t="shared" ca="1" si="62"/>
        <v/>
      </c>
      <c r="AI440" s="54"/>
      <c r="AJ440" s="3"/>
      <c r="AK440" s="3">
        <v>1</v>
      </c>
      <c r="AL440" s="3"/>
      <c r="AM440" s="4"/>
      <c r="AN440" s="4"/>
      <c r="AO440" s="3"/>
      <c r="AP440" s="4"/>
      <c r="AQ440" s="3"/>
      <c r="AR440" s="3"/>
      <c r="AS440" s="3"/>
    </row>
    <row r="441" spans="1:45" s="53" customFormat="1" ht="19.5" hidden="1" customHeight="1">
      <c r="A441" s="35" t="e">
        <f t="shared" si="57"/>
        <v>#REF!</v>
      </c>
      <c r="B441" s="81"/>
      <c r="C441" s="3"/>
      <c r="E441" s="3"/>
      <c r="F441" s="3"/>
      <c r="G441" s="3"/>
      <c r="H441" s="41"/>
      <c r="I441" s="3"/>
      <c r="J441" s="78"/>
      <c r="K441" s="78"/>
      <c r="L441" s="78"/>
      <c r="M441" s="78"/>
      <c r="N441" s="44" t="str">
        <f t="shared" si="60"/>
        <v/>
      </c>
      <c r="O441" s="45"/>
      <c r="P441" s="3"/>
      <c r="Q441" s="46"/>
      <c r="R441" s="47"/>
      <c r="S441" s="48"/>
      <c r="T441" s="80"/>
      <c r="U441" s="80"/>
      <c r="V441" s="3"/>
      <c r="W441" s="3"/>
      <c r="X441" s="50"/>
      <c r="Y441" s="80"/>
      <c r="Z441" s="80"/>
      <c r="AA441" s="3"/>
      <c r="AC441" s="50"/>
      <c r="AD441" s="50"/>
      <c r="AE441" s="3" t="str">
        <f>IF(OR(V441="電話不通 x2",V441="DS判断"),"DS確認→U列入力",IF(V441="希望","U列入力",IF(V441="拒否","DS確認",IF(V441="外国語","DS確認",IF(V441="電話不通 x1","ORM再架電","-")))))</f>
        <v>-</v>
      </c>
      <c r="AF441" s="51"/>
      <c r="AG441" s="52" t="str">
        <f t="shared" ca="1" si="62"/>
        <v/>
      </c>
      <c r="AI441" s="54"/>
      <c r="AJ441" s="3"/>
      <c r="AK441" s="3">
        <v>1</v>
      </c>
      <c r="AL441" s="3"/>
      <c r="AM441" s="4"/>
      <c r="AN441" s="4"/>
      <c r="AO441" s="3"/>
      <c r="AP441" s="4"/>
      <c r="AQ441" s="3"/>
      <c r="AR441" s="3"/>
      <c r="AS441" s="3"/>
    </row>
    <row r="442" spans="1:45" s="53" customFormat="1" ht="19.5" hidden="1" customHeight="1">
      <c r="A442" s="35" t="e">
        <f t="shared" si="57"/>
        <v>#REF!</v>
      </c>
      <c r="B442" s="36"/>
      <c r="C442" s="37"/>
      <c r="D442" s="38" t="s">
        <v>79</v>
      </c>
      <c r="E442" s="37"/>
      <c r="F442" s="39"/>
      <c r="G442" s="40"/>
      <c r="H442" s="41"/>
      <c r="I442" s="37" t="s">
        <v>80</v>
      </c>
      <c r="J442" s="43"/>
      <c r="K442" s="94"/>
      <c r="L442" s="94" t="s">
        <v>81</v>
      </c>
      <c r="M442" s="94"/>
      <c r="N442" s="44" t="str">
        <f t="shared" si="60"/>
        <v/>
      </c>
      <c r="O442" s="45" t="s">
        <v>82</v>
      </c>
      <c r="P442" s="95"/>
      <c r="Q442" s="95"/>
      <c r="R442" s="47"/>
      <c r="S442" s="48"/>
      <c r="T442" s="49"/>
      <c r="U442" s="49"/>
      <c r="V442" s="3"/>
      <c r="W442" s="3"/>
      <c r="X442" s="50"/>
      <c r="Y442" s="49"/>
      <c r="Z442" s="49"/>
      <c r="AA442" s="3"/>
      <c r="AC442" s="50"/>
      <c r="AD442" s="50"/>
      <c r="AE442" s="3" t="s">
        <v>83</v>
      </c>
      <c r="AF442" s="51"/>
      <c r="AG442" s="52" t="str">
        <f t="shared" ca="1" si="62"/>
        <v/>
      </c>
      <c r="AI442" s="54"/>
      <c r="AJ442" s="3"/>
      <c r="AK442" s="3">
        <v>1</v>
      </c>
      <c r="AL442" s="3"/>
      <c r="AM442" s="4"/>
      <c r="AN442" s="4"/>
      <c r="AO442" s="3"/>
      <c r="AP442" s="4"/>
      <c r="AQ442" s="3"/>
      <c r="AR442" s="3"/>
      <c r="AS442" s="3"/>
    </row>
    <row r="443" spans="1:45" s="53" customFormat="1" ht="19.5" hidden="1" customHeight="1">
      <c r="A443" s="35" t="e">
        <f t="shared" si="57"/>
        <v>#REF!</v>
      </c>
      <c r="B443" s="36"/>
      <c r="C443" s="37"/>
      <c r="D443" s="38"/>
      <c r="E443" s="37"/>
      <c r="F443" s="39"/>
      <c r="G443" s="40"/>
      <c r="H443" s="41"/>
      <c r="I443" s="37" t="s">
        <v>80</v>
      </c>
      <c r="J443" s="43"/>
      <c r="K443" s="94"/>
      <c r="L443" s="94" t="s">
        <v>81</v>
      </c>
      <c r="M443" s="94"/>
      <c r="N443" s="44" t="str">
        <f t="shared" si="60"/>
        <v/>
      </c>
      <c r="O443" s="45" t="s">
        <v>82</v>
      </c>
      <c r="P443" s="96" t="s">
        <v>84</v>
      </c>
      <c r="Q443" s="96">
        <v>10</v>
      </c>
      <c r="R443" s="47"/>
      <c r="S443" s="48"/>
      <c r="T443" s="79"/>
      <c r="U443" s="49"/>
      <c r="V443" s="3"/>
      <c r="W443" s="3"/>
      <c r="X443" s="50"/>
      <c r="Y443" s="49"/>
      <c r="Z443" s="49"/>
      <c r="AA443" s="3"/>
      <c r="AC443" s="50"/>
      <c r="AD443" s="50"/>
      <c r="AE443" s="3" t="s">
        <v>83</v>
      </c>
      <c r="AF443" s="51"/>
      <c r="AG443" s="52" t="str">
        <f t="shared" ca="1" si="62"/>
        <v/>
      </c>
      <c r="AI443" s="54"/>
      <c r="AJ443" s="3"/>
      <c r="AK443" s="3">
        <v>1</v>
      </c>
      <c r="AL443" s="3"/>
      <c r="AM443" s="4"/>
      <c r="AN443" s="4"/>
      <c r="AO443" s="3"/>
      <c r="AP443" s="4"/>
      <c r="AQ443" s="3"/>
      <c r="AR443" s="3"/>
      <c r="AS443" s="3"/>
    </row>
    <row r="444" spans="1:45" s="53" customFormat="1" ht="19.5" hidden="1" customHeight="1">
      <c r="A444" s="35" t="e">
        <f t="shared" si="57"/>
        <v>#REF!</v>
      </c>
      <c r="B444" s="36"/>
      <c r="C444" s="37"/>
      <c r="D444" s="38"/>
      <c r="E444" s="37"/>
      <c r="F444" s="39"/>
      <c r="G444" s="40"/>
      <c r="H444" s="41"/>
      <c r="I444" s="37" t="s">
        <v>80</v>
      </c>
      <c r="J444" s="43"/>
      <c r="K444" s="94"/>
      <c r="L444" s="94" t="s">
        <v>81</v>
      </c>
      <c r="M444" s="94"/>
      <c r="N444" s="44" t="str">
        <f t="shared" si="60"/>
        <v/>
      </c>
      <c r="O444" s="45" t="s">
        <v>82</v>
      </c>
      <c r="P444" s="96" t="s">
        <v>84</v>
      </c>
      <c r="Q444" s="96">
        <v>10</v>
      </c>
      <c r="R444" s="47"/>
      <c r="S444" s="48"/>
      <c r="T444" s="82">
        <v>0.6875</v>
      </c>
      <c r="U444" s="79">
        <v>0.69444444444444453</v>
      </c>
      <c r="V444" s="83"/>
      <c r="W444" s="3"/>
      <c r="X444" s="50"/>
      <c r="Y444" s="49"/>
      <c r="Z444" s="49"/>
      <c r="AA444" s="3"/>
      <c r="AC444" s="50"/>
      <c r="AD444" s="50"/>
      <c r="AE444" s="3" t="s">
        <v>83</v>
      </c>
      <c r="AF444" s="51"/>
      <c r="AG444" s="52" t="str">
        <f t="shared" ca="1" si="62"/>
        <v/>
      </c>
      <c r="AI444" s="54"/>
      <c r="AJ444" s="3"/>
      <c r="AK444" s="3">
        <v>1</v>
      </c>
      <c r="AL444" s="3"/>
      <c r="AM444" s="4"/>
      <c r="AN444" s="4"/>
      <c r="AO444" s="3"/>
      <c r="AP444" s="4"/>
      <c r="AQ444" s="3"/>
      <c r="AR444" s="3"/>
      <c r="AS444" s="3"/>
    </row>
    <row r="445" spans="1:45" s="53" customFormat="1" ht="19.5" hidden="1" customHeight="1">
      <c r="A445" s="35" t="e">
        <f t="shared" si="57"/>
        <v>#REF!</v>
      </c>
      <c r="B445" s="36"/>
      <c r="C445" s="37"/>
      <c r="D445" s="38"/>
      <c r="E445" s="37"/>
      <c r="F445" s="39"/>
      <c r="G445" s="40"/>
      <c r="H445" s="41"/>
      <c r="I445" s="37" t="s">
        <v>80</v>
      </c>
      <c r="J445" s="43"/>
      <c r="K445" s="94"/>
      <c r="L445" s="94" t="s">
        <v>81</v>
      </c>
      <c r="M445" s="94"/>
      <c r="N445" s="44" t="str">
        <f t="shared" si="60"/>
        <v/>
      </c>
      <c r="O445" s="45" t="s">
        <v>82</v>
      </c>
      <c r="P445" s="96" t="s">
        <v>84</v>
      </c>
      <c r="Q445" s="96">
        <v>10</v>
      </c>
      <c r="R445" s="47"/>
      <c r="S445" s="48"/>
      <c r="T445" s="82">
        <v>0.6875</v>
      </c>
      <c r="U445" s="82">
        <v>0.69444444444444453</v>
      </c>
      <c r="V445" s="97" t="s">
        <v>85</v>
      </c>
      <c r="W445" s="3"/>
      <c r="X445" s="72"/>
      <c r="Y445" s="79"/>
      <c r="Z445" s="49"/>
      <c r="AA445" s="3"/>
      <c r="AC445" s="50"/>
      <c r="AD445" s="50"/>
      <c r="AE445" s="3" t="s">
        <v>83</v>
      </c>
      <c r="AF445" s="51"/>
      <c r="AG445" s="52" t="str">
        <f t="shared" ca="1" si="62"/>
        <v/>
      </c>
      <c r="AI445" s="54"/>
      <c r="AJ445" s="3"/>
      <c r="AK445" s="3">
        <v>1</v>
      </c>
      <c r="AL445" s="3"/>
      <c r="AM445" s="4"/>
      <c r="AN445" s="4"/>
      <c r="AO445" s="3"/>
      <c r="AP445" s="4"/>
      <c r="AQ445" s="3"/>
      <c r="AR445" s="3"/>
      <c r="AS445" s="3"/>
    </row>
    <row r="446" spans="1:45" s="53" customFormat="1" ht="19.5" hidden="1" customHeight="1">
      <c r="A446" s="35" t="e">
        <f t="shared" si="57"/>
        <v>#REF!</v>
      </c>
      <c r="B446" s="81"/>
      <c r="C446" s="37"/>
      <c r="D446" s="46"/>
      <c r="E446" s="37"/>
      <c r="F446" s="37"/>
      <c r="G446" s="37"/>
      <c r="H446" s="41"/>
      <c r="I446" s="37" t="s">
        <v>80</v>
      </c>
      <c r="J446" s="43"/>
      <c r="K446" s="94"/>
      <c r="L446" s="94" t="s">
        <v>81</v>
      </c>
      <c r="M446" s="98"/>
      <c r="N446" s="44" t="str">
        <f t="shared" si="60"/>
        <v/>
      </c>
      <c r="O446" s="45" t="s">
        <v>82</v>
      </c>
      <c r="P446" s="96" t="s">
        <v>84</v>
      </c>
      <c r="Q446" s="96">
        <v>10</v>
      </c>
      <c r="R446" s="47"/>
      <c r="S446" s="48"/>
      <c r="T446" s="82">
        <v>0.6875</v>
      </c>
      <c r="U446" s="82">
        <v>0.69444444444444453</v>
      </c>
      <c r="V446" s="97" t="s">
        <v>85</v>
      </c>
      <c r="W446" s="3"/>
      <c r="X446" s="72"/>
      <c r="Y446" s="99">
        <v>0.69097222222222221</v>
      </c>
      <c r="Z446" s="100">
        <v>0.69791666666666663</v>
      </c>
      <c r="AA446" s="83"/>
      <c r="AB446" s="101"/>
      <c r="AC446" s="50"/>
      <c r="AD446" s="50"/>
      <c r="AE446" s="3" t="s">
        <v>83</v>
      </c>
      <c r="AF446" s="51"/>
      <c r="AG446" s="52" t="str">
        <f t="shared" ca="1" si="62"/>
        <v/>
      </c>
      <c r="AI446" s="54"/>
      <c r="AJ446" s="3"/>
      <c r="AK446" s="3">
        <v>1</v>
      </c>
      <c r="AL446" s="3"/>
      <c r="AM446" s="4"/>
      <c r="AN446" s="4"/>
      <c r="AO446" s="3"/>
      <c r="AP446" s="4"/>
      <c r="AQ446" s="3"/>
      <c r="AR446" s="3"/>
      <c r="AS446" s="3"/>
    </row>
    <row r="447" spans="1:45" s="53" customFormat="1" ht="19.5" hidden="1" customHeight="1">
      <c r="A447" s="35" t="e">
        <f t="shared" si="57"/>
        <v>#REF!</v>
      </c>
      <c r="B447" s="81"/>
      <c r="C447" s="102"/>
      <c r="D447" s="46"/>
      <c r="E447" s="3"/>
      <c r="F447" s="3"/>
      <c r="G447" s="3"/>
      <c r="H447" s="41"/>
      <c r="I447" s="37" t="s">
        <v>80</v>
      </c>
      <c r="J447" s="43"/>
      <c r="K447" s="94"/>
      <c r="L447" s="94" t="s">
        <v>81</v>
      </c>
      <c r="M447" s="98"/>
      <c r="N447" s="44" t="str">
        <f t="shared" si="60"/>
        <v/>
      </c>
      <c r="O447" s="45" t="s">
        <v>82</v>
      </c>
      <c r="P447" s="96" t="s">
        <v>84</v>
      </c>
      <c r="Q447" s="96">
        <v>10</v>
      </c>
      <c r="R447" s="47"/>
      <c r="S447" s="48"/>
      <c r="T447" s="82">
        <v>0.6875</v>
      </c>
      <c r="U447" s="82">
        <v>0.69444444444444453</v>
      </c>
      <c r="V447" s="97" t="s">
        <v>85</v>
      </c>
      <c r="W447" s="3"/>
      <c r="X447" s="72"/>
      <c r="Y447" s="99">
        <v>0.69097222222222221</v>
      </c>
      <c r="Z447" s="99">
        <v>0.69791666666666663</v>
      </c>
      <c r="AA447" s="97" t="s">
        <v>86</v>
      </c>
      <c r="AB447" s="73"/>
      <c r="AC447" s="103"/>
      <c r="AD447" s="104"/>
      <c r="AE447" s="3" t="s">
        <v>83</v>
      </c>
      <c r="AF447" s="105"/>
      <c r="AG447" s="52" t="str">
        <f t="shared" ca="1" si="62"/>
        <v/>
      </c>
      <c r="AI447" s="54"/>
      <c r="AJ447" s="3"/>
      <c r="AK447" s="3">
        <v>1</v>
      </c>
      <c r="AL447" s="3"/>
      <c r="AM447" s="4"/>
      <c r="AN447" s="4"/>
      <c r="AO447" s="3"/>
      <c r="AP447" s="4"/>
      <c r="AQ447" s="3"/>
      <c r="AR447" s="3"/>
      <c r="AS447" s="3"/>
    </row>
    <row r="448" spans="1:45" s="53" customFormat="1" ht="19.5" hidden="1" customHeight="1">
      <c r="A448" s="35" t="e">
        <f t="shared" si="57"/>
        <v>#REF!</v>
      </c>
      <c r="B448" s="81"/>
      <c r="C448" s="102"/>
      <c r="D448" s="46"/>
      <c r="E448" s="3"/>
      <c r="F448" s="3"/>
      <c r="G448" s="3"/>
      <c r="H448" s="41"/>
      <c r="I448" s="37" t="s">
        <v>80</v>
      </c>
      <c r="J448" s="43"/>
      <c r="K448" s="94"/>
      <c r="L448" s="94" t="s">
        <v>81</v>
      </c>
      <c r="M448" s="98"/>
      <c r="N448" s="44" t="str">
        <f t="shared" si="60"/>
        <v/>
      </c>
      <c r="O448" s="45" t="s">
        <v>82</v>
      </c>
      <c r="P448" s="96" t="s">
        <v>84</v>
      </c>
      <c r="Q448" s="96">
        <v>10</v>
      </c>
      <c r="R448" s="47"/>
      <c r="S448" s="48"/>
      <c r="T448" s="82">
        <v>0.6875</v>
      </c>
      <c r="U448" s="82">
        <v>0.69444444444444453</v>
      </c>
      <c r="V448" s="97" t="s">
        <v>85</v>
      </c>
      <c r="W448" s="3"/>
      <c r="X448" s="72"/>
      <c r="Y448" s="99">
        <v>0.69097222222222221</v>
      </c>
      <c r="Z448" s="99">
        <v>0.69791666666666663</v>
      </c>
      <c r="AA448" s="97" t="s">
        <v>86</v>
      </c>
      <c r="AB448" s="73"/>
      <c r="AC448" s="50"/>
      <c r="AD448" s="106" t="s">
        <v>87</v>
      </c>
      <c r="AE448" s="3" t="s">
        <v>83</v>
      </c>
      <c r="AF448" s="107">
        <v>0.69444444444444453</v>
      </c>
      <c r="AG448" s="52">
        <v>0.71527777777777779</v>
      </c>
      <c r="AI448" s="54"/>
      <c r="AJ448" s="3"/>
      <c r="AK448" s="3">
        <v>1</v>
      </c>
      <c r="AL448" s="3"/>
      <c r="AM448" s="4"/>
      <c r="AN448" s="4"/>
      <c r="AO448" s="3"/>
      <c r="AP448" s="4"/>
      <c r="AQ448" s="3"/>
      <c r="AR448" s="3"/>
      <c r="AS448" s="3"/>
    </row>
    <row r="449" spans="1:45" s="53" customFormat="1" ht="19.5" hidden="1" customHeight="1">
      <c r="A449" s="35" t="e">
        <f t="shared" si="57"/>
        <v>#REF!</v>
      </c>
      <c r="B449" s="81"/>
      <c r="C449" s="102"/>
      <c r="D449" s="46"/>
      <c r="E449" s="3"/>
      <c r="F449" s="3"/>
      <c r="G449" s="3"/>
      <c r="H449" s="41"/>
      <c r="I449" s="37" t="s">
        <v>80</v>
      </c>
      <c r="J449" s="43"/>
      <c r="K449" s="94"/>
      <c r="L449" s="94" t="s">
        <v>81</v>
      </c>
      <c r="M449" s="98"/>
      <c r="N449" s="44" t="str">
        <f t="shared" si="60"/>
        <v/>
      </c>
      <c r="O449" s="45" t="s">
        <v>82</v>
      </c>
      <c r="P449" s="96" t="s">
        <v>84</v>
      </c>
      <c r="Q449" s="96">
        <v>10</v>
      </c>
      <c r="R449" s="47"/>
      <c r="S449" s="48"/>
      <c r="T449" s="82">
        <v>0.6875</v>
      </c>
      <c r="U449" s="82">
        <v>0.69444444444444453</v>
      </c>
      <c r="V449" s="97" t="s">
        <v>85</v>
      </c>
      <c r="W449" s="3"/>
      <c r="X449" s="72"/>
      <c r="Y449" s="99">
        <v>0.69097222222222221</v>
      </c>
      <c r="Z449" s="99">
        <v>0.69791666666666663</v>
      </c>
      <c r="AA449" s="97" t="s">
        <v>86</v>
      </c>
      <c r="AB449" s="73"/>
      <c r="AC449" s="50"/>
      <c r="AD449" s="106" t="s">
        <v>87</v>
      </c>
      <c r="AE449" s="3" t="s">
        <v>83</v>
      </c>
      <c r="AF449" s="107">
        <v>0.69444444444444453</v>
      </c>
      <c r="AG449" s="108">
        <v>0.72569444444444453</v>
      </c>
      <c r="AH449" s="109"/>
      <c r="AI449" s="54"/>
      <c r="AJ449" s="3"/>
      <c r="AK449" s="3">
        <v>1</v>
      </c>
      <c r="AL449" s="3"/>
      <c r="AM449" s="4"/>
      <c r="AN449" s="4"/>
      <c r="AO449" s="3"/>
      <c r="AP449" s="4"/>
      <c r="AQ449" s="3"/>
      <c r="AR449" s="3"/>
      <c r="AS449" s="3"/>
    </row>
    <row r="450" spans="1:45" s="53" customFormat="1" ht="19.5" hidden="1" customHeight="1">
      <c r="A450" s="35" t="e">
        <f t="shared" si="57"/>
        <v>#REF!</v>
      </c>
      <c r="B450" s="81"/>
      <c r="C450" s="102"/>
      <c r="D450" s="46"/>
      <c r="E450" s="3"/>
      <c r="F450" s="3"/>
      <c r="G450" s="3"/>
      <c r="H450" s="41"/>
      <c r="I450" s="37" t="s">
        <v>80</v>
      </c>
      <c r="J450" s="43"/>
      <c r="K450" s="94"/>
      <c r="L450" s="94" t="s">
        <v>81</v>
      </c>
      <c r="M450" s="98"/>
      <c r="N450" s="44" t="str">
        <f t="shared" si="60"/>
        <v/>
      </c>
      <c r="O450" s="45" t="s">
        <v>82</v>
      </c>
      <c r="P450" s="96" t="s">
        <v>84</v>
      </c>
      <c r="Q450" s="96">
        <v>10</v>
      </c>
      <c r="R450" s="47"/>
      <c r="S450" s="48"/>
      <c r="T450" s="82">
        <v>0.6875</v>
      </c>
      <c r="U450" s="82">
        <v>0.69444444444444453</v>
      </c>
      <c r="V450" s="97" t="s">
        <v>85</v>
      </c>
      <c r="W450" s="3"/>
      <c r="X450" s="72"/>
      <c r="Y450" s="99">
        <v>0.69097222222222221</v>
      </c>
      <c r="Z450" s="99">
        <v>0.69791666666666663</v>
      </c>
      <c r="AA450" s="97" t="s">
        <v>86</v>
      </c>
      <c r="AB450" s="73"/>
      <c r="AC450" s="50"/>
      <c r="AD450" s="106" t="s">
        <v>87</v>
      </c>
      <c r="AE450" s="3" t="s">
        <v>83</v>
      </c>
      <c r="AF450" s="107">
        <v>0.69444444444444453</v>
      </c>
      <c r="AG450" s="110">
        <v>0.72569444444444453</v>
      </c>
      <c r="AH450" s="111"/>
      <c r="AI450" s="54"/>
      <c r="AJ450" s="3"/>
      <c r="AK450" s="3">
        <v>1</v>
      </c>
      <c r="AL450" s="3"/>
      <c r="AM450" s="4"/>
      <c r="AN450" s="4"/>
      <c r="AO450" s="3"/>
      <c r="AP450" s="4"/>
      <c r="AQ450" s="3"/>
      <c r="AR450" s="3"/>
      <c r="AS450" s="3"/>
    </row>
    <row r="451" spans="1:45" s="53" customFormat="1" ht="19.5" hidden="1" customHeight="1">
      <c r="A451" s="35" t="e">
        <f t="shared" si="57"/>
        <v>#REF!</v>
      </c>
      <c r="B451" s="81"/>
      <c r="C451" s="102"/>
      <c r="D451" s="46"/>
      <c r="E451" s="3"/>
      <c r="F451" s="3"/>
      <c r="G451" s="3"/>
      <c r="H451" s="41"/>
      <c r="I451" s="3" t="s">
        <v>80</v>
      </c>
      <c r="J451" s="78"/>
      <c r="K451" s="98"/>
      <c r="L451" s="98" t="s">
        <v>81</v>
      </c>
      <c r="M451" s="98"/>
      <c r="N451" s="44" t="str">
        <f t="shared" si="60"/>
        <v/>
      </c>
      <c r="O451" s="45" t="s">
        <v>82</v>
      </c>
      <c r="P451" s="96" t="s">
        <v>84</v>
      </c>
      <c r="Q451" s="96">
        <v>10</v>
      </c>
      <c r="R451" s="47"/>
      <c r="S451" s="48"/>
      <c r="T451" s="82">
        <v>0.6875</v>
      </c>
      <c r="U451" s="82">
        <v>0.69444444444444453</v>
      </c>
      <c r="V451" s="97" t="s">
        <v>85</v>
      </c>
      <c r="W451" s="3"/>
      <c r="X451" s="72"/>
      <c r="Y451" s="99">
        <v>0.69097222222222221</v>
      </c>
      <c r="Z451" s="99">
        <v>0.69791666666666663</v>
      </c>
      <c r="AA451" s="97" t="s">
        <v>86</v>
      </c>
      <c r="AB451" s="73"/>
      <c r="AC451" s="50"/>
      <c r="AD451" s="106" t="s">
        <v>87</v>
      </c>
      <c r="AE451" s="3" t="s">
        <v>83</v>
      </c>
      <c r="AF451" s="107">
        <v>0.69444444444444453</v>
      </c>
      <c r="AG451" s="112">
        <v>0.72638888888888886</v>
      </c>
      <c r="AH451" s="113">
        <v>20</v>
      </c>
      <c r="AI451" s="54"/>
      <c r="AJ451" s="3"/>
      <c r="AK451" s="3">
        <v>1</v>
      </c>
      <c r="AL451" s="3"/>
      <c r="AM451" s="4"/>
      <c r="AN451" s="4"/>
      <c r="AO451" s="3"/>
      <c r="AP451" s="4"/>
      <c r="AQ451" s="3"/>
      <c r="AR451" s="3"/>
      <c r="AS451" s="3"/>
    </row>
    <row r="452" spans="1:45" s="53" customFormat="1" ht="19.5" hidden="1" customHeight="1">
      <c r="A452" s="35" t="e">
        <f t="shared" si="57"/>
        <v>#REF!</v>
      </c>
      <c r="B452" s="81"/>
      <c r="C452" s="3"/>
      <c r="D452" s="46"/>
      <c r="E452" s="3"/>
      <c r="F452" s="3"/>
      <c r="G452" s="3"/>
      <c r="H452" s="41"/>
      <c r="I452" s="3"/>
      <c r="J452" s="78"/>
      <c r="K452" s="78"/>
      <c r="L452" s="78"/>
      <c r="M452" s="78"/>
      <c r="N452" s="44" t="str">
        <f t="shared" si="60"/>
        <v/>
      </c>
      <c r="O452" s="45"/>
      <c r="P452" s="3"/>
      <c r="Q452" s="46"/>
      <c r="R452" s="47"/>
      <c r="S452" s="48"/>
      <c r="T452" s="80"/>
      <c r="U452" s="80"/>
      <c r="V452" s="3"/>
      <c r="W452" s="3"/>
      <c r="X452" s="50"/>
      <c r="Y452" s="80"/>
      <c r="Z452" s="80"/>
      <c r="AA452" s="3"/>
      <c r="AC452" s="50"/>
      <c r="AD452" s="50"/>
      <c r="AE452" s="3" t="str">
        <f>IF(OR(V452="電話不通 x2",V452="DS判断"),"DS確認→U列入力",IF(V452="希望","U列入力",IF(V452="拒否","DS確認",IF(V452="外国語","DS確認",IF(V452="電話不通 x1","ORM再架電","-")))))</f>
        <v>-</v>
      </c>
      <c r="AF452" s="51"/>
      <c r="AG452" s="52" t="str">
        <f t="shared" ref="AG452:AG526" ca="1" si="63">IF(AF452="","",IF($AF452+TIME(0,30,0)&lt;(TEXT(NOW(),"h:mm:ss")*1),$AF452+TIME(0,45,0),$AF452+TIME(0,30,0)))</f>
        <v/>
      </c>
      <c r="AI452" s="54"/>
      <c r="AJ452" s="3"/>
      <c r="AK452" s="3">
        <v>1</v>
      </c>
      <c r="AL452" s="3"/>
      <c r="AM452" s="4"/>
      <c r="AN452" s="4"/>
      <c r="AO452" s="3"/>
      <c r="AP452" s="4"/>
      <c r="AQ452" s="3"/>
      <c r="AR452" s="3"/>
      <c r="AS452" s="3"/>
    </row>
    <row r="453" spans="1:45" s="53" customFormat="1" ht="19.5" hidden="1" customHeight="1">
      <c r="A453" s="35" t="e">
        <f t="shared" si="57"/>
        <v>#REF!</v>
      </c>
      <c r="B453" s="81"/>
      <c r="C453" s="3"/>
      <c r="D453" s="46"/>
      <c r="E453" s="3"/>
      <c r="F453" s="3"/>
      <c r="G453" s="3"/>
      <c r="H453" s="41"/>
      <c r="I453" s="3"/>
      <c r="J453" s="78"/>
      <c r="K453" s="78"/>
      <c r="L453" s="78"/>
      <c r="M453" s="78"/>
      <c r="N453" s="44" t="str">
        <f t="shared" si="60"/>
        <v/>
      </c>
      <c r="O453" s="45"/>
      <c r="P453" s="3"/>
      <c r="Q453" s="46"/>
      <c r="R453" s="47"/>
      <c r="S453" s="48"/>
      <c r="T453" s="80"/>
      <c r="U453" s="80"/>
      <c r="V453" s="3"/>
      <c r="W453" s="3"/>
      <c r="X453" s="50"/>
      <c r="Y453" s="80"/>
      <c r="Z453" s="80"/>
      <c r="AA453" s="3"/>
      <c r="AC453" s="50"/>
      <c r="AD453" s="50"/>
      <c r="AE453" s="3" t="str">
        <f>IF(OR(V453="電話不通 x2",V453="DS判断"),"DS確認→U列入力",IF(V453="希望","U列入力",IF(V453="拒否","DS確認",IF(V453="外国語","DS確認",IF(V453="電話不通 x1","ORM再架電","-")))))</f>
        <v>-</v>
      </c>
      <c r="AF453" s="51"/>
      <c r="AG453" s="52" t="str">
        <f t="shared" ca="1" si="63"/>
        <v/>
      </c>
      <c r="AI453" s="54"/>
      <c r="AJ453" s="3"/>
      <c r="AK453" s="3">
        <v>1</v>
      </c>
      <c r="AL453" s="3"/>
      <c r="AM453" s="4"/>
      <c r="AN453" s="4"/>
      <c r="AO453" s="3"/>
      <c r="AP453" s="4"/>
      <c r="AQ453" s="3"/>
      <c r="AR453" s="3"/>
      <c r="AS453" s="3"/>
    </row>
    <row r="454" spans="1:45" s="53" customFormat="1" ht="19.5" hidden="1" customHeight="1">
      <c r="A454" s="35" t="e">
        <f t="shared" si="57"/>
        <v>#REF!</v>
      </c>
      <c r="B454" s="81"/>
      <c r="C454" s="3"/>
      <c r="D454" s="46"/>
      <c r="E454" s="3"/>
      <c r="F454" s="3"/>
      <c r="G454" s="3"/>
      <c r="H454" s="41"/>
      <c r="I454" s="3"/>
      <c r="J454" s="78"/>
      <c r="K454" s="78"/>
      <c r="L454" s="78"/>
      <c r="M454" s="78"/>
      <c r="N454" s="44" t="str">
        <f t="shared" si="60"/>
        <v/>
      </c>
      <c r="O454" s="45"/>
      <c r="P454" s="3"/>
      <c r="Q454" s="46"/>
      <c r="R454" s="47"/>
      <c r="S454" s="48"/>
      <c r="T454" s="80"/>
      <c r="U454" s="80"/>
      <c r="V454" s="3"/>
      <c r="W454" s="3"/>
      <c r="X454" s="50"/>
      <c r="Y454" s="80"/>
      <c r="Z454" s="80"/>
      <c r="AA454" s="3"/>
      <c r="AC454" s="50"/>
      <c r="AD454" s="50"/>
      <c r="AE454" s="3" t="str">
        <f>IF(OR(V454="電話不通 x2",V454="DS判断"),"DS確認→U列入力",IF(V454="希望","U列入力",IF(V454="拒否","DS確認",IF(V454="外国語","DS確認",IF(V454="電話不通 x1","ORM再架電","-")))))</f>
        <v>-</v>
      </c>
      <c r="AF454" s="51"/>
      <c r="AG454" s="52" t="str">
        <f t="shared" ca="1" si="63"/>
        <v/>
      </c>
      <c r="AI454" s="54"/>
      <c r="AJ454" s="3"/>
      <c r="AK454" s="3">
        <v>1</v>
      </c>
      <c r="AL454" s="3"/>
      <c r="AM454" s="4"/>
      <c r="AN454" s="4"/>
      <c r="AO454" s="3"/>
      <c r="AP454" s="4"/>
      <c r="AQ454" s="3"/>
      <c r="AR454" s="3"/>
      <c r="AS454" s="3"/>
    </row>
    <row r="455" spans="1:45" s="53" customFormat="1" ht="19.5" hidden="1" customHeight="1">
      <c r="A455" s="35" t="e">
        <f t="shared" si="57"/>
        <v>#REF!</v>
      </c>
      <c r="B455" s="36"/>
      <c r="C455" s="37"/>
      <c r="D455" s="38" t="s">
        <v>88</v>
      </c>
      <c r="E455" s="37"/>
      <c r="F455" s="39"/>
      <c r="G455" s="40"/>
      <c r="H455" s="41"/>
      <c r="I455" s="37" t="s">
        <v>80</v>
      </c>
      <c r="J455" s="43"/>
      <c r="K455" s="94"/>
      <c r="L455" s="94" t="s">
        <v>81</v>
      </c>
      <c r="M455" s="94"/>
      <c r="N455" s="44" t="str">
        <f t="shared" si="60"/>
        <v/>
      </c>
      <c r="O455" s="45" t="s">
        <v>82</v>
      </c>
      <c r="P455" s="95"/>
      <c r="Q455" s="95"/>
      <c r="R455" s="47"/>
      <c r="S455" s="48"/>
      <c r="T455" s="49"/>
      <c r="U455" s="49"/>
      <c r="V455" s="3"/>
      <c r="W455" s="3"/>
      <c r="X455" s="50"/>
      <c r="Y455" s="49"/>
      <c r="Z455" s="49"/>
      <c r="AA455" s="3"/>
      <c r="AC455" s="50"/>
      <c r="AD455" s="50"/>
      <c r="AE455" s="3" t="s">
        <v>83</v>
      </c>
      <c r="AF455" s="51"/>
      <c r="AG455" s="52" t="str">
        <f t="shared" ca="1" si="63"/>
        <v/>
      </c>
      <c r="AI455" s="54"/>
      <c r="AJ455" s="3"/>
      <c r="AK455" s="3">
        <v>1</v>
      </c>
      <c r="AL455" s="3"/>
      <c r="AM455" s="4"/>
      <c r="AN455" s="4"/>
      <c r="AO455" s="3"/>
      <c r="AP455" s="4"/>
      <c r="AQ455" s="3"/>
      <c r="AR455" s="3"/>
      <c r="AS455" s="3"/>
    </row>
    <row r="456" spans="1:45" s="53" customFormat="1" ht="19.5" hidden="1" customHeight="1">
      <c r="A456" s="35" t="e">
        <f t="shared" si="57"/>
        <v>#REF!</v>
      </c>
      <c r="B456" s="36"/>
      <c r="C456" s="37"/>
      <c r="D456" s="38"/>
      <c r="E456" s="37"/>
      <c r="F456" s="39"/>
      <c r="G456" s="40"/>
      <c r="H456" s="41"/>
      <c r="I456" s="37" t="s">
        <v>80</v>
      </c>
      <c r="J456" s="43"/>
      <c r="K456" s="94"/>
      <c r="L456" s="94" t="s">
        <v>81</v>
      </c>
      <c r="M456" s="94"/>
      <c r="N456" s="44" t="str">
        <f t="shared" si="60"/>
        <v/>
      </c>
      <c r="O456" s="45" t="s">
        <v>82</v>
      </c>
      <c r="P456" s="96" t="s">
        <v>84</v>
      </c>
      <c r="Q456" s="96">
        <v>10</v>
      </c>
      <c r="R456" s="47"/>
      <c r="S456" s="48"/>
      <c r="T456" s="79"/>
      <c r="U456" s="49"/>
      <c r="V456" s="3"/>
      <c r="W456" s="3"/>
      <c r="X456" s="50"/>
      <c r="Y456" s="49"/>
      <c r="Z456" s="49"/>
      <c r="AA456" s="3"/>
      <c r="AC456" s="50"/>
      <c r="AD456" s="50"/>
      <c r="AE456" s="3" t="s">
        <v>83</v>
      </c>
      <c r="AF456" s="51"/>
      <c r="AG456" s="52" t="str">
        <f t="shared" ca="1" si="63"/>
        <v/>
      </c>
      <c r="AI456" s="54"/>
      <c r="AJ456" s="3"/>
      <c r="AK456" s="3">
        <v>1</v>
      </c>
      <c r="AL456" s="3"/>
      <c r="AM456" s="4"/>
      <c r="AN456" s="4"/>
      <c r="AO456" s="3"/>
      <c r="AP456" s="4"/>
      <c r="AQ456" s="3"/>
      <c r="AR456" s="3"/>
      <c r="AS456" s="3"/>
    </row>
    <row r="457" spans="1:45" s="53" customFormat="1" ht="19.5" hidden="1" customHeight="1">
      <c r="A457" s="35" t="e">
        <f t="shared" ref="A457:A520" si="64">A456</f>
        <v>#REF!</v>
      </c>
      <c r="B457" s="36"/>
      <c r="C457" s="37"/>
      <c r="D457" s="38"/>
      <c r="E457" s="37"/>
      <c r="F457" s="39"/>
      <c r="G457" s="40"/>
      <c r="H457" s="41"/>
      <c r="I457" s="37" t="s">
        <v>80</v>
      </c>
      <c r="J457" s="43"/>
      <c r="K457" s="94"/>
      <c r="L457" s="94" t="s">
        <v>81</v>
      </c>
      <c r="M457" s="94"/>
      <c r="N457" s="44" t="str">
        <f t="shared" si="60"/>
        <v/>
      </c>
      <c r="O457" s="45" t="s">
        <v>82</v>
      </c>
      <c r="P457" s="96" t="s">
        <v>84</v>
      </c>
      <c r="Q457" s="96">
        <v>10</v>
      </c>
      <c r="R457" s="47"/>
      <c r="S457" s="48"/>
      <c r="T457" s="82">
        <v>0.6875</v>
      </c>
      <c r="U457" s="79">
        <v>0.69444444444444453</v>
      </c>
      <c r="V457" s="83"/>
      <c r="W457" s="3"/>
      <c r="X457" s="50"/>
      <c r="Y457" s="49"/>
      <c r="Z457" s="49"/>
      <c r="AA457" s="3"/>
      <c r="AC457" s="50"/>
      <c r="AD457" s="50"/>
      <c r="AE457" s="3" t="s">
        <v>83</v>
      </c>
      <c r="AF457" s="51"/>
      <c r="AG457" s="52" t="str">
        <f t="shared" ca="1" si="63"/>
        <v/>
      </c>
      <c r="AI457" s="54"/>
      <c r="AJ457" s="3"/>
      <c r="AK457" s="3">
        <v>1</v>
      </c>
      <c r="AL457" s="3"/>
      <c r="AM457" s="4"/>
      <c r="AN457" s="4"/>
      <c r="AO457" s="3"/>
      <c r="AP457" s="4"/>
      <c r="AQ457" s="3"/>
      <c r="AR457" s="3"/>
      <c r="AS457" s="3"/>
    </row>
    <row r="458" spans="1:45" s="53" customFormat="1" ht="19.5" hidden="1" customHeight="1">
      <c r="A458" s="35" t="e">
        <f t="shared" si="64"/>
        <v>#REF!</v>
      </c>
      <c r="B458" s="36"/>
      <c r="C458" s="37"/>
      <c r="D458" s="38"/>
      <c r="E458" s="37"/>
      <c r="F458" s="39"/>
      <c r="G458" s="40"/>
      <c r="H458" s="41"/>
      <c r="I458" s="37" t="s">
        <v>80</v>
      </c>
      <c r="J458" s="43"/>
      <c r="K458" s="94"/>
      <c r="L458" s="94" t="s">
        <v>81</v>
      </c>
      <c r="M458" s="94"/>
      <c r="N458" s="44" t="str">
        <f t="shared" si="60"/>
        <v/>
      </c>
      <c r="O458" s="45" t="s">
        <v>82</v>
      </c>
      <c r="P458" s="96" t="s">
        <v>84</v>
      </c>
      <c r="Q458" s="96">
        <v>10</v>
      </c>
      <c r="R458" s="47"/>
      <c r="S458" s="48"/>
      <c r="T458" s="82">
        <v>0.6875</v>
      </c>
      <c r="U458" s="82">
        <v>0.69444444444444453</v>
      </c>
      <c r="V458" s="97" t="s">
        <v>85</v>
      </c>
      <c r="W458" s="3"/>
      <c r="X458" s="72"/>
      <c r="Y458" s="79"/>
      <c r="Z458" s="114" t="s">
        <v>89</v>
      </c>
      <c r="AA458" s="3"/>
      <c r="AC458" s="50"/>
      <c r="AD458" s="50"/>
      <c r="AE458" s="3" t="s">
        <v>83</v>
      </c>
      <c r="AF458" s="51"/>
      <c r="AG458" s="52" t="str">
        <f t="shared" ca="1" si="63"/>
        <v/>
      </c>
      <c r="AI458" s="54"/>
      <c r="AJ458" s="3"/>
      <c r="AK458" s="3">
        <v>1</v>
      </c>
      <c r="AL458" s="3"/>
      <c r="AM458" s="4"/>
      <c r="AN458" s="4"/>
      <c r="AO458" s="3"/>
      <c r="AP458" s="4"/>
      <c r="AQ458" s="3"/>
      <c r="AR458" s="3"/>
      <c r="AS458" s="3"/>
    </row>
    <row r="459" spans="1:45" s="53" customFormat="1" ht="19.5" hidden="1" customHeight="1">
      <c r="A459" s="35" t="e">
        <f t="shared" si="64"/>
        <v>#REF!</v>
      </c>
      <c r="B459" s="81"/>
      <c r="C459" s="37"/>
      <c r="D459" s="46"/>
      <c r="E459" s="37"/>
      <c r="F459" s="37"/>
      <c r="G459" s="37"/>
      <c r="H459" s="41"/>
      <c r="I459" s="37" t="s">
        <v>80</v>
      </c>
      <c r="J459" s="43"/>
      <c r="K459" s="94"/>
      <c r="L459" s="94" t="s">
        <v>81</v>
      </c>
      <c r="M459" s="98"/>
      <c r="N459" s="44" t="str">
        <f t="shared" si="60"/>
        <v/>
      </c>
      <c r="O459" s="45" t="s">
        <v>82</v>
      </c>
      <c r="P459" s="96" t="s">
        <v>84</v>
      </c>
      <c r="Q459" s="96">
        <v>10</v>
      </c>
      <c r="R459" s="47"/>
      <c r="S459" s="48"/>
      <c r="T459" s="82">
        <v>0.6875</v>
      </c>
      <c r="U459" s="82">
        <v>0.69444444444444453</v>
      </c>
      <c r="V459" s="97" t="s">
        <v>85</v>
      </c>
      <c r="W459" s="3"/>
      <c r="X459" s="72"/>
      <c r="Y459" s="99">
        <v>0.69097222222222221</v>
      </c>
      <c r="Z459" s="115">
        <v>0.69791666666666663</v>
      </c>
      <c r="AA459" s="83"/>
      <c r="AB459" s="101"/>
      <c r="AC459" s="50"/>
      <c r="AD459" s="50"/>
      <c r="AE459" s="3" t="s">
        <v>83</v>
      </c>
      <c r="AF459" s="51"/>
      <c r="AG459" s="52" t="str">
        <f t="shared" ca="1" si="63"/>
        <v/>
      </c>
      <c r="AI459" s="54"/>
      <c r="AJ459" s="3"/>
      <c r="AK459" s="3">
        <v>1</v>
      </c>
      <c r="AL459" s="3"/>
      <c r="AM459" s="4"/>
      <c r="AN459" s="4"/>
      <c r="AO459" s="3"/>
      <c r="AP459" s="4"/>
      <c r="AQ459" s="3"/>
      <c r="AR459" s="3"/>
      <c r="AS459" s="3"/>
    </row>
    <row r="460" spans="1:45" s="53" customFormat="1" ht="19.5" hidden="1" customHeight="1">
      <c r="A460" s="35" t="e">
        <f t="shared" si="64"/>
        <v>#REF!</v>
      </c>
      <c r="B460" s="81"/>
      <c r="C460" s="102"/>
      <c r="D460" s="46"/>
      <c r="E460" s="3"/>
      <c r="F460" s="3"/>
      <c r="G460" s="3"/>
      <c r="H460" s="41"/>
      <c r="I460" s="37" t="s">
        <v>80</v>
      </c>
      <c r="J460" s="43"/>
      <c r="K460" s="94"/>
      <c r="L460" s="94" t="s">
        <v>81</v>
      </c>
      <c r="M460" s="98"/>
      <c r="N460" s="44" t="str">
        <f t="shared" si="60"/>
        <v/>
      </c>
      <c r="O460" s="45" t="s">
        <v>82</v>
      </c>
      <c r="P460" s="96" t="s">
        <v>84</v>
      </c>
      <c r="Q460" s="96">
        <v>10</v>
      </c>
      <c r="R460" s="47"/>
      <c r="S460" s="48"/>
      <c r="T460" s="82">
        <v>0.6875</v>
      </c>
      <c r="U460" s="82">
        <v>0.69444444444444453</v>
      </c>
      <c r="V460" s="97" t="s">
        <v>85</v>
      </c>
      <c r="W460" s="3"/>
      <c r="X460" s="106" t="s">
        <v>90</v>
      </c>
      <c r="Y460" s="99">
        <v>0.69097222222222221</v>
      </c>
      <c r="Z460" s="91">
        <v>0.69791666666666663</v>
      </c>
      <c r="AA460" s="83" t="s">
        <v>91</v>
      </c>
      <c r="AB460" s="73"/>
      <c r="AC460" s="103"/>
      <c r="AD460" s="103"/>
      <c r="AE460" s="3" t="s">
        <v>83</v>
      </c>
      <c r="AF460" s="51"/>
      <c r="AG460" s="52" t="str">
        <f t="shared" ca="1" si="63"/>
        <v/>
      </c>
      <c r="AI460" s="54"/>
      <c r="AJ460" s="3"/>
      <c r="AK460" s="3">
        <v>1</v>
      </c>
      <c r="AL460" s="3"/>
      <c r="AM460" s="4"/>
      <c r="AN460" s="4"/>
      <c r="AO460" s="3"/>
      <c r="AP460" s="4"/>
      <c r="AQ460" s="3"/>
      <c r="AR460" s="3"/>
      <c r="AS460" s="3"/>
    </row>
    <row r="461" spans="1:45" s="53" customFormat="1" ht="19.5" hidden="1" customHeight="1">
      <c r="A461" s="35" t="e">
        <f t="shared" si="64"/>
        <v>#REF!</v>
      </c>
      <c r="B461" s="81"/>
      <c r="C461" s="102"/>
      <c r="D461" s="116"/>
      <c r="E461" s="3"/>
      <c r="F461" s="3"/>
      <c r="G461" s="3"/>
      <c r="H461" s="41"/>
      <c r="I461" s="89" t="s">
        <v>80</v>
      </c>
      <c r="J461" s="90"/>
      <c r="K461" s="94"/>
      <c r="L461" s="94" t="s">
        <v>81</v>
      </c>
      <c r="M461" s="98"/>
      <c r="N461" s="44" t="str">
        <f t="shared" si="60"/>
        <v/>
      </c>
      <c r="O461" s="45" t="s">
        <v>82</v>
      </c>
      <c r="P461" s="116" t="s">
        <v>84</v>
      </c>
      <c r="Q461" s="116">
        <v>10</v>
      </c>
      <c r="R461" s="47"/>
      <c r="S461" s="48"/>
      <c r="T461" s="82">
        <v>0.6875</v>
      </c>
      <c r="U461" s="82">
        <v>0.69444444444444453</v>
      </c>
      <c r="V461" s="97" t="s">
        <v>85</v>
      </c>
      <c r="W461" s="3"/>
      <c r="X461" s="117" t="s">
        <v>90</v>
      </c>
      <c r="Y461" s="99">
        <v>0.69097222222222221</v>
      </c>
      <c r="Z461" s="99">
        <v>0.69791666666666663</v>
      </c>
      <c r="AA461" s="89" t="s">
        <v>67</v>
      </c>
      <c r="AB461" s="73"/>
      <c r="AC461" s="50"/>
      <c r="AD461" s="50"/>
      <c r="AE461" s="3" t="s">
        <v>83</v>
      </c>
      <c r="AF461" s="51"/>
      <c r="AG461" s="52" t="str">
        <f t="shared" ca="1" si="63"/>
        <v/>
      </c>
      <c r="AI461" s="54"/>
      <c r="AJ461" s="3"/>
      <c r="AK461" s="3">
        <v>1</v>
      </c>
      <c r="AL461" s="3"/>
      <c r="AM461" s="4"/>
      <c r="AN461" s="4"/>
      <c r="AO461" s="3"/>
      <c r="AP461" s="4"/>
      <c r="AQ461" s="3"/>
      <c r="AR461" s="3"/>
      <c r="AS461" s="3"/>
    </row>
    <row r="462" spans="1:45" s="53" customFormat="1" ht="19.5" hidden="1" customHeight="1">
      <c r="A462" s="35" t="e">
        <f>A459</f>
        <v>#REF!</v>
      </c>
      <c r="B462" s="81"/>
      <c r="C462" s="102"/>
      <c r="D462" s="46"/>
      <c r="E462" s="3"/>
      <c r="F462" s="3"/>
      <c r="G462" s="3"/>
      <c r="H462" s="41"/>
      <c r="I462" s="37" t="s">
        <v>80</v>
      </c>
      <c r="J462" s="43"/>
      <c r="K462" s="94"/>
      <c r="L462" s="94" t="s">
        <v>81</v>
      </c>
      <c r="M462" s="98"/>
      <c r="N462" s="44" t="str">
        <f t="shared" si="60"/>
        <v/>
      </c>
      <c r="O462" s="45" t="s">
        <v>82</v>
      </c>
      <c r="P462" s="96" t="s">
        <v>84</v>
      </c>
      <c r="Q462" s="96">
        <v>10</v>
      </c>
      <c r="R462" s="47"/>
      <c r="S462" s="48"/>
      <c r="T462" s="82">
        <v>0.6875</v>
      </c>
      <c r="U462" s="82">
        <v>0.69444444444444453</v>
      </c>
      <c r="V462" s="97" t="s">
        <v>85</v>
      </c>
      <c r="W462" s="3"/>
      <c r="X462" s="106" t="s">
        <v>90</v>
      </c>
      <c r="Y462" s="99">
        <v>0.69097222222222221</v>
      </c>
      <c r="Z462" s="99">
        <v>0.69791666666666663</v>
      </c>
      <c r="AA462" s="97" t="s">
        <v>92</v>
      </c>
      <c r="AB462" s="73"/>
      <c r="AC462" s="50"/>
      <c r="AD462" s="118"/>
      <c r="AE462" s="83"/>
      <c r="AF462" s="105"/>
      <c r="AG462" s="52" t="str">
        <f t="shared" ca="1" si="63"/>
        <v/>
      </c>
      <c r="AI462" s="54"/>
      <c r="AJ462" s="3"/>
      <c r="AK462" s="3">
        <v>1</v>
      </c>
      <c r="AL462" s="3"/>
      <c r="AM462" s="4"/>
      <c r="AN462" s="4"/>
      <c r="AO462" s="3"/>
      <c r="AP462" s="4"/>
      <c r="AQ462" s="3"/>
      <c r="AR462" s="3"/>
      <c r="AS462" s="3"/>
    </row>
    <row r="463" spans="1:45" s="53" customFormat="1" ht="19.5" hidden="1" customHeight="1">
      <c r="A463" s="35" t="e">
        <f>A460</f>
        <v>#REF!</v>
      </c>
      <c r="B463" s="81"/>
      <c r="C463" s="102"/>
      <c r="D463" s="46"/>
      <c r="E463" s="3"/>
      <c r="F463" s="3"/>
      <c r="G463" s="3"/>
      <c r="H463" s="41"/>
      <c r="I463" s="37" t="s">
        <v>80</v>
      </c>
      <c r="J463" s="43"/>
      <c r="K463" s="94"/>
      <c r="L463" s="94" t="s">
        <v>81</v>
      </c>
      <c r="M463" s="98"/>
      <c r="N463" s="44" t="str">
        <f t="shared" si="60"/>
        <v/>
      </c>
      <c r="O463" s="45" t="s">
        <v>82</v>
      </c>
      <c r="P463" s="96" t="s">
        <v>84</v>
      </c>
      <c r="Q463" s="96">
        <v>10</v>
      </c>
      <c r="R463" s="47"/>
      <c r="S463" s="48"/>
      <c r="T463" s="82">
        <v>0.6875</v>
      </c>
      <c r="U463" s="82">
        <v>0.69444444444444453</v>
      </c>
      <c r="V463" s="97" t="s">
        <v>85</v>
      </c>
      <c r="W463" s="3"/>
      <c r="X463" s="106" t="s">
        <v>90</v>
      </c>
      <c r="Y463" s="99">
        <v>0.69097222222222221</v>
      </c>
      <c r="Z463" s="99">
        <v>0.69791666666666663</v>
      </c>
      <c r="AA463" s="97" t="s">
        <v>92</v>
      </c>
      <c r="AB463" s="73"/>
      <c r="AC463" s="50"/>
      <c r="AD463" s="106" t="s">
        <v>87</v>
      </c>
      <c r="AE463" s="3" t="s">
        <v>83</v>
      </c>
      <c r="AF463" s="107">
        <v>0.69444444444444453</v>
      </c>
      <c r="AG463" s="119">
        <v>0.71527777777777779</v>
      </c>
      <c r="AI463" s="54"/>
      <c r="AJ463" s="3"/>
      <c r="AK463" s="3">
        <v>1</v>
      </c>
      <c r="AL463" s="3"/>
      <c r="AM463" s="4"/>
      <c r="AN463" s="4"/>
      <c r="AO463" s="3"/>
      <c r="AP463" s="4"/>
      <c r="AQ463" s="3"/>
      <c r="AR463" s="3"/>
      <c r="AS463" s="3"/>
    </row>
    <row r="464" spans="1:45" s="53" customFormat="1" ht="19.5" hidden="1" customHeight="1">
      <c r="A464" s="35" t="e">
        <f>A461</f>
        <v>#REF!</v>
      </c>
      <c r="B464" s="81"/>
      <c r="C464" s="102"/>
      <c r="D464" s="46"/>
      <c r="E464" s="3"/>
      <c r="F464" s="3"/>
      <c r="G464" s="3"/>
      <c r="H464" s="41"/>
      <c r="I464" s="37" t="s">
        <v>80</v>
      </c>
      <c r="J464" s="43"/>
      <c r="K464" s="94"/>
      <c r="L464" s="94" t="s">
        <v>81</v>
      </c>
      <c r="M464" s="98"/>
      <c r="N464" s="44" t="str">
        <f t="shared" si="60"/>
        <v/>
      </c>
      <c r="O464" s="45" t="s">
        <v>82</v>
      </c>
      <c r="P464" s="96" t="s">
        <v>84</v>
      </c>
      <c r="Q464" s="96">
        <v>10</v>
      </c>
      <c r="R464" s="47"/>
      <c r="S464" s="48"/>
      <c r="T464" s="82">
        <v>0.6875</v>
      </c>
      <c r="U464" s="82">
        <v>0.69444444444444453</v>
      </c>
      <c r="V464" s="97" t="s">
        <v>85</v>
      </c>
      <c r="W464" s="3"/>
      <c r="X464" s="106" t="s">
        <v>90</v>
      </c>
      <c r="Y464" s="99">
        <v>0.69097222222222221</v>
      </c>
      <c r="Z464" s="99">
        <v>0.69791666666666663</v>
      </c>
      <c r="AA464" s="97" t="s">
        <v>92</v>
      </c>
      <c r="AB464" s="73"/>
      <c r="AC464" s="50"/>
      <c r="AD464" s="106" t="s">
        <v>87</v>
      </c>
      <c r="AE464" s="3" t="s">
        <v>83</v>
      </c>
      <c r="AF464" s="107">
        <v>0.69444444444444453</v>
      </c>
      <c r="AG464" s="108">
        <v>0.72569444444444453</v>
      </c>
      <c r="AH464" s="109"/>
      <c r="AI464" s="54"/>
      <c r="AJ464" s="3"/>
      <c r="AK464" s="3">
        <v>1</v>
      </c>
      <c r="AL464" s="3"/>
      <c r="AM464" s="4"/>
      <c r="AN464" s="4"/>
      <c r="AO464" s="3"/>
      <c r="AP464" s="4"/>
      <c r="AQ464" s="3"/>
      <c r="AR464" s="3"/>
      <c r="AS464" s="3"/>
    </row>
    <row r="465" spans="1:45" s="53" customFormat="1" ht="19.5" hidden="1" customHeight="1">
      <c r="A465" s="35" t="e">
        <f t="shared" si="64"/>
        <v>#REF!</v>
      </c>
      <c r="B465" s="81"/>
      <c r="C465" s="102"/>
      <c r="D465" s="46"/>
      <c r="E465" s="3"/>
      <c r="F465" s="3"/>
      <c r="G465" s="3"/>
      <c r="H465" s="41"/>
      <c r="I465" s="37" t="s">
        <v>80</v>
      </c>
      <c r="J465" s="43"/>
      <c r="K465" s="94"/>
      <c r="L465" s="94" t="s">
        <v>81</v>
      </c>
      <c r="M465" s="98"/>
      <c r="N465" s="44" t="str">
        <f t="shared" si="60"/>
        <v/>
      </c>
      <c r="O465" s="45" t="s">
        <v>82</v>
      </c>
      <c r="P465" s="96" t="s">
        <v>84</v>
      </c>
      <c r="Q465" s="96">
        <v>10</v>
      </c>
      <c r="R465" s="47"/>
      <c r="S465" s="48"/>
      <c r="T465" s="82">
        <v>0.6875</v>
      </c>
      <c r="U465" s="82">
        <v>0.69444444444444453</v>
      </c>
      <c r="V465" s="97" t="s">
        <v>85</v>
      </c>
      <c r="W465" s="3"/>
      <c r="X465" s="106" t="s">
        <v>90</v>
      </c>
      <c r="Y465" s="99">
        <v>0.69097222222222221</v>
      </c>
      <c r="Z465" s="99">
        <v>0.69791666666666663</v>
      </c>
      <c r="AA465" s="97" t="s">
        <v>92</v>
      </c>
      <c r="AB465" s="73"/>
      <c r="AC465" s="50"/>
      <c r="AD465" s="106" t="s">
        <v>87</v>
      </c>
      <c r="AE465" s="3" t="s">
        <v>83</v>
      </c>
      <c r="AF465" s="107">
        <v>0.69444444444444453</v>
      </c>
      <c r="AG465" s="110">
        <v>0.72569444444444453</v>
      </c>
      <c r="AH465" s="111"/>
      <c r="AI465" s="54"/>
      <c r="AJ465" s="3"/>
      <c r="AK465" s="3">
        <v>1</v>
      </c>
      <c r="AL465" s="3"/>
      <c r="AM465" s="4"/>
      <c r="AN465" s="4"/>
      <c r="AO465" s="3"/>
      <c r="AP465" s="4"/>
      <c r="AQ465" s="3"/>
      <c r="AR465" s="3"/>
      <c r="AS465" s="3"/>
    </row>
    <row r="466" spans="1:45" s="53" customFormat="1" ht="19.5" hidden="1" customHeight="1">
      <c r="A466" s="35" t="e">
        <f t="shared" si="64"/>
        <v>#REF!</v>
      </c>
      <c r="B466" s="81"/>
      <c r="C466" s="102"/>
      <c r="D466" s="46"/>
      <c r="E466" s="3"/>
      <c r="F466" s="3"/>
      <c r="G466" s="3"/>
      <c r="H466" s="41"/>
      <c r="I466" s="3" t="s">
        <v>80</v>
      </c>
      <c r="J466" s="78"/>
      <c r="K466" s="98"/>
      <c r="L466" s="98" t="s">
        <v>81</v>
      </c>
      <c r="M466" s="98"/>
      <c r="N466" s="44" t="str">
        <f t="shared" si="60"/>
        <v/>
      </c>
      <c r="O466" s="45" t="s">
        <v>82</v>
      </c>
      <c r="P466" s="96" t="s">
        <v>84</v>
      </c>
      <c r="Q466" s="96">
        <v>10</v>
      </c>
      <c r="R466" s="47"/>
      <c r="S466" s="48"/>
      <c r="T466" s="82">
        <v>0.6875</v>
      </c>
      <c r="U466" s="82">
        <v>0.69444444444444453</v>
      </c>
      <c r="V466" s="97" t="s">
        <v>85</v>
      </c>
      <c r="W466" s="3"/>
      <c r="X466" s="106" t="s">
        <v>90</v>
      </c>
      <c r="Y466" s="99">
        <v>0.69097222222222221</v>
      </c>
      <c r="Z466" s="99">
        <v>0.69791666666666663</v>
      </c>
      <c r="AA466" s="97" t="s">
        <v>92</v>
      </c>
      <c r="AB466" s="73"/>
      <c r="AC466" s="50"/>
      <c r="AD466" s="106" t="s">
        <v>87</v>
      </c>
      <c r="AE466" s="3" t="s">
        <v>83</v>
      </c>
      <c r="AF466" s="107">
        <v>0.69444444444444453</v>
      </c>
      <c r="AG466" s="112">
        <v>0.72638888888888886</v>
      </c>
      <c r="AH466" s="113">
        <v>20</v>
      </c>
      <c r="AI466" s="54"/>
      <c r="AJ466" s="3"/>
      <c r="AK466" s="3">
        <v>1</v>
      </c>
      <c r="AL466" s="3"/>
      <c r="AM466" s="4"/>
      <c r="AN466" s="4"/>
      <c r="AO466" s="3"/>
      <c r="AP466" s="4"/>
      <c r="AQ466" s="3"/>
      <c r="AR466" s="3"/>
      <c r="AS466" s="3"/>
    </row>
    <row r="467" spans="1:45" s="53" customFormat="1" ht="19.5" hidden="1" customHeight="1">
      <c r="A467" s="35" t="e">
        <f t="shared" si="64"/>
        <v>#REF!</v>
      </c>
      <c r="B467" s="81"/>
      <c r="C467" s="3"/>
      <c r="D467" s="46"/>
      <c r="E467" s="3"/>
      <c r="F467" s="3"/>
      <c r="G467" s="3"/>
      <c r="H467" s="41"/>
      <c r="I467" s="3"/>
      <c r="J467" s="78"/>
      <c r="K467" s="78"/>
      <c r="L467" s="78"/>
      <c r="M467" s="78"/>
      <c r="N467" s="44" t="str">
        <f t="shared" si="60"/>
        <v/>
      </c>
      <c r="O467" s="45"/>
      <c r="P467" s="3"/>
      <c r="Q467" s="46"/>
      <c r="R467" s="47"/>
      <c r="S467" s="48"/>
      <c r="T467" s="80"/>
      <c r="U467" s="80"/>
      <c r="V467" s="3"/>
      <c r="W467" s="3"/>
      <c r="X467" s="50"/>
      <c r="Y467" s="80"/>
      <c r="Z467" s="80"/>
      <c r="AA467" s="3"/>
      <c r="AC467" s="50"/>
      <c r="AD467" s="50"/>
      <c r="AE467" s="3" t="str">
        <f>IF(OR(V467="電話不通 x2",V467="DS判断"),"DS確認→U列入力",IF(V467="希望","U列入力",IF(V467="拒否","DS確認",IF(V467="外国語","DS確認",IF(V467="電話不通 x1","ORM再架電","-")))))</f>
        <v>-</v>
      </c>
      <c r="AF467" s="51"/>
      <c r="AG467" s="52" t="str">
        <f t="shared" ca="1" si="63"/>
        <v/>
      </c>
      <c r="AI467" s="54"/>
      <c r="AJ467" s="3"/>
      <c r="AK467" s="3">
        <v>1</v>
      </c>
      <c r="AL467" s="3"/>
      <c r="AM467" s="4"/>
      <c r="AN467" s="4"/>
      <c r="AO467" s="3"/>
      <c r="AP467" s="4"/>
      <c r="AQ467" s="3"/>
      <c r="AR467" s="3"/>
      <c r="AS467" s="3"/>
    </row>
    <row r="468" spans="1:45" s="53" customFormat="1" ht="19.5" hidden="1" customHeight="1">
      <c r="A468" s="35" t="e">
        <f t="shared" si="64"/>
        <v>#REF!</v>
      </c>
      <c r="B468" s="81"/>
      <c r="C468" s="3"/>
      <c r="D468" s="46"/>
      <c r="E468" s="3"/>
      <c r="F468" s="3"/>
      <c r="G468" s="3"/>
      <c r="H468" s="41"/>
      <c r="I468" s="3"/>
      <c r="J468" s="78"/>
      <c r="K468" s="78"/>
      <c r="L468" s="78"/>
      <c r="M468" s="78"/>
      <c r="N468" s="44" t="str">
        <f t="shared" si="60"/>
        <v/>
      </c>
      <c r="O468" s="45"/>
      <c r="P468" s="3"/>
      <c r="Q468" s="46"/>
      <c r="R468" s="47"/>
      <c r="S468" s="48"/>
      <c r="T468" s="80"/>
      <c r="U468" s="80"/>
      <c r="V468" s="3"/>
      <c r="W468" s="3"/>
      <c r="X468" s="50"/>
      <c r="Y468" s="80"/>
      <c r="Z468" s="80"/>
      <c r="AA468" s="3"/>
      <c r="AC468" s="50"/>
      <c r="AD468" s="50"/>
      <c r="AE468" s="3" t="str">
        <f>IF(OR(V468="電話不通 x2",V468="DS判断"),"DS確認→U列入力",IF(V468="希望","U列入力",IF(V468="拒否","DS確認",IF(V468="外国語","DS確認",IF(V468="電話不通 x1","ORM再架電","-")))))</f>
        <v>-</v>
      </c>
      <c r="AF468" s="51"/>
      <c r="AG468" s="52" t="str">
        <f t="shared" ca="1" si="63"/>
        <v/>
      </c>
      <c r="AI468" s="54"/>
      <c r="AJ468" s="3"/>
      <c r="AK468" s="3">
        <v>1</v>
      </c>
      <c r="AL468" s="3"/>
      <c r="AM468" s="4"/>
      <c r="AN468" s="4"/>
      <c r="AO468" s="3"/>
      <c r="AP468" s="4"/>
      <c r="AQ468" s="3"/>
      <c r="AR468" s="3"/>
      <c r="AS468" s="3"/>
    </row>
    <row r="469" spans="1:45" s="53" customFormat="1" ht="19.5" hidden="1" customHeight="1">
      <c r="A469" s="35" t="e">
        <f t="shared" si="64"/>
        <v>#REF!</v>
      </c>
      <c r="B469" s="81"/>
      <c r="C469" s="3"/>
      <c r="D469" s="46"/>
      <c r="E469" s="3"/>
      <c r="F469" s="3"/>
      <c r="G469" s="3"/>
      <c r="H469" s="41"/>
      <c r="I469" s="3"/>
      <c r="J469" s="78"/>
      <c r="K469" s="78"/>
      <c r="L469" s="78"/>
      <c r="M469" s="78"/>
      <c r="N469" s="44" t="str">
        <f t="shared" si="60"/>
        <v/>
      </c>
      <c r="O469" s="45"/>
      <c r="P469" s="3"/>
      <c r="Q469" s="46"/>
      <c r="R469" s="47"/>
      <c r="S469" s="48"/>
      <c r="T469" s="80"/>
      <c r="U469" s="80"/>
      <c r="V469" s="3"/>
      <c r="W469" s="3"/>
      <c r="X469" s="50"/>
      <c r="Y469" s="80"/>
      <c r="Z469" s="80"/>
      <c r="AA469" s="3"/>
      <c r="AC469" s="50"/>
      <c r="AD469" s="50"/>
      <c r="AE469" s="3" t="str">
        <f>IF(OR(V469="電話不通 x2",V469="DS判断"),"DS確認→U列入力",IF(V469="希望","U列入力",IF(V469="拒否","DS確認",IF(V469="外国語","DS確認",IF(V469="電話不通 x1","ORM再架電","-")))))</f>
        <v>-</v>
      </c>
      <c r="AF469" s="51"/>
      <c r="AG469" s="52" t="str">
        <f t="shared" ca="1" si="63"/>
        <v/>
      </c>
      <c r="AI469" s="54"/>
      <c r="AJ469" s="3"/>
      <c r="AK469" s="3">
        <v>1</v>
      </c>
      <c r="AL469" s="3"/>
      <c r="AM469" s="4"/>
      <c r="AN469" s="4"/>
      <c r="AO469" s="3"/>
      <c r="AP469" s="4"/>
      <c r="AQ469" s="3"/>
      <c r="AR469" s="3"/>
      <c r="AS469" s="3"/>
    </row>
    <row r="470" spans="1:45" s="53" customFormat="1" ht="19.5" hidden="1" customHeight="1">
      <c r="A470" s="35" t="e">
        <f t="shared" si="64"/>
        <v>#REF!</v>
      </c>
      <c r="B470" s="36"/>
      <c r="C470" s="37"/>
      <c r="D470" s="38" t="s">
        <v>93</v>
      </c>
      <c r="E470" s="37"/>
      <c r="F470" s="39"/>
      <c r="G470" s="40"/>
      <c r="H470" s="41"/>
      <c r="I470" s="37" t="s">
        <v>80</v>
      </c>
      <c r="J470" s="43"/>
      <c r="K470" s="94"/>
      <c r="L470" s="94" t="s">
        <v>81</v>
      </c>
      <c r="M470" s="94"/>
      <c r="N470" s="44" t="str">
        <f t="shared" si="60"/>
        <v/>
      </c>
      <c r="O470" s="45" t="s">
        <v>82</v>
      </c>
      <c r="P470" s="95"/>
      <c r="Q470" s="95"/>
      <c r="R470" s="47"/>
      <c r="S470" s="48"/>
      <c r="T470" s="49"/>
      <c r="U470" s="49"/>
      <c r="V470" s="3"/>
      <c r="W470" s="3"/>
      <c r="X470" s="50"/>
      <c r="Y470" s="49"/>
      <c r="Z470" s="49"/>
      <c r="AA470" s="3"/>
      <c r="AC470" s="50"/>
      <c r="AD470" s="50"/>
      <c r="AE470" s="3" t="s">
        <v>83</v>
      </c>
      <c r="AF470" s="51"/>
      <c r="AG470" s="52" t="str">
        <f t="shared" ca="1" si="63"/>
        <v/>
      </c>
      <c r="AI470" s="54"/>
      <c r="AJ470" s="3"/>
      <c r="AK470" s="3">
        <v>1</v>
      </c>
      <c r="AL470" s="3"/>
      <c r="AM470" s="4"/>
      <c r="AN470" s="4"/>
      <c r="AO470" s="3"/>
      <c r="AP470" s="4"/>
      <c r="AQ470" s="3"/>
      <c r="AR470" s="3"/>
      <c r="AS470" s="3"/>
    </row>
    <row r="471" spans="1:45" s="53" customFormat="1" ht="19.5" hidden="1" customHeight="1">
      <c r="A471" s="35" t="e">
        <f t="shared" si="64"/>
        <v>#REF!</v>
      </c>
      <c r="B471" s="36"/>
      <c r="C471" s="37"/>
      <c r="D471" s="38"/>
      <c r="E471" s="37"/>
      <c r="F471" s="39"/>
      <c r="G471" s="40"/>
      <c r="H471" s="41"/>
      <c r="I471" s="37" t="s">
        <v>80</v>
      </c>
      <c r="J471" s="43"/>
      <c r="K471" s="94"/>
      <c r="L471" s="94" t="s">
        <v>81</v>
      </c>
      <c r="M471" s="94"/>
      <c r="N471" s="44" t="str">
        <f t="shared" si="60"/>
        <v/>
      </c>
      <c r="O471" s="45" t="s">
        <v>82</v>
      </c>
      <c r="P471" s="96" t="s">
        <v>84</v>
      </c>
      <c r="Q471" s="96">
        <v>10</v>
      </c>
      <c r="R471" s="47"/>
      <c r="S471" s="48"/>
      <c r="T471" s="79"/>
      <c r="U471" s="49"/>
      <c r="V471" s="3"/>
      <c r="W471" s="3"/>
      <c r="X471" s="50"/>
      <c r="Y471" s="49"/>
      <c r="Z471" s="49"/>
      <c r="AA471" s="3"/>
      <c r="AC471" s="50"/>
      <c r="AD471" s="50"/>
      <c r="AE471" s="3" t="s">
        <v>83</v>
      </c>
      <c r="AF471" s="51"/>
      <c r="AG471" s="52" t="str">
        <f t="shared" ca="1" si="63"/>
        <v/>
      </c>
      <c r="AI471" s="54"/>
      <c r="AJ471" s="3"/>
      <c r="AK471" s="3">
        <v>1</v>
      </c>
      <c r="AL471" s="3"/>
      <c r="AM471" s="4"/>
      <c r="AN471" s="4"/>
      <c r="AO471" s="3"/>
      <c r="AP471" s="4"/>
      <c r="AQ471" s="3"/>
      <c r="AR471" s="3"/>
      <c r="AS471" s="3"/>
    </row>
    <row r="472" spans="1:45" s="53" customFormat="1" ht="19.5" hidden="1" customHeight="1">
      <c r="A472" s="35" t="e">
        <f t="shared" si="64"/>
        <v>#REF!</v>
      </c>
      <c r="B472" s="36"/>
      <c r="C472" s="37"/>
      <c r="D472" s="38"/>
      <c r="E472" s="37"/>
      <c r="F472" s="39"/>
      <c r="G472" s="40"/>
      <c r="H472" s="41"/>
      <c r="I472" s="37" t="s">
        <v>80</v>
      </c>
      <c r="J472" s="43"/>
      <c r="K472" s="94"/>
      <c r="L472" s="94" t="s">
        <v>81</v>
      </c>
      <c r="M472" s="94"/>
      <c r="N472" s="44" t="str">
        <f t="shared" si="60"/>
        <v/>
      </c>
      <c r="O472" s="45" t="s">
        <v>82</v>
      </c>
      <c r="P472" s="96" t="s">
        <v>84</v>
      </c>
      <c r="Q472" s="96">
        <v>10</v>
      </c>
      <c r="R472" s="47"/>
      <c r="S472" s="48"/>
      <c r="T472" s="82">
        <v>0.6875</v>
      </c>
      <c r="U472" s="79">
        <v>0.69444444444444453</v>
      </c>
      <c r="V472" s="83"/>
      <c r="W472" s="3"/>
      <c r="X472" s="50"/>
      <c r="Y472" s="49"/>
      <c r="Z472" s="49"/>
      <c r="AA472" s="3"/>
      <c r="AC472" s="50"/>
      <c r="AD472" s="50"/>
      <c r="AE472" s="3" t="s">
        <v>83</v>
      </c>
      <c r="AF472" s="51"/>
      <c r="AG472" s="52" t="str">
        <f t="shared" ca="1" si="63"/>
        <v/>
      </c>
      <c r="AI472" s="54"/>
      <c r="AJ472" s="3"/>
      <c r="AK472" s="3">
        <v>1</v>
      </c>
      <c r="AL472" s="3"/>
      <c r="AM472" s="4"/>
      <c r="AN472" s="4"/>
      <c r="AO472" s="3"/>
      <c r="AP472" s="4"/>
      <c r="AQ472" s="3"/>
      <c r="AR472" s="3"/>
      <c r="AS472" s="3"/>
    </row>
    <row r="473" spans="1:45" s="53" customFormat="1" ht="19.5" hidden="1" customHeight="1">
      <c r="A473" s="35" t="e">
        <f t="shared" si="64"/>
        <v>#REF!</v>
      </c>
      <c r="B473" s="36"/>
      <c r="C473" s="37"/>
      <c r="D473" s="38"/>
      <c r="E473" s="37"/>
      <c r="F473" s="39"/>
      <c r="G473" s="40"/>
      <c r="H473" s="41"/>
      <c r="I473" s="37" t="s">
        <v>80</v>
      </c>
      <c r="J473" s="43"/>
      <c r="K473" s="94"/>
      <c r="L473" s="94" t="s">
        <v>81</v>
      </c>
      <c r="M473" s="94"/>
      <c r="N473" s="44" t="str">
        <f t="shared" si="60"/>
        <v/>
      </c>
      <c r="O473" s="45" t="s">
        <v>82</v>
      </c>
      <c r="P473" s="96" t="s">
        <v>84</v>
      </c>
      <c r="Q473" s="96">
        <v>10</v>
      </c>
      <c r="R473" s="47"/>
      <c r="S473" s="48"/>
      <c r="T473" s="82">
        <v>0.6875</v>
      </c>
      <c r="U473" s="82">
        <v>0.69444444444444453</v>
      </c>
      <c r="V473" s="97" t="s">
        <v>85</v>
      </c>
      <c r="W473" s="3"/>
      <c r="X473" s="72"/>
      <c r="Y473" s="79"/>
      <c r="Z473" s="49"/>
      <c r="AA473" s="3"/>
      <c r="AC473" s="50"/>
      <c r="AD473" s="50"/>
      <c r="AE473" s="3" t="s">
        <v>83</v>
      </c>
      <c r="AF473" s="51"/>
      <c r="AG473" s="52" t="str">
        <f t="shared" ca="1" si="63"/>
        <v/>
      </c>
      <c r="AI473" s="54"/>
      <c r="AJ473" s="3"/>
      <c r="AK473" s="3">
        <v>1</v>
      </c>
      <c r="AL473" s="3"/>
      <c r="AM473" s="4"/>
      <c r="AN473" s="4"/>
      <c r="AO473" s="3"/>
      <c r="AP473" s="4"/>
      <c r="AQ473" s="3"/>
      <c r="AR473" s="3"/>
      <c r="AS473" s="3"/>
    </row>
    <row r="474" spans="1:45" s="53" customFormat="1" ht="19.5" hidden="1" customHeight="1">
      <c r="A474" s="35" t="e">
        <f t="shared" si="64"/>
        <v>#REF!</v>
      </c>
      <c r="B474" s="81"/>
      <c r="C474" s="37"/>
      <c r="D474" s="46"/>
      <c r="E474" s="37"/>
      <c r="F474" s="37"/>
      <c r="G474" s="37"/>
      <c r="H474" s="41"/>
      <c r="I474" s="37" t="s">
        <v>80</v>
      </c>
      <c r="J474" s="43"/>
      <c r="K474" s="94"/>
      <c r="L474" s="94" t="s">
        <v>81</v>
      </c>
      <c r="M474" s="98"/>
      <c r="N474" s="44" t="str">
        <f t="shared" si="60"/>
        <v/>
      </c>
      <c r="O474" s="45" t="s">
        <v>82</v>
      </c>
      <c r="P474" s="96" t="s">
        <v>84</v>
      </c>
      <c r="Q474" s="96">
        <v>10</v>
      </c>
      <c r="R474" s="47"/>
      <c r="S474" s="48"/>
      <c r="T474" s="82">
        <v>0.6875</v>
      </c>
      <c r="U474" s="82">
        <v>0.69444444444444453</v>
      </c>
      <c r="V474" s="97" t="s">
        <v>85</v>
      </c>
      <c r="W474" s="3"/>
      <c r="X474" s="72"/>
      <c r="Y474" s="99">
        <v>0.69097222222222221</v>
      </c>
      <c r="Z474" s="100">
        <v>0.69791666666666663</v>
      </c>
      <c r="AA474" s="83"/>
      <c r="AB474" s="101"/>
      <c r="AC474" s="50"/>
      <c r="AD474" s="50"/>
      <c r="AE474" s="3" t="s">
        <v>83</v>
      </c>
      <c r="AF474" s="51"/>
      <c r="AG474" s="52" t="str">
        <f t="shared" ca="1" si="63"/>
        <v/>
      </c>
      <c r="AI474" s="54"/>
      <c r="AJ474" s="3"/>
      <c r="AK474" s="3">
        <v>1</v>
      </c>
      <c r="AL474" s="3"/>
      <c r="AM474" s="4"/>
      <c r="AN474" s="4"/>
      <c r="AO474" s="3"/>
      <c r="AP474" s="4"/>
      <c r="AQ474" s="3"/>
      <c r="AR474" s="3"/>
      <c r="AS474" s="3"/>
    </row>
    <row r="475" spans="1:45" s="53" customFormat="1" ht="19.5" hidden="1" customHeight="1">
      <c r="A475" s="35" t="e">
        <f t="shared" si="64"/>
        <v>#REF!</v>
      </c>
      <c r="B475" s="81"/>
      <c r="C475" s="102"/>
      <c r="D475" s="46"/>
      <c r="E475" s="3"/>
      <c r="F475" s="3"/>
      <c r="G475" s="3"/>
      <c r="H475" s="41"/>
      <c r="I475" s="37" t="s">
        <v>80</v>
      </c>
      <c r="J475" s="43"/>
      <c r="K475" s="94"/>
      <c r="L475" s="94" t="s">
        <v>81</v>
      </c>
      <c r="M475" s="98"/>
      <c r="N475" s="44" t="str">
        <f t="shared" si="60"/>
        <v/>
      </c>
      <c r="O475" s="45" t="s">
        <v>82</v>
      </c>
      <c r="P475" s="96" t="s">
        <v>84</v>
      </c>
      <c r="Q475" s="96">
        <v>10</v>
      </c>
      <c r="R475" s="47"/>
      <c r="S475" s="48"/>
      <c r="T475" s="82">
        <v>0.6875</v>
      </c>
      <c r="U475" s="82">
        <v>0.69444444444444453</v>
      </c>
      <c r="V475" s="97" t="s">
        <v>85</v>
      </c>
      <c r="W475" s="3"/>
      <c r="X475" s="72"/>
      <c r="Y475" s="99">
        <v>0.69097222222222221</v>
      </c>
      <c r="Z475" s="99">
        <v>0.69791666666666663</v>
      </c>
      <c r="AA475" s="97" t="s">
        <v>86</v>
      </c>
      <c r="AB475" s="73"/>
      <c r="AC475" s="103"/>
      <c r="AD475" s="104"/>
      <c r="AE475" s="3" t="s">
        <v>83</v>
      </c>
      <c r="AF475" s="105"/>
      <c r="AG475" s="52" t="str">
        <f t="shared" ca="1" si="63"/>
        <v/>
      </c>
      <c r="AI475" s="54"/>
      <c r="AJ475" s="3"/>
      <c r="AK475" s="3">
        <v>1</v>
      </c>
      <c r="AL475" s="3"/>
      <c r="AM475" s="4"/>
      <c r="AN475" s="4"/>
      <c r="AO475" s="3"/>
      <c r="AP475" s="4"/>
      <c r="AQ475" s="3"/>
      <c r="AR475" s="3"/>
      <c r="AS475" s="3"/>
    </row>
    <row r="476" spans="1:45" s="53" customFormat="1" ht="19.5" hidden="1" customHeight="1">
      <c r="A476" s="35" t="e">
        <f t="shared" si="64"/>
        <v>#REF!</v>
      </c>
      <c r="B476" s="81"/>
      <c r="C476" s="102"/>
      <c r="D476" s="46"/>
      <c r="E476" s="3"/>
      <c r="F476" s="3"/>
      <c r="G476" s="3"/>
      <c r="H476" s="41"/>
      <c r="I476" s="37" t="s">
        <v>80</v>
      </c>
      <c r="J476" s="43"/>
      <c r="K476" s="94"/>
      <c r="L476" s="94" t="s">
        <v>81</v>
      </c>
      <c r="M476" s="98"/>
      <c r="N476" s="44" t="str">
        <f t="shared" si="60"/>
        <v/>
      </c>
      <c r="O476" s="45" t="s">
        <v>82</v>
      </c>
      <c r="P476" s="96" t="s">
        <v>84</v>
      </c>
      <c r="Q476" s="96">
        <v>10</v>
      </c>
      <c r="R476" s="47"/>
      <c r="S476" s="48"/>
      <c r="T476" s="82">
        <v>0.6875</v>
      </c>
      <c r="U476" s="82">
        <v>0.69444444444444453</v>
      </c>
      <c r="V476" s="97" t="s">
        <v>85</v>
      </c>
      <c r="W476" s="3"/>
      <c r="X476" s="72"/>
      <c r="Y476" s="99">
        <v>0.69097222222222221</v>
      </c>
      <c r="Z476" s="99">
        <v>0.69791666666666663</v>
      </c>
      <c r="AA476" s="97" t="s">
        <v>86</v>
      </c>
      <c r="AB476" s="73"/>
      <c r="AC476" s="50"/>
      <c r="AD476" s="106" t="s">
        <v>87</v>
      </c>
      <c r="AE476" s="3" t="s">
        <v>83</v>
      </c>
      <c r="AF476" s="107">
        <v>0.69444444444444453</v>
      </c>
      <c r="AG476" s="52">
        <v>0.71527777777777779</v>
      </c>
      <c r="AI476" s="54"/>
      <c r="AJ476" s="3"/>
      <c r="AK476" s="3">
        <v>1</v>
      </c>
      <c r="AL476" s="3"/>
      <c r="AM476" s="4"/>
      <c r="AN476" s="4"/>
      <c r="AO476" s="3"/>
      <c r="AP476" s="4"/>
      <c r="AQ476" s="3"/>
      <c r="AR476" s="3"/>
      <c r="AS476" s="3"/>
    </row>
    <row r="477" spans="1:45" s="53" customFormat="1" ht="19.5" hidden="1" customHeight="1">
      <c r="A477" s="35" t="e">
        <f t="shared" si="64"/>
        <v>#REF!</v>
      </c>
      <c r="B477" s="81"/>
      <c r="C477" s="102"/>
      <c r="D477" s="46"/>
      <c r="E477" s="3"/>
      <c r="F477" s="3"/>
      <c r="G477" s="3"/>
      <c r="H477" s="41"/>
      <c r="I477" s="37" t="s">
        <v>80</v>
      </c>
      <c r="J477" s="43"/>
      <c r="K477" s="94"/>
      <c r="L477" s="94" t="s">
        <v>81</v>
      </c>
      <c r="M477" s="98"/>
      <c r="N477" s="44" t="str">
        <f t="shared" si="60"/>
        <v/>
      </c>
      <c r="O477" s="45" t="s">
        <v>82</v>
      </c>
      <c r="P477" s="96" t="s">
        <v>84</v>
      </c>
      <c r="Q477" s="96">
        <v>10</v>
      </c>
      <c r="R477" s="47"/>
      <c r="S477" s="48"/>
      <c r="T477" s="82">
        <v>0.6875</v>
      </c>
      <c r="U477" s="82">
        <v>0.69444444444444453</v>
      </c>
      <c r="V477" s="97" t="s">
        <v>85</v>
      </c>
      <c r="W477" s="3"/>
      <c r="X477" s="72"/>
      <c r="Y477" s="99">
        <v>0.69097222222222221</v>
      </c>
      <c r="Z477" s="99">
        <v>0.69791666666666663</v>
      </c>
      <c r="AA477" s="97" t="s">
        <v>86</v>
      </c>
      <c r="AB477" s="73"/>
      <c r="AC477" s="50"/>
      <c r="AD477" s="106" t="s">
        <v>87</v>
      </c>
      <c r="AE477" s="3" t="s">
        <v>83</v>
      </c>
      <c r="AF477" s="107">
        <v>0.69444444444444453</v>
      </c>
      <c r="AG477" s="108">
        <v>0.72569444444444453</v>
      </c>
      <c r="AH477" s="109"/>
      <c r="AI477" s="54"/>
      <c r="AJ477" s="3"/>
      <c r="AK477" s="3">
        <v>1</v>
      </c>
      <c r="AL477" s="3"/>
      <c r="AM477" s="4"/>
      <c r="AN477" s="4"/>
      <c r="AO477" s="3"/>
      <c r="AP477" s="4"/>
      <c r="AQ477" s="3"/>
      <c r="AR477" s="3"/>
      <c r="AS477" s="3"/>
    </row>
    <row r="478" spans="1:45" s="53" customFormat="1" ht="19.5" hidden="1" customHeight="1">
      <c r="A478" s="35" t="e">
        <f t="shared" si="64"/>
        <v>#REF!</v>
      </c>
      <c r="B478" s="81"/>
      <c r="C478" s="102"/>
      <c r="D478" s="46"/>
      <c r="E478" s="3"/>
      <c r="F478" s="3"/>
      <c r="G478" s="3"/>
      <c r="H478" s="41"/>
      <c r="I478" s="37" t="s">
        <v>80</v>
      </c>
      <c r="J478" s="43"/>
      <c r="K478" s="94"/>
      <c r="L478" s="94" t="s">
        <v>81</v>
      </c>
      <c r="M478" s="98"/>
      <c r="N478" s="44" t="str">
        <f t="shared" si="60"/>
        <v/>
      </c>
      <c r="O478" s="45" t="s">
        <v>82</v>
      </c>
      <c r="P478" s="96" t="s">
        <v>84</v>
      </c>
      <c r="Q478" s="96">
        <v>10</v>
      </c>
      <c r="R478" s="47"/>
      <c r="S478" s="48"/>
      <c r="T478" s="82">
        <v>0.6875</v>
      </c>
      <c r="U478" s="82">
        <v>0.69444444444444453</v>
      </c>
      <c r="V478" s="97" t="s">
        <v>85</v>
      </c>
      <c r="W478" s="3"/>
      <c r="X478" s="72"/>
      <c r="Y478" s="99">
        <v>0.69097222222222221</v>
      </c>
      <c r="Z478" s="99">
        <v>0.69791666666666663</v>
      </c>
      <c r="AA478" s="97" t="s">
        <v>86</v>
      </c>
      <c r="AB478" s="73"/>
      <c r="AC478" s="50"/>
      <c r="AD478" s="106" t="s">
        <v>87</v>
      </c>
      <c r="AE478" s="3" t="s">
        <v>83</v>
      </c>
      <c r="AF478" s="107">
        <v>0.69444444444444453</v>
      </c>
      <c r="AG478" s="110">
        <v>0.72569444444444453</v>
      </c>
      <c r="AH478" s="111"/>
      <c r="AI478" s="54"/>
      <c r="AJ478" s="3"/>
      <c r="AK478" s="3">
        <v>1</v>
      </c>
      <c r="AL478" s="3"/>
      <c r="AM478" s="4"/>
      <c r="AN478" s="4"/>
      <c r="AO478" s="3"/>
      <c r="AP478" s="4"/>
      <c r="AQ478" s="3"/>
      <c r="AR478" s="3"/>
      <c r="AS478" s="3"/>
    </row>
    <row r="479" spans="1:45" s="53" customFormat="1" ht="19.5" hidden="1" customHeight="1">
      <c r="A479" s="35" t="e">
        <f t="shared" si="64"/>
        <v>#REF!</v>
      </c>
      <c r="B479" s="81"/>
      <c r="C479" s="102"/>
      <c r="D479" s="46"/>
      <c r="E479" s="3"/>
      <c r="F479" s="3"/>
      <c r="G479" s="3"/>
      <c r="H479" s="41"/>
      <c r="I479" s="3" t="s">
        <v>80</v>
      </c>
      <c r="J479" s="78"/>
      <c r="K479" s="98"/>
      <c r="L479" s="98" t="s">
        <v>81</v>
      </c>
      <c r="M479" s="98"/>
      <c r="N479" s="44" t="str">
        <f t="shared" si="60"/>
        <v/>
      </c>
      <c r="O479" s="45" t="s">
        <v>82</v>
      </c>
      <c r="P479" s="96" t="s">
        <v>84</v>
      </c>
      <c r="Q479" s="96">
        <v>10</v>
      </c>
      <c r="R479" s="47"/>
      <c r="S479" s="48"/>
      <c r="T479" s="82">
        <v>0.6875</v>
      </c>
      <c r="U479" s="82">
        <v>0.69444444444444453</v>
      </c>
      <c r="V479" s="97" t="s">
        <v>85</v>
      </c>
      <c r="W479" s="3"/>
      <c r="X479" s="72"/>
      <c r="Y479" s="99">
        <v>0.69097222222222221</v>
      </c>
      <c r="Z479" s="99">
        <v>0.69791666666666663</v>
      </c>
      <c r="AA479" s="97" t="s">
        <v>86</v>
      </c>
      <c r="AB479" s="73"/>
      <c r="AC479" s="50"/>
      <c r="AD479" s="106" t="s">
        <v>87</v>
      </c>
      <c r="AE479" s="3" t="s">
        <v>83</v>
      </c>
      <c r="AF479" s="107">
        <v>0.69444444444444453</v>
      </c>
      <c r="AG479" s="110">
        <v>0.72569444444444453</v>
      </c>
      <c r="AH479" s="111"/>
      <c r="AI479" s="54"/>
      <c r="AJ479" s="3"/>
      <c r="AK479" s="3">
        <v>1</v>
      </c>
      <c r="AL479" s="3"/>
      <c r="AM479" s="4"/>
      <c r="AN479" s="4"/>
      <c r="AO479" s="3"/>
      <c r="AP479" s="4"/>
      <c r="AQ479" s="3"/>
      <c r="AR479" s="3"/>
      <c r="AS479" s="3"/>
    </row>
    <row r="480" spans="1:45" s="53" customFormat="1" ht="19.5" hidden="1" customHeight="1">
      <c r="A480" s="35" t="e">
        <f>A469</f>
        <v>#REF!</v>
      </c>
      <c r="B480" s="81"/>
      <c r="C480" s="3"/>
      <c r="D480" s="46"/>
      <c r="E480" s="3"/>
      <c r="F480" s="3"/>
      <c r="G480" s="3"/>
      <c r="H480" s="41"/>
      <c r="I480" s="3" t="s">
        <v>50</v>
      </c>
      <c r="J480" s="78"/>
      <c r="K480" s="98"/>
      <c r="L480" s="98" t="s">
        <v>52</v>
      </c>
      <c r="M480" s="98"/>
      <c r="N480" s="44" t="str">
        <f t="shared" si="60"/>
        <v/>
      </c>
      <c r="O480" s="45" t="s">
        <v>82</v>
      </c>
      <c r="P480" s="95" t="s">
        <v>84</v>
      </c>
      <c r="Q480" s="95">
        <v>10</v>
      </c>
      <c r="R480" s="47"/>
      <c r="S480" s="48"/>
      <c r="T480" s="82">
        <v>0.6875</v>
      </c>
      <c r="U480" s="82">
        <v>0.69444444444444453</v>
      </c>
      <c r="V480" s="97" t="s">
        <v>85</v>
      </c>
      <c r="W480" s="3"/>
      <c r="X480" s="120" t="s">
        <v>90</v>
      </c>
      <c r="Y480" s="99">
        <v>0.69097222222222221</v>
      </c>
      <c r="Z480" s="99">
        <v>0.69791666666666663</v>
      </c>
      <c r="AA480" s="63" t="s">
        <v>94</v>
      </c>
      <c r="AB480" s="73"/>
      <c r="AC480" s="50"/>
      <c r="AD480" s="118" t="s">
        <v>87</v>
      </c>
      <c r="AE480" s="3" t="str">
        <f>IF(OR(V480="電話不通 x2",V480="DS判断"),"DS確認→U列入力",IF(V480="希望","U列入力",IF(V480="拒否","DS確認",IF(V480="外国語","DS確認",IF(V480="電話不通 x1","ORM再架電","-")))))</f>
        <v>-</v>
      </c>
      <c r="AF480" s="107">
        <v>0.69444444444444453</v>
      </c>
      <c r="AG480" s="110">
        <v>0.72569444444444453</v>
      </c>
      <c r="AH480" s="111"/>
      <c r="AI480" s="54"/>
      <c r="AJ480" s="3"/>
      <c r="AK480" s="3"/>
      <c r="AL480" s="3"/>
      <c r="AM480" s="4"/>
      <c r="AN480" s="4"/>
      <c r="AO480" s="3"/>
      <c r="AP480" s="4"/>
      <c r="AQ480" s="3"/>
      <c r="AR480" s="3"/>
      <c r="AS480" s="3"/>
    </row>
    <row r="481" spans="1:45" s="53" customFormat="1" ht="19.5" hidden="1" customHeight="1">
      <c r="A481" s="35" t="e">
        <f>A479</f>
        <v>#REF!</v>
      </c>
      <c r="B481" s="81"/>
      <c r="C481" s="3"/>
      <c r="D481" s="46"/>
      <c r="E481" s="3"/>
      <c r="F481" s="3"/>
      <c r="G481" s="3"/>
      <c r="H481" s="41"/>
      <c r="I481" s="3" t="s">
        <v>50</v>
      </c>
      <c r="J481" s="78"/>
      <c r="K481" s="98"/>
      <c r="L481" s="98" t="s">
        <v>52</v>
      </c>
      <c r="M481" s="98"/>
      <c r="N481" s="44" t="str">
        <f t="shared" si="60"/>
        <v/>
      </c>
      <c r="O481" s="45" t="s">
        <v>95</v>
      </c>
      <c r="P481" s="95"/>
      <c r="Q481" s="95"/>
      <c r="R481" s="47"/>
      <c r="S481" s="48"/>
      <c r="T481" s="82">
        <v>0.6875</v>
      </c>
      <c r="U481" s="82">
        <v>0.69444444444444453</v>
      </c>
      <c r="V481" s="97" t="s">
        <v>85</v>
      </c>
      <c r="W481" s="3"/>
      <c r="X481" s="118" t="s">
        <v>90</v>
      </c>
      <c r="Y481" s="99">
        <v>0.69097222222222221</v>
      </c>
      <c r="Z481" s="99">
        <v>0.69791666666666663</v>
      </c>
      <c r="AA481" s="83" t="s">
        <v>94</v>
      </c>
      <c r="AB481" s="73"/>
      <c r="AC481" s="50"/>
      <c r="AD481" s="118" t="s">
        <v>87</v>
      </c>
      <c r="AE481" s="83" t="str">
        <f>IF(OR(V481="電話不通 x2",V481="DS判断"),"DS確認→U列入力",IF(V481="希望","U列入力",IF(V481="拒否","DS確認",IF(V481="外国語","DS確認",IF(V481="電話不通 x1","ORM再架電","-")))))</f>
        <v>-</v>
      </c>
      <c r="AF481" s="105">
        <v>0.69444444444444453</v>
      </c>
      <c r="AG481" s="110">
        <v>0.72569444444444453</v>
      </c>
      <c r="AH481" s="121"/>
      <c r="AI481" s="54"/>
      <c r="AJ481" s="3"/>
      <c r="AK481" s="3">
        <v>1</v>
      </c>
      <c r="AL481" s="3"/>
      <c r="AM481" s="4"/>
      <c r="AN481" s="4"/>
      <c r="AO481" s="3"/>
      <c r="AP481" s="4"/>
      <c r="AQ481" s="3"/>
      <c r="AR481" s="3"/>
      <c r="AS481" s="3"/>
    </row>
    <row r="482" spans="1:45" s="53" customFormat="1" ht="19.5" hidden="1" customHeight="1">
      <c r="A482" s="35" t="e">
        <f>A480</f>
        <v>#REF!</v>
      </c>
      <c r="B482" s="81"/>
      <c r="C482" s="3"/>
      <c r="D482" s="46"/>
      <c r="E482" s="3"/>
      <c r="F482" s="3"/>
      <c r="G482" s="3"/>
      <c r="H482" s="41"/>
      <c r="I482" s="3" t="s">
        <v>50</v>
      </c>
      <c r="J482" s="78"/>
      <c r="K482" s="98"/>
      <c r="L482" s="98" t="s">
        <v>52</v>
      </c>
      <c r="M482" s="98"/>
      <c r="N482" s="44" t="str">
        <f t="shared" si="60"/>
        <v/>
      </c>
      <c r="O482" s="45" t="s">
        <v>95</v>
      </c>
      <c r="P482" s="96" t="s">
        <v>59</v>
      </c>
      <c r="Q482" s="96">
        <v>7</v>
      </c>
      <c r="R482" s="47"/>
      <c r="S482" s="48"/>
      <c r="T482" s="82">
        <v>0.6875</v>
      </c>
      <c r="U482" s="82">
        <v>0.69444444444444453</v>
      </c>
      <c r="V482" s="97" t="s">
        <v>85</v>
      </c>
      <c r="W482" s="3"/>
      <c r="X482" s="118" t="s">
        <v>90</v>
      </c>
      <c r="Y482" s="99">
        <v>0.69097222222222221</v>
      </c>
      <c r="Z482" s="99">
        <v>0.69791666666666663</v>
      </c>
      <c r="AA482" s="83" t="s">
        <v>94</v>
      </c>
      <c r="AB482" s="73"/>
      <c r="AC482" s="50"/>
      <c r="AD482" s="118" t="s">
        <v>87</v>
      </c>
      <c r="AE482" s="83" t="str">
        <f>IF(OR(V482="電話不通 x2",V482="DS判断"),"DS確認→U列入力",IF(V482="希望","U列入力",IF(V482="拒否","DS確認",IF(V482="外国語","DS確認",IF(V482="電話不通 x1","ORM再架電","-")))))</f>
        <v>-</v>
      </c>
      <c r="AF482" s="105">
        <v>0.69444444444444453</v>
      </c>
      <c r="AG482" s="110">
        <v>0.72569444444444453</v>
      </c>
      <c r="AH482" s="121"/>
      <c r="AI482" s="54"/>
      <c r="AJ482" s="3"/>
      <c r="AK482" s="3">
        <v>1</v>
      </c>
      <c r="AL482" s="3"/>
      <c r="AM482" s="4"/>
      <c r="AN482" s="4"/>
      <c r="AO482" s="3"/>
      <c r="AP482" s="4"/>
      <c r="AQ482" s="3"/>
      <c r="AR482" s="3"/>
      <c r="AS482" s="3"/>
    </row>
    <row r="483" spans="1:45" s="53" customFormat="1" ht="19.5" hidden="1" customHeight="1">
      <c r="A483" s="35" t="e">
        <f>A482</f>
        <v>#REF!</v>
      </c>
      <c r="B483" s="122"/>
      <c r="C483" s="58"/>
      <c r="D483" s="116"/>
      <c r="E483" s="3"/>
      <c r="F483" s="3"/>
      <c r="G483" s="3"/>
      <c r="H483" s="41"/>
      <c r="I483" s="89" t="s">
        <v>50</v>
      </c>
      <c r="J483" s="123"/>
      <c r="K483" s="98"/>
      <c r="L483" s="98" t="s">
        <v>52</v>
      </c>
      <c r="M483" s="98"/>
      <c r="N483" s="44" t="str">
        <f t="shared" si="60"/>
        <v/>
      </c>
      <c r="O483" s="45" t="s">
        <v>95</v>
      </c>
      <c r="P483" s="116" t="s">
        <v>59</v>
      </c>
      <c r="Q483" s="116">
        <v>7</v>
      </c>
      <c r="R483" s="47"/>
      <c r="S483" s="48"/>
      <c r="T483" s="82">
        <v>0.6875</v>
      </c>
      <c r="U483" s="82">
        <v>0.69444444444444453</v>
      </c>
      <c r="V483" s="97" t="s">
        <v>85</v>
      </c>
      <c r="W483" s="3"/>
      <c r="X483" s="117" t="s">
        <v>96</v>
      </c>
      <c r="Y483" s="99">
        <v>0.69097222222222221</v>
      </c>
      <c r="Z483" s="99">
        <v>0.69791666666666663</v>
      </c>
      <c r="AA483" s="89" t="s">
        <v>97</v>
      </c>
      <c r="AB483" s="73"/>
      <c r="AC483" s="50"/>
      <c r="AD483" s="118"/>
      <c r="AE483" s="83"/>
      <c r="AF483" s="105"/>
      <c r="AG483" s="110">
        <v>0.72569444444444453</v>
      </c>
      <c r="AH483" s="121"/>
      <c r="AI483" s="54"/>
      <c r="AJ483" s="3"/>
      <c r="AK483" s="3">
        <v>1</v>
      </c>
      <c r="AL483" s="3"/>
      <c r="AM483" s="4"/>
      <c r="AN483" s="4"/>
      <c r="AO483" s="3"/>
      <c r="AP483" s="4"/>
      <c r="AQ483" s="3"/>
      <c r="AR483" s="3"/>
      <c r="AS483" s="3"/>
    </row>
    <row r="484" spans="1:45" s="53" customFormat="1" ht="19.5" hidden="1" customHeight="1">
      <c r="A484" s="35" t="e">
        <f>A483</f>
        <v>#REF!</v>
      </c>
      <c r="B484" s="81"/>
      <c r="C484" s="3"/>
      <c r="D484" s="46"/>
      <c r="E484" s="3"/>
      <c r="F484" s="3"/>
      <c r="G484" s="3"/>
      <c r="H484" s="41"/>
      <c r="I484" s="3" t="s">
        <v>50</v>
      </c>
      <c r="J484" s="78"/>
      <c r="K484" s="98"/>
      <c r="L484" s="98" t="s">
        <v>52</v>
      </c>
      <c r="M484" s="98"/>
      <c r="N484" s="44" t="str">
        <f t="shared" si="60"/>
        <v/>
      </c>
      <c r="O484" s="45" t="s">
        <v>95</v>
      </c>
      <c r="P484" s="96" t="s">
        <v>59</v>
      </c>
      <c r="Q484" s="96">
        <v>7</v>
      </c>
      <c r="R484" s="47"/>
      <c r="S484" s="48"/>
      <c r="T484" s="82">
        <v>0.6875</v>
      </c>
      <c r="U484" s="82">
        <v>0.69444444444444453</v>
      </c>
      <c r="V484" s="97" t="s">
        <v>85</v>
      </c>
      <c r="W484" s="3"/>
      <c r="X484" s="124" t="s">
        <v>96</v>
      </c>
      <c r="Y484" s="99">
        <v>0.69097222222222221</v>
      </c>
      <c r="Z484" s="99">
        <v>0.69791666666666663</v>
      </c>
      <c r="AA484" s="125" t="s">
        <v>98</v>
      </c>
      <c r="AB484" s="73"/>
      <c r="AC484" s="50"/>
      <c r="AD484" s="106" t="s">
        <v>99</v>
      </c>
      <c r="AE484" s="83" t="str">
        <f>IF(OR(V484="電話不通 x2",V484="DS判断"),"DS確認→U列入力",IF(V484="希望","U列入力",IF(V484="拒否","DS確認",IF(V484="外国語","DS確認",IF(V484="電話不通 x1","ORM再架電","-")))))</f>
        <v>-</v>
      </c>
      <c r="AF484" s="107">
        <v>0.73263888888888884</v>
      </c>
      <c r="AG484" s="52">
        <f ca="1">IF(AF484="","",IF($AF484+TIME(0,30,0)&lt;(TEXT(NOW(),"h:mm:ss")*1),$AF484+TIME(0,45,0),$AF484+TIME(0,30,0)))</f>
        <v>0.75347222222222221</v>
      </c>
      <c r="AI484" s="54"/>
      <c r="AJ484" s="3"/>
      <c r="AK484" s="3">
        <v>1</v>
      </c>
      <c r="AL484" s="3"/>
      <c r="AM484" s="4"/>
      <c r="AN484" s="4"/>
      <c r="AO484" s="3"/>
      <c r="AP484" s="4"/>
      <c r="AQ484" s="3"/>
      <c r="AR484" s="3"/>
      <c r="AS484" s="3"/>
    </row>
    <row r="485" spans="1:45" s="53" customFormat="1" ht="19.5" hidden="1" customHeight="1">
      <c r="A485" s="35" t="e">
        <f>A484</f>
        <v>#REF!</v>
      </c>
      <c r="B485" s="81"/>
      <c r="C485" s="3"/>
      <c r="D485" s="46"/>
      <c r="E485" s="3"/>
      <c r="F485" s="3"/>
      <c r="G485" s="3"/>
      <c r="H485" s="41"/>
      <c r="I485" s="3" t="s">
        <v>50</v>
      </c>
      <c r="J485" s="78"/>
      <c r="K485" s="98"/>
      <c r="L485" s="98" t="s">
        <v>52</v>
      </c>
      <c r="M485" s="98"/>
      <c r="N485" s="44" t="str">
        <f t="shared" si="60"/>
        <v/>
      </c>
      <c r="O485" s="45" t="s">
        <v>95</v>
      </c>
      <c r="P485" s="96" t="s">
        <v>59</v>
      </c>
      <c r="Q485" s="96">
        <v>7</v>
      </c>
      <c r="R485" s="47"/>
      <c r="S485" s="48"/>
      <c r="T485" s="82">
        <v>0.6875</v>
      </c>
      <c r="U485" s="82">
        <v>0.69444444444444453</v>
      </c>
      <c r="V485" s="97" t="s">
        <v>85</v>
      </c>
      <c r="W485" s="3"/>
      <c r="X485" s="124" t="s">
        <v>96</v>
      </c>
      <c r="Y485" s="99">
        <v>0.69097222222222221</v>
      </c>
      <c r="Z485" s="99">
        <v>0.69791666666666663</v>
      </c>
      <c r="AA485" s="125" t="s">
        <v>98</v>
      </c>
      <c r="AB485" s="73"/>
      <c r="AC485" s="50"/>
      <c r="AD485" s="106" t="s">
        <v>99</v>
      </c>
      <c r="AE485" s="83" t="str">
        <f>IF(OR(V485="電話不通 x2",V485="DS判断"),"DS確認→U列入力",IF(V485="希望","U列入力",IF(V485="拒否","DS確認",IF(V485="外国語","DS確認",IF(V485="電話不通 x1","ORM再架電","-")))))</f>
        <v>-</v>
      </c>
      <c r="AF485" s="107">
        <v>0.73263888888888884</v>
      </c>
      <c r="AG485" s="112">
        <v>0.75694444444444453</v>
      </c>
      <c r="AH485" s="113">
        <v>10</v>
      </c>
      <c r="AI485" s="54"/>
      <c r="AJ485" s="3"/>
      <c r="AK485" s="3">
        <v>1</v>
      </c>
      <c r="AL485" s="3"/>
      <c r="AM485" s="4"/>
      <c r="AN485" s="4"/>
      <c r="AO485" s="3"/>
      <c r="AP485" s="4"/>
      <c r="AQ485" s="3"/>
      <c r="AR485" s="3"/>
      <c r="AS485" s="3"/>
    </row>
    <row r="486" spans="1:45" s="53" customFormat="1" ht="19.5" hidden="1" customHeight="1">
      <c r="A486" s="35" t="e">
        <f>A480</f>
        <v>#REF!</v>
      </c>
      <c r="B486" s="81"/>
      <c r="C486" s="3"/>
      <c r="D486" s="46"/>
      <c r="E486" s="3"/>
      <c r="F486" s="3"/>
      <c r="G486" s="3"/>
      <c r="H486" s="41"/>
      <c r="I486" s="3"/>
      <c r="J486" s="78"/>
      <c r="K486" s="78"/>
      <c r="L486" s="78"/>
      <c r="M486" s="78"/>
      <c r="N486" s="44" t="str">
        <f t="shared" si="60"/>
        <v/>
      </c>
      <c r="O486" s="45"/>
      <c r="P486" s="3"/>
      <c r="Q486" s="46"/>
      <c r="R486" s="47"/>
      <c r="S486" s="48"/>
      <c r="T486" s="80"/>
      <c r="U486" s="80"/>
      <c r="V486" s="3"/>
      <c r="W486" s="3"/>
      <c r="X486" s="50"/>
      <c r="Y486" s="80"/>
      <c r="Z486" s="80"/>
      <c r="AA486" s="3"/>
      <c r="AC486" s="50"/>
      <c r="AD486" s="50"/>
      <c r="AE486" s="3" t="str">
        <f>IF(OR(V486="電話不通 x2",V486="DS判断"),"DS確認→U列入力",IF(V486="希望","U列入力",IF(V486="拒否","DS確認",IF(V486="外国語","DS確認",IF(V486="電話不通 x1","ORM再架電","-")))))</f>
        <v>-</v>
      </c>
      <c r="AF486" s="51"/>
      <c r="AG486" s="52" t="str">
        <f t="shared" ca="1" si="63"/>
        <v/>
      </c>
      <c r="AI486" s="54"/>
      <c r="AJ486" s="3"/>
      <c r="AK486" s="3">
        <v>1</v>
      </c>
      <c r="AL486" s="3"/>
      <c r="AM486" s="4"/>
      <c r="AN486" s="4"/>
      <c r="AO486" s="3"/>
      <c r="AP486" s="4"/>
      <c r="AQ486" s="3"/>
      <c r="AR486" s="3"/>
      <c r="AS486" s="3"/>
    </row>
    <row r="487" spans="1:45" s="53" customFormat="1" ht="19.5" hidden="1" customHeight="1">
      <c r="A487" s="35" t="e">
        <f t="shared" si="64"/>
        <v>#REF!</v>
      </c>
      <c r="B487" s="81"/>
      <c r="C487" s="3"/>
      <c r="D487" s="46"/>
      <c r="E487" s="3"/>
      <c r="F487" s="3"/>
      <c r="G487" s="3"/>
      <c r="H487" s="41"/>
      <c r="I487" s="3"/>
      <c r="J487" s="78"/>
      <c r="K487" s="78"/>
      <c r="L487" s="78"/>
      <c r="M487" s="78"/>
      <c r="N487" s="44" t="str">
        <f t="shared" si="60"/>
        <v/>
      </c>
      <c r="O487" s="45"/>
      <c r="P487" s="3"/>
      <c r="Q487" s="46"/>
      <c r="R487" s="47"/>
      <c r="S487" s="48"/>
      <c r="T487" s="80"/>
      <c r="U487" s="80"/>
      <c r="V487" s="3"/>
      <c r="W487" s="3"/>
      <c r="X487" s="50"/>
      <c r="Y487" s="80"/>
      <c r="Z487" s="80"/>
      <c r="AA487" s="3"/>
      <c r="AC487" s="50"/>
      <c r="AD487" s="50"/>
      <c r="AE487" s="3" t="str">
        <f>IF(OR(V487="電話不通 x2",V487="DS判断"),"DS確認→U列入力",IF(V487="希望","U列入力",IF(V487="拒否","DS確認",IF(V487="外国語","DS確認",IF(V487="電話不通 x1","ORM再架電","-")))))</f>
        <v>-</v>
      </c>
      <c r="AF487" s="51"/>
      <c r="AG487" s="52" t="str">
        <f t="shared" ca="1" si="63"/>
        <v/>
      </c>
      <c r="AI487" s="54"/>
      <c r="AJ487" s="3"/>
      <c r="AK487" s="3">
        <v>1</v>
      </c>
      <c r="AL487" s="3"/>
      <c r="AM487" s="4"/>
      <c r="AN487" s="4"/>
      <c r="AO487" s="3"/>
      <c r="AP487" s="4"/>
      <c r="AQ487" s="3"/>
      <c r="AR487" s="3"/>
      <c r="AS487" s="3"/>
    </row>
    <row r="488" spans="1:45" s="53" customFormat="1" ht="19.5" hidden="1" customHeight="1">
      <c r="A488" s="35" t="e">
        <f t="shared" si="64"/>
        <v>#REF!</v>
      </c>
      <c r="B488" s="81"/>
      <c r="C488" s="3"/>
      <c r="D488" s="46"/>
      <c r="E488" s="3"/>
      <c r="F488" s="3"/>
      <c r="G488" s="3"/>
      <c r="H488" s="41"/>
      <c r="I488" s="3"/>
      <c r="J488" s="78"/>
      <c r="K488" s="78"/>
      <c r="L488" s="78"/>
      <c r="M488" s="78"/>
      <c r="N488" s="44" t="str">
        <f t="shared" si="60"/>
        <v/>
      </c>
      <c r="O488" s="45"/>
      <c r="P488" s="3"/>
      <c r="Q488" s="46"/>
      <c r="R488" s="47"/>
      <c r="S488" s="48"/>
      <c r="T488" s="80"/>
      <c r="U488" s="80"/>
      <c r="V488" s="3"/>
      <c r="W488" s="3"/>
      <c r="X488" s="50"/>
      <c r="Y488" s="80"/>
      <c r="Z488" s="80"/>
      <c r="AA488" s="3"/>
      <c r="AC488" s="50"/>
      <c r="AD488" s="50"/>
      <c r="AE488" s="3" t="str">
        <f>IF(OR(V488="電話不通 x2",V488="DS判断"),"DS確認→U列入力",IF(V488="希望","U列入力",IF(V488="拒否","DS確認",IF(V488="外国語","DS確認",IF(V488="電話不通 x1","ORM再架電","-")))))</f>
        <v>-</v>
      </c>
      <c r="AF488" s="51"/>
      <c r="AG488" s="52" t="str">
        <f t="shared" ca="1" si="63"/>
        <v/>
      </c>
      <c r="AI488" s="54"/>
      <c r="AJ488" s="3"/>
      <c r="AK488" s="3">
        <v>1</v>
      </c>
      <c r="AL488" s="3"/>
      <c r="AM488" s="4"/>
      <c r="AN488" s="4"/>
      <c r="AO488" s="3"/>
      <c r="AP488" s="4"/>
      <c r="AQ488" s="3"/>
      <c r="AR488" s="3"/>
      <c r="AS488" s="3"/>
    </row>
    <row r="489" spans="1:45" s="53" customFormat="1" ht="19.5" hidden="1" customHeight="1">
      <c r="A489" s="35" t="e">
        <f t="shared" si="64"/>
        <v>#REF!</v>
      </c>
      <c r="B489" s="36"/>
      <c r="C489" s="37"/>
      <c r="D489" s="38" t="s">
        <v>100</v>
      </c>
      <c r="E489" s="37"/>
      <c r="F489" s="39"/>
      <c r="G489" s="40"/>
      <c r="H489" s="41"/>
      <c r="I489" s="37" t="s">
        <v>80</v>
      </c>
      <c r="J489" s="43"/>
      <c r="K489" s="94"/>
      <c r="L489" s="94" t="s">
        <v>81</v>
      </c>
      <c r="M489" s="94"/>
      <c r="N489" s="44" t="str">
        <f t="shared" ref="N489:N539" si="65">IF(C489="","",C489)</f>
        <v/>
      </c>
      <c r="O489" s="45" t="s">
        <v>82</v>
      </c>
      <c r="P489" s="95"/>
      <c r="Q489" s="95"/>
      <c r="R489" s="47"/>
      <c r="S489" s="48"/>
      <c r="T489" s="49"/>
      <c r="U489" s="49"/>
      <c r="V489" s="3"/>
      <c r="W489" s="3"/>
      <c r="X489" s="50"/>
      <c r="Y489" s="49"/>
      <c r="Z489" s="49"/>
      <c r="AA489" s="3"/>
      <c r="AC489" s="50"/>
      <c r="AD489" s="50"/>
      <c r="AE489" s="3" t="s">
        <v>83</v>
      </c>
      <c r="AF489" s="51"/>
      <c r="AG489" s="52" t="str">
        <f t="shared" ca="1" si="63"/>
        <v/>
      </c>
      <c r="AI489" s="54"/>
      <c r="AJ489" s="3"/>
      <c r="AK489" s="3">
        <v>1</v>
      </c>
      <c r="AL489" s="3"/>
      <c r="AM489" s="4"/>
      <c r="AN489" s="4"/>
      <c r="AO489" s="3"/>
      <c r="AP489" s="4"/>
      <c r="AQ489" s="3"/>
      <c r="AR489" s="3"/>
      <c r="AS489" s="3"/>
    </row>
    <row r="490" spans="1:45" s="53" customFormat="1" ht="19.5" hidden="1" customHeight="1">
      <c r="A490" s="35" t="e">
        <f t="shared" si="64"/>
        <v>#REF!</v>
      </c>
      <c r="B490" s="36"/>
      <c r="C490" s="37"/>
      <c r="D490" s="38"/>
      <c r="E490" s="37"/>
      <c r="F490" s="39"/>
      <c r="G490" s="40"/>
      <c r="H490" s="41"/>
      <c r="I490" s="37" t="s">
        <v>80</v>
      </c>
      <c r="J490" s="43"/>
      <c r="K490" s="94"/>
      <c r="L490" s="94" t="s">
        <v>81</v>
      </c>
      <c r="M490" s="94"/>
      <c r="N490" s="44" t="str">
        <f t="shared" si="65"/>
        <v/>
      </c>
      <c r="O490" s="45" t="s">
        <v>82</v>
      </c>
      <c r="P490" s="96" t="s">
        <v>84</v>
      </c>
      <c r="Q490" s="96">
        <v>10</v>
      </c>
      <c r="R490" s="47"/>
      <c r="S490" s="48"/>
      <c r="T490" s="79"/>
      <c r="U490" s="49"/>
      <c r="V490" s="3"/>
      <c r="W490" s="3"/>
      <c r="X490" s="50"/>
      <c r="Y490" s="49"/>
      <c r="Z490" s="49"/>
      <c r="AA490" s="3"/>
      <c r="AC490" s="50"/>
      <c r="AD490" s="50"/>
      <c r="AE490" s="3" t="s">
        <v>83</v>
      </c>
      <c r="AF490" s="51"/>
      <c r="AG490" s="52" t="str">
        <f t="shared" ca="1" si="63"/>
        <v/>
      </c>
      <c r="AI490" s="54"/>
      <c r="AJ490" s="3"/>
      <c r="AK490" s="3">
        <v>1</v>
      </c>
      <c r="AL490" s="3"/>
      <c r="AM490" s="4"/>
      <c r="AN490" s="4"/>
      <c r="AO490" s="3"/>
      <c r="AP490" s="4"/>
      <c r="AQ490" s="3"/>
      <c r="AR490" s="3"/>
      <c r="AS490" s="3"/>
    </row>
    <row r="491" spans="1:45" s="53" customFormat="1" ht="19.5" hidden="1" customHeight="1">
      <c r="A491" s="35" t="e">
        <f t="shared" si="64"/>
        <v>#REF!</v>
      </c>
      <c r="B491" s="36"/>
      <c r="C491" s="37"/>
      <c r="D491" s="38"/>
      <c r="E491" s="37"/>
      <c r="F491" s="39"/>
      <c r="G491" s="40"/>
      <c r="H491" s="41"/>
      <c r="I491" s="37" t="s">
        <v>80</v>
      </c>
      <c r="J491" s="43"/>
      <c r="K491" s="94"/>
      <c r="L491" s="94" t="s">
        <v>81</v>
      </c>
      <c r="M491" s="94"/>
      <c r="N491" s="44" t="str">
        <f t="shared" si="65"/>
        <v/>
      </c>
      <c r="O491" s="45" t="s">
        <v>82</v>
      </c>
      <c r="P491" s="96" t="s">
        <v>84</v>
      </c>
      <c r="Q491" s="96">
        <v>10</v>
      </c>
      <c r="R491" s="47"/>
      <c r="S491" s="48"/>
      <c r="T491" s="82">
        <v>0.6875</v>
      </c>
      <c r="U491" s="79">
        <v>0.69444444444444453</v>
      </c>
      <c r="V491" s="83"/>
      <c r="W491" s="3"/>
      <c r="X491" s="50"/>
      <c r="Y491" s="49"/>
      <c r="Z491" s="49"/>
      <c r="AA491" s="3"/>
      <c r="AC491" s="50"/>
      <c r="AD491" s="50"/>
      <c r="AE491" s="3" t="s">
        <v>83</v>
      </c>
      <c r="AF491" s="51"/>
      <c r="AG491" s="52" t="str">
        <f t="shared" ca="1" si="63"/>
        <v/>
      </c>
      <c r="AI491" s="54"/>
      <c r="AJ491" s="3"/>
      <c r="AK491" s="3">
        <v>1</v>
      </c>
      <c r="AL491" s="3"/>
      <c r="AM491" s="4"/>
      <c r="AN491" s="4"/>
      <c r="AO491" s="3"/>
      <c r="AP491" s="4"/>
      <c r="AQ491" s="3"/>
      <c r="AR491" s="3"/>
      <c r="AS491" s="3"/>
    </row>
    <row r="492" spans="1:45" s="53" customFormat="1" ht="19.5" hidden="1" customHeight="1">
      <c r="A492" s="35" t="e">
        <f t="shared" si="64"/>
        <v>#REF!</v>
      </c>
      <c r="B492" s="36"/>
      <c r="C492" s="37"/>
      <c r="D492" s="38"/>
      <c r="E492" s="37"/>
      <c r="F492" s="39"/>
      <c r="G492" s="40"/>
      <c r="H492" s="41"/>
      <c r="I492" s="37" t="s">
        <v>80</v>
      </c>
      <c r="J492" s="43"/>
      <c r="K492" s="94"/>
      <c r="L492" s="94" t="s">
        <v>81</v>
      </c>
      <c r="M492" s="94"/>
      <c r="N492" s="44" t="str">
        <f t="shared" si="65"/>
        <v/>
      </c>
      <c r="O492" s="45" t="s">
        <v>82</v>
      </c>
      <c r="P492" s="96" t="s">
        <v>84</v>
      </c>
      <c r="Q492" s="96">
        <v>10</v>
      </c>
      <c r="R492" s="47"/>
      <c r="S492" s="48"/>
      <c r="T492" s="82">
        <v>0.6875</v>
      </c>
      <c r="U492" s="82">
        <v>0.69444444444444453</v>
      </c>
      <c r="V492" s="97" t="s">
        <v>85</v>
      </c>
      <c r="W492" s="3"/>
      <c r="X492" s="72"/>
      <c r="Y492" s="79"/>
      <c r="Z492" s="49"/>
      <c r="AA492" s="3"/>
      <c r="AC492" s="50"/>
      <c r="AD492" s="50"/>
      <c r="AE492" s="3" t="s">
        <v>83</v>
      </c>
      <c r="AF492" s="51"/>
      <c r="AG492" s="52" t="str">
        <f t="shared" ca="1" si="63"/>
        <v/>
      </c>
      <c r="AI492" s="54"/>
      <c r="AJ492" s="3"/>
      <c r="AK492" s="3">
        <v>1</v>
      </c>
      <c r="AL492" s="3"/>
      <c r="AM492" s="4"/>
      <c r="AN492" s="4"/>
      <c r="AO492" s="3"/>
      <c r="AP492" s="4"/>
      <c r="AQ492" s="3"/>
      <c r="AR492" s="3"/>
      <c r="AS492" s="3"/>
    </row>
    <row r="493" spans="1:45" s="53" customFormat="1" ht="19.5" hidden="1" customHeight="1">
      <c r="A493" s="35" t="e">
        <f t="shared" si="64"/>
        <v>#REF!</v>
      </c>
      <c r="B493" s="81"/>
      <c r="C493" s="37"/>
      <c r="D493" s="46"/>
      <c r="E493" s="37"/>
      <c r="F493" s="37"/>
      <c r="G493" s="37"/>
      <c r="H493" s="41"/>
      <c r="I493" s="37" t="s">
        <v>80</v>
      </c>
      <c r="J493" s="43"/>
      <c r="K493" s="94"/>
      <c r="L493" s="94" t="s">
        <v>81</v>
      </c>
      <c r="M493" s="98"/>
      <c r="N493" s="44" t="str">
        <f t="shared" si="65"/>
        <v/>
      </c>
      <c r="O493" s="45" t="s">
        <v>82</v>
      </c>
      <c r="P493" s="96" t="s">
        <v>84</v>
      </c>
      <c r="Q493" s="96">
        <v>10</v>
      </c>
      <c r="R493" s="47"/>
      <c r="S493" s="48"/>
      <c r="T493" s="82">
        <v>0.6875</v>
      </c>
      <c r="U493" s="82">
        <v>0.69444444444444453</v>
      </c>
      <c r="V493" s="97" t="s">
        <v>85</v>
      </c>
      <c r="W493" s="3"/>
      <c r="X493" s="72"/>
      <c r="Y493" s="99">
        <v>0.69097222222222221</v>
      </c>
      <c r="Z493" s="100">
        <v>0.69791666666666663</v>
      </c>
      <c r="AA493" s="83"/>
      <c r="AB493" s="101"/>
      <c r="AC493" s="50"/>
      <c r="AD493" s="50"/>
      <c r="AE493" s="3" t="s">
        <v>83</v>
      </c>
      <c r="AF493" s="51"/>
      <c r="AG493" s="52" t="str">
        <f t="shared" ca="1" si="63"/>
        <v/>
      </c>
      <c r="AI493" s="54"/>
      <c r="AJ493" s="3"/>
      <c r="AK493" s="3">
        <v>1</v>
      </c>
      <c r="AL493" s="3"/>
      <c r="AM493" s="4"/>
      <c r="AN493" s="4"/>
      <c r="AO493" s="3"/>
      <c r="AP493" s="4"/>
      <c r="AQ493" s="3"/>
      <c r="AR493" s="3"/>
      <c r="AS493" s="3"/>
    </row>
    <row r="494" spans="1:45" s="53" customFormat="1" ht="19.5" hidden="1" customHeight="1">
      <c r="A494" s="35" t="e">
        <f t="shared" si="64"/>
        <v>#REF!</v>
      </c>
      <c r="B494" s="81"/>
      <c r="C494" s="102"/>
      <c r="D494" s="46"/>
      <c r="E494" s="3"/>
      <c r="F494" s="3"/>
      <c r="G494" s="3"/>
      <c r="H494" s="41"/>
      <c r="I494" s="37" t="s">
        <v>80</v>
      </c>
      <c r="J494" s="43"/>
      <c r="K494" s="94"/>
      <c r="L494" s="94" t="s">
        <v>81</v>
      </c>
      <c r="M494" s="98"/>
      <c r="N494" s="44" t="str">
        <f t="shared" si="65"/>
        <v/>
      </c>
      <c r="O494" s="45" t="s">
        <v>82</v>
      </c>
      <c r="P494" s="96" t="s">
        <v>84</v>
      </c>
      <c r="Q494" s="96">
        <v>10</v>
      </c>
      <c r="R494" s="47"/>
      <c r="S494" s="48"/>
      <c r="T494" s="82">
        <v>0.6875</v>
      </c>
      <c r="U494" s="82">
        <v>0.69444444444444453</v>
      </c>
      <c r="V494" s="97" t="s">
        <v>85</v>
      </c>
      <c r="W494" s="3"/>
      <c r="X494" s="72"/>
      <c r="Y494" s="99">
        <v>0.69097222222222221</v>
      </c>
      <c r="Z494" s="99">
        <v>0.69791666666666663</v>
      </c>
      <c r="AA494" s="97" t="s">
        <v>86</v>
      </c>
      <c r="AB494" s="73"/>
      <c r="AC494" s="103"/>
      <c r="AD494" s="104"/>
      <c r="AE494" s="3" t="s">
        <v>83</v>
      </c>
      <c r="AF494" s="105"/>
      <c r="AG494" s="52" t="str">
        <f t="shared" ca="1" si="63"/>
        <v/>
      </c>
      <c r="AI494" s="54"/>
      <c r="AJ494" s="3"/>
      <c r="AK494" s="3">
        <v>1</v>
      </c>
      <c r="AL494" s="3"/>
      <c r="AM494" s="4"/>
      <c r="AN494" s="4"/>
      <c r="AO494" s="3"/>
      <c r="AP494" s="4"/>
      <c r="AQ494" s="3"/>
      <c r="AR494" s="3"/>
      <c r="AS494" s="3"/>
    </row>
    <row r="495" spans="1:45" s="53" customFormat="1" ht="19.5" hidden="1" customHeight="1">
      <c r="A495" s="35" t="e">
        <f t="shared" si="64"/>
        <v>#REF!</v>
      </c>
      <c r="B495" s="81"/>
      <c r="C495" s="102"/>
      <c r="D495" s="46"/>
      <c r="E495" s="3"/>
      <c r="F495" s="3"/>
      <c r="G495" s="3"/>
      <c r="H495" s="41"/>
      <c r="I495" s="37" t="s">
        <v>80</v>
      </c>
      <c r="J495" s="43"/>
      <c r="K495" s="94"/>
      <c r="L495" s="94" t="s">
        <v>81</v>
      </c>
      <c r="M495" s="98"/>
      <c r="N495" s="44" t="str">
        <f t="shared" si="65"/>
        <v/>
      </c>
      <c r="O495" s="45" t="s">
        <v>82</v>
      </c>
      <c r="P495" s="96" t="s">
        <v>84</v>
      </c>
      <c r="Q495" s="96">
        <v>10</v>
      </c>
      <c r="R495" s="47"/>
      <c r="S495" s="48"/>
      <c r="T495" s="82">
        <v>0.6875</v>
      </c>
      <c r="U495" s="82">
        <v>0.69444444444444453</v>
      </c>
      <c r="V495" s="97" t="s">
        <v>85</v>
      </c>
      <c r="W495" s="3"/>
      <c r="X495" s="72"/>
      <c r="Y495" s="99">
        <v>0.69097222222222221</v>
      </c>
      <c r="Z495" s="99">
        <v>0.69791666666666663</v>
      </c>
      <c r="AA495" s="97" t="s">
        <v>86</v>
      </c>
      <c r="AB495" s="73"/>
      <c r="AC495" s="50"/>
      <c r="AD495" s="106" t="s">
        <v>87</v>
      </c>
      <c r="AE495" s="3" t="s">
        <v>83</v>
      </c>
      <c r="AF495" s="107">
        <v>0.69444444444444453</v>
      </c>
      <c r="AG495" s="52">
        <v>0.71527777777777779</v>
      </c>
      <c r="AI495" s="54"/>
      <c r="AJ495" s="3"/>
      <c r="AK495" s="3">
        <v>1</v>
      </c>
      <c r="AL495" s="3"/>
      <c r="AM495" s="4"/>
      <c r="AN495" s="4"/>
      <c r="AO495" s="3"/>
      <c r="AP495" s="4"/>
      <c r="AQ495" s="3"/>
      <c r="AR495" s="3"/>
      <c r="AS495" s="3"/>
    </row>
    <row r="496" spans="1:45" s="53" customFormat="1" ht="19.5" hidden="1" customHeight="1">
      <c r="A496" s="35" t="e">
        <f t="shared" si="64"/>
        <v>#REF!</v>
      </c>
      <c r="B496" s="81"/>
      <c r="C496" s="102"/>
      <c r="D496" s="46"/>
      <c r="E496" s="3"/>
      <c r="F496" s="3"/>
      <c r="G496" s="3"/>
      <c r="H496" s="41"/>
      <c r="I496" s="37" t="s">
        <v>80</v>
      </c>
      <c r="J496" s="43"/>
      <c r="K496" s="94"/>
      <c r="L496" s="94" t="s">
        <v>81</v>
      </c>
      <c r="M496" s="98"/>
      <c r="N496" s="44" t="str">
        <f t="shared" si="65"/>
        <v/>
      </c>
      <c r="O496" s="45" t="s">
        <v>82</v>
      </c>
      <c r="P496" s="96" t="s">
        <v>84</v>
      </c>
      <c r="Q496" s="96">
        <v>10</v>
      </c>
      <c r="R496" s="47"/>
      <c r="S496" s="48"/>
      <c r="T496" s="82">
        <v>0.6875</v>
      </c>
      <c r="U496" s="82">
        <v>0.69444444444444453</v>
      </c>
      <c r="V496" s="97" t="s">
        <v>85</v>
      </c>
      <c r="W496" s="3"/>
      <c r="X496" s="72"/>
      <c r="Y496" s="99">
        <v>0.69097222222222221</v>
      </c>
      <c r="Z496" s="99">
        <v>0.69791666666666663</v>
      </c>
      <c r="AA496" s="97" t="s">
        <v>86</v>
      </c>
      <c r="AB496" s="73"/>
      <c r="AC496" s="50"/>
      <c r="AD496" s="106" t="s">
        <v>87</v>
      </c>
      <c r="AE496" s="3" t="s">
        <v>83</v>
      </c>
      <c r="AF496" s="107">
        <v>0.69444444444444453</v>
      </c>
      <c r="AG496" s="108">
        <v>0.72569444444444453</v>
      </c>
      <c r="AH496" s="109"/>
      <c r="AI496" s="54"/>
      <c r="AJ496" s="3"/>
      <c r="AK496" s="3">
        <v>1</v>
      </c>
      <c r="AL496" s="3"/>
      <c r="AM496" s="4"/>
      <c r="AN496" s="4"/>
      <c r="AO496" s="3"/>
      <c r="AP496" s="4"/>
      <c r="AQ496" s="3"/>
      <c r="AR496" s="3"/>
      <c r="AS496" s="3"/>
    </row>
    <row r="497" spans="1:45" s="53" customFormat="1" ht="19.5" hidden="1" customHeight="1">
      <c r="A497" s="35" t="e">
        <f t="shared" si="64"/>
        <v>#REF!</v>
      </c>
      <c r="B497" s="81"/>
      <c r="C497" s="102"/>
      <c r="D497" s="46"/>
      <c r="E497" s="3"/>
      <c r="F497" s="3"/>
      <c r="G497" s="3"/>
      <c r="H497" s="41"/>
      <c r="I497" s="37" t="s">
        <v>80</v>
      </c>
      <c r="J497" s="43"/>
      <c r="K497" s="94"/>
      <c r="L497" s="94" t="s">
        <v>81</v>
      </c>
      <c r="M497" s="98"/>
      <c r="N497" s="44" t="str">
        <f t="shared" si="65"/>
        <v/>
      </c>
      <c r="O497" s="45" t="s">
        <v>82</v>
      </c>
      <c r="P497" s="96" t="s">
        <v>84</v>
      </c>
      <c r="Q497" s="96">
        <v>10</v>
      </c>
      <c r="R497" s="47"/>
      <c r="S497" s="48"/>
      <c r="T497" s="82">
        <v>0.6875</v>
      </c>
      <c r="U497" s="82">
        <v>0.69444444444444453</v>
      </c>
      <c r="V497" s="97" t="s">
        <v>85</v>
      </c>
      <c r="W497" s="3"/>
      <c r="X497" s="72"/>
      <c r="Y497" s="99">
        <v>0.69097222222222221</v>
      </c>
      <c r="Z497" s="99">
        <v>0.69791666666666663</v>
      </c>
      <c r="AA497" s="97" t="s">
        <v>86</v>
      </c>
      <c r="AB497" s="73"/>
      <c r="AC497" s="50"/>
      <c r="AD497" s="106" t="s">
        <v>87</v>
      </c>
      <c r="AE497" s="3" t="s">
        <v>83</v>
      </c>
      <c r="AF497" s="107">
        <v>0.69444444444444453</v>
      </c>
      <c r="AG497" s="110">
        <v>0.72569444444444453</v>
      </c>
      <c r="AH497" s="111"/>
      <c r="AI497" s="54"/>
      <c r="AJ497" s="3"/>
      <c r="AK497" s="3">
        <v>1</v>
      </c>
      <c r="AL497" s="3"/>
      <c r="AM497" s="4"/>
      <c r="AN497" s="4"/>
      <c r="AO497" s="3"/>
      <c r="AP497" s="4"/>
      <c r="AQ497" s="3"/>
      <c r="AR497" s="3"/>
      <c r="AS497" s="3"/>
    </row>
    <row r="498" spans="1:45" s="53" customFormat="1" ht="19.5" hidden="1" customHeight="1">
      <c r="A498" s="35" t="e">
        <f t="shared" si="64"/>
        <v>#REF!</v>
      </c>
      <c r="B498" s="81"/>
      <c r="C498" s="102"/>
      <c r="D498" s="46"/>
      <c r="E498" s="3"/>
      <c r="F498" s="3"/>
      <c r="G498" s="3"/>
      <c r="H498" s="41"/>
      <c r="I498" s="3" t="s">
        <v>80</v>
      </c>
      <c r="J498" s="78"/>
      <c r="K498" s="98"/>
      <c r="L498" s="98" t="s">
        <v>81</v>
      </c>
      <c r="M498" s="98"/>
      <c r="N498" s="44" t="str">
        <f t="shared" si="65"/>
        <v/>
      </c>
      <c r="O498" s="45" t="s">
        <v>82</v>
      </c>
      <c r="P498" s="96" t="s">
        <v>84</v>
      </c>
      <c r="Q498" s="96">
        <v>10</v>
      </c>
      <c r="R498" s="47"/>
      <c r="S498" s="48"/>
      <c r="T498" s="82">
        <v>0.6875</v>
      </c>
      <c r="U498" s="82">
        <v>0.69444444444444453</v>
      </c>
      <c r="V498" s="97" t="s">
        <v>85</v>
      </c>
      <c r="W498" s="3"/>
      <c r="X498" s="72"/>
      <c r="Y498" s="99">
        <v>0.69097222222222221</v>
      </c>
      <c r="Z498" s="99">
        <v>0.69791666666666663</v>
      </c>
      <c r="AA498" s="97" t="s">
        <v>86</v>
      </c>
      <c r="AB498" s="73"/>
      <c r="AC498" s="50"/>
      <c r="AD498" s="106" t="s">
        <v>87</v>
      </c>
      <c r="AE498" s="3" t="s">
        <v>83</v>
      </c>
      <c r="AF498" s="107">
        <v>0.69444444444444453</v>
      </c>
      <c r="AG498" s="110">
        <v>0.72569444444444453</v>
      </c>
      <c r="AH498" s="111"/>
      <c r="AI498" s="54"/>
      <c r="AJ498" s="3"/>
      <c r="AK498" s="3">
        <v>1</v>
      </c>
      <c r="AL498" s="3"/>
      <c r="AM498" s="4"/>
      <c r="AN498" s="4"/>
      <c r="AO498" s="3"/>
      <c r="AP498" s="4"/>
      <c r="AQ498" s="3"/>
      <c r="AR498" s="3"/>
      <c r="AS498" s="3"/>
    </row>
    <row r="499" spans="1:45" ht="19.5" hidden="1" customHeight="1">
      <c r="A499" s="35" t="e">
        <f>A488</f>
        <v>#REF!</v>
      </c>
      <c r="I499" s="3" t="s">
        <v>50</v>
      </c>
      <c r="K499" s="98"/>
      <c r="L499" s="98" t="s">
        <v>52</v>
      </c>
      <c r="M499" s="98"/>
      <c r="N499" s="44" t="str">
        <f t="shared" si="65"/>
        <v/>
      </c>
      <c r="O499" s="45" t="s">
        <v>82</v>
      </c>
      <c r="P499" s="95" t="s">
        <v>84</v>
      </c>
      <c r="Q499" s="95">
        <v>10</v>
      </c>
      <c r="R499" s="47"/>
      <c r="T499" s="82">
        <v>0.6875</v>
      </c>
      <c r="U499" s="82">
        <v>0.69444444444444453</v>
      </c>
      <c r="V499" s="97" t="s">
        <v>85</v>
      </c>
      <c r="X499" s="120" t="s">
        <v>90</v>
      </c>
      <c r="Y499" s="99">
        <v>0.69097222222222221</v>
      </c>
      <c r="Z499" s="99">
        <v>0.69791666666666663</v>
      </c>
      <c r="AA499" s="63" t="s">
        <v>94</v>
      </c>
      <c r="AB499" s="73"/>
      <c r="AD499" s="118" t="s">
        <v>87</v>
      </c>
      <c r="AE499" s="3" t="str">
        <f>IF(OR(V499="電話不通 x2",V499="DS判断"),"DS確認→U列入力",IF(V499="希望","U列入力",IF(V499="拒否","DS確認",IF(V499="外国語","DS確認",IF(V499="電話不通 x1","ORM再架電","-")))))</f>
        <v>-</v>
      </c>
      <c r="AF499" s="107">
        <v>0.69444444444444453</v>
      </c>
      <c r="AG499" s="110">
        <v>0.72569444444444453</v>
      </c>
      <c r="AH499" s="111"/>
      <c r="AI499" s="54"/>
      <c r="AK499" s="3">
        <v>1</v>
      </c>
      <c r="AP499" s="4"/>
    </row>
    <row r="500" spans="1:45" ht="19.5" hidden="1" customHeight="1">
      <c r="A500" s="35" t="e">
        <f t="shared" si="64"/>
        <v>#REF!</v>
      </c>
      <c r="I500" s="3" t="s">
        <v>50</v>
      </c>
      <c r="K500" s="98"/>
      <c r="L500" s="98" t="s">
        <v>52</v>
      </c>
      <c r="M500" s="98"/>
      <c r="N500" s="44" t="str">
        <f t="shared" si="65"/>
        <v/>
      </c>
      <c r="O500" s="45" t="s">
        <v>58</v>
      </c>
      <c r="P500" s="96" t="s">
        <v>84</v>
      </c>
      <c r="Q500" s="96">
        <v>10</v>
      </c>
      <c r="R500" s="47"/>
      <c r="T500" s="82">
        <v>0.6875</v>
      </c>
      <c r="U500" s="82">
        <v>0.69444444444444453</v>
      </c>
      <c r="V500" s="97" t="s">
        <v>85</v>
      </c>
      <c r="W500" s="126"/>
      <c r="X500" s="72" t="s">
        <v>90</v>
      </c>
      <c r="Y500" s="99">
        <v>0.69097222222222221</v>
      </c>
      <c r="Z500" s="99">
        <v>0.69791666666666663</v>
      </c>
      <c r="AA500" s="126" t="s">
        <v>94</v>
      </c>
      <c r="AB500" s="127"/>
      <c r="AD500" s="84" t="s">
        <v>101</v>
      </c>
      <c r="AE500" s="126" t="s">
        <v>83</v>
      </c>
      <c r="AF500" s="128">
        <v>0.69444444444444453</v>
      </c>
      <c r="AG500" s="119">
        <v>0.72569444444444453</v>
      </c>
      <c r="AH500" s="101"/>
      <c r="AI500" s="54"/>
      <c r="AK500" s="3">
        <v>1</v>
      </c>
      <c r="AP500" s="4"/>
    </row>
    <row r="501" spans="1:45" ht="19.5" hidden="1" customHeight="1">
      <c r="A501" s="35" t="e">
        <f t="shared" si="64"/>
        <v>#REF!</v>
      </c>
      <c r="N501" s="44" t="str">
        <f t="shared" si="65"/>
        <v/>
      </c>
      <c r="R501" s="47"/>
      <c r="AE501" s="3" t="str">
        <f>IF(OR(V501="電話不通 x2",V501="DS判断"),"DS確認→U列入力",IF(V501="希望","U列入力",IF(V501="拒否","DS確認",IF(V501="外国語","DS確認",IF(V501="電話不通 x1","ORM再架電","-")))))</f>
        <v>-</v>
      </c>
      <c r="AF501" s="51"/>
      <c r="AG501" s="52" t="str">
        <f t="shared" ca="1" si="63"/>
        <v/>
      </c>
      <c r="AI501" s="54"/>
      <c r="AK501" s="3">
        <v>1</v>
      </c>
      <c r="AP501" s="4"/>
    </row>
    <row r="502" spans="1:45" s="53" customFormat="1" ht="19.5" hidden="1" customHeight="1">
      <c r="A502" s="35" t="e">
        <f t="shared" si="64"/>
        <v>#REF!</v>
      </c>
      <c r="B502" s="81"/>
      <c r="C502" s="3"/>
      <c r="D502" s="46"/>
      <c r="E502" s="3"/>
      <c r="F502" s="3"/>
      <c r="G502" s="3"/>
      <c r="H502" s="41"/>
      <c r="I502" s="3"/>
      <c r="J502" s="78"/>
      <c r="K502" s="78"/>
      <c r="L502" s="78"/>
      <c r="M502" s="78"/>
      <c r="N502" s="44" t="str">
        <f t="shared" si="65"/>
        <v/>
      </c>
      <c r="O502" s="45"/>
      <c r="P502" s="3"/>
      <c r="Q502" s="46"/>
      <c r="R502" s="47"/>
      <c r="S502" s="48"/>
      <c r="T502" s="80"/>
      <c r="U502" s="80"/>
      <c r="V502" s="3"/>
      <c r="W502" s="3"/>
      <c r="X502" s="50"/>
      <c r="Y502" s="80"/>
      <c r="Z502" s="80"/>
      <c r="AA502" s="3"/>
      <c r="AC502" s="50"/>
      <c r="AD502" s="50"/>
      <c r="AE502" s="3" t="str">
        <f>IF(OR(V502="電話不通 x2",V502="DS判断"),"DS確認→U列入力",IF(V502="希望","U列入力",IF(V502="拒否","DS確認",IF(V502="外国語","DS確認",IF(V502="電話不通 x1","ORM再架電","-")))))</f>
        <v>-</v>
      </c>
      <c r="AF502" s="51"/>
      <c r="AG502" s="52" t="str">
        <f t="shared" ca="1" si="63"/>
        <v/>
      </c>
      <c r="AI502" s="54"/>
      <c r="AJ502" s="3"/>
      <c r="AK502" s="3">
        <v>1</v>
      </c>
      <c r="AL502" s="3"/>
      <c r="AM502" s="4"/>
      <c r="AN502" s="4"/>
      <c r="AO502" s="3"/>
      <c r="AP502" s="4"/>
      <c r="AQ502" s="3"/>
      <c r="AR502" s="3"/>
      <c r="AS502" s="3"/>
    </row>
    <row r="503" spans="1:45" s="53" customFormat="1" ht="19.5" hidden="1" customHeight="1">
      <c r="A503" s="35" t="e">
        <f t="shared" si="64"/>
        <v>#REF!</v>
      </c>
      <c r="B503" s="36"/>
      <c r="C503" s="37"/>
      <c r="D503" s="38" t="s">
        <v>102</v>
      </c>
      <c r="E503" s="37"/>
      <c r="F503" s="39"/>
      <c r="G503" s="40"/>
      <c r="H503" s="41"/>
      <c r="I503" s="37" t="s">
        <v>80</v>
      </c>
      <c r="J503" s="43"/>
      <c r="K503" s="94"/>
      <c r="L503" s="94" t="s">
        <v>81</v>
      </c>
      <c r="M503" s="94"/>
      <c r="N503" s="44" t="str">
        <f t="shared" si="65"/>
        <v/>
      </c>
      <c r="O503" s="45" t="s">
        <v>82</v>
      </c>
      <c r="P503" s="95"/>
      <c r="Q503" s="95"/>
      <c r="R503" s="47"/>
      <c r="S503" s="48"/>
      <c r="T503" s="49"/>
      <c r="U503" s="49"/>
      <c r="V503" s="3"/>
      <c r="W503" s="3"/>
      <c r="X503" s="50"/>
      <c r="Y503" s="49"/>
      <c r="Z503" s="49"/>
      <c r="AA503" s="3"/>
      <c r="AC503" s="50"/>
      <c r="AD503" s="50"/>
      <c r="AE503" s="3" t="s">
        <v>83</v>
      </c>
      <c r="AF503" s="51"/>
      <c r="AG503" s="52" t="str">
        <f t="shared" ca="1" si="63"/>
        <v/>
      </c>
      <c r="AI503" s="54"/>
      <c r="AJ503" s="3"/>
      <c r="AK503" s="3">
        <v>1</v>
      </c>
      <c r="AL503" s="3"/>
      <c r="AM503" s="4"/>
      <c r="AN503" s="4"/>
      <c r="AO503" s="3"/>
      <c r="AP503" s="4"/>
      <c r="AQ503" s="3"/>
      <c r="AR503" s="3"/>
      <c r="AS503" s="3"/>
    </row>
    <row r="504" spans="1:45" s="53" customFormat="1" ht="19.5" hidden="1" customHeight="1">
      <c r="A504" s="35" t="e">
        <f t="shared" si="64"/>
        <v>#REF!</v>
      </c>
      <c r="B504" s="36"/>
      <c r="C504" s="37"/>
      <c r="D504" s="38"/>
      <c r="E504" s="37"/>
      <c r="F504" s="39"/>
      <c r="G504" s="40"/>
      <c r="H504" s="41"/>
      <c r="I504" s="37" t="s">
        <v>80</v>
      </c>
      <c r="J504" s="43"/>
      <c r="K504" s="94"/>
      <c r="L504" s="94" t="s">
        <v>81</v>
      </c>
      <c r="M504" s="94"/>
      <c r="N504" s="44" t="str">
        <f t="shared" si="65"/>
        <v/>
      </c>
      <c r="O504" s="45" t="s">
        <v>82</v>
      </c>
      <c r="P504" s="96" t="s">
        <v>84</v>
      </c>
      <c r="Q504" s="96">
        <v>10</v>
      </c>
      <c r="R504" s="47"/>
      <c r="S504" s="48"/>
      <c r="T504" s="79"/>
      <c r="U504" s="49"/>
      <c r="V504" s="3"/>
      <c r="W504" s="3"/>
      <c r="X504" s="50"/>
      <c r="Y504" s="49"/>
      <c r="Z504" s="49"/>
      <c r="AA504" s="3"/>
      <c r="AC504" s="50"/>
      <c r="AD504" s="50"/>
      <c r="AE504" s="3" t="s">
        <v>83</v>
      </c>
      <c r="AF504" s="51"/>
      <c r="AG504" s="52" t="str">
        <f t="shared" ca="1" si="63"/>
        <v/>
      </c>
      <c r="AI504" s="54"/>
      <c r="AJ504" s="3"/>
      <c r="AK504" s="3">
        <v>1</v>
      </c>
      <c r="AL504" s="3"/>
      <c r="AM504" s="4"/>
      <c r="AN504" s="4"/>
      <c r="AO504" s="3"/>
      <c r="AP504" s="4"/>
      <c r="AQ504" s="3"/>
      <c r="AR504" s="3"/>
      <c r="AS504" s="3"/>
    </row>
    <row r="505" spans="1:45" s="53" customFormat="1" ht="19.5" hidden="1" customHeight="1">
      <c r="A505" s="35" t="e">
        <f t="shared" si="64"/>
        <v>#REF!</v>
      </c>
      <c r="B505" s="36"/>
      <c r="C505" s="37"/>
      <c r="D505" s="38"/>
      <c r="E505" s="37"/>
      <c r="F505" s="39"/>
      <c r="G505" s="40"/>
      <c r="H505" s="41"/>
      <c r="I505" s="37" t="s">
        <v>80</v>
      </c>
      <c r="J505" s="43"/>
      <c r="K505" s="94"/>
      <c r="L505" s="94" t="s">
        <v>81</v>
      </c>
      <c r="M505" s="94"/>
      <c r="N505" s="44" t="str">
        <f t="shared" si="65"/>
        <v/>
      </c>
      <c r="O505" s="45" t="s">
        <v>82</v>
      </c>
      <c r="P505" s="96" t="s">
        <v>84</v>
      </c>
      <c r="Q505" s="96">
        <v>10</v>
      </c>
      <c r="R505" s="47"/>
      <c r="S505" s="48"/>
      <c r="T505" s="82">
        <v>0.6875</v>
      </c>
      <c r="U505" s="79">
        <v>0.69444444444444453</v>
      </c>
      <c r="V505" s="83"/>
      <c r="W505" s="3"/>
      <c r="X505" s="50"/>
      <c r="Y505" s="49"/>
      <c r="Z505" s="49"/>
      <c r="AA505" s="3"/>
      <c r="AC505" s="50"/>
      <c r="AD505" s="50"/>
      <c r="AE505" s="3" t="s">
        <v>83</v>
      </c>
      <c r="AF505" s="51"/>
      <c r="AG505" s="52" t="str">
        <f t="shared" ca="1" si="63"/>
        <v/>
      </c>
      <c r="AI505" s="54"/>
      <c r="AJ505" s="3"/>
      <c r="AK505" s="3">
        <v>1</v>
      </c>
      <c r="AL505" s="3"/>
      <c r="AM505" s="4"/>
      <c r="AN505" s="4"/>
      <c r="AO505" s="3"/>
      <c r="AP505" s="4"/>
      <c r="AQ505" s="3"/>
      <c r="AR505" s="3"/>
      <c r="AS505" s="3"/>
    </row>
    <row r="506" spans="1:45" s="53" customFormat="1" ht="19.5" hidden="1" customHeight="1">
      <c r="A506" s="35" t="e">
        <f t="shared" si="64"/>
        <v>#REF!</v>
      </c>
      <c r="B506" s="36"/>
      <c r="C506" s="37"/>
      <c r="D506" s="38"/>
      <c r="E506" s="37"/>
      <c r="F506" s="39"/>
      <c r="G506" s="40"/>
      <c r="H506" s="41"/>
      <c r="I506" s="37" t="s">
        <v>80</v>
      </c>
      <c r="J506" s="43"/>
      <c r="K506" s="94"/>
      <c r="L506" s="94" t="s">
        <v>81</v>
      </c>
      <c r="M506" s="94"/>
      <c r="N506" s="44" t="str">
        <f t="shared" si="65"/>
        <v/>
      </c>
      <c r="O506" s="45" t="s">
        <v>82</v>
      </c>
      <c r="P506" s="96" t="s">
        <v>84</v>
      </c>
      <c r="Q506" s="96">
        <v>10</v>
      </c>
      <c r="R506" s="47"/>
      <c r="S506" s="48"/>
      <c r="T506" s="82">
        <v>0.6875</v>
      </c>
      <c r="U506" s="82">
        <v>0.69444444444444453</v>
      </c>
      <c r="V506" s="97" t="s">
        <v>85</v>
      </c>
      <c r="W506" s="3"/>
      <c r="X506" s="72"/>
      <c r="Y506" s="79"/>
      <c r="Z506" s="49"/>
      <c r="AA506" s="3"/>
      <c r="AC506" s="50"/>
      <c r="AD506" s="50"/>
      <c r="AE506" s="3" t="s">
        <v>83</v>
      </c>
      <c r="AF506" s="51"/>
      <c r="AG506" s="52" t="str">
        <f t="shared" ca="1" si="63"/>
        <v/>
      </c>
      <c r="AI506" s="54"/>
      <c r="AJ506" s="3"/>
      <c r="AK506" s="3">
        <v>1</v>
      </c>
      <c r="AL506" s="3"/>
      <c r="AM506" s="4"/>
      <c r="AN506" s="4"/>
      <c r="AO506" s="3"/>
      <c r="AP506" s="4"/>
      <c r="AQ506" s="3"/>
      <c r="AR506" s="3"/>
      <c r="AS506" s="3"/>
    </row>
    <row r="507" spans="1:45" s="53" customFormat="1" ht="19.5" hidden="1" customHeight="1">
      <c r="A507" s="35" t="e">
        <f t="shared" si="64"/>
        <v>#REF!</v>
      </c>
      <c r="B507" s="81"/>
      <c r="C507" s="37"/>
      <c r="D507" s="46"/>
      <c r="E507" s="37"/>
      <c r="F507" s="37"/>
      <c r="G507" s="37"/>
      <c r="H507" s="41"/>
      <c r="I507" s="37" t="s">
        <v>80</v>
      </c>
      <c r="J507" s="43"/>
      <c r="K507" s="94"/>
      <c r="L507" s="94" t="s">
        <v>81</v>
      </c>
      <c r="M507" s="98"/>
      <c r="N507" s="44" t="str">
        <f t="shared" si="65"/>
        <v/>
      </c>
      <c r="O507" s="45" t="s">
        <v>82</v>
      </c>
      <c r="P507" s="96" t="s">
        <v>84</v>
      </c>
      <c r="Q507" s="96">
        <v>10</v>
      </c>
      <c r="R507" s="47"/>
      <c r="S507" s="48"/>
      <c r="T507" s="82">
        <v>0.6875</v>
      </c>
      <c r="U507" s="82">
        <v>0.69444444444444453</v>
      </c>
      <c r="V507" s="97" t="s">
        <v>85</v>
      </c>
      <c r="W507" s="3"/>
      <c r="X507" s="72"/>
      <c r="Y507" s="99">
        <v>0.69097222222222221</v>
      </c>
      <c r="Z507" s="100">
        <v>0.69791666666666663</v>
      </c>
      <c r="AA507" s="83"/>
      <c r="AB507" s="101"/>
      <c r="AC507" s="50"/>
      <c r="AD507" s="50"/>
      <c r="AE507" s="3" t="s">
        <v>83</v>
      </c>
      <c r="AF507" s="51"/>
      <c r="AG507" s="52" t="str">
        <f t="shared" ca="1" si="63"/>
        <v/>
      </c>
      <c r="AI507" s="54"/>
      <c r="AJ507" s="3"/>
      <c r="AK507" s="3">
        <v>1</v>
      </c>
      <c r="AL507" s="3"/>
      <c r="AM507" s="4"/>
      <c r="AN507" s="4"/>
      <c r="AO507" s="3"/>
      <c r="AP507" s="4"/>
      <c r="AQ507" s="3"/>
      <c r="AR507" s="3"/>
      <c r="AS507" s="3"/>
    </row>
    <row r="508" spans="1:45" s="53" customFormat="1" ht="19.5" hidden="1" customHeight="1">
      <c r="A508" s="35" t="e">
        <f t="shared" si="64"/>
        <v>#REF!</v>
      </c>
      <c r="B508" s="81"/>
      <c r="C508" s="102"/>
      <c r="D508" s="46"/>
      <c r="E508" s="3"/>
      <c r="F508" s="3"/>
      <c r="G508" s="3"/>
      <c r="H508" s="41"/>
      <c r="I508" s="37" t="s">
        <v>80</v>
      </c>
      <c r="J508" s="43"/>
      <c r="K508" s="94"/>
      <c r="L508" s="94" t="s">
        <v>81</v>
      </c>
      <c r="M508" s="98"/>
      <c r="N508" s="44" t="str">
        <f t="shared" si="65"/>
        <v/>
      </c>
      <c r="O508" s="45" t="s">
        <v>82</v>
      </c>
      <c r="P508" s="96" t="s">
        <v>84</v>
      </c>
      <c r="Q508" s="96">
        <v>10</v>
      </c>
      <c r="R508" s="47"/>
      <c r="S508" s="48"/>
      <c r="T508" s="82">
        <v>0.6875</v>
      </c>
      <c r="U508" s="82">
        <v>0.69444444444444453</v>
      </c>
      <c r="V508" s="97" t="s">
        <v>85</v>
      </c>
      <c r="W508" s="3"/>
      <c r="X508" s="72"/>
      <c r="Y508" s="99">
        <v>0.69097222222222221</v>
      </c>
      <c r="Z508" s="99">
        <v>0.69791666666666663</v>
      </c>
      <c r="AA508" s="97" t="s">
        <v>86</v>
      </c>
      <c r="AB508" s="73"/>
      <c r="AC508" s="103"/>
      <c r="AD508" s="104"/>
      <c r="AE508" s="3" t="s">
        <v>83</v>
      </c>
      <c r="AF508" s="105"/>
      <c r="AG508" s="52" t="str">
        <f t="shared" ca="1" si="63"/>
        <v/>
      </c>
      <c r="AI508" s="54"/>
      <c r="AJ508" s="3"/>
      <c r="AK508" s="3">
        <v>1</v>
      </c>
      <c r="AL508" s="3"/>
      <c r="AM508" s="4"/>
      <c r="AN508" s="4"/>
      <c r="AO508" s="3"/>
      <c r="AP508" s="4"/>
      <c r="AQ508" s="3"/>
      <c r="AR508" s="3"/>
      <c r="AS508" s="3"/>
    </row>
    <row r="509" spans="1:45" s="53" customFormat="1" ht="19.5" hidden="1" customHeight="1">
      <c r="A509" s="35" t="e">
        <f t="shared" si="64"/>
        <v>#REF!</v>
      </c>
      <c r="B509" s="81"/>
      <c r="C509" s="102"/>
      <c r="D509" s="46"/>
      <c r="E509" s="3"/>
      <c r="F509" s="3"/>
      <c r="G509" s="3"/>
      <c r="H509" s="41"/>
      <c r="I509" s="37" t="s">
        <v>80</v>
      </c>
      <c r="J509" s="43"/>
      <c r="K509" s="94"/>
      <c r="L509" s="94" t="s">
        <v>81</v>
      </c>
      <c r="M509" s="98"/>
      <c r="N509" s="44" t="str">
        <f t="shared" si="65"/>
        <v/>
      </c>
      <c r="O509" s="45" t="s">
        <v>82</v>
      </c>
      <c r="P509" s="96" t="s">
        <v>84</v>
      </c>
      <c r="Q509" s="96">
        <v>10</v>
      </c>
      <c r="R509" s="47"/>
      <c r="S509" s="48"/>
      <c r="T509" s="82">
        <v>0.6875</v>
      </c>
      <c r="U509" s="82">
        <v>0.69444444444444453</v>
      </c>
      <c r="V509" s="97" t="s">
        <v>85</v>
      </c>
      <c r="W509" s="3"/>
      <c r="X509" s="72"/>
      <c r="Y509" s="99">
        <v>0.69097222222222221</v>
      </c>
      <c r="Z509" s="99">
        <v>0.69791666666666663</v>
      </c>
      <c r="AA509" s="97" t="s">
        <v>86</v>
      </c>
      <c r="AB509" s="73"/>
      <c r="AC509" s="50"/>
      <c r="AD509" s="106" t="s">
        <v>87</v>
      </c>
      <c r="AE509" s="3" t="s">
        <v>83</v>
      </c>
      <c r="AF509" s="107">
        <v>0.69444444444444453</v>
      </c>
      <c r="AG509" s="52">
        <v>0.71527777777777779</v>
      </c>
      <c r="AI509" s="54"/>
      <c r="AJ509" s="3"/>
      <c r="AK509" s="3">
        <v>1</v>
      </c>
      <c r="AL509" s="3"/>
      <c r="AM509" s="4"/>
      <c r="AN509" s="4"/>
      <c r="AO509" s="3"/>
      <c r="AP509" s="4"/>
      <c r="AQ509" s="3"/>
      <c r="AR509" s="3"/>
      <c r="AS509" s="3"/>
    </row>
    <row r="510" spans="1:45" s="53" customFormat="1" ht="19.5" hidden="1" customHeight="1">
      <c r="A510" s="35" t="e">
        <f t="shared" si="64"/>
        <v>#REF!</v>
      </c>
      <c r="B510" s="81"/>
      <c r="C510" s="102"/>
      <c r="D510" s="46"/>
      <c r="E510" s="3"/>
      <c r="F510" s="3"/>
      <c r="G510" s="3"/>
      <c r="H510" s="41"/>
      <c r="I510" s="37" t="s">
        <v>80</v>
      </c>
      <c r="J510" s="43"/>
      <c r="K510" s="94"/>
      <c r="L510" s="94" t="s">
        <v>81</v>
      </c>
      <c r="M510" s="98"/>
      <c r="N510" s="44" t="str">
        <f t="shared" si="65"/>
        <v/>
      </c>
      <c r="O510" s="45" t="s">
        <v>82</v>
      </c>
      <c r="P510" s="96" t="s">
        <v>84</v>
      </c>
      <c r="Q510" s="96">
        <v>10</v>
      </c>
      <c r="R510" s="47"/>
      <c r="S510" s="48"/>
      <c r="T510" s="82">
        <v>0.6875</v>
      </c>
      <c r="U510" s="82">
        <v>0.69444444444444453</v>
      </c>
      <c r="V510" s="97" t="s">
        <v>85</v>
      </c>
      <c r="W510" s="3"/>
      <c r="X510" s="72"/>
      <c r="Y510" s="99">
        <v>0.69097222222222221</v>
      </c>
      <c r="Z510" s="99">
        <v>0.69791666666666663</v>
      </c>
      <c r="AA510" s="97" t="s">
        <v>86</v>
      </c>
      <c r="AB510" s="73"/>
      <c r="AC510" s="50"/>
      <c r="AD510" s="106" t="s">
        <v>87</v>
      </c>
      <c r="AE510" s="3" t="s">
        <v>83</v>
      </c>
      <c r="AF510" s="107">
        <v>0.69444444444444453</v>
      </c>
      <c r="AG510" s="108">
        <v>0.72569444444444453</v>
      </c>
      <c r="AH510" s="109"/>
      <c r="AI510" s="54"/>
      <c r="AJ510" s="3"/>
      <c r="AK510" s="3">
        <v>1</v>
      </c>
      <c r="AL510" s="3"/>
      <c r="AM510" s="4"/>
      <c r="AN510" s="4"/>
      <c r="AO510" s="3"/>
      <c r="AP510" s="4"/>
      <c r="AQ510" s="3"/>
      <c r="AR510" s="3"/>
      <c r="AS510" s="3"/>
    </row>
    <row r="511" spans="1:45" s="53" customFormat="1" ht="19.5" hidden="1" customHeight="1">
      <c r="A511" s="35" t="e">
        <f t="shared" si="64"/>
        <v>#REF!</v>
      </c>
      <c r="B511" s="81"/>
      <c r="C511" s="102"/>
      <c r="D511" s="46"/>
      <c r="E511" s="3"/>
      <c r="F511" s="3"/>
      <c r="G511" s="3"/>
      <c r="H511" s="41"/>
      <c r="I511" s="37" t="s">
        <v>80</v>
      </c>
      <c r="J511" s="43"/>
      <c r="K511" s="94"/>
      <c r="L511" s="94" t="s">
        <v>81</v>
      </c>
      <c r="M511" s="98"/>
      <c r="N511" s="44" t="str">
        <f t="shared" si="65"/>
        <v/>
      </c>
      <c r="O511" s="45" t="s">
        <v>82</v>
      </c>
      <c r="P511" s="96" t="s">
        <v>84</v>
      </c>
      <c r="Q511" s="96">
        <v>10</v>
      </c>
      <c r="R511" s="47"/>
      <c r="S511" s="48"/>
      <c r="T511" s="82">
        <v>0.6875</v>
      </c>
      <c r="U511" s="82">
        <v>0.69444444444444453</v>
      </c>
      <c r="V511" s="97" t="s">
        <v>85</v>
      </c>
      <c r="W511" s="3"/>
      <c r="X511" s="72"/>
      <c r="Y511" s="99">
        <v>0.69097222222222221</v>
      </c>
      <c r="Z511" s="99">
        <v>0.69791666666666663</v>
      </c>
      <c r="AA511" s="97" t="s">
        <v>86</v>
      </c>
      <c r="AB511" s="73"/>
      <c r="AC511" s="50"/>
      <c r="AD511" s="106" t="s">
        <v>87</v>
      </c>
      <c r="AE511" s="3" t="s">
        <v>83</v>
      </c>
      <c r="AF511" s="107">
        <v>0.69444444444444453</v>
      </c>
      <c r="AG511" s="110">
        <v>0.72569444444444453</v>
      </c>
      <c r="AH511" s="111"/>
      <c r="AI511" s="54"/>
      <c r="AJ511" s="3"/>
      <c r="AK511" s="3">
        <v>1</v>
      </c>
      <c r="AL511" s="3"/>
      <c r="AM511" s="4"/>
      <c r="AN511" s="4"/>
      <c r="AO511" s="3"/>
      <c r="AP511" s="4"/>
      <c r="AQ511" s="3"/>
      <c r="AR511" s="3"/>
      <c r="AS511" s="3"/>
    </row>
    <row r="512" spans="1:45" s="53" customFormat="1" ht="19.5" hidden="1" customHeight="1">
      <c r="A512" s="35" t="e">
        <f t="shared" si="64"/>
        <v>#REF!</v>
      </c>
      <c r="B512" s="81"/>
      <c r="C512" s="102"/>
      <c r="D512" s="46"/>
      <c r="E512" s="3"/>
      <c r="F512" s="3"/>
      <c r="G512" s="3"/>
      <c r="H512" s="41"/>
      <c r="I512" s="3" t="s">
        <v>80</v>
      </c>
      <c r="J512" s="78"/>
      <c r="K512" s="98"/>
      <c r="L512" s="98" t="s">
        <v>81</v>
      </c>
      <c r="M512" s="98"/>
      <c r="N512" s="44" t="str">
        <f t="shared" si="65"/>
        <v/>
      </c>
      <c r="O512" s="45" t="s">
        <v>82</v>
      </c>
      <c r="P512" s="96" t="s">
        <v>84</v>
      </c>
      <c r="Q512" s="96">
        <v>10</v>
      </c>
      <c r="R512" s="47"/>
      <c r="S512" s="48"/>
      <c r="T512" s="82">
        <v>0.6875</v>
      </c>
      <c r="U512" s="82">
        <v>0.69444444444444453</v>
      </c>
      <c r="V512" s="97" t="s">
        <v>85</v>
      </c>
      <c r="W512" s="3"/>
      <c r="X512" s="72"/>
      <c r="Y512" s="99">
        <v>0.69097222222222221</v>
      </c>
      <c r="Z512" s="99">
        <v>0.69791666666666663</v>
      </c>
      <c r="AA512" s="97" t="s">
        <v>86</v>
      </c>
      <c r="AB512" s="73"/>
      <c r="AC512" s="50"/>
      <c r="AD512" s="106" t="s">
        <v>87</v>
      </c>
      <c r="AE512" s="3" t="s">
        <v>83</v>
      </c>
      <c r="AF512" s="107">
        <v>0.69444444444444453</v>
      </c>
      <c r="AG512" s="110">
        <v>0.72569444444444453</v>
      </c>
      <c r="AH512" s="111"/>
      <c r="AI512" s="54"/>
      <c r="AJ512" s="3"/>
      <c r="AK512" s="3">
        <v>1</v>
      </c>
      <c r="AL512" s="3"/>
      <c r="AM512" s="4"/>
      <c r="AN512" s="4"/>
      <c r="AO512" s="3"/>
      <c r="AP512" s="4"/>
      <c r="AQ512" s="3"/>
      <c r="AR512" s="3"/>
      <c r="AS512" s="3"/>
    </row>
    <row r="513" spans="1:45" ht="19.5" hidden="1" customHeight="1">
      <c r="A513" s="35" t="e">
        <f>A502</f>
        <v>#REF!</v>
      </c>
      <c r="I513" s="3" t="s">
        <v>50</v>
      </c>
      <c r="K513" s="98"/>
      <c r="L513" s="98" t="s">
        <v>52</v>
      </c>
      <c r="M513" s="98"/>
      <c r="N513" s="44" t="str">
        <f t="shared" si="65"/>
        <v/>
      </c>
      <c r="O513" s="45" t="s">
        <v>82</v>
      </c>
      <c r="P513" s="95" t="s">
        <v>84</v>
      </c>
      <c r="Q513" s="95">
        <v>10</v>
      </c>
      <c r="R513" s="47"/>
      <c r="T513" s="82">
        <v>0.6875</v>
      </c>
      <c r="U513" s="82">
        <v>0.69444444444444453</v>
      </c>
      <c r="V513" s="97" t="s">
        <v>85</v>
      </c>
      <c r="X513" s="120" t="s">
        <v>90</v>
      </c>
      <c r="Y513" s="99">
        <v>0.69097222222222221</v>
      </c>
      <c r="Z513" s="99">
        <v>0.69791666666666663</v>
      </c>
      <c r="AA513" s="63" t="s">
        <v>94</v>
      </c>
      <c r="AB513" s="73"/>
      <c r="AD513" s="118" t="s">
        <v>87</v>
      </c>
      <c r="AE513" s="3" t="str">
        <f>IF(OR(V513="電話不通 x2",V513="DS判断"),"DS確認→U列入力",IF(V513="希望","U列入力",IF(V513="拒否","DS確認",IF(V513="外国語","DS確認",IF(V513="電話不通 x1","ORM再架電","-")))))</f>
        <v>-</v>
      </c>
      <c r="AF513" s="107">
        <v>0.69444444444444453</v>
      </c>
      <c r="AG513" s="110">
        <v>0.72569444444444453</v>
      </c>
      <c r="AH513" s="111"/>
      <c r="AI513" s="54"/>
      <c r="AK513" s="3">
        <v>1</v>
      </c>
      <c r="AP513" s="4"/>
    </row>
    <row r="514" spans="1:45" ht="19.5" hidden="1" customHeight="1">
      <c r="A514" s="35" t="e">
        <f t="shared" si="64"/>
        <v>#REF!</v>
      </c>
      <c r="I514" s="3" t="s">
        <v>50</v>
      </c>
      <c r="K514" s="98"/>
      <c r="L514" s="98" t="s">
        <v>52</v>
      </c>
      <c r="M514" s="98"/>
      <c r="N514" s="44" t="str">
        <f t="shared" si="65"/>
        <v/>
      </c>
      <c r="O514" s="45" t="s">
        <v>55</v>
      </c>
      <c r="P514" s="129" t="s">
        <v>84</v>
      </c>
      <c r="Q514" s="129">
        <v>10</v>
      </c>
      <c r="R514" s="130"/>
      <c r="S514" s="131"/>
      <c r="T514" s="132">
        <v>0.6875</v>
      </c>
      <c r="U514" s="132">
        <v>0.69444444444444453</v>
      </c>
      <c r="V514" s="126" t="s">
        <v>85</v>
      </c>
      <c r="W514" s="126"/>
      <c r="X514" s="84" t="s">
        <v>90</v>
      </c>
      <c r="Y514" s="85">
        <v>0.69097222222222221</v>
      </c>
      <c r="Z514" s="85">
        <v>0.69791666666666663</v>
      </c>
      <c r="AA514" s="126" t="s">
        <v>94</v>
      </c>
      <c r="AB514" s="127"/>
      <c r="AD514" s="84" t="s">
        <v>101</v>
      </c>
      <c r="AE514" s="126" t="s">
        <v>83</v>
      </c>
      <c r="AF514" s="128">
        <v>0.69444444444444453</v>
      </c>
      <c r="AG514" s="133">
        <v>0.72569444444444453</v>
      </c>
      <c r="AH514" s="127"/>
      <c r="AI514" s="54"/>
      <c r="AK514" s="3">
        <v>1</v>
      </c>
      <c r="AP514" s="4"/>
    </row>
    <row r="515" spans="1:45" ht="19.5" hidden="1" customHeight="1">
      <c r="A515" s="35" t="e">
        <f>A502</f>
        <v>#REF!</v>
      </c>
      <c r="N515" s="44" t="str">
        <f t="shared" si="65"/>
        <v/>
      </c>
      <c r="R515" s="47"/>
      <c r="AE515" s="3" t="str">
        <f>IF(OR(V515="電話不通 x2",V515="DS判断"),"DS確認→U列入力",IF(V515="希望","U列入力",IF(V515="拒否","DS確認",IF(V515="外国語","DS確認",IF(V515="電話不通 x1","ORM再架電","-")))))</f>
        <v>-</v>
      </c>
      <c r="AF515" s="51"/>
      <c r="AG515" s="52" t="str">
        <f t="shared" ca="1" si="63"/>
        <v/>
      </c>
      <c r="AI515" s="54"/>
      <c r="AK515" s="3">
        <v>1</v>
      </c>
      <c r="AP515" s="4"/>
    </row>
    <row r="516" spans="1:45" s="53" customFormat="1" ht="19.5" hidden="1" customHeight="1">
      <c r="A516" s="35" t="e">
        <f t="shared" si="64"/>
        <v>#REF!</v>
      </c>
      <c r="B516" s="81"/>
      <c r="C516" s="3"/>
      <c r="D516" s="46"/>
      <c r="E516" s="3"/>
      <c r="F516" s="3"/>
      <c r="G516" s="3"/>
      <c r="H516" s="41"/>
      <c r="I516" s="3"/>
      <c r="J516" s="78"/>
      <c r="K516" s="78"/>
      <c r="L516" s="78"/>
      <c r="M516" s="78"/>
      <c r="N516" s="44" t="str">
        <f t="shared" si="65"/>
        <v/>
      </c>
      <c r="O516" s="45"/>
      <c r="P516" s="3"/>
      <c r="Q516" s="46"/>
      <c r="R516" s="47"/>
      <c r="S516" s="48"/>
      <c r="T516" s="80"/>
      <c r="U516" s="80"/>
      <c r="V516" s="3"/>
      <c r="W516" s="3"/>
      <c r="X516" s="50"/>
      <c r="Y516" s="80"/>
      <c r="Z516" s="80"/>
      <c r="AA516" s="3"/>
      <c r="AC516" s="50"/>
      <c r="AD516" s="50"/>
      <c r="AE516" s="3" t="str">
        <f>IF(OR(V516="電話不通 x2",V516="DS判断"),"DS確認→U列入力",IF(V516="希望","U列入力",IF(V516="拒否","DS確認",IF(V516="外国語","DS確認",IF(V516="電話不通 x1","ORM再架電","-")))))</f>
        <v>-</v>
      </c>
      <c r="AF516" s="51"/>
      <c r="AG516" s="52" t="str">
        <f t="shared" ca="1" si="63"/>
        <v/>
      </c>
      <c r="AI516" s="54"/>
      <c r="AJ516" s="3"/>
      <c r="AK516" s="3">
        <v>1</v>
      </c>
      <c r="AL516" s="3"/>
      <c r="AM516" s="4"/>
      <c r="AN516" s="4"/>
      <c r="AO516" s="3"/>
      <c r="AP516" s="4"/>
      <c r="AQ516" s="3"/>
      <c r="AR516" s="3"/>
      <c r="AS516" s="3"/>
    </row>
    <row r="517" spans="1:45" s="53" customFormat="1" ht="19.5" hidden="1" customHeight="1">
      <c r="A517" s="35" t="e">
        <f t="shared" si="64"/>
        <v>#REF!</v>
      </c>
      <c r="B517" s="36"/>
      <c r="C517" s="37"/>
      <c r="D517" s="38" t="s">
        <v>103</v>
      </c>
      <c r="E517" s="37"/>
      <c r="F517" s="39"/>
      <c r="G517" s="40"/>
      <c r="H517" s="41"/>
      <c r="I517" s="37" t="s">
        <v>80</v>
      </c>
      <c r="J517" s="43"/>
      <c r="K517" s="94"/>
      <c r="L517" s="94" t="s">
        <v>81</v>
      </c>
      <c r="M517" s="94"/>
      <c r="N517" s="44" t="str">
        <f t="shared" si="65"/>
        <v/>
      </c>
      <c r="O517" s="45" t="s">
        <v>82</v>
      </c>
      <c r="P517" s="95"/>
      <c r="Q517" s="95"/>
      <c r="R517" s="47"/>
      <c r="S517" s="48"/>
      <c r="T517" s="49"/>
      <c r="U517" s="49"/>
      <c r="V517" s="3"/>
      <c r="W517" s="3"/>
      <c r="X517" s="50"/>
      <c r="Y517" s="49"/>
      <c r="Z517" s="49"/>
      <c r="AA517" s="3"/>
      <c r="AC517" s="50"/>
      <c r="AD517" s="50"/>
      <c r="AE517" s="3" t="s">
        <v>83</v>
      </c>
      <c r="AF517" s="51"/>
      <c r="AG517" s="52" t="str">
        <f t="shared" ca="1" si="63"/>
        <v/>
      </c>
      <c r="AI517" s="54"/>
      <c r="AJ517" s="3"/>
      <c r="AK517" s="3">
        <v>1</v>
      </c>
      <c r="AL517" s="3"/>
      <c r="AM517" s="4"/>
      <c r="AN517" s="4"/>
      <c r="AO517" s="3"/>
      <c r="AP517" s="4"/>
      <c r="AQ517" s="3"/>
      <c r="AR517" s="3"/>
      <c r="AS517" s="3"/>
    </row>
    <row r="518" spans="1:45" s="53" customFormat="1" ht="19.5" hidden="1" customHeight="1">
      <c r="A518" s="35" t="e">
        <f t="shared" si="64"/>
        <v>#REF!</v>
      </c>
      <c r="B518" s="36"/>
      <c r="C518" s="37"/>
      <c r="D518" s="38"/>
      <c r="E518" s="37"/>
      <c r="F518" s="39"/>
      <c r="G518" s="40"/>
      <c r="H518" s="41"/>
      <c r="I518" s="37" t="s">
        <v>80</v>
      </c>
      <c r="J518" s="43"/>
      <c r="K518" s="94"/>
      <c r="L518" s="94" t="s">
        <v>81</v>
      </c>
      <c r="M518" s="94"/>
      <c r="N518" s="44" t="str">
        <f t="shared" si="65"/>
        <v/>
      </c>
      <c r="O518" s="45" t="s">
        <v>82</v>
      </c>
      <c r="P518" s="96" t="s">
        <v>84</v>
      </c>
      <c r="Q518" s="96">
        <v>10</v>
      </c>
      <c r="R518" s="47"/>
      <c r="S518" s="48"/>
      <c r="T518" s="79"/>
      <c r="U518" s="49"/>
      <c r="V518" s="3"/>
      <c r="W518" s="3"/>
      <c r="X518" s="50"/>
      <c r="Y518" s="49"/>
      <c r="Z518" s="49"/>
      <c r="AA518" s="3"/>
      <c r="AC518" s="50"/>
      <c r="AD518" s="50"/>
      <c r="AE518" s="3" t="s">
        <v>83</v>
      </c>
      <c r="AF518" s="51"/>
      <c r="AG518" s="52" t="str">
        <f t="shared" ca="1" si="63"/>
        <v/>
      </c>
      <c r="AI518" s="54"/>
      <c r="AJ518" s="3"/>
      <c r="AK518" s="3">
        <v>1</v>
      </c>
      <c r="AL518" s="3"/>
      <c r="AM518" s="4"/>
      <c r="AN518" s="4"/>
      <c r="AO518" s="3"/>
      <c r="AP518" s="4"/>
      <c r="AQ518" s="3"/>
      <c r="AR518" s="3"/>
      <c r="AS518" s="3"/>
    </row>
    <row r="519" spans="1:45" s="53" customFormat="1" ht="19.5" hidden="1" customHeight="1">
      <c r="A519" s="35" t="e">
        <f t="shared" si="64"/>
        <v>#REF!</v>
      </c>
      <c r="B519" s="36"/>
      <c r="C519" s="37"/>
      <c r="D519" s="38"/>
      <c r="E519" s="37"/>
      <c r="F519" s="39"/>
      <c r="G519" s="40"/>
      <c r="H519" s="41"/>
      <c r="I519" s="37" t="s">
        <v>80</v>
      </c>
      <c r="J519" s="43"/>
      <c r="K519" s="94"/>
      <c r="L519" s="94" t="s">
        <v>81</v>
      </c>
      <c r="M519" s="94"/>
      <c r="N519" s="44" t="str">
        <f t="shared" si="65"/>
        <v/>
      </c>
      <c r="O519" s="45" t="s">
        <v>82</v>
      </c>
      <c r="P519" s="96" t="s">
        <v>84</v>
      </c>
      <c r="Q519" s="96">
        <v>10</v>
      </c>
      <c r="R519" s="47"/>
      <c r="S519" s="48"/>
      <c r="T519" s="82">
        <v>0.6875</v>
      </c>
      <c r="U519" s="79">
        <v>0.69444444444444453</v>
      </c>
      <c r="V519" s="83"/>
      <c r="W519" s="3"/>
      <c r="X519" s="50"/>
      <c r="Y519" s="49"/>
      <c r="Z519" s="49"/>
      <c r="AA519" s="3"/>
      <c r="AC519" s="50"/>
      <c r="AD519" s="50"/>
      <c r="AE519" s="3" t="s">
        <v>83</v>
      </c>
      <c r="AF519" s="51"/>
      <c r="AG519" s="52" t="str">
        <f t="shared" ca="1" si="63"/>
        <v/>
      </c>
      <c r="AI519" s="54"/>
      <c r="AJ519" s="3"/>
      <c r="AK519" s="3">
        <v>1</v>
      </c>
      <c r="AL519" s="3"/>
      <c r="AM519" s="4"/>
      <c r="AN519" s="4"/>
      <c r="AO519" s="3"/>
      <c r="AP519" s="4"/>
      <c r="AQ519" s="3"/>
      <c r="AR519" s="3"/>
      <c r="AS519" s="3"/>
    </row>
    <row r="520" spans="1:45" s="53" customFormat="1" ht="19.5" hidden="1" customHeight="1">
      <c r="A520" s="35" t="e">
        <f t="shared" si="64"/>
        <v>#REF!</v>
      </c>
      <c r="B520" s="36"/>
      <c r="C520" s="37"/>
      <c r="D520" s="38"/>
      <c r="E520" s="37"/>
      <c r="F520" s="39"/>
      <c r="G520" s="40"/>
      <c r="H520" s="41"/>
      <c r="I520" s="37" t="s">
        <v>80</v>
      </c>
      <c r="J520" s="43"/>
      <c r="K520" s="94"/>
      <c r="L520" s="94" t="s">
        <v>81</v>
      </c>
      <c r="M520" s="94"/>
      <c r="N520" s="44" t="str">
        <f t="shared" si="65"/>
        <v/>
      </c>
      <c r="O520" s="45" t="s">
        <v>82</v>
      </c>
      <c r="P520" s="96" t="s">
        <v>84</v>
      </c>
      <c r="Q520" s="96">
        <v>10</v>
      </c>
      <c r="R520" s="47"/>
      <c r="S520" s="48"/>
      <c r="T520" s="82">
        <v>0.6875</v>
      </c>
      <c r="U520" s="82">
        <v>0.69444444444444453</v>
      </c>
      <c r="V520" s="97" t="s">
        <v>85</v>
      </c>
      <c r="W520" s="3"/>
      <c r="X520" s="72"/>
      <c r="Y520" s="79"/>
      <c r="Z520" s="49"/>
      <c r="AA520" s="3"/>
      <c r="AC520" s="50"/>
      <c r="AD520" s="50"/>
      <c r="AE520" s="3" t="s">
        <v>83</v>
      </c>
      <c r="AF520" s="51"/>
      <c r="AG520" s="52" t="str">
        <f t="shared" ca="1" si="63"/>
        <v/>
      </c>
      <c r="AI520" s="54"/>
      <c r="AJ520" s="3"/>
      <c r="AK520" s="3">
        <v>1</v>
      </c>
      <c r="AL520" s="3"/>
      <c r="AM520" s="4"/>
      <c r="AN520" s="4"/>
      <c r="AO520" s="3"/>
      <c r="AP520" s="4"/>
      <c r="AQ520" s="3"/>
      <c r="AR520" s="3"/>
      <c r="AS520" s="3"/>
    </row>
    <row r="521" spans="1:45" s="53" customFormat="1" ht="19.5" hidden="1" customHeight="1">
      <c r="A521" s="35" t="e">
        <f t="shared" ref="A521:A584" si="66">A520</f>
        <v>#REF!</v>
      </c>
      <c r="B521" s="81"/>
      <c r="C521" s="37"/>
      <c r="D521" s="46"/>
      <c r="E521" s="37"/>
      <c r="F521" s="37"/>
      <c r="G521" s="37"/>
      <c r="H521" s="41"/>
      <c r="I521" s="37" t="s">
        <v>80</v>
      </c>
      <c r="J521" s="43"/>
      <c r="K521" s="94"/>
      <c r="L521" s="94" t="s">
        <v>81</v>
      </c>
      <c r="M521" s="98"/>
      <c r="N521" s="44" t="str">
        <f t="shared" si="65"/>
        <v/>
      </c>
      <c r="O521" s="45" t="s">
        <v>82</v>
      </c>
      <c r="P521" s="96" t="s">
        <v>84</v>
      </c>
      <c r="Q521" s="96">
        <v>10</v>
      </c>
      <c r="R521" s="47"/>
      <c r="S521" s="48"/>
      <c r="T521" s="82">
        <v>0.6875</v>
      </c>
      <c r="U521" s="82">
        <v>0.69444444444444453</v>
      </c>
      <c r="V521" s="97" t="s">
        <v>85</v>
      </c>
      <c r="W521" s="3"/>
      <c r="X521" s="72"/>
      <c r="Y521" s="99">
        <v>0.69097222222222221</v>
      </c>
      <c r="Z521" s="100">
        <v>0.69791666666666663</v>
      </c>
      <c r="AA521" s="83"/>
      <c r="AB521" s="101"/>
      <c r="AC521" s="50"/>
      <c r="AD521" s="50"/>
      <c r="AE521" s="3" t="s">
        <v>83</v>
      </c>
      <c r="AF521" s="51"/>
      <c r="AG521" s="52" t="str">
        <f t="shared" ca="1" si="63"/>
        <v/>
      </c>
      <c r="AI521" s="54"/>
      <c r="AJ521" s="3"/>
      <c r="AK521" s="3">
        <v>1</v>
      </c>
      <c r="AL521" s="3"/>
      <c r="AM521" s="4"/>
      <c r="AN521" s="4"/>
      <c r="AO521" s="3"/>
      <c r="AP521" s="4"/>
      <c r="AQ521" s="3"/>
      <c r="AR521" s="3"/>
      <c r="AS521" s="3"/>
    </row>
    <row r="522" spans="1:45" ht="19.5" hidden="1" customHeight="1">
      <c r="A522" s="35" t="e">
        <f t="shared" si="66"/>
        <v>#REF!</v>
      </c>
      <c r="C522" s="102"/>
      <c r="I522" s="37" t="s">
        <v>80</v>
      </c>
      <c r="J522" s="43"/>
      <c r="K522" s="94"/>
      <c r="L522" s="94" t="s">
        <v>81</v>
      </c>
      <c r="M522" s="98"/>
      <c r="N522" s="44" t="str">
        <f t="shared" si="65"/>
        <v/>
      </c>
      <c r="O522" s="45" t="s">
        <v>82</v>
      </c>
      <c r="P522" s="96" t="s">
        <v>84</v>
      </c>
      <c r="Q522" s="96">
        <v>10</v>
      </c>
      <c r="R522" s="47"/>
      <c r="T522" s="82">
        <v>0.6875</v>
      </c>
      <c r="U522" s="82">
        <v>0.69444444444444453</v>
      </c>
      <c r="V522" s="97" t="s">
        <v>85</v>
      </c>
      <c r="X522" s="72"/>
      <c r="Y522" s="99">
        <v>0.69097222222222221</v>
      </c>
      <c r="Z522" s="99">
        <v>0.69791666666666663</v>
      </c>
      <c r="AA522" s="97" t="s">
        <v>104</v>
      </c>
      <c r="AB522" s="73"/>
      <c r="AC522" s="103"/>
      <c r="AD522" s="103"/>
      <c r="AE522" s="3" t="s">
        <v>83</v>
      </c>
      <c r="AF522" s="51"/>
      <c r="AG522" s="52" t="str">
        <f t="shared" ca="1" si="63"/>
        <v/>
      </c>
      <c r="AI522" s="54"/>
      <c r="AK522" s="3">
        <v>1</v>
      </c>
      <c r="AP522" s="4"/>
    </row>
    <row r="523" spans="1:45" ht="19.5" hidden="1" customHeight="1">
      <c r="A523" s="35" t="e">
        <f>A516</f>
        <v>#REF!</v>
      </c>
      <c r="N523" s="44" t="str">
        <f t="shared" si="65"/>
        <v/>
      </c>
      <c r="R523" s="47"/>
      <c r="AE523" s="3" t="str">
        <f>IF(OR(V523="電話不通 x2",V523="DS判断"),"DS確認→U列入力",IF(V523="希望","U列入力",IF(V523="拒否","DS確認",IF(V523="外国語","DS確認",IF(V523="電話不通 x1","ORM再架電","-")))))</f>
        <v>-</v>
      </c>
      <c r="AF523" s="51"/>
      <c r="AG523" s="52" t="str">
        <f t="shared" ca="1" si="63"/>
        <v/>
      </c>
      <c r="AI523" s="54"/>
      <c r="AK523" s="3">
        <v>1</v>
      </c>
      <c r="AP523" s="4"/>
    </row>
    <row r="524" spans="1:45" ht="19.5" hidden="1" customHeight="1">
      <c r="A524" s="35" t="e">
        <f t="shared" si="66"/>
        <v>#REF!</v>
      </c>
      <c r="N524" s="44" t="str">
        <f t="shared" si="65"/>
        <v/>
      </c>
      <c r="R524" s="47"/>
      <c r="AE524" s="3" t="str">
        <f>IF(OR(V524="電話不通 x2",V524="DS判断"),"DS確認→U列入力",IF(V524="希望","U列入力",IF(V524="拒否","DS確認",IF(V524="外国語","DS確認",IF(V524="電話不通 x1","ORM再架電","-")))))</f>
        <v>-</v>
      </c>
      <c r="AF524" s="51"/>
      <c r="AG524" s="52" t="str">
        <f t="shared" ca="1" si="63"/>
        <v/>
      </c>
      <c r="AI524" s="54"/>
      <c r="AK524" s="3">
        <v>1</v>
      </c>
      <c r="AP524" s="4"/>
    </row>
    <row r="525" spans="1:45" ht="19.5" hidden="1" customHeight="1">
      <c r="A525" s="35" t="e">
        <f t="shared" si="66"/>
        <v>#REF!</v>
      </c>
      <c r="N525" s="44" t="str">
        <f t="shared" si="65"/>
        <v/>
      </c>
      <c r="R525" s="47"/>
      <c r="AE525" s="3" t="str">
        <f>IF(OR(V525="電話不通 x2",V525="DS判断"),"DS確認→U列入力",IF(V525="希望","U列入力",IF(V525="拒否","DS確認",IF(V525="外国語","DS確認",IF(V525="電話不通 x1","ORM再架電","-")))))</f>
        <v>-</v>
      </c>
      <c r="AF525" s="51"/>
      <c r="AG525" s="52" t="str">
        <f t="shared" ca="1" si="63"/>
        <v/>
      </c>
      <c r="AI525" s="54"/>
      <c r="AK525" s="3">
        <v>1</v>
      </c>
      <c r="AP525" s="4"/>
    </row>
    <row r="526" spans="1:45" s="53" customFormat="1" ht="19.5" hidden="1" customHeight="1">
      <c r="A526" s="35" t="e">
        <f t="shared" si="66"/>
        <v>#REF!</v>
      </c>
      <c r="B526" s="81"/>
      <c r="C526" s="3"/>
      <c r="D526" s="46"/>
      <c r="E526" s="3"/>
      <c r="F526" s="3"/>
      <c r="G526" s="3"/>
      <c r="H526" s="41"/>
      <c r="I526" s="3"/>
      <c r="J526" s="78"/>
      <c r="K526" s="78"/>
      <c r="L526" s="78"/>
      <c r="M526" s="78"/>
      <c r="N526" s="44" t="str">
        <f t="shared" si="65"/>
        <v/>
      </c>
      <c r="O526" s="45"/>
      <c r="P526" s="3"/>
      <c r="Q526" s="46"/>
      <c r="R526" s="47"/>
      <c r="S526" s="48"/>
      <c r="T526" s="80"/>
      <c r="U526" s="80"/>
      <c r="V526" s="3"/>
      <c r="W526" s="3"/>
      <c r="X526" s="50"/>
      <c r="Y526" s="80"/>
      <c r="Z526" s="80"/>
      <c r="AA526" s="3"/>
      <c r="AC526" s="50"/>
      <c r="AD526" s="50"/>
      <c r="AE526" s="3" t="str">
        <f>IF(OR(V526="電話不通 x2",V526="DS判断"),"DS確認→U列入力",IF(V526="希望","U列入力",IF(V526="拒否","DS確認",IF(V526="外国語","DS確認",IF(V526="電話不通 x1","ORM再架電","-")))))</f>
        <v>-</v>
      </c>
      <c r="AF526" s="51"/>
      <c r="AG526" s="52" t="str">
        <f t="shared" ca="1" si="63"/>
        <v/>
      </c>
      <c r="AI526" s="54"/>
      <c r="AJ526" s="3"/>
      <c r="AK526" s="3">
        <v>1</v>
      </c>
      <c r="AL526" s="3"/>
      <c r="AM526" s="4"/>
      <c r="AN526" s="4"/>
      <c r="AO526" s="3"/>
      <c r="AP526" s="4"/>
      <c r="AQ526" s="3"/>
      <c r="AR526" s="3"/>
      <c r="AS526" s="3"/>
    </row>
    <row r="527" spans="1:45" s="53" customFormat="1" ht="19.5" hidden="1" customHeight="1">
      <c r="A527" s="35" t="e">
        <f t="shared" si="66"/>
        <v>#REF!</v>
      </c>
      <c r="B527" s="36"/>
      <c r="C527" s="37"/>
      <c r="D527" s="38"/>
      <c r="E527" s="37"/>
      <c r="F527" s="39"/>
      <c r="G527" s="40"/>
      <c r="H527" s="41"/>
      <c r="I527" s="37" t="s">
        <v>80</v>
      </c>
      <c r="J527" s="43"/>
      <c r="K527" s="94"/>
      <c r="L527" s="94" t="s">
        <v>81</v>
      </c>
      <c r="M527" s="94"/>
      <c r="N527" s="44" t="str">
        <f t="shared" si="65"/>
        <v/>
      </c>
      <c r="O527" s="45" t="s">
        <v>82</v>
      </c>
      <c r="P527" s="95"/>
      <c r="Q527" s="95"/>
      <c r="R527" s="47"/>
      <c r="S527" s="48"/>
      <c r="T527" s="49"/>
      <c r="U527" s="49"/>
      <c r="V527" s="3"/>
      <c r="W527" s="3"/>
      <c r="X527" s="50"/>
      <c r="Y527" s="49"/>
      <c r="Z527" s="49"/>
      <c r="AA527" s="3"/>
      <c r="AC527" s="50"/>
      <c r="AD527" s="50"/>
      <c r="AE527" s="3" t="s">
        <v>83</v>
      </c>
      <c r="AF527" s="51"/>
      <c r="AG527" s="52" t="str">
        <f t="shared" ref="AG527:AG539" ca="1" si="67">IF(AF527="","",IF($AF527+TIME(0,30,0)&lt;(TEXT(NOW(),"h:mm:ss")*1),$AF527+TIME(0,45,0),$AF527+TIME(0,30,0)))</f>
        <v/>
      </c>
      <c r="AI527" s="54"/>
      <c r="AJ527" s="3"/>
      <c r="AK527" s="3">
        <v>1</v>
      </c>
      <c r="AL527" s="3"/>
      <c r="AM527" s="4"/>
      <c r="AN527" s="4"/>
      <c r="AO527" s="3"/>
      <c r="AP527" s="4"/>
      <c r="AQ527" s="3"/>
      <c r="AR527" s="3"/>
      <c r="AS527" s="3"/>
    </row>
    <row r="528" spans="1:45" s="53" customFormat="1" ht="19.5" hidden="1" customHeight="1">
      <c r="A528" s="35" t="e">
        <f t="shared" si="66"/>
        <v>#REF!</v>
      </c>
      <c r="B528" s="36"/>
      <c r="C528" s="37"/>
      <c r="D528" s="38"/>
      <c r="E528" s="37"/>
      <c r="F528" s="39"/>
      <c r="G528" s="40"/>
      <c r="H528" s="41"/>
      <c r="I528" s="37" t="s">
        <v>80</v>
      </c>
      <c r="J528" s="43"/>
      <c r="K528" s="94"/>
      <c r="L528" s="94" t="s">
        <v>81</v>
      </c>
      <c r="M528" s="94"/>
      <c r="N528" s="44" t="str">
        <f t="shared" si="65"/>
        <v/>
      </c>
      <c r="O528" s="45" t="s">
        <v>82</v>
      </c>
      <c r="P528" s="96" t="s">
        <v>84</v>
      </c>
      <c r="Q528" s="96">
        <v>10</v>
      </c>
      <c r="R528" s="47"/>
      <c r="S528" s="48"/>
      <c r="T528" s="79"/>
      <c r="U528" s="49"/>
      <c r="V528" s="3"/>
      <c r="W528" s="3"/>
      <c r="X528" s="50"/>
      <c r="Y528" s="49"/>
      <c r="Z528" s="49"/>
      <c r="AA528" s="3"/>
      <c r="AC528" s="50"/>
      <c r="AD528" s="50"/>
      <c r="AE528" s="3" t="s">
        <v>83</v>
      </c>
      <c r="AF528" s="51"/>
      <c r="AG528" s="52" t="str">
        <f t="shared" ca="1" si="67"/>
        <v/>
      </c>
      <c r="AI528" s="54"/>
      <c r="AJ528" s="3"/>
      <c r="AK528" s="3">
        <v>1</v>
      </c>
      <c r="AL528" s="3"/>
      <c r="AM528" s="4"/>
      <c r="AN528" s="4"/>
      <c r="AO528" s="3"/>
      <c r="AP528" s="4"/>
      <c r="AQ528" s="3"/>
      <c r="AR528" s="3"/>
      <c r="AS528" s="3"/>
    </row>
    <row r="529" spans="1:45" s="53" customFormat="1" ht="19.5" hidden="1" customHeight="1">
      <c r="A529" s="35" t="e">
        <f t="shared" si="66"/>
        <v>#REF!</v>
      </c>
      <c r="B529" s="36"/>
      <c r="C529" s="37"/>
      <c r="D529" s="38"/>
      <c r="E529" s="37"/>
      <c r="F529" s="39"/>
      <c r="G529" s="40"/>
      <c r="H529" s="41"/>
      <c r="I529" s="37" t="s">
        <v>80</v>
      </c>
      <c r="J529" s="43"/>
      <c r="K529" s="94"/>
      <c r="L529" s="94" t="s">
        <v>81</v>
      </c>
      <c r="M529" s="94"/>
      <c r="N529" s="44" t="str">
        <f t="shared" si="65"/>
        <v/>
      </c>
      <c r="O529" s="45" t="s">
        <v>82</v>
      </c>
      <c r="P529" s="96" t="s">
        <v>84</v>
      </c>
      <c r="Q529" s="96">
        <v>10</v>
      </c>
      <c r="R529" s="47"/>
      <c r="S529" s="48"/>
      <c r="T529" s="82">
        <v>0.6875</v>
      </c>
      <c r="U529" s="79">
        <v>0.69444444444444453</v>
      </c>
      <c r="V529" s="83"/>
      <c r="W529" s="3"/>
      <c r="X529" s="50"/>
      <c r="Y529" s="49"/>
      <c r="Z529" s="49"/>
      <c r="AA529" s="3"/>
      <c r="AC529" s="50"/>
      <c r="AD529" s="50"/>
      <c r="AE529" s="3" t="s">
        <v>83</v>
      </c>
      <c r="AF529" s="51"/>
      <c r="AG529" s="52" t="str">
        <f t="shared" ca="1" si="67"/>
        <v/>
      </c>
      <c r="AI529" s="54"/>
      <c r="AJ529" s="3"/>
      <c r="AK529" s="3">
        <v>1</v>
      </c>
      <c r="AL529" s="3"/>
      <c r="AM529" s="4"/>
      <c r="AN529" s="4"/>
      <c r="AO529" s="3"/>
      <c r="AP529" s="4"/>
      <c r="AQ529" s="3"/>
      <c r="AR529" s="3"/>
      <c r="AS529" s="3"/>
    </row>
    <row r="530" spans="1:45" s="53" customFormat="1" ht="19.5" hidden="1" customHeight="1">
      <c r="A530" s="35" t="e">
        <f t="shared" si="66"/>
        <v>#REF!</v>
      </c>
      <c r="B530" s="36"/>
      <c r="C530" s="37"/>
      <c r="D530" s="38"/>
      <c r="E530" s="37"/>
      <c r="F530" s="39"/>
      <c r="G530" s="40"/>
      <c r="H530" s="41"/>
      <c r="I530" s="37" t="s">
        <v>80</v>
      </c>
      <c r="J530" s="43"/>
      <c r="K530" s="94"/>
      <c r="L530" s="94" t="s">
        <v>81</v>
      </c>
      <c r="M530" s="94"/>
      <c r="N530" s="44" t="str">
        <f t="shared" si="65"/>
        <v/>
      </c>
      <c r="O530" s="45" t="s">
        <v>82</v>
      </c>
      <c r="P530" s="96" t="s">
        <v>84</v>
      </c>
      <c r="Q530" s="96">
        <v>10</v>
      </c>
      <c r="R530" s="47"/>
      <c r="S530" s="48"/>
      <c r="T530" s="82">
        <v>0.6875</v>
      </c>
      <c r="U530" s="82">
        <v>0.69444444444444453</v>
      </c>
      <c r="V530" s="97" t="s">
        <v>85</v>
      </c>
      <c r="W530" s="3"/>
      <c r="X530" s="72"/>
      <c r="Y530" s="79"/>
      <c r="Z530" s="114" t="s">
        <v>89</v>
      </c>
      <c r="AA530" s="3"/>
      <c r="AC530" s="50"/>
      <c r="AD530" s="50"/>
      <c r="AE530" s="3" t="s">
        <v>83</v>
      </c>
      <c r="AF530" s="51"/>
      <c r="AG530" s="52" t="str">
        <f t="shared" ca="1" si="67"/>
        <v/>
      </c>
      <c r="AI530" s="54"/>
      <c r="AJ530" s="3"/>
      <c r="AK530" s="3">
        <v>1</v>
      </c>
      <c r="AL530" s="3"/>
      <c r="AM530" s="4"/>
      <c r="AN530" s="4"/>
      <c r="AO530" s="3"/>
      <c r="AP530" s="4"/>
      <c r="AQ530" s="3"/>
      <c r="AR530" s="3"/>
      <c r="AS530" s="3"/>
    </row>
    <row r="531" spans="1:45" s="53" customFormat="1" ht="19.5" hidden="1" customHeight="1">
      <c r="A531" s="35" t="e">
        <f t="shared" si="66"/>
        <v>#REF!</v>
      </c>
      <c r="B531" s="81"/>
      <c r="C531" s="37"/>
      <c r="D531" s="46"/>
      <c r="E531" s="37"/>
      <c r="F531" s="37"/>
      <c r="G531" s="37"/>
      <c r="H531" s="41"/>
      <c r="I531" s="37" t="s">
        <v>80</v>
      </c>
      <c r="J531" s="43"/>
      <c r="K531" s="94"/>
      <c r="L531" s="94" t="s">
        <v>81</v>
      </c>
      <c r="M531" s="98"/>
      <c r="N531" s="44" t="str">
        <f t="shared" si="65"/>
        <v/>
      </c>
      <c r="O531" s="45" t="s">
        <v>82</v>
      </c>
      <c r="P531" s="96" t="s">
        <v>84</v>
      </c>
      <c r="Q531" s="96">
        <v>10</v>
      </c>
      <c r="R531" s="47"/>
      <c r="S531" s="48"/>
      <c r="T531" s="82">
        <v>0.6875</v>
      </c>
      <c r="U531" s="82">
        <v>0.69444444444444453</v>
      </c>
      <c r="V531" s="97" t="s">
        <v>85</v>
      </c>
      <c r="W531" s="3"/>
      <c r="X531" s="72"/>
      <c r="Y531" s="99">
        <v>0.69097222222222221</v>
      </c>
      <c r="Z531" s="115">
        <v>0.69791666666666663</v>
      </c>
      <c r="AA531" s="83"/>
      <c r="AB531" s="101"/>
      <c r="AC531" s="50"/>
      <c r="AD531" s="50"/>
      <c r="AE531" s="3" t="s">
        <v>83</v>
      </c>
      <c r="AF531" s="51"/>
      <c r="AG531" s="52" t="str">
        <f t="shared" ca="1" si="67"/>
        <v/>
      </c>
      <c r="AI531" s="54"/>
      <c r="AJ531" s="3"/>
      <c r="AK531" s="3">
        <v>1</v>
      </c>
      <c r="AL531" s="3"/>
      <c r="AM531" s="4"/>
      <c r="AN531" s="4"/>
      <c r="AO531" s="3"/>
      <c r="AP531" s="4"/>
      <c r="AQ531" s="3"/>
      <c r="AR531" s="3"/>
      <c r="AS531" s="3"/>
    </row>
    <row r="532" spans="1:45" s="53" customFormat="1" ht="19.5" hidden="1" customHeight="1">
      <c r="A532" s="35" t="e">
        <f t="shared" si="66"/>
        <v>#REF!</v>
      </c>
      <c r="B532" s="81"/>
      <c r="C532" s="102"/>
      <c r="D532" s="46"/>
      <c r="E532" s="3"/>
      <c r="F532" s="3"/>
      <c r="G532" s="3"/>
      <c r="H532" s="41"/>
      <c r="I532" s="37" t="s">
        <v>80</v>
      </c>
      <c r="J532" s="43"/>
      <c r="K532" s="94"/>
      <c r="L532" s="94" t="s">
        <v>81</v>
      </c>
      <c r="M532" s="98"/>
      <c r="N532" s="44" t="str">
        <f t="shared" si="65"/>
        <v/>
      </c>
      <c r="O532" s="45" t="s">
        <v>82</v>
      </c>
      <c r="P532" s="96" t="s">
        <v>84</v>
      </c>
      <c r="Q532" s="96">
        <v>10</v>
      </c>
      <c r="R532" s="47"/>
      <c r="S532" s="48"/>
      <c r="T532" s="82">
        <v>0.6875</v>
      </c>
      <c r="U532" s="82">
        <v>0.69444444444444453</v>
      </c>
      <c r="V532" s="97" t="s">
        <v>85</v>
      </c>
      <c r="W532" s="3"/>
      <c r="X532" s="106" t="s">
        <v>90</v>
      </c>
      <c r="Y532" s="99">
        <v>0.69097222222222221</v>
      </c>
      <c r="Z532" s="91">
        <v>0.69791666666666663</v>
      </c>
      <c r="AA532" s="83" t="s">
        <v>91</v>
      </c>
      <c r="AB532" s="73"/>
      <c r="AC532" s="103"/>
      <c r="AD532" s="103"/>
      <c r="AE532" s="3" t="s">
        <v>83</v>
      </c>
      <c r="AF532" s="51"/>
      <c r="AG532" s="52" t="str">
        <f t="shared" ca="1" si="67"/>
        <v/>
      </c>
      <c r="AI532" s="54"/>
      <c r="AJ532" s="3"/>
      <c r="AK532" s="3">
        <v>1</v>
      </c>
      <c r="AL532" s="3"/>
      <c r="AM532" s="4"/>
      <c r="AN532" s="4"/>
      <c r="AO532" s="3"/>
      <c r="AP532" s="4"/>
      <c r="AQ532" s="3"/>
      <c r="AR532" s="3"/>
      <c r="AS532" s="3"/>
    </row>
    <row r="533" spans="1:45" ht="19.5" hidden="1" customHeight="1">
      <c r="A533" s="35" t="e">
        <f t="shared" si="66"/>
        <v>#REF!</v>
      </c>
      <c r="C533" s="102"/>
      <c r="D533" s="116"/>
      <c r="I533" s="89" t="s">
        <v>80</v>
      </c>
      <c r="J533" s="90"/>
      <c r="K533" s="94"/>
      <c r="L533" s="94" t="s">
        <v>81</v>
      </c>
      <c r="M533" s="98"/>
      <c r="N533" s="44" t="str">
        <f t="shared" si="65"/>
        <v/>
      </c>
      <c r="O533" s="45" t="s">
        <v>82</v>
      </c>
      <c r="P533" s="116" t="s">
        <v>84</v>
      </c>
      <c r="Q533" s="116">
        <v>10</v>
      </c>
      <c r="R533" s="47"/>
      <c r="T533" s="82">
        <v>0.6875</v>
      </c>
      <c r="U533" s="82">
        <v>0.69444444444444453</v>
      </c>
      <c r="V533" s="97" t="s">
        <v>85</v>
      </c>
      <c r="X533" s="117" t="s">
        <v>90</v>
      </c>
      <c r="Y533" s="99">
        <v>0.69097222222222221</v>
      </c>
      <c r="Z533" s="99">
        <v>0.69791666666666663</v>
      </c>
      <c r="AA533" s="89" t="s">
        <v>67</v>
      </c>
      <c r="AB533" s="73"/>
      <c r="AE533" s="3" t="s">
        <v>83</v>
      </c>
      <c r="AF533" s="51"/>
      <c r="AG533" s="52" t="str">
        <f t="shared" ca="1" si="67"/>
        <v/>
      </c>
      <c r="AI533" s="54"/>
      <c r="AK533" s="3">
        <v>1</v>
      </c>
      <c r="AP533" s="4"/>
    </row>
    <row r="534" spans="1:45" ht="19.5" hidden="1" customHeight="1">
      <c r="A534" s="35" t="e">
        <f t="shared" si="66"/>
        <v>#REF!</v>
      </c>
      <c r="I534" s="37" t="s">
        <v>80</v>
      </c>
      <c r="J534" s="43"/>
      <c r="K534" s="94"/>
      <c r="L534" s="94" t="s">
        <v>81</v>
      </c>
      <c r="M534" s="98"/>
      <c r="N534" s="44" t="str">
        <f t="shared" si="65"/>
        <v/>
      </c>
      <c r="O534" s="45" t="s">
        <v>82</v>
      </c>
      <c r="P534" s="96" t="s">
        <v>84</v>
      </c>
      <c r="Q534" s="96">
        <v>10</v>
      </c>
      <c r="R534" s="47"/>
      <c r="T534" s="82">
        <v>0.6875</v>
      </c>
      <c r="U534" s="82">
        <v>0.69444444444444453</v>
      </c>
      <c r="V534" s="97" t="s">
        <v>85</v>
      </c>
      <c r="X534" s="106" t="s">
        <v>90</v>
      </c>
      <c r="Y534" s="99">
        <v>0.69097222222222221</v>
      </c>
      <c r="Z534" s="91">
        <v>0.69791666666666663</v>
      </c>
      <c r="AA534" s="83" t="s">
        <v>105</v>
      </c>
      <c r="AB534" s="73"/>
      <c r="AD534" s="118"/>
      <c r="AE534" s="3" t="str">
        <f t="shared" ref="AE534:AE539" si="68">IF(OR(V534="電話不通 x2",V534="DS判断"),"DS確認→U列入力",IF(V534="希望","U列入力",IF(V534="拒否","DS確認",IF(V534="外国語","DS確認",IF(V534="電話不通 x1","ORM再架電","-")))))</f>
        <v>-</v>
      </c>
      <c r="AF534" s="51"/>
      <c r="AG534" s="52" t="str">
        <f t="shared" ca="1" si="67"/>
        <v/>
      </c>
      <c r="AI534" s="54"/>
      <c r="AK534" s="3">
        <v>1</v>
      </c>
      <c r="AP534" s="4"/>
    </row>
    <row r="535" spans="1:45" ht="19.5" hidden="1" customHeight="1">
      <c r="A535" s="35" t="e">
        <f t="shared" si="66"/>
        <v>#REF!</v>
      </c>
      <c r="I535" s="37" t="s">
        <v>80</v>
      </c>
      <c r="J535" s="43"/>
      <c r="K535" s="94"/>
      <c r="L535" s="94" t="s">
        <v>81</v>
      </c>
      <c r="M535" s="98"/>
      <c r="N535" s="44" t="str">
        <f t="shared" si="65"/>
        <v/>
      </c>
      <c r="O535" s="45" t="s">
        <v>82</v>
      </c>
      <c r="P535" s="96" t="s">
        <v>84</v>
      </c>
      <c r="Q535" s="96">
        <v>10</v>
      </c>
      <c r="R535" s="47"/>
      <c r="T535" s="82">
        <v>0.6875</v>
      </c>
      <c r="U535" s="82">
        <v>0.69444444444444453</v>
      </c>
      <c r="V535" s="97" t="s">
        <v>85</v>
      </c>
      <c r="X535" s="106" t="s">
        <v>90</v>
      </c>
      <c r="Y535" s="99">
        <v>0.69097222222222221</v>
      </c>
      <c r="Z535" s="99">
        <v>0.69791666666666663</v>
      </c>
      <c r="AA535" s="63" t="s">
        <v>73</v>
      </c>
      <c r="AB535" s="73"/>
      <c r="AD535" s="118"/>
      <c r="AE535" s="3" t="str">
        <f t="shared" si="68"/>
        <v>-</v>
      </c>
      <c r="AF535" s="51"/>
      <c r="AG535" s="52" t="str">
        <f t="shared" ca="1" si="67"/>
        <v/>
      </c>
      <c r="AI535" s="54"/>
      <c r="AK535" s="3">
        <v>1</v>
      </c>
      <c r="AP535" s="4"/>
    </row>
    <row r="536" spans="1:45" ht="19.5" hidden="1" customHeight="1">
      <c r="A536" s="35" t="e">
        <f t="shared" si="66"/>
        <v>#REF!</v>
      </c>
      <c r="I536" s="37" t="s">
        <v>80</v>
      </c>
      <c r="J536" s="43"/>
      <c r="K536" s="94"/>
      <c r="L536" s="94" t="s">
        <v>81</v>
      </c>
      <c r="M536" s="98"/>
      <c r="N536" s="44" t="str">
        <f t="shared" si="65"/>
        <v/>
      </c>
      <c r="O536" s="45" t="s">
        <v>82</v>
      </c>
      <c r="P536" s="96" t="s">
        <v>84</v>
      </c>
      <c r="Q536" s="96">
        <v>10</v>
      </c>
      <c r="R536" s="47"/>
      <c r="T536" s="82">
        <v>0.6875</v>
      </c>
      <c r="U536" s="82">
        <v>0.69444444444444453</v>
      </c>
      <c r="V536" s="97" t="s">
        <v>85</v>
      </c>
      <c r="X536" s="106" t="s">
        <v>90</v>
      </c>
      <c r="Y536" s="99">
        <v>0.69097222222222221</v>
      </c>
      <c r="Z536" s="99">
        <v>0.69791666666666663</v>
      </c>
      <c r="AA536" s="92" t="s">
        <v>76</v>
      </c>
      <c r="AB536" s="73"/>
      <c r="AE536" s="3" t="str">
        <f t="shared" si="68"/>
        <v>-</v>
      </c>
      <c r="AF536" s="51"/>
      <c r="AG536" s="52" t="str">
        <f t="shared" ca="1" si="67"/>
        <v/>
      </c>
      <c r="AI536" s="54"/>
      <c r="AK536" s="3">
        <v>1</v>
      </c>
      <c r="AP536" s="4"/>
    </row>
    <row r="537" spans="1:45" ht="19.5" hidden="1" customHeight="1">
      <c r="A537" s="35" t="e">
        <f t="shared" si="66"/>
        <v>#REF!</v>
      </c>
      <c r="N537" s="44" t="str">
        <f t="shared" si="65"/>
        <v/>
      </c>
      <c r="R537" s="47"/>
      <c r="AE537" s="3" t="str">
        <f t="shared" si="68"/>
        <v>-</v>
      </c>
      <c r="AF537" s="51"/>
      <c r="AG537" s="52" t="str">
        <f t="shared" ca="1" si="67"/>
        <v/>
      </c>
      <c r="AI537" s="54"/>
      <c r="AK537" s="3">
        <v>1</v>
      </c>
      <c r="AP537" s="4"/>
    </row>
    <row r="538" spans="1:45" ht="19.5" hidden="1" customHeight="1">
      <c r="A538" s="35" t="e">
        <f t="shared" si="66"/>
        <v>#REF!</v>
      </c>
      <c r="N538" s="44" t="str">
        <f t="shared" si="65"/>
        <v/>
      </c>
      <c r="R538" s="47"/>
      <c r="AE538" s="3" t="str">
        <f t="shared" si="68"/>
        <v>-</v>
      </c>
      <c r="AF538" s="51"/>
      <c r="AG538" s="52" t="str">
        <f t="shared" ca="1" si="67"/>
        <v/>
      </c>
      <c r="AI538" s="54"/>
      <c r="AK538" s="3">
        <v>1</v>
      </c>
      <c r="AP538" s="4"/>
    </row>
    <row r="539" spans="1:45" s="53" customFormat="1" ht="19.5" hidden="1" customHeight="1">
      <c r="A539" s="35" t="e">
        <f t="shared" si="66"/>
        <v>#REF!</v>
      </c>
      <c r="B539" s="81"/>
      <c r="C539" s="3"/>
      <c r="D539" s="46"/>
      <c r="E539" s="3"/>
      <c r="F539" s="3"/>
      <c r="G539" s="3"/>
      <c r="H539" s="41"/>
      <c r="I539" s="3"/>
      <c r="J539" s="78"/>
      <c r="K539" s="78"/>
      <c r="L539" s="78"/>
      <c r="M539" s="78"/>
      <c r="N539" s="44" t="str">
        <f t="shared" si="65"/>
        <v/>
      </c>
      <c r="O539" s="45"/>
      <c r="P539" s="3"/>
      <c r="Q539" s="46"/>
      <c r="R539" s="47"/>
      <c r="S539" s="48"/>
      <c r="T539" s="80"/>
      <c r="U539" s="80"/>
      <c r="V539" s="3"/>
      <c r="W539" s="3"/>
      <c r="X539" s="50"/>
      <c r="Y539" s="80"/>
      <c r="Z539" s="80"/>
      <c r="AA539" s="3"/>
      <c r="AC539" s="50"/>
      <c r="AD539" s="50"/>
      <c r="AE539" s="3" t="str">
        <f t="shared" si="68"/>
        <v>-</v>
      </c>
      <c r="AF539" s="51"/>
      <c r="AG539" s="52" t="str">
        <f t="shared" ca="1" si="67"/>
        <v/>
      </c>
      <c r="AI539" s="54"/>
      <c r="AJ539" s="3"/>
      <c r="AK539" s="3">
        <v>1</v>
      </c>
      <c r="AL539" s="3"/>
      <c r="AM539" s="4"/>
      <c r="AN539" s="4"/>
      <c r="AO539" s="3"/>
      <c r="AP539" s="4"/>
      <c r="AQ539" s="3"/>
      <c r="AR539" s="3"/>
      <c r="AS539" s="3"/>
    </row>
    <row r="540" spans="1:45" s="53" customFormat="1" ht="19.5" hidden="1" customHeight="1">
      <c r="A540" s="35" t="e">
        <f t="shared" si="66"/>
        <v>#REF!</v>
      </c>
      <c r="B540" s="81"/>
      <c r="C540" s="3"/>
      <c r="D540" s="347" t="s">
        <v>106</v>
      </c>
      <c r="E540" s="3"/>
      <c r="F540" s="3"/>
      <c r="G540" s="3"/>
      <c r="H540" s="41"/>
      <c r="I540" s="3"/>
      <c r="J540" s="78"/>
      <c r="K540" s="78"/>
      <c r="L540" s="78"/>
      <c r="M540" s="78"/>
      <c r="N540" s="44"/>
      <c r="O540" s="45"/>
      <c r="P540" s="3"/>
      <c r="Q540" s="46"/>
      <c r="R540" s="47"/>
      <c r="S540" s="48"/>
      <c r="T540" s="80"/>
      <c r="U540" s="80"/>
      <c r="V540" s="3"/>
      <c r="W540" s="3"/>
      <c r="X540" s="50"/>
      <c r="Y540" s="80"/>
      <c r="Z540" s="80"/>
      <c r="AA540" s="3"/>
      <c r="AC540" s="50"/>
      <c r="AD540" s="50"/>
      <c r="AE540" s="3"/>
      <c r="AF540" s="51"/>
      <c r="AG540" s="52"/>
      <c r="AI540" s="54"/>
      <c r="AJ540" s="3"/>
      <c r="AK540" s="3">
        <v>1</v>
      </c>
      <c r="AL540" s="3"/>
      <c r="AM540" s="4"/>
      <c r="AN540" s="4"/>
      <c r="AO540" s="3"/>
      <c r="AP540" s="4"/>
      <c r="AQ540" s="3"/>
      <c r="AR540" s="3"/>
      <c r="AS540" s="3"/>
    </row>
    <row r="541" spans="1:45" s="53" customFormat="1" ht="19.5" hidden="1" customHeight="1">
      <c r="A541" s="35" t="e">
        <f t="shared" si="66"/>
        <v>#REF!</v>
      </c>
      <c r="B541" s="81"/>
      <c r="C541" s="3"/>
      <c r="D541" s="347"/>
      <c r="E541" s="3"/>
      <c r="F541" s="3"/>
      <c r="G541" s="3"/>
      <c r="H541" s="41"/>
      <c r="I541" s="3"/>
      <c r="J541" s="78"/>
      <c r="K541" s="78"/>
      <c r="L541" s="78"/>
      <c r="M541" s="78"/>
      <c r="N541" s="44"/>
      <c r="O541" s="45"/>
      <c r="P541" s="3"/>
      <c r="Q541" s="46"/>
      <c r="R541" s="47"/>
      <c r="S541" s="48"/>
      <c r="T541" s="80"/>
      <c r="U541" s="80"/>
      <c r="V541" s="3"/>
      <c r="W541" s="3"/>
      <c r="X541" s="50"/>
      <c r="Y541" s="80"/>
      <c r="Z541" s="80"/>
      <c r="AA541" s="3"/>
      <c r="AC541" s="50"/>
      <c r="AD541" s="50"/>
      <c r="AE541" s="3"/>
      <c r="AF541" s="51"/>
      <c r="AG541" s="52"/>
      <c r="AI541" s="54"/>
      <c r="AJ541" s="3"/>
      <c r="AK541" s="3">
        <v>1</v>
      </c>
      <c r="AL541" s="3"/>
      <c r="AM541" s="4"/>
      <c r="AN541" s="4"/>
      <c r="AO541" s="3"/>
      <c r="AP541" s="4"/>
      <c r="AQ541" s="3"/>
      <c r="AR541" s="3"/>
      <c r="AS541" s="3"/>
    </row>
    <row r="542" spans="1:45" s="53" customFormat="1" ht="19.5" hidden="1" customHeight="1">
      <c r="A542" s="35" t="e">
        <f t="shared" si="66"/>
        <v>#REF!</v>
      </c>
      <c r="B542" s="81"/>
      <c r="C542" s="3"/>
      <c r="D542" s="46"/>
      <c r="E542" s="3"/>
      <c r="F542" s="3"/>
      <c r="G542" s="3"/>
      <c r="H542" s="41"/>
      <c r="I542" s="3"/>
      <c r="J542" s="78"/>
      <c r="K542" s="78"/>
      <c r="L542" s="78"/>
      <c r="M542" s="78"/>
      <c r="N542" s="44" t="str">
        <f t="shared" ref="N542:N572" si="69">IF(C542="","",C542)</f>
        <v/>
      </c>
      <c r="O542" s="45"/>
      <c r="P542" s="3"/>
      <c r="Q542" s="46"/>
      <c r="R542" s="47"/>
      <c r="S542" s="48"/>
      <c r="T542" s="80"/>
      <c r="U542" s="80"/>
      <c r="V542" s="3"/>
      <c r="W542" s="3"/>
      <c r="X542" s="50"/>
      <c r="Y542" s="80"/>
      <c r="Z542" s="80"/>
      <c r="AA542" s="3"/>
      <c r="AC542" s="50"/>
      <c r="AD542" s="50"/>
      <c r="AE542" s="3" t="str">
        <f t="shared" ref="AE542:AE572" si="70">IF(OR(V542="電話不通 x2",V542="DS判断"),"DS確認→U列入力",IF(V542="希望","U列入力",IF(V542="拒否","DS確認",IF(V542="外国語","DS確認",IF(V542="電話不通 x1","ORM再架電","-")))))</f>
        <v>-</v>
      </c>
      <c r="AF542" s="51"/>
      <c r="AG542" s="52" t="str">
        <f t="shared" ref="AG542:AG548" ca="1" si="71">IF(AF542="","",IF($AF542+TIME(0,30,0)&lt;(TEXT(NOW(),"h:mm:ss")*1),$AF542+TIME(0,45,0),$AF542+TIME(0,30,0)))</f>
        <v/>
      </c>
      <c r="AI542" s="54"/>
      <c r="AJ542" s="3"/>
      <c r="AK542" s="3">
        <v>1</v>
      </c>
      <c r="AL542" s="3"/>
      <c r="AM542" s="4"/>
      <c r="AN542" s="4"/>
      <c r="AO542" s="3"/>
      <c r="AP542" s="4"/>
      <c r="AQ542" s="3"/>
      <c r="AR542" s="3"/>
      <c r="AS542" s="3"/>
    </row>
    <row r="543" spans="1:45" s="53" customFormat="1" ht="19.5" hidden="1" customHeight="1">
      <c r="A543" s="35" t="e">
        <f t="shared" si="66"/>
        <v>#REF!</v>
      </c>
      <c r="B543" s="81"/>
      <c r="C543" s="3"/>
      <c r="D543" s="38" t="s">
        <v>88</v>
      </c>
      <c r="E543" s="3"/>
      <c r="F543" s="3"/>
      <c r="G543" s="3"/>
      <c r="H543" s="41"/>
      <c r="I543" s="37" t="s">
        <v>50</v>
      </c>
      <c r="J543" s="43"/>
      <c r="K543" s="43"/>
      <c r="L543" s="43" t="s">
        <v>52</v>
      </c>
      <c r="M543" s="78"/>
      <c r="N543" s="44" t="str">
        <f t="shared" si="69"/>
        <v/>
      </c>
      <c r="O543" s="45" t="s">
        <v>107</v>
      </c>
      <c r="P543" s="67"/>
      <c r="Q543" s="67"/>
      <c r="R543" s="68"/>
      <c r="S543" s="69"/>
      <c r="T543" s="79"/>
      <c r="U543" s="49"/>
      <c r="V543" s="3"/>
      <c r="W543" s="3"/>
      <c r="X543" s="50"/>
      <c r="Y543" s="80"/>
      <c r="Z543" s="80"/>
      <c r="AA543" s="3"/>
      <c r="AC543" s="50"/>
      <c r="AD543" s="50"/>
      <c r="AE543" s="3" t="str">
        <f t="shared" si="70"/>
        <v>-</v>
      </c>
      <c r="AF543" s="51"/>
      <c r="AG543" s="52" t="str">
        <f t="shared" ca="1" si="71"/>
        <v/>
      </c>
      <c r="AI543" s="54"/>
      <c r="AJ543" s="3"/>
      <c r="AK543" s="3">
        <v>1</v>
      </c>
      <c r="AL543" s="3"/>
      <c r="AM543" s="4"/>
      <c r="AN543" s="4"/>
      <c r="AO543" s="3"/>
      <c r="AP543" s="4"/>
      <c r="AQ543" s="3"/>
      <c r="AR543" s="3"/>
      <c r="AS543" s="3"/>
    </row>
    <row r="544" spans="1:45" s="53" customFormat="1" ht="19.5" hidden="1" customHeight="1">
      <c r="A544" s="35" t="e">
        <f t="shared" si="66"/>
        <v>#REF!</v>
      </c>
      <c r="B544" s="81"/>
      <c r="C544" s="3"/>
      <c r="D544" s="46"/>
      <c r="E544" s="3"/>
      <c r="F544" s="3"/>
      <c r="G544" s="3"/>
      <c r="H544" s="41"/>
      <c r="I544" s="37" t="s">
        <v>50</v>
      </c>
      <c r="J544" s="43"/>
      <c r="K544" s="43"/>
      <c r="L544" s="43" t="s">
        <v>52</v>
      </c>
      <c r="M544" s="78"/>
      <c r="N544" s="44" t="str">
        <f t="shared" si="69"/>
        <v/>
      </c>
      <c r="O544" s="45" t="s">
        <v>107</v>
      </c>
      <c r="P544" s="67"/>
      <c r="Q544" s="67"/>
      <c r="R544" s="68"/>
      <c r="S544" s="69"/>
      <c r="T544" s="82">
        <v>0.6875</v>
      </c>
      <c r="U544" s="79">
        <v>0.69444444444444453</v>
      </c>
      <c r="V544" s="83"/>
      <c r="W544" s="3"/>
      <c r="X544" s="50"/>
      <c r="Y544" s="80"/>
      <c r="Z544" s="80"/>
      <c r="AA544" s="3"/>
      <c r="AC544" s="50"/>
      <c r="AD544" s="50"/>
      <c r="AE544" s="3" t="str">
        <f t="shared" si="70"/>
        <v>-</v>
      </c>
      <c r="AF544" s="51"/>
      <c r="AG544" s="52" t="str">
        <f t="shared" ca="1" si="71"/>
        <v/>
      </c>
      <c r="AI544" s="54"/>
      <c r="AJ544" s="3"/>
      <c r="AK544" s="3">
        <v>1</v>
      </c>
      <c r="AL544" s="3"/>
      <c r="AM544" s="4"/>
      <c r="AN544" s="4"/>
      <c r="AO544" s="3"/>
      <c r="AP544" s="4"/>
      <c r="AQ544" s="3"/>
      <c r="AR544" s="3"/>
      <c r="AS544" s="3"/>
    </row>
    <row r="545" spans="1:45" s="53" customFormat="1" ht="19.5" hidden="1" customHeight="1">
      <c r="A545" s="35" t="e">
        <f t="shared" si="66"/>
        <v>#REF!</v>
      </c>
      <c r="B545" s="81"/>
      <c r="C545" s="3"/>
      <c r="D545" s="46"/>
      <c r="E545" s="3"/>
      <c r="F545" s="3"/>
      <c r="G545" s="3"/>
      <c r="H545" s="41"/>
      <c r="I545" s="37" t="s">
        <v>50</v>
      </c>
      <c r="J545" s="43"/>
      <c r="K545" s="43"/>
      <c r="L545" s="43" t="s">
        <v>52</v>
      </c>
      <c r="M545" s="78"/>
      <c r="N545" s="44" t="str">
        <f t="shared" si="69"/>
        <v/>
      </c>
      <c r="O545" s="45" t="s">
        <v>107</v>
      </c>
      <c r="P545" s="67"/>
      <c r="Q545" s="67"/>
      <c r="R545" s="68"/>
      <c r="S545" s="69"/>
      <c r="T545" s="82">
        <v>0.6875</v>
      </c>
      <c r="U545" s="82">
        <v>0.69444444444444453</v>
      </c>
      <c r="V545" s="97" t="s">
        <v>108</v>
      </c>
      <c r="W545" s="3"/>
      <c r="X545" s="106" t="s">
        <v>90</v>
      </c>
      <c r="Y545" s="85"/>
      <c r="Z545" s="85"/>
      <c r="AA545" s="83"/>
      <c r="AC545" s="50"/>
      <c r="AD545" s="50"/>
      <c r="AE545" s="3" t="str">
        <f t="shared" si="70"/>
        <v>-</v>
      </c>
      <c r="AF545" s="51"/>
      <c r="AG545" s="52" t="str">
        <f t="shared" ca="1" si="71"/>
        <v/>
      </c>
      <c r="AI545" s="54"/>
      <c r="AJ545" s="3"/>
      <c r="AK545" s="3">
        <v>1</v>
      </c>
      <c r="AL545" s="3"/>
      <c r="AM545" s="4"/>
      <c r="AN545" s="4"/>
      <c r="AO545" s="3"/>
      <c r="AP545" s="4"/>
      <c r="AQ545" s="3"/>
      <c r="AR545" s="3"/>
      <c r="AS545" s="3"/>
    </row>
    <row r="546" spans="1:45" s="53" customFormat="1" ht="19.5" hidden="1" customHeight="1">
      <c r="A546" s="35" t="e">
        <f t="shared" si="66"/>
        <v>#REF!</v>
      </c>
      <c r="B546" s="81"/>
      <c r="C546" s="3"/>
      <c r="D546" s="46"/>
      <c r="E546" s="3"/>
      <c r="F546" s="3"/>
      <c r="G546" s="3"/>
      <c r="H546" s="41"/>
      <c r="I546" s="37" t="s">
        <v>50</v>
      </c>
      <c r="J546" s="43"/>
      <c r="K546" s="43"/>
      <c r="L546" s="43" t="s">
        <v>52</v>
      </c>
      <c r="M546" s="78"/>
      <c r="N546" s="44" t="str">
        <f t="shared" si="69"/>
        <v/>
      </c>
      <c r="O546" s="45" t="s">
        <v>107</v>
      </c>
      <c r="P546" s="67"/>
      <c r="Q546" s="67"/>
      <c r="R546" s="68"/>
      <c r="S546" s="69"/>
      <c r="T546" s="82">
        <v>0.6875</v>
      </c>
      <c r="U546" s="82">
        <v>0.69444444444444453</v>
      </c>
      <c r="V546" s="97" t="s">
        <v>108</v>
      </c>
      <c r="W546" s="3"/>
      <c r="X546" s="106" t="s">
        <v>90</v>
      </c>
      <c r="Y546" s="85"/>
      <c r="Z546" s="85"/>
      <c r="AA546" s="83" t="s">
        <v>109</v>
      </c>
      <c r="AC546" s="50"/>
      <c r="AD546" s="50"/>
      <c r="AE546" s="3" t="str">
        <f t="shared" si="70"/>
        <v>-</v>
      </c>
      <c r="AF546" s="51"/>
      <c r="AG546" s="52" t="str">
        <f t="shared" ca="1" si="71"/>
        <v/>
      </c>
      <c r="AI546" s="54"/>
      <c r="AJ546" s="3"/>
      <c r="AK546" s="3">
        <v>1</v>
      </c>
      <c r="AL546" s="3"/>
      <c r="AM546" s="4"/>
      <c r="AN546" s="4"/>
      <c r="AO546" s="3"/>
      <c r="AP546" s="4"/>
      <c r="AQ546" s="3"/>
      <c r="AR546" s="3"/>
      <c r="AS546" s="3"/>
    </row>
    <row r="547" spans="1:45" s="53" customFormat="1" ht="19.5" hidden="1" customHeight="1">
      <c r="A547" s="35" t="e">
        <f t="shared" si="66"/>
        <v>#REF!</v>
      </c>
      <c r="B547" s="81"/>
      <c r="C547" s="3"/>
      <c r="D547" s="46"/>
      <c r="E547" s="3"/>
      <c r="F547" s="3"/>
      <c r="G547" s="3"/>
      <c r="H547" s="41"/>
      <c r="I547" s="37" t="s">
        <v>50</v>
      </c>
      <c r="J547" s="43"/>
      <c r="K547" s="43"/>
      <c r="L547" s="43" t="s">
        <v>52</v>
      </c>
      <c r="M547" s="78"/>
      <c r="N547" s="44" t="str">
        <f t="shared" si="69"/>
        <v/>
      </c>
      <c r="O547" s="45" t="s">
        <v>107</v>
      </c>
      <c r="P547" s="67"/>
      <c r="Q547" s="67"/>
      <c r="R547" s="68"/>
      <c r="S547" s="69"/>
      <c r="T547" s="82">
        <v>0.6875</v>
      </c>
      <c r="U547" s="82">
        <v>0.69444444444444453</v>
      </c>
      <c r="V547" s="97" t="s">
        <v>108</v>
      </c>
      <c r="W547" s="3"/>
      <c r="X547" s="106" t="s">
        <v>90</v>
      </c>
      <c r="Y547" s="85"/>
      <c r="Z547" s="85"/>
      <c r="AA547" s="97" t="s">
        <v>92</v>
      </c>
      <c r="AB547" s="73"/>
      <c r="AC547" s="50"/>
      <c r="AD547" s="50"/>
      <c r="AE547" s="3" t="str">
        <f t="shared" si="70"/>
        <v>-</v>
      </c>
      <c r="AF547" s="105"/>
      <c r="AG547" s="52" t="str">
        <f t="shared" ca="1" si="71"/>
        <v/>
      </c>
      <c r="AI547" s="54"/>
      <c r="AJ547" s="3"/>
      <c r="AK547" s="3">
        <v>1</v>
      </c>
      <c r="AL547" s="3"/>
      <c r="AM547" s="4"/>
      <c r="AN547" s="4"/>
      <c r="AO547" s="3"/>
      <c r="AP547" s="4"/>
      <c r="AQ547" s="3"/>
      <c r="AR547" s="3"/>
      <c r="AS547" s="3"/>
    </row>
    <row r="548" spans="1:45" s="53" customFormat="1" ht="19.5" hidden="1" customHeight="1">
      <c r="A548" s="35" t="e">
        <f t="shared" si="66"/>
        <v>#REF!</v>
      </c>
      <c r="B548" s="81"/>
      <c r="C548" s="3"/>
      <c r="D548" s="46"/>
      <c r="E548" s="3"/>
      <c r="F548" s="3"/>
      <c r="G548" s="3"/>
      <c r="H548" s="41"/>
      <c r="I548" s="37" t="s">
        <v>50</v>
      </c>
      <c r="J548" s="43"/>
      <c r="K548" s="43"/>
      <c r="L548" s="43" t="s">
        <v>52</v>
      </c>
      <c r="M548" s="78"/>
      <c r="N548" s="44" t="str">
        <f t="shared" si="69"/>
        <v/>
      </c>
      <c r="O548" s="45" t="s">
        <v>107</v>
      </c>
      <c r="P548" s="67"/>
      <c r="Q548" s="67"/>
      <c r="R548" s="68"/>
      <c r="S548" s="69"/>
      <c r="T548" s="82">
        <v>0.6875</v>
      </c>
      <c r="U548" s="82">
        <v>0.69444444444444453</v>
      </c>
      <c r="V548" s="97" t="s">
        <v>108</v>
      </c>
      <c r="W548" s="3"/>
      <c r="X548" s="106" t="s">
        <v>90</v>
      </c>
      <c r="Y548" s="85"/>
      <c r="Z548" s="85"/>
      <c r="AA548" s="97" t="s">
        <v>92</v>
      </c>
      <c r="AB548" s="73"/>
      <c r="AC548" s="50"/>
      <c r="AD548" s="50"/>
      <c r="AE548" s="3" t="str">
        <f t="shared" si="70"/>
        <v>-</v>
      </c>
      <c r="AF548" s="107">
        <v>0.70138888888888884</v>
      </c>
      <c r="AG548" s="52">
        <f t="shared" ca="1" si="71"/>
        <v>0.73263888888888884</v>
      </c>
      <c r="AI548" s="54"/>
      <c r="AJ548" s="3"/>
      <c r="AK548" s="3">
        <v>1</v>
      </c>
      <c r="AL548" s="3"/>
      <c r="AM548" s="4"/>
      <c r="AN548" s="4"/>
      <c r="AO548" s="3"/>
      <c r="AP548" s="4"/>
      <c r="AQ548" s="3"/>
      <c r="AR548" s="3"/>
      <c r="AS548" s="3"/>
    </row>
    <row r="549" spans="1:45" s="53" customFormat="1" ht="19.5" hidden="1" customHeight="1">
      <c r="A549" s="35" t="e">
        <f t="shared" si="66"/>
        <v>#REF!</v>
      </c>
      <c r="B549" s="81"/>
      <c r="C549" s="3"/>
      <c r="D549" s="46"/>
      <c r="E549" s="3"/>
      <c r="F549" s="3"/>
      <c r="G549" s="3"/>
      <c r="H549" s="41"/>
      <c r="I549" s="37" t="s">
        <v>50</v>
      </c>
      <c r="J549" s="43"/>
      <c r="K549" s="43"/>
      <c r="L549" s="43" t="s">
        <v>52</v>
      </c>
      <c r="M549" s="78"/>
      <c r="N549" s="44" t="str">
        <f t="shared" si="69"/>
        <v/>
      </c>
      <c r="O549" s="45" t="s">
        <v>107</v>
      </c>
      <c r="P549" s="67"/>
      <c r="Q549" s="67"/>
      <c r="R549" s="68"/>
      <c r="S549" s="69"/>
      <c r="T549" s="82">
        <v>0.6875</v>
      </c>
      <c r="U549" s="82">
        <v>0.69444444444444453</v>
      </c>
      <c r="V549" s="97" t="s">
        <v>108</v>
      </c>
      <c r="W549" s="3"/>
      <c r="X549" s="106" t="s">
        <v>90</v>
      </c>
      <c r="Y549" s="85"/>
      <c r="Z549" s="85"/>
      <c r="AA549" s="97" t="s">
        <v>92</v>
      </c>
      <c r="AB549" s="73"/>
      <c r="AC549" s="50"/>
      <c r="AD549" s="50"/>
      <c r="AE549" s="3" t="str">
        <f t="shared" si="70"/>
        <v>-</v>
      </c>
      <c r="AF549" s="107">
        <v>0.70138888888888884</v>
      </c>
      <c r="AG549" s="112">
        <v>0.70833333333333337</v>
      </c>
      <c r="AH549" s="101"/>
      <c r="AI549" s="54"/>
      <c r="AJ549" s="3"/>
      <c r="AK549" s="3">
        <v>1</v>
      </c>
      <c r="AL549" s="3"/>
      <c r="AM549" s="4"/>
      <c r="AN549" s="4"/>
      <c r="AO549" s="3"/>
      <c r="AP549" s="4"/>
      <c r="AQ549" s="3"/>
      <c r="AR549" s="3"/>
      <c r="AS549" s="3"/>
    </row>
    <row r="550" spans="1:45" s="53" customFormat="1" ht="19.5" hidden="1" customHeight="1">
      <c r="A550" s="35" t="e">
        <f t="shared" si="66"/>
        <v>#REF!</v>
      </c>
      <c r="B550" s="81"/>
      <c r="C550" s="3"/>
      <c r="D550" s="46"/>
      <c r="E550" s="3"/>
      <c r="F550" s="3"/>
      <c r="G550" s="3"/>
      <c r="H550" s="41"/>
      <c r="I550" s="37" t="s">
        <v>50</v>
      </c>
      <c r="J550" s="43"/>
      <c r="K550" s="43"/>
      <c r="L550" s="43" t="s">
        <v>52</v>
      </c>
      <c r="M550" s="78"/>
      <c r="N550" s="44" t="str">
        <f t="shared" si="69"/>
        <v/>
      </c>
      <c r="O550" s="45" t="s">
        <v>107</v>
      </c>
      <c r="P550" s="67"/>
      <c r="Q550" s="67"/>
      <c r="R550" s="68"/>
      <c r="S550" s="69"/>
      <c r="T550" s="82">
        <v>0.6875</v>
      </c>
      <c r="U550" s="82">
        <v>0.69444444444444453</v>
      </c>
      <c r="V550" s="97" t="s">
        <v>108</v>
      </c>
      <c r="W550" s="3"/>
      <c r="X550" s="106" t="s">
        <v>90</v>
      </c>
      <c r="Y550" s="85"/>
      <c r="Z550" s="85"/>
      <c r="AA550" s="97" t="s">
        <v>92</v>
      </c>
      <c r="AB550" s="73"/>
      <c r="AC550" s="50"/>
      <c r="AD550" s="50"/>
      <c r="AE550" s="3" t="str">
        <f t="shared" si="70"/>
        <v>-</v>
      </c>
      <c r="AF550" s="107">
        <v>0.70138888888888884</v>
      </c>
      <c r="AG550" s="112">
        <v>0.70833333333333337</v>
      </c>
      <c r="AH550" s="113">
        <v>15</v>
      </c>
      <c r="AI550" s="54"/>
      <c r="AJ550" s="3"/>
      <c r="AK550" s="3">
        <v>1</v>
      </c>
      <c r="AL550" s="3"/>
      <c r="AM550" s="4"/>
      <c r="AN550" s="4"/>
      <c r="AO550" s="3"/>
      <c r="AP550" s="4"/>
      <c r="AQ550" s="3"/>
      <c r="AR550" s="3"/>
      <c r="AS550" s="3"/>
    </row>
    <row r="551" spans="1:45" s="53" customFormat="1" ht="19.5" hidden="1" customHeight="1">
      <c r="A551" s="35" t="e">
        <f t="shared" si="66"/>
        <v>#REF!</v>
      </c>
      <c r="B551" s="81"/>
      <c r="C551" s="3"/>
      <c r="D551" s="46"/>
      <c r="E551" s="3"/>
      <c r="F551" s="3"/>
      <c r="G551" s="3"/>
      <c r="H551" s="41"/>
      <c r="I551" s="3"/>
      <c r="J551" s="78"/>
      <c r="K551" s="78"/>
      <c r="L551" s="78"/>
      <c r="M551" s="78"/>
      <c r="N551" s="44" t="str">
        <f t="shared" si="69"/>
        <v/>
      </c>
      <c r="O551" s="45"/>
      <c r="P551" s="3"/>
      <c r="Q551" s="46"/>
      <c r="R551" s="47"/>
      <c r="S551" s="48"/>
      <c r="T551" s="80"/>
      <c r="U551" s="80"/>
      <c r="V551" s="3"/>
      <c r="W551" s="3"/>
      <c r="X551" s="50"/>
      <c r="Y551" s="80"/>
      <c r="Z551" s="80"/>
      <c r="AA551" s="3"/>
      <c r="AC551" s="50"/>
      <c r="AD551" s="50"/>
      <c r="AE551" s="3" t="str">
        <f t="shared" si="70"/>
        <v>-</v>
      </c>
      <c r="AF551" s="51"/>
      <c r="AG551" s="52" t="str">
        <f t="shared" ref="AG551:AG558" ca="1" si="72">IF(AF551="","",IF($AF551+TIME(0,30,0)&lt;(TEXT(NOW(),"h:mm:ss")*1),$AF551+TIME(0,45,0),$AF551+TIME(0,30,0)))</f>
        <v/>
      </c>
      <c r="AI551" s="54"/>
      <c r="AJ551" s="3"/>
      <c r="AK551" s="3">
        <v>1</v>
      </c>
      <c r="AL551" s="3"/>
      <c r="AM551" s="4"/>
      <c r="AN551" s="4"/>
      <c r="AO551" s="3"/>
      <c r="AP551" s="4"/>
      <c r="AQ551" s="3"/>
      <c r="AR551" s="3"/>
      <c r="AS551" s="3"/>
    </row>
    <row r="552" spans="1:45" s="53" customFormat="1" ht="19.5" hidden="1" customHeight="1">
      <c r="A552" s="35" t="e">
        <f t="shared" si="66"/>
        <v>#REF!</v>
      </c>
      <c r="B552" s="81"/>
      <c r="C552" s="3"/>
      <c r="D552" s="46"/>
      <c r="E552" s="3"/>
      <c r="F552" s="3"/>
      <c r="G552" s="3"/>
      <c r="H552" s="41"/>
      <c r="I552" s="3"/>
      <c r="J552" s="78"/>
      <c r="K552" s="78"/>
      <c r="L552" s="78"/>
      <c r="M552" s="78"/>
      <c r="N552" s="44" t="str">
        <f t="shared" si="69"/>
        <v/>
      </c>
      <c r="O552" s="45"/>
      <c r="P552" s="3"/>
      <c r="Q552" s="46"/>
      <c r="R552" s="47"/>
      <c r="S552" s="48"/>
      <c r="T552" s="80"/>
      <c r="U552" s="80"/>
      <c r="V552" s="3"/>
      <c r="W552" s="3"/>
      <c r="X552" s="50"/>
      <c r="Y552" s="80"/>
      <c r="Z552" s="80"/>
      <c r="AA552" s="3"/>
      <c r="AC552" s="50"/>
      <c r="AD552" s="50"/>
      <c r="AE552" s="3" t="str">
        <f t="shared" si="70"/>
        <v>-</v>
      </c>
      <c r="AF552" s="51"/>
      <c r="AG552" s="52" t="str">
        <f t="shared" ca="1" si="72"/>
        <v/>
      </c>
      <c r="AI552" s="54"/>
      <c r="AJ552" s="3"/>
      <c r="AK552" s="3">
        <v>1</v>
      </c>
      <c r="AL552" s="3"/>
      <c r="AM552" s="4"/>
      <c r="AN552" s="4"/>
      <c r="AO552" s="3"/>
      <c r="AP552" s="4"/>
      <c r="AQ552" s="3"/>
      <c r="AR552" s="3"/>
      <c r="AS552" s="3"/>
    </row>
    <row r="553" spans="1:45" s="53" customFormat="1" ht="19.5" hidden="1" customHeight="1">
      <c r="A553" s="35" t="e">
        <f t="shared" si="66"/>
        <v>#REF!</v>
      </c>
      <c r="B553" s="81"/>
      <c r="C553" s="3"/>
      <c r="D553" s="38" t="s">
        <v>100</v>
      </c>
      <c r="E553" s="3"/>
      <c r="F553" s="3"/>
      <c r="G553" s="3"/>
      <c r="H553" s="41"/>
      <c r="I553" s="37" t="s">
        <v>50</v>
      </c>
      <c r="J553" s="43"/>
      <c r="K553" s="43"/>
      <c r="L553" s="43" t="s">
        <v>52</v>
      </c>
      <c r="M553" s="78"/>
      <c r="N553" s="44" t="str">
        <f t="shared" si="69"/>
        <v/>
      </c>
      <c r="O553" s="45" t="s">
        <v>107</v>
      </c>
      <c r="P553" s="67"/>
      <c r="Q553" s="67"/>
      <c r="R553" s="68"/>
      <c r="S553" s="69"/>
      <c r="T553" s="79"/>
      <c r="U553" s="49"/>
      <c r="V553" s="3"/>
      <c r="W553" s="3"/>
      <c r="X553" s="50"/>
      <c r="Y553" s="80"/>
      <c r="Z553" s="80"/>
      <c r="AA553" s="3"/>
      <c r="AC553" s="50"/>
      <c r="AD553" s="50"/>
      <c r="AE553" s="3" t="str">
        <f t="shared" si="70"/>
        <v>-</v>
      </c>
      <c r="AF553" s="51"/>
      <c r="AG553" s="52" t="str">
        <f t="shared" ca="1" si="72"/>
        <v/>
      </c>
      <c r="AI553" s="54"/>
      <c r="AJ553" s="3"/>
      <c r="AK553" s="3">
        <v>1</v>
      </c>
      <c r="AL553" s="3"/>
      <c r="AM553" s="4"/>
      <c r="AN553" s="4"/>
      <c r="AO553" s="3"/>
      <c r="AP553" s="4"/>
      <c r="AQ553" s="3"/>
      <c r="AR553" s="3"/>
      <c r="AS553" s="3"/>
    </row>
    <row r="554" spans="1:45" s="53" customFormat="1" ht="19.5" hidden="1" customHeight="1">
      <c r="A554" s="35" t="e">
        <f t="shared" si="66"/>
        <v>#REF!</v>
      </c>
      <c r="B554" s="81"/>
      <c r="C554" s="3"/>
      <c r="D554" s="38"/>
      <c r="E554" s="3"/>
      <c r="F554" s="3"/>
      <c r="G554" s="3"/>
      <c r="H554" s="41"/>
      <c r="I554" s="37" t="s">
        <v>50</v>
      </c>
      <c r="J554" s="43"/>
      <c r="K554" s="43"/>
      <c r="L554" s="43" t="s">
        <v>52</v>
      </c>
      <c r="M554" s="78"/>
      <c r="N554" s="44" t="str">
        <f t="shared" si="69"/>
        <v/>
      </c>
      <c r="O554" s="45" t="s">
        <v>107</v>
      </c>
      <c r="P554" s="67"/>
      <c r="Q554" s="67"/>
      <c r="R554" s="68"/>
      <c r="S554" s="69"/>
      <c r="T554" s="82">
        <v>0.6875</v>
      </c>
      <c r="U554" s="79">
        <v>0.69444444444444453</v>
      </c>
      <c r="V554" s="83"/>
      <c r="W554" s="3"/>
      <c r="X554" s="50"/>
      <c r="Y554" s="80"/>
      <c r="Z554" s="80"/>
      <c r="AA554" s="3"/>
      <c r="AC554" s="50"/>
      <c r="AD554" s="50"/>
      <c r="AE554" s="3" t="str">
        <f t="shared" si="70"/>
        <v>-</v>
      </c>
      <c r="AF554" s="51"/>
      <c r="AG554" s="52" t="str">
        <f t="shared" ca="1" si="72"/>
        <v/>
      </c>
      <c r="AI554" s="54"/>
      <c r="AJ554" s="3"/>
      <c r="AK554" s="3">
        <v>1</v>
      </c>
      <c r="AL554" s="3"/>
      <c r="AM554" s="4"/>
      <c r="AN554" s="4"/>
      <c r="AO554" s="3"/>
      <c r="AP554" s="4"/>
      <c r="AQ554" s="3"/>
      <c r="AR554" s="3"/>
      <c r="AS554" s="3"/>
    </row>
    <row r="555" spans="1:45" s="53" customFormat="1" ht="19.5" hidden="1" customHeight="1">
      <c r="A555" s="35" t="e">
        <f t="shared" si="66"/>
        <v>#REF!</v>
      </c>
      <c r="B555" s="81"/>
      <c r="C555" s="3"/>
      <c r="D555" s="46"/>
      <c r="E555" s="3"/>
      <c r="F555" s="3"/>
      <c r="G555" s="3"/>
      <c r="H555" s="41"/>
      <c r="I555" s="37" t="s">
        <v>50</v>
      </c>
      <c r="J555" s="43"/>
      <c r="K555" s="43"/>
      <c r="L555" s="43" t="s">
        <v>52</v>
      </c>
      <c r="M555" s="78"/>
      <c r="N555" s="44" t="str">
        <f t="shared" si="69"/>
        <v/>
      </c>
      <c r="O555" s="45" t="s">
        <v>107</v>
      </c>
      <c r="P555" s="67"/>
      <c r="Q555" s="67"/>
      <c r="R555" s="68"/>
      <c r="S555" s="69"/>
      <c r="T555" s="82">
        <v>0.6875</v>
      </c>
      <c r="U555" s="82">
        <v>0.69444444444444453</v>
      </c>
      <c r="V555" s="97" t="s">
        <v>108</v>
      </c>
      <c r="W555" s="3"/>
      <c r="X555" s="106" t="s">
        <v>90</v>
      </c>
      <c r="Y555" s="85"/>
      <c r="Z555" s="85"/>
      <c r="AA555" s="83"/>
      <c r="AC555" s="50"/>
      <c r="AD555" s="50"/>
      <c r="AE555" s="3" t="str">
        <f t="shared" si="70"/>
        <v>-</v>
      </c>
      <c r="AF555" s="51"/>
      <c r="AG555" s="52" t="str">
        <f t="shared" ca="1" si="72"/>
        <v/>
      </c>
      <c r="AI555" s="54"/>
      <c r="AJ555" s="3"/>
      <c r="AK555" s="3">
        <v>1</v>
      </c>
      <c r="AL555" s="3"/>
      <c r="AM555" s="4"/>
      <c r="AN555" s="4"/>
      <c r="AO555" s="3"/>
      <c r="AP555" s="4"/>
      <c r="AQ555" s="3"/>
      <c r="AR555" s="3"/>
      <c r="AS555" s="3"/>
    </row>
    <row r="556" spans="1:45" s="53" customFormat="1" ht="19.5" hidden="1" customHeight="1">
      <c r="A556" s="35" t="e">
        <f t="shared" si="66"/>
        <v>#REF!</v>
      </c>
      <c r="B556" s="81"/>
      <c r="C556" s="3"/>
      <c r="D556" s="116"/>
      <c r="E556" s="3"/>
      <c r="F556" s="3"/>
      <c r="G556" s="3"/>
      <c r="H556" s="41"/>
      <c r="I556" s="89" t="s">
        <v>50</v>
      </c>
      <c r="J556" s="90"/>
      <c r="K556" s="43"/>
      <c r="L556" s="90" t="s">
        <v>52</v>
      </c>
      <c r="M556" s="123"/>
      <c r="N556" s="44" t="str">
        <f t="shared" si="69"/>
        <v/>
      </c>
      <c r="O556" s="45" t="s">
        <v>107</v>
      </c>
      <c r="P556" s="67"/>
      <c r="Q556" s="67"/>
      <c r="R556" s="68"/>
      <c r="S556" s="69"/>
      <c r="T556" s="82">
        <v>0.6875</v>
      </c>
      <c r="U556" s="82">
        <v>0.69444444444444453</v>
      </c>
      <c r="V556" s="97" t="s">
        <v>108</v>
      </c>
      <c r="W556" s="3"/>
      <c r="X556" s="117" t="s">
        <v>90</v>
      </c>
      <c r="Y556" s="85"/>
      <c r="Z556" s="85"/>
      <c r="AA556" s="89" t="s">
        <v>109</v>
      </c>
      <c r="AC556" s="50"/>
      <c r="AD556" s="50"/>
      <c r="AE556" s="3" t="str">
        <f t="shared" si="70"/>
        <v>-</v>
      </c>
      <c r="AF556" s="51"/>
      <c r="AG556" s="52" t="str">
        <f t="shared" ca="1" si="72"/>
        <v/>
      </c>
      <c r="AI556" s="54"/>
      <c r="AJ556" s="3"/>
      <c r="AK556" s="3">
        <v>1</v>
      </c>
      <c r="AL556" s="3"/>
      <c r="AM556" s="4"/>
      <c r="AN556" s="4"/>
      <c r="AO556" s="3"/>
      <c r="AP556" s="4"/>
      <c r="AQ556" s="3"/>
      <c r="AR556" s="3"/>
      <c r="AS556" s="3"/>
    </row>
    <row r="557" spans="1:45" s="53" customFormat="1" ht="19.5" hidden="1" customHeight="1">
      <c r="A557" s="35" t="e">
        <f t="shared" si="66"/>
        <v>#REF!</v>
      </c>
      <c r="B557" s="81"/>
      <c r="C557" s="3"/>
      <c r="D557" s="46"/>
      <c r="E557" s="3"/>
      <c r="F557" s="3"/>
      <c r="G557" s="3"/>
      <c r="H557" s="41"/>
      <c r="I557" s="37" t="s">
        <v>50</v>
      </c>
      <c r="J557" s="43"/>
      <c r="K557" s="43"/>
      <c r="L557" s="43" t="s">
        <v>52</v>
      </c>
      <c r="M557" s="78"/>
      <c r="N557" s="44" t="str">
        <f t="shared" si="69"/>
        <v/>
      </c>
      <c r="O557" s="45" t="s">
        <v>107</v>
      </c>
      <c r="P557" s="67"/>
      <c r="Q557" s="67"/>
      <c r="R557" s="68"/>
      <c r="S557" s="69"/>
      <c r="T557" s="82">
        <v>0.6875</v>
      </c>
      <c r="U557" s="82">
        <v>0.69444444444444453</v>
      </c>
      <c r="V557" s="97" t="s">
        <v>108</v>
      </c>
      <c r="W557" s="3"/>
      <c r="X557" s="106" t="s">
        <v>90</v>
      </c>
      <c r="Y557" s="85"/>
      <c r="Z557" s="85"/>
      <c r="AA557" s="97" t="s">
        <v>92</v>
      </c>
      <c r="AB557" s="73"/>
      <c r="AC557" s="50"/>
      <c r="AD557" s="50"/>
      <c r="AE557" s="3" t="str">
        <f t="shared" si="70"/>
        <v>-</v>
      </c>
      <c r="AF557" s="105"/>
      <c r="AG557" s="52" t="str">
        <f t="shared" ca="1" si="72"/>
        <v/>
      </c>
      <c r="AI557" s="54"/>
      <c r="AJ557" s="3"/>
      <c r="AK557" s="3">
        <v>1</v>
      </c>
      <c r="AL557" s="3"/>
      <c r="AM557" s="4"/>
      <c r="AN557" s="4"/>
      <c r="AO557" s="3"/>
      <c r="AP557" s="4"/>
      <c r="AQ557" s="3"/>
      <c r="AR557" s="3"/>
      <c r="AS557" s="3"/>
    </row>
    <row r="558" spans="1:45" s="53" customFormat="1" ht="19.5" hidden="1" customHeight="1">
      <c r="A558" s="35" t="e">
        <f t="shared" si="66"/>
        <v>#REF!</v>
      </c>
      <c r="B558" s="81"/>
      <c r="C558" s="3"/>
      <c r="D558" s="46"/>
      <c r="E558" s="3"/>
      <c r="F558" s="3"/>
      <c r="G558" s="3"/>
      <c r="H558" s="41"/>
      <c r="I558" s="37" t="s">
        <v>50</v>
      </c>
      <c r="J558" s="43"/>
      <c r="K558" s="43"/>
      <c r="L558" s="43" t="s">
        <v>52</v>
      </c>
      <c r="M558" s="78"/>
      <c r="N558" s="44" t="str">
        <f t="shared" si="69"/>
        <v/>
      </c>
      <c r="O558" s="45" t="s">
        <v>107</v>
      </c>
      <c r="P558" s="67"/>
      <c r="Q558" s="67"/>
      <c r="R558" s="68"/>
      <c r="S558" s="69"/>
      <c r="T558" s="82">
        <v>0.6875</v>
      </c>
      <c r="U558" s="82">
        <v>0.69444444444444453</v>
      </c>
      <c r="V558" s="97" t="s">
        <v>108</v>
      </c>
      <c r="W558" s="3"/>
      <c r="X558" s="106" t="s">
        <v>90</v>
      </c>
      <c r="Y558" s="85"/>
      <c r="Z558" s="85"/>
      <c r="AA558" s="97" t="s">
        <v>92</v>
      </c>
      <c r="AB558" s="73"/>
      <c r="AC558" s="50"/>
      <c r="AD558" s="50"/>
      <c r="AE558" s="3" t="str">
        <f t="shared" si="70"/>
        <v>-</v>
      </c>
      <c r="AF558" s="107">
        <v>0.70138888888888884</v>
      </c>
      <c r="AG558" s="52">
        <f t="shared" ca="1" si="72"/>
        <v>0.73263888888888884</v>
      </c>
      <c r="AI558" s="54"/>
      <c r="AJ558" s="3"/>
      <c r="AK558" s="3">
        <v>1</v>
      </c>
      <c r="AL558" s="3"/>
      <c r="AM558" s="4"/>
      <c r="AN558" s="4"/>
      <c r="AO558" s="3"/>
      <c r="AP558" s="4"/>
      <c r="AQ558" s="3"/>
      <c r="AR558" s="3"/>
      <c r="AS558" s="3"/>
    </row>
    <row r="559" spans="1:45" s="53" customFormat="1" ht="19.5" hidden="1" customHeight="1">
      <c r="A559" s="35" t="e">
        <f t="shared" si="66"/>
        <v>#REF!</v>
      </c>
      <c r="B559" s="81"/>
      <c r="C559" s="3"/>
      <c r="D559" s="46"/>
      <c r="E559" s="3"/>
      <c r="F559" s="3"/>
      <c r="G559" s="3"/>
      <c r="H559" s="41"/>
      <c r="I559" s="37" t="s">
        <v>50</v>
      </c>
      <c r="J559" s="43"/>
      <c r="K559" s="43"/>
      <c r="L559" s="43" t="s">
        <v>52</v>
      </c>
      <c r="M559" s="78"/>
      <c r="N559" s="44" t="str">
        <f t="shared" si="69"/>
        <v/>
      </c>
      <c r="O559" s="45" t="s">
        <v>107</v>
      </c>
      <c r="P559" s="67"/>
      <c r="Q559" s="67"/>
      <c r="R559" s="68"/>
      <c r="S559" s="69"/>
      <c r="T559" s="82">
        <v>0.6875</v>
      </c>
      <c r="U559" s="82">
        <v>0.69444444444444453</v>
      </c>
      <c r="V559" s="97" t="s">
        <v>108</v>
      </c>
      <c r="W559" s="3"/>
      <c r="X559" s="118" t="s">
        <v>90</v>
      </c>
      <c r="Y559" s="85"/>
      <c r="Z559" s="85"/>
      <c r="AA559" s="63" t="s">
        <v>94</v>
      </c>
      <c r="AB559" s="73"/>
      <c r="AC559" s="50"/>
      <c r="AD559" s="50"/>
      <c r="AE559" s="3" t="str">
        <f t="shared" si="70"/>
        <v>-</v>
      </c>
      <c r="AF559" s="107">
        <v>0.70138888888888884</v>
      </c>
      <c r="AG559" s="112">
        <v>0.70833333333333337</v>
      </c>
      <c r="AH559" s="101"/>
      <c r="AI559" s="54"/>
      <c r="AJ559" s="3"/>
      <c r="AK559" s="3">
        <v>1</v>
      </c>
      <c r="AL559" s="3"/>
      <c r="AM559" s="4"/>
      <c r="AN559" s="4"/>
      <c r="AO559" s="3"/>
      <c r="AP559" s="4"/>
      <c r="AQ559" s="3"/>
      <c r="AR559" s="3"/>
      <c r="AS559" s="3"/>
    </row>
    <row r="560" spans="1:45" s="53" customFormat="1" ht="19.5" hidden="1" customHeight="1">
      <c r="A560" s="35" t="e">
        <f t="shared" si="66"/>
        <v>#REF!</v>
      </c>
      <c r="B560" s="81"/>
      <c r="C560" s="3"/>
      <c r="D560" s="46"/>
      <c r="E560" s="3"/>
      <c r="F560" s="3"/>
      <c r="G560" s="3"/>
      <c r="H560" s="41"/>
      <c r="I560" s="37" t="s">
        <v>50</v>
      </c>
      <c r="J560" s="43"/>
      <c r="K560" s="43"/>
      <c r="L560" s="43" t="s">
        <v>52</v>
      </c>
      <c r="M560" s="78"/>
      <c r="N560" s="44" t="str">
        <f t="shared" si="69"/>
        <v/>
      </c>
      <c r="O560" s="45" t="s">
        <v>58</v>
      </c>
      <c r="P560" s="67"/>
      <c r="Q560" s="67"/>
      <c r="R560" s="68"/>
      <c r="S560" s="69"/>
      <c r="T560" s="82">
        <v>0.6875</v>
      </c>
      <c r="U560" s="82">
        <v>0.69444444444444453</v>
      </c>
      <c r="V560" s="97" t="s">
        <v>108</v>
      </c>
      <c r="W560" s="71"/>
      <c r="X560" s="106" t="s">
        <v>90</v>
      </c>
      <c r="Y560" s="134"/>
      <c r="Z560" s="134"/>
      <c r="AA560" s="71" t="s">
        <v>94</v>
      </c>
      <c r="AB560" s="73"/>
      <c r="AC560" s="50"/>
      <c r="AD560" s="72"/>
      <c r="AE560" s="71" t="str">
        <f t="shared" si="70"/>
        <v>-</v>
      </c>
      <c r="AF560" s="74">
        <v>0.70138888888888884</v>
      </c>
      <c r="AG560" s="112">
        <v>0.70833333333333337</v>
      </c>
      <c r="AH560" s="113">
        <v>15</v>
      </c>
      <c r="AI560" s="54"/>
      <c r="AJ560" s="3"/>
      <c r="AK560" s="3">
        <v>1</v>
      </c>
      <c r="AL560" s="3"/>
      <c r="AM560" s="4"/>
      <c r="AN560" s="4"/>
      <c r="AO560" s="3"/>
      <c r="AP560" s="4"/>
      <c r="AQ560" s="3"/>
      <c r="AR560" s="3"/>
      <c r="AS560" s="3"/>
    </row>
    <row r="561" spans="1:45" s="53" customFormat="1" ht="19.5" hidden="1" customHeight="1">
      <c r="A561" s="35" t="e">
        <f t="shared" si="66"/>
        <v>#REF!</v>
      </c>
      <c r="B561" s="81"/>
      <c r="C561" s="3"/>
      <c r="D561" s="46"/>
      <c r="E561" s="3"/>
      <c r="F561" s="3"/>
      <c r="G561" s="3"/>
      <c r="H561" s="41"/>
      <c r="I561" s="3"/>
      <c r="J561" s="78"/>
      <c r="K561" s="78"/>
      <c r="L561" s="78"/>
      <c r="M561" s="78"/>
      <c r="N561" s="44" t="str">
        <f t="shared" si="69"/>
        <v/>
      </c>
      <c r="O561" s="45"/>
      <c r="P561" s="3"/>
      <c r="Q561" s="46"/>
      <c r="R561" s="47"/>
      <c r="S561" s="48"/>
      <c r="T561" s="80"/>
      <c r="U561" s="80"/>
      <c r="V561" s="3"/>
      <c r="W561" s="3"/>
      <c r="X561" s="50"/>
      <c r="Y561" s="80"/>
      <c r="Z561" s="80"/>
      <c r="AA561" s="3"/>
      <c r="AC561" s="50"/>
      <c r="AD561" s="50"/>
      <c r="AE561" s="3" t="str">
        <f t="shared" si="70"/>
        <v>-</v>
      </c>
      <c r="AF561" s="51"/>
      <c r="AG561" s="52" t="str">
        <f t="shared" ref="AG561:AG567" ca="1" si="73">IF(AF561="","",IF($AF561+TIME(0,30,0)&lt;(TEXT(NOW(),"h:mm:ss")*1),$AF561+TIME(0,45,0),$AF561+TIME(0,30,0)))</f>
        <v/>
      </c>
      <c r="AI561" s="54"/>
      <c r="AJ561" s="3"/>
      <c r="AK561" s="3">
        <v>1</v>
      </c>
      <c r="AL561" s="3"/>
      <c r="AM561" s="4"/>
      <c r="AN561" s="4"/>
      <c r="AO561" s="3"/>
      <c r="AP561" s="4"/>
      <c r="AQ561" s="3"/>
      <c r="AR561" s="3"/>
      <c r="AS561" s="3"/>
    </row>
    <row r="562" spans="1:45" ht="19.5" hidden="1" customHeight="1">
      <c r="A562" s="35" t="e">
        <f t="shared" si="66"/>
        <v>#REF!</v>
      </c>
      <c r="N562" s="44" t="str">
        <f t="shared" si="69"/>
        <v/>
      </c>
      <c r="R562" s="47"/>
      <c r="AE562" s="3" t="str">
        <f t="shared" si="70"/>
        <v>-</v>
      </c>
      <c r="AF562" s="51"/>
      <c r="AG562" s="52" t="str">
        <f t="shared" ca="1" si="73"/>
        <v/>
      </c>
      <c r="AI562" s="54"/>
      <c r="AK562" s="3">
        <v>1</v>
      </c>
      <c r="AP562" s="4"/>
    </row>
    <row r="563" spans="1:45" ht="19.5" hidden="1" customHeight="1">
      <c r="A563" s="35" t="e">
        <f t="shared" si="66"/>
        <v>#REF!</v>
      </c>
      <c r="B563" s="36"/>
      <c r="C563" s="37"/>
      <c r="D563" s="38" t="s">
        <v>102</v>
      </c>
      <c r="E563" s="37"/>
      <c r="F563" s="39"/>
      <c r="G563" s="40"/>
      <c r="I563" s="37" t="s">
        <v>50</v>
      </c>
      <c r="J563" s="43"/>
      <c r="K563" s="43"/>
      <c r="L563" s="43" t="s">
        <v>52</v>
      </c>
      <c r="M563" s="43"/>
      <c r="N563" s="44" t="str">
        <f t="shared" si="69"/>
        <v/>
      </c>
      <c r="O563" s="45" t="s">
        <v>107</v>
      </c>
      <c r="P563" s="67"/>
      <c r="Q563" s="67"/>
      <c r="R563" s="68"/>
      <c r="S563" s="69"/>
      <c r="T563" s="79"/>
      <c r="U563" s="49"/>
      <c r="Y563" s="49"/>
      <c r="Z563" s="49"/>
      <c r="AE563" s="3" t="str">
        <f t="shared" si="70"/>
        <v>-</v>
      </c>
      <c r="AF563" s="51"/>
      <c r="AG563" s="52" t="str">
        <f t="shared" ca="1" si="73"/>
        <v/>
      </c>
      <c r="AI563" s="54"/>
      <c r="AK563" s="3">
        <v>1</v>
      </c>
      <c r="AP563" s="4"/>
    </row>
    <row r="564" spans="1:45" ht="19.5" hidden="1" customHeight="1">
      <c r="A564" s="35" t="e">
        <f t="shared" si="66"/>
        <v>#REF!</v>
      </c>
      <c r="B564" s="36"/>
      <c r="C564" s="37"/>
      <c r="D564" s="38"/>
      <c r="E564" s="37"/>
      <c r="F564" s="39"/>
      <c r="G564" s="40"/>
      <c r="I564" s="37" t="s">
        <v>50</v>
      </c>
      <c r="J564" s="43"/>
      <c r="K564" s="43"/>
      <c r="L564" s="43" t="s">
        <v>52</v>
      </c>
      <c r="M564" s="43"/>
      <c r="N564" s="44" t="str">
        <f t="shared" si="69"/>
        <v/>
      </c>
      <c r="O564" s="45" t="s">
        <v>107</v>
      </c>
      <c r="P564" s="67"/>
      <c r="Q564" s="67"/>
      <c r="R564" s="68"/>
      <c r="S564" s="69"/>
      <c r="T564" s="82">
        <v>0.6875</v>
      </c>
      <c r="U564" s="79">
        <v>0.69444444444444453</v>
      </c>
      <c r="V564" s="83"/>
      <c r="Y564" s="49"/>
      <c r="Z564" s="49"/>
      <c r="AE564" s="3" t="str">
        <f t="shared" si="70"/>
        <v>-</v>
      </c>
      <c r="AF564" s="51"/>
      <c r="AG564" s="52" t="str">
        <f t="shared" ca="1" si="73"/>
        <v/>
      </c>
      <c r="AI564" s="54"/>
      <c r="AK564" s="3">
        <v>1</v>
      </c>
      <c r="AP564" s="4"/>
    </row>
    <row r="565" spans="1:45" ht="19.5" hidden="1" customHeight="1">
      <c r="A565" s="35" t="e">
        <f t="shared" si="66"/>
        <v>#REF!</v>
      </c>
      <c r="B565" s="36"/>
      <c r="C565" s="37"/>
      <c r="D565" s="38"/>
      <c r="E565" s="37"/>
      <c r="F565" s="39"/>
      <c r="G565" s="40"/>
      <c r="I565" s="37" t="s">
        <v>50</v>
      </c>
      <c r="J565" s="43"/>
      <c r="K565" s="43"/>
      <c r="L565" s="43" t="s">
        <v>52</v>
      </c>
      <c r="M565" s="43"/>
      <c r="N565" s="44" t="str">
        <f t="shared" si="69"/>
        <v/>
      </c>
      <c r="O565" s="45" t="s">
        <v>107</v>
      </c>
      <c r="P565" s="67"/>
      <c r="Q565" s="67"/>
      <c r="R565" s="68"/>
      <c r="S565" s="69"/>
      <c r="T565" s="82">
        <v>0.6875</v>
      </c>
      <c r="U565" s="82">
        <v>0.69444444444444453</v>
      </c>
      <c r="V565" s="97" t="s">
        <v>108</v>
      </c>
      <c r="X565" s="72"/>
      <c r="Y565" s="79"/>
      <c r="Z565" s="49"/>
      <c r="AA565" s="135"/>
      <c r="AE565" s="3" t="str">
        <f t="shared" si="70"/>
        <v>-</v>
      </c>
      <c r="AF565" s="51"/>
      <c r="AG565" s="52" t="str">
        <f t="shared" ca="1" si="73"/>
        <v/>
      </c>
      <c r="AI565" s="54"/>
      <c r="AK565" s="3">
        <v>1</v>
      </c>
      <c r="AP565" s="4"/>
    </row>
    <row r="566" spans="1:45" ht="19.5" hidden="1" customHeight="1">
      <c r="A566" s="35" t="e">
        <f t="shared" si="66"/>
        <v>#REF!</v>
      </c>
      <c r="C566" s="37"/>
      <c r="E566" s="37"/>
      <c r="F566" s="37"/>
      <c r="G566" s="37"/>
      <c r="I566" s="37" t="s">
        <v>50</v>
      </c>
      <c r="J566" s="43"/>
      <c r="K566" s="43"/>
      <c r="L566" s="43" t="s">
        <v>52</v>
      </c>
      <c r="N566" s="44" t="str">
        <f t="shared" si="69"/>
        <v/>
      </c>
      <c r="O566" s="45" t="s">
        <v>107</v>
      </c>
      <c r="P566" s="67"/>
      <c r="Q566" s="67"/>
      <c r="R566" s="68"/>
      <c r="S566" s="69"/>
      <c r="T566" s="82">
        <v>0.6875</v>
      </c>
      <c r="U566" s="82">
        <v>0.69444444444444453</v>
      </c>
      <c r="V566" s="97" t="s">
        <v>108</v>
      </c>
      <c r="X566" s="72"/>
      <c r="Y566" s="99">
        <v>0.69097222222222221</v>
      </c>
      <c r="Z566" s="100">
        <v>0.69791666666666663</v>
      </c>
      <c r="AA566" s="83"/>
      <c r="AB566" s="101"/>
      <c r="AE566" s="3" t="str">
        <f t="shared" si="70"/>
        <v>-</v>
      </c>
      <c r="AF566" s="51"/>
      <c r="AG566" s="52" t="str">
        <f t="shared" ca="1" si="73"/>
        <v/>
      </c>
      <c r="AI566" s="54"/>
      <c r="AK566" s="3">
        <v>1</v>
      </c>
      <c r="AP566" s="4"/>
    </row>
    <row r="567" spans="1:45" ht="19.5" hidden="1" customHeight="1">
      <c r="A567" s="35" t="e">
        <f t="shared" si="66"/>
        <v>#REF!</v>
      </c>
      <c r="C567" s="102"/>
      <c r="I567" s="37" t="s">
        <v>50</v>
      </c>
      <c r="J567" s="43"/>
      <c r="K567" s="43"/>
      <c r="L567" s="43" t="s">
        <v>52</v>
      </c>
      <c r="N567" s="44" t="str">
        <f t="shared" si="69"/>
        <v/>
      </c>
      <c r="O567" s="45" t="s">
        <v>107</v>
      </c>
      <c r="P567" s="67"/>
      <c r="Q567" s="67"/>
      <c r="R567" s="68"/>
      <c r="S567" s="69"/>
      <c r="T567" s="82">
        <v>0.6875</v>
      </c>
      <c r="U567" s="82">
        <v>0.69444444444444453</v>
      </c>
      <c r="V567" s="97" t="s">
        <v>108</v>
      </c>
      <c r="X567" s="72"/>
      <c r="Y567" s="99">
        <v>0.69097222222222221</v>
      </c>
      <c r="Z567" s="99">
        <v>0.69791666666666663</v>
      </c>
      <c r="AA567" s="89" t="s">
        <v>109</v>
      </c>
      <c r="AB567" s="73"/>
      <c r="AC567" s="103"/>
      <c r="AD567" s="104"/>
      <c r="AE567" s="3" t="str">
        <f t="shared" si="70"/>
        <v>-</v>
      </c>
      <c r="AF567" s="105"/>
      <c r="AG567" s="52" t="str">
        <f t="shared" ca="1" si="73"/>
        <v/>
      </c>
      <c r="AI567" s="54"/>
      <c r="AK567" s="3">
        <v>1</v>
      </c>
      <c r="AP567" s="4"/>
    </row>
    <row r="568" spans="1:45" ht="19.5" hidden="1" customHeight="1">
      <c r="A568" s="35" t="e">
        <f t="shared" si="66"/>
        <v>#REF!</v>
      </c>
      <c r="C568" s="102"/>
      <c r="I568" s="37" t="s">
        <v>50</v>
      </c>
      <c r="J568" s="43"/>
      <c r="K568" s="43"/>
      <c r="L568" s="43" t="s">
        <v>52</v>
      </c>
      <c r="N568" s="44" t="str">
        <f t="shared" si="69"/>
        <v/>
      </c>
      <c r="O568" s="45" t="s">
        <v>107</v>
      </c>
      <c r="P568" s="67"/>
      <c r="Q568" s="67"/>
      <c r="R568" s="68"/>
      <c r="S568" s="69"/>
      <c r="T568" s="82">
        <v>0.6875</v>
      </c>
      <c r="U568" s="82">
        <v>0.69444444444444453</v>
      </c>
      <c r="V568" s="97" t="s">
        <v>108</v>
      </c>
      <c r="X568" s="72"/>
      <c r="Y568" s="99">
        <v>0.69097222222222221</v>
      </c>
      <c r="Z568" s="99">
        <v>0.69791666666666663</v>
      </c>
      <c r="AA568" s="97" t="s">
        <v>92</v>
      </c>
      <c r="AB568" s="73"/>
      <c r="AD568" s="106" t="s">
        <v>87</v>
      </c>
      <c r="AE568" s="3" t="str">
        <f t="shared" si="70"/>
        <v>-</v>
      </c>
      <c r="AF568" s="107">
        <v>0.69444444444444453</v>
      </c>
      <c r="AG568" s="52">
        <v>0.71527777777777779</v>
      </c>
      <c r="AI568" s="54"/>
      <c r="AK568" s="3">
        <v>1</v>
      </c>
      <c r="AP568" s="4"/>
    </row>
    <row r="569" spans="1:45" ht="19.5" hidden="1" customHeight="1">
      <c r="A569" s="35" t="e">
        <f t="shared" si="66"/>
        <v>#REF!</v>
      </c>
      <c r="C569" s="102"/>
      <c r="I569" s="3" t="s">
        <v>50</v>
      </c>
      <c r="L569" s="78" t="s">
        <v>52</v>
      </c>
      <c r="N569" s="44" t="str">
        <f t="shared" si="69"/>
        <v/>
      </c>
      <c r="O569" s="45" t="s">
        <v>107</v>
      </c>
      <c r="P569" s="67"/>
      <c r="Q569" s="67"/>
      <c r="R569" s="68"/>
      <c r="S569" s="69"/>
      <c r="T569" s="82">
        <v>0.6875</v>
      </c>
      <c r="U569" s="82">
        <v>0.69444444444444453</v>
      </c>
      <c r="V569" s="97" t="s">
        <v>108</v>
      </c>
      <c r="X569" s="72"/>
      <c r="Y569" s="99">
        <v>0.69097222222222221</v>
      </c>
      <c r="Z569" s="99">
        <v>0.69791666666666663</v>
      </c>
      <c r="AA569" s="97" t="s">
        <v>92</v>
      </c>
      <c r="AB569" s="73"/>
      <c r="AD569" s="106" t="s">
        <v>87</v>
      </c>
      <c r="AE569" s="3" t="str">
        <f t="shared" si="70"/>
        <v>-</v>
      </c>
      <c r="AF569" s="107">
        <v>0.69444444444444453</v>
      </c>
      <c r="AG569" s="108">
        <v>0.72569444444444453</v>
      </c>
      <c r="AH569" s="109"/>
      <c r="AI569" s="54"/>
      <c r="AK569" s="3">
        <v>1</v>
      </c>
      <c r="AP569" s="4"/>
    </row>
    <row r="570" spans="1:45" s="53" customFormat="1" ht="19.5" hidden="1" customHeight="1">
      <c r="A570" s="35" t="e">
        <f t="shared" si="66"/>
        <v>#REF!</v>
      </c>
      <c r="B570" s="81"/>
      <c r="C570" s="102"/>
      <c r="D570" s="46"/>
      <c r="E570" s="3"/>
      <c r="F570" s="3"/>
      <c r="G570" s="3"/>
      <c r="H570" s="41"/>
      <c r="I570" s="3" t="s">
        <v>50</v>
      </c>
      <c r="J570" s="78"/>
      <c r="K570" s="78"/>
      <c r="L570" s="78" t="s">
        <v>52</v>
      </c>
      <c r="M570" s="78"/>
      <c r="N570" s="44" t="str">
        <f t="shared" si="69"/>
        <v/>
      </c>
      <c r="O570" s="45" t="s">
        <v>107</v>
      </c>
      <c r="P570" s="67"/>
      <c r="Q570" s="67"/>
      <c r="R570" s="68"/>
      <c r="S570" s="69"/>
      <c r="T570" s="82">
        <v>0.6875</v>
      </c>
      <c r="U570" s="82">
        <v>0.69444444444444453</v>
      </c>
      <c r="V570" s="97" t="s">
        <v>108</v>
      </c>
      <c r="W570" s="3"/>
      <c r="X570" s="72"/>
      <c r="Y570" s="99">
        <v>0.69097222222222221</v>
      </c>
      <c r="Z570" s="99">
        <v>0.69791666666666663</v>
      </c>
      <c r="AA570" s="63" t="s">
        <v>94</v>
      </c>
      <c r="AB570" s="73"/>
      <c r="AC570" s="50"/>
      <c r="AD570" s="106" t="s">
        <v>87</v>
      </c>
      <c r="AE570" s="3" t="str">
        <f t="shared" si="70"/>
        <v>-</v>
      </c>
      <c r="AF570" s="107">
        <v>0.69444444444444453</v>
      </c>
      <c r="AG570" s="110">
        <v>0.72569444444444453</v>
      </c>
      <c r="AH570" s="136"/>
      <c r="AI570" s="137"/>
      <c r="AJ570" s="3"/>
      <c r="AK570" s="3">
        <v>1</v>
      </c>
      <c r="AL570" s="3"/>
      <c r="AM570" s="4"/>
      <c r="AN570" s="4"/>
      <c r="AO570" s="3"/>
      <c r="AP570" s="4"/>
      <c r="AQ570" s="3"/>
      <c r="AR570" s="3"/>
      <c r="AS570" s="3"/>
    </row>
    <row r="571" spans="1:45" s="53" customFormat="1" ht="19.5" hidden="1" customHeight="1">
      <c r="A571" s="35" t="e">
        <f t="shared" si="66"/>
        <v>#REF!</v>
      </c>
      <c r="B571" s="81"/>
      <c r="C571" s="3"/>
      <c r="D571" s="46"/>
      <c r="E571" s="3"/>
      <c r="F571" s="3"/>
      <c r="G571" s="3"/>
      <c r="H571" s="41"/>
      <c r="I571" s="3" t="s">
        <v>50</v>
      </c>
      <c r="J571" s="78"/>
      <c r="K571" s="78"/>
      <c r="L571" s="78" t="s">
        <v>52</v>
      </c>
      <c r="M571" s="78"/>
      <c r="N571" s="44" t="str">
        <f t="shared" si="69"/>
        <v/>
      </c>
      <c r="O571" s="45" t="s">
        <v>55</v>
      </c>
      <c r="P571" s="129"/>
      <c r="Q571" s="129"/>
      <c r="R571" s="130"/>
      <c r="S571" s="131"/>
      <c r="T571" s="132">
        <v>0.6875</v>
      </c>
      <c r="U571" s="132">
        <v>0.69444444444444453</v>
      </c>
      <c r="V571" s="71" t="s">
        <v>108</v>
      </c>
      <c r="W571" s="126"/>
      <c r="X571" s="84"/>
      <c r="Y571" s="85">
        <v>0.69097222222222221</v>
      </c>
      <c r="Z571" s="85">
        <v>0.69791666666666663</v>
      </c>
      <c r="AA571" s="71" t="s">
        <v>94</v>
      </c>
      <c r="AB571" s="127"/>
      <c r="AC571" s="50"/>
      <c r="AD571" s="84" t="s">
        <v>87</v>
      </c>
      <c r="AE571" s="126" t="str">
        <f t="shared" si="70"/>
        <v>-</v>
      </c>
      <c r="AF571" s="128">
        <v>0.69444444444444453</v>
      </c>
      <c r="AG571" s="138">
        <f ca="1">IF(AF571="","",IF($AF571+TIME(0,30,0)&lt;(TEXT(NOW(),"h:mm:ss")*1),$AF571+TIME(0,45,0),$AF571+TIME(0,30,0)))</f>
        <v>0.72569444444444453</v>
      </c>
      <c r="AH571" s="139"/>
      <c r="AI571" s="54"/>
      <c r="AJ571" s="3"/>
      <c r="AK571" s="3">
        <v>1</v>
      </c>
      <c r="AL571" s="3"/>
      <c r="AM571" s="4"/>
      <c r="AN571" s="4"/>
      <c r="AO571" s="3"/>
      <c r="AP571" s="4"/>
      <c r="AQ571" s="3"/>
      <c r="AR571" s="3"/>
      <c r="AS571" s="3"/>
    </row>
    <row r="572" spans="1:45" s="53" customFormat="1" ht="19.5" hidden="1" customHeight="1">
      <c r="A572" s="35" t="e">
        <f>A562</f>
        <v>#REF!</v>
      </c>
      <c r="B572" s="81"/>
      <c r="C572" s="3"/>
      <c r="D572" s="46"/>
      <c r="E572" s="3"/>
      <c r="F572" s="3"/>
      <c r="G572" s="3"/>
      <c r="H572" s="41"/>
      <c r="I572" s="3"/>
      <c r="J572" s="78"/>
      <c r="K572" s="78"/>
      <c r="L572" s="78"/>
      <c r="M572" s="78"/>
      <c r="N572" s="44" t="str">
        <f t="shared" si="69"/>
        <v/>
      </c>
      <c r="O572" s="45"/>
      <c r="P572" s="46"/>
      <c r="Q572" s="46"/>
      <c r="R572" s="47"/>
      <c r="S572" s="48"/>
      <c r="T572" s="80"/>
      <c r="U572" s="80"/>
      <c r="V572" s="3"/>
      <c r="W572" s="3"/>
      <c r="X572" s="50"/>
      <c r="Y572" s="80"/>
      <c r="Z572" s="80"/>
      <c r="AA572" s="3"/>
      <c r="AC572" s="50"/>
      <c r="AD572" s="50"/>
      <c r="AE572" s="3" t="str">
        <f t="shared" si="70"/>
        <v>-</v>
      </c>
      <c r="AF572" s="51"/>
      <c r="AG572" s="52" t="str">
        <f ca="1">IF(AF572="","",IF($AF572+TIME(0,30,0)&lt;(TEXT(NOW(),"h:mm:ss")*1),$AF572+TIME(0,45,0),$AF572+TIME(0,30,0)))</f>
        <v/>
      </c>
      <c r="AI572" s="54"/>
      <c r="AJ572" s="3"/>
      <c r="AK572" s="3"/>
      <c r="AL572" s="3"/>
      <c r="AM572" s="4"/>
      <c r="AN572" s="4"/>
      <c r="AO572" s="3"/>
      <c r="AP572" s="4"/>
      <c r="AQ572" s="3"/>
      <c r="AR572" s="3"/>
      <c r="AS572" s="3"/>
    </row>
    <row r="573" spans="1:45" ht="19.5" hidden="1" customHeight="1">
      <c r="A573" s="35" t="e">
        <f>A563</f>
        <v>#REF!</v>
      </c>
      <c r="P573" s="46"/>
      <c r="R573" s="47"/>
      <c r="AF573" s="51"/>
      <c r="AG573" s="52"/>
      <c r="AI573" s="54"/>
      <c r="AK573" s="3">
        <v>1</v>
      </c>
      <c r="AP573" s="4"/>
    </row>
    <row r="574" spans="1:45" ht="19.5" hidden="1" customHeight="1">
      <c r="A574" s="35" t="e">
        <f t="shared" si="66"/>
        <v>#REF!</v>
      </c>
      <c r="B574" s="36"/>
      <c r="C574" s="37"/>
      <c r="D574" s="38" t="s">
        <v>93</v>
      </c>
      <c r="E574" s="37"/>
      <c r="F574" s="39"/>
      <c r="G574" s="40"/>
      <c r="I574" s="37" t="s">
        <v>50</v>
      </c>
      <c r="J574" s="43"/>
      <c r="K574" s="43"/>
      <c r="L574" s="43" t="s">
        <v>52</v>
      </c>
      <c r="M574" s="43"/>
      <c r="N574" s="44" t="str">
        <f t="shared" ref="N574:N582" si="74">IF(C574="","",C574)</f>
        <v/>
      </c>
      <c r="O574" s="45" t="s">
        <v>107</v>
      </c>
      <c r="P574" s="67"/>
      <c r="Q574" s="67"/>
      <c r="R574" s="68"/>
      <c r="S574" s="69"/>
      <c r="T574" s="79"/>
      <c r="U574" s="49"/>
      <c r="Y574" s="49"/>
      <c r="Z574" s="49"/>
      <c r="AE574" s="3" t="str">
        <f t="shared" ref="AE574:AE586" si="75">IF(OR(V574="電話不通 x2",V574="DS判断"),"DS確認→U列入力",IF(V574="希望","U列入力",IF(V574="拒否","DS確認",IF(V574="外国語","DS確認",IF(V574="電話不通 x1","ORM再架電","-")))))</f>
        <v>-</v>
      </c>
      <c r="AF574" s="51"/>
      <c r="AG574" s="52" t="str">
        <f ca="1">IF(AF574="","",IF($AF574+TIME(0,30,0)&lt;(TEXT(NOW(),"h:mm:ss")*1),$AF574+TIME(0,45,0),$AF574+TIME(0,30,0)))</f>
        <v/>
      </c>
      <c r="AI574" s="54"/>
      <c r="AK574" s="3">
        <v>1</v>
      </c>
      <c r="AP574" s="4"/>
    </row>
    <row r="575" spans="1:45" ht="19.5" hidden="1" customHeight="1">
      <c r="A575" s="35" t="e">
        <f t="shared" si="66"/>
        <v>#REF!</v>
      </c>
      <c r="B575" s="36"/>
      <c r="C575" s="37"/>
      <c r="D575" s="38"/>
      <c r="E575" s="37"/>
      <c r="F575" s="39"/>
      <c r="G575" s="40"/>
      <c r="I575" s="37" t="s">
        <v>50</v>
      </c>
      <c r="J575" s="43"/>
      <c r="K575" s="43"/>
      <c r="L575" s="43" t="s">
        <v>52</v>
      </c>
      <c r="M575" s="43"/>
      <c r="N575" s="44" t="str">
        <f t="shared" si="74"/>
        <v/>
      </c>
      <c r="O575" s="45" t="s">
        <v>107</v>
      </c>
      <c r="P575" s="67"/>
      <c r="Q575" s="67"/>
      <c r="R575" s="68"/>
      <c r="S575" s="69"/>
      <c r="T575" s="82">
        <v>0.6875</v>
      </c>
      <c r="U575" s="79">
        <v>0.69444444444444453</v>
      </c>
      <c r="V575" s="83"/>
      <c r="Y575" s="49"/>
      <c r="Z575" s="49"/>
      <c r="AE575" s="3" t="str">
        <f t="shared" si="75"/>
        <v>-</v>
      </c>
      <c r="AF575" s="51"/>
      <c r="AG575" s="52" t="str">
        <f ca="1">IF(AF575="","",IF($AF575+TIME(0,30,0)&lt;(TEXT(NOW(),"h:mm:ss")*1),$AF575+TIME(0,45,0),$AF575+TIME(0,30,0)))</f>
        <v/>
      </c>
      <c r="AI575" s="54"/>
      <c r="AK575" s="3">
        <v>1</v>
      </c>
      <c r="AP575" s="4"/>
    </row>
    <row r="576" spans="1:45" ht="19.5" hidden="1" customHeight="1">
      <c r="A576" s="35" t="e">
        <f t="shared" si="66"/>
        <v>#REF!</v>
      </c>
      <c r="B576" s="36"/>
      <c r="C576" s="37"/>
      <c r="D576" s="38"/>
      <c r="E576" s="37"/>
      <c r="F576" s="39"/>
      <c r="G576" s="40"/>
      <c r="I576" s="37" t="s">
        <v>50</v>
      </c>
      <c r="J576" s="43"/>
      <c r="K576" s="43"/>
      <c r="L576" s="43" t="s">
        <v>52</v>
      </c>
      <c r="M576" s="43"/>
      <c r="N576" s="44" t="str">
        <f t="shared" si="74"/>
        <v/>
      </c>
      <c r="O576" s="45" t="s">
        <v>107</v>
      </c>
      <c r="P576" s="67"/>
      <c r="Q576" s="67"/>
      <c r="R576" s="68"/>
      <c r="S576" s="69"/>
      <c r="T576" s="82">
        <v>0.6875</v>
      </c>
      <c r="U576" s="82">
        <v>0.69444444444444453</v>
      </c>
      <c r="V576" s="97" t="s">
        <v>108</v>
      </c>
      <c r="X576" s="72"/>
      <c r="Y576" s="79"/>
      <c r="Z576" s="49"/>
      <c r="AE576" s="3" t="str">
        <f t="shared" si="75"/>
        <v>-</v>
      </c>
      <c r="AF576" s="51"/>
      <c r="AG576" s="52" t="str">
        <f ca="1">IF(AF576="","",IF($AF576+TIME(0,30,0)&lt;(TEXT(NOW(),"h:mm:ss")*1),$AF576+TIME(0,45,0),$AF576+TIME(0,30,0)))</f>
        <v/>
      </c>
      <c r="AI576" s="54"/>
      <c r="AK576" s="3">
        <v>1</v>
      </c>
      <c r="AP576" s="4"/>
    </row>
    <row r="577" spans="1:45" ht="19.5" hidden="1" customHeight="1">
      <c r="A577" s="35" t="e">
        <f t="shared" si="66"/>
        <v>#REF!</v>
      </c>
      <c r="C577" s="37"/>
      <c r="E577" s="37"/>
      <c r="F577" s="37"/>
      <c r="G577" s="37"/>
      <c r="I577" s="37" t="s">
        <v>50</v>
      </c>
      <c r="J577" s="43"/>
      <c r="K577" s="43"/>
      <c r="L577" s="43" t="s">
        <v>52</v>
      </c>
      <c r="N577" s="44" t="str">
        <f t="shared" si="74"/>
        <v/>
      </c>
      <c r="O577" s="45" t="s">
        <v>107</v>
      </c>
      <c r="P577" s="67"/>
      <c r="Q577" s="67"/>
      <c r="R577" s="68"/>
      <c r="S577" s="69"/>
      <c r="T577" s="82">
        <v>0.6875</v>
      </c>
      <c r="U577" s="82">
        <v>0.69444444444444453</v>
      </c>
      <c r="V577" s="97" t="s">
        <v>108</v>
      </c>
      <c r="X577" s="72"/>
      <c r="Y577" s="99">
        <v>0.69097222222222221</v>
      </c>
      <c r="Z577" s="100">
        <v>0.69791666666666663</v>
      </c>
      <c r="AA577" s="83"/>
      <c r="AB577" s="101"/>
      <c r="AE577" s="3" t="str">
        <f t="shared" si="75"/>
        <v>-</v>
      </c>
      <c r="AF577" s="51"/>
      <c r="AG577" s="52" t="str">
        <f ca="1">IF(AF577="","",IF($AF577+TIME(0,30,0)&lt;(TEXT(NOW(),"h:mm:ss")*1),$AF577+TIME(0,45,0),$AF577+TIME(0,30,0)))</f>
        <v/>
      </c>
      <c r="AI577" s="54"/>
      <c r="AK577" s="3">
        <v>1</v>
      </c>
      <c r="AP577" s="4"/>
    </row>
    <row r="578" spans="1:45" ht="19.5" hidden="1" customHeight="1">
      <c r="A578" s="35" t="e">
        <f t="shared" si="66"/>
        <v>#REF!</v>
      </c>
      <c r="C578" s="102"/>
      <c r="I578" s="37" t="s">
        <v>50</v>
      </c>
      <c r="J578" s="43"/>
      <c r="K578" s="43"/>
      <c r="L578" s="43" t="s">
        <v>52</v>
      </c>
      <c r="N578" s="44" t="str">
        <f t="shared" si="74"/>
        <v/>
      </c>
      <c r="O578" s="45" t="s">
        <v>107</v>
      </c>
      <c r="P578" s="67"/>
      <c r="Q578" s="67"/>
      <c r="R578" s="68"/>
      <c r="S578" s="69"/>
      <c r="T578" s="82">
        <v>0.6875</v>
      </c>
      <c r="U578" s="82">
        <v>0.69444444444444453</v>
      </c>
      <c r="V578" s="97" t="s">
        <v>108</v>
      </c>
      <c r="X578" s="72"/>
      <c r="Y578" s="99">
        <v>0.69097222222222221</v>
      </c>
      <c r="Z578" s="99">
        <v>0.69791666666666663</v>
      </c>
      <c r="AA578" s="89" t="s">
        <v>109</v>
      </c>
      <c r="AB578" s="73"/>
      <c r="AC578" s="103"/>
      <c r="AD578" s="103"/>
      <c r="AE578" s="3" t="str">
        <f t="shared" si="75"/>
        <v>-</v>
      </c>
      <c r="AF578" s="105"/>
      <c r="AG578" s="52" t="str">
        <f ca="1">IF(AF578="","",IF($AF578+TIME(0,30,0)&lt;(TEXT(NOW(),"h:mm:ss")*1),$AF578+TIME(0,45,0),$AF578+TIME(0,30,0)))</f>
        <v/>
      </c>
      <c r="AI578" s="54"/>
      <c r="AK578" s="3">
        <v>1</v>
      </c>
      <c r="AP578" s="4"/>
    </row>
    <row r="579" spans="1:45" ht="19.5" hidden="1" customHeight="1">
      <c r="A579" s="35" t="e">
        <f t="shared" si="66"/>
        <v>#REF!</v>
      </c>
      <c r="C579" s="102"/>
      <c r="I579" s="37" t="s">
        <v>50</v>
      </c>
      <c r="J579" s="43"/>
      <c r="K579" s="43"/>
      <c r="L579" s="43" t="s">
        <v>52</v>
      </c>
      <c r="N579" s="44" t="str">
        <f t="shared" si="74"/>
        <v/>
      </c>
      <c r="O579" s="45" t="s">
        <v>107</v>
      </c>
      <c r="P579" s="67"/>
      <c r="Q579" s="67"/>
      <c r="R579" s="68"/>
      <c r="S579" s="69"/>
      <c r="T579" s="82">
        <v>0.6875</v>
      </c>
      <c r="U579" s="82">
        <v>0.69444444444444453</v>
      </c>
      <c r="V579" s="97" t="s">
        <v>108</v>
      </c>
      <c r="X579" s="72"/>
      <c r="Y579" s="99">
        <v>0.69097222222222221</v>
      </c>
      <c r="Z579" s="99">
        <v>0.69791666666666663</v>
      </c>
      <c r="AA579" s="97" t="s">
        <v>92</v>
      </c>
      <c r="AB579" s="73"/>
      <c r="AD579" s="50" t="s">
        <v>87</v>
      </c>
      <c r="AE579" s="3" t="str">
        <f t="shared" si="75"/>
        <v>-</v>
      </c>
      <c r="AF579" s="107">
        <v>0.69444444444444453</v>
      </c>
      <c r="AG579" s="52">
        <v>0.71527777777777779</v>
      </c>
      <c r="AI579" s="54"/>
      <c r="AK579" s="3">
        <v>1</v>
      </c>
      <c r="AP579" s="4"/>
    </row>
    <row r="580" spans="1:45" ht="19.5" hidden="1" customHeight="1">
      <c r="A580" s="35" t="e">
        <f t="shared" si="66"/>
        <v>#REF!</v>
      </c>
      <c r="C580" s="102"/>
      <c r="I580" s="3" t="s">
        <v>50</v>
      </c>
      <c r="L580" s="78" t="s">
        <v>52</v>
      </c>
      <c r="N580" s="44" t="str">
        <f t="shared" si="74"/>
        <v/>
      </c>
      <c r="O580" s="45" t="s">
        <v>107</v>
      </c>
      <c r="P580" s="67"/>
      <c r="Q580" s="67"/>
      <c r="R580" s="68"/>
      <c r="S580" s="69"/>
      <c r="T580" s="82">
        <v>0.6875</v>
      </c>
      <c r="U580" s="82">
        <v>0.69444444444444453</v>
      </c>
      <c r="V580" s="97" t="s">
        <v>108</v>
      </c>
      <c r="X580" s="72"/>
      <c r="Y580" s="99">
        <v>0.69097222222222221</v>
      </c>
      <c r="Z580" s="99">
        <v>0.69791666666666663</v>
      </c>
      <c r="AA580" s="97" t="s">
        <v>92</v>
      </c>
      <c r="AB580" s="73"/>
      <c r="AD580" s="50" t="s">
        <v>87</v>
      </c>
      <c r="AE580" s="3" t="str">
        <f t="shared" si="75"/>
        <v>-</v>
      </c>
      <c r="AF580" s="107">
        <v>0.69444444444444453</v>
      </c>
      <c r="AG580" s="108">
        <v>0.72569444444444453</v>
      </c>
      <c r="AH580" s="101"/>
      <c r="AI580" s="54"/>
      <c r="AK580" s="3">
        <v>1</v>
      </c>
      <c r="AP580" s="4"/>
    </row>
    <row r="581" spans="1:45" s="53" customFormat="1" ht="19.5" hidden="1" customHeight="1">
      <c r="A581" s="35" t="e">
        <f t="shared" si="66"/>
        <v>#REF!</v>
      </c>
      <c r="B581" s="81"/>
      <c r="C581" s="102"/>
      <c r="D581" s="46"/>
      <c r="E581" s="3"/>
      <c r="F581" s="3"/>
      <c r="G581" s="3"/>
      <c r="H581" s="41"/>
      <c r="I581" s="3" t="s">
        <v>50</v>
      </c>
      <c r="J581" s="78"/>
      <c r="K581" s="78"/>
      <c r="L581" s="78" t="s">
        <v>52</v>
      </c>
      <c r="M581" s="78"/>
      <c r="N581" s="44" t="str">
        <f t="shared" si="74"/>
        <v/>
      </c>
      <c r="O581" s="45" t="s">
        <v>107</v>
      </c>
      <c r="P581" s="67" t="s">
        <v>110</v>
      </c>
      <c r="Q581" s="67"/>
      <c r="R581" s="68"/>
      <c r="S581" s="69"/>
      <c r="T581" s="82">
        <v>0.6875</v>
      </c>
      <c r="U581" s="82">
        <v>0.69444444444444453</v>
      </c>
      <c r="V581" s="97" t="s">
        <v>108</v>
      </c>
      <c r="W581" s="3"/>
      <c r="X581" s="72"/>
      <c r="Y581" s="99">
        <v>0.69097222222222221</v>
      </c>
      <c r="Z581" s="99">
        <v>0.69791666666666663</v>
      </c>
      <c r="AA581" s="63" t="s">
        <v>94</v>
      </c>
      <c r="AB581" s="73"/>
      <c r="AC581" s="50"/>
      <c r="AD581" s="50" t="s">
        <v>87</v>
      </c>
      <c r="AE581" s="3" t="str">
        <f t="shared" si="75"/>
        <v>-</v>
      </c>
      <c r="AF581" s="107">
        <v>0.69444444444444453</v>
      </c>
      <c r="AG581" s="110">
        <v>0.72569444444444453</v>
      </c>
      <c r="AH581" s="121"/>
      <c r="AI581" s="137"/>
      <c r="AJ581" s="3"/>
      <c r="AK581" s="3">
        <v>1</v>
      </c>
      <c r="AL581" s="3"/>
      <c r="AM581" s="4"/>
      <c r="AN581" s="4"/>
      <c r="AO581" s="3"/>
      <c r="AP581" s="4"/>
      <c r="AQ581" s="3"/>
      <c r="AR581" s="3"/>
      <c r="AS581" s="3"/>
    </row>
    <row r="582" spans="1:45" s="53" customFormat="1" ht="19.5" hidden="1" customHeight="1">
      <c r="A582" s="35" t="e">
        <f t="shared" si="66"/>
        <v>#REF!</v>
      </c>
      <c r="B582" s="81"/>
      <c r="C582" s="3"/>
      <c r="D582" s="46"/>
      <c r="E582" s="3"/>
      <c r="F582" s="3"/>
      <c r="G582" s="3"/>
      <c r="H582" s="41"/>
      <c r="I582" s="3" t="s">
        <v>50</v>
      </c>
      <c r="J582" s="78"/>
      <c r="K582" s="78"/>
      <c r="L582" s="78" t="s">
        <v>52</v>
      </c>
      <c r="M582" s="78"/>
      <c r="N582" s="44" t="str">
        <f t="shared" si="74"/>
        <v/>
      </c>
      <c r="O582" s="45" t="s">
        <v>95</v>
      </c>
      <c r="P582" s="95"/>
      <c r="Q582" s="95"/>
      <c r="R582" s="47"/>
      <c r="S582" s="48"/>
      <c r="T582" s="82">
        <v>0.6875</v>
      </c>
      <c r="U582" s="82">
        <v>0.69444444444444453</v>
      </c>
      <c r="V582" s="97" t="s">
        <v>108</v>
      </c>
      <c r="W582" s="3"/>
      <c r="X582" s="84"/>
      <c r="Y582" s="99">
        <v>0.69097222222222221</v>
      </c>
      <c r="Z582" s="99">
        <v>0.69791666666666663</v>
      </c>
      <c r="AA582" s="83" t="s">
        <v>94</v>
      </c>
      <c r="AB582" s="73"/>
      <c r="AC582" s="50"/>
      <c r="AD582" s="118" t="s">
        <v>87</v>
      </c>
      <c r="AE582" s="83" t="str">
        <f t="shared" si="75"/>
        <v>-</v>
      </c>
      <c r="AF582" s="105">
        <v>0.69444444444444453</v>
      </c>
      <c r="AG582" s="110">
        <v>0.72569444444444453</v>
      </c>
      <c r="AH582" s="121"/>
      <c r="AI582" s="54"/>
      <c r="AJ582" s="3"/>
      <c r="AK582" s="3"/>
      <c r="AL582" s="3"/>
      <c r="AM582" s="4"/>
      <c r="AN582" s="4"/>
      <c r="AO582" s="3"/>
      <c r="AP582" s="4"/>
      <c r="AQ582" s="3"/>
      <c r="AR582" s="3"/>
      <c r="AS582" s="3"/>
    </row>
    <row r="583" spans="1:45" s="53" customFormat="1" ht="19.5" hidden="1" customHeight="1">
      <c r="A583" s="35" t="e">
        <f t="shared" si="66"/>
        <v>#REF!</v>
      </c>
      <c r="B583" s="81"/>
      <c r="C583" s="3"/>
      <c r="D583" s="46"/>
      <c r="E583" s="3"/>
      <c r="F583" s="3"/>
      <c r="G583" s="3"/>
      <c r="H583" s="41"/>
      <c r="I583" s="3" t="s">
        <v>50</v>
      </c>
      <c r="J583" s="78"/>
      <c r="K583" s="78"/>
      <c r="L583" s="78" t="s">
        <v>52</v>
      </c>
      <c r="M583" s="78"/>
      <c r="N583" s="44"/>
      <c r="O583" s="45" t="s">
        <v>95</v>
      </c>
      <c r="P583" s="96" t="s">
        <v>56</v>
      </c>
      <c r="Q583" s="96">
        <v>10</v>
      </c>
      <c r="R583" s="47"/>
      <c r="S583" s="48"/>
      <c r="T583" s="82">
        <v>0.6875</v>
      </c>
      <c r="U583" s="82">
        <v>0.69444444444444453</v>
      </c>
      <c r="V583" s="97" t="s">
        <v>108</v>
      </c>
      <c r="W583" s="3"/>
      <c r="X583" s="118"/>
      <c r="Y583" s="99">
        <v>0.69097222222222221</v>
      </c>
      <c r="Z583" s="99">
        <v>0.69791666666666663</v>
      </c>
      <c r="AA583" s="83" t="s">
        <v>94</v>
      </c>
      <c r="AB583" s="73"/>
      <c r="AC583" s="50"/>
      <c r="AD583" s="118" t="s">
        <v>87</v>
      </c>
      <c r="AE583" s="83" t="str">
        <f t="shared" si="75"/>
        <v>-</v>
      </c>
      <c r="AF583" s="105">
        <v>0.69444444444444453</v>
      </c>
      <c r="AG583" s="110">
        <v>0.72569444444444453</v>
      </c>
      <c r="AH583" s="121"/>
      <c r="AI583" s="54"/>
      <c r="AJ583" s="3"/>
      <c r="AK583" s="3"/>
      <c r="AL583" s="3"/>
      <c r="AM583" s="4"/>
      <c r="AN583" s="4"/>
      <c r="AO583" s="3"/>
      <c r="AP583" s="4"/>
      <c r="AQ583" s="3"/>
      <c r="AR583" s="3"/>
      <c r="AS583" s="3"/>
    </row>
    <row r="584" spans="1:45" s="53" customFormat="1" ht="19.5" hidden="1" customHeight="1">
      <c r="A584" s="35" t="e">
        <f t="shared" si="66"/>
        <v>#REF!</v>
      </c>
      <c r="B584" s="81"/>
      <c r="C584" s="3"/>
      <c r="D584" s="46"/>
      <c r="E584" s="3"/>
      <c r="F584" s="3"/>
      <c r="G584" s="3"/>
      <c r="H584" s="41"/>
      <c r="I584" s="3" t="s">
        <v>50</v>
      </c>
      <c r="J584" s="78"/>
      <c r="K584" s="78"/>
      <c r="L584" s="78" t="s">
        <v>52</v>
      </c>
      <c r="M584" s="78"/>
      <c r="N584" s="44"/>
      <c r="O584" s="45" t="s">
        <v>95</v>
      </c>
      <c r="P584" s="116" t="s">
        <v>56</v>
      </c>
      <c r="Q584" s="116">
        <v>10</v>
      </c>
      <c r="R584" s="47"/>
      <c r="S584" s="48"/>
      <c r="T584" s="82">
        <v>0.6875</v>
      </c>
      <c r="U584" s="82">
        <v>0.69444444444444453</v>
      </c>
      <c r="V584" s="97" t="s">
        <v>108</v>
      </c>
      <c r="W584" s="3"/>
      <c r="X584" s="117" t="s">
        <v>96</v>
      </c>
      <c r="Y584" s="99">
        <v>0.69097222222222221</v>
      </c>
      <c r="Z584" s="99">
        <v>0.69791666666666663</v>
      </c>
      <c r="AA584" s="89" t="s">
        <v>97</v>
      </c>
      <c r="AB584" s="73"/>
      <c r="AC584" s="50"/>
      <c r="AD584" s="118" t="s">
        <v>87</v>
      </c>
      <c r="AE584" s="83" t="str">
        <f t="shared" si="75"/>
        <v>-</v>
      </c>
      <c r="AF584" s="105">
        <v>0.69444444444444453</v>
      </c>
      <c r="AG584" s="110">
        <v>0.72569444444444453</v>
      </c>
      <c r="AH584" s="121"/>
      <c r="AI584" s="54"/>
      <c r="AJ584" s="3"/>
      <c r="AK584" s="3"/>
      <c r="AL584" s="3"/>
      <c r="AM584" s="4"/>
      <c r="AN584" s="4"/>
      <c r="AO584" s="3"/>
      <c r="AP584" s="4"/>
      <c r="AQ584" s="3"/>
      <c r="AR584" s="3"/>
      <c r="AS584" s="3"/>
    </row>
    <row r="585" spans="1:45" s="53" customFormat="1" ht="19.5" hidden="1" customHeight="1">
      <c r="A585" s="35" t="e">
        <f t="shared" ref="A585:A648" si="76">A584</f>
        <v>#REF!</v>
      </c>
      <c r="B585" s="81"/>
      <c r="C585" s="3"/>
      <c r="D585" s="46"/>
      <c r="E585" s="3"/>
      <c r="F585" s="3"/>
      <c r="G585" s="3"/>
      <c r="H585" s="41"/>
      <c r="I585" s="3" t="s">
        <v>50</v>
      </c>
      <c r="J585" s="78"/>
      <c r="K585" s="78"/>
      <c r="L585" s="78" t="s">
        <v>52</v>
      </c>
      <c r="M585" s="78"/>
      <c r="N585" s="44"/>
      <c r="O585" s="45" t="s">
        <v>95</v>
      </c>
      <c r="P585" s="96" t="s">
        <v>56</v>
      </c>
      <c r="Q585" s="96">
        <v>10</v>
      </c>
      <c r="R585" s="47"/>
      <c r="S585" s="48"/>
      <c r="T585" s="82">
        <v>0.6875</v>
      </c>
      <c r="U585" s="82">
        <v>0.69444444444444453</v>
      </c>
      <c r="V585" s="97" t="s">
        <v>108</v>
      </c>
      <c r="W585" s="3"/>
      <c r="X585" s="124" t="s">
        <v>96</v>
      </c>
      <c r="Y585" s="99">
        <v>0.69097222222222221</v>
      </c>
      <c r="Z585" s="99">
        <v>0.69791666666666663</v>
      </c>
      <c r="AA585" s="125" t="s">
        <v>98</v>
      </c>
      <c r="AB585" s="73"/>
      <c r="AC585" s="50"/>
      <c r="AD585" s="106" t="s">
        <v>87</v>
      </c>
      <c r="AE585" s="83" t="str">
        <f t="shared" si="75"/>
        <v>-</v>
      </c>
      <c r="AF585" s="107">
        <v>0.73263888888888884</v>
      </c>
      <c r="AG585" s="52">
        <f ca="1">IF(AF585="","",IF($AF585+TIME(0,30,0)&lt;(TEXT(NOW(),"h:mm:ss")*1),$AF585+TIME(0,45,0),$AF585+TIME(0,30,0)))</f>
        <v>0.75347222222222221</v>
      </c>
      <c r="AI585" s="54"/>
      <c r="AJ585" s="3"/>
      <c r="AK585" s="3"/>
      <c r="AL585" s="3"/>
      <c r="AM585" s="4"/>
      <c r="AN585" s="4"/>
      <c r="AO585" s="3"/>
      <c r="AP585" s="4"/>
      <c r="AQ585" s="3"/>
      <c r="AR585" s="3"/>
      <c r="AS585" s="3"/>
    </row>
    <row r="586" spans="1:45" s="53" customFormat="1" ht="19.5" hidden="1" customHeight="1">
      <c r="A586" s="35" t="e">
        <f t="shared" si="76"/>
        <v>#REF!</v>
      </c>
      <c r="B586" s="81"/>
      <c r="C586" s="3"/>
      <c r="D586" s="46"/>
      <c r="E586" s="3"/>
      <c r="F586" s="3"/>
      <c r="G586" s="3"/>
      <c r="H586" s="41"/>
      <c r="I586" s="3" t="s">
        <v>50</v>
      </c>
      <c r="J586" s="78"/>
      <c r="K586" s="78"/>
      <c r="L586" s="78" t="s">
        <v>52</v>
      </c>
      <c r="M586" s="78"/>
      <c r="N586" s="44"/>
      <c r="O586" s="45" t="s">
        <v>95</v>
      </c>
      <c r="P586" s="96" t="s">
        <v>56</v>
      </c>
      <c r="Q586" s="96">
        <v>10</v>
      </c>
      <c r="R586" s="47"/>
      <c r="S586" s="48"/>
      <c r="T586" s="82">
        <v>0.6875</v>
      </c>
      <c r="U586" s="82">
        <v>0.69444444444444453</v>
      </c>
      <c r="V586" s="97" t="s">
        <v>108</v>
      </c>
      <c r="W586" s="3"/>
      <c r="X586" s="124" t="s">
        <v>96</v>
      </c>
      <c r="Y586" s="99">
        <v>0.69097222222222221</v>
      </c>
      <c r="Z586" s="99">
        <v>0.69791666666666663</v>
      </c>
      <c r="AA586" s="125" t="s">
        <v>98</v>
      </c>
      <c r="AB586" s="73"/>
      <c r="AC586" s="50"/>
      <c r="AD586" s="106" t="s">
        <v>87</v>
      </c>
      <c r="AE586" s="83" t="str">
        <f t="shared" si="75"/>
        <v>-</v>
      </c>
      <c r="AF586" s="107">
        <v>0.73263888888888884</v>
      </c>
      <c r="AG586" s="112">
        <v>0.75694444444444453</v>
      </c>
      <c r="AH586" s="113">
        <v>10</v>
      </c>
      <c r="AI586" s="54"/>
      <c r="AJ586" s="3"/>
      <c r="AK586" s="3"/>
      <c r="AL586" s="3"/>
      <c r="AM586" s="4"/>
      <c r="AN586" s="4"/>
      <c r="AO586" s="3"/>
      <c r="AP586" s="4"/>
      <c r="AQ586" s="3"/>
      <c r="AR586" s="3"/>
      <c r="AS586" s="3"/>
    </row>
    <row r="587" spans="1:45" ht="19.5" hidden="1" customHeight="1">
      <c r="A587" s="35" t="e">
        <f t="shared" si="76"/>
        <v>#REF!</v>
      </c>
      <c r="P587" s="46"/>
      <c r="R587" s="47"/>
      <c r="AF587" s="51"/>
      <c r="AG587" s="52"/>
      <c r="AI587" s="54"/>
      <c r="AK587" s="3">
        <v>1</v>
      </c>
      <c r="AP587" s="4"/>
    </row>
    <row r="588" spans="1:45" ht="19.5" hidden="1" customHeight="1">
      <c r="A588" s="35" t="e">
        <f>A572</f>
        <v>#REF!</v>
      </c>
      <c r="C588" s="102"/>
      <c r="N588" s="44" t="str">
        <f t="shared" ref="N588:N594" si="77">IF(C588="","",C588)</f>
        <v/>
      </c>
      <c r="P588" s="46"/>
      <c r="R588" s="47"/>
      <c r="AE588" s="3" t="str">
        <f t="shared" ref="AE588:AE594" si="78">IF(OR(V588="電話不通 x2",V588="DS判断"),"DS確認→U列入力",IF(V588="希望","U列入力",IF(V588="拒否","DS確認",IF(V588="外国語","DS確認",IF(V588="電話不通 x1","ORM再架電","-")))))</f>
        <v>-</v>
      </c>
      <c r="AF588" s="51"/>
      <c r="AG588" s="52" t="str">
        <f t="shared" ref="AG588:AG594" ca="1" si="79">IF(AF588="","",IF($AF588+TIME(0,30,0)&lt;(TEXT(NOW(),"h:mm:ss")*1),$AF588+TIME(0,45,0),$AF588+TIME(0,30,0)))</f>
        <v/>
      </c>
      <c r="AI588" s="54"/>
      <c r="AK588" s="3">
        <v>1</v>
      </c>
      <c r="AP588" s="4"/>
    </row>
    <row r="589" spans="1:45" ht="19.5" hidden="1" customHeight="1">
      <c r="A589" s="35" t="e">
        <f t="shared" ref="A589:A596" si="80">A588</f>
        <v>#REF!</v>
      </c>
      <c r="C589" s="102"/>
      <c r="D589" s="38" t="s">
        <v>103</v>
      </c>
      <c r="I589" s="37" t="s">
        <v>50</v>
      </c>
      <c r="J589" s="43"/>
      <c r="K589" s="43"/>
      <c r="L589" s="43" t="s">
        <v>52</v>
      </c>
      <c r="N589" s="44" t="str">
        <f t="shared" si="77"/>
        <v/>
      </c>
      <c r="O589" s="45" t="s">
        <v>107</v>
      </c>
      <c r="P589" s="67"/>
      <c r="Q589" s="67"/>
      <c r="R589" s="68"/>
      <c r="S589" s="69"/>
      <c r="T589" s="79"/>
      <c r="U589" s="49"/>
      <c r="Y589" s="49"/>
      <c r="Z589" s="49"/>
      <c r="AE589" s="3" t="str">
        <f t="shared" si="78"/>
        <v>-</v>
      </c>
      <c r="AF589" s="51"/>
      <c r="AG589" s="52" t="str">
        <f t="shared" ca="1" si="79"/>
        <v/>
      </c>
      <c r="AI589" s="54"/>
      <c r="AK589" s="3">
        <v>1</v>
      </c>
      <c r="AP589" s="4"/>
    </row>
    <row r="590" spans="1:45" ht="19.5" hidden="1" customHeight="1">
      <c r="A590" s="35" t="e">
        <f t="shared" si="80"/>
        <v>#REF!</v>
      </c>
      <c r="C590" s="102"/>
      <c r="I590" s="37" t="s">
        <v>50</v>
      </c>
      <c r="J590" s="43"/>
      <c r="K590" s="43"/>
      <c r="L590" s="43" t="s">
        <v>52</v>
      </c>
      <c r="N590" s="44" t="str">
        <f t="shared" si="77"/>
        <v/>
      </c>
      <c r="O590" s="45" t="s">
        <v>107</v>
      </c>
      <c r="P590" s="67"/>
      <c r="Q590" s="67"/>
      <c r="R590" s="68"/>
      <c r="S590" s="69"/>
      <c r="T590" s="82">
        <v>0.6875</v>
      </c>
      <c r="U590" s="79">
        <v>0.69444444444444453</v>
      </c>
      <c r="V590" s="83"/>
      <c r="Y590" s="49"/>
      <c r="Z590" s="49"/>
      <c r="AE590" s="3" t="str">
        <f t="shared" si="78"/>
        <v>-</v>
      </c>
      <c r="AF590" s="51"/>
      <c r="AG590" s="52" t="str">
        <f t="shared" ca="1" si="79"/>
        <v/>
      </c>
      <c r="AI590" s="54"/>
      <c r="AK590" s="3">
        <v>1</v>
      </c>
      <c r="AP590" s="4"/>
    </row>
    <row r="591" spans="1:45" ht="19.5" hidden="1" customHeight="1">
      <c r="A591" s="35" t="e">
        <f t="shared" si="80"/>
        <v>#REF!</v>
      </c>
      <c r="C591" s="102"/>
      <c r="I591" s="37" t="s">
        <v>50</v>
      </c>
      <c r="J591" s="43"/>
      <c r="K591" s="43"/>
      <c r="L591" s="43" t="s">
        <v>52</v>
      </c>
      <c r="N591" s="44" t="str">
        <f t="shared" si="77"/>
        <v/>
      </c>
      <c r="O591" s="45" t="s">
        <v>107</v>
      </c>
      <c r="P591" s="67"/>
      <c r="Q591" s="67"/>
      <c r="R591" s="68"/>
      <c r="S591" s="69"/>
      <c r="T591" s="82">
        <v>0.6875</v>
      </c>
      <c r="U591" s="82">
        <v>0.69444444444444453</v>
      </c>
      <c r="V591" s="97" t="s">
        <v>108</v>
      </c>
      <c r="X591" s="106" t="s">
        <v>90</v>
      </c>
      <c r="Y591" s="132"/>
      <c r="Z591" s="132"/>
      <c r="AE591" s="3" t="str">
        <f t="shared" si="78"/>
        <v>-</v>
      </c>
      <c r="AF591" s="51"/>
      <c r="AG591" s="52" t="str">
        <f t="shared" ca="1" si="79"/>
        <v/>
      </c>
      <c r="AI591" s="54"/>
      <c r="AK591" s="3">
        <v>1</v>
      </c>
      <c r="AP591" s="4"/>
    </row>
    <row r="592" spans="1:45" ht="19.5" hidden="1" customHeight="1">
      <c r="A592" s="35" t="e">
        <f t="shared" si="80"/>
        <v>#REF!</v>
      </c>
      <c r="D592" s="116"/>
      <c r="I592" s="89" t="s">
        <v>50</v>
      </c>
      <c r="J592" s="90"/>
      <c r="K592" s="43"/>
      <c r="L592" s="90" t="s">
        <v>52</v>
      </c>
      <c r="M592" s="123"/>
      <c r="N592" s="44" t="str">
        <f t="shared" si="77"/>
        <v/>
      </c>
      <c r="O592" s="45" t="s">
        <v>107</v>
      </c>
      <c r="P592" s="67"/>
      <c r="Q592" s="67"/>
      <c r="R592" s="68"/>
      <c r="S592" s="69"/>
      <c r="T592" s="82">
        <v>0.6875</v>
      </c>
      <c r="U592" s="82">
        <v>0.69444444444444453</v>
      </c>
      <c r="V592" s="97" t="s">
        <v>108</v>
      </c>
      <c r="X592" s="117" t="s">
        <v>90</v>
      </c>
      <c r="Y592" s="85"/>
      <c r="Z592" s="85"/>
      <c r="AA592" s="89" t="s">
        <v>109</v>
      </c>
      <c r="AB592" s="101"/>
      <c r="AE592" s="3" t="str">
        <f t="shared" si="78"/>
        <v>-</v>
      </c>
      <c r="AF592" s="51"/>
      <c r="AG592" s="52" t="str">
        <f t="shared" ca="1" si="79"/>
        <v/>
      </c>
      <c r="AI592" s="54"/>
      <c r="AK592" s="3">
        <v>1</v>
      </c>
      <c r="AP592" s="4"/>
    </row>
    <row r="593" spans="1:45" ht="19.5" hidden="1" customHeight="1">
      <c r="A593" s="35" t="e">
        <f t="shared" si="80"/>
        <v>#REF!</v>
      </c>
      <c r="C593" s="102"/>
      <c r="I593" s="37" t="s">
        <v>50</v>
      </c>
      <c r="J593" s="43"/>
      <c r="K593" s="43"/>
      <c r="L593" s="43" t="s">
        <v>52</v>
      </c>
      <c r="N593" s="44" t="str">
        <f t="shared" si="77"/>
        <v/>
      </c>
      <c r="O593" s="45" t="s">
        <v>107</v>
      </c>
      <c r="P593" s="67"/>
      <c r="Q593" s="67"/>
      <c r="R593" s="68"/>
      <c r="S593" s="69"/>
      <c r="T593" s="82">
        <v>0.6875</v>
      </c>
      <c r="U593" s="82">
        <v>0.69444444444444453</v>
      </c>
      <c r="V593" s="97" t="s">
        <v>108</v>
      </c>
      <c r="X593" s="106" t="s">
        <v>90</v>
      </c>
      <c r="Y593" s="85"/>
      <c r="Z593" s="85"/>
      <c r="AA593" s="97" t="s">
        <v>104</v>
      </c>
      <c r="AB593" s="73"/>
      <c r="AC593" s="140"/>
      <c r="AD593" s="141" t="s">
        <v>111</v>
      </c>
      <c r="AE593" s="3" t="str">
        <f t="shared" si="78"/>
        <v>-</v>
      </c>
      <c r="AF593" s="51"/>
      <c r="AG593" s="52" t="str">
        <f t="shared" ca="1" si="79"/>
        <v/>
      </c>
      <c r="AI593" s="54"/>
      <c r="AK593" s="3">
        <v>1</v>
      </c>
      <c r="AP593" s="4"/>
    </row>
    <row r="594" spans="1:45" s="53" customFormat="1" ht="19.5" hidden="1" customHeight="1">
      <c r="A594" s="35" t="e">
        <f t="shared" si="80"/>
        <v>#REF!</v>
      </c>
      <c r="B594" s="81"/>
      <c r="C594" s="102"/>
      <c r="D594" s="46"/>
      <c r="E594" s="3"/>
      <c r="F594" s="3"/>
      <c r="G594" s="3"/>
      <c r="H594" s="41"/>
      <c r="I594" s="37"/>
      <c r="J594" s="43"/>
      <c r="K594" s="43"/>
      <c r="L594" s="43"/>
      <c r="M594" s="78"/>
      <c r="N594" s="44" t="str">
        <f t="shared" si="77"/>
        <v/>
      </c>
      <c r="O594" s="45"/>
      <c r="P594" s="46"/>
      <c r="Q594" s="46"/>
      <c r="R594" s="47"/>
      <c r="S594" s="48"/>
      <c r="T594" s="80"/>
      <c r="U594" s="80"/>
      <c r="V594" s="3"/>
      <c r="W594" s="3"/>
      <c r="X594" s="50"/>
      <c r="Y594" s="80"/>
      <c r="Z594" s="80"/>
      <c r="AA594" s="3"/>
      <c r="AC594" s="140"/>
      <c r="AD594" s="141" t="s">
        <v>112</v>
      </c>
      <c r="AE594" s="3" t="str">
        <f t="shared" si="78"/>
        <v>-</v>
      </c>
      <c r="AF594" s="51"/>
      <c r="AG594" s="52" t="str">
        <f t="shared" ca="1" si="79"/>
        <v/>
      </c>
      <c r="AI594" s="54"/>
      <c r="AJ594" s="3"/>
      <c r="AK594" s="3"/>
      <c r="AL594" s="3"/>
      <c r="AM594" s="4"/>
      <c r="AN594" s="4"/>
      <c r="AO594" s="3"/>
      <c r="AP594" s="4"/>
      <c r="AQ594" s="3"/>
      <c r="AR594" s="3"/>
      <c r="AS594" s="3"/>
    </row>
    <row r="595" spans="1:45" s="53" customFormat="1" ht="19.5" hidden="1" customHeight="1">
      <c r="A595" s="35" t="e">
        <f t="shared" si="80"/>
        <v>#REF!</v>
      </c>
      <c r="B595" s="81"/>
      <c r="C595" s="3"/>
      <c r="D595" s="46"/>
      <c r="E595" s="3"/>
      <c r="F595" s="3"/>
      <c r="G595" s="3"/>
      <c r="H595" s="41"/>
      <c r="I595" s="3"/>
      <c r="J595" s="78"/>
      <c r="K595" s="78"/>
      <c r="L595" s="78"/>
      <c r="M595" s="78"/>
      <c r="N595" s="44"/>
      <c r="O595" s="45"/>
      <c r="P595" s="46"/>
      <c r="Q595" s="46"/>
      <c r="R595" s="47"/>
      <c r="S595" s="48"/>
      <c r="T595" s="80"/>
      <c r="U595" s="80"/>
      <c r="V595" s="3"/>
      <c r="W595" s="3"/>
      <c r="X595" s="50"/>
      <c r="Y595" s="80"/>
      <c r="Z595" s="80"/>
      <c r="AA595" s="3"/>
      <c r="AC595" s="50"/>
      <c r="AD595" s="50"/>
      <c r="AE595" s="3"/>
      <c r="AF595" s="51"/>
      <c r="AG595" s="52"/>
      <c r="AI595" s="54"/>
      <c r="AJ595" s="3"/>
      <c r="AK595" s="3">
        <v>1</v>
      </c>
      <c r="AL595" s="3"/>
      <c r="AM595" s="4"/>
      <c r="AN595" s="4"/>
      <c r="AO595" s="3"/>
      <c r="AP595" s="4"/>
      <c r="AQ595" s="3"/>
      <c r="AR595" s="3"/>
      <c r="AS595" s="3"/>
    </row>
    <row r="596" spans="1:45" s="53" customFormat="1" ht="19.5" hidden="1" customHeight="1">
      <c r="A596" s="35" t="e">
        <f t="shared" si="80"/>
        <v>#REF!</v>
      </c>
      <c r="B596" s="81"/>
      <c r="C596" s="3"/>
      <c r="D596" s="142" t="s">
        <v>113</v>
      </c>
      <c r="E596" s="3"/>
      <c r="F596" s="3"/>
      <c r="G596" s="3"/>
      <c r="H596" s="41"/>
      <c r="I596" s="37" t="s">
        <v>50</v>
      </c>
      <c r="J596" s="43"/>
      <c r="K596" s="43"/>
      <c r="L596" s="43" t="s">
        <v>52</v>
      </c>
      <c r="M596" s="78"/>
      <c r="N596" s="44" t="str">
        <f t="shared" ref="N596:N659" si="81">IF(C596="","",C596)</f>
        <v/>
      </c>
      <c r="O596" s="45" t="s">
        <v>107</v>
      </c>
      <c r="P596" s="67"/>
      <c r="Q596" s="67"/>
      <c r="R596" s="68"/>
      <c r="S596" s="69"/>
      <c r="T596" s="79"/>
      <c r="U596" s="49"/>
      <c r="V596" s="3"/>
      <c r="W596" s="3"/>
      <c r="X596" s="50"/>
      <c r="Y596" s="80"/>
      <c r="Z596" s="80"/>
      <c r="AA596" s="3"/>
      <c r="AC596" s="50"/>
      <c r="AD596" s="50"/>
      <c r="AE596" s="3" t="str">
        <f t="shared" ref="AE596:AE659" si="82">IF(OR(V596="電話不通 x2",V596="DS判断"),"DS確認→U列入力",IF(V596="希望","U列入力",IF(V596="拒否","DS確認",IF(V596="外国語","DS確認",IF(V596="電話不通 x1","ORM再架電","-")))))</f>
        <v>-</v>
      </c>
      <c r="AF596" s="51"/>
      <c r="AG596" s="52" t="str">
        <f t="shared" ref="AG596:AG601" ca="1" si="83">IF(AF596="","",IF($AF596+TIME(0,30,0)&lt;(TEXT(NOW(),"h:mm:ss")*1),$AF596+TIME(0,45,0),$AF596+TIME(0,30,0)))</f>
        <v/>
      </c>
      <c r="AI596" s="54"/>
      <c r="AJ596" s="3"/>
      <c r="AK596" s="3">
        <v>1</v>
      </c>
      <c r="AL596" s="3"/>
      <c r="AM596" s="4"/>
      <c r="AN596" s="4"/>
      <c r="AO596" s="3"/>
      <c r="AP596" s="4"/>
      <c r="AQ596" s="3"/>
      <c r="AR596" s="3"/>
      <c r="AS596" s="3"/>
    </row>
    <row r="597" spans="1:45" s="53" customFormat="1" ht="19.5" hidden="1" customHeight="1">
      <c r="A597" s="35" t="e">
        <f t="shared" si="76"/>
        <v>#REF!</v>
      </c>
      <c r="B597" s="81"/>
      <c r="C597" s="3"/>
      <c r="D597" s="46"/>
      <c r="E597" s="3"/>
      <c r="F597" s="3"/>
      <c r="G597" s="3"/>
      <c r="H597" s="41"/>
      <c r="I597" s="37" t="s">
        <v>50</v>
      </c>
      <c r="J597" s="43"/>
      <c r="K597" s="43"/>
      <c r="L597" s="43" t="s">
        <v>52</v>
      </c>
      <c r="M597" s="78"/>
      <c r="N597" s="44" t="str">
        <f t="shared" si="81"/>
        <v/>
      </c>
      <c r="O597" s="45" t="s">
        <v>107</v>
      </c>
      <c r="P597" s="67"/>
      <c r="Q597" s="67"/>
      <c r="R597" s="68"/>
      <c r="S597" s="69"/>
      <c r="T597" s="82">
        <v>0.6875</v>
      </c>
      <c r="U597" s="79">
        <v>0.69444444444444453</v>
      </c>
      <c r="V597" s="83"/>
      <c r="W597" s="3"/>
      <c r="X597" s="50"/>
      <c r="Y597" s="80"/>
      <c r="Z597" s="80"/>
      <c r="AA597" s="3"/>
      <c r="AC597" s="50"/>
      <c r="AD597" s="50"/>
      <c r="AE597" s="3" t="str">
        <f t="shared" si="82"/>
        <v>-</v>
      </c>
      <c r="AF597" s="51"/>
      <c r="AG597" s="52" t="str">
        <f t="shared" ca="1" si="83"/>
        <v/>
      </c>
      <c r="AI597" s="54"/>
      <c r="AJ597" s="3"/>
      <c r="AK597" s="3">
        <v>1</v>
      </c>
      <c r="AL597" s="3"/>
      <c r="AM597" s="4"/>
      <c r="AN597" s="4"/>
      <c r="AO597" s="3"/>
      <c r="AP597" s="4"/>
      <c r="AQ597" s="3"/>
      <c r="AR597" s="3"/>
      <c r="AS597" s="3"/>
    </row>
    <row r="598" spans="1:45" s="53" customFormat="1" ht="19.5" hidden="1" customHeight="1">
      <c r="A598" s="35" t="e">
        <f t="shared" si="76"/>
        <v>#REF!</v>
      </c>
      <c r="B598" s="81"/>
      <c r="C598" s="3"/>
      <c r="D598" s="46"/>
      <c r="E598" s="3"/>
      <c r="F598" s="3"/>
      <c r="G598" s="3"/>
      <c r="H598" s="41"/>
      <c r="I598" s="37" t="s">
        <v>50</v>
      </c>
      <c r="J598" s="43"/>
      <c r="K598" s="43"/>
      <c r="L598" s="43" t="s">
        <v>52</v>
      </c>
      <c r="M598" s="78"/>
      <c r="N598" s="44" t="str">
        <f t="shared" si="81"/>
        <v/>
      </c>
      <c r="O598" s="45" t="s">
        <v>107</v>
      </c>
      <c r="P598" s="67"/>
      <c r="Q598" s="67"/>
      <c r="R598" s="68"/>
      <c r="S598" s="69"/>
      <c r="T598" s="82">
        <v>0.6875</v>
      </c>
      <c r="U598" s="82">
        <v>0.69444444444444453</v>
      </c>
      <c r="V598" s="97" t="s">
        <v>108</v>
      </c>
      <c r="W598" s="3"/>
      <c r="X598" s="106" t="s">
        <v>90</v>
      </c>
      <c r="Y598" s="85"/>
      <c r="Z598" s="85"/>
      <c r="AA598" s="83"/>
      <c r="AC598" s="50"/>
      <c r="AD598" s="50"/>
      <c r="AE598" s="3" t="str">
        <f t="shared" si="82"/>
        <v>-</v>
      </c>
      <c r="AF598" s="51"/>
      <c r="AG598" s="52" t="str">
        <f t="shared" ca="1" si="83"/>
        <v/>
      </c>
      <c r="AI598" s="54"/>
      <c r="AJ598" s="3"/>
      <c r="AK598" s="3">
        <v>1</v>
      </c>
      <c r="AL598" s="3"/>
      <c r="AM598" s="4"/>
      <c r="AN598" s="4"/>
      <c r="AO598" s="3"/>
      <c r="AP598" s="4"/>
      <c r="AQ598" s="3"/>
      <c r="AR598" s="3"/>
      <c r="AS598" s="3"/>
    </row>
    <row r="599" spans="1:45" s="53" customFormat="1" ht="19.5" hidden="1" customHeight="1">
      <c r="A599" s="35" t="e">
        <f t="shared" si="76"/>
        <v>#REF!</v>
      </c>
      <c r="B599" s="81"/>
      <c r="C599" s="3"/>
      <c r="D599" s="116"/>
      <c r="E599" s="3"/>
      <c r="F599" s="3"/>
      <c r="G599" s="3"/>
      <c r="H599" s="41"/>
      <c r="I599" s="89" t="s">
        <v>50</v>
      </c>
      <c r="J599" s="90"/>
      <c r="K599" s="43"/>
      <c r="L599" s="90" t="s">
        <v>52</v>
      </c>
      <c r="M599" s="123"/>
      <c r="N599" s="44" t="str">
        <f t="shared" si="81"/>
        <v/>
      </c>
      <c r="O599" s="45" t="s">
        <v>107</v>
      </c>
      <c r="P599" s="67"/>
      <c r="Q599" s="67"/>
      <c r="R599" s="68"/>
      <c r="S599" s="69"/>
      <c r="T599" s="82">
        <v>0.6875</v>
      </c>
      <c r="U599" s="82">
        <v>0.69444444444444453</v>
      </c>
      <c r="V599" s="97" t="s">
        <v>108</v>
      </c>
      <c r="W599" s="3"/>
      <c r="X599" s="117" t="s">
        <v>90</v>
      </c>
      <c r="Y599" s="85"/>
      <c r="Z599" s="85"/>
      <c r="AA599" s="89" t="s">
        <v>109</v>
      </c>
      <c r="AC599" s="50"/>
      <c r="AD599" s="50"/>
      <c r="AE599" s="3" t="str">
        <f t="shared" si="82"/>
        <v>-</v>
      </c>
      <c r="AF599" s="51"/>
      <c r="AG599" s="52" t="str">
        <f t="shared" ca="1" si="83"/>
        <v/>
      </c>
      <c r="AI599" s="54"/>
      <c r="AJ599" s="3"/>
      <c r="AK599" s="3">
        <v>1</v>
      </c>
      <c r="AL599" s="3"/>
      <c r="AM599" s="4"/>
      <c r="AN599" s="4"/>
      <c r="AO599" s="3"/>
      <c r="AP599" s="4"/>
      <c r="AQ599" s="3"/>
      <c r="AR599" s="3"/>
      <c r="AS599" s="3"/>
    </row>
    <row r="600" spans="1:45" s="53" customFormat="1" ht="19.5" hidden="1" customHeight="1">
      <c r="A600" s="35" t="e">
        <f t="shared" si="76"/>
        <v>#REF!</v>
      </c>
      <c r="B600" s="81"/>
      <c r="C600" s="3"/>
      <c r="D600" s="46"/>
      <c r="E600" s="3"/>
      <c r="F600" s="3"/>
      <c r="G600" s="3"/>
      <c r="H600" s="41"/>
      <c r="I600" s="37" t="s">
        <v>50</v>
      </c>
      <c r="J600" s="43"/>
      <c r="K600" s="43"/>
      <c r="L600" s="43" t="s">
        <v>52</v>
      </c>
      <c r="M600" s="78"/>
      <c r="N600" s="44" t="str">
        <f t="shared" si="81"/>
        <v/>
      </c>
      <c r="O600" s="45" t="s">
        <v>107</v>
      </c>
      <c r="P600" s="67"/>
      <c r="Q600" s="67"/>
      <c r="R600" s="68"/>
      <c r="S600" s="69"/>
      <c r="T600" s="82">
        <v>0.6875</v>
      </c>
      <c r="U600" s="82">
        <v>0.69444444444444453</v>
      </c>
      <c r="V600" s="97" t="s">
        <v>108</v>
      </c>
      <c r="W600" s="3"/>
      <c r="X600" s="106" t="s">
        <v>90</v>
      </c>
      <c r="Y600" s="85"/>
      <c r="Z600" s="85"/>
      <c r="AA600" s="83" t="s">
        <v>114</v>
      </c>
      <c r="AB600" s="73"/>
      <c r="AC600" s="50"/>
      <c r="AD600" s="50"/>
      <c r="AE600" s="3" t="str">
        <f t="shared" si="82"/>
        <v>-</v>
      </c>
      <c r="AF600" s="105"/>
      <c r="AG600" s="52" t="str">
        <f t="shared" ca="1" si="83"/>
        <v/>
      </c>
      <c r="AI600" s="54"/>
      <c r="AJ600" s="3"/>
      <c r="AK600" s="3">
        <v>1</v>
      </c>
      <c r="AL600" s="3"/>
      <c r="AM600" s="4"/>
      <c r="AN600" s="4"/>
      <c r="AO600" s="3"/>
      <c r="AP600" s="4"/>
      <c r="AQ600" s="3"/>
      <c r="AR600" s="3"/>
      <c r="AS600" s="3"/>
    </row>
    <row r="601" spans="1:45" s="53" customFormat="1" ht="19.5" hidden="1" customHeight="1">
      <c r="A601" s="35" t="e">
        <f t="shared" si="76"/>
        <v>#REF!</v>
      </c>
      <c r="B601" s="81"/>
      <c r="C601" s="3"/>
      <c r="D601" s="46"/>
      <c r="E601" s="3"/>
      <c r="F601" s="3"/>
      <c r="G601" s="3"/>
      <c r="H601" s="41"/>
      <c r="I601" s="37" t="s">
        <v>50</v>
      </c>
      <c r="J601" s="43"/>
      <c r="K601" s="43"/>
      <c r="L601" s="43" t="s">
        <v>52</v>
      </c>
      <c r="M601" s="78"/>
      <c r="N601" s="44" t="str">
        <f t="shared" si="81"/>
        <v/>
      </c>
      <c r="O601" s="45" t="s">
        <v>107</v>
      </c>
      <c r="P601" s="67"/>
      <c r="Q601" s="67"/>
      <c r="R601" s="68"/>
      <c r="S601" s="69"/>
      <c r="T601" s="82">
        <v>0.6875</v>
      </c>
      <c r="U601" s="82">
        <v>0.69444444444444453</v>
      </c>
      <c r="V601" s="97" t="s">
        <v>108</v>
      </c>
      <c r="W601" s="3"/>
      <c r="X601" s="106" t="s">
        <v>90</v>
      </c>
      <c r="Y601" s="85"/>
      <c r="Z601" s="85"/>
      <c r="AA601" s="143" t="s">
        <v>115</v>
      </c>
      <c r="AB601" s="73"/>
      <c r="AC601" s="50"/>
      <c r="AD601" s="50"/>
      <c r="AE601" s="3" t="str">
        <f t="shared" si="82"/>
        <v>-</v>
      </c>
      <c r="AF601" s="107"/>
      <c r="AG601" s="52" t="str">
        <f t="shared" ca="1" si="83"/>
        <v/>
      </c>
      <c r="AI601" s="54"/>
      <c r="AJ601" s="3"/>
      <c r="AK601" s="3">
        <v>1</v>
      </c>
      <c r="AL601" s="3"/>
      <c r="AM601" s="4"/>
      <c r="AN601" s="4"/>
      <c r="AO601" s="3"/>
      <c r="AP601" s="4"/>
      <c r="AQ601" s="3"/>
      <c r="AR601" s="3"/>
      <c r="AS601" s="3"/>
    </row>
    <row r="602" spans="1:45" s="53" customFormat="1" ht="19.5" hidden="1" customHeight="1">
      <c r="A602" s="35" t="e">
        <f t="shared" si="76"/>
        <v>#REF!</v>
      </c>
      <c r="B602" s="81"/>
      <c r="C602" s="3"/>
      <c r="D602" s="46"/>
      <c r="E602" s="3"/>
      <c r="F602" s="3"/>
      <c r="G602" s="3"/>
      <c r="H602" s="41"/>
      <c r="I602" s="37" t="s">
        <v>50</v>
      </c>
      <c r="J602" s="43"/>
      <c r="K602" s="43"/>
      <c r="L602" s="43" t="s">
        <v>52</v>
      </c>
      <c r="M602" s="78"/>
      <c r="N602" s="44" t="str">
        <f t="shared" si="81"/>
        <v/>
      </c>
      <c r="O602" s="45" t="s">
        <v>107</v>
      </c>
      <c r="P602" s="67"/>
      <c r="Q602" s="67"/>
      <c r="R602" s="68"/>
      <c r="S602" s="69"/>
      <c r="T602" s="82">
        <v>0.6875</v>
      </c>
      <c r="U602" s="82">
        <v>0.69444444444444453</v>
      </c>
      <c r="V602" s="97" t="s">
        <v>108</v>
      </c>
      <c r="W602" s="3"/>
      <c r="X602" s="106" t="s">
        <v>90</v>
      </c>
      <c r="Y602" s="85"/>
      <c r="Z602" s="85"/>
      <c r="AA602" s="97" t="s">
        <v>92</v>
      </c>
      <c r="AB602" s="73"/>
      <c r="AC602" s="50"/>
      <c r="AD602" s="50"/>
      <c r="AE602" s="3" t="str">
        <f t="shared" si="82"/>
        <v>-</v>
      </c>
      <c r="AF602" s="107">
        <v>0.70138888888888884</v>
      </c>
      <c r="AG602" s="112">
        <v>0.70833333333333337</v>
      </c>
      <c r="AH602" s="101"/>
      <c r="AI602" s="54"/>
      <c r="AJ602" s="3"/>
      <c r="AK602" s="3">
        <v>1</v>
      </c>
      <c r="AL602" s="3"/>
      <c r="AM602" s="4"/>
      <c r="AN602" s="4"/>
      <c r="AO602" s="3"/>
      <c r="AP602" s="4"/>
      <c r="AQ602" s="3"/>
      <c r="AR602" s="3"/>
      <c r="AS602" s="3"/>
    </row>
    <row r="603" spans="1:45" ht="20.100000000000001" hidden="1">
      <c r="A603" s="35" t="e">
        <f t="shared" si="76"/>
        <v>#REF!</v>
      </c>
      <c r="I603" s="37" t="s">
        <v>50</v>
      </c>
      <c r="J603" s="43"/>
      <c r="K603" s="43"/>
      <c r="L603" s="43" t="s">
        <v>52</v>
      </c>
      <c r="N603" s="44" t="str">
        <f t="shared" si="81"/>
        <v/>
      </c>
      <c r="O603" s="45" t="s">
        <v>107</v>
      </c>
      <c r="P603" s="67"/>
      <c r="Q603" s="67"/>
      <c r="R603" s="68"/>
      <c r="S603" s="69"/>
      <c r="T603" s="82">
        <v>0.6875</v>
      </c>
      <c r="U603" s="82">
        <v>0.69444444444444453</v>
      </c>
      <c r="V603" s="97" t="s">
        <v>108</v>
      </c>
      <c r="X603" s="106" t="s">
        <v>90</v>
      </c>
      <c r="Y603" s="85"/>
      <c r="Z603" s="85"/>
      <c r="AA603" s="97" t="s">
        <v>92</v>
      </c>
      <c r="AB603" s="73"/>
      <c r="AE603" s="3" t="str">
        <f t="shared" si="82"/>
        <v>-</v>
      </c>
      <c r="AF603" s="107">
        <v>0.70138888888888884</v>
      </c>
      <c r="AG603" s="112">
        <v>0.70833333333333337</v>
      </c>
      <c r="AH603" s="113">
        <v>15</v>
      </c>
      <c r="AI603" s="54"/>
      <c r="AK603" s="3">
        <v>1</v>
      </c>
      <c r="AP603" s="4"/>
    </row>
    <row r="604" spans="1:45" ht="20.100000000000001">
      <c r="A604" s="35" t="e">
        <f t="shared" si="76"/>
        <v>#REF!</v>
      </c>
      <c r="N604" s="44" t="str">
        <f t="shared" si="81"/>
        <v/>
      </c>
      <c r="R604" s="47"/>
      <c r="AE604" s="3" t="str">
        <f t="shared" si="82"/>
        <v>-</v>
      </c>
      <c r="AF604" s="51"/>
      <c r="AG604" s="52" t="str">
        <f t="shared" ref="AG604:AG667" ca="1" si="84">IF(AF604="","",IF($AF604+TIME(0,30,0)&lt;(TEXT(NOW(),"h:mm:ss")*1),$AF604+TIME(0,45,0),$AF604+TIME(0,30,0)))</f>
        <v/>
      </c>
      <c r="AI604" s="54"/>
      <c r="AK604" s="3">
        <v>1</v>
      </c>
      <c r="AP604" s="4"/>
    </row>
    <row r="605" spans="1:45" ht="20.100000000000001">
      <c r="A605" s="35" t="e">
        <f t="shared" si="76"/>
        <v>#REF!</v>
      </c>
      <c r="N605" s="44" t="str">
        <f t="shared" si="81"/>
        <v/>
      </c>
      <c r="R605" s="47"/>
      <c r="AE605" s="3" t="str">
        <f t="shared" si="82"/>
        <v>-</v>
      </c>
      <c r="AF605" s="51"/>
      <c r="AG605" s="52" t="str">
        <f t="shared" ca="1" si="84"/>
        <v/>
      </c>
      <c r="AI605" s="54"/>
      <c r="AK605" s="3">
        <v>1</v>
      </c>
      <c r="AP605" s="4"/>
    </row>
    <row r="606" spans="1:45" ht="20.100000000000001">
      <c r="A606" s="35" t="e">
        <f t="shared" si="76"/>
        <v>#REF!</v>
      </c>
      <c r="N606" s="44" t="str">
        <f t="shared" si="81"/>
        <v/>
      </c>
      <c r="R606" s="47"/>
      <c r="AE606" s="3" t="str">
        <f t="shared" si="82"/>
        <v>-</v>
      </c>
      <c r="AF606" s="51"/>
      <c r="AG606" s="52" t="str">
        <f t="shared" ca="1" si="84"/>
        <v/>
      </c>
      <c r="AI606" s="54"/>
      <c r="AK606" s="3">
        <v>1</v>
      </c>
      <c r="AP606" s="4"/>
    </row>
    <row r="607" spans="1:45" ht="20.100000000000001">
      <c r="A607" s="35" t="e">
        <f t="shared" si="76"/>
        <v>#REF!</v>
      </c>
      <c r="N607" s="44" t="str">
        <f t="shared" si="81"/>
        <v/>
      </c>
      <c r="R607" s="47"/>
      <c r="AE607" s="3" t="str">
        <f t="shared" si="82"/>
        <v>-</v>
      </c>
      <c r="AF607" s="51"/>
      <c r="AG607" s="52" t="str">
        <f t="shared" ca="1" si="84"/>
        <v/>
      </c>
      <c r="AI607" s="54"/>
      <c r="AK607" s="3">
        <v>1</v>
      </c>
      <c r="AP607" s="4"/>
    </row>
    <row r="608" spans="1:45" ht="20.100000000000001">
      <c r="A608" s="35" t="e">
        <f t="shared" si="76"/>
        <v>#REF!</v>
      </c>
      <c r="N608" s="44" t="str">
        <f t="shared" si="81"/>
        <v/>
      </c>
      <c r="R608" s="47"/>
      <c r="AE608" s="3" t="str">
        <f t="shared" si="82"/>
        <v>-</v>
      </c>
      <c r="AF608" s="51"/>
      <c r="AG608" s="52" t="str">
        <f t="shared" ca="1" si="84"/>
        <v/>
      </c>
      <c r="AI608" s="54"/>
      <c r="AK608" s="3">
        <v>1</v>
      </c>
      <c r="AP608" s="4"/>
    </row>
    <row r="609" spans="1:42" ht="20.100000000000001">
      <c r="A609" s="35" t="e">
        <f t="shared" si="76"/>
        <v>#REF!</v>
      </c>
      <c r="N609" s="44" t="str">
        <f t="shared" si="81"/>
        <v/>
      </c>
      <c r="R609" s="47"/>
      <c r="AE609" s="3" t="str">
        <f t="shared" si="82"/>
        <v>-</v>
      </c>
      <c r="AF609" s="51"/>
      <c r="AG609" s="52" t="str">
        <f t="shared" ca="1" si="84"/>
        <v/>
      </c>
      <c r="AI609" s="54"/>
      <c r="AK609" s="3">
        <v>1</v>
      </c>
      <c r="AP609" s="4"/>
    </row>
    <row r="610" spans="1:42" ht="20.100000000000001">
      <c r="A610" s="35" t="e">
        <f t="shared" si="76"/>
        <v>#REF!</v>
      </c>
      <c r="N610" s="44" t="str">
        <f t="shared" si="81"/>
        <v/>
      </c>
      <c r="R610" s="47"/>
      <c r="AE610" s="3" t="str">
        <f t="shared" si="82"/>
        <v>-</v>
      </c>
      <c r="AF610" s="51"/>
      <c r="AG610" s="52" t="str">
        <f t="shared" ca="1" si="84"/>
        <v/>
      </c>
      <c r="AI610" s="54"/>
      <c r="AK610" s="3">
        <v>1</v>
      </c>
      <c r="AP610" s="4"/>
    </row>
    <row r="611" spans="1:42" ht="20.100000000000001">
      <c r="A611" s="35" t="e">
        <f t="shared" si="76"/>
        <v>#REF!</v>
      </c>
      <c r="N611" s="44" t="str">
        <f t="shared" si="81"/>
        <v/>
      </c>
      <c r="R611" s="47"/>
      <c r="AE611" s="3" t="str">
        <f t="shared" si="82"/>
        <v>-</v>
      </c>
      <c r="AF611" s="51"/>
      <c r="AG611" s="52" t="str">
        <f t="shared" ca="1" si="84"/>
        <v/>
      </c>
      <c r="AI611" s="54"/>
      <c r="AK611" s="3">
        <v>1</v>
      </c>
      <c r="AP611" s="4"/>
    </row>
    <row r="612" spans="1:42" ht="20.100000000000001">
      <c r="A612" s="35" t="e">
        <f t="shared" si="76"/>
        <v>#REF!</v>
      </c>
      <c r="N612" s="44" t="str">
        <f t="shared" si="81"/>
        <v/>
      </c>
      <c r="R612" s="47"/>
      <c r="AE612" s="3" t="str">
        <f t="shared" si="82"/>
        <v>-</v>
      </c>
      <c r="AF612" s="51"/>
      <c r="AG612" s="52" t="str">
        <f t="shared" ca="1" si="84"/>
        <v/>
      </c>
      <c r="AI612" s="54"/>
      <c r="AK612" s="3">
        <v>1</v>
      </c>
      <c r="AP612" s="4"/>
    </row>
    <row r="613" spans="1:42" ht="20.100000000000001">
      <c r="A613" s="35" t="e">
        <f t="shared" si="76"/>
        <v>#REF!</v>
      </c>
      <c r="N613" s="44" t="str">
        <f t="shared" si="81"/>
        <v/>
      </c>
      <c r="R613" s="47"/>
      <c r="AE613" s="3" t="str">
        <f t="shared" si="82"/>
        <v>-</v>
      </c>
      <c r="AF613" s="51"/>
      <c r="AG613" s="52" t="str">
        <f t="shared" ca="1" si="84"/>
        <v/>
      </c>
      <c r="AI613" s="54"/>
      <c r="AK613" s="3">
        <v>1</v>
      </c>
      <c r="AP613" s="4"/>
    </row>
    <row r="614" spans="1:42" ht="20.100000000000001">
      <c r="A614" s="35" t="e">
        <f t="shared" si="76"/>
        <v>#REF!</v>
      </c>
      <c r="N614" s="44" t="str">
        <f t="shared" si="81"/>
        <v/>
      </c>
      <c r="R614" s="47"/>
      <c r="AE614" s="3" t="str">
        <f t="shared" si="82"/>
        <v>-</v>
      </c>
      <c r="AF614" s="51"/>
      <c r="AG614" s="52" t="str">
        <f t="shared" ca="1" si="84"/>
        <v/>
      </c>
      <c r="AI614" s="54"/>
      <c r="AK614" s="3">
        <v>1</v>
      </c>
      <c r="AP614" s="4"/>
    </row>
    <row r="615" spans="1:42" ht="20.100000000000001">
      <c r="A615" s="35" t="e">
        <f t="shared" si="76"/>
        <v>#REF!</v>
      </c>
      <c r="N615" s="44" t="str">
        <f t="shared" si="81"/>
        <v/>
      </c>
      <c r="R615" s="47"/>
      <c r="AE615" s="3" t="str">
        <f t="shared" si="82"/>
        <v>-</v>
      </c>
      <c r="AF615" s="51"/>
      <c r="AG615" s="52" t="str">
        <f t="shared" ca="1" si="84"/>
        <v/>
      </c>
      <c r="AI615" s="54"/>
      <c r="AK615" s="3">
        <v>1</v>
      </c>
      <c r="AP615" s="4"/>
    </row>
    <row r="616" spans="1:42" ht="20.100000000000001">
      <c r="A616" s="35" t="e">
        <f t="shared" si="76"/>
        <v>#REF!</v>
      </c>
      <c r="N616" s="44" t="str">
        <f t="shared" si="81"/>
        <v/>
      </c>
      <c r="R616" s="47"/>
      <c r="AE616" s="3" t="str">
        <f t="shared" si="82"/>
        <v>-</v>
      </c>
      <c r="AF616" s="51"/>
      <c r="AG616" s="52" t="str">
        <f t="shared" ca="1" si="84"/>
        <v/>
      </c>
      <c r="AI616" s="54"/>
      <c r="AK616" s="3">
        <v>1</v>
      </c>
      <c r="AP616" s="4"/>
    </row>
    <row r="617" spans="1:42" ht="20.100000000000001">
      <c r="A617" s="35" t="e">
        <f t="shared" si="76"/>
        <v>#REF!</v>
      </c>
      <c r="N617" s="44" t="str">
        <f t="shared" si="81"/>
        <v/>
      </c>
      <c r="R617" s="47"/>
      <c r="AE617" s="3" t="str">
        <f t="shared" si="82"/>
        <v>-</v>
      </c>
      <c r="AF617" s="51"/>
      <c r="AG617" s="52" t="str">
        <f t="shared" ca="1" si="84"/>
        <v/>
      </c>
      <c r="AI617" s="54"/>
      <c r="AK617" s="3">
        <v>1</v>
      </c>
      <c r="AP617" s="4"/>
    </row>
    <row r="618" spans="1:42" ht="20.100000000000001">
      <c r="A618" s="35" t="e">
        <f t="shared" si="76"/>
        <v>#REF!</v>
      </c>
      <c r="N618" s="44" t="str">
        <f t="shared" si="81"/>
        <v/>
      </c>
      <c r="R618" s="47"/>
      <c r="AE618" s="3" t="str">
        <f t="shared" si="82"/>
        <v>-</v>
      </c>
      <c r="AF618" s="51"/>
      <c r="AG618" s="52" t="str">
        <f t="shared" ca="1" si="84"/>
        <v/>
      </c>
      <c r="AI618" s="54"/>
      <c r="AK618" s="3">
        <v>1</v>
      </c>
      <c r="AP618" s="4"/>
    </row>
    <row r="619" spans="1:42" ht="20.100000000000001">
      <c r="A619" s="35" t="e">
        <f t="shared" si="76"/>
        <v>#REF!</v>
      </c>
      <c r="N619" s="44" t="str">
        <f t="shared" si="81"/>
        <v/>
      </c>
      <c r="R619" s="47"/>
      <c r="AE619" s="3" t="str">
        <f t="shared" si="82"/>
        <v>-</v>
      </c>
      <c r="AF619" s="51"/>
      <c r="AG619" s="52" t="str">
        <f t="shared" ca="1" si="84"/>
        <v/>
      </c>
      <c r="AI619" s="54"/>
      <c r="AK619" s="3">
        <v>1</v>
      </c>
      <c r="AP619" s="4"/>
    </row>
    <row r="620" spans="1:42" ht="20.100000000000001">
      <c r="A620" s="35" t="e">
        <f t="shared" si="76"/>
        <v>#REF!</v>
      </c>
      <c r="N620" s="44" t="str">
        <f t="shared" si="81"/>
        <v/>
      </c>
      <c r="R620" s="47"/>
      <c r="AE620" s="3" t="str">
        <f t="shared" si="82"/>
        <v>-</v>
      </c>
      <c r="AF620" s="51"/>
      <c r="AG620" s="52" t="str">
        <f t="shared" ca="1" si="84"/>
        <v/>
      </c>
      <c r="AI620" s="54"/>
      <c r="AK620" s="3">
        <v>1</v>
      </c>
      <c r="AP620" s="4"/>
    </row>
    <row r="621" spans="1:42" ht="20.100000000000001">
      <c r="A621" s="35" t="e">
        <f t="shared" si="76"/>
        <v>#REF!</v>
      </c>
      <c r="N621" s="44" t="str">
        <f t="shared" si="81"/>
        <v/>
      </c>
      <c r="R621" s="47"/>
      <c r="AE621" s="3" t="str">
        <f t="shared" si="82"/>
        <v>-</v>
      </c>
      <c r="AF621" s="51"/>
      <c r="AG621" s="52" t="str">
        <f t="shared" ca="1" si="84"/>
        <v/>
      </c>
      <c r="AI621" s="54"/>
      <c r="AK621" s="3">
        <v>1</v>
      </c>
      <c r="AP621" s="4"/>
    </row>
    <row r="622" spans="1:42" ht="20.100000000000001">
      <c r="A622" s="35" t="e">
        <f t="shared" si="76"/>
        <v>#REF!</v>
      </c>
      <c r="N622" s="44" t="str">
        <f t="shared" si="81"/>
        <v/>
      </c>
      <c r="R622" s="47"/>
      <c r="AE622" s="3" t="str">
        <f t="shared" si="82"/>
        <v>-</v>
      </c>
      <c r="AF622" s="51"/>
      <c r="AG622" s="52" t="str">
        <f t="shared" ca="1" si="84"/>
        <v/>
      </c>
      <c r="AI622" s="54"/>
      <c r="AK622" s="3">
        <v>1</v>
      </c>
      <c r="AP622" s="4"/>
    </row>
    <row r="623" spans="1:42" ht="20.100000000000001">
      <c r="A623" s="35" t="e">
        <f t="shared" si="76"/>
        <v>#REF!</v>
      </c>
      <c r="N623" s="44" t="str">
        <f t="shared" si="81"/>
        <v/>
      </c>
      <c r="R623" s="47"/>
      <c r="AE623" s="3" t="str">
        <f t="shared" si="82"/>
        <v>-</v>
      </c>
      <c r="AF623" s="51"/>
      <c r="AG623" s="52" t="str">
        <f t="shared" ca="1" si="84"/>
        <v/>
      </c>
      <c r="AI623" s="54"/>
      <c r="AK623" s="3">
        <v>1</v>
      </c>
      <c r="AP623" s="4"/>
    </row>
    <row r="624" spans="1:42" ht="20.100000000000001">
      <c r="A624" s="35" t="e">
        <f t="shared" si="76"/>
        <v>#REF!</v>
      </c>
      <c r="N624" s="44" t="str">
        <f t="shared" si="81"/>
        <v/>
      </c>
      <c r="R624" s="47"/>
      <c r="AE624" s="3" t="str">
        <f t="shared" si="82"/>
        <v>-</v>
      </c>
      <c r="AF624" s="51"/>
      <c r="AG624" s="52" t="str">
        <f t="shared" ca="1" si="84"/>
        <v/>
      </c>
      <c r="AI624" s="54"/>
      <c r="AK624" s="3">
        <v>1</v>
      </c>
      <c r="AP624" s="4"/>
    </row>
    <row r="625" spans="1:42" ht="20.100000000000001">
      <c r="A625" s="35" t="e">
        <f t="shared" si="76"/>
        <v>#REF!</v>
      </c>
      <c r="N625" s="44" t="str">
        <f t="shared" si="81"/>
        <v/>
      </c>
      <c r="R625" s="47"/>
      <c r="AE625" s="3" t="str">
        <f t="shared" si="82"/>
        <v>-</v>
      </c>
      <c r="AF625" s="51"/>
      <c r="AG625" s="52" t="str">
        <f t="shared" ca="1" si="84"/>
        <v/>
      </c>
      <c r="AI625" s="54"/>
      <c r="AK625" s="3">
        <v>1</v>
      </c>
      <c r="AP625" s="4"/>
    </row>
    <row r="626" spans="1:42" ht="20.100000000000001">
      <c r="A626" s="35" t="e">
        <f t="shared" si="76"/>
        <v>#REF!</v>
      </c>
      <c r="N626" s="44" t="str">
        <f t="shared" si="81"/>
        <v/>
      </c>
      <c r="R626" s="47"/>
      <c r="AE626" s="3" t="str">
        <f t="shared" si="82"/>
        <v>-</v>
      </c>
      <c r="AF626" s="51"/>
      <c r="AG626" s="52" t="str">
        <f t="shared" ca="1" si="84"/>
        <v/>
      </c>
      <c r="AI626" s="54"/>
      <c r="AK626" s="3">
        <v>1</v>
      </c>
      <c r="AP626" s="4"/>
    </row>
    <row r="627" spans="1:42" ht="20.100000000000001">
      <c r="A627" s="35" t="e">
        <f t="shared" si="76"/>
        <v>#REF!</v>
      </c>
      <c r="N627" s="44" t="str">
        <f t="shared" si="81"/>
        <v/>
      </c>
      <c r="R627" s="47"/>
      <c r="AE627" s="3" t="str">
        <f t="shared" si="82"/>
        <v>-</v>
      </c>
      <c r="AF627" s="51"/>
      <c r="AG627" s="52" t="str">
        <f t="shared" ca="1" si="84"/>
        <v/>
      </c>
      <c r="AI627" s="54"/>
      <c r="AK627" s="3">
        <v>1</v>
      </c>
      <c r="AP627" s="4"/>
    </row>
    <row r="628" spans="1:42" ht="20.100000000000001">
      <c r="A628" s="35" t="e">
        <f t="shared" si="76"/>
        <v>#REF!</v>
      </c>
      <c r="N628" s="44" t="str">
        <f t="shared" si="81"/>
        <v/>
      </c>
      <c r="R628" s="47"/>
      <c r="AE628" s="3" t="str">
        <f t="shared" si="82"/>
        <v>-</v>
      </c>
      <c r="AF628" s="51"/>
      <c r="AG628" s="52" t="str">
        <f t="shared" ca="1" si="84"/>
        <v/>
      </c>
      <c r="AI628" s="54"/>
      <c r="AK628" s="3">
        <v>1</v>
      </c>
      <c r="AP628" s="4"/>
    </row>
    <row r="629" spans="1:42" ht="20.100000000000001">
      <c r="A629" s="35" t="e">
        <f t="shared" si="76"/>
        <v>#REF!</v>
      </c>
      <c r="N629" s="44" t="str">
        <f t="shared" si="81"/>
        <v/>
      </c>
      <c r="R629" s="47"/>
      <c r="AE629" s="3" t="str">
        <f t="shared" si="82"/>
        <v>-</v>
      </c>
      <c r="AF629" s="51"/>
      <c r="AG629" s="52" t="str">
        <f t="shared" ca="1" si="84"/>
        <v/>
      </c>
      <c r="AI629" s="54"/>
      <c r="AK629" s="3">
        <v>1</v>
      </c>
      <c r="AP629" s="4"/>
    </row>
    <row r="630" spans="1:42" ht="20.100000000000001">
      <c r="A630" s="35" t="e">
        <f t="shared" si="76"/>
        <v>#REF!</v>
      </c>
      <c r="N630" s="44" t="str">
        <f t="shared" si="81"/>
        <v/>
      </c>
      <c r="R630" s="47"/>
      <c r="AE630" s="3" t="str">
        <f t="shared" si="82"/>
        <v>-</v>
      </c>
      <c r="AF630" s="51"/>
      <c r="AG630" s="52" t="str">
        <f t="shared" ca="1" si="84"/>
        <v/>
      </c>
      <c r="AI630" s="54"/>
      <c r="AK630" s="3">
        <v>1</v>
      </c>
      <c r="AP630" s="4"/>
    </row>
    <row r="631" spans="1:42" ht="20.100000000000001">
      <c r="A631" s="35" t="e">
        <f t="shared" si="76"/>
        <v>#REF!</v>
      </c>
      <c r="N631" s="44" t="str">
        <f t="shared" si="81"/>
        <v/>
      </c>
      <c r="R631" s="47"/>
      <c r="AE631" s="3" t="str">
        <f t="shared" si="82"/>
        <v>-</v>
      </c>
      <c r="AF631" s="51"/>
      <c r="AG631" s="52" t="str">
        <f t="shared" ca="1" si="84"/>
        <v/>
      </c>
      <c r="AI631" s="54"/>
      <c r="AK631" s="3">
        <v>1</v>
      </c>
      <c r="AP631" s="4"/>
    </row>
    <row r="632" spans="1:42" ht="20.100000000000001">
      <c r="A632" s="35" t="e">
        <f t="shared" si="76"/>
        <v>#REF!</v>
      </c>
      <c r="N632" s="44" t="str">
        <f t="shared" si="81"/>
        <v/>
      </c>
      <c r="R632" s="47"/>
      <c r="AE632" s="3" t="str">
        <f t="shared" si="82"/>
        <v>-</v>
      </c>
      <c r="AF632" s="51"/>
      <c r="AG632" s="52" t="str">
        <f t="shared" ca="1" si="84"/>
        <v/>
      </c>
      <c r="AI632" s="54"/>
      <c r="AK632" s="3">
        <v>1</v>
      </c>
      <c r="AP632" s="4"/>
    </row>
    <row r="633" spans="1:42" ht="20.100000000000001">
      <c r="A633" s="35" t="e">
        <f t="shared" si="76"/>
        <v>#REF!</v>
      </c>
      <c r="N633" s="44" t="str">
        <f t="shared" si="81"/>
        <v/>
      </c>
      <c r="R633" s="47"/>
      <c r="AE633" s="3" t="str">
        <f t="shared" si="82"/>
        <v>-</v>
      </c>
      <c r="AF633" s="51"/>
      <c r="AG633" s="52" t="str">
        <f t="shared" ca="1" si="84"/>
        <v/>
      </c>
      <c r="AI633" s="54"/>
      <c r="AK633" s="3">
        <v>1</v>
      </c>
      <c r="AP633" s="4"/>
    </row>
    <row r="634" spans="1:42" ht="20.100000000000001">
      <c r="A634" s="35" t="e">
        <f t="shared" si="76"/>
        <v>#REF!</v>
      </c>
      <c r="N634" s="44" t="str">
        <f t="shared" si="81"/>
        <v/>
      </c>
      <c r="R634" s="47"/>
      <c r="AE634" s="3" t="str">
        <f t="shared" si="82"/>
        <v>-</v>
      </c>
      <c r="AF634" s="51"/>
      <c r="AG634" s="52" t="str">
        <f t="shared" ca="1" si="84"/>
        <v/>
      </c>
      <c r="AI634" s="54"/>
      <c r="AK634" s="3">
        <v>1</v>
      </c>
      <c r="AP634" s="4"/>
    </row>
    <row r="635" spans="1:42" ht="20.100000000000001">
      <c r="A635" s="35" t="e">
        <f t="shared" si="76"/>
        <v>#REF!</v>
      </c>
      <c r="N635" s="44" t="str">
        <f t="shared" si="81"/>
        <v/>
      </c>
      <c r="R635" s="47"/>
      <c r="AE635" s="3" t="str">
        <f t="shared" si="82"/>
        <v>-</v>
      </c>
      <c r="AF635" s="51"/>
      <c r="AG635" s="52" t="str">
        <f t="shared" ca="1" si="84"/>
        <v/>
      </c>
      <c r="AI635" s="54"/>
      <c r="AK635" s="3">
        <v>1</v>
      </c>
      <c r="AP635" s="4"/>
    </row>
    <row r="636" spans="1:42" ht="20.100000000000001">
      <c r="A636" s="35" t="e">
        <f t="shared" si="76"/>
        <v>#REF!</v>
      </c>
      <c r="N636" s="44" t="str">
        <f t="shared" si="81"/>
        <v/>
      </c>
      <c r="R636" s="47"/>
      <c r="AE636" s="3" t="str">
        <f t="shared" si="82"/>
        <v>-</v>
      </c>
      <c r="AF636" s="51"/>
      <c r="AG636" s="52" t="str">
        <f t="shared" ca="1" si="84"/>
        <v/>
      </c>
      <c r="AI636" s="54"/>
      <c r="AK636" s="3">
        <v>1</v>
      </c>
      <c r="AP636" s="4"/>
    </row>
    <row r="637" spans="1:42" ht="20.100000000000001">
      <c r="A637" s="35" t="e">
        <f t="shared" si="76"/>
        <v>#REF!</v>
      </c>
      <c r="N637" s="44" t="str">
        <f t="shared" si="81"/>
        <v/>
      </c>
      <c r="R637" s="47"/>
      <c r="AE637" s="3" t="str">
        <f t="shared" si="82"/>
        <v>-</v>
      </c>
      <c r="AF637" s="51"/>
      <c r="AG637" s="52" t="str">
        <f t="shared" ca="1" si="84"/>
        <v/>
      </c>
      <c r="AI637" s="54"/>
      <c r="AK637" s="3">
        <v>1</v>
      </c>
      <c r="AP637" s="4"/>
    </row>
    <row r="638" spans="1:42" ht="20.100000000000001">
      <c r="A638" s="35" t="e">
        <f t="shared" si="76"/>
        <v>#REF!</v>
      </c>
      <c r="N638" s="44" t="str">
        <f t="shared" si="81"/>
        <v/>
      </c>
      <c r="R638" s="47"/>
      <c r="AE638" s="3" t="str">
        <f t="shared" si="82"/>
        <v>-</v>
      </c>
      <c r="AF638" s="51"/>
      <c r="AG638" s="52" t="str">
        <f t="shared" ca="1" si="84"/>
        <v/>
      </c>
      <c r="AI638" s="54"/>
      <c r="AK638" s="3">
        <v>1</v>
      </c>
      <c r="AP638" s="4"/>
    </row>
    <row r="639" spans="1:42" ht="20.100000000000001">
      <c r="A639" s="35" t="e">
        <f t="shared" si="76"/>
        <v>#REF!</v>
      </c>
      <c r="N639" s="44" t="str">
        <f t="shared" si="81"/>
        <v/>
      </c>
      <c r="R639" s="47"/>
      <c r="AE639" s="3" t="str">
        <f t="shared" si="82"/>
        <v>-</v>
      </c>
      <c r="AF639" s="51"/>
      <c r="AG639" s="52" t="str">
        <f t="shared" ca="1" si="84"/>
        <v/>
      </c>
      <c r="AI639" s="54"/>
      <c r="AK639" s="3">
        <v>1</v>
      </c>
      <c r="AP639" s="4"/>
    </row>
    <row r="640" spans="1:42" ht="20.100000000000001">
      <c r="A640" s="35" t="e">
        <f t="shared" si="76"/>
        <v>#REF!</v>
      </c>
      <c r="N640" s="44" t="str">
        <f t="shared" si="81"/>
        <v/>
      </c>
      <c r="R640" s="47"/>
      <c r="AE640" s="3" t="str">
        <f t="shared" si="82"/>
        <v>-</v>
      </c>
      <c r="AF640" s="51"/>
      <c r="AG640" s="52" t="str">
        <f t="shared" ca="1" si="84"/>
        <v/>
      </c>
      <c r="AI640" s="54"/>
      <c r="AK640" s="3">
        <v>1</v>
      </c>
      <c r="AP640" s="4"/>
    </row>
    <row r="641" spans="1:42" ht="20.100000000000001">
      <c r="A641" s="35" t="e">
        <f t="shared" si="76"/>
        <v>#REF!</v>
      </c>
      <c r="N641" s="44" t="str">
        <f t="shared" si="81"/>
        <v/>
      </c>
      <c r="R641" s="47"/>
      <c r="AE641" s="3" t="str">
        <f t="shared" si="82"/>
        <v>-</v>
      </c>
      <c r="AF641" s="51"/>
      <c r="AG641" s="52" t="str">
        <f t="shared" ca="1" si="84"/>
        <v/>
      </c>
      <c r="AI641" s="54"/>
      <c r="AK641" s="3">
        <v>1</v>
      </c>
      <c r="AP641" s="4"/>
    </row>
    <row r="642" spans="1:42" ht="20.100000000000001">
      <c r="A642" s="35" t="e">
        <f t="shared" si="76"/>
        <v>#REF!</v>
      </c>
      <c r="N642" s="44" t="str">
        <f t="shared" si="81"/>
        <v/>
      </c>
      <c r="R642" s="47"/>
      <c r="AE642" s="3" t="str">
        <f t="shared" si="82"/>
        <v>-</v>
      </c>
      <c r="AF642" s="51"/>
      <c r="AG642" s="52" t="str">
        <f t="shared" ca="1" si="84"/>
        <v/>
      </c>
      <c r="AI642" s="54"/>
      <c r="AK642" s="3">
        <v>1</v>
      </c>
      <c r="AP642" s="4"/>
    </row>
    <row r="643" spans="1:42" ht="20.100000000000001">
      <c r="A643" s="35" t="e">
        <f t="shared" si="76"/>
        <v>#REF!</v>
      </c>
      <c r="N643" s="44" t="str">
        <f t="shared" si="81"/>
        <v/>
      </c>
      <c r="R643" s="47"/>
      <c r="AE643" s="3" t="str">
        <f t="shared" si="82"/>
        <v>-</v>
      </c>
      <c r="AF643" s="51"/>
      <c r="AG643" s="52" t="str">
        <f t="shared" ca="1" si="84"/>
        <v/>
      </c>
      <c r="AI643" s="54"/>
      <c r="AK643" s="3">
        <v>1</v>
      </c>
      <c r="AP643" s="4"/>
    </row>
    <row r="644" spans="1:42" ht="20.100000000000001">
      <c r="A644" s="35" t="e">
        <f t="shared" si="76"/>
        <v>#REF!</v>
      </c>
      <c r="N644" s="44" t="str">
        <f t="shared" si="81"/>
        <v/>
      </c>
      <c r="R644" s="47"/>
      <c r="AE644" s="3" t="str">
        <f t="shared" si="82"/>
        <v>-</v>
      </c>
      <c r="AF644" s="51"/>
      <c r="AG644" s="52" t="str">
        <f t="shared" ca="1" si="84"/>
        <v/>
      </c>
      <c r="AI644" s="54"/>
      <c r="AK644" s="3">
        <v>1</v>
      </c>
      <c r="AP644" s="4"/>
    </row>
    <row r="645" spans="1:42" ht="20.100000000000001">
      <c r="A645" s="35" t="e">
        <f t="shared" si="76"/>
        <v>#REF!</v>
      </c>
      <c r="N645" s="44" t="str">
        <f t="shared" si="81"/>
        <v/>
      </c>
      <c r="R645" s="47"/>
      <c r="AE645" s="3" t="str">
        <f t="shared" si="82"/>
        <v>-</v>
      </c>
      <c r="AF645" s="51"/>
      <c r="AG645" s="52" t="str">
        <f t="shared" ca="1" si="84"/>
        <v/>
      </c>
      <c r="AI645" s="54"/>
      <c r="AK645" s="3">
        <v>1</v>
      </c>
      <c r="AP645" s="4"/>
    </row>
    <row r="646" spans="1:42" ht="20.100000000000001">
      <c r="A646" s="35" t="e">
        <f t="shared" si="76"/>
        <v>#REF!</v>
      </c>
      <c r="N646" s="44" t="str">
        <f t="shared" si="81"/>
        <v/>
      </c>
      <c r="R646" s="47"/>
      <c r="AE646" s="3" t="str">
        <f t="shared" si="82"/>
        <v>-</v>
      </c>
      <c r="AF646" s="51"/>
      <c r="AG646" s="52" t="str">
        <f t="shared" ca="1" si="84"/>
        <v/>
      </c>
      <c r="AI646" s="54"/>
      <c r="AK646" s="3">
        <v>1</v>
      </c>
      <c r="AP646" s="4"/>
    </row>
    <row r="647" spans="1:42" ht="20.100000000000001">
      <c r="A647" s="35" t="e">
        <f t="shared" si="76"/>
        <v>#REF!</v>
      </c>
      <c r="N647" s="44" t="str">
        <f t="shared" si="81"/>
        <v/>
      </c>
      <c r="R647" s="47"/>
      <c r="AE647" s="3" t="str">
        <f t="shared" si="82"/>
        <v>-</v>
      </c>
      <c r="AF647" s="51"/>
      <c r="AG647" s="52" t="str">
        <f t="shared" ca="1" si="84"/>
        <v/>
      </c>
      <c r="AI647" s="54"/>
      <c r="AK647" s="3">
        <v>1</v>
      </c>
      <c r="AP647" s="4"/>
    </row>
    <row r="648" spans="1:42" ht="20.100000000000001">
      <c r="A648" s="35" t="e">
        <f t="shared" si="76"/>
        <v>#REF!</v>
      </c>
      <c r="N648" s="44" t="str">
        <f t="shared" si="81"/>
        <v/>
      </c>
      <c r="R648" s="47"/>
      <c r="AE648" s="3" t="str">
        <f t="shared" si="82"/>
        <v>-</v>
      </c>
      <c r="AF648" s="51"/>
      <c r="AG648" s="52" t="str">
        <f t="shared" ca="1" si="84"/>
        <v/>
      </c>
      <c r="AI648" s="54"/>
      <c r="AK648" s="3">
        <v>1</v>
      </c>
      <c r="AP648" s="4"/>
    </row>
    <row r="649" spans="1:42" ht="20.100000000000001">
      <c r="A649" s="35" t="e">
        <f t="shared" ref="A649:A712" si="85">A648</f>
        <v>#REF!</v>
      </c>
      <c r="N649" s="44" t="str">
        <f t="shared" si="81"/>
        <v/>
      </c>
      <c r="R649" s="47"/>
      <c r="AE649" s="3" t="str">
        <f t="shared" si="82"/>
        <v>-</v>
      </c>
      <c r="AF649" s="51"/>
      <c r="AG649" s="52" t="str">
        <f t="shared" ca="1" si="84"/>
        <v/>
      </c>
      <c r="AI649" s="54"/>
      <c r="AK649" s="3">
        <v>1</v>
      </c>
      <c r="AP649" s="4"/>
    </row>
    <row r="650" spans="1:42" ht="20.100000000000001">
      <c r="A650" s="35" t="e">
        <f t="shared" si="85"/>
        <v>#REF!</v>
      </c>
      <c r="N650" s="44" t="str">
        <f t="shared" si="81"/>
        <v/>
      </c>
      <c r="R650" s="47"/>
      <c r="AE650" s="3" t="str">
        <f t="shared" si="82"/>
        <v>-</v>
      </c>
      <c r="AF650" s="51"/>
      <c r="AG650" s="52" t="str">
        <f t="shared" ca="1" si="84"/>
        <v/>
      </c>
      <c r="AI650" s="54"/>
      <c r="AK650" s="3">
        <v>1</v>
      </c>
      <c r="AP650" s="4"/>
    </row>
    <row r="651" spans="1:42" ht="20.100000000000001">
      <c r="A651" s="35" t="e">
        <f t="shared" si="85"/>
        <v>#REF!</v>
      </c>
      <c r="N651" s="44" t="str">
        <f t="shared" si="81"/>
        <v/>
      </c>
      <c r="R651" s="47"/>
      <c r="AE651" s="3" t="str">
        <f t="shared" si="82"/>
        <v>-</v>
      </c>
      <c r="AF651" s="51"/>
      <c r="AG651" s="52" t="str">
        <f t="shared" ca="1" si="84"/>
        <v/>
      </c>
      <c r="AI651" s="54"/>
      <c r="AK651" s="3">
        <v>1</v>
      </c>
      <c r="AP651" s="4"/>
    </row>
    <row r="652" spans="1:42" ht="20.100000000000001">
      <c r="A652" s="35" t="e">
        <f t="shared" si="85"/>
        <v>#REF!</v>
      </c>
      <c r="N652" s="44" t="str">
        <f t="shared" si="81"/>
        <v/>
      </c>
      <c r="R652" s="47"/>
      <c r="AE652" s="3" t="str">
        <f t="shared" si="82"/>
        <v>-</v>
      </c>
      <c r="AF652" s="51"/>
      <c r="AG652" s="52" t="str">
        <f t="shared" ca="1" si="84"/>
        <v/>
      </c>
      <c r="AI652" s="54"/>
      <c r="AK652" s="3">
        <v>1</v>
      </c>
      <c r="AP652" s="4"/>
    </row>
    <row r="653" spans="1:42" ht="20.100000000000001">
      <c r="A653" s="35" t="e">
        <f t="shared" si="85"/>
        <v>#REF!</v>
      </c>
      <c r="N653" s="44" t="str">
        <f t="shared" si="81"/>
        <v/>
      </c>
      <c r="R653" s="47"/>
      <c r="AE653" s="3" t="str">
        <f t="shared" si="82"/>
        <v>-</v>
      </c>
      <c r="AF653" s="51"/>
      <c r="AG653" s="52" t="str">
        <f t="shared" ca="1" si="84"/>
        <v/>
      </c>
      <c r="AI653" s="54"/>
      <c r="AK653" s="3">
        <v>1</v>
      </c>
      <c r="AP653" s="4"/>
    </row>
    <row r="654" spans="1:42" ht="20.100000000000001">
      <c r="A654" s="35" t="e">
        <f t="shared" si="85"/>
        <v>#REF!</v>
      </c>
      <c r="N654" s="44" t="str">
        <f t="shared" si="81"/>
        <v/>
      </c>
      <c r="R654" s="47"/>
      <c r="AE654" s="3" t="str">
        <f t="shared" si="82"/>
        <v>-</v>
      </c>
      <c r="AF654" s="51"/>
      <c r="AG654" s="52" t="str">
        <f t="shared" ca="1" si="84"/>
        <v/>
      </c>
      <c r="AI654" s="54"/>
      <c r="AK654" s="3">
        <v>1</v>
      </c>
      <c r="AP654" s="4"/>
    </row>
    <row r="655" spans="1:42" ht="20.100000000000001">
      <c r="A655" s="35" t="e">
        <f t="shared" si="85"/>
        <v>#REF!</v>
      </c>
      <c r="N655" s="44" t="str">
        <f t="shared" si="81"/>
        <v/>
      </c>
      <c r="R655" s="47"/>
      <c r="AE655" s="3" t="str">
        <f t="shared" si="82"/>
        <v>-</v>
      </c>
      <c r="AF655" s="51"/>
      <c r="AG655" s="52" t="str">
        <f t="shared" ca="1" si="84"/>
        <v/>
      </c>
      <c r="AI655" s="54"/>
      <c r="AK655" s="3">
        <v>1</v>
      </c>
      <c r="AP655" s="4"/>
    </row>
    <row r="656" spans="1:42" ht="20.100000000000001">
      <c r="A656" s="35" t="e">
        <f t="shared" si="85"/>
        <v>#REF!</v>
      </c>
      <c r="N656" s="44" t="str">
        <f t="shared" si="81"/>
        <v/>
      </c>
      <c r="R656" s="47"/>
      <c r="AE656" s="3" t="str">
        <f t="shared" si="82"/>
        <v>-</v>
      </c>
      <c r="AF656" s="51"/>
      <c r="AG656" s="52" t="str">
        <f t="shared" ca="1" si="84"/>
        <v/>
      </c>
      <c r="AI656" s="54"/>
      <c r="AK656" s="3">
        <v>1</v>
      </c>
      <c r="AP656" s="4"/>
    </row>
    <row r="657" spans="1:42" ht="20.100000000000001">
      <c r="A657" s="35" t="e">
        <f t="shared" si="85"/>
        <v>#REF!</v>
      </c>
      <c r="N657" s="44" t="str">
        <f t="shared" si="81"/>
        <v/>
      </c>
      <c r="R657" s="47"/>
      <c r="AE657" s="3" t="str">
        <f t="shared" si="82"/>
        <v>-</v>
      </c>
      <c r="AF657" s="51"/>
      <c r="AG657" s="52" t="str">
        <f t="shared" ca="1" si="84"/>
        <v/>
      </c>
      <c r="AI657" s="54"/>
      <c r="AK657" s="3">
        <v>1</v>
      </c>
      <c r="AP657" s="4"/>
    </row>
    <row r="658" spans="1:42" ht="20.100000000000001">
      <c r="A658" s="35" t="e">
        <f t="shared" si="85"/>
        <v>#REF!</v>
      </c>
      <c r="N658" s="44" t="str">
        <f t="shared" si="81"/>
        <v/>
      </c>
      <c r="R658" s="47"/>
      <c r="AE658" s="3" t="str">
        <f t="shared" si="82"/>
        <v>-</v>
      </c>
      <c r="AF658" s="51"/>
      <c r="AG658" s="52" t="str">
        <f t="shared" ca="1" si="84"/>
        <v/>
      </c>
      <c r="AI658" s="54"/>
      <c r="AK658" s="3">
        <v>1</v>
      </c>
      <c r="AP658" s="4"/>
    </row>
    <row r="659" spans="1:42" ht="20.100000000000001">
      <c r="A659" s="35" t="e">
        <f t="shared" si="85"/>
        <v>#REF!</v>
      </c>
      <c r="N659" s="44" t="str">
        <f t="shared" si="81"/>
        <v/>
      </c>
      <c r="R659" s="47"/>
      <c r="AE659" s="3" t="str">
        <f t="shared" si="82"/>
        <v>-</v>
      </c>
      <c r="AF659" s="51"/>
      <c r="AG659" s="52" t="str">
        <f t="shared" ca="1" si="84"/>
        <v/>
      </c>
      <c r="AI659" s="54"/>
      <c r="AK659" s="3">
        <v>1</v>
      </c>
      <c r="AP659" s="4"/>
    </row>
    <row r="660" spans="1:42" ht="20.100000000000001">
      <c r="A660" s="35" t="e">
        <f t="shared" si="85"/>
        <v>#REF!</v>
      </c>
      <c r="N660" s="44" t="str">
        <f t="shared" ref="N660:N723" si="86">IF(C660="","",C660)</f>
        <v/>
      </c>
      <c r="R660" s="47"/>
      <c r="AE660" s="3" t="str">
        <f t="shared" ref="AE660:AE723" si="87">IF(OR(V660="電話不通 x2",V660="DS判断"),"DS確認→U列入力",IF(V660="希望","U列入力",IF(V660="拒否","DS確認",IF(V660="外国語","DS確認",IF(V660="電話不通 x1","ORM再架電","-")))))</f>
        <v>-</v>
      </c>
      <c r="AF660" s="51"/>
      <c r="AG660" s="52" t="str">
        <f t="shared" ca="1" si="84"/>
        <v/>
      </c>
      <c r="AI660" s="54"/>
      <c r="AK660" s="3">
        <v>1</v>
      </c>
      <c r="AP660" s="4"/>
    </row>
    <row r="661" spans="1:42" ht="20.100000000000001">
      <c r="A661" s="35" t="e">
        <f t="shared" si="85"/>
        <v>#REF!</v>
      </c>
      <c r="N661" s="44" t="str">
        <f t="shared" si="86"/>
        <v/>
      </c>
      <c r="R661" s="47"/>
      <c r="AE661" s="3" t="str">
        <f t="shared" si="87"/>
        <v>-</v>
      </c>
      <c r="AF661" s="51"/>
      <c r="AG661" s="52" t="str">
        <f t="shared" ca="1" si="84"/>
        <v/>
      </c>
      <c r="AI661" s="54"/>
      <c r="AK661" s="3">
        <v>1</v>
      </c>
      <c r="AP661" s="4"/>
    </row>
    <row r="662" spans="1:42" ht="20.100000000000001">
      <c r="A662" s="35" t="e">
        <f t="shared" si="85"/>
        <v>#REF!</v>
      </c>
      <c r="N662" s="44" t="str">
        <f t="shared" si="86"/>
        <v/>
      </c>
      <c r="R662" s="47"/>
      <c r="AE662" s="3" t="str">
        <f t="shared" si="87"/>
        <v>-</v>
      </c>
      <c r="AF662" s="51"/>
      <c r="AG662" s="52" t="str">
        <f t="shared" ca="1" si="84"/>
        <v/>
      </c>
      <c r="AI662" s="54"/>
      <c r="AK662" s="3">
        <v>1</v>
      </c>
      <c r="AP662" s="4"/>
    </row>
    <row r="663" spans="1:42" ht="20.100000000000001">
      <c r="A663" s="35" t="e">
        <f t="shared" si="85"/>
        <v>#REF!</v>
      </c>
      <c r="N663" s="44" t="str">
        <f t="shared" si="86"/>
        <v/>
      </c>
      <c r="R663" s="47"/>
      <c r="AE663" s="3" t="str">
        <f t="shared" si="87"/>
        <v>-</v>
      </c>
      <c r="AF663" s="51"/>
      <c r="AG663" s="52" t="str">
        <f t="shared" ca="1" si="84"/>
        <v/>
      </c>
      <c r="AI663" s="54"/>
      <c r="AK663" s="3">
        <v>1</v>
      </c>
      <c r="AP663" s="4"/>
    </row>
    <row r="664" spans="1:42" ht="20.100000000000001">
      <c r="A664" s="35" t="e">
        <f t="shared" si="85"/>
        <v>#REF!</v>
      </c>
      <c r="N664" s="44" t="str">
        <f t="shared" si="86"/>
        <v/>
      </c>
      <c r="R664" s="47"/>
      <c r="AE664" s="3" t="str">
        <f t="shared" si="87"/>
        <v>-</v>
      </c>
      <c r="AF664" s="51"/>
      <c r="AG664" s="52" t="str">
        <f t="shared" ca="1" si="84"/>
        <v/>
      </c>
      <c r="AI664" s="54"/>
      <c r="AK664" s="3">
        <v>1</v>
      </c>
      <c r="AP664" s="4"/>
    </row>
    <row r="665" spans="1:42" ht="20.100000000000001">
      <c r="A665" s="35" t="e">
        <f t="shared" si="85"/>
        <v>#REF!</v>
      </c>
      <c r="N665" s="44" t="str">
        <f t="shared" si="86"/>
        <v/>
      </c>
      <c r="R665" s="47"/>
      <c r="AE665" s="3" t="str">
        <f t="shared" si="87"/>
        <v>-</v>
      </c>
      <c r="AF665" s="51"/>
      <c r="AG665" s="52" t="str">
        <f t="shared" ca="1" si="84"/>
        <v/>
      </c>
      <c r="AI665" s="54"/>
      <c r="AK665" s="3">
        <v>1</v>
      </c>
      <c r="AP665" s="4"/>
    </row>
    <row r="666" spans="1:42" ht="20.100000000000001">
      <c r="A666" s="35" t="e">
        <f t="shared" si="85"/>
        <v>#REF!</v>
      </c>
      <c r="N666" s="44" t="str">
        <f t="shared" si="86"/>
        <v/>
      </c>
      <c r="R666" s="47"/>
      <c r="AE666" s="3" t="str">
        <f t="shared" si="87"/>
        <v>-</v>
      </c>
      <c r="AF666" s="51"/>
      <c r="AG666" s="52" t="str">
        <f t="shared" ca="1" si="84"/>
        <v/>
      </c>
      <c r="AI666" s="54"/>
      <c r="AK666" s="3">
        <v>1</v>
      </c>
      <c r="AP666" s="4"/>
    </row>
    <row r="667" spans="1:42" ht="20.100000000000001">
      <c r="A667" s="35" t="e">
        <f t="shared" si="85"/>
        <v>#REF!</v>
      </c>
      <c r="N667" s="44" t="str">
        <f t="shared" si="86"/>
        <v/>
      </c>
      <c r="R667" s="47"/>
      <c r="AE667" s="3" t="str">
        <f t="shared" si="87"/>
        <v>-</v>
      </c>
      <c r="AF667" s="51"/>
      <c r="AG667" s="52" t="str">
        <f t="shared" ca="1" si="84"/>
        <v/>
      </c>
      <c r="AI667" s="54"/>
      <c r="AK667" s="3">
        <v>1</v>
      </c>
      <c r="AP667" s="4"/>
    </row>
    <row r="668" spans="1:42" ht="20.100000000000001">
      <c r="A668" s="35" t="e">
        <f t="shared" si="85"/>
        <v>#REF!</v>
      </c>
      <c r="N668" s="44" t="str">
        <f t="shared" si="86"/>
        <v/>
      </c>
      <c r="R668" s="47"/>
      <c r="AE668" s="3" t="str">
        <f t="shared" si="87"/>
        <v>-</v>
      </c>
      <c r="AF668" s="51"/>
      <c r="AG668" s="52" t="str">
        <f t="shared" ref="AG668:AG731" ca="1" si="88">IF(AF668="","",IF($AF668+TIME(0,30,0)&lt;(TEXT(NOW(),"h:mm:ss")*1),$AF668+TIME(0,45,0),$AF668+TIME(0,30,0)))</f>
        <v/>
      </c>
      <c r="AI668" s="54"/>
      <c r="AK668" s="3">
        <v>1</v>
      </c>
      <c r="AP668" s="4"/>
    </row>
    <row r="669" spans="1:42" ht="20.100000000000001">
      <c r="A669" s="35" t="e">
        <f t="shared" si="85"/>
        <v>#REF!</v>
      </c>
      <c r="N669" s="44" t="str">
        <f t="shared" si="86"/>
        <v/>
      </c>
      <c r="R669" s="47"/>
      <c r="AE669" s="3" t="str">
        <f t="shared" si="87"/>
        <v>-</v>
      </c>
      <c r="AF669" s="51"/>
      <c r="AG669" s="52" t="str">
        <f t="shared" ca="1" si="88"/>
        <v/>
      </c>
      <c r="AI669" s="54"/>
      <c r="AK669" s="3">
        <v>1</v>
      </c>
      <c r="AP669" s="4"/>
    </row>
    <row r="670" spans="1:42" ht="20.100000000000001">
      <c r="A670" s="35" t="e">
        <f t="shared" si="85"/>
        <v>#REF!</v>
      </c>
      <c r="N670" s="44" t="str">
        <f t="shared" si="86"/>
        <v/>
      </c>
      <c r="R670" s="47"/>
      <c r="AE670" s="3" t="str">
        <f t="shared" si="87"/>
        <v>-</v>
      </c>
      <c r="AF670" s="51"/>
      <c r="AG670" s="52" t="str">
        <f t="shared" ca="1" si="88"/>
        <v/>
      </c>
      <c r="AI670" s="54"/>
      <c r="AK670" s="3">
        <v>1</v>
      </c>
      <c r="AP670" s="4"/>
    </row>
    <row r="671" spans="1:42" ht="20.100000000000001">
      <c r="A671" s="35" t="e">
        <f t="shared" si="85"/>
        <v>#REF!</v>
      </c>
      <c r="N671" s="44" t="str">
        <f t="shared" si="86"/>
        <v/>
      </c>
      <c r="R671" s="47"/>
      <c r="AE671" s="3" t="str">
        <f t="shared" si="87"/>
        <v>-</v>
      </c>
      <c r="AF671" s="51"/>
      <c r="AG671" s="52" t="str">
        <f t="shared" ca="1" si="88"/>
        <v/>
      </c>
      <c r="AI671" s="54"/>
      <c r="AK671" s="3">
        <v>1</v>
      </c>
      <c r="AP671" s="4"/>
    </row>
    <row r="672" spans="1:42" ht="20.100000000000001">
      <c r="A672" s="35" t="e">
        <f t="shared" si="85"/>
        <v>#REF!</v>
      </c>
      <c r="N672" s="44" t="str">
        <f t="shared" si="86"/>
        <v/>
      </c>
      <c r="R672" s="47"/>
      <c r="AE672" s="3" t="str">
        <f t="shared" si="87"/>
        <v>-</v>
      </c>
      <c r="AF672" s="51"/>
      <c r="AG672" s="52" t="str">
        <f t="shared" ca="1" si="88"/>
        <v/>
      </c>
      <c r="AI672" s="54"/>
      <c r="AK672" s="3">
        <v>1</v>
      </c>
      <c r="AP672" s="4"/>
    </row>
    <row r="673" spans="1:42" ht="20.100000000000001">
      <c r="A673" s="35" t="e">
        <f t="shared" si="85"/>
        <v>#REF!</v>
      </c>
      <c r="N673" s="44" t="str">
        <f t="shared" si="86"/>
        <v/>
      </c>
      <c r="R673" s="47"/>
      <c r="AE673" s="3" t="str">
        <f t="shared" si="87"/>
        <v>-</v>
      </c>
      <c r="AF673" s="51"/>
      <c r="AG673" s="52" t="str">
        <f t="shared" ca="1" si="88"/>
        <v/>
      </c>
      <c r="AI673" s="54"/>
      <c r="AK673" s="3">
        <v>1</v>
      </c>
      <c r="AP673" s="4"/>
    </row>
    <row r="674" spans="1:42" ht="20.100000000000001">
      <c r="A674" s="35" t="e">
        <f t="shared" si="85"/>
        <v>#REF!</v>
      </c>
      <c r="N674" s="44" t="str">
        <f t="shared" si="86"/>
        <v/>
      </c>
      <c r="R674" s="47"/>
      <c r="AE674" s="3" t="str">
        <f t="shared" si="87"/>
        <v>-</v>
      </c>
      <c r="AF674" s="51"/>
      <c r="AG674" s="52" t="str">
        <f t="shared" ca="1" si="88"/>
        <v/>
      </c>
      <c r="AI674" s="54"/>
      <c r="AK674" s="3">
        <v>1</v>
      </c>
      <c r="AP674" s="4"/>
    </row>
    <row r="675" spans="1:42" ht="20.100000000000001">
      <c r="A675" s="35" t="e">
        <f t="shared" si="85"/>
        <v>#REF!</v>
      </c>
      <c r="N675" s="44" t="str">
        <f t="shared" si="86"/>
        <v/>
      </c>
      <c r="R675" s="47"/>
      <c r="AE675" s="3" t="str">
        <f t="shared" si="87"/>
        <v>-</v>
      </c>
      <c r="AF675" s="51"/>
      <c r="AG675" s="52" t="str">
        <f t="shared" ca="1" si="88"/>
        <v/>
      </c>
      <c r="AI675" s="54"/>
      <c r="AK675" s="3">
        <v>1</v>
      </c>
      <c r="AP675" s="4"/>
    </row>
    <row r="676" spans="1:42" ht="20.100000000000001">
      <c r="A676" s="35" t="e">
        <f t="shared" si="85"/>
        <v>#REF!</v>
      </c>
      <c r="N676" s="44" t="str">
        <f t="shared" si="86"/>
        <v/>
      </c>
      <c r="R676" s="47"/>
      <c r="AE676" s="3" t="str">
        <f t="shared" si="87"/>
        <v>-</v>
      </c>
      <c r="AF676" s="51"/>
      <c r="AG676" s="52" t="str">
        <f t="shared" ca="1" si="88"/>
        <v/>
      </c>
      <c r="AI676" s="54"/>
      <c r="AK676" s="3">
        <v>1</v>
      </c>
      <c r="AP676" s="4"/>
    </row>
    <row r="677" spans="1:42" ht="20.100000000000001">
      <c r="A677" s="35" t="e">
        <f t="shared" si="85"/>
        <v>#REF!</v>
      </c>
      <c r="N677" s="44" t="str">
        <f t="shared" si="86"/>
        <v/>
      </c>
      <c r="R677" s="47"/>
      <c r="AE677" s="3" t="str">
        <f t="shared" si="87"/>
        <v>-</v>
      </c>
      <c r="AF677" s="51"/>
      <c r="AG677" s="52" t="str">
        <f t="shared" ca="1" si="88"/>
        <v/>
      </c>
      <c r="AI677" s="54"/>
      <c r="AK677" s="3">
        <v>1</v>
      </c>
      <c r="AP677" s="4"/>
    </row>
    <row r="678" spans="1:42" ht="20.100000000000001">
      <c r="A678" s="35" t="e">
        <f t="shared" si="85"/>
        <v>#REF!</v>
      </c>
      <c r="N678" s="44" t="str">
        <f t="shared" si="86"/>
        <v/>
      </c>
      <c r="R678" s="47"/>
      <c r="AE678" s="3" t="str">
        <f t="shared" si="87"/>
        <v>-</v>
      </c>
      <c r="AF678" s="51"/>
      <c r="AG678" s="52" t="str">
        <f t="shared" ca="1" si="88"/>
        <v/>
      </c>
      <c r="AI678" s="54"/>
      <c r="AK678" s="3">
        <v>1</v>
      </c>
      <c r="AP678" s="4"/>
    </row>
    <row r="679" spans="1:42" ht="20.100000000000001">
      <c r="A679" s="35" t="e">
        <f t="shared" si="85"/>
        <v>#REF!</v>
      </c>
      <c r="N679" s="44" t="str">
        <f t="shared" si="86"/>
        <v/>
      </c>
      <c r="R679" s="47"/>
      <c r="AE679" s="3" t="str">
        <f t="shared" si="87"/>
        <v>-</v>
      </c>
      <c r="AF679" s="51"/>
      <c r="AG679" s="52" t="str">
        <f t="shared" ca="1" si="88"/>
        <v/>
      </c>
      <c r="AI679" s="54"/>
      <c r="AK679" s="3">
        <v>1</v>
      </c>
      <c r="AP679" s="4"/>
    </row>
    <row r="680" spans="1:42" ht="20.100000000000001">
      <c r="A680" s="35" t="e">
        <f t="shared" si="85"/>
        <v>#REF!</v>
      </c>
      <c r="N680" s="44" t="str">
        <f t="shared" si="86"/>
        <v/>
      </c>
      <c r="R680" s="47"/>
      <c r="AE680" s="3" t="str">
        <f t="shared" si="87"/>
        <v>-</v>
      </c>
      <c r="AF680" s="51"/>
      <c r="AG680" s="52" t="str">
        <f t="shared" ca="1" si="88"/>
        <v/>
      </c>
      <c r="AI680" s="54"/>
      <c r="AK680" s="3">
        <v>1</v>
      </c>
      <c r="AP680" s="4"/>
    </row>
    <row r="681" spans="1:42" ht="20.100000000000001">
      <c r="A681" s="35" t="e">
        <f t="shared" si="85"/>
        <v>#REF!</v>
      </c>
      <c r="N681" s="44" t="str">
        <f t="shared" si="86"/>
        <v/>
      </c>
      <c r="R681" s="47"/>
      <c r="AE681" s="3" t="str">
        <f t="shared" si="87"/>
        <v>-</v>
      </c>
      <c r="AF681" s="51"/>
      <c r="AG681" s="52" t="str">
        <f t="shared" ca="1" si="88"/>
        <v/>
      </c>
      <c r="AI681" s="54"/>
      <c r="AK681" s="3">
        <v>1</v>
      </c>
      <c r="AP681" s="4"/>
    </row>
    <row r="682" spans="1:42" ht="20.100000000000001">
      <c r="A682" s="35" t="e">
        <f t="shared" si="85"/>
        <v>#REF!</v>
      </c>
      <c r="N682" s="44" t="str">
        <f t="shared" si="86"/>
        <v/>
      </c>
      <c r="R682" s="47"/>
      <c r="AE682" s="3" t="str">
        <f t="shared" si="87"/>
        <v>-</v>
      </c>
      <c r="AF682" s="51"/>
      <c r="AG682" s="52" t="str">
        <f t="shared" ca="1" si="88"/>
        <v/>
      </c>
      <c r="AI682" s="54"/>
      <c r="AK682" s="3">
        <v>1</v>
      </c>
      <c r="AP682" s="4"/>
    </row>
    <row r="683" spans="1:42" ht="20.100000000000001">
      <c r="A683" s="35" t="e">
        <f t="shared" si="85"/>
        <v>#REF!</v>
      </c>
      <c r="N683" s="44" t="str">
        <f t="shared" si="86"/>
        <v/>
      </c>
      <c r="R683" s="47"/>
      <c r="AE683" s="3" t="str">
        <f t="shared" si="87"/>
        <v>-</v>
      </c>
      <c r="AF683" s="51"/>
      <c r="AG683" s="52" t="str">
        <f t="shared" ca="1" si="88"/>
        <v/>
      </c>
      <c r="AI683" s="54"/>
      <c r="AK683" s="3">
        <v>1</v>
      </c>
      <c r="AP683" s="4"/>
    </row>
    <row r="684" spans="1:42" ht="20.100000000000001">
      <c r="A684" s="35" t="e">
        <f t="shared" si="85"/>
        <v>#REF!</v>
      </c>
      <c r="N684" s="44" t="str">
        <f t="shared" si="86"/>
        <v/>
      </c>
      <c r="R684" s="47"/>
      <c r="AE684" s="3" t="str">
        <f t="shared" si="87"/>
        <v>-</v>
      </c>
      <c r="AF684" s="51"/>
      <c r="AG684" s="52" t="str">
        <f t="shared" ca="1" si="88"/>
        <v/>
      </c>
      <c r="AI684" s="54"/>
      <c r="AK684" s="3">
        <v>1</v>
      </c>
      <c r="AP684" s="4"/>
    </row>
    <row r="685" spans="1:42" ht="20.100000000000001">
      <c r="A685" s="35" t="e">
        <f t="shared" si="85"/>
        <v>#REF!</v>
      </c>
      <c r="N685" s="44" t="str">
        <f t="shared" si="86"/>
        <v/>
      </c>
      <c r="R685" s="47"/>
      <c r="AE685" s="3" t="str">
        <f t="shared" si="87"/>
        <v>-</v>
      </c>
      <c r="AF685" s="51"/>
      <c r="AG685" s="52" t="str">
        <f t="shared" ca="1" si="88"/>
        <v/>
      </c>
      <c r="AI685" s="54"/>
      <c r="AK685" s="3">
        <v>1</v>
      </c>
      <c r="AP685" s="4"/>
    </row>
    <row r="686" spans="1:42" ht="20.100000000000001">
      <c r="A686" s="35" t="e">
        <f t="shared" si="85"/>
        <v>#REF!</v>
      </c>
      <c r="N686" s="44" t="str">
        <f t="shared" si="86"/>
        <v/>
      </c>
      <c r="R686" s="47"/>
      <c r="AE686" s="3" t="str">
        <f t="shared" si="87"/>
        <v>-</v>
      </c>
      <c r="AF686" s="51"/>
      <c r="AG686" s="52" t="str">
        <f t="shared" ca="1" si="88"/>
        <v/>
      </c>
      <c r="AI686" s="54"/>
      <c r="AK686" s="3">
        <v>1</v>
      </c>
      <c r="AP686" s="4"/>
    </row>
    <row r="687" spans="1:42" ht="20.100000000000001">
      <c r="A687" s="35" t="e">
        <f t="shared" si="85"/>
        <v>#REF!</v>
      </c>
      <c r="N687" s="44" t="str">
        <f t="shared" si="86"/>
        <v/>
      </c>
      <c r="R687" s="47"/>
      <c r="AE687" s="3" t="str">
        <f t="shared" si="87"/>
        <v>-</v>
      </c>
      <c r="AF687" s="51"/>
      <c r="AG687" s="52" t="str">
        <f t="shared" ca="1" si="88"/>
        <v/>
      </c>
      <c r="AI687" s="54"/>
      <c r="AK687" s="3">
        <v>1</v>
      </c>
      <c r="AP687" s="4"/>
    </row>
    <row r="688" spans="1:42" ht="20.100000000000001">
      <c r="A688" s="35" t="e">
        <f t="shared" si="85"/>
        <v>#REF!</v>
      </c>
      <c r="N688" s="44" t="str">
        <f t="shared" si="86"/>
        <v/>
      </c>
      <c r="R688" s="47"/>
      <c r="AE688" s="3" t="str">
        <f t="shared" si="87"/>
        <v>-</v>
      </c>
      <c r="AF688" s="51"/>
      <c r="AG688" s="52" t="str">
        <f t="shared" ca="1" si="88"/>
        <v/>
      </c>
      <c r="AI688" s="54"/>
      <c r="AK688" s="3">
        <v>1</v>
      </c>
      <c r="AP688" s="4"/>
    </row>
    <row r="689" spans="1:42" ht="20.100000000000001">
      <c r="A689" s="35" t="e">
        <f t="shared" si="85"/>
        <v>#REF!</v>
      </c>
      <c r="N689" s="44" t="str">
        <f t="shared" si="86"/>
        <v/>
      </c>
      <c r="R689" s="47"/>
      <c r="AE689" s="3" t="str">
        <f t="shared" si="87"/>
        <v>-</v>
      </c>
      <c r="AF689" s="51"/>
      <c r="AG689" s="52" t="str">
        <f t="shared" ca="1" si="88"/>
        <v/>
      </c>
      <c r="AI689" s="54"/>
      <c r="AK689" s="3">
        <v>1</v>
      </c>
      <c r="AP689" s="4"/>
    </row>
    <row r="690" spans="1:42" ht="20.100000000000001">
      <c r="A690" s="35" t="e">
        <f t="shared" si="85"/>
        <v>#REF!</v>
      </c>
      <c r="N690" s="44" t="str">
        <f t="shared" si="86"/>
        <v/>
      </c>
      <c r="R690" s="47"/>
      <c r="AE690" s="3" t="str">
        <f t="shared" si="87"/>
        <v>-</v>
      </c>
      <c r="AF690" s="51"/>
      <c r="AG690" s="52" t="str">
        <f t="shared" ca="1" si="88"/>
        <v/>
      </c>
      <c r="AI690" s="54"/>
      <c r="AK690" s="3">
        <v>1</v>
      </c>
      <c r="AP690" s="4"/>
    </row>
    <row r="691" spans="1:42" ht="20.100000000000001">
      <c r="A691" s="35" t="e">
        <f t="shared" si="85"/>
        <v>#REF!</v>
      </c>
      <c r="N691" s="44" t="str">
        <f t="shared" si="86"/>
        <v/>
      </c>
      <c r="R691" s="47"/>
      <c r="AE691" s="3" t="str">
        <f t="shared" si="87"/>
        <v>-</v>
      </c>
      <c r="AF691" s="51"/>
      <c r="AG691" s="52" t="str">
        <f t="shared" ca="1" si="88"/>
        <v/>
      </c>
      <c r="AI691" s="54"/>
      <c r="AK691" s="3">
        <v>1</v>
      </c>
      <c r="AP691" s="4"/>
    </row>
    <row r="692" spans="1:42" ht="20.100000000000001">
      <c r="A692" s="35" t="e">
        <f t="shared" si="85"/>
        <v>#REF!</v>
      </c>
      <c r="N692" s="44" t="str">
        <f t="shared" si="86"/>
        <v/>
      </c>
      <c r="R692" s="47"/>
      <c r="AE692" s="3" t="str">
        <f t="shared" si="87"/>
        <v>-</v>
      </c>
      <c r="AF692" s="51"/>
      <c r="AG692" s="52" t="str">
        <f t="shared" ca="1" si="88"/>
        <v/>
      </c>
      <c r="AI692" s="54"/>
      <c r="AK692" s="3">
        <v>1</v>
      </c>
      <c r="AP692" s="4"/>
    </row>
    <row r="693" spans="1:42" ht="20.100000000000001">
      <c r="A693" s="35" t="e">
        <f t="shared" si="85"/>
        <v>#REF!</v>
      </c>
      <c r="N693" s="44" t="str">
        <f t="shared" si="86"/>
        <v/>
      </c>
      <c r="R693" s="47"/>
      <c r="AE693" s="3" t="str">
        <f t="shared" si="87"/>
        <v>-</v>
      </c>
      <c r="AF693" s="51"/>
      <c r="AG693" s="52" t="str">
        <f t="shared" ca="1" si="88"/>
        <v/>
      </c>
      <c r="AI693" s="54"/>
      <c r="AK693" s="3">
        <v>1</v>
      </c>
      <c r="AP693" s="4"/>
    </row>
    <row r="694" spans="1:42" ht="20.100000000000001">
      <c r="A694" s="35" t="e">
        <f t="shared" si="85"/>
        <v>#REF!</v>
      </c>
      <c r="N694" s="44" t="str">
        <f t="shared" si="86"/>
        <v/>
      </c>
      <c r="R694" s="47"/>
      <c r="AE694" s="3" t="str">
        <f t="shared" si="87"/>
        <v>-</v>
      </c>
      <c r="AF694" s="51"/>
      <c r="AG694" s="52" t="str">
        <f t="shared" ca="1" si="88"/>
        <v/>
      </c>
      <c r="AI694" s="54"/>
      <c r="AK694" s="3">
        <v>1</v>
      </c>
      <c r="AP694" s="4"/>
    </row>
    <row r="695" spans="1:42" ht="20.100000000000001">
      <c r="A695" s="35" t="e">
        <f t="shared" si="85"/>
        <v>#REF!</v>
      </c>
      <c r="N695" s="44" t="str">
        <f t="shared" si="86"/>
        <v/>
      </c>
      <c r="R695" s="47"/>
      <c r="AE695" s="3" t="str">
        <f t="shared" si="87"/>
        <v>-</v>
      </c>
      <c r="AF695" s="51"/>
      <c r="AG695" s="52" t="str">
        <f t="shared" ca="1" si="88"/>
        <v/>
      </c>
      <c r="AI695" s="54"/>
      <c r="AK695" s="3">
        <v>1</v>
      </c>
      <c r="AP695" s="4"/>
    </row>
    <row r="696" spans="1:42" ht="20.100000000000001">
      <c r="A696" s="35" t="e">
        <f t="shared" si="85"/>
        <v>#REF!</v>
      </c>
      <c r="N696" s="44" t="str">
        <f t="shared" si="86"/>
        <v/>
      </c>
      <c r="R696" s="47"/>
      <c r="AE696" s="3" t="str">
        <f t="shared" si="87"/>
        <v>-</v>
      </c>
      <c r="AF696" s="51"/>
      <c r="AG696" s="52" t="str">
        <f t="shared" ca="1" si="88"/>
        <v/>
      </c>
      <c r="AI696" s="54"/>
      <c r="AK696" s="3">
        <v>1</v>
      </c>
      <c r="AP696" s="4"/>
    </row>
    <row r="697" spans="1:42" ht="20.100000000000001">
      <c r="A697" s="35" t="e">
        <f t="shared" si="85"/>
        <v>#REF!</v>
      </c>
      <c r="N697" s="44" t="str">
        <f t="shared" si="86"/>
        <v/>
      </c>
      <c r="R697" s="47"/>
      <c r="AE697" s="3" t="str">
        <f t="shared" si="87"/>
        <v>-</v>
      </c>
      <c r="AF697" s="51"/>
      <c r="AG697" s="52" t="str">
        <f t="shared" ca="1" si="88"/>
        <v/>
      </c>
      <c r="AI697" s="54"/>
      <c r="AK697" s="3">
        <v>1</v>
      </c>
      <c r="AP697" s="4"/>
    </row>
    <row r="698" spans="1:42" ht="20.100000000000001">
      <c r="A698" s="35" t="e">
        <f t="shared" si="85"/>
        <v>#REF!</v>
      </c>
      <c r="N698" s="44" t="str">
        <f t="shared" si="86"/>
        <v/>
      </c>
      <c r="R698" s="47"/>
      <c r="AE698" s="3" t="str">
        <f t="shared" si="87"/>
        <v>-</v>
      </c>
      <c r="AF698" s="51"/>
      <c r="AG698" s="52" t="str">
        <f t="shared" ca="1" si="88"/>
        <v/>
      </c>
      <c r="AI698" s="54"/>
      <c r="AK698" s="3">
        <v>1</v>
      </c>
      <c r="AP698" s="4"/>
    </row>
    <row r="699" spans="1:42" ht="20.100000000000001">
      <c r="A699" s="35" t="e">
        <f t="shared" si="85"/>
        <v>#REF!</v>
      </c>
      <c r="N699" s="44" t="str">
        <f t="shared" si="86"/>
        <v/>
      </c>
      <c r="R699" s="47"/>
      <c r="AE699" s="3" t="str">
        <f t="shared" si="87"/>
        <v>-</v>
      </c>
      <c r="AF699" s="51"/>
      <c r="AG699" s="52" t="str">
        <f t="shared" ca="1" si="88"/>
        <v/>
      </c>
      <c r="AI699" s="54"/>
      <c r="AK699" s="3">
        <v>1</v>
      </c>
      <c r="AP699" s="4"/>
    </row>
    <row r="700" spans="1:42" ht="20.100000000000001">
      <c r="A700" s="35" t="e">
        <f t="shared" si="85"/>
        <v>#REF!</v>
      </c>
      <c r="N700" s="44" t="str">
        <f t="shared" si="86"/>
        <v/>
      </c>
      <c r="R700" s="47"/>
      <c r="AE700" s="3" t="str">
        <f t="shared" si="87"/>
        <v>-</v>
      </c>
      <c r="AF700" s="51"/>
      <c r="AG700" s="52" t="str">
        <f t="shared" ca="1" si="88"/>
        <v/>
      </c>
      <c r="AI700" s="54"/>
      <c r="AK700" s="3">
        <v>1</v>
      </c>
      <c r="AP700" s="4"/>
    </row>
    <row r="701" spans="1:42" ht="20.100000000000001">
      <c r="A701" s="35" t="e">
        <f t="shared" si="85"/>
        <v>#REF!</v>
      </c>
      <c r="N701" s="44" t="str">
        <f t="shared" si="86"/>
        <v/>
      </c>
      <c r="R701" s="47"/>
      <c r="AE701" s="3" t="str">
        <f t="shared" si="87"/>
        <v>-</v>
      </c>
      <c r="AF701" s="51"/>
      <c r="AG701" s="52" t="str">
        <f t="shared" ca="1" si="88"/>
        <v/>
      </c>
      <c r="AI701" s="54"/>
      <c r="AK701" s="3">
        <v>1</v>
      </c>
      <c r="AP701" s="4"/>
    </row>
    <row r="702" spans="1:42" ht="20.100000000000001">
      <c r="A702" s="35" t="e">
        <f t="shared" si="85"/>
        <v>#REF!</v>
      </c>
      <c r="N702" s="44" t="str">
        <f t="shared" si="86"/>
        <v/>
      </c>
      <c r="R702" s="47"/>
      <c r="AE702" s="3" t="str">
        <f t="shared" si="87"/>
        <v>-</v>
      </c>
      <c r="AF702" s="51"/>
      <c r="AG702" s="52" t="str">
        <f t="shared" ca="1" si="88"/>
        <v/>
      </c>
      <c r="AI702" s="54"/>
      <c r="AK702" s="3">
        <v>1</v>
      </c>
      <c r="AP702" s="4"/>
    </row>
    <row r="703" spans="1:42" ht="20.100000000000001">
      <c r="A703" s="35" t="e">
        <f t="shared" si="85"/>
        <v>#REF!</v>
      </c>
      <c r="N703" s="44" t="str">
        <f t="shared" si="86"/>
        <v/>
      </c>
      <c r="R703" s="47"/>
      <c r="AE703" s="3" t="str">
        <f t="shared" si="87"/>
        <v>-</v>
      </c>
      <c r="AF703" s="51"/>
      <c r="AG703" s="52" t="str">
        <f t="shared" ca="1" si="88"/>
        <v/>
      </c>
      <c r="AI703" s="54"/>
      <c r="AK703" s="3">
        <v>1</v>
      </c>
      <c r="AP703" s="4"/>
    </row>
    <row r="704" spans="1:42" ht="20.100000000000001">
      <c r="A704" s="35" t="e">
        <f t="shared" si="85"/>
        <v>#REF!</v>
      </c>
      <c r="N704" s="44" t="str">
        <f t="shared" si="86"/>
        <v/>
      </c>
      <c r="R704" s="47"/>
      <c r="AE704" s="3" t="str">
        <f t="shared" si="87"/>
        <v>-</v>
      </c>
      <c r="AF704" s="51"/>
      <c r="AG704" s="52" t="str">
        <f t="shared" ca="1" si="88"/>
        <v/>
      </c>
      <c r="AI704" s="54"/>
      <c r="AK704" s="3">
        <v>1</v>
      </c>
      <c r="AP704" s="4"/>
    </row>
    <row r="705" spans="1:42" ht="20.100000000000001">
      <c r="A705" s="35" t="e">
        <f t="shared" si="85"/>
        <v>#REF!</v>
      </c>
      <c r="N705" s="44" t="str">
        <f t="shared" si="86"/>
        <v/>
      </c>
      <c r="R705" s="47"/>
      <c r="AE705" s="3" t="str">
        <f t="shared" si="87"/>
        <v>-</v>
      </c>
      <c r="AF705" s="51"/>
      <c r="AG705" s="52" t="str">
        <f t="shared" ca="1" si="88"/>
        <v/>
      </c>
      <c r="AI705" s="54"/>
      <c r="AK705" s="3">
        <v>1</v>
      </c>
      <c r="AP705" s="4"/>
    </row>
    <row r="706" spans="1:42" ht="20.100000000000001">
      <c r="A706" s="35" t="e">
        <f t="shared" si="85"/>
        <v>#REF!</v>
      </c>
      <c r="N706" s="44" t="str">
        <f t="shared" si="86"/>
        <v/>
      </c>
      <c r="R706" s="47"/>
      <c r="AE706" s="3" t="str">
        <f t="shared" si="87"/>
        <v>-</v>
      </c>
      <c r="AF706" s="51"/>
      <c r="AG706" s="52" t="str">
        <f t="shared" ca="1" si="88"/>
        <v/>
      </c>
      <c r="AI706" s="54"/>
      <c r="AK706" s="3">
        <v>1</v>
      </c>
      <c r="AP706" s="4"/>
    </row>
    <row r="707" spans="1:42" ht="20.100000000000001">
      <c r="A707" s="35" t="e">
        <f t="shared" si="85"/>
        <v>#REF!</v>
      </c>
      <c r="N707" s="44" t="str">
        <f t="shared" si="86"/>
        <v/>
      </c>
      <c r="R707" s="47"/>
      <c r="AE707" s="3" t="str">
        <f t="shared" si="87"/>
        <v>-</v>
      </c>
      <c r="AF707" s="51"/>
      <c r="AG707" s="52" t="str">
        <f t="shared" ca="1" si="88"/>
        <v/>
      </c>
      <c r="AI707" s="54"/>
      <c r="AK707" s="3">
        <v>1</v>
      </c>
      <c r="AP707" s="4"/>
    </row>
    <row r="708" spans="1:42" ht="20.100000000000001">
      <c r="A708" s="35" t="e">
        <f t="shared" si="85"/>
        <v>#REF!</v>
      </c>
      <c r="N708" s="44" t="str">
        <f t="shared" si="86"/>
        <v/>
      </c>
      <c r="R708" s="47"/>
      <c r="AE708" s="3" t="str">
        <f t="shared" si="87"/>
        <v>-</v>
      </c>
      <c r="AF708" s="51"/>
      <c r="AG708" s="52" t="str">
        <f t="shared" ca="1" si="88"/>
        <v/>
      </c>
      <c r="AI708" s="54"/>
      <c r="AK708" s="3">
        <v>1</v>
      </c>
      <c r="AP708" s="4"/>
    </row>
    <row r="709" spans="1:42" ht="20.100000000000001">
      <c r="A709" s="35" t="e">
        <f t="shared" si="85"/>
        <v>#REF!</v>
      </c>
      <c r="N709" s="44" t="str">
        <f t="shared" si="86"/>
        <v/>
      </c>
      <c r="R709" s="47"/>
      <c r="AE709" s="3" t="str">
        <f t="shared" si="87"/>
        <v>-</v>
      </c>
      <c r="AF709" s="51"/>
      <c r="AG709" s="52" t="str">
        <f t="shared" ca="1" si="88"/>
        <v/>
      </c>
      <c r="AI709" s="54"/>
      <c r="AK709" s="3">
        <v>1</v>
      </c>
      <c r="AP709" s="4"/>
    </row>
    <row r="710" spans="1:42" ht="20.100000000000001">
      <c r="A710" s="35" t="e">
        <f t="shared" si="85"/>
        <v>#REF!</v>
      </c>
      <c r="N710" s="44" t="str">
        <f t="shared" si="86"/>
        <v/>
      </c>
      <c r="R710" s="47"/>
      <c r="AE710" s="3" t="str">
        <f t="shared" si="87"/>
        <v>-</v>
      </c>
      <c r="AF710" s="51"/>
      <c r="AG710" s="52" t="str">
        <f t="shared" ca="1" si="88"/>
        <v/>
      </c>
      <c r="AI710" s="54"/>
      <c r="AK710" s="3">
        <v>1</v>
      </c>
      <c r="AP710" s="4"/>
    </row>
    <row r="711" spans="1:42" ht="20.100000000000001">
      <c r="A711" s="35" t="e">
        <f t="shared" si="85"/>
        <v>#REF!</v>
      </c>
      <c r="N711" s="44" t="str">
        <f t="shared" si="86"/>
        <v/>
      </c>
      <c r="R711" s="47"/>
      <c r="AE711" s="3" t="str">
        <f t="shared" si="87"/>
        <v>-</v>
      </c>
      <c r="AF711" s="51"/>
      <c r="AG711" s="52" t="str">
        <f t="shared" ca="1" si="88"/>
        <v/>
      </c>
      <c r="AI711" s="54"/>
      <c r="AK711" s="3">
        <v>1</v>
      </c>
      <c r="AP711" s="4"/>
    </row>
    <row r="712" spans="1:42" ht="20.100000000000001">
      <c r="A712" s="35" t="e">
        <f t="shared" si="85"/>
        <v>#REF!</v>
      </c>
      <c r="N712" s="44" t="str">
        <f t="shared" si="86"/>
        <v/>
      </c>
      <c r="R712" s="47"/>
      <c r="AE712" s="3" t="str">
        <f t="shared" si="87"/>
        <v>-</v>
      </c>
      <c r="AF712" s="51"/>
      <c r="AG712" s="52" t="str">
        <f t="shared" ca="1" si="88"/>
        <v/>
      </c>
      <c r="AI712" s="54"/>
      <c r="AK712" s="3">
        <v>1</v>
      </c>
      <c r="AP712" s="4"/>
    </row>
    <row r="713" spans="1:42" ht="20.100000000000001">
      <c r="A713" s="35" t="e">
        <f t="shared" ref="A713:A776" si="89">A712</f>
        <v>#REF!</v>
      </c>
      <c r="N713" s="44" t="str">
        <f t="shared" si="86"/>
        <v/>
      </c>
      <c r="R713" s="47"/>
      <c r="AE713" s="3" t="str">
        <f t="shared" si="87"/>
        <v>-</v>
      </c>
      <c r="AF713" s="51"/>
      <c r="AG713" s="52" t="str">
        <f t="shared" ca="1" si="88"/>
        <v/>
      </c>
      <c r="AI713" s="54"/>
      <c r="AK713" s="3">
        <v>1</v>
      </c>
      <c r="AP713" s="4"/>
    </row>
    <row r="714" spans="1:42" ht="20.100000000000001">
      <c r="A714" s="35" t="e">
        <f t="shared" si="89"/>
        <v>#REF!</v>
      </c>
      <c r="N714" s="44" t="str">
        <f t="shared" si="86"/>
        <v/>
      </c>
      <c r="R714" s="47"/>
      <c r="AE714" s="3" t="str">
        <f t="shared" si="87"/>
        <v>-</v>
      </c>
      <c r="AF714" s="51"/>
      <c r="AG714" s="52" t="str">
        <f t="shared" ca="1" si="88"/>
        <v/>
      </c>
      <c r="AI714" s="54"/>
      <c r="AK714" s="3">
        <v>1</v>
      </c>
      <c r="AP714" s="4"/>
    </row>
    <row r="715" spans="1:42" ht="20.100000000000001">
      <c r="A715" s="35" t="e">
        <f t="shared" si="89"/>
        <v>#REF!</v>
      </c>
      <c r="N715" s="44" t="str">
        <f t="shared" si="86"/>
        <v/>
      </c>
      <c r="R715" s="47"/>
      <c r="AE715" s="3" t="str">
        <f t="shared" si="87"/>
        <v>-</v>
      </c>
      <c r="AF715" s="51"/>
      <c r="AG715" s="52" t="str">
        <f t="shared" ca="1" si="88"/>
        <v/>
      </c>
      <c r="AI715" s="54"/>
      <c r="AK715" s="3">
        <v>1</v>
      </c>
      <c r="AP715" s="4"/>
    </row>
    <row r="716" spans="1:42" ht="20.100000000000001">
      <c r="A716" s="35" t="e">
        <f t="shared" si="89"/>
        <v>#REF!</v>
      </c>
      <c r="N716" s="44" t="str">
        <f t="shared" si="86"/>
        <v/>
      </c>
      <c r="R716" s="47"/>
      <c r="AE716" s="3" t="str">
        <f t="shared" si="87"/>
        <v>-</v>
      </c>
      <c r="AF716" s="51"/>
      <c r="AG716" s="52" t="str">
        <f t="shared" ca="1" si="88"/>
        <v/>
      </c>
      <c r="AI716" s="54"/>
      <c r="AK716" s="3">
        <v>1</v>
      </c>
      <c r="AP716" s="4"/>
    </row>
    <row r="717" spans="1:42" ht="20.100000000000001">
      <c r="A717" s="35" t="e">
        <f t="shared" si="89"/>
        <v>#REF!</v>
      </c>
      <c r="N717" s="44" t="str">
        <f t="shared" si="86"/>
        <v/>
      </c>
      <c r="R717" s="47"/>
      <c r="AE717" s="3" t="str">
        <f t="shared" si="87"/>
        <v>-</v>
      </c>
      <c r="AF717" s="51"/>
      <c r="AG717" s="52" t="str">
        <f t="shared" ca="1" si="88"/>
        <v/>
      </c>
      <c r="AI717" s="54"/>
      <c r="AK717" s="3">
        <v>1</v>
      </c>
      <c r="AP717" s="4"/>
    </row>
    <row r="718" spans="1:42" ht="20.100000000000001">
      <c r="A718" s="35" t="e">
        <f t="shared" si="89"/>
        <v>#REF!</v>
      </c>
      <c r="N718" s="44" t="str">
        <f t="shared" si="86"/>
        <v/>
      </c>
      <c r="R718" s="47"/>
      <c r="AE718" s="3" t="str">
        <f t="shared" si="87"/>
        <v>-</v>
      </c>
      <c r="AF718" s="51"/>
      <c r="AG718" s="52" t="str">
        <f t="shared" ca="1" si="88"/>
        <v/>
      </c>
      <c r="AI718" s="54"/>
      <c r="AK718" s="3">
        <v>1</v>
      </c>
      <c r="AP718" s="4"/>
    </row>
    <row r="719" spans="1:42" ht="20.100000000000001">
      <c r="A719" s="35" t="e">
        <f t="shared" si="89"/>
        <v>#REF!</v>
      </c>
      <c r="N719" s="44" t="str">
        <f t="shared" si="86"/>
        <v/>
      </c>
      <c r="R719" s="47"/>
      <c r="AE719" s="3" t="str">
        <f t="shared" si="87"/>
        <v>-</v>
      </c>
      <c r="AF719" s="51"/>
      <c r="AG719" s="52" t="str">
        <f t="shared" ca="1" si="88"/>
        <v/>
      </c>
      <c r="AI719" s="54"/>
      <c r="AK719" s="3">
        <v>1</v>
      </c>
      <c r="AP719" s="4"/>
    </row>
    <row r="720" spans="1:42" ht="20.100000000000001">
      <c r="A720" s="35" t="e">
        <f t="shared" si="89"/>
        <v>#REF!</v>
      </c>
      <c r="N720" s="44" t="str">
        <f t="shared" si="86"/>
        <v/>
      </c>
      <c r="R720" s="47"/>
      <c r="AE720" s="3" t="str">
        <f t="shared" si="87"/>
        <v>-</v>
      </c>
      <c r="AF720" s="51"/>
      <c r="AG720" s="52" t="str">
        <f t="shared" ca="1" si="88"/>
        <v/>
      </c>
      <c r="AI720" s="54"/>
      <c r="AK720" s="3">
        <v>1</v>
      </c>
      <c r="AP720" s="4"/>
    </row>
    <row r="721" spans="1:42" ht="20.100000000000001">
      <c r="A721" s="35" t="e">
        <f t="shared" si="89"/>
        <v>#REF!</v>
      </c>
      <c r="N721" s="44" t="str">
        <f t="shared" si="86"/>
        <v/>
      </c>
      <c r="R721" s="47"/>
      <c r="AE721" s="3" t="str">
        <f t="shared" si="87"/>
        <v>-</v>
      </c>
      <c r="AF721" s="51"/>
      <c r="AG721" s="52" t="str">
        <f t="shared" ca="1" si="88"/>
        <v/>
      </c>
      <c r="AI721" s="54"/>
      <c r="AK721" s="3">
        <v>1</v>
      </c>
      <c r="AP721" s="4"/>
    </row>
    <row r="722" spans="1:42" ht="20.100000000000001">
      <c r="A722" s="35" t="e">
        <f t="shared" si="89"/>
        <v>#REF!</v>
      </c>
      <c r="N722" s="44" t="str">
        <f t="shared" si="86"/>
        <v/>
      </c>
      <c r="R722" s="47"/>
      <c r="AE722" s="3" t="str">
        <f t="shared" si="87"/>
        <v>-</v>
      </c>
      <c r="AF722" s="51"/>
      <c r="AG722" s="52" t="str">
        <f t="shared" ca="1" si="88"/>
        <v/>
      </c>
      <c r="AI722" s="54"/>
      <c r="AK722" s="3">
        <v>1</v>
      </c>
      <c r="AP722" s="4"/>
    </row>
    <row r="723" spans="1:42" ht="20.100000000000001">
      <c r="A723" s="35" t="e">
        <f t="shared" si="89"/>
        <v>#REF!</v>
      </c>
      <c r="N723" s="44" t="str">
        <f t="shared" si="86"/>
        <v/>
      </c>
      <c r="R723" s="47"/>
      <c r="AE723" s="3" t="str">
        <f t="shared" si="87"/>
        <v>-</v>
      </c>
      <c r="AF723" s="51"/>
      <c r="AG723" s="52" t="str">
        <f t="shared" ca="1" si="88"/>
        <v/>
      </c>
      <c r="AI723" s="54"/>
      <c r="AK723" s="3">
        <v>1</v>
      </c>
      <c r="AP723" s="4"/>
    </row>
    <row r="724" spans="1:42" ht="20.100000000000001">
      <c r="A724" s="35" t="e">
        <f t="shared" si="89"/>
        <v>#REF!</v>
      </c>
      <c r="N724" s="44" t="str">
        <f t="shared" ref="N724:N787" si="90">IF(C724="","",C724)</f>
        <v/>
      </c>
      <c r="R724" s="47"/>
      <c r="AE724" s="3" t="str">
        <f t="shared" ref="AE724:AE787" si="91">IF(OR(V724="電話不通 x2",V724="DS判断"),"DS確認→U列入力",IF(V724="希望","U列入力",IF(V724="拒否","DS確認",IF(V724="外国語","DS確認",IF(V724="電話不通 x1","ORM再架電","-")))))</f>
        <v>-</v>
      </c>
      <c r="AF724" s="51"/>
      <c r="AG724" s="52" t="str">
        <f t="shared" ca="1" si="88"/>
        <v/>
      </c>
      <c r="AI724" s="54"/>
      <c r="AK724" s="3">
        <v>1</v>
      </c>
      <c r="AP724" s="4"/>
    </row>
    <row r="725" spans="1:42" ht="20.100000000000001">
      <c r="A725" s="35" t="e">
        <f t="shared" si="89"/>
        <v>#REF!</v>
      </c>
      <c r="N725" s="44" t="str">
        <f t="shared" si="90"/>
        <v/>
      </c>
      <c r="R725" s="47"/>
      <c r="AE725" s="3" t="str">
        <f t="shared" si="91"/>
        <v>-</v>
      </c>
      <c r="AF725" s="51"/>
      <c r="AG725" s="52" t="str">
        <f t="shared" ca="1" si="88"/>
        <v/>
      </c>
      <c r="AI725" s="54"/>
      <c r="AK725" s="3">
        <v>1</v>
      </c>
      <c r="AP725" s="4"/>
    </row>
    <row r="726" spans="1:42" ht="20.100000000000001">
      <c r="A726" s="35" t="e">
        <f t="shared" si="89"/>
        <v>#REF!</v>
      </c>
      <c r="N726" s="44" t="str">
        <f t="shared" si="90"/>
        <v/>
      </c>
      <c r="R726" s="47"/>
      <c r="AE726" s="3" t="str">
        <f t="shared" si="91"/>
        <v>-</v>
      </c>
      <c r="AF726" s="51"/>
      <c r="AG726" s="52" t="str">
        <f t="shared" ca="1" si="88"/>
        <v/>
      </c>
      <c r="AI726" s="54"/>
      <c r="AK726" s="3">
        <v>1</v>
      </c>
      <c r="AP726" s="4"/>
    </row>
    <row r="727" spans="1:42" ht="20.100000000000001">
      <c r="A727" s="35" t="e">
        <f t="shared" si="89"/>
        <v>#REF!</v>
      </c>
      <c r="N727" s="44" t="str">
        <f t="shared" si="90"/>
        <v/>
      </c>
      <c r="R727" s="47"/>
      <c r="AE727" s="3" t="str">
        <f t="shared" si="91"/>
        <v>-</v>
      </c>
      <c r="AF727" s="51"/>
      <c r="AG727" s="52" t="str">
        <f t="shared" ca="1" si="88"/>
        <v/>
      </c>
      <c r="AI727" s="54"/>
      <c r="AK727" s="3">
        <v>1</v>
      </c>
      <c r="AP727" s="4"/>
    </row>
    <row r="728" spans="1:42" ht="20.100000000000001">
      <c r="A728" s="35" t="e">
        <f t="shared" si="89"/>
        <v>#REF!</v>
      </c>
      <c r="N728" s="44" t="str">
        <f t="shared" si="90"/>
        <v/>
      </c>
      <c r="R728" s="47"/>
      <c r="AE728" s="3" t="str">
        <f t="shared" si="91"/>
        <v>-</v>
      </c>
      <c r="AF728" s="51"/>
      <c r="AG728" s="52" t="str">
        <f t="shared" ca="1" si="88"/>
        <v/>
      </c>
      <c r="AI728" s="54"/>
      <c r="AK728" s="3">
        <v>1</v>
      </c>
      <c r="AP728" s="4"/>
    </row>
    <row r="729" spans="1:42" ht="20.100000000000001">
      <c r="A729" s="35" t="e">
        <f t="shared" si="89"/>
        <v>#REF!</v>
      </c>
      <c r="N729" s="44" t="str">
        <f t="shared" si="90"/>
        <v/>
      </c>
      <c r="R729" s="47"/>
      <c r="AE729" s="3" t="str">
        <f t="shared" si="91"/>
        <v>-</v>
      </c>
      <c r="AF729" s="51"/>
      <c r="AG729" s="52" t="str">
        <f t="shared" ca="1" si="88"/>
        <v/>
      </c>
      <c r="AI729" s="54"/>
      <c r="AK729" s="3">
        <v>1</v>
      </c>
      <c r="AP729" s="4"/>
    </row>
    <row r="730" spans="1:42" ht="20.100000000000001">
      <c r="A730" s="35" t="e">
        <f t="shared" si="89"/>
        <v>#REF!</v>
      </c>
      <c r="N730" s="44" t="str">
        <f t="shared" si="90"/>
        <v/>
      </c>
      <c r="R730" s="47"/>
      <c r="AE730" s="3" t="str">
        <f t="shared" si="91"/>
        <v>-</v>
      </c>
      <c r="AF730" s="51"/>
      <c r="AG730" s="52" t="str">
        <f t="shared" ca="1" si="88"/>
        <v/>
      </c>
      <c r="AI730" s="54"/>
      <c r="AK730" s="3">
        <v>1</v>
      </c>
      <c r="AP730" s="4"/>
    </row>
    <row r="731" spans="1:42" ht="20.100000000000001">
      <c r="A731" s="35" t="e">
        <f t="shared" si="89"/>
        <v>#REF!</v>
      </c>
      <c r="N731" s="44" t="str">
        <f t="shared" si="90"/>
        <v/>
      </c>
      <c r="R731" s="47"/>
      <c r="AE731" s="3" t="str">
        <f t="shared" si="91"/>
        <v>-</v>
      </c>
      <c r="AF731" s="51"/>
      <c r="AG731" s="52" t="str">
        <f t="shared" ca="1" si="88"/>
        <v/>
      </c>
      <c r="AI731" s="54"/>
      <c r="AK731" s="3">
        <v>1</v>
      </c>
      <c r="AP731" s="4"/>
    </row>
    <row r="732" spans="1:42" ht="20.100000000000001">
      <c r="A732" s="35" t="e">
        <f t="shared" si="89"/>
        <v>#REF!</v>
      </c>
      <c r="N732" s="44" t="str">
        <f t="shared" si="90"/>
        <v/>
      </c>
      <c r="R732" s="47"/>
      <c r="AE732" s="3" t="str">
        <f t="shared" si="91"/>
        <v>-</v>
      </c>
      <c r="AF732" s="51"/>
      <c r="AG732" s="52" t="str">
        <f t="shared" ref="AG732:AG795" ca="1" si="92">IF(AF732="","",IF($AF732+TIME(0,30,0)&lt;(TEXT(NOW(),"h:mm:ss")*1),$AF732+TIME(0,45,0),$AF732+TIME(0,30,0)))</f>
        <v/>
      </c>
      <c r="AI732" s="54"/>
      <c r="AK732" s="3">
        <v>1</v>
      </c>
      <c r="AP732" s="4"/>
    </row>
    <row r="733" spans="1:42" ht="20.100000000000001">
      <c r="A733" s="35" t="e">
        <f t="shared" si="89"/>
        <v>#REF!</v>
      </c>
      <c r="N733" s="44" t="str">
        <f t="shared" si="90"/>
        <v/>
      </c>
      <c r="R733" s="47"/>
      <c r="AE733" s="3" t="str">
        <f t="shared" si="91"/>
        <v>-</v>
      </c>
      <c r="AF733" s="51"/>
      <c r="AG733" s="52" t="str">
        <f t="shared" ca="1" si="92"/>
        <v/>
      </c>
      <c r="AI733" s="54"/>
      <c r="AK733" s="3">
        <v>1</v>
      </c>
      <c r="AP733" s="4"/>
    </row>
    <row r="734" spans="1:42" ht="20.100000000000001">
      <c r="A734" s="35" t="e">
        <f t="shared" si="89"/>
        <v>#REF!</v>
      </c>
      <c r="N734" s="44" t="str">
        <f t="shared" si="90"/>
        <v/>
      </c>
      <c r="R734" s="47"/>
      <c r="AE734" s="3" t="str">
        <f t="shared" si="91"/>
        <v>-</v>
      </c>
      <c r="AF734" s="51"/>
      <c r="AG734" s="52" t="str">
        <f t="shared" ca="1" si="92"/>
        <v/>
      </c>
      <c r="AI734" s="54"/>
      <c r="AK734" s="3">
        <v>1</v>
      </c>
      <c r="AP734" s="4"/>
    </row>
    <row r="735" spans="1:42" ht="20.100000000000001">
      <c r="A735" s="35" t="e">
        <f t="shared" si="89"/>
        <v>#REF!</v>
      </c>
      <c r="N735" s="44" t="str">
        <f t="shared" si="90"/>
        <v/>
      </c>
      <c r="R735" s="47"/>
      <c r="AE735" s="3" t="str">
        <f t="shared" si="91"/>
        <v>-</v>
      </c>
      <c r="AF735" s="51"/>
      <c r="AG735" s="52" t="str">
        <f t="shared" ca="1" si="92"/>
        <v/>
      </c>
      <c r="AI735" s="54"/>
      <c r="AK735" s="3">
        <v>1</v>
      </c>
      <c r="AP735" s="4"/>
    </row>
    <row r="736" spans="1:42" ht="20.100000000000001">
      <c r="A736" s="35" t="e">
        <f t="shared" si="89"/>
        <v>#REF!</v>
      </c>
      <c r="N736" s="44" t="str">
        <f t="shared" si="90"/>
        <v/>
      </c>
      <c r="R736" s="47"/>
      <c r="AE736" s="3" t="str">
        <f t="shared" si="91"/>
        <v>-</v>
      </c>
      <c r="AF736" s="51"/>
      <c r="AG736" s="52" t="str">
        <f t="shared" ca="1" si="92"/>
        <v/>
      </c>
      <c r="AI736" s="54"/>
      <c r="AK736" s="3">
        <v>1</v>
      </c>
      <c r="AP736" s="4"/>
    </row>
    <row r="737" spans="1:42" ht="20.100000000000001">
      <c r="A737" s="35" t="e">
        <f t="shared" si="89"/>
        <v>#REF!</v>
      </c>
      <c r="N737" s="44" t="str">
        <f t="shared" si="90"/>
        <v/>
      </c>
      <c r="R737" s="47"/>
      <c r="AE737" s="3" t="str">
        <f t="shared" si="91"/>
        <v>-</v>
      </c>
      <c r="AF737" s="51"/>
      <c r="AG737" s="52" t="str">
        <f t="shared" ca="1" si="92"/>
        <v/>
      </c>
      <c r="AI737" s="54"/>
      <c r="AK737" s="3">
        <v>1</v>
      </c>
      <c r="AP737" s="4"/>
    </row>
    <row r="738" spans="1:42" ht="20.100000000000001">
      <c r="A738" s="35" t="e">
        <f t="shared" si="89"/>
        <v>#REF!</v>
      </c>
      <c r="N738" s="44" t="str">
        <f t="shared" si="90"/>
        <v/>
      </c>
      <c r="R738" s="47"/>
      <c r="AE738" s="3" t="str">
        <f t="shared" si="91"/>
        <v>-</v>
      </c>
      <c r="AF738" s="51"/>
      <c r="AG738" s="52" t="str">
        <f t="shared" ca="1" si="92"/>
        <v/>
      </c>
      <c r="AI738" s="54"/>
      <c r="AK738" s="3">
        <v>1</v>
      </c>
      <c r="AP738" s="4"/>
    </row>
    <row r="739" spans="1:42" ht="20.100000000000001">
      <c r="A739" s="35" t="e">
        <f t="shared" si="89"/>
        <v>#REF!</v>
      </c>
      <c r="N739" s="44" t="str">
        <f t="shared" si="90"/>
        <v/>
      </c>
      <c r="R739" s="47"/>
      <c r="AE739" s="3" t="str">
        <f t="shared" si="91"/>
        <v>-</v>
      </c>
      <c r="AF739" s="51"/>
      <c r="AG739" s="52" t="str">
        <f t="shared" ca="1" si="92"/>
        <v/>
      </c>
      <c r="AI739" s="54"/>
      <c r="AK739" s="3">
        <v>1</v>
      </c>
      <c r="AP739" s="4"/>
    </row>
    <row r="740" spans="1:42" ht="20.100000000000001">
      <c r="A740" s="35" t="e">
        <f t="shared" si="89"/>
        <v>#REF!</v>
      </c>
      <c r="N740" s="44" t="str">
        <f t="shared" si="90"/>
        <v/>
      </c>
      <c r="R740" s="47"/>
      <c r="AE740" s="3" t="str">
        <f t="shared" si="91"/>
        <v>-</v>
      </c>
      <c r="AF740" s="51"/>
      <c r="AG740" s="52" t="str">
        <f t="shared" ca="1" si="92"/>
        <v/>
      </c>
      <c r="AI740" s="54"/>
      <c r="AK740" s="3">
        <v>1</v>
      </c>
      <c r="AP740" s="4"/>
    </row>
    <row r="741" spans="1:42" ht="20.100000000000001">
      <c r="A741" s="35" t="e">
        <f t="shared" si="89"/>
        <v>#REF!</v>
      </c>
      <c r="N741" s="44" t="str">
        <f t="shared" si="90"/>
        <v/>
      </c>
      <c r="R741" s="47"/>
      <c r="AE741" s="3" t="str">
        <f t="shared" si="91"/>
        <v>-</v>
      </c>
      <c r="AF741" s="51"/>
      <c r="AG741" s="52" t="str">
        <f t="shared" ca="1" si="92"/>
        <v/>
      </c>
      <c r="AI741" s="54"/>
      <c r="AK741" s="3">
        <v>1</v>
      </c>
      <c r="AP741" s="4"/>
    </row>
    <row r="742" spans="1:42" ht="20.100000000000001">
      <c r="A742" s="35" t="e">
        <f t="shared" si="89"/>
        <v>#REF!</v>
      </c>
      <c r="N742" s="44" t="str">
        <f t="shared" si="90"/>
        <v/>
      </c>
      <c r="R742" s="47"/>
      <c r="AE742" s="3" t="str">
        <f t="shared" si="91"/>
        <v>-</v>
      </c>
      <c r="AF742" s="51"/>
      <c r="AG742" s="52" t="str">
        <f t="shared" ca="1" si="92"/>
        <v/>
      </c>
      <c r="AI742" s="54"/>
      <c r="AK742" s="3">
        <v>1</v>
      </c>
      <c r="AP742" s="4"/>
    </row>
    <row r="743" spans="1:42" ht="20.100000000000001">
      <c r="A743" s="35" t="e">
        <f t="shared" si="89"/>
        <v>#REF!</v>
      </c>
      <c r="N743" s="44" t="str">
        <f t="shared" si="90"/>
        <v/>
      </c>
      <c r="R743" s="47"/>
      <c r="AE743" s="3" t="str">
        <f t="shared" si="91"/>
        <v>-</v>
      </c>
      <c r="AF743" s="51"/>
      <c r="AG743" s="52" t="str">
        <f t="shared" ca="1" si="92"/>
        <v/>
      </c>
      <c r="AI743" s="54"/>
      <c r="AK743" s="3">
        <v>1</v>
      </c>
      <c r="AP743" s="4"/>
    </row>
    <row r="744" spans="1:42" ht="20.100000000000001">
      <c r="A744" s="35" t="e">
        <f t="shared" si="89"/>
        <v>#REF!</v>
      </c>
      <c r="N744" s="44" t="str">
        <f t="shared" si="90"/>
        <v/>
      </c>
      <c r="R744" s="47"/>
      <c r="AE744" s="3" t="str">
        <f t="shared" si="91"/>
        <v>-</v>
      </c>
      <c r="AF744" s="51"/>
      <c r="AG744" s="52" t="str">
        <f t="shared" ca="1" si="92"/>
        <v/>
      </c>
      <c r="AI744" s="54"/>
      <c r="AK744" s="3">
        <v>1</v>
      </c>
      <c r="AP744" s="4"/>
    </row>
    <row r="745" spans="1:42" ht="20.100000000000001">
      <c r="A745" s="35" t="e">
        <f t="shared" si="89"/>
        <v>#REF!</v>
      </c>
      <c r="N745" s="44" t="str">
        <f t="shared" si="90"/>
        <v/>
      </c>
      <c r="R745" s="47"/>
      <c r="AE745" s="3" t="str">
        <f t="shared" si="91"/>
        <v>-</v>
      </c>
      <c r="AF745" s="51"/>
      <c r="AG745" s="52" t="str">
        <f t="shared" ca="1" si="92"/>
        <v/>
      </c>
      <c r="AI745" s="54"/>
      <c r="AK745" s="3">
        <v>1</v>
      </c>
      <c r="AP745" s="4"/>
    </row>
    <row r="746" spans="1:42" ht="20.100000000000001">
      <c r="A746" s="35" t="e">
        <f t="shared" si="89"/>
        <v>#REF!</v>
      </c>
      <c r="N746" s="44" t="str">
        <f t="shared" si="90"/>
        <v/>
      </c>
      <c r="R746" s="47"/>
      <c r="AE746" s="3" t="str">
        <f t="shared" si="91"/>
        <v>-</v>
      </c>
      <c r="AF746" s="51"/>
      <c r="AG746" s="52" t="str">
        <f t="shared" ca="1" si="92"/>
        <v/>
      </c>
      <c r="AI746" s="54"/>
      <c r="AK746" s="3">
        <v>1</v>
      </c>
      <c r="AP746" s="4"/>
    </row>
    <row r="747" spans="1:42" ht="20.100000000000001">
      <c r="A747" s="35" t="e">
        <f t="shared" si="89"/>
        <v>#REF!</v>
      </c>
      <c r="N747" s="44" t="str">
        <f t="shared" si="90"/>
        <v/>
      </c>
      <c r="R747" s="47"/>
      <c r="AE747" s="3" t="str">
        <f t="shared" si="91"/>
        <v>-</v>
      </c>
      <c r="AF747" s="51"/>
      <c r="AG747" s="52" t="str">
        <f t="shared" ca="1" si="92"/>
        <v/>
      </c>
      <c r="AI747" s="54"/>
      <c r="AK747" s="3">
        <v>1</v>
      </c>
      <c r="AP747" s="4"/>
    </row>
    <row r="748" spans="1:42" ht="20.100000000000001">
      <c r="A748" s="35" t="e">
        <f t="shared" si="89"/>
        <v>#REF!</v>
      </c>
      <c r="N748" s="44" t="str">
        <f t="shared" si="90"/>
        <v/>
      </c>
      <c r="R748" s="47"/>
      <c r="AE748" s="3" t="str">
        <f t="shared" si="91"/>
        <v>-</v>
      </c>
      <c r="AF748" s="51"/>
      <c r="AG748" s="52" t="str">
        <f t="shared" ca="1" si="92"/>
        <v/>
      </c>
      <c r="AI748" s="54"/>
      <c r="AK748" s="3">
        <v>1</v>
      </c>
      <c r="AP748" s="4"/>
    </row>
    <row r="749" spans="1:42" ht="20.100000000000001">
      <c r="A749" s="35" t="e">
        <f t="shared" si="89"/>
        <v>#REF!</v>
      </c>
      <c r="N749" s="44" t="str">
        <f t="shared" si="90"/>
        <v/>
      </c>
      <c r="R749" s="47"/>
      <c r="AE749" s="3" t="str">
        <f t="shared" si="91"/>
        <v>-</v>
      </c>
      <c r="AF749" s="51"/>
      <c r="AG749" s="52" t="str">
        <f t="shared" ca="1" si="92"/>
        <v/>
      </c>
      <c r="AI749" s="54"/>
      <c r="AK749" s="3">
        <v>1</v>
      </c>
      <c r="AP749" s="4"/>
    </row>
    <row r="750" spans="1:42" ht="20.100000000000001">
      <c r="A750" s="35" t="e">
        <f t="shared" si="89"/>
        <v>#REF!</v>
      </c>
      <c r="N750" s="44" t="str">
        <f t="shared" si="90"/>
        <v/>
      </c>
      <c r="R750" s="47"/>
      <c r="AE750" s="3" t="str">
        <f t="shared" si="91"/>
        <v>-</v>
      </c>
      <c r="AF750" s="51"/>
      <c r="AG750" s="52" t="str">
        <f t="shared" ca="1" si="92"/>
        <v/>
      </c>
      <c r="AI750" s="54"/>
      <c r="AK750" s="3">
        <v>1</v>
      </c>
      <c r="AP750" s="4"/>
    </row>
    <row r="751" spans="1:42" ht="20.100000000000001">
      <c r="A751" s="35" t="e">
        <f t="shared" si="89"/>
        <v>#REF!</v>
      </c>
      <c r="N751" s="44" t="str">
        <f t="shared" si="90"/>
        <v/>
      </c>
      <c r="R751" s="47"/>
      <c r="AE751" s="3" t="str">
        <f t="shared" si="91"/>
        <v>-</v>
      </c>
      <c r="AF751" s="51"/>
      <c r="AG751" s="52" t="str">
        <f t="shared" ca="1" si="92"/>
        <v/>
      </c>
      <c r="AI751" s="54"/>
      <c r="AK751" s="3">
        <v>1</v>
      </c>
      <c r="AP751" s="4"/>
    </row>
    <row r="752" spans="1:42" ht="20.100000000000001">
      <c r="A752" s="35" t="e">
        <f t="shared" si="89"/>
        <v>#REF!</v>
      </c>
      <c r="N752" s="44" t="str">
        <f t="shared" si="90"/>
        <v/>
      </c>
      <c r="R752" s="47"/>
      <c r="AE752" s="3" t="str">
        <f t="shared" si="91"/>
        <v>-</v>
      </c>
      <c r="AF752" s="51"/>
      <c r="AG752" s="52" t="str">
        <f t="shared" ca="1" si="92"/>
        <v/>
      </c>
      <c r="AI752" s="54"/>
      <c r="AK752" s="3">
        <v>1</v>
      </c>
      <c r="AP752" s="4"/>
    </row>
    <row r="753" spans="1:42" ht="20.100000000000001">
      <c r="A753" s="35" t="e">
        <f t="shared" si="89"/>
        <v>#REF!</v>
      </c>
      <c r="N753" s="44" t="str">
        <f t="shared" si="90"/>
        <v/>
      </c>
      <c r="R753" s="47"/>
      <c r="AE753" s="3" t="str">
        <f t="shared" si="91"/>
        <v>-</v>
      </c>
      <c r="AF753" s="51"/>
      <c r="AG753" s="52" t="str">
        <f t="shared" ca="1" si="92"/>
        <v/>
      </c>
      <c r="AI753" s="54"/>
      <c r="AK753" s="3">
        <v>1</v>
      </c>
      <c r="AP753" s="4"/>
    </row>
    <row r="754" spans="1:42" ht="20.100000000000001">
      <c r="A754" s="35" t="e">
        <f t="shared" si="89"/>
        <v>#REF!</v>
      </c>
      <c r="N754" s="44" t="str">
        <f t="shared" si="90"/>
        <v/>
      </c>
      <c r="R754" s="47"/>
      <c r="AE754" s="3" t="str">
        <f t="shared" si="91"/>
        <v>-</v>
      </c>
      <c r="AF754" s="51"/>
      <c r="AG754" s="52" t="str">
        <f t="shared" ca="1" si="92"/>
        <v/>
      </c>
      <c r="AI754" s="54"/>
      <c r="AK754" s="3">
        <v>1</v>
      </c>
      <c r="AP754" s="4"/>
    </row>
    <row r="755" spans="1:42" ht="20.100000000000001">
      <c r="A755" s="35" t="e">
        <f t="shared" si="89"/>
        <v>#REF!</v>
      </c>
      <c r="N755" s="44" t="str">
        <f t="shared" si="90"/>
        <v/>
      </c>
      <c r="R755" s="47"/>
      <c r="AE755" s="3" t="str">
        <f t="shared" si="91"/>
        <v>-</v>
      </c>
      <c r="AF755" s="51"/>
      <c r="AG755" s="52" t="str">
        <f t="shared" ca="1" si="92"/>
        <v/>
      </c>
      <c r="AI755" s="54"/>
      <c r="AK755" s="3">
        <v>1</v>
      </c>
      <c r="AP755" s="4"/>
    </row>
    <row r="756" spans="1:42" ht="20.100000000000001">
      <c r="A756" s="35" t="e">
        <f t="shared" si="89"/>
        <v>#REF!</v>
      </c>
      <c r="N756" s="44" t="str">
        <f t="shared" si="90"/>
        <v/>
      </c>
      <c r="R756" s="47"/>
      <c r="AE756" s="3" t="str">
        <f t="shared" si="91"/>
        <v>-</v>
      </c>
      <c r="AF756" s="51"/>
      <c r="AG756" s="52" t="str">
        <f t="shared" ca="1" si="92"/>
        <v/>
      </c>
      <c r="AI756" s="54"/>
      <c r="AK756" s="3">
        <v>1</v>
      </c>
      <c r="AP756" s="4"/>
    </row>
    <row r="757" spans="1:42" ht="20.100000000000001">
      <c r="A757" s="35" t="e">
        <f t="shared" si="89"/>
        <v>#REF!</v>
      </c>
      <c r="N757" s="44" t="str">
        <f t="shared" si="90"/>
        <v/>
      </c>
      <c r="R757" s="47"/>
      <c r="AE757" s="3" t="str">
        <f t="shared" si="91"/>
        <v>-</v>
      </c>
      <c r="AF757" s="51"/>
      <c r="AG757" s="52" t="str">
        <f t="shared" ca="1" si="92"/>
        <v/>
      </c>
      <c r="AI757" s="54"/>
      <c r="AK757" s="3">
        <v>1</v>
      </c>
      <c r="AP757" s="4"/>
    </row>
    <row r="758" spans="1:42" ht="20.100000000000001">
      <c r="A758" s="35" t="e">
        <f t="shared" si="89"/>
        <v>#REF!</v>
      </c>
      <c r="N758" s="44" t="str">
        <f t="shared" si="90"/>
        <v/>
      </c>
      <c r="R758" s="47"/>
      <c r="AE758" s="3" t="str">
        <f t="shared" si="91"/>
        <v>-</v>
      </c>
      <c r="AF758" s="51"/>
      <c r="AG758" s="52" t="str">
        <f t="shared" ca="1" si="92"/>
        <v/>
      </c>
      <c r="AI758" s="54"/>
      <c r="AK758" s="3">
        <v>1</v>
      </c>
      <c r="AP758" s="4"/>
    </row>
    <row r="759" spans="1:42" ht="20.100000000000001">
      <c r="A759" s="35" t="e">
        <f t="shared" si="89"/>
        <v>#REF!</v>
      </c>
      <c r="N759" s="44" t="str">
        <f t="shared" si="90"/>
        <v/>
      </c>
      <c r="R759" s="47"/>
      <c r="AE759" s="3" t="str">
        <f t="shared" si="91"/>
        <v>-</v>
      </c>
      <c r="AF759" s="51"/>
      <c r="AG759" s="52" t="str">
        <f t="shared" ca="1" si="92"/>
        <v/>
      </c>
      <c r="AI759" s="54"/>
      <c r="AK759" s="3">
        <v>1</v>
      </c>
      <c r="AP759" s="4"/>
    </row>
    <row r="760" spans="1:42" ht="20.100000000000001">
      <c r="A760" s="35" t="e">
        <f t="shared" si="89"/>
        <v>#REF!</v>
      </c>
      <c r="N760" s="44" t="str">
        <f t="shared" si="90"/>
        <v/>
      </c>
      <c r="R760" s="47"/>
      <c r="AE760" s="3" t="str">
        <f t="shared" si="91"/>
        <v>-</v>
      </c>
      <c r="AF760" s="51"/>
      <c r="AG760" s="52" t="str">
        <f t="shared" ca="1" si="92"/>
        <v/>
      </c>
      <c r="AI760" s="54"/>
      <c r="AK760" s="3">
        <v>1</v>
      </c>
      <c r="AP760" s="4"/>
    </row>
    <row r="761" spans="1:42" ht="20.100000000000001">
      <c r="A761" s="35" t="e">
        <f t="shared" si="89"/>
        <v>#REF!</v>
      </c>
      <c r="N761" s="44" t="str">
        <f t="shared" si="90"/>
        <v/>
      </c>
      <c r="R761" s="47"/>
      <c r="AE761" s="3" t="str">
        <f t="shared" si="91"/>
        <v>-</v>
      </c>
      <c r="AF761" s="51"/>
      <c r="AG761" s="52" t="str">
        <f t="shared" ca="1" si="92"/>
        <v/>
      </c>
      <c r="AI761" s="54"/>
      <c r="AK761" s="3">
        <v>1</v>
      </c>
      <c r="AP761" s="4"/>
    </row>
    <row r="762" spans="1:42" ht="20.100000000000001">
      <c r="A762" s="35" t="e">
        <f t="shared" si="89"/>
        <v>#REF!</v>
      </c>
      <c r="N762" s="44" t="str">
        <f t="shared" si="90"/>
        <v/>
      </c>
      <c r="R762" s="47"/>
      <c r="AE762" s="3" t="str">
        <f t="shared" si="91"/>
        <v>-</v>
      </c>
      <c r="AF762" s="51"/>
      <c r="AG762" s="52" t="str">
        <f t="shared" ca="1" si="92"/>
        <v/>
      </c>
      <c r="AI762" s="54"/>
      <c r="AK762" s="3">
        <v>1</v>
      </c>
      <c r="AP762" s="4"/>
    </row>
    <row r="763" spans="1:42" ht="20.100000000000001">
      <c r="A763" s="35" t="e">
        <f t="shared" si="89"/>
        <v>#REF!</v>
      </c>
      <c r="N763" s="44" t="str">
        <f t="shared" si="90"/>
        <v/>
      </c>
      <c r="R763" s="47"/>
      <c r="AE763" s="3" t="str">
        <f t="shared" si="91"/>
        <v>-</v>
      </c>
      <c r="AF763" s="51"/>
      <c r="AG763" s="52" t="str">
        <f t="shared" ca="1" si="92"/>
        <v/>
      </c>
      <c r="AI763" s="54"/>
      <c r="AK763" s="3">
        <v>1</v>
      </c>
      <c r="AP763" s="4"/>
    </row>
    <row r="764" spans="1:42" ht="20.100000000000001">
      <c r="A764" s="35" t="e">
        <f t="shared" si="89"/>
        <v>#REF!</v>
      </c>
      <c r="N764" s="44" t="str">
        <f t="shared" si="90"/>
        <v/>
      </c>
      <c r="R764" s="47"/>
      <c r="AE764" s="3" t="str">
        <f t="shared" si="91"/>
        <v>-</v>
      </c>
      <c r="AF764" s="51"/>
      <c r="AG764" s="52" t="str">
        <f t="shared" ca="1" si="92"/>
        <v/>
      </c>
      <c r="AI764" s="54"/>
      <c r="AK764" s="3">
        <v>1</v>
      </c>
      <c r="AP764" s="4"/>
    </row>
    <row r="765" spans="1:42" ht="20.100000000000001">
      <c r="A765" s="35" t="e">
        <f t="shared" si="89"/>
        <v>#REF!</v>
      </c>
      <c r="N765" s="44" t="str">
        <f t="shared" si="90"/>
        <v/>
      </c>
      <c r="R765" s="47"/>
      <c r="AE765" s="3" t="str">
        <f t="shared" si="91"/>
        <v>-</v>
      </c>
      <c r="AF765" s="51"/>
      <c r="AG765" s="52" t="str">
        <f t="shared" ca="1" si="92"/>
        <v/>
      </c>
      <c r="AI765" s="54"/>
      <c r="AK765" s="3">
        <v>1</v>
      </c>
      <c r="AP765" s="4"/>
    </row>
    <row r="766" spans="1:42" ht="20.100000000000001">
      <c r="A766" s="35" t="e">
        <f t="shared" si="89"/>
        <v>#REF!</v>
      </c>
      <c r="N766" s="44" t="str">
        <f t="shared" si="90"/>
        <v/>
      </c>
      <c r="R766" s="47"/>
      <c r="AE766" s="3" t="str">
        <f t="shared" si="91"/>
        <v>-</v>
      </c>
      <c r="AF766" s="51"/>
      <c r="AG766" s="52" t="str">
        <f t="shared" ca="1" si="92"/>
        <v/>
      </c>
      <c r="AI766" s="54"/>
      <c r="AK766" s="3">
        <v>1</v>
      </c>
      <c r="AP766" s="4"/>
    </row>
    <row r="767" spans="1:42" ht="20.100000000000001">
      <c r="A767" s="35" t="e">
        <f t="shared" si="89"/>
        <v>#REF!</v>
      </c>
      <c r="N767" s="44" t="str">
        <f t="shared" si="90"/>
        <v/>
      </c>
      <c r="R767" s="47"/>
      <c r="AE767" s="3" t="str">
        <f t="shared" si="91"/>
        <v>-</v>
      </c>
      <c r="AF767" s="51"/>
      <c r="AG767" s="52" t="str">
        <f t="shared" ca="1" si="92"/>
        <v/>
      </c>
      <c r="AI767" s="54"/>
      <c r="AK767" s="3">
        <v>1</v>
      </c>
      <c r="AP767" s="4"/>
    </row>
    <row r="768" spans="1:42" ht="20.100000000000001">
      <c r="A768" s="35" t="e">
        <f t="shared" si="89"/>
        <v>#REF!</v>
      </c>
      <c r="N768" s="44" t="str">
        <f t="shared" si="90"/>
        <v/>
      </c>
      <c r="R768" s="47"/>
      <c r="AE768" s="3" t="str">
        <f t="shared" si="91"/>
        <v>-</v>
      </c>
      <c r="AF768" s="51"/>
      <c r="AG768" s="52" t="str">
        <f t="shared" ca="1" si="92"/>
        <v/>
      </c>
      <c r="AI768" s="54"/>
      <c r="AK768" s="3">
        <v>1</v>
      </c>
      <c r="AP768" s="4"/>
    </row>
    <row r="769" spans="1:42" ht="20.100000000000001">
      <c r="A769" s="35" t="e">
        <f t="shared" si="89"/>
        <v>#REF!</v>
      </c>
      <c r="N769" s="44" t="str">
        <f t="shared" si="90"/>
        <v/>
      </c>
      <c r="R769" s="47"/>
      <c r="AE769" s="3" t="str">
        <f t="shared" si="91"/>
        <v>-</v>
      </c>
      <c r="AF769" s="51"/>
      <c r="AG769" s="52" t="str">
        <f t="shared" ca="1" si="92"/>
        <v/>
      </c>
      <c r="AI769" s="54"/>
      <c r="AK769" s="3">
        <v>1</v>
      </c>
      <c r="AP769" s="4"/>
    </row>
    <row r="770" spans="1:42" ht="20.100000000000001">
      <c r="A770" s="35" t="e">
        <f t="shared" si="89"/>
        <v>#REF!</v>
      </c>
      <c r="N770" s="44" t="str">
        <f t="shared" si="90"/>
        <v/>
      </c>
      <c r="R770" s="47"/>
      <c r="AE770" s="3" t="str">
        <f t="shared" si="91"/>
        <v>-</v>
      </c>
      <c r="AF770" s="51"/>
      <c r="AG770" s="52" t="str">
        <f t="shared" ca="1" si="92"/>
        <v/>
      </c>
      <c r="AI770" s="54"/>
      <c r="AK770" s="3">
        <v>1</v>
      </c>
      <c r="AP770" s="4"/>
    </row>
    <row r="771" spans="1:42" ht="20.100000000000001">
      <c r="A771" s="35" t="e">
        <f t="shared" si="89"/>
        <v>#REF!</v>
      </c>
      <c r="N771" s="44" t="str">
        <f t="shared" si="90"/>
        <v/>
      </c>
      <c r="R771" s="47"/>
      <c r="AE771" s="3" t="str">
        <f t="shared" si="91"/>
        <v>-</v>
      </c>
      <c r="AF771" s="51"/>
      <c r="AG771" s="52" t="str">
        <f t="shared" ca="1" si="92"/>
        <v/>
      </c>
      <c r="AI771" s="54"/>
      <c r="AK771" s="3">
        <v>1</v>
      </c>
      <c r="AP771" s="4"/>
    </row>
    <row r="772" spans="1:42" ht="20.100000000000001">
      <c r="A772" s="35" t="e">
        <f t="shared" si="89"/>
        <v>#REF!</v>
      </c>
      <c r="N772" s="44" t="str">
        <f t="shared" si="90"/>
        <v/>
      </c>
      <c r="R772" s="47"/>
      <c r="AE772" s="3" t="str">
        <f t="shared" si="91"/>
        <v>-</v>
      </c>
      <c r="AF772" s="51"/>
      <c r="AG772" s="52" t="str">
        <f t="shared" ca="1" si="92"/>
        <v/>
      </c>
      <c r="AI772" s="54"/>
      <c r="AK772" s="3">
        <v>1</v>
      </c>
      <c r="AP772" s="4"/>
    </row>
    <row r="773" spans="1:42" ht="20.100000000000001">
      <c r="A773" s="35" t="e">
        <f t="shared" si="89"/>
        <v>#REF!</v>
      </c>
      <c r="N773" s="44" t="str">
        <f t="shared" si="90"/>
        <v/>
      </c>
      <c r="R773" s="47"/>
      <c r="AE773" s="3" t="str">
        <f t="shared" si="91"/>
        <v>-</v>
      </c>
      <c r="AF773" s="51"/>
      <c r="AG773" s="52" t="str">
        <f t="shared" ca="1" si="92"/>
        <v/>
      </c>
      <c r="AI773" s="54"/>
      <c r="AK773" s="3">
        <v>1</v>
      </c>
      <c r="AP773" s="4"/>
    </row>
    <row r="774" spans="1:42" ht="20.100000000000001">
      <c r="A774" s="35" t="e">
        <f t="shared" si="89"/>
        <v>#REF!</v>
      </c>
      <c r="N774" s="44" t="str">
        <f t="shared" si="90"/>
        <v/>
      </c>
      <c r="R774" s="47"/>
      <c r="AE774" s="3" t="str">
        <f t="shared" si="91"/>
        <v>-</v>
      </c>
      <c r="AF774" s="51"/>
      <c r="AG774" s="52" t="str">
        <f t="shared" ca="1" si="92"/>
        <v/>
      </c>
      <c r="AI774" s="54"/>
      <c r="AK774" s="3">
        <v>1</v>
      </c>
      <c r="AP774" s="4"/>
    </row>
    <row r="775" spans="1:42" ht="20.100000000000001">
      <c r="A775" s="35" t="e">
        <f t="shared" si="89"/>
        <v>#REF!</v>
      </c>
      <c r="N775" s="44" t="str">
        <f t="shared" si="90"/>
        <v/>
      </c>
      <c r="R775" s="47"/>
      <c r="AE775" s="3" t="str">
        <f t="shared" si="91"/>
        <v>-</v>
      </c>
      <c r="AF775" s="51"/>
      <c r="AG775" s="52" t="str">
        <f t="shared" ca="1" si="92"/>
        <v/>
      </c>
      <c r="AI775" s="54"/>
      <c r="AK775" s="3">
        <v>1</v>
      </c>
      <c r="AP775" s="4"/>
    </row>
    <row r="776" spans="1:42" ht="20.100000000000001">
      <c r="A776" s="35" t="e">
        <f t="shared" si="89"/>
        <v>#REF!</v>
      </c>
      <c r="N776" s="44" t="str">
        <f t="shared" si="90"/>
        <v/>
      </c>
      <c r="R776" s="47"/>
      <c r="AE776" s="3" t="str">
        <f t="shared" si="91"/>
        <v>-</v>
      </c>
      <c r="AF776" s="51"/>
      <c r="AG776" s="52" t="str">
        <f t="shared" ca="1" si="92"/>
        <v/>
      </c>
      <c r="AI776" s="54"/>
      <c r="AK776" s="3">
        <v>1</v>
      </c>
      <c r="AP776" s="4"/>
    </row>
    <row r="777" spans="1:42" ht="20.100000000000001">
      <c r="A777" s="35" t="e">
        <f t="shared" ref="A777:A840" si="93">A776</f>
        <v>#REF!</v>
      </c>
      <c r="N777" s="44" t="str">
        <f t="shared" si="90"/>
        <v/>
      </c>
      <c r="R777" s="47"/>
      <c r="AE777" s="3" t="str">
        <f t="shared" si="91"/>
        <v>-</v>
      </c>
      <c r="AF777" s="51"/>
      <c r="AG777" s="52" t="str">
        <f t="shared" ca="1" si="92"/>
        <v/>
      </c>
      <c r="AI777" s="54"/>
      <c r="AK777" s="3">
        <v>1</v>
      </c>
      <c r="AP777" s="4"/>
    </row>
    <row r="778" spans="1:42" ht="20.100000000000001">
      <c r="A778" s="35" t="e">
        <f t="shared" si="93"/>
        <v>#REF!</v>
      </c>
      <c r="N778" s="44" t="str">
        <f t="shared" si="90"/>
        <v/>
      </c>
      <c r="R778" s="47"/>
      <c r="AE778" s="3" t="str">
        <f t="shared" si="91"/>
        <v>-</v>
      </c>
      <c r="AF778" s="51"/>
      <c r="AG778" s="52" t="str">
        <f t="shared" ca="1" si="92"/>
        <v/>
      </c>
      <c r="AI778" s="54"/>
      <c r="AK778" s="3">
        <v>1</v>
      </c>
      <c r="AP778" s="4"/>
    </row>
    <row r="779" spans="1:42" ht="20.100000000000001">
      <c r="A779" s="35" t="e">
        <f t="shared" si="93"/>
        <v>#REF!</v>
      </c>
      <c r="N779" s="44" t="str">
        <f t="shared" si="90"/>
        <v/>
      </c>
      <c r="R779" s="47"/>
      <c r="AE779" s="3" t="str">
        <f t="shared" si="91"/>
        <v>-</v>
      </c>
      <c r="AF779" s="51"/>
      <c r="AG779" s="52" t="str">
        <f t="shared" ca="1" si="92"/>
        <v/>
      </c>
      <c r="AI779" s="54"/>
      <c r="AK779" s="3">
        <v>1</v>
      </c>
      <c r="AP779" s="4"/>
    </row>
    <row r="780" spans="1:42" ht="20.100000000000001">
      <c r="A780" s="35" t="e">
        <f t="shared" si="93"/>
        <v>#REF!</v>
      </c>
      <c r="N780" s="44" t="str">
        <f t="shared" si="90"/>
        <v/>
      </c>
      <c r="R780" s="47"/>
      <c r="AE780" s="3" t="str">
        <f t="shared" si="91"/>
        <v>-</v>
      </c>
      <c r="AF780" s="51"/>
      <c r="AG780" s="52" t="str">
        <f t="shared" ca="1" si="92"/>
        <v/>
      </c>
      <c r="AI780" s="54"/>
      <c r="AK780" s="3">
        <v>1</v>
      </c>
      <c r="AP780" s="4"/>
    </row>
    <row r="781" spans="1:42" ht="20.100000000000001">
      <c r="A781" s="35" t="e">
        <f t="shared" si="93"/>
        <v>#REF!</v>
      </c>
      <c r="N781" s="44" t="str">
        <f t="shared" si="90"/>
        <v/>
      </c>
      <c r="R781" s="47"/>
      <c r="AE781" s="3" t="str">
        <f t="shared" si="91"/>
        <v>-</v>
      </c>
      <c r="AF781" s="51"/>
      <c r="AG781" s="52" t="str">
        <f t="shared" ca="1" si="92"/>
        <v/>
      </c>
      <c r="AI781" s="54"/>
      <c r="AK781" s="3">
        <v>1</v>
      </c>
      <c r="AP781" s="4"/>
    </row>
    <row r="782" spans="1:42" ht="20.100000000000001">
      <c r="A782" s="35" t="e">
        <f t="shared" si="93"/>
        <v>#REF!</v>
      </c>
      <c r="N782" s="44" t="str">
        <f t="shared" si="90"/>
        <v/>
      </c>
      <c r="R782" s="47"/>
      <c r="AE782" s="3" t="str">
        <f t="shared" si="91"/>
        <v>-</v>
      </c>
      <c r="AF782" s="51"/>
      <c r="AG782" s="52" t="str">
        <f t="shared" ca="1" si="92"/>
        <v/>
      </c>
      <c r="AI782" s="54"/>
      <c r="AK782" s="3">
        <v>1</v>
      </c>
      <c r="AP782" s="4"/>
    </row>
    <row r="783" spans="1:42" ht="20.100000000000001">
      <c r="A783" s="35" t="e">
        <f t="shared" si="93"/>
        <v>#REF!</v>
      </c>
      <c r="N783" s="44" t="str">
        <f t="shared" si="90"/>
        <v/>
      </c>
      <c r="R783" s="47"/>
      <c r="AE783" s="3" t="str">
        <f t="shared" si="91"/>
        <v>-</v>
      </c>
      <c r="AF783" s="51"/>
      <c r="AG783" s="52" t="str">
        <f t="shared" ca="1" si="92"/>
        <v/>
      </c>
      <c r="AI783" s="54"/>
      <c r="AK783" s="3">
        <v>1</v>
      </c>
      <c r="AP783" s="4"/>
    </row>
    <row r="784" spans="1:42" ht="20.100000000000001">
      <c r="A784" s="35" t="e">
        <f t="shared" si="93"/>
        <v>#REF!</v>
      </c>
      <c r="N784" s="44" t="str">
        <f t="shared" si="90"/>
        <v/>
      </c>
      <c r="R784" s="47"/>
      <c r="AE784" s="3" t="str">
        <f t="shared" si="91"/>
        <v>-</v>
      </c>
      <c r="AF784" s="51"/>
      <c r="AG784" s="52" t="str">
        <f t="shared" ca="1" si="92"/>
        <v/>
      </c>
      <c r="AI784" s="54"/>
      <c r="AK784" s="3">
        <v>1</v>
      </c>
      <c r="AP784" s="4"/>
    </row>
    <row r="785" spans="1:42" ht="20.100000000000001">
      <c r="A785" s="35" t="e">
        <f t="shared" si="93"/>
        <v>#REF!</v>
      </c>
      <c r="N785" s="44" t="str">
        <f t="shared" si="90"/>
        <v/>
      </c>
      <c r="R785" s="47"/>
      <c r="AE785" s="3" t="str">
        <f t="shared" si="91"/>
        <v>-</v>
      </c>
      <c r="AF785" s="51"/>
      <c r="AG785" s="52" t="str">
        <f t="shared" ca="1" si="92"/>
        <v/>
      </c>
      <c r="AI785" s="54"/>
      <c r="AK785" s="3">
        <v>1</v>
      </c>
      <c r="AP785" s="4"/>
    </row>
    <row r="786" spans="1:42" ht="20.100000000000001">
      <c r="A786" s="35" t="e">
        <f t="shared" si="93"/>
        <v>#REF!</v>
      </c>
      <c r="N786" s="44" t="str">
        <f t="shared" si="90"/>
        <v/>
      </c>
      <c r="R786" s="47"/>
      <c r="AE786" s="3" t="str">
        <f t="shared" si="91"/>
        <v>-</v>
      </c>
      <c r="AF786" s="51"/>
      <c r="AG786" s="52" t="str">
        <f t="shared" ca="1" si="92"/>
        <v/>
      </c>
      <c r="AI786" s="54"/>
      <c r="AK786" s="3">
        <v>1</v>
      </c>
      <c r="AP786" s="4"/>
    </row>
    <row r="787" spans="1:42" ht="20.100000000000001">
      <c r="A787" s="35" t="e">
        <f t="shared" si="93"/>
        <v>#REF!</v>
      </c>
      <c r="N787" s="44" t="str">
        <f t="shared" si="90"/>
        <v/>
      </c>
      <c r="R787" s="47"/>
      <c r="AE787" s="3" t="str">
        <f t="shared" si="91"/>
        <v>-</v>
      </c>
      <c r="AF787" s="51"/>
      <c r="AG787" s="52" t="str">
        <f t="shared" ca="1" si="92"/>
        <v/>
      </c>
      <c r="AI787" s="54"/>
      <c r="AK787" s="3">
        <v>1</v>
      </c>
      <c r="AP787" s="4"/>
    </row>
    <row r="788" spans="1:42" ht="20.100000000000001">
      <c r="A788" s="35" t="e">
        <f t="shared" si="93"/>
        <v>#REF!</v>
      </c>
      <c r="N788" s="44" t="str">
        <f t="shared" ref="N788:N851" si="94">IF(C788="","",C788)</f>
        <v/>
      </c>
      <c r="R788" s="47"/>
      <c r="AE788" s="3" t="str">
        <f t="shared" ref="AE788:AE851" si="95">IF(OR(V788="電話不通 x2",V788="DS判断"),"DS確認→U列入力",IF(V788="希望","U列入力",IF(V788="拒否","DS確認",IF(V788="外国語","DS確認",IF(V788="電話不通 x1","ORM再架電","-")))))</f>
        <v>-</v>
      </c>
      <c r="AF788" s="51"/>
      <c r="AG788" s="52" t="str">
        <f t="shared" ca="1" si="92"/>
        <v/>
      </c>
      <c r="AI788" s="54"/>
      <c r="AK788" s="3">
        <v>1</v>
      </c>
      <c r="AP788" s="4"/>
    </row>
    <row r="789" spans="1:42" ht="20.100000000000001">
      <c r="A789" s="35" t="e">
        <f t="shared" si="93"/>
        <v>#REF!</v>
      </c>
      <c r="N789" s="44" t="str">
        <f t="shared" si="94"/>
        <v/>
      </c>
      <c r="R789" s="47"/>
      <c r="AE789" s="3" t="str">
        <f t="shared" si="95"/>
        <v>-</v>
      </c>
      <c r="AF789" s="51"/>
      <c r="AG789" s="52" t="str">
        <f t="shared" ca="1" si="92"/>
        <v/>
      </c>
      <c r="AI789" s="54"/>
      <c r="AK789" s="3">
        <v>1</v>
      </c>
      <c r="AP789" s="4"/>
    </row>
    <row r="790" spans="1:42" ht="20.100000000000001">
      <c r="A790" s="35" t="e">
        <f t="shared" si="93"/>
        <v>#REF!</v>
      </c>
      <c r="N790" s="44" t="str">
        <f t="shared" si="94"/>
        <v/>
      </c>
      <c r="R790" s="47"/>
      <c r="AE790" s="3" t="str">
        <f t="shared" si="95"/>
        <v>-</v>
      </c>
      <c r="AF790" s="51"/>
      <c r="AG790" s="52" t="str">
        <f t="shared" ca="1" si="92"/>
        <v/>
      </c>
      <c r="AI790" s="54"/>
      <c r="AK790" s="3">
        <v>1</v>
      </c>
      <c r="AP790" s="4"/>
    </row>
    <row r="791" spans="1:42" ht="20.100000000000001">
      <c r="A791" s="35" t="e">
        <f t="shared" si="93"/>
        <v>#REF!</v>
      </c>
      <c r="N791" s="44" t="str">
        <f t="shared" si="94"/>
        <v/>
      </c>
      <c r="R791" s="47"/>
      <c r="AE791" s="3" t="str">
        <f t="shared" si="95"/>
        <v>-</v>
      </c>
      <c r="AF791" s="51"/>
      <c r="AG791" s="52" t="str">
        <f t="shared" ca="1" si="92"/>
        <v/>
      </c>
      <c r="AI791" s="54"/>
      <c r="AK791" s="3">
        <v>1</v>
      </c>
      <c r="AP791" s="4"/>
    </row>
    <row r="792" spans="1:42" ht="20.100000000000001">
      <c r="A792" s="35" t="e">
        <f t="shared" si="93"/>
        <v>#REF!</v>
      </c>
      <c r="N792" s="44" t="str">
        <f t="shared" si="94"/>
        <v/>
      </c>
      <c r="R792" s="47"/>
      <c r="AE792" s="3" t="str">
        <f t="shared" si="95"/>
        <v>-</v>
      </c>
      <c r="AF792" s="51"/>
      <c r="AG792" s="52" t="str">
        <f t="shared" ca="1" si="92"/>
        <v/>
      </c>
      <c r="AI792" s="54"/>
      <c r="AK792" s="3">
        <v>1</v>
      </c>
      <c r="AP792" s="4"/>
    </row>
    <row r="793" spans="1:42" ht="20.100000000000001">
      <c r="A793" s="35" t="e">
        <f t="shared" si="93"/>
        <v>#REF!</v>
      </c>
      <c r="N793" s="44" t="str">
        <f t="shared" si="94"/>
        <v/>
      </c>
      <c r="R793" s="47"/>
      <c r="AE793" s="3" t="str">
        <f t="shared" si="95"/>
        <v>-</v>
      </c>
      <c r="AF793" s="51"/>
      <c r="AG793" s="52" t="str">
        <f t="shared" ca="1" si="92"/>
        <v/>
      </c>
      <c r="AI793" s="54"/>
      <c r="AK793" s="3">
        <v>1</v>
      </c>
      <c r="AP793" s="4"/>
    </row>
    <row r="794" spans="1:42" ht="20.100000000000001">
      <c r="A794" s="35" t="e">
        <f t="shared" si="93"/>
        <v>#REF!</v>
      </c>
      <c r="N794" s="44" t="str">
        <f t="shared" si="94"/>
        <v/>
      </c>
      <c r="R794" s="47"/>
      <c r="AE794" s="3" t="str">
        <f t="shared" si="95"/>
        <v>-</v>
      </c>
      <c r="AF794" s="51"/>
      <c r="AG794" s="52" t="str">
        <f t="shared" ca="1" si="92"/>
        <v/>
      </c>
      <c r="AI794" s="54"/>
      <c r="AK794" s="3">
        <v>1</v>
      </c>
      <c r="AP794" s="4"/>
    </row>
    <row r="795" spans="1:42" ht="20.100000000000001">
      <c r="A795" s="35" t="e">
        <f t="shared" si="93"/>
        <v>#REF!</v>
      </c>
      <c r="N795" s="44" t="str">
        <f t="shared" si="94"/>
        <v/>
      </c>
      <c r="R795" s="47"/>
      <c r="AE795" s="3" t="str">
        <f t="shared" si="95"/>
        <v>-</v>
      </c>
      <c r="AF795" s="51"/>
      <c r="AG795" s="52" t="str">
        <f t="shared" ca="1" si="92"/>
        <v/>
      </c>
      <c r="AI795" s="54"/>
      <c r="AK795" s="3">
        <v>1</v>
      </c>
      <c r="AP795" s="4"/>
    </row>
    <row r="796" spans="1:42" ht="20.100000000000001">
      <c r="A796" s="35" t="e">
        <f t="shared" si="93"/>
        <v>#REF!</v>
      </c>
      <c r="N796" s="44" t="str">
        <f t="shared" si="94"/>
        <v/>
      </c>
      <c r="R796" s="47"/>
      <c r="AE796" s="3" t="str">
        <f t="shared" si="95"/>
        <v>-</v>
      </c>
      <c r="AF796" s="51"/>
      <c r="AG796" s="52" t="str">
        <f t="shared" ref="AG796:AG859" ca="1" si="96">IF(AF796="","",IF($AF796+TIME(0,30,0)&lt;(TEXT(NOW(),"h:mm:ss")*1),$AF796+TIME(0,45,0),$AF796+TIME(0,30,0)))</f>
        <v/>
      </c>
      <c r="AI796" s="54"/>
      <c r="AK796" s="3">
        <v>1</v>
      </c>
      <c r="AP796" s="4"/>
    </row>
    <row r="797" spans="1:42" ht="20.100000000000001">
      <c r="A797" s="35" t="e">
        <f t="shared" si="93"/>
        <v>#REF!</v>
      </c>
      <c r="N797" s="44" t="str">
        <f t="shared" si="94"/>
        <v/>
      </c>
      <c r="R797" s="47"/>
      <c r="AE797" s="3" t="str">
        <f t="shared" si="95"/>
        <v>-</v>
      </c>
      <c r="AF797" s="51"/>
      <c r="AG797" s="52" t="str">
        <f t="shared" ca="1" si="96"/>
        <v/>
      </c>
      <c r="AI797" s="54"/>
      <c r="AK797" s="3">
        <v>1</v>
      </c>
      <c r="AP797" s="4"/>
    </row>
    <row r="798" spans="1:42" ht="20.100000000000001">
      <c r="A798" s="35" t="e">
        <f t="shared" si="93"/>
        <v>#REF!</v>
      </c>
      <c r="N798" s="44" t="str">
        <f t="shared" si="94"/>
        <v/>
      </c>
      <c r="R798" s="47"/>
      <c r="AE798" s="3" t="str">
        <f t="shared" si="95"/>
        <v>-</v>
      </c>
      <c r="AF798" s="51"/>
      <c r="AG798" s="52" t="str">
        <f t="shared" ca="1" si="96"/>
        <v/>
      </c>
      <c r="AI798" s="54"/>
      <c r="AK798" s="3">
        <v>1</v>
      </c>
      <c r="AP798" s="4"/>
    </row>
    <row r="799" spans="1:42" ht="20.100000000000001">
      <c r="A799" s="35" t="e">
        <f t="shared" si="93"/>
        <v>#REF!</v>
      </c>
      <c r="N799" s="44" t="str">
        <f t="shared" si="94"/>
        <v/>
      </c>
      <c r="R799" s="47"/>
      <c r="AE799" s="3" t="str">
        <f t="shared" si="95"/>
        <v>-</v>
      </c>
      <c r="AF799" s="51"/>
      <c r="AG799" s="52" t="str">
        <f t="shared" ca="1" si="96"/>
        <v/>
      </c>
      <c r="AI799" s="54"/>
      <c r="AK799" s="3">
        <v>1</v>
      </c>
      <c r="AP799" s="4"/>
    </row>
    <row r="800" spans="1:42" ht="20.100000000000001">
      <c r="A800" s="35" t="e">
        <f t="shared" si="93"/>
        <v>#REF!</v>
      </c>
      <c r="N800" s="44" t="str">
        <f t="shared" si="94"/>
        <v/>
      </c>
      <c r="R800" s="47"/>
      <c r="AE800" s="3" t="str">
        <f t="shared" si="95"/>
        <v>-</v>
      </c>
      <c r="AF800" s="51"/>
      <c r="AG800" s="52" t="str">
        <f t="shared" ca="1" si="96"/>
        <v/>
      </c>
      <c r="AI800" s="54"/>
      <c r="AK800" s="3">
        <v>1</v>
      </c>
      <c r="AP800" s="4"/>
    </row>
    <row r="801" spans="1:42" ht="20.100000000000001">
      <c r="A801" s="35" t="e">
        <f t="shared" si="93"/>
        <v>#REF!</v>
      </c>
      <c r="N801" s="44" t="str">
        <f t="shared" si="94"/>
        <v/>
      </c>
      <c r="R801" s="47"/>
      <c r="AE801" s="3" t="str">
        <f t="shared" si="95"/>
        <v>-</v>
      </c>
      <c r="AF801" s="51"/>
      <c r="AG801" s="52" t="str">
        <f t="shared" ca="1" si="96"/>
        <v/>
      </c>
      <c r="AI801" s="54"/>
      <c r="AK801" s="3">
        <v>1</v>
      </c>
      <c r="AP801" s="4"/>
    </row>
    <row r="802" spans="1:42" ht="20.100000000000001">
      <c r="A802" s="35" t="e">
        <f t="shared" si="93"/>
        <v>#REF!</v>
      </c>
      <c r="N802" s="44" t="str">
        <f t="shared" si="94"/>
        <v/>
      </c>
      <c r="R802" s="47"/>
      <c r="AE802" s="3" t="str">
        <f t="shared" si="95"/>
        <v>-</v>
      </c>
      <c r="AF802" s="51"/>
      <c r="AG802" s="52" t="str">
        <f t="shared" ca="1" si="96"/>
        <v/>
      </c>
      <c r="AI802" s="54"/>
      <c r="AK802" s="3">
        <v>1</v>
      </c>
      <c r="AP802" s="4"/>
    </row>
    <row r="803" spans="1:42" ht="20.100000000000001">
      <c r="A803" s="35" t="e">
        <f t="shared" si="93"/>
        <v>#REF!</v>
      </c>
      <c r="N803" s="44" t="str">
        <f t="shared" si="94"/>
        <v/>
      </c>
      <c r="R803" s="47"/>
      <c r="AE803" s="3" t="str">
        <f t="shared" si="95"/>
        <v>-</v>
      </c>
      <c r="AF803" s="51"/>
      <c r="AG803" s="52" t="str">
        <f t="shared" ca="1" si="96"/>
        <v/>
      </c>
      <c r="AI803" s="54"/>
      <c r="AK803" s="3">
        <v>1</v>
      </c>
      <c r="AP803" s="4"/>
    </row>
    <row r="804" spans="1:42" ht="20.100000000000001">
      <c r="A804" s="35" t="e">
        <f t="shared" si="93"/>
        <v>#REF!</v>
      </c>
      <c r="N804" s="44" t="str">
        <f t="shared" si="94"/>
        <v/>
      </c>
      <c r="R804" s="47"/>
      <c r="AE804" s="3" t="str">
        <f t="shared" si="95"/>
        <v>-</v>
      </c>
      <c r="AF804" s="51"/>
      <c r="AG804" s="52" t="str">
        <f t="shared" ca="1" si="96"/>
        <v/>
      </c>
      <c r="AI804" s="54"/>
      <c r="AK804" s="3">
        <v>1</v>
      </c>
      <c r="AP804" s="4"/>
    </row>
    <row r="805" spans="1:42" ht="20.100000000000001">
      <c r="A805" s="35" t="e">
        <f t="shared" si="93"/>
        <v>#REF!</v>
      </c>
      <c r="N805" s="44" t="str">
        <f t="shared" si="94"/>
        <v/>
      </c>
      <c r="R805" s="47"/>
      <c r="AE805" s="3" t="str">
        <f t="shared" si="95"/>
        <v>-</v>
      </c>
      <c r="AF805" s="51"/>
      <c r="AG805" s="52" t="str">
        <f t="shared" ca="1" si="96"/>
        <v/>
      </c>
      <c r="AI805" s="54"/>
      <c r="AK805" s="3">
        <v>1</v>
      </c>
      <c r="AP805" s="4"/>
    </row>
    <row r="806" spans="1:42" ht="20.100000000000001">
      <c r="A806" s="35" t="e">
        <f t="shared" si="93"/>
        <v>#REF!</v>
      </c>
      <c r="N806" s="44" t="str">
        <f t="shared" si="94"/>
        <v/>
      </c>
      <c r="R806" s="47"/>
      <c r="AE806" s="3" t="str">
        <f t="shared" si="95"/>
        <v>-</v>
      </c>
      <c r="AF806" s="51"/>
      <c r="AG806" s="52" t="str">
        <f t="shared" ca="1" si="96"/>
        <v/>
      </c>
      <c r="AI806" s="54"/>
      <c r="AK806" s="3">
        <v>1</v>
      </c>
      <c r="AP806" s="4"/>
    </row>
    <row r="807" spans="1:42" ht="20.100000000000001">
      <c r="A807" s="35" t="e">
        <f t="shared" si="93"/>
        <v>#REF!</v>
      </c>
      <c r="N807" s="44" t="str">
        <f t="shared" si="94"/>
        <v/>
      </c>
      <c r="R807" s="47"/>
      <c r="AE807" s="3" t="str">
        <f t="shared" si="95"/>
        <v>-</v>
      </c>
      <c r="AF807" s="51"/>
      <c r="AG807" s="52" t="str">
        <f t="shared" ca="1" si="96"/>
        <v/>
      </c>
      <c r="AI807" s="54"/>
      <c r="AK807" s="3">
        <v>1</v>
      </c>
      <c r="AP807" s="4"/>
    </row>
    <row r="808" spans="1:42" ht="20.100000000000001">
      <c r="A808" s="35" t="e">
        <f t="shared" si="93"/>
        <v>#REF!</v>
      </c>
      <c r="N808" s="44" t="str">
        <f t="shared" si="94"/>
        <v/>
      </c>
      <c r="R808" s="47"/>
      <c r="AE808" s="3" t="str">
        <f t="shared" si="95"/>
        <v>-</v>
      </c>
      <c r="AF808" s="51"/>
      <c r="AG808" s="52" t="str">
        <f t="shared" ca="1" si="96"/>
        <v/>
      </c>
      <c r="AI808" s="54"/>
      <c r="AK808" s="3">
        <v>1</v>
      </c>
      <c r="AP808" s="4"/>
    </row>
    <row r="809" spans="1:42" ht="20.100000000000001">
      <c r="A809" s="35" t="e">
        <f t="shared" si="93"/>
        <v>#REF!</v>
      </c>
      <c r="N809" s="44" t="str">
        <f t="shared" si="94"/>
        <v/>
      </c>
      <c r="R809" s="47"/>
      <c r="AE809" s="3" t="str">
        <f t="shared" si="95"/>
        <v>-</v>
      </c>
      <c r="AF809" s="51"/>
      <c r="AG809" s="52" t="str">
        <f t="shared" ca="1" si="96"/>
        <v/>
      </c>
      <c r="AI809" s="54"/>
      <c r="AK809" s="3">
        <v>1</v>
      </c>
      <c r="AP809" s="4"/>
    </row>
    <row r="810" spans="1:42" ht="20.100000000000001">
      <c r="A810" s="35" t="e">
        <f t="shared" si="93"/>
        <v>#REF!</v>
      </c>
      <c r="N810" s="44" t="str">
        <f t="shared" si="94"/>
        <v/>
      </c>
      <c r="R810" s="47"/>
      <c r="AE810" s="3" t="str">
        <f t="shared" si="95"/>
        <v>-</v>
      </c>
      <c r="AF810" s="51"/>
      <c r="AG810" s="52" t="str">
        <f t="shared" ca="1" si="96"/>
        <v/>
      </c>
      <c r="AI810" s="54"/>
      <c r="AK810" s="3">
        <v>1</v>
      </c>
      <c r="AP810" s="4"/>
    </row>
    <row r="811" spans="1:42" ht="20.100000000000001">
      <c r="A811" s="35" t="e">
        <f t="shared" si="93"/>
        <v>#REF!</v>
      </c>
      <c r="N811" s="44" t="str">
        <f t="shared" si="94"/>
        <v/>
      </c>
      <c r="R811" s="47"/>
      <c r="AE811" s="3" t="str">
        <f t="shared" si="95"/>
        <v>-</v>
      </c>
      <c r="AF811" s="51"/>
      <c r="AG811" s="52" t="str">
        <f t="shared" ca="1" si="96"/>
        <v/>
      </c>
      <c r="AI811" s="54"/>
      <c r="AK811" s="3">
        <v>1</v>
      </c>
      <c r="AP811" s="4"/>
    </row>
    <row r="812" spans="1:42" ht="20.100000000000001">
      <c r="A812" s="35" t="e">
        <f t="shared" si="93"/>
        <v>#REF!</v>
      </c>
      <c r="N812" s="44" t="str">
        <f t="shared" si="94"/>
        <v/>
      </c>
      <c r="R812" s="47"/>
      <c r="AE812" s="3" t="str">
        <f t="shared" si="95"/>
        <v>-</v>
      </c>
      <c r="AF812" s="51"/>
      <c r="AG812" s="52" t="str">
        <f t="shared" ca="1" si="96"/>
        <v/>
      </c>
      <c r="AI812" s="54"/>
      <c r="AK812" s="3">
        <v>1</v>
      </c>
      <c r="AP812" s="4"/>
    </row>
    <row r="813" spans="1:42" ht="20.100000000000001">
      <c r="A813" s="35" t="e">
        <f t="shared" si="93"/>
        <v>#REF!</v>
      </c>
      <c r="N813" s="44" t="str">
        <f t="shared" si="94"/>
        <v/>
      </c>
      <c r="R813" s="47"/>
      <c r="AE813" s="3" t="str">
        <f t="shared" si="95"/>
        <v>-</v>
      </c>
      <c r="AF813" s="51"/>
      <c r="AG813" s="52" t="str">
        <f t="shared" ca="1" si="96"/>
        <v/>
      </c>
      <c r="AI813" s="54"/>
      <c r="AK813" s="3">
        <v>1</v>
      </c>
      <c r="AP813" s="4"/>
    </row>
    <row r="814" spans="1:42" ht="20.100000000000001">
      <c r="A814" s="35" t="e">
        <f t="shared" si="93"/>
        <v>#REF!</v>
      </c>
      <c r="N814" s="44" t="str">
        <f t="shared" si="94"/>
        <v/>
      </c>
      <c r="R814" s="47"/>
      <c r="AE814" s="3" t="str">
        <f t="shared" si="95"/>
        <v>-</v>
      </c>
      <c r="AF814" s="51"/>
      <c r="AG814" s="52" t="str">
        <f t="shared" ca="1" si="96"/>
        <v/>
      </c>
      <c r="AI814" s="54"/>
      <c r="AK814" s="3">
        <v>1</v>
      </c>
      <c r="AP814" s="4"/>
    </row>
    <row r="815" spans="1:42" ht="20.100000000000001">
      <c r="A815" s="35" t="e">
        <f t="shared" si="93"/>
        <v>#REF!</v>
      </c>
      <c r="N815" s="44" t="str">
        <f t="shared" si="94"/>
        <v/>
      </c>
      <c r="R815" s="47"/>
      <c r="AE815" s="3" t="str">
        <f t="shared" si="95"/>
        <v>-</v>
      </c>
      <c r="AF815" s="51"/>
      <c r="AG815" s="52" t="str">
        <f t="shared" ca="1" si="96"/>
        <v/>
      </c>
      <c r="AI815" s="54"/>
      <c r="AK815" s="3">
        <v>1</v>
      </c>
      <c r="AP815" s="4"/>
    </row>
    <row r="816" spans="1:42" ht="20.100000000000001">
      <c r="A816" s="35" t="e">
        <f t="shared" si="93"/>
        <v>#REF!</v>
      </c>
      <c r="N816" s="44" t="str">
        <f t="shared" si="94"/>
        <v/>
      </c>
      <c r="R816" s="47"/>
      <c r="AE816" s="3" t="str">
        <f t="shared" si="95"/>
        <v>-</v>
      </c>
      <c r="AF816" s="51"/>
      <c r="AG816" s="52" t="str">
        <f t="shared" ca="1" si="96"/>
        <v/>
      </c>
      <c r="AI816" s="54"/>
      <c r="AK816" s="3">
        <v>1</v>
      </c>
      <c r="AP816" s="4"/>
    </row>
    <row r="817" spans="1:42" ht="20.100000000000001">
      <c r="A817" s="35" t="e">
        <f t="shared" si="93"/>
        <v>#REF!</v>
      </c>
      <c r="N817" s="44" t="str">
        <f t="shared" si="94"/>
        <v/>
      </c>
      <c r="R817" s="47"/>
      <c r="AE817" s="3" t="str">
        <f t="shared" si="95"/>
        <v>-</v>
      </c>
      <c r="AF817" s="51"/>
      <c r="AG817" s="52" t="str">
        <f t="shared" ca="1" si="96"/>
        <v/>
      </c>
      <c r="AI817" s="54"/>
      <c r="AK817" s="3">
        <v>1</v>
      </c>
      <c r="AP817" s="4"/>
    </row>
    <row r="818" spans="1:42" ht="20.100000000000001">
      <c r="A818" s="35" t="e">
        <f t="shared" si="93"/>
        <v>#REF!</v>
      </c>
      <c r="N818" s="44" t="str">
        <f t="shared" si="94"/>
        <v/>
      </c>
      <c r="R818" s="47"/>
      <c r="AE818" s="3" t="str">
        <f t="shared" si="95"/>
        <v>-</v>
      </c>
      <c r="AF818" s="51"/>
      <c r="AG818" s="52" t="str">
        <f t="shared" ca="1" si="96"/>
        <v/>
      </c>
      <c r="AI818" s="54"/>
      <c r="AK818" s="3">
        <v>1</v>
      </c>
      <c r="AP818" s="4"/>
    </row>
    <row r="819" spans="1:42" ht="20.100000000000001">
      <c r="A819" s="35" t="e">
        <f t="shared" si="93"/>
        <v>#REF!</v>
      </c>
      <c r="N819" s="44" t="str">
        <f t="shared" si="94"/>
        <v/>
      </c>
      <c r="R819" s="47"/>
      <c r="AE819" s="3" t="str">
        <f t="shared" si="95"/>
        <v>-</v>
      </c>
      <c r="AF819" s="51"/>
      <c r="AG819" s="52" t="str">
        <f t="shared" ca="1" si="96"/>
        <v/>
      </c>
      <c r="AI819" s="54"/>
      <c r="AK819" s="3">
        <v>1</v>
      </c>
      <c r="AP819" s="4"/>
    </row>
    <row r="820" spans="1:42" ht="20.100000000000001">
      <c r="A820" s="35" t="e">
        <f t="shared" si="93"/>
        <v>#REF!</v>
      </c>
      <c r="N820" s="44" t="str">
        <f t="shared" si="94"/>
        <v/>
      </c>
      <c r="R820" s="47"/>
      <c r="AE820" s="3" t="str">
        <f t="shared" si="95"/>
        <v>-</v>
      </c>
      <c r="AF820" s="51"/>
      <c r="AG820" s="52" t="str">
        <f t="shared" ca="1" si="96"/>
        <v/>
      </c>
      <c r="AI820" s="54"/>
      <c r="AK820" s="3">
        <v>1</v>
      </c>
      <c r="AP820" s="4"/>
    </row>
    <row r="821" spans="1:42" ht="20.100000000000001">
      <c r="A821" s="35" t="e">
        <f t="shared" si="93"/>
        <v>#REF!</v>
      </c>
      <c r="N821" s="44" t="str">
        <f t="shared" si="94"/>
        <v/>
      </c>
      <c r="R821" s="47"/>
      <c r="AE821" s="3" t="str">
        <f t="shared" si="95"/>
        <v>-</v>
      </c>
      <c r="AF821" s="51"/>
      <c r="AG821" s="52" t="str">
        <f t="shared" ca="1" si="96"/>
        <v/>
      </c>
      <c r="AI821" s="54"/>
      <c r="AK821" s="3">
        <v>1</v>
      </c>
      <c r="AP821" s="4"/>
    </row>
    <row r="822" spans="1:42" ht="20.100000000000001">
      <c r="A822" s="35" t="e">
        <f t="shared" si="93"/>
        <v>#REF!</v>
      </c>
      <c r="N822" s="44" t="str">
        <f t="shared" si="94"/>
        <v/>
      </c>
      <c r="R822" s="47"/>
      <c r="AE822" s="3" t="str">
        <f t="shared" si="95"/>
        <v>-</v>
      </c>
      <c r="AF822" s="51"/>
      <c r="AG822" s="52" t="str">
        <f t="shared" ca="1" si="96"/>
        <v/>
      </c>
      <c r="AI822" s="54"/>
      <c r="AK822" s="3">
        <v>1</v>
      </c>
      <c r="AP822" s="4"/>
    </row>
    <row r="823" spans="1:42" ht="20.100000000000001">
      <c r="A823" s="35" t="e">
        <f t="shared" si="93"/>
        <v>#REF!</v>
      </c>
      <c r="N823" s="44" t="str">
        <f t="shared" si="94"/>
        <v/>
      </c>
      <c r="R823" s="47"/>
      <c r="AE823" s="3" t="str">
        <f t="shared" si="95"/>
        <v>-</v>
      </c>
      <c r="AF823" s="51"/>
      <c r="AG823" s="52" t="str">
        <f t="shared" ca="1" si="96"/>
        <v/>
      </c>
      <c r="AI823" s="54"/>
      <c r="AK823" s="3">
        <v>1</v>
      </c>
      <c r="AP823" s="4"/>
    </row>
    <row r="824" spans="1:42" ht="20.100000000000001">
      <c r="A824" s="35" t="e">
        <f t="shared" si="93"/>
        <v>#REF!</v>
      </c>
      <c r="N824" s="44" t="str">
        <f t="shared" si="94"/>
        <v/>
      </c>
      <c r="R824" s="47"/>
      <c r="AE824" s="3" t="str">
        <f t="shared" si="95"/>
        <v>-</v>
      </c>
      <c r="AF824" s="51"/>
      <c r="AG824" s="52" t="str">
        <f t="shared" ca="1" si="96"/>
        <v/>
      </c>
      <c r="AI824" s="54"/>
      <c r="AK824" s="3">
        <v>1</v>
      </c>
      <c r="AP824" s="4"/>
    </row>
    <row r="825" spans="1:42" ht="20.100000000000001">
      <c r="A825" s="35" t="e">
        <f t="shared" si="93"/>
        <v>#REF!</v>
      </c>
      <c r="N825" s="44" t="str">
        <f t="shared" si="94"/>
        <v/>
      </c>
      <c r="R825" s="47"/>
      <c r="AE825" s="3" t="str">
        <f t="shared" si="95"/>
        <v>-</v>
      </c>
      <c r="AF825" s="51"/>
      <c r="AG825" s="52" t="str">
        <f t="shared" ca="1" si="96"/>
        <v/>
      </c>
      <c r="AI825" s="54"/>
      <c r="AK825" s="3">
        <v>1</v>
      </c>
      <c r="AP825" s="4"/>
    </row>
    <row r="826" spans="1:42" ht="20.100000000000001">
      <c r="A826" s="35" t="e">
        <f t="shared" si="93"/>
        <v>#REF!</v>
      </c>
      <c r="N826" s="44" t="str">
        <f t="shared" si="94"/>
        <v/>
      </c>
      <c r="R826" s="47"/>
      <c r="AE826" s="3" t="str">
        <f t="shared" si="95"/>
        <v>-</v>
      </c>
      <c r="AF826" s="51"/>
      <c r="AG826" s="52" t="str">
        <f t="shared" ca="1" si="96"/>
        <v/>
      </c>
      <c r="AI826" s="54"/>
      <c r="AK826" s="3">
        <v>1</v>
      </c>
      <c r="AP826" s="4"/>
    </row>
    <row r="827" spans="1:42" ht="20.100000000000001">
      <c r="A827" s="35" t="e">
        <f t="shared" si="93"/>
        <v>#REF!</v>
      </c>
      <c r="N827" s="44" t="str">
        <f t="shared" si="94"/>
        <v/>
      </c>
      <c r="R827" s="47"/>
      <c r="AE827" s="3" t="str">
        <f t="shared" si="95"/>
        <v>-</v>
      </c>
      <c r="AF827" s="51"/>
      <c r="AG827" s="52" t="str">
        <f t="shared" ca="1" si="96"/>
        <v/>
      </c>
      <c r="AI827" s="54"/>
      <c r="AK827" s="3">
        <v>1</v>
      </c>
      <c r="AP827" s="4"/>
    </row>
    <row r="828" spans="1:42" ht="20.100000000000001">
      <c r="A828" s="35" t="e">
        <f t="shared" si="93"/>
        <v>#REF!</v>
      </c>
      <c r="N828" s="44" t="str">
        <f t="shared" si="94"/>
        <v/>
      </c>
      <c r="R828" s="47"/>
      <c r="AE828" s="3" t="str">
        <f t="shared" si="95"/>
        <v>-</v>
      </c>
      <c r="AF828" s="51"/>
      <c r="AG828" s="52" t="str">
        <f t="shared" ca="1" si="96"/>
        <v/>
      </c>
      <c r="AI828" s="54"/>
      <c r="AK828" s="3">
        <v>1</v>
      </c>
      <c r="AP828" s="4"/>
    </row>
    <row r="829" spans="1:42" ht="20.100000000000001">
      <c r="A829" s="35" t="e">
        <f t="shared" si="93"/>
        <v>#REF!</v>
      </c>
      <c r="N829" s="44" t="str">
        <f t="shared" si="94"/>
        <v/>
      </c>
      <c r="R829" s="47"/>
      <c r="AE829" s="3" t="str">
        <f t="shared" si="95"/>
        <v>-</v>
      </c>
      <c r="AF829" s="51"/>
      <c r="AG829" s="52" t="str">
        <f t="shared" ca="1" si="96"/>
        <v/>
      </c>
      <c r="AI829" s="54"/>
      <c r="AK829" s="3">
        <v>1</v>
      </c>
      <c r="AP829" s="4"/>
    </row>
    <row r="830" spans="1:42" ht="20.100000000000001">
      <c r="A830" s="35" t="e">
        <f t="shared" si="93"/>
        <v>#REF!</v>
      </c>
      <c r="N830" s="44" t="str">
        <f t="shared" si="94"/>
        <v/>
      </c>
      <c r="R830" s="47"/>
      <c r="AE830" s="3" t="str">
        <f t="shared" si="95"/>
        <v>-</v>
      </c>
      <c r="AF830" s="51"/>
      <c r="AG830" s="52" t="str">
        <f t="shared" ca="1" si="96"/>
        <v/>
      </c>
      <c r="AI830" s="54"/>
      <c r="AK830" s="3">
        <v>1</v>
      </c>
      <c r="AP830" s="4"/>
    </row>
    <row r="831" spans="1:42" ht="20.100000000000001">
      <c r="A831" s="35" t="e">
        <f t="shared" si="93"/>
        <v>#REF!</v>
      </c>
      <c r="N831" s="44" t="str">
        <f t="shared" si="94"/>
        <v/>
      </c>
      <c r="R831" s="47"/>
      <c r="AE831" s="3" t="str">
        <f t="shared" si="95"/>
        <v>-</v>
      </c>
      <c r="AF831" s="51"/>
      <c r="AG831" s="52" t="str">
        <f t="shared" ca="1" si="96"/>
        <v/>
      </c>
      <c r="AI831" s="54"/>
      <c r="AK831" s="3">
        <v>1</v>
      </c>
      <c r="AP831" s="4"/>
    </row>
    <row r="832" spans="1:42" ht="20.100000000000001">
      <c r="A832" s="35" t="e">
        <f t="shared" si="93"/>
        <v>#REF!</v>
      </c>
      <c r="N832" s="44" t="str">
        <f t="shared" si="94"/>
        <v/>
      </c>
      <c r="R832" s="47"/>
      <c r="AE832" s="3" t="str">
        <f t="shared" si="95"/>
        <v>-</v>
      </c>
      <c r="AF832" s="51"/>
      <c r="AG832" s="52" t="str">
        <f t="shared" ca="1" si="96"/>
        <v/>
      </c>
      <c r="AI832" s="54"/>
      <c r="AK832" s="3">
        <v>1</v>
      </c>
      <c r="AP832" s="4"/>
    </row>
    <row r="833" spans="1:42" ht="20.100000000000001">
      <c r="A833" s="35" t="e">
        <f t="shared" si="93"/>
        <v>#REF!</v>
      </c>
      <c r="N833" s="44" t="str">
        <f t="shared" si="94"/>
        <v/>
      </c>
      <c r="R833" s="47"/>
      <c r="AE833" s="3" t="str">
        <f t="shared" si="95"/>
        <v>-</v>
      </c>
      <c r="AF833" s="51"/>
      <c r="AG833" s="52" t="str">
        <f t="shared" ca="1" si="96"/>
        <v/>
      </c>
      <c r="AI833" s="54"/>
      <c r="AK833" s="3">
        <v>1</v>
      </c>
      <c r="AP833" s="4"/>
    </row>
    <row r="834" spans="1:42" ht="20.100000000000001">
      <c r="A834" s="35" t="e">
        <f t="shared" si="93"/>
        <v>#REF!</v>
      </c>
      <c r="N834" s="44" t="str">
        <f t="shared" si="94"/>
        <v/>
      </c>
      <c r="R834" s="47"/>
      <c r="AE834" s="3" t="str">
        <f t="shared" si="95"/>
        <v>-</v>
      </c>
      <c r="AF834" s="51"/>
      <c r="AG834" s="52" t="str">
        <f t="shared" ca="1" si="96"/>
        <v/>
      </c>
      <c r="AI834" s="54"/>
      <c r="AK834" s="3">
        <v>1</v>
      </c>
      <c r="AP834" s="4"/>
    </row>
    <row r="835" spans="1:42" ht="20.100000000000001">
      <c r="A835" s="35" t="e">
        <f t="shared" si="93"/>
        <v>#REF!</v>
      </c>
      <c r="N835" s="44" t="str">
        <f t="shared" si="94"/>
        <v/>
      </c>
      <c r="R835" s="47"/>
      <c r="AE835" s="3" t="str">
        <f t="shared" si="95"/>
        <v>-</v>
      </c>
      <c r="AF835" s="51"/>
      <c r="AG835" s="52" t="str">
        <f t="shared" ca="1" si="96"/>
        <v/>
      </c>
      <c r="AI835" s="54"/>
      <c r="AK835" s="3">
        <v>1</v>
      </c>
      <c r="AP835" s="4"/>
    </row>
    <row r="836" spans="1:42" ht="20.100000000000001">
      <c r="A836" s="35" t="e">
        <f t="shared" si="93"/>
        <v>#REF!</v>
      </c>
      <c r="N836" s="44" t="str">
        <f t="shared" si="94"/>
        <v/>
      </c>
      <c r="R836" s="47"/>
      <c r="AE836" s="3" t="str">
        <f t="shared" si="95"/>
        <v>-</v>
      </c>
      <c r="AF836" s="51"/>
      <c r="AG836" s="52" t="str">
        <f t="shared" ca="1" si="96"/>
        <v/>
      </c>
      <c r="AI836" s="54"/>
      <c r="AK836" s="3">
        <v>1</v>
      </c>
      <c r="AP836" s="4"/>
    </row>
    <row r="837" spans="1:42" ht="20.100000000000001">
      <c r="A837" s="35" t="e">
        <f t="shared" si="93"/>
        <v>#REF!</v>
      </c>
      <c r="N837" s="44" t="str">
        <f t="shared" si="94"/>
        <v/>
      </c>
      <c r="R837" s="47"/>
      <c r="AE837" s="3" t="str">
        <f t="shared" si="95"/>
        <v>-</v>
      </c>
      <c r="AF837" s="51"/>
      <c r="AG837" s="52" t="str">
        <f t="shared" ca="1" si="96"/>
        <v/>
      </c>
      <c r="AI837" s="54"/>
      <c r="AK837" s="3">
        <v>1</v>
      </c>
      <c r="AP837" s="4"/>
    </row>
    <row r="838" spans="1:42" ht="20.100000000000001">
      <c r="A838" s="35" t="e">
        <f t="shared" si="93"/>
        <v>#REF!</v>
      </c>
      <c r="N838" s="44" t="str">
        <f t="shared" si="94"/>
        <v/>
      </c>
      <c r="R838" s="47"/>
      <c r="AE838" s="3" t="str">
        <f t="shared" si="95"/>
        <v>-</v>
      </c>
      <c r="AF838" s="51"/>
      <c r="AG838" s="52" t="str">
        <f t="shared" ca="1" si="96"/>
        <v/>
      </c>
      <c r="AI838" s="54"/>
      <c r="AK838" s="3">
        <v>1</v>
      </c>
      <c r="AP838" s="4"/>
    </row>
    <row r="839" spans="1:42" ht="20.100000000000001">
      <c r="A839" s="35" t="e">
        <f t="shared" si="93"/>
        <v>#REF!</v>
      </c>
      <c r="N839" s="44" t="str">
        <f t="shared" si="94"/>
        <v/>
      </c>
      <c r="R839" s="47"/>
      <c r="AE839" s="3" t="str">
        <f t="shared" si="95"/>
        <v>-</v>
      </c>
      <c r="AF839" s="51"/>
      <c r="AG839" s="52" t="str">
        <f t="shared" ca="1" si="96"/>
        <v/>
      </c>
      <c r="AI839" s="54"/>
      <c r="AK839" s="3">
        <v>1</v>
      </c>
      <c r="AP839" s="4"/>
    </row>
    <row r="840" spans="1:42" ht="20.100000000000001">
      <c r="A840" s="35" t="e">
        <f t="shared" si="93"/>
        <v>#REF!</v>
      </c>
      <c r="N840" s="44" t="str">
        <f t="shared" si="94"/>
        <v/>
      </c>
      <c r="R840" s="47"/>
      <c r="AE840" s="3" t="str">
        <f t="shared" si="95"/>
        <v>-</v>
      </c>
      <c r="AF840" s="51"/>
      <c r="AG840" s="52" t="str">
        <f t="shared" ca="1" si="96"/>
        <v/>
      </c>
      <c r="AI840" s="54"/>
      <c r="AK840" s="3">
        <v>1</v>
      </c>
      <c r="AP840" s="4"/>
    </row>
    <row r="841" spans="1:42" ht="20.100000000000001">
      <c r="A841" s="35" t="e">
        <f t="shared" ref="A841:A904" si="97">A840</f>
        <v>#REF!</v>
      </c>
      <c r="N841" s="44" t="str">
        <f t="shared" si="94"/>
        <v/>
      </c>
      <c r="R841" s="47"/>
      <c r="AE841" s="3" t="str">
        <f t="shared" si="95"/>
        <v>-</v>
      </c>
      <c r="AF841" s="51"/>
      <c r="AG841" s="52" t="str">
        <f t="shared" ca="1" si="96"/>
        <v/>
      </c>
      <c r="AI841" s="54"/>
      <c r="AK841" s="3">
        <v>1</v>
      </c>
      <c r="AP841" s="4"/>
    </row>
    <row r="842" spans="1:42" ht="20.100000000000001">
      <c r="A842" s="35" t="e">
        <f t="shared" si="97"/>
        <v>#REF!</v>
      </c>
      <c r="N842" s="44" t="str">
        <f t="shared" si="94"/>
        <v/>
      </c>
      <c r="R842" s="47"/>
      <c r="AE842" s="3" t="str">
        <f t="shared" si="95"/>
        <v>-</v>
      </c>
      <c r="AF842" s="51"/>
      <c r="AG842" s="52" t="str">
        <f t="shared" ca="1" si="96"/>
        <v/>
      </c>
      <c r="AI842" s="54"/>
      <c r="AK842" s="3">
        <v>1</v>
      </c>
      <c r="AP842" s="4"/>
    </row>
    <row r="843" spans="1:42" ht="20.100000000000001">
      <c r="A843" s="35" t="e">
        <f t="shared" si="97"/>
        <v>#REF!</v>
      </c>
      <c r="N843" s="44" t="str">
        <f t="shared" si="94"/>
        <v/>
      </c>
      <c r="R843" s="47"/>
      <c r="AE843" s="3" t="str">
        <f t="shared" si="95"/>
        <v>-</v>
      </c>
      <c r="AF843" s="51"/>
      <c r="AG843" s="52" t="str">
        <f t="shared" ca="1" si="96"/>
        <v/>
      </c>
      <c r="AI843" s="54"/>
      <c r="AK843" s="3">
        <v>1</v>
      </c>
      <c r="AP843" s="4"/>
    </row>
    <row r="844" spans="1:42" ht="20.100000000000001">
      <c r="A844" s="35" t="e">
        <f t="shared" si="97"/>
        <v>#REF!</v>
      </c>
      <c r="N844" s="44" t="str">
        <f t="shared" si="94"/>
        <v/>
      </c>
      <c r="R844" s="47"/>
      <c r="AE844" s="3" t="str">
        <f t="shared" si="95"/>
        <v>-</v>
      </c>
      <c r="AF844" s="51"/>
      <c r="AG844" s="52" t="str">
        <f t="shared" ca="1" si="96"/>
        <v/>
      </c>
      <c r="AI844" s="54"/>
      <c r="AK844" s="3">
        <v>1</v>
      </c>
      <c r="AP844" s="4"/>
    </row>
    <row r="845" spans="1:42" ht="20.100000000000001">
      <c r="A845" s="35" t="e">
        <f t="shared" si="97"/>
        <v>#REF!</v>
      </c>
      <c r="N845" s="44" t="str">
        <f t="shared" si="94"/>
        <v/>
      </c>
      <c r="R845" s="47"/>
      <c r="AE845" s="3" t="str">
        <f t="shared" si="95"/>
        <v>-</v>
      </c>
      <c r="AF845" s="51"/>
      <c r="AG845" s="52" t="str">
        <f t="shared" ca="1" si="96"/>
        <v/>
      </c>
      <c r="AI845" s="54"/>
      <c r="AK845" s="3">
        <v>1</v>
      </c>
      <c r="AP845" s="4"/>
    </row>
    <row r="846" spans="1:42" ht="20.100000000000001">
      <c r="A846" s="35" t="e">
        <f t="shared" si="97"/>
        <v>#REF!</v>
      </c>
      <c r="N846" s="44" t="str">
        <f t="shared" si="94"/>
        <v/>
      </c>
      <c r="R846" s="47"/>
      <c r="AE846" s="3" t="str">
        <f t="shared" si="95"/>
        <v>-</v>
      </c>
      <c r="AF846" s="51"/>
      <c r="AG846" s="52" t="str">
        <f t="shared" ca="1" si="96"/>
        <v/>
      </c>
      <c r="AI846" s="54"/>
      <c r="AK846" s="3">
        <v>1</v>
      </c>
      <c r="AP846" s="4"/>
    </row>
    <row r="847" spans="1:42" ht="20.100000000000001">
      <c r="A847" s="35" t="e">
        <f t="shared" si="97"/>
        <v>#REF!</v>
      </c>
      <c r="N847" s="44" t="str">
        <f t="shared" si="94"/>
        <v/>
      </c>
      <c r="R847" s="47"/>
      <c r="AE847" s="3" t="str">
        <f t="shared" si="95"/>
        <v>-</v>
      </c>
      <c r="AF847" s="51"/>
      <c r="AG847" s="52" t="str">
        <f t="shared" ca="1" si="96"/>
        <v/>
      </c>
      <c r="AI847" s="54"/>
      <c r="AK847" s="3">
        <v>1</v>
      </c>
      <c r="AP847" s="4"/>
    </row>
    <row r="848" spans="1:42" ht="20.100000000000001">
      <c r="A848" s="35" t="e">
        <f t="shared" si="97"/>
        <v>#REF!</v>
      </c>
      <c r="N848" s="44" t="str">
        <f t="shared" si="94"/>
        <v/>
      </c>
      <c r="R848" s="47"/>
      <c r="AE848" s="3" t="str">
        <f t="shared" si="95"/>
        <v>-</v>
      </c>
      <c r="AF848" s="51"/>
      <c r="AG848" s="52" t="str">
        <f t="shared" ca="1" si="96"/>
        <v/>
      </c>
      <c r="AI848" s="54"/>
      <c r="AK848" s="3">
        <v>1</v>
      </c>
      <c r="AP848" s="4"/>
    </row>
    <row r="849" spans="1:42" ht="20.100000000000001">
      <c r="A849" s="35" t="e">
        <f t="shared" si="97"/>
        <v>#REF!</v>
      </c>
      <c r="N849" s="44" t="str">
        <f t="shared" si="94"/>
        <v/>
      </c>
      <c r="R849" s="47"/>
      <c r="AE849" s="3" t="str">
        <f t="shared" si="95"/>
        <v>-</v>
      </c>
      <c r="AF849" s="51"/>
      <c r="AG849" s="52" t="str">
        <f t="shared" ca="1" si="96"/>
        <v/>
      </c>
      <c r="AI849" s="54"/>
      <c r="AK849" s="3">
        <v>1</v>
      </c>
      <c r="AP849" s="4"/>
    </row>
    <row r="850" spans="1:42" ht="20.100000000000001">
      <c r="A850" s="35" t="e">
        <f t="shared" si="97"/>
        <v>#REF!</v>
      </c>
      <c r="N850" s="44" t="str">
        <f t="shared" si="94"/>
        <v/>
      </c>
      <c r="R850" s="47"/>
      <c r="AE850" s="3" t="str">
        <f t="shared" si="95"/>
        <v>-</v>
      </c>
      <c r="AF850" s="51"/>
      <c r="AG850" s="52" t="str">
        <f t="shared" ca="1" si="96"/>
        <v/>
      </c>
      <c r="AI850" s="54"/>
      <c r="AK850" s="3">
        <v>1</v>
      </c>
      <c r="AP850" s="4"/>
    </row>
    <row r="851" spans="1:42" ht="20.100000000000001">
      <c r="A851" s="35" t="e">
        <f t="shared" si="97"/>
        <v>#REF!</v>
      </c>
      <c r="N851" s="44" t="str">
        <f t="shared" si="94"/>
        <v/>
      </c>
      <c r="R851" s="47"/>
      <c r="AE851" s="3" t="str">
        <f t="shared" si="95"/>
        <v>-</v>
      </c>
      <c r="AF851" s="51"/>
      <c r="AG851" s="52" t="str">
        <f t="shared" ca="1" si="96"/>
        <v/>
      </c>
      <c r="AI851" s="54"/>
      <c r="AK851" s="3">
        <v>1</v>
      </c>
      <c r="AP851" s="4"/>
    </row>
    <row r="852" spans="1:42" ht="20.100000000000001">
      <c r="A852" s="35" t="e">
        <f t="shared" si="97"/>
        <v>#REF!</v>
      </c>
      <c r="N852" s="44" t="str">
        <f t="shared" ref="N852:N915" si="98">IF(C852="","",C852)</f>
        <v/>
      </c>
      <c r="R852" s="47"/>
      <c r="AE852" s="3" t="str">
        <f t="shared" ref="AE852:AE915" si="99">IF(OR(V852="電話不通 x2",V852="DS判断"),"DS確認→U列入力",IF(V852="希望","U列入力",IF(V852="拒否","DS確認",IF(V852="外国語","DS確認",IF(V852="電話不通 x1","ORM再架電","-")))))</f>
        <v>-</v>
      </c>
      <c r="AF852" s="51"/>
      <c r="AG852" s="52" t="str">
        <f t="shared" ca="1" si="96"/>
        <v/>
      </c>
      <c r="AI852" s="54"/>
      <c r="AK852" s="3">
        <v>1</v>
      </c>
      <c r="AP852" s="4"/>
    </row>
    <row r="853" spans="1:42" ht="20.100000000000001">
      <c r="A853" s="35" t="e">
        <f t="shared" si="97"/>
        <v>#REF!</v>
      </c>
      <c r="N853" s="44" t="str">
        <f t="shared" si="98"/>
        <v/>
      </c>
      <c r="R853" s="47"/>
      <c r="AE853" s="3" t="str">
        <f t="shared" si="99"/>
        <v>-</v>
      </c>
      <c r="AF853" s="51"/>
      <c r="AG853" s="52" t="str">
        <f t="shared" ca="1" si="96"/>
        <v/>
      </c>
      <c r="AI853" s="54"/>
      <c r="AK853" s="3">
        <v>1</v>
      </c>
      <c r="AP853" s="4"/>
    </row>
    <row r="854" spans="1:42" ht="20.100000000000001">
      <c r="A854" s="35" t="e">
        <f t="shared" si="97"/>
        <v>#REF!</v>
      </c>
      <c r="N854" s="44" t="str">
        <f t="shared" si="98"/>
        <v/>
      </c>
      <c r="R854" s="47"/>
      <c r="AE854" s="3" t="str">
        <f t="shared" si="99"/>
        <v>-</v>
      </c>
      <c r="AF854" s="51"/>
      <c r="AG854" s="52" t="str">
        <f t="shared" ca="1" si="96"/>
        <v/>
      </c>
      <c r="AI854" s="54"/>
      <c r="AK854" s="3">
        <v>1</v>
      </c>
      <c r="AP854" s="4"/>
    </row>
    <row r="855" spans="1:42" ht="20.100000000000001">
      <c r="A855" s="35" t="e">
        <f t="shared" si="97"/>
        <v>#REF!</v>
      </c>
      <c r="N855" s="44" t="str">
        <f t="shared" si="98"/>
        <v/>
      </c>
      <c r="R855" s="47"/>
      <c r="AE855" s="3" t="str">
        <f t="shared" si="99"/>
        <v>-</v>
      </c>
      <c r="AF855" s="51"/>
      <c r="AG855" s="52" t="str">
        <f t="shared" ca="1" si="96"/>
        <v/>
      </c>
      <c r="AI855" s="54"/>
      <c r="AK855" s="3">
        <v>1</v>
      </c>
      <c r="AP855" s="4"/>
    </row>
    <row r="856" spans="1:42" ht="20.100000000000001">
      <c r="A856" s="35" t="e">
        <f t="shared" si="97"/>
        <v>#REF!</v>
      </c>
      <c r="N856" s="44" t="str">
        <f t="shared" si="98"/>
        <v/>
      </c>
      <c r="R856" s="47"/>
      <c r="AE856" s="3" t="str">
        <f t="shared" si="99"/>
        <v>-</v>
      </c>
      <c r="AF856" s="51"/>
      <c r="AG856" s="52" t="str">
        <f t="shared" ca="1" si="96"/>
        <v/>
      </c>
      <c r="AI856" s="54"/>
      <c r="AK856" s="3">
        <v>1</v>
      </c>
      <c r="AP856" s="4"/>
    </row>
    <row r="857" spans="1:42" ht="20.100000000000001">
      <c r="A857" s="35" t="e">
        <f t="shared" si="97"/>
        <v>#REF!</v>
      </c>
      <c r="N857" s="44" t="str">
        <f t="shared" si="98"/>
        <v/>
      </c>
      <c r="R857" s="47"/>
      <c r="AE857" s="3" t="str">
        <f t="shared" si="99"/>
        <v>-</v>
      </c>
      <c r="AF857" s="51"/>
      <c r="AG857" s="52" t="str">
        <f t="shared" ca="1" si="96"/>
        <v/>
      </c>
      <c r="AI857" s="54"/>
      <c r="AK857" s="3">
        <v>1</v>
      </c>
      <c r="AP857" s="4"/>
    </row>
    <row r="858" spans="1:42" ht="20.100000000000001">
      <c r="A858" s="35" t="e">
        <f t="shared" si="97"/>
        <v>#REF!</v>
      </c>
      <c r="N858" s="44" t="str">
        <f t="shared" si="98"/>
        <v/>
      </c>
      <c r="R858" s="47"/>
      <c r="AE858" s="3" t="str">
        <f t="shared" si="99"/>
        <v>-</v>
      </c>
      <c r="AF858" s="51"/>
      <c r="AG858" s="52" t="str">
        <f t="shared" ca="1" si="96"/>
        <v/>
      </c>
      <c r="AI858" s="54"/>
      <c r="AK858" s="3">
        <v>1</v>
      </c>
      <c r="AP858" s="4"/>
    </row>
    <row r="859" spans="1:42" ht="20.100000000000001">
      <c r="A859" s="35" t="e">
        <f t="shared" si="97"/>
        <v>#REF!</v>
      </c>
      <c r="N859" s="44" t="str">
        <f t="shared" si="98"/>
        <v/>
      </c>
      <c r="R859" s="47"/>
      <c r="AE859" s="3" t="str">
        <f t="shared" si="99"/>
        <v>-</v>
      </c>
      <c r="AF859" s="51"/>
      <c r="AG859" s="52" t="str">
        <f t="shared" ca="1" si="96"/>
        <v/>
      </c>
      <c r="AI859" s="54"/>
      <c r="AK859" s="3">
        <v>1</v>
      </c>
      <c r="AP859" s="4"/>
    </row>
    <row r="860" spans="1:42" ht="20.100000000000001">
      <c r="A860" s="35" t="e">
        <f t="shared" si="97"/>
        <v>#REF!</v>
      </c>
      <c r="N860" s="44" t="str">
        <f t="shared" si="98"/>
        <v/>
      </c>
      <c r="R860" s="47"/>
      <c r="AE860" s="3" t="str">
        <f t="shared" si="99"/>
        <v>-</v>
      </c>
      <c r="AF860" s="51"/>
      <c r="AG860" s="52" t="str">
        <f t="shared" ref="AG860:AG923" ca="1" si="100">IF(AF860="","",IF($AF860+TIME(0,30,0)&lt;(TEXT(NOW(),"h:mm:ss")*1),$AF860+TIME(0,45,0),$AF860+TIME(0,30,0)))</f>
        <v/>
      </c>
      <c r="AI860" s="54"/>
      <c r="AK860" s="3">
        <v>1</v>
      </c>
      <c r="AP860" s="4"/>
    </row>
    <row r="861" spans="1:42" ht="20.100000000000001">
      <c r="A861" s="35" t="e">
        <f t="shared" si="97"/>
        <v>#REF!</v>
      </c>
      <c r="N861" s="44" t="str">
        <f t="shared" si="98"/>
        <v/>
      </c>
      <c r="R861" s="47"/>
      <c r="AE861" s="3" t="str">
        <f t="shared" si="99"/>
        <v>-</v>
      </c>
      <c r="AF861" s="51"/>
      <c r="AG861" s="52" t="str">
        <f t="shared" ca="1" si="100"/>
        <v/>
      </c>
      <c r="AI861" s="54"/>
      <c r="AK861" s="3">
        <v>1</v>
      </c>
      <c r="AP861" s="4"/>
    </row>
    <row r="862" spans="1:42" ht="20.100000000000001">
      <c r="A862" s="35" t="e">
        <f t="shared" si="97"/>
        <v>#REF!</v>
      </c>
      <c r="N862" s="44" t="str">
        <f t="shared" si="98"/>
        <v/>
      </c>
      <c r="R862" s="47"/>
      <c r="AE862" s="3" t="str">
        <f t="shared" si="99"/>
        <v>-</v>
      </c>
      <c r="AF862" s="51"/>
      <c r="AG862" s="52" t="str">
        <f t="shared" ca="1" si="100"/>
        <v/>
      </c>
      <c r="AI862" s="54"/>
      <c r="AK862" s="3">
        <v>1</v>
      </c>
      <c r="AP862" s="4"/>
    </row>
    <row r="863" spans="1:42" ht="20.100000000000001">
      <c r="A863" s="35" t="e">
        <f t="shared" si="97"/>
        <v>#REF!</v>
      </c>
      <c r="N863" s="44" t="str">
        <f t="shared" si="98"/>
        <v/>
      </c>
      <c r="R863" s="47"/>
      <c r="AE863" s="3" t="str">
        <f t="shared" si="99"/>
        <v>-</v>
      </c>
      <c r="AF863" s="51"/>
      <c r="AG863" s="52" t="str">
        <f t="shared" ca="1" si="100"/>
        <v/>
      </c>
      <c r="AI863" s="54"/>
      <c r="AK863" s="3">
        <v>1</v>
      </c>
      <c r="AP863" s="4"/>
    </row>
    <row r="864" spans="1:42" ht="20.100000000000001">
      <c r="A864" s="35" t="e">
        <f t="shared" si="97"/>
        <v>#REF!</v>
      </c>
      <c r="N864" s="44" t="str">
        <f t="shared" si="98"/>
        <v/>
      </c>
      <c r="R864" s="47"/>
      <c r="AE864" s="3" t="str">
        <f t="shared" si="99"/>
        <v>-</v>
      </c>
      <c r="AF864" s="51"/>
      <c r="AG864" s="52" t="str">
        <f t="shared" ca="1" si="100"/>
        <v/>
      </c>
      <c r="AI864" s="54"/>
      <c r="AK864" s="3">
        <v>1</v>
      </c>
      <c r="AP864" s="4"/>
    </row>
    <row r="865" spans="1:42" ht="20.100000000000001">
      <c r="A865" s="35" t="e">
        <f t="shared" si="97"/>
        <v>#REF!</v>
      </c>
      <c r="N865" s="44" t="str">
        <f t="shared" si="98"/>
        <v/>
      </c>
      <c r="R865" s="47"/>
      <c r="AE865" s="3" t="str">
        <f t="shared" si="99"/>
        <v>-</v>
      </c>
      <c r="AF865" s="51"/>
      <c r="AG865" s="52" t="str">
        <f t="shared" ca="1" si="100"/>
        <v/>
      </c>
      <c r="AI865" s="54"/>
      <c r="AK865" s="3">
        <v>1</v>
      </c>
      <c r="AP865" s="4"/>
    </row>
    <row r="866" spans="1:42" ht="20.100000000000001">
      <c r="A866" s="35" t="e">
        <f t="shared" si="97"/>
        <v>#REF!</v>
      </c>
      <c r="N866" s="44" t="str">
        <f t="shared" si="98"/>
        <v/>
      </c>
      <c r="R866" s="47"/>
      <c r="AE866" s="3" t="str">
        <f t="shared" si="99"/>
        <v>-</v>
      </c>
      <c r="AF866" s="51"/>
      <c r="AG866" s="52" t="str">
        <f t="shared" ca="1" si="100"/>
        <v/>
      </c>
      <c r="AI866" s="54"/>
      <c r="AK866" s="3">
        <v>1</v>
      </c>
      <c r="AP866" s="4"/>
    </row>
    <row r="867" spans="1:42" ht="20.100000000000001">
      <c r="A867" s="35" t="e">
        <f t="shared" si="97"/>
        <v>#REF!</v>
      </c>
      <c r="N867" s="44" t="str">
        <f t="shared" si="98"/>
        <v/>
      </c>
      <c r="R867" s="47"/>
      <c r="AE867" s="3" t="str">
        <f t="shared" si="99"/>
        <v>-</v>
      </c>
      <c r="AF867" s="51"/>
      <c r="AG867" s="52" t="str">
        <f t="shared" ca="1" si="100"/>
        <v/>
      </c>
      <c r="AI867" s="54"/>
      <c r="AK867" s="3">
        <v>1</v>
      </c>
      <c r="AP867" s="4"/>
    </row>
    <row r="868" spans="1:42" ht="20.100000000000001">
      <c r="A868" s="35" t="e">
        <f t="shared" si="97"/>
        <v>#REF!</v>
      </c>
      <c r="N868" s="44" t="str">
        <f t="shared" si="98"/>
        <v/>
      </c>
      <c r="R868" s="47"/>
      <c r="AE868" s="3" t="str">
        <f t="shared" si="99"/>
        <v>-</v>
      </c>
      <c r="AF868" s="51"/>
      <c r="AG868" s="52" t="str">
        <f t="shared" ca="1" si="100"/>
        <v/>
      </c>
      <c r="AI868" s="54"/>
      <c r="AK868" s="3">
        <v>1</v>
      </c>
      <c r="AP868" s="4"/>
    </row>
    <row r="869" spans="1:42" ht="20.100000000000001">
      <c r="A869" s="35" t="e">
        <f t="shared" si="97"/>
        <v>#REF!</v>
      </c>
      <c r="N869" s="44" t="str">
        <f t="shared" si="98"/>
        <v/>
      </c>
      <c r="R869" s="47"/>
      <c r="AE869" s="3" t="str">
        <f t="shared" si="99"/>
        <v>-</v>
      </c>
      <c r="AF869" s="51"/>
      <c r="AG869" s="52" t="str">
        <f t="shared" ca="1" si="100"/>
        <v/>
      </c>
      <c r="AI869" s="54"/>
      <c r="AK869" s="3">
        <v>1</v>
      </c>
      <c r="AP869" s="4"/>
    </row>
    <row r="870" spans="1:42" ht="20.100000000000001">
      <c r="A870" s="35" t="e">
        <f t="shared" si="97"/>
        <v>#REF!</v>
      </c>
      <c r="N870" s="44" t="str">
        <f t="shared" si="98"/>
        <v/>
      </c>
      <c r="R870" s="47"/>
      <c r="AE870" s="3" t="str">
        <f t="shared" si="99"/>
        <v>-</v>
      </c>
      <c r="AF870" s="51"/>
      <c r="AG870" s="52" t="str">
        <f t="shared" ca="1" si="100"/>
        <v/>
      </c>
      <c r="AI870" s="54"/>
      <c r="AK870" s="3">
        <v>1</v>
      </c>
      <c r="AP870" s="4"/>
    </row>
    <row r="871" spans="1:42" ht="20.100000000000001">
      <c r="A871" s="35" t="e">
        <f t="shared" si="97"/>
        <v>#REF!</v>
      </c>
      <c r="N871" s="44" t="str">
        <f t="shared" si="98"/>
        <v/>
      </c>
      <c r="R871" s="47"/>
      <c r="AE871" s="3" t="str">
        <f t="shared" si="99"/>
        <v>-</v>
      </c>
      <c r="AF871" s="51"/>
      <c r="AG871" s="52" t="str">
        <f t="shared" ca="1" si="100"/>
        <v/>
      </c>
      <c r="AI871" s="54"/>
      <c r="AK871" s="3">
        <v>1</v>
      </c>
      <c r="AP871" s="4"/>
    </row>
    <row r="872" spans="1:42" ht="20.100000000000001">
      <c r="A872" s="35" t="e">
        <f t="shared" si="97"/>
        <v>#REF!</v>
      </c>
      <c r="N872" s="44" t="str">
        <f t="shared" si="98"/>
        <v/>
      </c>
      <c r="R872" s="47"/>
      <c r="AE872" s="3" t="str">
        <f t="shared" si="99"/>
        <v>-</v>
      </c>
      <c r="AF872" s="51"/>
      <c r="AG872" s="52" t="str">
        <f t="shared" ca="1" si="100"/>
        <v/>
      </c>
      <c r="AI872" s="54"/>
      <c r="AK872" s="3">
        <v>1</v>
      </c>
      <c r="AP872" s="4"/>
    </row>
    <row r="873" spans="1:42" ht="20.100000000000001">
      <c r="A873" s="35" t="e">
        <f t="shared" si="97"/>
        <v>#REF!</v>
      </c>
      <c r="N873" s="44" t="str">
        <f t="shared" si="98"/>
        <v/>
      </c>
      <c r="R873" s="47"/>
      <c r="AE873" s="3" t="str">
        <f t="shared" si="99"/>
        <v>-</v>
      </c>
      <c r="AF873" s="51"/>
      <c r="AG873" s="52" t="str">
        <f t="shared" ca="1" si="100"/>
        <v/>
      </c>
      <c r="AI873" s="54"/>
      <c r="AK873" s="3">
        <v>1</v>
      </c>
      <c r="AP873" s="4"/>
    </row>
    <row r="874" spans="1:42" ht="20.100000000000001">
      <c r="A874" s="35" t="e">
        <f t="shared" si="97"/>
        <v>#REF!</v>
      </c>
      <c r="N874" s="44" t="str">
        <f t="shared" si="98"/>
        <v/>
      </c>
      <c r="R874" s="47"/>
      <c r="AE874" s="3" t="str">
        <f t="shared" si="99"/>
        <v>-</v>
      </c>
      <c r="AF874" s="51"/>
      <c r="AG874" s="52" t="str">
        <f t="shared" ca="1" si="100"/>
        <v/>
      </c>
      <c r="AI874" s="54"/>
      <c r="AK874" s="3">
        <v>1</v>
      </c>
      <c r="AP874" s="4"/>
    </row>
    <row r="875" spans="1:42" ht="20.100000000000001">
      <c r="A875" s="35" t="e">
        <f t="shared" si="97"/>
        <v>#REF!</v>
      </c>
      <c r="N875" s="44" t="str">
        <f t="shared" si="98"/>
        <v/>
      </c>
      <c r="R875" s="47"/>
      <c r="AE875" s="3" t="str">
        <f t="shared" si="99"/>
        <v>-</v>
      </c>
      <c r="AF875" s="51"/>
      <c r="AG875" s="52" t="str">
        <f t="shared" ca="1" si="100"/>
        <v/>
      </c>
      <c r="AI875" s="54"/>
      <c r="AK875" s="3">
        <v>1</v>
      </c>
      <c r="AP875" s="4"/>
    </row>
    <row r="876" spans="1:42" ht="20.100000000000001">
      <c r="A876" s="35" t="e">
        <f t="shared" si="97"/>
        <v>#REF!</v>
      </c>
      <c r="N876" s="44" t="str">
        <f t="shared" si="98"/>
        <v/>
      </c>
      <c r="R876" s="47"/>
      <c r="AE876" s="3" t="str">
        <f t="shared" si="99"/>
        <v>-</v>
      </c>
      <c r="AF876" s="51"/>
      <c r="AG876" s="52" t="str">
        <f t="shared" ca="1" si="100"/>
        <v/>
      </c>
      <c r="AI876" s="54"/>
      <c r="AK876" s="3">
        <v>1</v>
      </c>
      <c r="AP876" s="4"/>
    </row>
    <row r="877" spans="1:42" ht="20.100000000000001">
      <c r="A877" s="35" t="e">
        <f t="shared" si="97"/>
        <v>#REF!</v>
      </c>
      <c r="N877" s="44" t="str">
        <f t="shared" si="98"/>
        <v/>
      </c>
      <c r="R877" s="47"/>
      <c r="AE877" s="3" t="str">
        <f t="shared" si="99"/>
        <v>-</v>
      </c>
      <c r="AF877" s="51"/>
      <c r="AG877" s="52" t="str">
        <f t="shared" ca="1" si="100"/>
        <v/>
      </c>
      <c r="AI877" s="54"/>
      <c r="AK877" s="3">
        <v>1</v>
      </c>
      <c r="AP877" s="4"/>
    </row>
    <row r="878" spans="1:42" ht="20.100000000000001">
      <c r="A878" s="35" t="e">
        <f t="shared" si="97"/>
        <v>#REF!</v>
      </c>
      <c r="N878" s="44" t="str">
        <f t="shared" si="98"/>
        <v/>
      </c>
      <c r="R878" s="47"/>
      <c r="AE878" s="3" t="str">
        <f t="shared" si="99"/>
        <v>-</v>
      </c>
      <c r="AF878" s="51"/>
      <c r="AG878" s="52" t="str">
        <f t="shared" ca="1" si="100"/>
        <v/>
      </c>
      <c r="AI878" s="54"/>
      <c r="AK878" s="3">
        <v>1</v>
      </c>
      <c r="AP878" s="4"/>
    </row>
    <row r="879" spans="1:42" ht="20.100000000000001">
      <c r="A879" s="35" t="e">
        <f t="shared" si="97"/>
        <v>#REF!</v>
      </c>
      <c r="N879" s="44" t="str">
        <f t="shared" si="98"/>
        <v/>
      </c>
      <c r="R879" s="47"/>
      <c r="AE879" s="3" t="str">
        <f t="shared" si="99"/>
        <v>-</v>
      </c>
      <c r="AF879" s="51"/>
      <c r="AG879" s="52" t="str">
        <f t="shared" ca="1" si="100"/>
        <v/>
      </c>
      <c r="AI879" s="54"/>
      <c r="AK879" s="3">
        <v>1</v>
      </c>
      <c r="AP879" s="4"/>
    </row>
    <row r="880" spans="1:42" ht="20.100000000000001">
      <c r="A880" s="35" t="e">
        <f t="shared" si="97"/>
        <v>#REF!</v>
      </c>
      <c r="N880" s="44" t="str">
        <f t="shared" si="98"/>
        <v/>
      </c>
      <c r="R880" s="47"/>
      <c r="AE880" s="3" t="str">
        <f t="shared" si="99"/>
        <v>-</v>
      </c>
      <c r="AF880" s="51"/>
      <c r="AG880" s="52" t="str">
        <f t="shared" ca="1" si="100"/>
        <v/>
      </c>
      <c r="AI880" s="54"/>
      <c r="AK880" s="3">
        <v>1</v>
      </c>
      <c r="AP880" s="4"/>
    </row>
    <row r="881" spans="1:42" ht="20.100000000000001">
      <c r="A881" s="35" t="e">
        <f t="shared" si="97"/>
        <v>#REF!</v>
      </c>
      <c r="N881" s="44" t="str">
        <f t="shared" si="98"/>
        <v/>
      </c>
      <c r="R881" s="47"/>
      <c r="AE881" s="3" t="str">
        <f t="shared" si="99"/>
        <v>-</v>
      </c>
      <c r="AF881" s="51"/>
      <c r="AG881" s="52" t="str">
        <f t="shared" ca="1" si="100"/>
        <v/>
      </c>
      <c r="AI881" s="54"/>
      <c r="AK881" s="3">
        <v>1</v>
      </c>
      <c r="AP881" s="4"/>
    </row>
    <row r="882" spans="1:42" ht="20.100000000000001">
      <c r="A882" s="35" t="e">
        <f t="shared" si="97"/>
        <v>#REF!</v>
      </c>
      <c r="N882" s="44" t="str">
        <f t="shared" si="98"/>
        <v/>
      </c>
      <c r="R882" s="47"/>
      <c r="AE882" s="3" t="str">
        <f t="shared" si="99"/>
        <v>-</v>
      </c>
      <c r="AF882" s="51"/>
      <c r="AG882" s="52" t="str">
        <f t="shared" ca="1" si="100"/>
        <v/>
      </c>
      <c r="AI882" s="54"/>
      <c r="AK882" s="3">
        <v>1</v>
      </c>
      <c r="AP882" s="4"/>
    </row>
    <row r="883" spans="1:42" ht="20.100000000000001">
      <c r="A883" s="35" t="e">
        <f t="shared" si="97"/>
        <v>#REF!</v>
      </c>
      <c r="N883" s="44" t="str">
        <f t="shared" si="98"/>
        <v/>
      </c>
      <c r="R883" s="47"/>
      <c r="AE883" s="3" t="str">
        <f t="shared" si="99"/>
        <v>-</v>
      </c>
      <c r="AF883" s="51"/>
      <c r="AG883" s="52" t="str">
        <f t="shared" ca="1" si="100"/>
        <v/>
      </c>
      <c r="AI883" s="54"/>
      <c r="AK883" s="3">
        <v>1</v>
      </c>
      <c r="AP883" s="4"/>
    </row>
    <row r="884" spans="1:42" ht="20.100000000000001">
      <c r="A884" s="35" t="e">
        <f t="shared" si="97"/>
        <v>#REF!</v>
      </c>
      <c r="N884" s="44" t="str">
        <f t="shared" si="98"/>
        <v/>
      </c>
      <c r="R884" s="47"/>
      <c r="AE884" s="3" t="str">
        <f t="shared" si="99"/>
        <v>-</v>
      </c>
      <c r="AF884" s="51"/>
      <c r="AG884" s="52" t="str">
        <f t="shared" ca="1" si="100"/>
        <v/>
      </c>
      <c r="AI884" s="54"/>
      <c r="AK884" s="3">
        <v>1</v>
      </c>
      <c r="AP884" s="4"/>
    </row>
    <row r="885" spans="1:42" ht="20.100000000000001">
      <c r="A885" s="35" t="e">
        <f t="shared" si="97"/>
        <v>#REF!</v>
      </c>
      <c r="N885" s="44" t="str">
        <f t="shared" si="98"/>
        <v/>
      </c>
      <c r="R885" s="47"/>
      <c r="AE885" s="3" t="str">
        <f t="shared" si="99"/>
        <v>-</v>
      </c>
      <c r="AF885" s="51"/>
      <c r="AG885" s="52" t="str">
        <f t="shared" ca="1" si="100"/>
        <v/>
      </c>
      <c r="AI885" s="54"/>
      <c r="AK885" s="3">
        <v>1</v>
      </c>
      <c r="AP885" s="4"/>
    </row>
    <row r="886" spans="1:42" ht="20.100000000000001">
      <c r="A886" s="35" t="e">
        <f t="shared" si="97"/>
        <v>#REF!</v>
      </c>
      <c r="N886" s="44" t="str">
        <f t="shared" si="98"/>
        <v/>
      </c>
      <c r="R886" s="47"/>
      <c r="AE886" s="3" t="str">
        <f t="shared" si="99"/>
        <v>-</v>
      </c>
      <c r="AF886" s="51"/>
      <c r="AG886" s="52" t="str">
        <f t="shared" ca="1" si="100"/>
        <v/>
      </c>
      <c r="AI886" s="54"/>
      <c r="AK886" s="3">
        <v>1</v>
      </c>
      <c r="AP886" s="4"/>
    </row>
    <row r="887" spans="1:42" ht="20.100000000000001">
      <c r="A887" s="35" t="e">
        <f t="shared" si="97"/>
        <v>#REF!</v>
      </c>
      <c r="N887" s="44" t="str">
        <f t="shared" si="98"/>
        <v/>
      </c>
      <c r="R887" s="47"/>
      <c r="AE887" s="3" t="str">
        <f t="shared" si="99"/>
        <v>-</v>
      </c>
      <c r="AF887" s="51"/>
      <c r="AG887" s="52" t="str">
        <f t="shared" ca="1" si="100"/>
        <v/>
      </c>
      <c r="AI887" s="54"/>
      <c r="AK887" s="3">
        <v>1</v>
      </c>
      <c r="AP887" s="4"/>
    </row>
    <row r="888" spans="1:42" ht="20.100000000000001">
      <c r="A888" s="35" t="e">
        <f t="shared" si="97"/>
        <v>#REF!</v>
      </c>
      <c r="N888" s="44" t="str">
        <f t="shared" si="98"/>
        <v/>
      </c>
      <c r="R888" s="47"/>
      <c r="AE888" s="3" t="str">
        <f t="shared" si="99"/>
        <v>-</v>
      </c>
      <c r="AF888" s="51"/>
      <c r="AG888" s="52" t="str">
        <f t="shared" ca="1" si="100"/>
        <v/>
      </c>
      <c r="AI888" s="54"/>
      <c r="AK888" s="3">
        <v>1</v>
      </c>
      <c r="AP888" s="4"/>
    </row>
    <row r="889" spans="1:42" ht="20.100000000000001">
      <c r="A889" s="35" t="e">
        <f t="shared" si="97"/>
        <v>#REF!</v>
      </c>
      <c r="N889" s="44" t="str">
        <f t="shared" si="98"/>
        <v/>
      </c>
      <c r="R889" s="47"/>
      <c r="AE889" s="3" t="str">
        <f t="shared" si="99"/>
        <v>-</v>
      </c>
      <c r="AF889" s="51"/>
      <c r="AG889" s="52" t="str">
        <f t="shared" ca="1" si="100"/>
        <v/>
      </c>
      <c r="AI889" s="54"/>
      <c r="AK889" s="3">
        <v>1</v>
      </c>
      <c r="AP889" s="4"/>
    </row>
    <row r="890" spans="1:42" ht="20.100000000000001">
      <c r="A890" s="35" t="e">
        <f t="shared" si="97"/>
        <v>#REF!</v>
      </c>
      <c r="N890" s="44" t="str">
        <f t="shared" si="98"/>
        <v/>
      </c>
      <c r="R890" s="47"/>
      <c r="AE890" s="3" t="str">
        <f t="shared" si="99"/>
        <v>-</v>
      </c>
      <c r="AF890" s="51"/>
      <c r="AG890" s="52" t="str">
        <f t="shared" ca="1" si="100"/>
        <v/>
      </c>
      <c r="AI890" s="54"/>
      <c r="AK890" s="3">
        <v>1</v>
      </c>
      <c r="AP890" s="4"/>
    </row>
    <row r="891" spans="1:42" ht="20.100000000000001">
      <c r="A891" s="35" t="e">
        <f t="shared" si="97"/>
        <v>#REF!</v>
      </c>
      <c r="N891" s="44" t="str">
        <f t="shared" si="98"/>
        <v/>
      </c>
      <c r="R891" s="47"/>
      <c r="AE891" s="3" t="str">
        <f t="shared" si="99"/>
        <v>-</v>
      </c>
      <c r="AF891" s="51"/>
      <c r="AG891" s="52" t="str">
        <f t="shared" ca="1" si="100"/>
        <v/>
      </c>
      <c r="AI891" s="54"/>
      <c r="AK891" s="3">
        <v>1</v>
      </c>
      <c r="AP891" s="4"/>
    </row>
    <row r="892" spans="1:42" ht="20.100000000000001">
      <c r="A892" s="35" t="e">
        <f t="shared" si="97"/>
        <v>#REF!</v>
      </c>
      <c r="N892" s="44" t="str">
        <f t="shared" si="98"/>
        <v/>
      </c>
      <c r="R892" s="47"/>
      <c r="AE892" s="3" t="str">
        <f t="shared" si="99"/>
        <v>-</v>
      </c>
      <c r="AF892" s="51"/>
      <c r="AG892" s="52" t="str">
        <f t="shared" ca="1" si="100"/>
        <v/>
      </c>
      <c r="AI892" s="54"/>
      <c r="AK892" s="3">
        <v>1</v>
      </c>
      <c r="AP892" s="4"/>
    </row>
    <row r="893" spans="1:42" ht="20.100000000000001">
      <c r="A893" s="35" t="e">
        <f t="shared" si="97"/>
        <v>#REF!</v>
      </c>
      <c r="N893" s="44" t="str">
        <f t="shared" si="98"/>
        <v/>
      </c>
      <c r="R893" s="47"/>
      <c r="AE893" s="3" t="str">
        <f t="shared" si="99"/>
        <v>-</v>
      </c>
      <c r="AF893" s="51"/>
      <c r="AG893" s="52" t="str">
        <f t="shared" ca="1" si="100"/>
        <v/>
      </c>
      <c r="AI893" s="54"/>
      <c r="AK893" s="3">
        <v>1</v>
      </c>
      <c r="AP893" s="4"/>
    </row>
    <row r="894" spans="1:42" ht="20.100000000000001">
      <c r="A894" s="35" t="e">
        <f t="shared" si="97"/>
        <v>#REF!</v>
      </c>
      <c r="N894" s="44" t="str">
        <f t="shared" si="98"/>
        <v/>
      </c>
      <c r="R894" s="47"/>
      <c r="AE894" s="3" t="str">
        <f t="shared" si="99"/>
        <v>-</v>
      </c>
      <c r="AF894" s="51"/>
      <c r="AG894" s="52" t="str">
        <f t="shared" ca="1" si="100"/>
        <v/>
      </c>
      <c r="AI894" s="54"/>
      <c r="AK894" s="3">
        <v>1</v>
      </c>
      <c r="AP894" s="4"/>
    </row>
    <row r="895" spans="1:42" ht="20.100000000000001">
      <c r="A895" s="35" t="e">
        <f t="shared" si="97"/>
        <v>#REF!</v>
      </c>
      <c r="N895" s="44" t="str">
        <f t="shared" si="98"/>
        <v/>
      </c>
      <c r="R895" s="47"/>
      <c r="AE895" s="3" t="str">
        <f t="shared" si="99"/>
        <v>-</v>
      </c>
      <c r="AF895" s="51"/>
      <c r="AG895" s="52" t="str">
        <f t="shared" ca="1" si="100"/>
        <v/>
      </c>
      <c r="AI895" s="54"/>
      <c r="AK895" s="3">
        <v>1</v>
      </c>
      <c r="AP895" s="4"/>
    </row>
    <row r="896" spans="1:42" ht="20.100000000000001">
      <c r="A896" s="35" t="e">
        <f t="shared" si="97"/>
        <v>#REF!</v>
      </c>
      <c r="N896" s="44" t="str">
        <f t="shared" si="98"/>
        <v/>
      </c>
      <c r="R896" s="47"/>
      <c r="AE896" s="3" t="str">
        <f t="shared" si="99"/>
        <v>-</v>
      </c>
      <c r="AF896" s="51"/>
      <c r="AG896" s="52" t="str">
        <f t="shared" ca="1" si="100"/>
        <v/>
      </c>
      <c r="AI896" s="54"/>
      <c r="AK896" s="3">
        <v>1</v>
      </c>
      <c r="AP896" s="4"/>
    </row>
    <row r="897" spans="1:42" ht="20.100000000000001">
      <c r="A897" s="35" t="e">
        <f t="shared" si="97"/>
        <v>#REF!</v>
      </c>
      <c r="N897" s="44" t="str">
        <f t="shared" si="98"/>
        <v/>
      </c>
      <c r="R897" s="47"/>
      <c r="AE897" s="3" t="str">
        <f t="shared" si="99"/>
        <v>-</v>
      </c>
      <c r="AF897" s="51"/>
      <c r="AG897" s="52" t="str">
        <f t="shared" ca="1" si="100"/>
        <v/>
      </c>
      <c r="AI897" s="54"/>
      <c r="AK897" s="3">
        <v>1</v>
      </c>
      <c r="AP897" s="4"/>
    </row>
    <row r="898" spans="1:42" ht="20.100000000000001">
      <c r="A898" s="35" t="e">
        <f t="shared" si="97"/>
        <v>#REF!</v>
      </c>
      <c r="N898" s="44" t="str">
        <f t="shared" si="98"/>
        <v/>
      </c>
      <c r="R898" s="47"/>
      <c r="AE898" s="3" t="str">
        <f t="shared" si="99"/>
        <v>-</v>
      </c>
      <c r="AF898" s="51"/>
      <c r="AG898" s="52" t="str">
        <f t="shared" ca="1" si="100"/>
        <v/>
      </c>
      <c r="AI898" s="54"/>
      <c r="AK898" s="3">
        <v>1</v>
      </c>
      <c r="AP898" s="4"/>
    </row>
    <row r="899" spans="1:42" ht="20.100000000000001">
      <c r="A899" s="35" t="e">
        <f t="shared" si="97"/>
        <v>#REF!</v>
      </c>
      <c r="N899" s="44" t="str">
        <f t="shared" si="98"/>
        <v/>
      </c>
      <c r="R899" s="47"/>
      <c r="AE899" s="3" t="str">
        <f t="shared" si="99"/>
        <v>-</v>
      </c>
      <c r="AF899" s="51"/>
      <c r="AG899" s="52" t="str">
        <f t="shared" ca="1" si="100"/>
        <v/>
      </c>
      <c r="AI899" s="54"/>
      <c r="AK899" s="3">
        <v>1</v>
      </c>
      <c r="AP899" s="4"/>
    </row>
    <row r="900" spans="1:42" ht="20.100000000000001">
      <c r="A900" s="35" t="e">
        <f t="shared" si="97"/>
        <v>#REF!</v>
      </c>
      <c r="N900" s="44" t="str">
        <f t="shared" si="98"/>
        <v/>
      </c>
      <c r="R900" s="47"/>
      <c r="AE900" s="3" t="str">
        <f t="shared" si="99"/>
        <v>-</v>
      </c>
      <c r="AF900" s="51"/>
      <c r="AG900" s="52" t="str">
        <f t="shared" ca="1" si="100"/>
        <v/>
      </c>
      <c r="AI900" s="54"/>
      <c r="AK900" s="3">
        <v>1</v>
      </c>
      <c r="AP900" s="4"/>
    </row>
    <row r="901" spans="1:42" ht="20.100000000000001">
      <c r="A901" s="35" t="e">
        <f t="shared" si="97"/>
        <v>#REF!</v>
      </c>
      <c r="N901" s="44" t="str">
        <f t="shared" si="98"/>
        <v/>
      </c>
      <c r="R901" s="47"/>
      <c r="AE901" s="3" t="str">
        <f t="shared" si="99"/>
        <v>-</v>
      </c>
      <c r="AF901" s="51"/>
      <c r="AG901" s="52" t="str">
        <f t="shared" ca="1" si="100"/>
        <v/>
      </c>
      <c r="AI901" s="54"/>
      <c r="AK901" s="3">
        <v>1</v>
      </c>
      <c r="AP901" s="4"/>
    </row>
    <row r="902" spans="1:42" ht="20.100000000000001">
      <c r="A902" s="35" t="e">
        <f t="shared" si="97"/>
        <v>#REF!</v>
      </c>
      <c r="N902" s="44" t="str">
        <f t="shared" si="98"/>
        <v/>
      </c>
      <c r="R902" s="47"/>
      <c r="AE902" s="3" t="str">
        <f t="shared" si="99"/>
        <v>-</v>
      </c>
      <c r="AF902" s="51"/>
      <c r="AG902" s="52" t="str">
        <f t="shared" ca="1" si="100"/>
        <v/>
      </c>
      <c r="AI902" s="54"/>
      <c r="AK902" s="3">
        <v>1</v>
      </c>
      <c r="AP902" s="4"/>
    </row>
    <row r="903" spans="1:42" ht="20.100000000000001">
      <c r="A903" s="35" t="e">
        <f t="shared" si="97"/>
        <v>#REF!</v>
      </c>
      <c r="N903" s="44" t="str">
        <f t="shared" si="98"/>
        <v/>
      </c>
      <c r="R903" s="47"/>
      <c r="AE903" s="3" t="str">
        <f t="shared" si="99"/>
        <v>-</v>
      </c>
      <c r="AF903" s="51"/>
      <c r="AG903" s="52" t="str">
        <f t="shared" ca="1" si="100"/>
        <v/>
      </c>
      <c r="AI903" s="54"/>
      <c r="AK903" s="3">
        <v>1</v>
      </c>
      <c r="AP903" s="4"/>
    </row>
    <row r="904" spans="1:42" ht="20.100000000000001">
      <c r="A904" s="35" t="e">
        <f t="shared" si="97"/>
        <v>#REF!</v>
      </c>
      <c r="N904" s="44" t="str">
        <f t="shared" si="98"/>
        <v/>
      </c>
      <c r="R904" s="47"/>
      <c r="AE904" s="3" t="str">
        <f t="shared" si="99"/>
        <v>-</v>
      </c>
      <c r="AF904" s="51"/>
      <c r="AG904" s="52" t="str">
        <f t="shared" ca="1" si="100"/>
        <v/>
      </c>
      <c r="AI904" s="54"/>
      <c r="AK904" s="3">
        <v>1</v>
      </c>
      <c r="AP904" s="4"/>
    </row>
    <row r="905" spans="1:42" ht="20.100000000000001">
      <c r="A905" s="35" t="e">
        <f t="shared" ref="A905:A968" si="101">A904</f>
        <v>#REF!</v>
      </c>
      <c r="N905" s="44" t="str">
        <f t="shared" si="98"/>
        <v/>
      </c>
      <c r="R905" s="47"/>
      <c r="AE905" s="3" t="str">
        <f t="shared" si="99"/>
        <v>-</v>
      </c>
      <c r="AF905" s="51"/>
      <c r="AG905" s="52" t="str">
        <f t="shared" ca="1" si="100"/>
        <v/>
      </c>
      <c r="AI905" s="54"/>
      <c r="AK905" s="3">
        <v>1</v>
      </c>
      <c r="AP905" s="4"/>
    </row>
    <row r="906" spans="1:42" ht="20.100000000000001">
      <c r="A906" s="35" t="e">
        <f t="shared" si="101"/>
        <v>#REF!</v>
      </c>
      <c r="N906" s="44" t="str">
        <f t="shared" si="98"/>
        <v/>
      </c>
      <c r="R906" s="47"/>
      <c r="AE906" s="3" t="str">
        <f t="shared" si="99"/>
        <v>-</v>
      </c>
      <c r="AF906" s="51"/>
      <c r="AG906" s="52" t="str">
        <f t="shared" ca="1" si="100"/>
        <v/>
      </c>
      <c r="AI906" s="54"/>
      <c r="AK906" s="3">
        <v>1</v>
      </c>
      <c r="AP906" s="4"/>
    </row>
    <row r="907" spans="1:42" ht="20.100000000000001">
      <c r="A907" s="35" t="e">
        <f t="shared" si="101"/>
        <v>#REF!</v>
      </c>
      <c r="N907" s="44" t="str">
        <f t="shared" si="98"/>
        <v/>
      </c>
      <c r="R907" s="47"/>
      <c r="AE907" s="3" t="str">
        <f t="shared" si="99"/>
        <v>-</v>
      </c>
      <c r="AF907" s="51"/>
      <c r="AG907" s="52" t="str">
        <f t="shared" ca="1" si="100"/>
        <v/>
      </c>
      <c r="AI907" s="54"/>
      <c r="AK907" s="3">
        <v>1</v>
      </c>
      <c r="AP907" s="4"/>
    </row>
    <row r="908" spans="1:42" ht="20.100000000000001">
      <c r="A908" s="35" t="e">
        <f t="shared" si="101"/>
        <v>#REF!</v>
      </c>
      <c r="N908" s="44" t="str">
        <f t="shared" si="98"/>
        <v/>
      </c>
      <c r="R908" s="47"/>
      <c r="AE908" s="3" t="str">
        <f t="shared" si="99"/>
        <v>-</v>
      </c>
      <c r="AF908" s="51"/>
      <c r="AG908" s="52" t="str">
        <f t="shared" ca="1" si="100"/>
        <v/>
      </c>
      <c r="AI908" s="54"/>
      <c r="AK908" s="3">
        <v>1</v>
      </c>
      <c r="AP908" s="4"/>
    </row>
    <row r="909" spans="1:42" ht="20.100000000000001">
      <c r="A909" s="35" t="e">
        <f t="shared" si="101"/>
        <v>#REF!</v>
      </c>
      <c r="N909" s="44" t="str">
        <f t="shared" si="98"/>
        <v/>
      </c>
      <c r="R909" s="47"/>
      <c r="AE909" s="3" t="str">
        <f t="shared" si="99"/>
        <v>-</v>
      </c>
      <c r="AF909" s="51"/>
      <c r="AG909" s="52" t="str">
        <f t="shared" ca="1" si="100"/>
        <v/>
      </c>
      <c r="AI909" s="54"/>
      <c r="AK909" s="3">
        <v>1</v>
      </c>
      <c r="AP909" s="4"/>
    </row>
    <row r="910" spans="1:42" ht="20.100000000000001">
      <c r="A910" s="35" t="e">
        <f t="shared" si="101"/>
        <v>#REF!</v>
      </c>
      <c r="N910" s="44" t="str">
        <f t="shared" si="98"/>
        <v/>
      </c>
      <c r="R910" s="47"/>
      <c r="AE910" s="3" t="str">
        <f t="shared" si="99"/>
        <v>-</v>
      </c>
      <c r="AF910" s="51"/>
      <c r="AG910" s="52" t="str">
        <f t="shared" ca="1" si="100"/>
        <v/>
      </c>
      <c r="AI910" s="54"/>
      <c r="AK910" s="3">
        <v>1</v>
      </c>
      <c r="AP910" s="4"/>
    </row>
    <row r="911" spans="1:42" ht="20.100000000000001">
      <c r="A911" s="35" t="e">
        <f t="shared" si="101"/>
        <v>#REF!</v>
      </c>
      <c r="N911" s="44" t="str">
        <f t="shared" si="98"/>
        <v/>
      </c>
      <c r="R911" s="47"/>
      <c r="AE911" s="3" t="str">
        <f t="shared" si="99"/>
        <v>-</v>
      </c>
      <c r="AF911" s="51"/>
      <c r="AG911" s="52" t="str">
        <f t="shared" ca="1" si="100"/>
        <v/>
      </c>
      <c r="AI911" s="54"/>
      <c r="AK911" s="3">
        <v>1</v>
      </c>
      <c r="AP911" s="4"/>
    </row>
    <row r="912" spans="1:42" ht="20.100000000000001">
      <c r="A912" s="35" t="e">
        <f t="shared" si="101"/>
        <v>#REF!</v>
      </c>
      <c r="N912" s="44" t="str">
        <f t="shared" si="98"/>
        <v/>
      </c>
      <c r="R912" s="47"/>
      <c r="AE912" s="3" t="str">
        <f t="shared" si="99"/>
        <v>-</v>
      </c>
      <c r="AF912" s="51"/>
      <c r="AG912" s="52" t="str">
        <f t="shared" ca="1" si="100"/>
        <v/>
      </c>
      <c r="AI912" s="54"/>
      <c r="AK912" s="3">
        <v>1</v>
      </c>
      <c r="AP912" s="4"/>
    </row>
    <row r="913" spans="1:42" ht="20.100000000000001">
      <c r="A913" s="35" t="e">
        <f t="shared" si="101"/>
        <v>#REF!</v>
      </c>
      <c r="N913" s="44" t="str">
        <f t="shared" si="98"/>
        <v/>
      </c>
      <c r="R913" s="47"/>
      <c r="AE913" s="3" t="str">
        <f t="shared" si="99"/>
        <v>-</v>
      </c>
      <c r="AF913" s="51"/>
      <c r="AG913" s="52" t="str">
        <f t="shared" ca="1" si="100"/>
        <v/>
      </c>
      <c r="AI913" s="54"/>
      <c r="AK913" s="3">
        <v>1</v>
      </c>
      <c r="AP913" s="4"/>
    </row>
    <row r="914" spans="1:42" ht="20.100000000000001">
      <c r="A914" s="35" t="e">
        <f t="shared" si="101"/>
        <v>#REF!</v>
      </c>
      <c r="N914" s="44" t="str">
        <f t="shared" si="98"/>
        <v/>
      </c>
      <c r="R914" s="47"/>
      <c r="AE914" s="3" t="str">
        <f t="shared" si="99"/>
        <v>-</v>
      </c>
      <c r="AF914" s="51"/>
      <c r="AG914" s="52" t="str">
        <f t="shared" ca="1" si="100"/>
        <v/>
      </c>
      <c r="AI914" s="54"/>
      <c r="AK914" s="3">
        <v>1</v>
      </c>
      <c r="AP914" s="4"/>
    </row>
    <row r="915" spans="1:42" ht="20.100000000000001">
      <c r="A915" s="35" t="e">
        <f t="shared" si="101"/>
        <v>#REF!</v>
      </c>
      <c r="N915" s="44" t="str">
        <f t="shared" si="98"/>
        <v/>
      </c>
      <c r="R915" s="47"/>
      <c r="AE915" s="3" t="str">
        <f t="shared" si="99"/>
        <v>-</v>
      </c>
      <c r="AF915" s="51"/>
      <c r="AG915" s="52" t="str">
        <f t="shared" ca="1" si="100"/>
        <v/>
      </c>
      <c r="AI915" s="54"/>
      <c r="AK915" s="3">
        <v>1</v>
      </c>
      <c r="AP915" s="4"/>
    </row>
    <row r="916" spans="1:42" ht="20.100000000000001">
      <c r="A916" s="35" t="e">
        <f t="shared" si="101"/>
        <v>#REF!</v>
      </c>
      <c r="N916" s="44" t="str">
        <f t="shared" ref="N916:N979" si="102">IF(C916="","",C916)</f>
        <v/>
      </c>
      <c r="R916" s="47"/>
      <c r="AE916" s="3" t="str">
        <f t="shared" ref="AE916:AE981" si="103">IF(OR(V916="電話不通 x2",V916="DS判断"),"DS確認→U列入力",IF(V916="希望","U列入力",IF(V916="拒否","DS確認",IF(V916="外国語","DS確認",IF(V916="電話不通 x1","ORM再架電","-")))))</f>
        <v>-</v>
      </c>
      <c r="AF916" s="51"/>
      <c r="AG916" s="52" t="str">
        <f t="shared" ca="1" si="100"/>
        <v/>
      </c>
      <c r="AI916" s="54"/>
      <c r="AK916" s="3">
        <v>1</v>
      </c>
      <c r="AP916" s="4"/>
    </row>
    <row r="917" spans="1:42" ht="20.100000000000001">
      <c r="A917" s="35" t="e">
        <f t="shared" si="101"/>
        <v>#REF!</v>
      </c>
      <c r="N917" s="44" t="str">
        <f t="shared" si="102"/>
        <v/>
      </c>
      <c r="R917" s="47"/>
      <c r="AE917" s="3" t="str">
        <f t="shared" si="103"/>
        <v>-</v>
      </c>
      <c r="AF917" s="51"/>
      <c r="AG917" s="52" t="str">
        <f t="shared" ca="1" si="100"/>
        <v/>
      </c>
      <c r="AI917" s="54"/>
      <c r="AK917" s="3">
        <v>1</v>
      </c>
      <c r="AP917" s="4"/>
    </row>
    <row r="918" spans="1:42" ht="20.100000000000001">
      <c r="A918" s="35" t="e">
        <f t="shared" si="101"/>
        <v>#REF!</v>
      </c>
      <c r="N918" s="44" t="str">
        <f t="shared" si="102"/>
        <v/>
      </c>
      <c r="R918" s="47"/>
      <c r="AE918" s="3" t="str">
        <f t="shared" si="103"/>
        <v>-</v>
      </c>
      <c r="AF918" s="51"/>
      <c r="AG918" s="52" t="str">
        <f t="shared" ca="1" si="100"/>
        <v/>
      </c>
      <c r="AI918" s="54"/>
      <c r="AK918" s="3">
        <v>1</v>
      </c>
      <c r="AP918" s="4"/>
    </row>
    <row r="919" spans="1:42" ht="20.100000000000001">
      <c r="A919" s="35" t="e">
        <f t="shared" si="101"/>
        <v>#REF!</v>
      </c>
      <c r="N919" s="44" t="str">
        <f t="shared" si="102"/>
        <v/>
      </c>
      <c r="R919" s="47"/>
      <c r="AE919" s="3" t="str">
        <f t="shared" si="103"/>
        <v>-</v>
      </c>
      <c r="AF919" s="51"/>
      <c r="AG919" s="52" t="str">
        <f t="shared" ca="1" si="100"/>
        <v/>
      </c>
      <c r="AI919" s="54"/>
      <c r="AK919" s="3">
        <v>1</v>
      </c>
      <c r="AP919" s="4"/>
    </row>
    <row r="920" spans="1:42" ht="20.100000000000001">
      <c r="A920" s="35" t="e">
        <f t="shared" si="101"/>
        <v>#REF!</v>
      </c>
      <c r="N920" s="44" t="str">
        <f t="shared" si="102"/>
        <v/>
      </c>
      <c r="R920" s="47"/>
      <c r="AE920" s="3" t="str">
        <f t="shared" si="103"/>
        <v>-</v>
      </c>
      <c r="AF920" s="51"/>
      <c r="AG920" s="52" t="str">
        <f t="shared" ca="1" si="100"/>
        <v/>
      </c>
      <c r="AI920" s="54"/>
      <c r="AK920" s="3">
        <v>1</v>
      </c>
      <c r="AP920" s="4"/>
    </row>
    <row r="921" spans="1:42" ht="20.100000000000001">
      <c r="A921" s="35" t="e">
        <f t="shared" si="101"/>
        <v>#REF!</v>
      </c>
      <c r="N921" s="44" t="str">
        <f t="shared" si="102"/>
        <v/>
      </c>
      <c r="R921" s="47"/>
      <c r="AE921" s="3" t="str">
        <f t="shared" si="103"/>
        <v>-</v>
      </c>
      <c r="AF921" s="51"/>
      <c r="AG921" s="52" t="str">
        <f t="shared" ca="1" si="100"/>
        <v/>
      </c>
      <c r="AI921" s="54"/>
      <c r="AK921" s="3">
        <v>1</v>
      </c>
      <c r="AP921" s="4"/>
    </row>
    <row r="922" spans="1:42" ht="20.100000000000001">
      <c r="A922" s="35" t="e">
        <f t="shared" si="101"/>
        <v>#REF!</v>
      </c>
      <c r="N922" s="44" t="str">
        <f t="shared" si="102"/>
        <v/>
      </c>
      <c r="R922" s="47"/>
      <c r="AE922" s="3" t="str">
        <f t="shared" si="103"/>
        <v>-</v>
      </c>
      <c r="AF922" s="51"/>
      <c r="AG922" s="52" t="str">
        <f t="shared" ca="1" si="100"/>
        <v/>
      </c>
      <c r="AI922" s="54"/>
      <c r="AK922" s="3">
        <v>1</v>
      </c>
      <c r="AP922" s="4"/>
    </row>
    <row r="923" spans="1:42" ht="20.100000000000001">
      <c r="A923" s="35" t="e">
        <f t="shared" si="101"/>
        <v>#REF!</v>
      </c>
      <c r="N923" s="44" t="str">
        <f t="shared" si="102"/>
        <v/>
      </c>
      <c r="R923" s="47"/>
      <c r="AE923" s="3" t="str">
        <f t="shared" si="103"/>
        <v>-</v>
      </c>
      <c r="AF923" s="51"/>
      <c r="AG923" s="52" t="str">
        <f t="shared" ca="1" si="100"/>
        <v/>
      </c>
      <c r="AI923" s="54"/>
      <c r="AK923" s="3">
        <v>1</v>
      </c>
      <c r="AP923" s="4"/>
    </row>
    <row r="924" spans="1:42" ht="20.100000000000001">
      <c r="A924" s="35" t="e">
        <f t="shared" si="101"/>
        <v>#REF!</v>
      </c>
      <c r="N924" s="44" t="str">
        <f t="shared" si="102"/>
        <v/>
      </c>
      <c r="R924" s="47"/>
      <c r="AE924" s="3" t="str">
        <f t="shared" si="103"/>
        <v>-</v>
      </c>
      <c r="AF924" s="51"/>
      <c r="AG924" s="52" t="str">
        <f t="shared" ref="AG924:AG987" ca="1" si="104">IF(AF924="","",IF($AF924+TIME(0,30,0)&lt;(TEXT(NOW(),"h:mm:ss")*1),$AF924+TIME(0,45,0),$AF924+TIME(0,30,0)))</f>
        <v/>
      </c>
      <c r="AI924" s="54"/>
      <c r="AK924" s="3">
        <v>1</v>
      </c>
      <c r="AP924" s="4"/>
    </row>
    <row r="925" spans="1:42" ht="20.100000000000001">
      <c r="A925" s="35" t="e">
        <f t="shared" si="101"/>
        <v>#REF!</v>
      </c>
      <c r="N925" s="44" t="str">
        <f t="shared" si="102"/>
        <v/>
      </c>
      <c r="R925" s="47"/>
      <c r="AE925" s="3" t="str">
        <f t="shared" si="103"/>
        <v>-</v>
      </c>
      <c r="AF925" s="51"/>
      <c r="AG925" s="52" t="str">
        <f t="shared" ca="1" si="104"/>
        <v/>
      </c>
      <c r="AI925" s="54"/>
      <c r="AK925" s="3">
        <v>1</v>
      </c>
      <c r="AP925" s="4"/>
    </row>
    <row r="926" spans="1:42" ht="20.100000000000001">
      <c r="A926" s="35" t="e">
        <f t="shared" si="101"/>
        <v>#REF!</v>
      </c>
      <c r="N926" s="44" t="str">
        <f t="shared" si="102"/>
        <v/>
      </c>
      <c r="R926" s="47"/>
      <c r="AE926" s="3" t="str">
        <f t="shared" si="103"/>
        <v>-</v>
      </c>
      <c r="AF926" s="51"/>
      <c r="AG926" s="52" t="str">
        <f t="shared" ca="1" si="104"/>
        <v/>
      </c>
      <c r="AI926" s="54"/>
      <c r="AK926" s="3">
        <v>1</v>
      </c>
      <c r="AP926" s="4"/>
    </row>
    <row r="927" spans="1:42" ht="20.100000000000001">
      <c r="A927" s="35" t="e">
        <f t="shared" si="101"/>
        <v>#REF!</v>
      </c>
      <c r="N927" s="44" t="str">
        <f t="shared" si="102"/>
        <v/>
      </c>
      <c r="R927" s="47"/>
      <c r="AE927" s="3" t="str">
        <f t="shared" si="103"/>
        <v>-</v>
      </c>
      <c r="AF927" s="51"/>
      <c r="AG927" s="52" t="str">
        <f t="shared" ca="1" si="104"/>
        <v/>
      </c>
      <c r="AI927" s="54"/>
      <c r="AK927" s="3">
        <v>1</v>
      </c>
      <c r="AP927" s="4"/>
    </row>
    <row r="928" spans="1:42" ht="20.100000000000001">
      <c r="A928" s="35" t="e">
        <f t="shared" si="101"/>
        <v>#REF!</v>
      </c>
      <c r="N928" s="44" t="str">
        <f t="shared" si="102"/>
        <v/>
      </c>
      <c r="R928" s="47"/>
      <c r="AE928" s="3" t="str">
        <f t="shared" si="103"/>
        <v>-</v>
      </c>
      <c r="AF928" s="51"/>
      <c r="AG928" s="52" t="str">
        <f t="shared" ca="1" si="104"/>
        <v/>
      </c>
      <c r="AI928" s="54"/>
      <c r="AK928" s="3">
        <v>1</v>
      </c>
      <c r="AP928" s="4"/>
    </row>
    <row r="929" spans="1:42" ht="20.100000000000001">
      <c r="A929" s="35" t="e">
        <f t="shared" si="101"/>
        <v>#REF!</v>
      </c>
      <c r="N929" s="44" t="str">
        <f t="shared" si="102"/>
        <v/>
      </c>
      <c r="R929" s="47"/>
      <c r="AE929" s="3" t="str">
        <f t="shared" si="103"/>
        <v>-</v>
      </c>
      <c r="AF929" s="51"/>
      <c r="AG929" s="52" t="str">
        <f t="shared" ca="1" si="104"/>
        <v/>
      </c>
      <c r="AI929" s="54"/>
      <c r="AK929" s="3">
        <v>1</v>
      </c>
      <c r="AP929" s="4"/>
    </row>
    <row r="930" spans="1:42" ht="20.100000000000001">
      <c r="A930" s="35" t="e">
        <f t="shared" si="101"/>
        <v>#REF!</v>
      </c>
      <c r="N930" s="44" t="str">
        <f t="shared" si="102"/>
        <v/>
      </c>
      <c r="R930" s="47"/>
      <c r="AE930" s="3" t="str">
        <f t="shared" si="103"/>
        <v>-</v>
      </c>
      <c r="AF930" s="51"/>
      <c r="AG930" s="52" t="str">
        <f t="shared" ca="1" si="104"/>
        <v/>
      </c>
      <c r="AI930" s="54"/>
      <c r="AK930" s="3">
        <v>1</v>
      </c>
      <c r="AP930" s="4"/>
    </row>
    <row r="931" spans="1:42" ht="20.100000000000001">
      <c r="A931" s="35" t="e">
        <f t="shared" si="101"/>
        <v>#REF!</v>
      </c>
      <c r="N931" s="44" t="str">
        <f t="shared" si="102"/>
        <v/>
      </c>
      <c r="R931" s="47"/>
      <c r="AE931" s="3" t="str">
        <f t="shared" si="103"/>
        <v>-</v>
      </c>
      <c r="AF931" s="51"/>
      <c r="AG931" s="52" t="str">
        <f t="shared" ca="1" si="104"/>
        <v/>
      </c>
      <c r="AI931" s="54"/>
      <c r="AK931" s="3">
        <v>1</v>
      </c>
      <c r="AP931" s="4"/>
    </row>
    <row r="932" spans="1:42" ht="20.100000000000001">
      <c r="A932" s="35" t="e">
        <f t="shared" si="101"/>
        <v>#REF!</v>
      </c>
      <c r="N932" s="44" t="str">
        <f t="shared" si="102"/>
        <v/>
      </c>
      <c r="R932" s="47"/>
      <c r="AE932" s="3" t="str">
        <f t="shared" si="103"/>
        <v>-</v>
      </c>
      <c r="AF932" s="51"/>
      <c r="AG932" s="52" t="str">
        <f t="shared" ca="1" si="104"/>
        <v/>
      </c>
      <c r="AI932" s="54"/>
      <c r="AK932" s="3">
        <v>1</v>
      </c>
      <c r="AP932" s="4"/>
    </row>
    <row r="933" spans="1:42" ht="20.100000000000001">
      <c r="A933" s="35" t="e">
        <f t="shared" si="101"/>
        <v>#REF!</v>
      </c>
      <c r="N933" s="44" t="str">
        <f t="shared" si="102"/>
        <v/>
      </c>
      <c r="R933" s="47"/>
      <c r="AE933" s="3" t="str">
        <f t="shared" si="103"/>
        <v>-</v>
      </c>
      <c r="AF933" s="51"/>
      <c r="AG933" s="52" t="str">
        <f t="shared" ca="1" si="104"/>
        <v/>
      </c>
      <c r="AI933" s="54"/>
      <c r="AK933" s="3">
        <v>1</v>
      </c>
      <c r="AP933" s="4"/>
    </row>
    <row r="934" spans="1:42" ht="21.95" customHeight="1">
      <c r="A934" s="35" t="e">
        <f t="shared" si="101"/>
        <v>#REF!</v>
      </c>
      <c r="N934" s="44" t="str">
        <f t="shared" si="102"/>
        <v/>
      </c>
      <c r="R934" s="47"/>
      <c r="AE934" s="3" t="str">
        <f t="shared" si="103"/>
        <v>-</v>
      </c>
      <c r="AF934" s="51"/>
      <c r="AG934" s="52" t="str">
        <f t="shared" ca="1" si="104"/>
        <v/>
      </c>
      <c r="AI934" s="54"/>
      <c r="AK934" s="3">
        <v>1</v>
      </c>
      <c r="AP934" s="4"/>
    </row>
    <row r="935" spans="1:42" ht="20.100000000000001">
      <c r="A935" s="35" t="e">
        <f t="shared" si="101"/>
        <v>#REF!</v>
      </c>
      <c r="N935" s="44" t="str">
        <f t="shared" si="102"/>
        <v/>
      </c>
      <c r="R935" s="47"/>
      <c r="AE935" s="3" t="str">
        <f t="shared" si="103"/>
        <v>-</v>
      </c>
      <c r="AF935" s="51"/>
      <c r="AG935" s="52" t="str">
        <f t="shared" ca="1" si="104"/>
        <v/>
      </c>
      <c r="AI935" s="54"/>
      <c r="AK935" s="3">
        <v>1</v>
      </c>
      <c r="AP935" s="4"/>
    </row>
    <row r="936" spans="1:42" ht="20.100000000000001">
      <c r="A936" s="35" t="e">
        <f t="shared" si="101"/>
        <v>#REF!</v>
      </c>
      <c r="N936" s="44" t="str">
        <f t="shared" si="102"/>
        <v/>
      </c>
      <c r="R936" s="47"/>
      <c r="AE936" s="3" t="str">
        <f t="shared" si="103"/>
        <v>-</v>
      </c>
      <c r="AF936" s="51"/>
      <c r="AG936" s="52" t="str">
        <f t="shared" ca="1" si="104"/>
        <v/>
      </c>
      <c r="AI936" s="54"/>
      <c r="AK936" s="3">
        <v>1</v>
      </c>
      <c r="AP936" s="4"/>
    </row>
    <row r="937" spans="1:42" ht="20.100000000000001">
      <c r="A937" s="35" t="e">
        <f t="shared" si="101"/>
        <v>#REF!</v>
      </c>
      <c r="N937" s="44" t="str">
        <f t="shared" si="102"/>
        <v/>
      </c>
      <c r="R937" s="47"/>
      <c r="AE937" s="3" t="str">
        <f t="shared" si="103"/>
        <v>-</v>
      </c>
      <c r="AF937" s="51"/>
      <c r="AG937" s="52" t="str">
        <f t="shared" ca="1" si="104"/>
        <v/>
      </c>
      <c r="AI937" s="54"/>
      <c r="AK937" s="3">
        <v>1</v>
      </c>
      <c r="AP937" s="4"/>
    </row>
    <row r="938" spans="1:42" ht="20.100000000000001">
      <c r="A938" s="35" t="e">
        <f t="shared" si="101"/>
        <v>#REF!</v>
      </c>
      <c r="N938" s="44" t="str">
        <f t="shared" si="102"/>
        <v/>
      </c>
      <c r="R938" s="47"/>
      <c r="AE938" s="3" t="str">
        <f t="shared" si="103"/>
        <v>-</v>
      </c>
      <c r="AF938" s="51"/>
      <c r="AG938" s="52" t="str">
        <f t="shared" ca="1" si="104"/>
        <v/>
      </c>
      <c r="AI938" s="54"/>
      <c r="AK938" s="3">
        <v>1</v>
      </c>
      <c r="AP938" s="4"/>
    </row>
    <row r="939" spans="1:42" ht="20.100000000000001">
      <c r="A939" s="35" t="e">
        <f t="shared" si="101"/>
        <v>#REF!</v>
      </c>
      <c r="N939" s="44" t="str">
        <f t="shared" si="102"/>
        <v/>
      </c>
      <c r="R939" s="47"/>
      <c r="AE939" s="3" t="str">
        <f t="shared" si="103"/>
        <v>-</v>
      </c>
      <c r="AF939" s="51"/>
      <c r="AG939" s="52" t="str">
        <f t="shared" ca="1" si="104"/>
        <v/>
      </c>
      <c r="AI939" s="54"/>
      <c r="AK939" s="3">
        <v>1</v>
      </c>
      <c r="AP939" s="4"/>
    </row>
    <row r="940" spans="1:42" ht="20.100000000000001">
      <c r="A940" s="35" t="e">
        <f t="shared" si="101"/>
        <v>#REF!</v>
      </c>
      <c r="N940" s="44" t="str">
        <f t="shared" si="102"/>
        <v/>
      </c>
      <c r="R940" s="47"/>
      <c r="AE940" s="3" t="str">
        <f t="shared" si="103"/>
        <v>-</v>
      </c>
      <c r="AF940" s="51"/>
      <c r="AG940" s="52" t="str">
        <f t="shared" ca="1" si="104"/>
        <v/>
      </c>
      <c r="AI940" s="54"/>
      <c r="AK940" s="3">
        <v>1</v>
      </c>
      <c r="AP940" s="4"/>
    </row>
    <row r="941" spans="1:42" ht="20.100000000000001">
      <c r="A941" s="35" t="e">
        <f t="shared" si="101"/>
        <v>#REF!</v>
      </c>
      <c r="N941" s="44" t="str">
        <f t="shared" si="102"/>
        <v/>
      </c>
      <c r="R941" s="47"/>
      <c r="AE941" s="3" t="str">
        <f t="shared" si="103"/>
        <v>-</v>
      </c>
      <c r="AF941" s="51"/>
      <c r="AG941" s="52" t="str">
        <f t="shared" ca="1" si="104"/>
        <v/>
      </c>
      <c r="AI941" s="54"/>
      <c r="AK941" s="3">
        <v>1</v>
      </c>
      <c r="AP941" s="4"/>
    </row>
    <row r="942" spans="1:42" ht="20.100000000000001">
      <c r="A942" s="35" t="e">
        <f t="shared" si="101"/>
        <v>#REF!</v>
      </c>
      <c r="N942" s="44" t="str">
        <f t="shared" si="102"/>
        <v/>
      </c>
      <c r="R942" s="47"/>
      <c r="AE942" s="3" t="str">
        <f t="shared" si="103"/>
        <v>-</v>
      </c>
      <c r="AF942" s="51"/>
      <c r="AG942" s="52" t="str">
        <f t="shared" ca="1" si="104"/>
        <v/>
      </c>
      <c r="AI942" s="54"/>
      <c r="AK942" s="3">
        <v>1</v>
      </c>
      <c r="AP942" s="4"/>
    </row>
    <row r="943" spans="1:42" ht="20.100000000000001">
      <c r="A943" s="35" t="e">
        <f t="shared" si="101"/>
        <v>#REF!</v>
      </c>
      <c r="N943" s="44" t="str">
        <f t="shared" si="102"/>
        <v/>
      </c>
      <c r="R943" s="47"/>
      <c r="AE943" s="3" t="str">
        <f t="shared" si="103"/>
        <v>-</v>
      </c>
      <c r="AF943" s="51"/>
      <c r="AG943" s="52" t="str">
        <f t="shared" ca="1" si="104"/>
        <v/>
      </c>
      <c r="AI943" s="54"/>
      <c r="AK943" s="3">
        <v>1</v>
      </c>
      <c r="AP943" s="4"/>
    </row>
    <row r="944" spans="1:42" ht="20.100000000000001">
      <c r="A944" s="35" t="e">
        <f t="shared" si="101"/>
        <v>#REF!</v>
      </c>
      <c r="N944" s="44" t="str">
        <f t="shared" si="102"/>
        <v/>
      </c>
      <c r="R944" s="47"/>
      <c r="AE944" s="3" t="str">
        <f t="shared" si="103"/>
        <v>-</v>
      </c>
      <c r="AF944" s="51"/>
      <c r="AG944" s="52" t="str">
        <f t="shared" ca="1" si="104"/>
        <v/>
      </c>
      <c r="AI944" s="54"/>
      <c r="AK944" s="3">
        <v>1</v>
      </c>
      <c r="AP944" s="4"/>
    </row>
    <row r="945" spans="1:42" ht="20.100000000000001">
      <c r="A945" s="35" t="e">
        <f t="shared" si="101"/>
        <v>#REF!</v>
      </c>
      <c r="N945" s="44" t="str">
        <f t="shared" si="102"/>
        <v/>
      </c>
      <c r="R945" s="47"/>
      <c r="AE945" s="3" t="str">
        <f t="shared" si="103"/>
        <v>-</v>
      </c>
      <c r="AF945" s="51"/>
      <c r="AG945" s="52" t="str">
        <f t="shared" ca="1" si="104"/>
        <v/>
      </c>
      <c r="AI945" s="54"/>
      <c r="AK945" s="3">
        <v>1</v>
      </c>
      <c r="AP945" s="4"/>
    </row>
    <row r="946" spans="1:42" ht="20.100000000000001">
      <c r="A946" s="35" t="e">
        <f t="shared" si="101"/>
        <v>#REF!</v>
      </c>
      <c r="N946" s="44" t="str">
        <f t="shared" si="102"/>
        <v/>
      </c>
      <c r="R946" s="47"/>
      <c r="AE946" s="3" t="str">
        <f t="shared" si="103"/>
        <v>-</v>
      </c>
      <c r="AF946" s="51"/>
      <c r="AG946" s="52" t="str">
        <f t="shared" ca="1" si="104"/>
        <v/>
      </c>
      <c r="AI946" s="54"/>
      <c r="AK946" s="3">
        <v>1</v>
      </c>
      <c r="AP946" s="4"/>
    </row>
    <row r="947" spans="1:42" ht="20.100000000000001">
      <c r="A947" s="35" t="e">
        <f t="shared" si="101"/>
        <v>#REF!</v>
      </c>
      <c r="N947" s="44" t="str">
        <f t="shared" si="102"/>
        <v/>
      </c>
      <c r="R947" s="47"/>
      <c r="AE947" s="3" t="str">
        <f t="shared" si="103"/>
        <v>-</v>
      </c>
      <c r="AF947" s="51"/>
      <c r="AG947" s="52" t="str">
        <f t="shared" ca="1" si="104"/>
        <v/>
      </c>
      <c r="AI947" s="54"/>
      <c r="AK947" s="3">
        <v>1</v>
      </c>
      <c r="AP947" s="4"/>
    </row>
    <row r="948" spans="1:42" ht="20.100000000000001">
      <c r="A948" s="35" t="e">
        <f t="shared" si="101"/>
        <v>#REF!</v>
      </c>
      <c r="N948" s="44" t="str">
        <f t="shared" si="102"/>
        <v/>
      </c>
      <c r="R948" s="47"/>
      <c r="AE948" s="3" t="str">
        <f t="shared" si="103"/>
        <v>-</v>
      </c>
      <c r="AF948" s="51"/>
      <c r="AG948" s="52" t="str">
        <f t="shared" ca="1" si="104"/>
        <v/>
      </c>
      <c r="AI948" s="54"/>
      <c r="AK948" s="3">
        <v>1</v>
      </c>
      <c r="AP948" s="4"/>
    </row>
    <row r="949" spans="1:42" ht="20.100000000000001">
      <c r="A949" s="35" t="e">
        <f t="shared" si="101"/>
        <v>#REF!</v>
      </c>
      <c r="N949" s="44" t="str">
        <f t="shared" si="102"/>
        <v/>
      </c>
      <c r="R949" s="47"/>
      <c r="AE949" s="3" t="str">
        <f t="shared" si="103"/>
        <v>-</v>
      </c>
      <c r="AF949" s="51"/>
      <c r="AG949" s="52" t="str">
        <f t="shared" ca="1" si="104"/>
        <v/>
      </c>
      <c r="AI949" s="54"/>
      <c r="AK949" s="3">
        <v>1</v>
      </c>
      <c r="AP949" s="4"/>
    </row>
    <row r="950" spans="1:42" ht="20.100000000000001">
      <c r="A950" s="35" t="e">
        <f t="shared" si="101"/>
        <v>#REF!</v>
      </c>
      <c r="N950" s="44" t="str">
        <f t="shared" si="102"/>
        <v/>
      </c>
      <c r="R950" s="47"/>
      <c r="AE950" s="3" t="str">
        <f t="shared" si="103"/>
        <v>-</v>
      </c>
      <c r="AF950" s="51"/>
      <c r="AG950" s="52" t="str">
        <f t="shared" ca="1" si="104"/>
        <v/>
      </c>
      <c r="AI950" s="54"/>
      <c r="AK950" s="3">
        <v>1</v>
      </c>
      <c r="AP950" s="4"/>
    </row>
    <row r="951" spans="1:42" ht="20.100000000000001">
      <c r="A951" s="35" t="e">
        <f t="shared" si="101"/>
        <v>#REF!</v>
      </c>
      <c r="N951" s="44" t="str">
        <f t="shared" si="102"/>
        <v/>
      </c>
      <c r="R951" s="47"/>
      <c r="AE951" s="3" t="str">
        <f t="shared" si="103"/>
        <v>-</v>
      </c>
      <c r="AF951" s="51"/>
      <c r="AG951" s="52" t="str">
        <f t="shared" ca="1" si="104"/>
        <v/>
      </c>
      <c r="AI951" s="54"/>
      <c r="AK951" s="3">
        <v>1</v>
      </c>
      <c r="AP951" s="4"/>
    </row>
    <row r="952" spans="1:42" ht="20.100000000000001">
      <c r="A952" s="35" t="e">
        <f t="shared" si="101"/>
        <v>#REF!</v>
      </c>
      <c r="N952" s="44" t="str">
        <f t="shared" si="102"/>
        <v/>
      </c>
      <c r="R952" s="47"/>
      <c r="AE952" s="3" t="str">
        <f t="shared" si="103"/>
        <v>-</v>
      </c>
      <c r="AF952" s="51"/>
      <c r="AG952" s="52" t="str">
        <f t="shared" ca="1" si="104"/>
        <v/>
      </c>
      <c r="AI952" s="54"/>
      <c r="AK952" s="3">
        <v>1</v>
      </c>
      <c r="AP952" s="4"/>
    </row>
    <row r="953" spans="1:42" ht="20.100000000000001">
      <c r="A953" s="35" t="e">
        <f t="shared" si="101"/>
        <v>#REF!</v>
      </c>
      <c r="N953" s="44" t="str">
        <f t="shared" si="102"/>
        <v/>
      </c>
      <c r="R953" s="47"/>
      <c r="AE953" s="3" t="str">
        <f t="shared" si="103"/>
        <v>-</v>
      </c>
      <c r="AF953" s="51"/>
      <c r="AG953" s="52" t="str">
        <f t="shared" ca="1" si="104"/>
        <v/>
      </c>
      <c r="AI953" s="54"/>
      <c r="AK953" s="3">
        <v>1</v>
      </c>
      <c r="AP953" s="4"/>
    </row>
    <row r="954" spans="1:42" ht="20.100000000000001">
      <c r="A954" s="35" t="e">
        <f t="shared" si="101"/>
        <v>#REF!</v>
      </c>
      <c r="N954" s="44" t="str">
        <f t="shared" si="102"/>
        <v/>
      </c>
      <c r="R954" s="47"/>
      <c r="AE954" s="3" t="str">
        <f t="shared" si="103"/>
        <v>-</v>
      </c>
      <c r="AF954" s="51"/>
      <c r="AG954" s="52" t="str">
        <f t="shared" ca="1" si="104"/>
        <v/>
      </c>
      <c r="AI954" s="54"/>
      <c r="AK954" s="3">
        <v>1</v>
      </c>
      <c r="AP954" s="4"/>
    </row>
    <row r="955" spans="1:42" ht="20.100000000000001">
      <c r="A955" s="35" t="e">
        <f t="shared" si="101"/>
        <v>#REF!</v>
      </c>
      <c r="N955" s="44" t="str">
        <f t="shared" si="102"/>
        <v/>
      </c>
      <c r="R955" s="47"/>
      <c r="AE955" s="3" t="str">
        <f t="shared" si="103"/>
        <v>-</v>
      </c>
      <c r="AF955" s="51"/>
      <c r="AG955" s="52" t="str">
        <f t="shared" ca="1" si="104"/>
        <v/>
      </c>
      <c r="AI955" s="54"/>
      <c r="AK955" s="3">
        <v>1</v>
      </c>
      <c r="AP955" s="4"/>
    </row>
    <row r="956" spans="1:42" ht="20.100000000000001">
      <c r="A956" s="35" t="e">
        <f t="shared" si="101"/>
        <v>#REF!</v>
      </c>
      <c r="N956" s="44" t="str">
        <f t="shared" si="102"/>
        <v/>
      </c>
      <c r="R956" s="47"/>
      <c r="AE956" s="3" t="str">
        <f t="shared" si="103"/>
        <v>-</v>
      </c>
      <c r="AF956" s="51"/>
      <c r="AG956" s="52" t="str">
        <f t="shared" ca="1" si="104"/>
        <v/>
      </c>
      <c r="AI956" s="54"/>
      <c r="AK956" s="3">
        <v>1</v>
      </c>
      <c r="AP956" s="4"/>
    </row>
    <row r="957" spans="1:42" ht="20.100000000000001">
      <c r="A957" s="35" t="e">
        <f t="shared" si="101"/>
        <v>#REF!</v>
      </c>
      <c r="N957" s="44" t="str">
        <f t="shared" si="102"/>
        <v/>
      </c>
      <c r="R957" s="47"/>
      <c r="AE957" s="3" t="str">
        <f t="shared" si="103"/>
        <v>-</v>
      </c>
      <c r="AF957" s="51"/>
      <c r="AG957" s="52" t="str">
        <f t="shared" ca="1" si="104"/>
        <v/>
      </c>
      <c r="AI957" s="54"/>
      <c r="AK957" s="3">
        <v>1</v>
      </c>
      <c r="AP957" s="4"/>
    </row>
    <row r="958" spans="1:42" ht="20.100000000000001">
      <c r="A958" s="35" t="e">
        <f t="shared" si="101"/>
        <v>#REF!</v>
      </c>
      <c r="N958" s="44" t="str">
        <f t="shared" si="102"/>
        <v/>
      </c>
      <c r="R958" s="47"/>
      <c r="AE958" s="3" t="str">
        <f t="shared" si="103"/>
        <v>-</v>
      </c>
      <c r="AF958" s="51"/>
      <c r="AG958" s="52" t="str">
        <f t="shared" ca="1" si="104"/>
        <v/>
      </c>
      <c r="AI958" s="54"/>
      <c r="AK958" s="3">
        <v>1</v>
      </c>
      <c r="AP958" s="4"/>
    </row>
    <row r="959" spans="1:42" ht="20.100000000000001">
      <c r="A959" s="35" t="e">
        <f t="shared" si="101"/>
        <v>#REF!</v>
      </c>
      <c r="N959" s="44" t="str">
        <f t="shared" si="102"/>
        <v/>
      </c>
      <c r="R959" s="47"/>
      <c r="AE959" s="3" t="str">
        <f t="shared" si="103"/>
        <v>-</v>
      </c>
      <c r="AF959" s="51"/>
      <c r="AG959" s="52" t="str">
        <f t="shared" ca="1" si="104"/>
        <v/>
      </c>
      <c r="AI959" s="54"/>
      <c r="AK959" s="3">
        <v>1</v>
      </c>
      <c r="AP959" s="4"/>
    </row>
    <row r="960" spans="1:42" ht="20.100000000000001">
      <c r="A960" s="35" t="e">
        <f t="shared" si="101"/>
        <v>#REF!</v>
      </c>
      <c r="N960" s="44" t="str">
        <f t="shared" si="102"/>
        <v/>
      </c>
      <c r="R960" s="47"/>
      <c r="AE960" s="3" t="str">
        <f t="shared" si="103"/>
        <v>-</v>
      </c>
      <c r="AF960" s="51"/>
      <c r="AG960" s="52" t="str">
        <f t="shared" ca="1" si="104"/>
        <v/>
      </c>
      <c r="AI960" s="54"/>
      <c r="AK960" s="3">
        <v>1</v>
      </c>
      <c r="AP960" s="4"/>
    </row>
    <row r="961" spans="1:42" ht="20.100000000000001">
      <c r="A961" s="35" t="e">
        <f t="shared" si="101"/>
        <v>#REF!</v>
      </c>
      <c r="N961" s="44" t="str">
        <f t="shared" si="102"/>
        <v/>
      </c>
      <c r="R961" s="47"/>
      <c r="AE961" s="3" t="str">
        <f t="shared" si="103"/>
        <v>-</v>
      </c>
      <c r="AF961" s="51"/>
      <c r="AG961" s="52" t="str">
        <f t="shared" ca="1" si="104"/>
        <v/>
      </c>
      <c r="AI961" s="54"/>
      <c r="AK961" s="3">
        <v>1</v>
      </c>
      <c r="AP961" s="4"/>
    </row>
    <row r="962" spans="1:42" ht="20.100000000000001">
      <c r="A962" s="35" t="e">
        <f t="shared" si="101"/>
        <v>#REF!</v>
      </c>
      <c r="N962" s="44" t="str">
        <f t="shared" si="102"/>
        <v/>
      </c>
      <c r="R962" s="47"/>
      <c r="AE962" s="3" t="str">
        <f t="shared" si="103"/>
        <v>-</v>
      </c>
      <c r="AF962" s="51"/>
      <c r="AG962" s="52" t="str">
        <f t="shared" ca="1" si="104"/>
        <v/>
      </c>
      <c r="AI962" s="54"/>
      <c r="AK962" s="3">
        <v>1</v>
      </c>
      <c r="AP962" s="4"/>
    </row>
    <row r="963" spans="1:42" ht="20.100000000000001">
      <c r="A963" s="35" t="e">
        <f t="shared" si="101"/>
        <v>#REF!</v>
      </c>
      <c r="N963" s="44" t="str">
        <f t="shared" si="102"/>
        <v/>
      </c>
      <c r="R963" s="47"/>
      <c r="AE963" s="3" t="str">
        <f t="shared" si="103"/>
        <v>-</v>
      </c>
      <c r="AF963" s="51"/>
      <c r="AG963" s="52" t="str">
        <f t="shared" ca="1" si="104"/>
        <v/>
      </c>
      <c r="AI963" s="54"/>
      <c r="AK963" s="3">
        <v>1</v>
      </c>
      <c r="AP963" s="4"/>
    </row>
    <row r="964" spans="1:42" ht="20.100000000000001">
      <c r="A964" s="35" t="e">
        <f t="shared" si="101"/>
        <v>#REF!</v>
      </c>
      <c r="N964" s="44" t="str">
        <f t="shared" si="102"/>
        <v/>
      </c>
      <c r="R964" s="47"/>
      <c r="AE964" s="3" t="str">
        <f t="shared" si="103"/>
        <v>-</v>
      </c>
      <c r="AF964" s="51"/>
      <c r="AG964" s="52" t="str">
        <f t="shared" ca="1" si="104"/>
        <v/>
      </c>
      <c r="AI964" s="54"/>
      <c r="AK964" s="3">
        <v>1</v>
      </c>
      <c r="AP964" s="4"/>
    </row>
    <row r="965" spans="1:42" ht="20.100000000000001">
      <c r="A965" s="35" t="e">
        <f t="shared" si="101"/>
        <v>#REF!</v>
      </c>
      <c r="N965" s="44" t="str">
        <f t="shared" si="102"/>
        <v/>
      </c>
      <c r="R965" s="47"/>
      <c r="AE965" s="3" t="str">
        <f t="shared" si="103"/>
        <v>-</v>
      </c>
      <c r="AF965" s="51"/>
      <c r="AG965" s="52" t="str">
        <f t="shared" ca="1" si="104"/>
        <v/>
      </c>
      <c r="AI965" s="54"/>
      <c r="AK965" s="3">
        <v>1</v>
      </c>
      <c r="AP965" s="4"/>
    </row>
    <row r="966" spans="1:42" ht="20.100000000000001">
      <c r="A966" s="35" t="e">
        <f t="shared" si="101"/>
        <v>#REF!</v>
      </c>
      <c r="N966" s="44" t="str">
        <f t="shared" si="102"/>
        <v/>
      </c>
      <c r="R966" s="47"/>
      <c r="AE966" s="3" t="str">
        <f t="shared" si="103"/>
        <v>-</v>
      </c>
      <c r="AF966" s="51"/>
      <c r="AG966" s="52" t="str">
        <f t="shared" ca="1" si="104"/>
        <v/>
      </c>
      <c r="AI966" s="54"/>
      <c r="AK966" s="3">
        <v>1</v>
      </c>
      <c r="AP966" s="4"/>
    </row>
    <row r="967" spans="1:42" ht="20.100000000000001">
      <c r="A967" s="35" t="e">
        <f t="shared" si="101"/>
        <v>#REF!</v>
      </c>
      <c r="N967" s="44" t="str">
        <f t="shared" si="102"/>
        <v/>
      </c>
      <c r="R967" s="47"/>
      <c r="AE967" s="3" t="str">
        <f t="shared" si="103"/>
        <v>-</v>
      </c>
      <c r="AF967" s="51"/>
      <c r="AG967" s="52" t="str">
        <f t="shared" ca="1" si="104"/>
        <v/>
      </c>
      <c r="AI967" s="54"/>
      <c r="AK967" s="3">
        <v>1</v>
      </c>
      <c r="AP967" s="4"/>
    </row>
    <row r="968" spans="1:42" ht="20.100000000000001">
      <c r="A968" s="35" t="e">
        <f t="shared" si="101"/>
        <v>#REF!</v>
      </c>
      <c r="N968" s="44" t="str">
        <f t="shared" si="102"/>
        <v/>
      </c>
      <c r="R968" s="47"/>
      <c r="AE968" s="3" t="str">
        <f t="shared" si="103"/>
        <v>-</v>
      </c>
      <c r="AF968" s="51"/>
      <c r="AG968" s="52" t="str">
        <f t="shared" ca="1" si="104"/>
        <v/>
      </c>
      <c r="AI968" s="54"/>
      <c r="AK968" s="3">
        <v>1</v>
      </c>
      <c r="AP968" s="4"/>
    </row>
    <row r="969" spans="1:42" ht="20.100000000000001">
      <c r="A969" s="35" t="e">
        <f t="shared" ref="A969:A1032" si="105">A968</f>
        <v>#REF!</v>
      </c>
      <c r="N969" s="44" t="str">
        <f t="shared" si="102"/>
        <v/>
      </c>
      <c r="R969" s="47"/>
      <c r="AE969" s="3" t="str">
        <f t="shared" si="103"/>
        <v>-</v>
      </c>
      <c r="AF969" s="51"/>
      <c r="AG969" s="52" t="str">
        <f t="shared" ca="1" si="104"/>
        <v/>
      </c>
      <c r="AI969" s="54"/>
      <c r="AK969" s="3">
        <v>1</v>
      </c>
      <c r="AP969" s="4"/>
    </row>
    <row r="970" spans="1:42" ht="20.100000000000001">
      <c r="A970" s="35" t="e">
        <f t="shared" si="105"/>
        <v>#REF!</v>
      </c>
      <c r="N970" s="44" t="str">
        <f t="shared" si="102"/>
        <v/>
      </c>
      <c r="R970" s="47"/>
      <c r="AE970" s="3" t="str">
        <f t="shared" si="103"/>
        <v>-</v>
      </c>
      <c r="AF970" s="51"/>
      <c r="AG970" s="52" t="str">
        <f t="shared" ca="1" si="104"/>
        <v/>
      </c>
      <c r="AI970" s="54"/>
      <c r="AK970" s="3">
        <v>1</v>
      </c>
      <c r="AP970" s="4"/>
    </row>
    <row r="971" spans="1:42" ht="20.100000000000001">
      <c r="A971" s="35" t="e">
        <f t="shared" si="105"/>
        <v>#REF!</v>
      </c>
      <c r="N971" s="44" t="str">
        <f t="shared" si="102"/>
        <v/>
      </c>
      <c r="R971" s="47"/>
      <c r="AE971" s="3" t="str">
        <f t="shared" si="103"/>
        <v>-</v>
      </c>
      <c r="AF971" s="51"/>
      <c r="AG971" s="52" t="str">
        <f t="shared" ca="1" si="104"/>
        <v/>
      </c>
      <c r="AI971" s="54"/>
      <c r="AK971" s="3">
        <v>1</v>
      </c>
      <c r="AP971" s="4"/>
    </row>
    <row r="972" spans="1:42" ht="20.100000000000001">
      <c r="A972" s="35" t="e">
        <f t="shared" si="105"/>
        <v>#REF!</v>
      </c>
      <c r="N972" s="44" t="str">
        <f t="shared" si="102"/>
        <v/>
      </c>
      <c r="R972" s="47"/>
      <c r="AE972" s="3" t="str">
        <f t="shared" si="103"/>
        <v>-</v>
      </c>
      <c r="AF972" s="51"/>
      <c r="AG972" s="52" t="str">
        <f t="shared" ca="1" si="104"/>
        <v/>
      </c>
      <c r="AI972" s="54"/>
      <c r="AK972" s="3">
        <v>1</v>
      </c>
      <c r="AP972" s="4"/>
    </row>
    <row r="973" spans="1:42" ht="20.100000000000001">
      <c r="A973" s="35" t="e">
        <f t="shared" si="105"/>
        <v>#REF!</v>
      </c>
      <c r="N973" s="44" t="str">
        <f t="shared" si="102"/>
        <v/>
      </c>
      <c r="R973" s="47"/>
      <c r="AE973" s="3" t="str">
        <f t="shared" si="103"/>
        <v>-</v>
      </c>
      <c r="AF973" s="51"/>
      <c r="AG973" s="52" t="str">
        <f t="shared" ca="1" si="104"/>
        <v/>
      </c>
      <c r="AI973" s="54"/>
      <c r="AK973" s="3">
        <v>1</v>
      </c>
      <c r="AP973" s="4"/>
    </row>
    <row r="974" spans="1:42" ht="20.100000000000001">
      <c r="A974" s="35" t="e">
        <f t="shared" si="105"/>
        <v>#REF!</v>
      </c>
      <c r="N974" s="44" t="str">
        <f t="shared" si="102"/>
        <v/>
      </c>
      <c r="R974" s="47"/>
      <c r="AE974" s="3" t="str">
        <f t="shared" si="103"/>
        <v>-</v>
      </c>
      <c r="AF974" s="51"/>
      <c r="AG974" s="52" t="str">
        <f t="shared" ca="1" si="104"/>
        <v/>
      </c>
      <c r="AI974" s="54"/>
      <c r="AK974" s="3">
        <v>1</v>
      </c>
      <c r="AP974" s="4"/>
    </row>
    <row r="975" spans="1:42" ht="20.100000000000001">
      <c r="A975" s="35" t="e">
        <f t="shared" si="105"/>
        <v>#REF!</v>
      </c>
      <c r="N975" s="44" t="str">
        <f t="shared" si="102"/>
        <v/>
      </c>
      <c r="R975" s="47"/>
      <c r="AE975" s="3" t="str">
        <f t="shared" si="103"/>
        <v>-</v>
      </c>
      <c r="AF975" s="51"/>
      <c r="AG975" s="52" t="str">
        <f t="shared" ca="1" si="104"/>
        <v/>
      </c>
      <c r="AI975" s="54"/>
      <c r="AK975" s="3">
        <v>1</v>
      </c>
      <c r="AP975" s="4"/>
    </row>
    <row r="976" spans="1:42" ht="20.100000000000001">
      <c r="A976" s="35" t="e">
        <f t="shared" si="105"/>
        <v>#REF!</v>
      </c>
      <c r="N976" s="44" t="str">
        <f t="shared" si="102"/>
        <v/>
      </c>
      <c r="R976" s="47"/>
      <c r="AE976" s="3" t="str">
        <f t="shared" si="103"/>
        <v>-</v>
      </c>
      <c r="AF976" s="51"/>
      <c r="AG976" s="52" t="str">
        <f t="shared" ca="1" si="104"/>
        <v/>
      </c>
      <c r="AI976" s="54"/>
      <c r="AK976" s="3">
        <v>1</v>
      </c>
      <c r="AP976" s="4"/>
    </row>
    <row r="977" spans="1:42" ht="20.100000000000001">
      <c r="A977" s="35" t="e">
        <f t="shared" si="105"/>
        <v>#REF!</v>
      </c>
      <c r="N977" s="44" t="str">
        <f t="shared" si="102"/>
        <v/>
      </c>
      <c r="R977" s="47"/>
      <c r="AE977" s="3" t="str">
        <f t="shared" si="103"/>
        <v>-</v>
      </c>
      <c r="AF977" s="51"/>
      <c r="AG977" s="52" t="str">
        <f t="shared" ca="1" si="104"/>
        <v/>
      </c>
      <c r="AI977" s="54"/>
      <c r="AK977" s="3">
        <v>1</v>
      </c>
      <c r="AP977" s="4"/>
    </row>
    <row r="978" spans="1:42" ht="20.100000000000001">
      <c r="A978" s="35" t="e">
        <f t="shared" si="105"/>
        <v>#REF!</v>
      </c>
      <c r="N978" s="44" t="str">
        <f t="shared" si="102"/>
        <v/>
      </c>
      <c r="R978" s="47"/>
      <c r="AE978" s="3" t="str">
        <f t="shared" si="103"/>
        <v>-</v>
      </c>
      <c r="AF978" s="51"/>
      <c r="AG978" s="52" t="str">
        <f t="shared" ca="1" si="104"/>
        <v/>
      </c>
      <c r="AI978" s="54"/>
      <c r="AK978" s="3">
        <v>1</v>
      </c>
      <c r="AP978" s="4"/>
    </row>
    <row r="979" spans="1:42" ht="20.100000000000001">
      <c r="A979" s="35" t="e">
        <f t="shared" si="105"/>
        <v>#REF!</v>
      </c>
      <c r="N979" s="44" t="str">
        <f t="shared" si="102"/>
        <v/>
      </c>
      <c r="R979" s="47"/>
      <c r="AE979" s="3" t="str">
        <f t="shared" si="103"/>
        <v>-</v>
      </c>
      <c r="AF979" s="51"/>
      <c r="AG979" s="52" t="str">
        <f t="shared" ca="1" si="104"/>
        <v/>
      </c>
      <c r="AI979" s="54"/>
      <c r="AK979" s="3">
        <v>1</v>
      </c>
      <c r="AP979" s="4"/>
    </row>
    <row r="980" spans="1:42" ht="20.100000000000001">
      <c r="A980" s="35" t="e">
        <f t="shared" si="105"/>
        <v>#REF!</v>
      </c>
      <c r="N980" s="44" t="str">
        <f t="shared" ref="N980:N1037" si="106">IF(C980="","",C980)</f>
        <v/>
      </c>
      <c r="R980" s="47"/>
      <c r="AE980" s="3" t="str">
        <f t="shared" si="103"/>
        <v>-</v>
      </c>
      <c r="AF980" s="51"/>
      <c r="AG980" s="52" t="str">
        <f t="shared" ca="1" si="104"/>
        <v/>
      </c>
      <c r="AI980" s="54"/>
      <c r="AK980" s="3">
        <v>1</v>
      </c>
      <c r="AP980" s="4"/>
    </row>
    <row r="981" spans="1:42" ht="20.100000000000001">
      <c r="A981" s="35" t="e">
        <f t="shared" si="105"/>
        <v>#REF!</v>
      </c>
      <c r="N981" s="44" t="str">
        <f t="shared" si="106"/>
        <v/>
      </c>
      <c r="R981" s="47"/>
      <c r="AE981" s="3" t="str">
        <f t="shared" si="103"/>
        <v>-</v>
      </c>
      <c r="AF981" s="51"/>
      <c r="AG981" s="52" t="str">
        <f t="shared" ca="1" si="104"/>
        <v/>
      </c>
      <c r="AI981" s="54"/>
      <c r="AK981" s="3">
        <v>1</v>
      </c>
      <c r="AP981" s="4"/>
    </row>
    <row r="982" spans="1:42" ht="20.100000000000001">
      <c r="A982" s="35" t="e">
        <f t="shared" si="105"/>
        <v>#REF!</v>
      </c>
      <c r="N982" s="44" t="str">
        <f t="shared" si="106"/>
        <v/>
      </c>
      <c r="R982" s="47"/>
      <c r="AE982" s="3" t="str">
        <f t="shared" ref="AE982:AE1037" si="107">IF(OR(V982="電話不通 x2",V982="DS判断"),"DS確認→U列入力",IF(V982="希望","U列入力",IF(V982="拒否","DS確認",IF(V982="外国語","DS確認",IF(V982="電話不通 x1","ORM再架電","-")))))</f>
        <v>-</v>
      </c>
      <c r="AF982" s="51"/>
      <c r="AG982" s="52" t="str">
        <f t="shared" ca="1" si="104"/>
        <v/>
      </c>
      <c r="AI982" s="54"/>
      <c r="AK982" s="3">
        <v>1</v>
      </c>
      <c r="AP982" s="4"/>
    </row>
    <row r="983" spans="1:42" ht="20.100000000000001">
      <c r="A983" s="35" t="e">
        <f t="shared" si="105"/>
        <v>#REF!</v>
      </c>
      <c r="N983" s="44" t="str">
        <f t="shared" si="106"/>
        <v/>
      </c>
      <c r="R983" s="47"/>
      <c r="AE983" s="3" t="str">
        <f t="shared" si="107"/>
        <v>-</v>
      </c>
      <c r="AF983" s="51"/>
      <c r="AG983" s="52" t="str">
        <f t="shared" ca="1" si="104"/>
        <v/>
      </c>
      <c r="AI983" s="54"/>
      <c r="AK983" s="3">
        <v>1</v>
      </c>
      <c r="AP983" s="4"/>
    </row>
    <row r="984" spans="1:42" ht="20.100000000000001">
      <c r="A984" s="35" t="e">
        <f t="shared" si="105"/>
        <v>#REF!</v>
      </c>
      <c r="N984" s="44" t="str">
        <f t="shared" si="106"/>
        <v/>
      </c>
      <c r="R984" s="47"/>
      <c r="AE984" s="3" t="str">
        <f t="shared" si="107"/>
        <v>-</v>
      </c>
      <c r="AF984" s="51"/>
      <c r="AG984" s="52" t="str">
        <f t="shared" ca="1" si="104"/>
        <v/>
      </c>
      <c r="AI984" s="54"/>
      <c r="AK984" s="3">
        <v>1</v>
      </c>
      <c r="AP984" s="4"/>
    </row>
    <row r="985" spans="1:42" ht="20.100000000000001">
      <c r="A985" s="35" t="e">
        <f t="shared" si="105"/>
        <v>#REF!</v>
      </c>
      <c r="N985" s="44" t="str">
        <f t="shared" si="106"/>
        <v/>
      </c>
      <c r="R985" s="47"/>
      <c r="AE985" s="3" t="str">
        <f t="shared" si="107"/>
        <v>-</v>
      </c>
      <c r="AF985" s="51"/>
      <c r="AG985" s="52" t="str">
        <f t="shared" ca="1" si="104"/>
        <v/>
      </c>
      <c r="AI985" s="54"/>
      <c r="AK985" s="3">
        <v>1</v>
      </c>
      <c r="AP985" s="4"/>
    </row>
    <row r="986" spans="1:42" ht="20.100000000000001">
      <c r="A986" s="35" t="e">
        <f t="shared" si="105"/>
        <v>#REF!</v>
      </c>
      <c r="N986" s="44" t="str">
        <f t="shared" si="106"/>
        <v/>
      </c>
      <c r="R986" s="47"/>
      <c r="AE986" s="3" t="str">
        <f t="shared" si="107"/>
        <v>-</v>
      </c>
      <c r="AF986" s="51"/>
      <c r="AG986" s="52" t="str">
        <f t="shared" ca="1" si="104"/>
        <v/>
      </c>
      <c r="AI986" s="54"/>
      <c r="AK986" s="3">
        <v>1</v>
      </c>
      <c r="AP986" s="4"/>
    </row>
    <row r="987" spans="1:42" ht="20.100000000000001">
      <c r="A987" s="35" t="e">
        <f t="shared" si="105"/>
        <v>#REF!</v>
      </c>
      <c r="N987" s="44" t="str">
        <f t="shared" si="106"/>
        <v/>
      </c>
      <c r="R987" s="47"/>
      <c r="AE987" s="3" t="str">
        <f t="shared" si="107"/>
        <v>-</v>
      </c>
      <c r="AF987" s="51"/>
      <c r="AG987" s="52" t="str">
        <f t="shared" ca="1" si="104"/>
        <v/>
      </c>
      <c r="AI987" s="54"/>
      <c r="AK987" s="3">
        <v>1</v>
      </c>
      <c r="AP987" s="4"/>
    </row>
    <row r="988" spans="1:42" ht="20.100000000000001">
      <c r="A988" s="35" t="e">
        <f t="shared" si="105"/>
        <v>#REF!</v>
      </c>
      <c r="N988" s="44" t="str">
        <f t="shared" si="106"/>
        <v/>
      </c>
      <c r="R988" s="47"/>
      <c r="AE988" s="3" t="str">
        <f t="shared" si="107"/>
        <v>-</v>
      </c>
      <c r="AF988" s="51"/>
      <c r="AG988" s="52" t="str">
        <f t="shared" ref="AG988:AG1037" ca="1" si="108">IF(AF988="","",IF($AF988+TIME(0,30,0)&lt;(TEXT(NOW(),"h:mm:ss")*1),$AF988+TIME(0,45,0),$AF988+TIME(0,30,0)))</f>
        <v/>
      </c>
      <c r="AI988" s="54"/>
      <c r="AK988" s="3">
        <v>1</v>
      </c>
      <c r="AP988" s="4"/>
    </row>
    <row r="989" spans="1:42" ht="20.100000000000001">
      <c r="A989" s="35" t="e">
        <f t="shared" si="105"/>
        <v>#REF!</v>
      </c>
      <c r="N989" s="44" t="str">
        <f t="shared" si="106"/>
        <v/>
      </c>
      <c r="R989" s="47"/>
      <c r="AE989" s="3" t="str">
        <f t="shared" si="107"/>
        <v>-</v>
      </c>
      <c r="AF989" s="51"/>
      <c r="AG989" s="52" t="str">
        <f t="shared" ca="1" si="108"/>
        <v/>
      </c>
      <c r="AI989" s="54"/>
      <c r="AK989" s="3">
        <v>1</v>
      </c>
      <c r="AP989" s="4"/>
    </row>
    <row r="990" spans="1:42" ht="20.100000000000001">
      <c r="A990" s="35" t="e">
        <f t="shared" si="105"/>
        <v>#REF!</v>
      </c>
      <c r="N990" s="44" t="str">
        <f t="shared" si="106"/>
        <v/>
      </c>
      <c r="R990" s="47"/>
      <c r="AE990" s="3" t="str">
        <f t="shared" si="107"/>
        <v>-</v>
      </c>
      <c r="AF990" s="51"/>
      <c r="AG990" s="52" t="str">
        <f t="shared" ca="1" si="108"/>
        <v/>
      </c>
      <c r="AI990" s="54"/>
      <c r="AK990" s="3">
        <v>1</v>
      </c>
      <c r="AP990" s="4"/>
    </row>
    <row r="991" spans="1:42" ht="20.100000000000001">
      <c r="A991" s="35" t="e">
        <f t="shared" si="105"/>
        <v>#REF!</v>
      </c>
      <c r="N991" s="44" t="str">
        <f t="shared" si="106"/>
        <v/>
      </c>
      <c r="R991" s="47"/>
      <c r="AE991" s="3" t="str">
        <f t="shared" si="107"/>
        <v>-</v>
      </c>
      <c r="AF991" s="51"/>
      <c r="AG991" s="52" t="str">
        <f t="shared" ca="1" si="108"/>
        <v/>
      </c>
      <c r="AI991" s="54"/>
      <c r="AK991" s="3">
        <v>1</v>
      </c>
      <c r="AP991" s="4"/>
    </row>
    <row r="992" spans="1:42" ht="20.100000000000001">
      <c r="A992" s="35" t="e">
        <f t="shared" si="105"/>
        <v>#REF!</v>
      </c>
      <c r="N992" s="44" t="str">
        <f t="shared" si="106"/>
        <v/>
      </c>
      <c r="R992" s="47"/>
      <c r="AE992" s="3" t="str">
        <f t="shared" si="107"/>
        <v>-</v>
      </c>
      <c r="AF992" s="51"/>
      <c r="AG992" s="52" t="str">
        <f t="shared" ca="1" si="108"/>
        <v/>
      </c>
      <c r="AI992" s="54"/>
      <c r="AK992" s="3">
        <v>1</v>
      </c>
      <c r="AP992" s="4"/>
    </row>
    <row r="993" spans="1:42" ht="20.100000000000001">
      <c r="A993" s="35" t="e">
        <f t="shared" si="105"/>
        <v>#REF!</v>
      </c>
      <c r="N993" s="44" t="str">
        <f t="shared" si="106"/>
        <v/>
      </c>
      <c r="R993" s="47"/>
      <c r="AE993" s="3" t="str">
        <f t="shared" si="107"/>
        <v>-</v>
      </c>
      <c r="AF993" s="51"/>
      <c r="AG993" s="52" t="str">
        <f t="shared" ca="1" si="108"/>
        <v/>
      </c>
      <c r="AI993" s="54"/>
      <c r="AK993" s="3">
        <v>1</v>
      </c>
      <c r="AP993" s="4"/>
    </row>
    <row r="994" spans="1:42" ht="20.100000000000001">
      <c r="A994" s="35" t="e">
        <f t="shared" si="105"/>
        <v>#REF!</v>
      </c>
      <c r="N994" s="44" t="str">
        <f t="shared" si="106"/>
        <v/>
      </c>
      <c r="R994" s="47"/>
      <c r="AE994" s="3" t="str">
        <f t="shared" si="107"/>
        <v>-</v>
      </c>
      <c r="AF994" s="51"/>
      <c r="AG994" s="52" t="str">
        <f t="shared" ca="1" si="108"/>
        <v/>
      </c>
      <c r="AI994" s="54"/>
      <c r="AK994" s="3">
        <v>1</v>
      </c>
      <c r="AP994" s="4"/>
    </row>
    <row r="995" spans="1:42" ht="20.100000000000001">
      <c r="A995" s="35" t="e">
        <f t="shared" si="105"/>
        <v>#REF!</v>
      </c>
      <c r="N995" s="44" t="str">
        <f t="shared" si="106"/>
        <v/>
      </c>
      <c r="R995" s="47"/>
      <c r="AE995" s="3" t="str">
        <f t="shared" si="107"/>
        <v>-</v>
      </c>
      <c r="AF995" s="51"/>
      <c r="AG995" s="52" t="str">
        <f t="shared" ca="1" si="108"/>
        <v/>
      </c>
      <c r="AI995" s="54"/>
      <c r="AK995" s="3">
        <v>1</v>
      </c>
      <c r="AP995" s="4"/>
    </row>
    <row r="996" spans="1:42" ht="20.100000000000001">
      <c r="A996" s="35" t="e">
        <f t="shared" si="105"/>
        <v>#REF!</v>
      </c>
      <c r="N996" s="44" t="str">
        <f t="shared" si="106"/>
        <v/>
      </c>
      <c r="R996" s="47"/>
      <c r="AE996" s="3" t="str">
        <f t="shared" si="107"/>
        <v>-</v>
      </c>
      <c r="AF996" s="51"/>
      <c r="AG996" s="52" t="str">
        <f t="shared" ca="1" si="108"/>
        <v/>
      </c>
      <c r="AI996" s="54"/>
      <c r="AK996" s="3">
        <v>1</v>
      </c>
      <c r="AP996" s="4"/>
    </row>
    <row r="997" spans="1:42" ht="20.100000000000001">
      <c r="A997" s="35" t="e">
        <f t="shared" si="105"/>
        <v>#REF!</v>
      </c>
      <c r="N997" s="44" t="str">
        <f t="shared" si="106"/>
        <v/>
      </c>
      <c r="R997" s="47"/>
      <c r="AE997" s="3" t="str">
        <f t="shared" si="107"/>
        <v>-</v>
      </c>
      <c r="AF997" s="51"/>
      <c r="AG997" s="52" t="str">
        <f t="shared" ca="1" si="108"/>
        <v/>
      </c>
      <c r="AI997" s="54"/>
      <c r="AK997" s="3">
        <v>1</v>
      </c>
      <c r="AP997" s="4"/>
    </row>
    <row r="998" spans="1:42" ht="20.100000000000001">
      <c r="A998" s="35" t="e">
        <f t="shared" si="105"/>
        <v>#REF!</v>
      </c>
      <c r="N998" s="44" t="str">
        <f t="shared" si="106"/>
        <v/>
      </c>
      <c r="R998" s="47"/>
      <c r="AE998" s="3" t="str">
        <f t="shared" si="107"/>
        <v>-</v>
      </c>
      <c r="AF998" s="51"/>
      <c r="AG998" s="52" t="str">
        <f t="shared" ca="1" si="108"/>
        <v/>
      </c>
      <c r="AI998" s="54"/>
      <c r="AK998" s="3">
        <v>1</v>
      </c>
      <c r="AP998" s="4"/>
    </row>
    <row r="999" spans="1:42" ht="20.100000000000001">
      <c r="A999" s="35" t="e">
        <f t="shared" si="105"/>
        <v>#REF!</v>
      </c>
      <c r="N999" s="44" t="str">
        <f t="shared" si="106"/>
        <v/>
      </c>
      <c r="R999" s="47"/>
      <c r="AE999" s="3" t="str">
        <f t="shared" si="107"/>
        <v>-</v>
      </c>
      <c r="AF999" s="51"/>
      <c r="AG999" s="52" t="str">
        <f t="shared" ca="1" si="108"/>
        <v/>
      </c>
      <c r="AI999" s="54"/>
      <c r="AK999" s="3">
        <v>1</v>
      </c>
      <c r="AP999" s="4"/>
    </row>
    <row r="1000" spans="1:42" ht="20.100000000000001">
      <c r="A1000" s="35" t="e">
        <f t="shared" si="105"/>
        <v>#REF!</v>
      </c>
      <c r="N1000" s="44" t="str">
        <f t="shared" si="106"/>
        <v/>
      </c>
      <c r="R1000" s="47"/>
      <c r="AE1000" s="3" t="str">
        <f t="shared" si="107"/>
        <v>-</v>
      </c>
      <c r="AF1000" s="51"/>
      <c r="AG1000" s="52" t="str">
        <f t="shared" ca="1" si="108"/>
        <v/>
      </c>
      <c r="AI1000" s="54"/>
      <c r="AK1000" s="3">
        <v>1</v>
      </c>
      <c r="AP1000" s="4"/>
    </row>
    <row r="1001" spans="1:42" ht="20.100000000000001">
      <c r="A1001" s="35" t="e">
        <f t="shared" si="105"/>
        <v>#REF!</v>
      </c>
      <c r="N1001" s="44" t="str">
        <f t="shared" si="106"/>
        <v/>
      </c>
      <c r="R1001" s="47"/>
      <c r="AE1001" s="3" t="str">
        <f t="shared" si="107"/>
        <v>-</v>
      </c>
      <c r="AF1001" s="51"/>
      <c r="AG1001" s="52" t="str">
        <f t="shared" ca="1" si="108"/>
        <v/>
      </c>
      <c r="AI1001" s="54"/>
      <c r="AK1001" s="3">
        <v>1</v>
      </c>
      <c r="AP1001" s="4"/>
    </row>
    <row r="1002" spans="1:42" ht="20.100000000000001">
      <c r="A1002" s="35" t="e">
        <f t="shared" si="105"/>
        <v>#REF!</v>
      </c>
      <c r="N1002" s="44" t="str">
        <f t="shared" si="106"/>
        <v/>
      </c>
      <c r="R1002" s="47"/>
      <c r="AE1002" s="3" t="str">
        <f t="shared" si="107"/>
        <v>-</v>
      </c>
      <c r="AF1002" s="51"/>
      <c r="AG1002" s="52" t="str">
        <f t="shared" ca="1" si="108"/>
        <v/>
      </c>
      <c r="AI1002" s="54"/>
      <c r="AK1002" s="3">
        <v>1</v>
      </c>
      <c r="AP1002" s="4"/>
    </row>
    <row r="1003" spans="1:42" ht="20.100000000000001">
      <c r="A1003" s="35" t="e">
        <f t="shared" si="105"/>
        <v>#REF!</v>
      </c>
      <c r="N1003" s="44" t="str">
        <f t="shared" si="106"/>
        <v/>
      </c>
      <c r="R1003" s="47"/>
      <c r="AE1003" s="3" t="str">
        <f t="shared" si="107"/>
        <v>-</v>
      </c>
      <c r="AF1003" s="51"/>
      <c r="AG1003" s="52" t="str">
        <f t="shared" ca="1" si="108"/>
        <v/>
      </c>
      <c r="AI1003" s="54"/>
      <c r="AK1003" s="3">
        <v>1</v>
      </c>
      <c r="AP1003" s="4"/>
    </row>
    <row r="1004" spans="1:42" ht="20.100000000000001">
      <c r="A1004" s="35" t="e">
        <f t="shared" si="105"/>
        <v>#REF!</v>
      </c>
      <c r="N1004" s="44" t="str">
        <f t="shared" si="106"/>
        <v/>
      </c>
      <c r="R1004" s="47"/>
      <c r="AE1004" s="3" t="str">
        <f t="shared" si="107"/>
        <v>-</v>
      </c>
      <c r="AF1004" s="51"/>
      <c r="AG1004" s="52" t="str">
        <f t="shared" ca="1" si="108"/>
        <v/>
      </c>
      <c r="AI1004" s="54"/>
      <c r="AK1004" s="3">
        <v>1</v>
      </c>
      <c r="AP1004" s="4"/>
    </row>
    <row r="1005" spans="1:42" ht="20.100000000000001">
      <c r="A1005" s="35" t="e">
        <f t="shared" si="105"/>
        <v>#REF!</v>
      </c>
      <c r="N1005" s="44" t="str">
        <f t="shared" si="106"/>
        <v/>
      </c>
      <c r="R1005" s="47"/>
      <c r="AE1005" s="3" t="str">
        <f t="shared" si="107"/>
        <v>-</v>
      </c>
      <c r="AF1005" s="51"/>
      <c r="AG1005" s="52" t="str">
        <f t="shared" ca="1" si="108"/>
        <v/>
      </c>
      <c r="AI1005" s="54"/>
      <c r="AK1005" s="3">
        <v>1</v>
      </c>
      <c r="AP1005" s="4"/>
    </row>
    <row r="1006" spans="1:42" ht="20.100000000000001">
      <c r="A1006" s="35" t="e">
        <f t="shared" si="105"/>
        <v>#REF!</v>
      </c>
      <c r="N1006" s="44" t="str">
        <f t="shared" si="106"/>
        <v/>
      </c>
      <c r="R1006" s="47"/>
      <c r="AE1006" s="3" t="str">
        <f t="shared" si="107"/>
        <v>-</v>
      </c>
      <c r="AF1006" s="51"/>
      <c r="AG1006" s="52" t="str">
        <f t="shared" ca="1" si="108"/>
        <v/>
      </c>
      <c r="AI1006" s="54"/>
      <c r="AK1006" s="3">
        <v>1</v>
      </c>
      <c r="AP1006" s="4"/>
    </row>
    <row r="1007" spans="1:42" ht="20.100000000000001">
      <c r="A1007" s="35" t="e">
        <f t="shared" si="105"/>
        <v>#REF!</v>
      </c>
      <c r="N1007" s="44" t="str">
        <f t="shared" si="106"/>
        <v/>
      </c>
      <c r="R1007" s="47"/>
      <c r="AE1007" s="3" t="str">
        <f t="shared" si="107"/>
        <v>-</v>
      </c>
      <c r="AF1007" s="51"/>
      <c r="AG1007" s="52" t="str">
        <f t="shared" ca="1" si="108"/>
        <v/>
      </c>
      <c r="AI1007" s="54"/>
      <c r="AK1007" s="3">
        <v>1</v>
      </c>
      <c r="AP1007" s="4"/>
    </row>
    <row r="1008" spans="1:42" ht="20.100000000000001">
      <c r="A1008" s="35" t="e">
        <f t="shared" si="105"/>
        <v>#REF!</v>
      </c>
      <c r="N1008" s="44" t="str">
        <f t="shared" si="106"/>
        <v/>
      </c>
      <c r="R1008" s="47"/>
      <c r="AE1008" s="3" t="str">
        <f t="shared" si="107"/>
        <v>-</v>
      </c>
      <c r="AF1008" s="51"/>
      <c r="AG1008" s="52" t="str">
        <f t="shared" ca="1" si="108"/>
        <v/>
      </c>
      <c r="AI1008" s="54"/>
      <c r="AK1008" s="3">
        <v>1</v>
      </c>
      <c r="AP1008" s="4"/>
    </row>
    <row r="1009" spans="1:42" ht="20.100000000000001">
      <c r="A1009" s="35" t="e">
        <f t="shared" si="105"/>
        <v>#REF!</v>
      </c>
      <c r="N1009" s="44" t="str">
        <f t="shared" si="106"/>
        <v/>
      </c>
      <c r="R1009" s="47"/>
      <c r="AE1009" s="3" t="str">
        <f t="shared" si="107"/>
        <v>-</v>
      </c>
      <c r="AF1009" s="51"/>
      <c r="AG1009" s="52" t="str">
        <f t="shared" ca="1" si="108"/>
        <v/>
      </c>
      <c r="AI1009" s="54"/>
      <c r="AK1009" s="3">
        <v>1</v>
      </c>
      <c r="AP1009" s="4"/>
    </row>
    <row r="1010" spans="1:42" ht="20.100000000000001">
      <c r="A1010" s="35" t="e">
        <f t="shared" si="105"/>
        <v>#REF!</v>
      </c>
      <c r="N1010" s="44" t="str">
        <f t="shared" si="106"/>
        <v/>
      </c>
      <c r="R1010" s="47"/>
      <c r="AE1010" s="3" t="str">
        <f t="shared" si="107"/>
        <v>-</v>
      </c>
      <c r="AF1010" s="51"/>
      <c r="AG1010" s="52" t="str">
        <f t="shared" ca="1" si="108"/>
        <v/>
      </c>
      <c r="AI1010" s="54"/>
      <c r="AK1010" s="3">
        <v>1</v>
      </c>
      <c r="AP1010" s="4"/>
    </row>
    <row r="1011" spans="1:42" ht="20.100000000000001">
      <c r="A1011" s="35" t="e">
        <f t="shared" si="105"/>
        <v>#REF!</v>
      </c>
      <c r="N1011" s="44" t="str">
        <f t="shared" si="106"/>
        <v/>
      </c>
      <c r="R1011" s="47"/>
      <c r="AE1011" s="3" t="str">
        <f t="shared" si="107"/>
        <v>-</v>
      </c>
      <c r="AF1011" s="51"/>
      <c r="AG1011" s="52" t="str">
        <f t="shared" ca="1" si="108"/>
        <v/>
      </c>
      <c r="AI1011" s="54"/>
      <c r="AK1011" s="3">
        <v>1</v>
      </c>
      <c r="AP1011" s="4"/>
    </row>
    <row r="1012" spans="1:42" ht="20.100000000000001">
      <c r="A1012" s="35" t="e">
        <f t="shared" si="105"/>
        <v>#REF!</v>
      </c>
      <c r="N1012" s="44" t="str">
        <f t="shared" si="106"/>
        <v/>
      </c>
      <c r="R1012" s="47"/>
      <c r="AE1012" s="3" t="str">
        <f t="shared" si="107"/>
        <v>-</v>
      </c>
      <c r="AF1012" s="51"/>
      <c r="AG1012" s="52" t="str">
        <f t="shared" ca="1" si="108"/>
        <v/>
      </c>
      <c r="AI1012" s="54"/>
      <c r="AK1012" s="3">
        <v>1</v>
      </c>
      <c r="AP1012" s="4"/>
    </row>
    <row r="1013" spans="1:42" ht="20.100000000000001">
      <c r="A1013" s="35" t="e">
        <f t="shared" si="105"/>
        <v>#REF!</v>
      </c>
      <c r="N1013" s="44" t="str">
        <f t="shared" si="106"/>
        <v/>
      </c>
      <c r="R1013" s="47"/>
      <c r="AE1013" s="3" t="str">
        <f t="shared" si="107"/>
        <v>-</v>
      </c>
      <c r="AF1013" s="51"/>
      <c r="AG1013" s="52" t="str">
        <f t="shared" ca="1" si="108"/>
        <v/>
      </c>
      <c r="AI1013" s="54"/>
      <c r="AK1013" s="3">
        <v>1</v>
      </c>
      <c r="AP1013" s="4"/>
    </row>
    <row r="1014" spans="1:42" ht="20.100000000000001">
      <c r="A1014" s="35" t="e">
        <f t="shared" si="105"/>
        <v>#REF!</v>
      </c>
      <c r="N1014" s="44" t="str">
        <f t="shared" si="106"/>
        <v/>
      </c>
      <c r="R1014" s="47"/>
      <c r="AE1014" s="3" t="str">
        <f t="shared" si="107"/>
        <v>-</v>
      </c>
      <c r="AF1014" s="51"/>
      <c r="AG1014" s="52" t="str">
        <f t="shared" ca="1" si="108"/>
        <v/>
      </c>
      <c r="AI1014" s="54"/>
      <c r="AK1014" s="3">
        <v>1</v>
      </c>
      <c r="AP1014" s="4"/>
    </row>
    <row r="1015" spans="1:42" ht="20.100000000000001">
      <c r="A1015" s="35" t="e">
        <f t="shared" si="105"/>
        <v>#REF!</v>
      </c>
      <c r="N1015" s="44" t="str">
        <f t="shared" si="106"/>
        <v/>
      </c>
      <c r="R1015" s="47"/>
      <c r="AE1015" s="3" t="str">
        <f t="shared" si="107"/>
        <v>-</v>
      </c>
      <c r="AF1015" s="51"/>
      <c r="AG1015" s="52" t="str">
        <f t="shared" ca="1" si="108"/>
        <v/>
      </c>
      <c r="AI1015" s="54"/>
      <c r="AK1015" s="3">
        <v>1</v>
      </c>
      <c r="AP1015" s="4"/>
    </row>
    <row r="1016" spans="1:42" ht="20.100000000000001">
      <c r="A1016" s="35" t="e">
        <f t="shared" si="105"/>
        <v>#REF!</v>
      </c>
      <c r="N1016" s="44" t="str">
        <f t="shared" si="106"/>
        <v/>
      </c>
      <c r="R1016" s="47"/>
      <c r="AE1016" s="3" t="str">
        <f t="shared" si="107"/>
        <v>-</v>
      </c>
      <c r="AF1016" s="51"/>
      <c r="AG1016" s="52" t="str">
        <f t="shared" ca="1" si="108"/>
        <v/>
      </c>
      <c r="AI1016" s="54"/>
      <c r="AK1016" s="3">
        <v>1</v>
      </c>
      <c r="AP1016" s="4"/>
    </row>
    <row r="1017" spans="1:42" ht="20.100000000000001">
      <c r="A1017" s="35" t="e">
        <f t="shared" si="105"/>
        <v>#REF!</v>
      </c>
      <c r="N1017" s="44" t="str">
        <f t="shared" si="106"/>
        <v/>
      </c>
      <c r="R1017" s="47"/>
      <c r="AE1017" s="3" t="str">
        <f t="shared" si="107"/>
        <v>-</v>
      </c>
      <c r="AF1017" s="51"/>
      <c r="AG1017" s="52" t="str">
        <f t="shared" ca="1" si="108"/>
        <v/>
      </c>
      <c r="AI1017" s="54"/>
      <c r="AK1017" s="3">
        <v>1</v>
      </c>
      <c r="AP1017" s="4"/>
    </row>
    <row r="1018" spans="1:42" ht="20.100000000000001">
      <c r="A1018" s="35" t="e">
        <f t="shared" si="105"/>
        <v>#REF!</v>
      </c>
      <c r="N1018" s="44" t="str">
        <f t="shared" si="106"/>
        <v/>
      </c>
      <c r="R1018" s="47"/>
      <c r="AE1018" s="3" t="str">
        <f t="shared" si="107"/>
        <v>-</v>
      </c>
      <c r="AF1018" s="51"/>
      <c r="AG1018" s="52" t="str">
        <f t="shared" ca="1" si="108"/>
        <v/>
      </c>
      <c r="AI1018" s="54"/>
      <c r="AK1018" s="3">
        <v>1</v>
      </c>
      <c r="AP1018" s="4"/>
    </row>
    <row r="1019" spans="1:42" ht="20.100000000000001">
      <c r="A1019" s="35" t="e">
        <f t="shared" si="105"/>
        <v>#REF!</v>
      </c>
      <c r="N1019" s="44" t="str">
        <f t="shared" si="106"/>
        <v/>
      </c>
      <c r="R1019" s="47"/>
      <c r="AE1019" s="3" t="str">
        <f t="shared" si="107"/>
        <v>-</v>
      </c>
      <c r="AF1019" s="51"/>
      <c r="AG1019" s="52" t="str">
        <f t="shared" ca="1" si="108"/>
        <v/>
      </c>
      <c r="AI1019" s="54"/>
      <c r="AK1019" s="3">
        <v>1</v>
      </c>
      <c r="AP1019" s="4"/>
    </row>
    <row r="1020" spans="1:42" ht="20.100000000000001">
      <c r="A1020" s="35" t="e">
        <f t="shared" si="105"/>
        <v>#REF!</v>
      </c>
      <c r="N1020" s="44" t="str">
        <f t="shared" si="106"/>
        <v/>
      </c>
      <c r="R1020" s="47"/>
      <c r="AE1020" s="3" t="str">
        <f t="shared" si="107"/>
        <v>-</v>
      </c>
      <c r="AF1020" s="51"/>
      <c r="AG1020" s="52" t="str">
        <f t="shared" ca="1" si="108"/>
        <v/>
      </c>
      <c r="AI1020" s="54"/>
      <c r="AK1020" s="3">
        <v>1</v>
      </c>
      <c r="AP1020" s="4"/>
    </row>
    <row r="1021" spans="1:42" ht="20.100000000000001">
      <c r="A1021" s="35" t="e">
        <f t="shared" si="105"/>
        <v>#REF!</v>
      </c>
      <c r="N1021" s="44" t="str">
        <f t="shared" si="106"/>
        <v/>
      </c>
      <c r="R1021" s="47"/>
      <c r="AE1021" s="3" t="str">
        <f t="shared" si="107"/>
        <v>-</v>
      </c>
      <c r="AF1021" s="51"/>
      <c r="AG1021" s="52" t="str">
        <f t="shared" ca="1" si="108"/>
        <v/>
      </c>
      <c r="AI1021" s="54"/>
      <c r="AK1021" s="3">
        <v>1</v>
      </c>
      <c r="AP1021" s="4"/>
    </row>
    <row r="1022" spans="1:42" ht="20.100000000000001">
      <c r="A1022" s="35" t="e">
        <f t="shared" si="105"/>
        <v>#REF!</v>
      </c>
      <c r="N1022" s="44" t="str">
        <f t="shared" si="106"/>
        <v/>
      </c>
      <c r="R1022" s="47"/>
      <c r="AE1022" s="3" t="str">
        <f t="shared" si="107"/>
        <v>-</v>
      </c>
      <c r="AF1022" s="51"/>
      <c r="AG1022" s="52" t="str">
        <f t="shared" ca="1" si="108"/>
        <v/>
      </c>
      <c r="AI1022" s="54"/>
      <c r="AK1022" s="3">
        <v>1</v>
      </c>
      <c r="AP1022" s="4"/>
    </row>
    <row r="1023" spans="1:42" ht="20.100000000000001">
      <c r="A1023" s="35" t="e">
        <f t="shared" si="105"/>
        <v>#REF!</v>
      </c>
      <c r="N1023" s="44" t="str">
        <f t="shared" si="106"/>
        <v/>
      </c>
      <c r="R1023" s="47"/>
      <c r="AE1023" s="3" t="str">
        <f t="shared" si="107"/>
        <v>-</v>
      </c>
      <c r="AF1023" s="51"/>
      <c r="AG1023" s="52" t="str">
        <f t="shared" ca="1" si="108"/>
        <v/>
      </c>
      <c r="AI1023" s="54"/>
      <c r="AK1023" s="3">
        <v>1</v>
      </c>
      <c r="AP1023" s="4"/>
    </row>
    <row r="1024" spans="1:42" ht="20.100000000000001">
      <c r="A1024" s="35" t="e">
        <f t="shared" si="105"/>
        <v>#REF!</v>
      </c>
      <c r="N1024" s="44" t="str">
        <f t="shared" si="106"/>
        <v/>
      </c>
      <c r="R1024" s="47"/>
      <c r="AE1024" s="3" t="str">
        <f t="shared" si="107"/>
        <v>-</v>
      </c>
      <c r="AF1024" s="51"/>
      <c r="AG1024" s="52" t="str">
        <f t="shared" ca="1" si="108"/>
        <v/>
      </c>
      <c r="AI1024" s="54"/>
      <c r="AK1024" s="3">
        <v>1</v>
      </c>
      <c r="AP1024" s="4"/>
    </row>
    <row r="1025" spans="1:42" ht="20.100000000000001">
      <c r="A1025" s="35" t="e">
        <f t="shared" si="105"/>
        <v>#REF!</v>
      </c>
      <c r="N1025" s="44" t="str">
        <f t="shared" si="106"/>
        <v/>
      </c>
      <c r="R1025" s="47"/>
      <c r="AE1025" s="3" t="str">
        <f t="shared" si="107"/>
        <v>-</v>
      </c>
      <c r="AF1025" s="51"/>
      <c r="AG1025" s="52" t="str">
        <f t="shared" ca="1" si="108"/>
        <v/>
      </c>
      <c r="AI1025" s="54"/>
      <c r="AK1025" s="3">
        <v>1</v>
      </c>
      <c r="AP1025" s="4"/>
    </row>
    <row r="1026" spans="1:42" ht="20.100000000000001">
      <c r="A1026" s="35" t="e">
        <f t="shared" si="105"/>
        <v>#REF!</v>
      </c>
      <c r="N1026" s="44" t="str">
        <f t="shared" si="106"/>
        <v/>
      </c>
      <c r="R1026" s="47"/>
      <c r="AE1026" s="3" t="str">
        <f t="shared" si="107"/>
        <v>-</v>
      </c>
      <c r="AF1026" s="51"/>
      <c r="AG1026" s="52" t="str">
        <f t="shared" ca="1" si="108"/>
        <v/>
      </c>
      <c r="AI1026" s="54"/>
      <c r="AK1026" s="3">
        <v>1</v>
      </c>
      <c r="AP1026" s="4"/>
    </row>
    <row r="1027" spans="1:42" ht="20.100000000000001">
      <c r="A1027" s="35" t="e">
        <f t="shared" si="105"/>
        <v>#REF!</v>
      </c>
      <c r="N1027" s="44" t="str">
        <f t="shared" si="106"/>
        <v/>
      </c>
      <c r="R1027" s="47"/>
      <c r="AE1027" s="3" t="str">
        <f t="shared" si="107"/>
        <v>-</v>
      </c>
      <c r="AF1027" s="51"/>
      <c r="AG1027" s="52" t="str">
        <f t="shared" ca="1" si="108"/>
        <v/>
      </c>
      <c r="AI1027" s="54"/>
      <c r="AK1027" s="3">
        <v>1</v>
      </c>
      <c r="AP1027" s="4"/>
    </row>
    <row r="1028" spans="1:42" ht="20.100000000000001">
      <c r="A1028" s="35" t="e">
        <f t="shared" si="105"/>
        <v>#REF!</v>
      </c>
      <c r="N1028" s="44" t="str">
        <f t="shared" si="106"/>
        <v/>
      </c>
      <c r="R1028" s="47"/>
      <c r="AE1028" s="3" t="str">
        <f t="shared" si="107"/>
        <v>-</v>
      </c>
      <c r="AF1028" s="51"/>
      <c r="AG1028" s="52" t="str">
        <f t="shared" ca="1" si="108"/>
        <v/>
      </c>
      <c r="AI1028" s="54"/>
      <c r="AK1028" s="3">
        <v>1</v>
      </c>
      <c r="AP1028" s="4"/>
    </row>
    <row r="1029" spans="1:42" ht="20.100000000000001">
      <c r="A1029" s="35" t="e">
        <f t="shared" si="105"/>
        <v>#REF!</v>
      </c>
      <c r="N1029" s="44" t="str">
        <f t="shared" si="106"/>
        <v/>
      </c>
      <c r="R1029" s="47"/>
      <c r="AE1029" s="3" t="str">
        <f t="shared" si="107"/>
        <v>-</v>
      </c>
      <c r="AF1029" s="51"/>
      <c r="AG1029" s="52" t="str">
        <f t="shared" ca="1" si="108"/>
        <v/>
      </c>
      <c r="AI1029" s="54"/>
      <c r="AK1029" s="3">
        <v>1</v>
      </c>
      <c r="AP1029" s="4"/>
    </row>
    <row r="1030" spans="1:42" ht="20.100000000000001">
      <c r="A1030" s="35" t="e">
        <f t="shared" si="105"/>
        <v>#REF!</v>
      </c>
      <c r="N1030" s="44" t="str">
        <f t="shared" si="106"/>
        <v/>
      </c>
      <c r="R1030" s="47"/>
      <c r="AE1030" s="3" t="str">
        <f t="shared" si="107"/>
        <v>-</v>
      </c>
      <c r="AF1030" s="51"/>
      <c r="AG1030" s="52" t="str">
        <f t="shared" ca="1" si="108"/>
        <v/>
      </c>
      <c r="AI1030" s="54"/>
      <c r="AK1030" s="3">
        <v>1</v>
      </c>
      <c r="AP1030" s="4"/>
    </row>
    <row r="1031" spans="1:42" ht="20.100000000000001">
      <c r="A1031" s="35" t="e">
        <f t="shared" si="105"/>
        <v>#REF!</v>
      </c>
      <c r="N1031" s="44" t="str">
        <f t="shared" si="106"/>
        <v/>
      </c>
      <c r="R1031" s="47"/>
      <c r="AE1031" s="3" t="str">
        <f t="shared" si="107"/>
        <v>-</v>
      </c>
      <c r="AF1031" s="51"/>
      <c r="AG1031" s="52" t="str">
        <f t="shared" ca="1" si="108"/>
        <v/>
      </c>
      <c r="AI1031" s="54"/>
      <c r="AK1031" s="3">
        <v>1</v>
      </c>
      <c r="AP1031" s="4"/>
    </row>
    <row r="1032" spans="1:42" ht="20.100000000000001">
      <c r="A1032" s="35" t="e">
        <f t="shared" si="105"/>
        <v>#REF!</v>
      </c>
      <c r="N1032" s="44" t="str">
        <f t="shared" si="106"/>
        <v/>
      </c>
      <c r="R1032" s="47"/>
      <c r="AE1032" s="3" t="str">
        <f t="shared" si="107"/>
        <v>-</v>
      </c>
      <c r="AF1032" s="51"/>
      <c r="AG1032" s="52" t="str">
        <f t="shared" ca="1" si="108"/>
        <v/>
      </c>
      <c r="AI1032" s="54"/>
      <c r="AK1032" s="3">
        <v>1</v>
      </c>
      <c r="AP1032" s="4"/>
    </row>
    <row r="1033" spans="1:42" ht="20.100000000000001">
      <c r="A1033" s="35" t="e">
        <f>A1032</f>
        <v>#REF!</v>
      </c>
      <c r="N1033" s="44" t="str">
        <f t="shared" si="106"/>
        <v/>
      </c>
      <c r="R1033" s="47"/>
      <c r="AE1033" s="3" t="str">
        <f t="shared" si="107"/>
        <v>-</v>
      </c>
      <c r="AF1033" s="51"/>
      <c r="AG1033" s="52" t="str">
        <f t="shared" ca="1" si="108"/>
        <v/>
      </c>
      <c r="AI1033" s="54"/>
      <c r="AK1033" s="3">
        <v>1</v>
      </c>
      <c r="AP1033" s="4"/>
    </row>
    <row r="1034" spans="1:42" ht="20.100000000000001">
      <c r="A1034" s="35" t="e">
        <f>A1033</f>
        <v>#REF!</v>
      </c>
      <c r="N1034" s="44" t="str">
        <f t="shared" si="106"/>
        <v/>
      </c>
      <c r="R1034" s="47"/>
      <c r="AE1034" s="3" t="str">
        <f t="shared" si="107"/>
        <v>-</v>
      </c>
      <c r="AF1034" s="51"/>
      <c r="AG1034" s="52" t="str">
        <f t="shared" ca="1" si="108"/>
        <v/>
      </c>
      <c r="AK1034" s="3">
        <v>1</v>
      </c>
      <c r="AP1034" s="4"/>
    </row>
    <row r="1035" spans="1:42">
      <c r="A1035" s="35" t="e">
        <f>A1034</f>
        <v>#REF!</v>
      </c>
      <c r="N1035" s="44" t="str">
        <f t="shared" si="106"/>
        <v/>
      </c>
      <c r="AE1035" s="3" t="str">
        <f t="shared" si="107"/>
        <v>-</v>
      </c>
      <c r="AG1035" s="52" t="str">
        <f t="shared" ca="1" si="108"/>
        <v/>
      </c>
      <c r="AK1035" s="3">
        <v>1</v>
      </c>
      <c r="AP1035" s="4"/>
    </row>
    <row r="1036" spans="1:42">
      <c r="A1036" s="35" t="e">
        <f>A1035</f>
        <v>#REF!</v>
      </c>
      <c r="N1036" s="44" t="str">
        <f t="shared" si="106"/>
        <v/>
      </c>
      <c r="AE1036" s="3" t="str">
        <f t="shared" si="107"/>
        <v>-</v>
      </c>
      <c r="AG1036" s="52" t="str">
        <f t="shared" ca="1" si="108"/>
        <v/>
      </c>
      <c r="AK1036" s="3">
        <v>1</v>
      </c>
      <c r="AP1036" s="4"/>
    </row>
    <row r="1037" spans="1:42">
      <c r="A1037" s="35" t="e">
        <f>A1036</f>
        <v>#REF!</v>
      </c>
      <c r="N1037" s="44" t="str">
        <f t="shared" si="106"/>
        <v/>
      </c>
      <c r="AE1037" s="3" t="str">
        <f t="shared" si="107"/>
        <v>-</v>
      </c>
      <c r="AG1037" s="52" t="str">
        <f t="shared" ca="1" si="108"/>
        <v/>
      </c>
    </row>
  </sheetData>
  <sheetProtection formatCells="0" formatColumns="0" formatRows="0" insertColumns="0" insertRows="0" insertHyperlinks="0" deleteColumns="0" deleteRows="0" sort="0" autoFilter="0" pivotTables="0"/>
  <mergeCells count="18">
    <mergeCell ref="AJ1:AJ4"/>
    <mergeCell ref="AK2:AK4"/>
    <mergeCell ref="A3:M3"/>
    <mergeCell ref="N3:S3"/>
    <mergeCell ref="T3:V3"/>
    <mergeCell ref="X3:AF3"/>
    <mergeCell ref="E1:G1"/>
    <mergeCell ref="H1:I1"/>
    <mergeCell ref="E2:G2"/>
    <mergeCell ref="H2:I2"/>
    <mergeCell ref="T324:V423"/>
    <mergeCell ref="D325:D326"/>
    <mergeCell ref="D439:D440"/>
    <mergeCell ref="D540:D541"/>
    <mergeCell ref="B19:D21"/>
    <mergeCell ref="D46:D47"/>
    <mergeCell ref="D147:D148"/>
    <mergeCell ref="D212:D213"/>
  </mergeCells>
  <phoneticPr fontId="2"/>
  <conditionalFormatting sqref="AI2">
    <cfRule type="cellIs" dxfId="216" priority="13" operator="equal">
      <formula>0</formula>
    </cfRule>
    <cfRule type="cellIs" dxfId="215" priority="14" operator="greaterThan">
      <formula>0</formula>
    </cfRule>
  </conditionalFormatting>
  <conditionalFormatting sqref="A2:E2">
    <cfRule type="cellIs" dxfId="214" priority="11" operator="equal">
      <formula>0</formula>
    </cfRule>
    <cfRule type="cellIs" dxfId="213" priority="12" operator="greaterThan">
      <formula>0</formula>
    </cfRule>
  </conditionalFormatting>
  <conditionalFormatting sqref="U2:AB2">
    <cfRule type="cellIs" dxfId="212" priority="9" operator="equal">
      <formula>0</formula>
    </cfRule>
    <cfRule type="cellIs" dxfId="211" priority="10" operator="greaterThan">
      <formula>0</formula>
    </cfRule>
  </conditionalFormatting>
  <conditionalFormatting sqref="O2">
    <cfRule type="cellIs" dxfId="210" priority="7" operator="equal">
      <formula>0</formula>
    </cfRule>
    <cfRule type="cellIs" dxfId="209" priority="8" operator="greaterThan">
      <formula>0</formula>
    </cfRule>
  </conditionalFormatting>
  <conditionalFormatting sqref="H2:I2">
    <cfRule type="cellIs" dxfId="208" priority="5" operator="equal">
      <formula>0</formula>
    </cfRule>
    <cfRule type="cellIs" dxfId="207" priority="6" operator="greaterThan">
      <formula>1</formula>
    </cfRule>
  </conditionalFormatting>
  <conditionalFormatting sqref="T2">
    <cfRule type="cellIs" dxfId="206" priority="3" operator="equal">
      <formula>0</formula>
    </cfRule>
    <cfRule type="cellIs" dxfId="205" priority="4" operator="greaterThan">
      <formula>1</formula>
    </cfRule>
  </conditionalFormatting>
  <conditionalFormatting sqref="P2">
    <cfRule type="cellIs" dxfId="204" priority="1" operator="equal">
      <formula>0</formula>
    </cfRule>
    <cfRule type="cellIs" dxfId="203" priority="2" operator="greaterThan">
      <formula>0</formula>
    </cfRule>
  </conditionalFormatting>
  <dataValidations count="7">
    <dataValidation allowBlank="1" showInputMessage="1" sqref="O5:O1037" xr:uid="{6C7A73F5-D372-40D9-85CF-9F9264994756}"/>
    <dataValidation type="list" allowBlank="1" showInputMessage="1" sqref="AI5:AI1033" xr:uid="{F6180313-0B95-41F4-A6C1-C0F5DA441A07}">
      <formula1>INDIRECT($AK$1&amp;"!$G$3:$G$4")</formula1>
    </dataValidation>
    <dataValidation type="list" allowBlank="1" showInputMessage="1" showErrorMessage="1" sqref="AB19:AB229 AB359:AB364 AB422:AB1036 AB412:AB413 AB408:AB409 AB404:AB405 AB390:AB395 AB10:AB15 AB378:AB379 AB374:AB375 AB370:AB371 AB350:AB355 AB339:AB344 AB253:AB261 AB233:AB251 AB263:AB331" xr:uid="{F55ED823-B824-498F-962F-7A5844AA4730}">
      <formula1>INDIRECT($AH$1&amp;"!$E$3:$E$23")</formula1>
    </dataValidation>
    <dataValidation type="list" allowBlank="1" showInputMessage="1" showErrorMessage="1" sqref="V221:W222 AA384:AB384 AA194:AA195 V194:W195 AA201:AA205 V201:W202 AA158:AA162 V158:W159 AA147:AA152 AA168:AA169 V168:W169 V211:W211 V144:W149 V140:W140 AA134:AA138 V130:W133 AA122:AA123 V121:W123 V116:W119 V107:W109 AA108:AA119 AA96:AA105 V93:W95 V83:W86 AA77:AA86 V68:W76 V55:W61 V38:W39 AA211 V102:W105 V179:W180 AA179:AA180 W376:W391 W372:W373 W356:W360 AA363:AA364 AB396 AB356 W339:W342 AA339:AA345 AA38:AA66 W408:W409 AA392:AA396 AA350:AA356 AB345 AA422:AA459 AA308 V308:W308 AA408:AA409 W365:W369 W345:W353 AB332 AA366:AB366 AA378:AA379 AA390 AA323:AA332 W412:W413 AA290:AA291 AA255:AA257 AA263:AA264 V263:W264 AA279:AA280 V279:W280 V243:W244 AA243:AA247 V233:W234 AA233:AA237 V31:W32 AA221:AA225 AA587:AA588 V587:W588 AA594:AA598 V594:W595 AA551:AA555 V551:W552 AA540:AA545 AA561:AA562 V561:W562 V604:W1037 V537:W542 W404:W405 AA412:AA413 V533:W533 AA527:AA531 V523:W526 AA515:AA516 V514:W516 V509:W512 V500:W502 AA501:AA512 AA489:AA498 V486:W488 V476:W479 AA470:AA479 V461:W469 V448:W454 V431:W432 AA604:AA1037 V495:W498 V290:W291 AA572:AA573 AA404:AA405 AA304 V304:W304 AA311:AA312 V322:V323 V311:W312 AA28:AA35 V572:W573 W322:W327 W419:W426 V424:V426" xr:uid="{E0CD18EA-1DDE-4146-9381-F00AA4F3F8E0}">
      <formula1>INDIRECT($AK$1&amp;"!$C$3:$C$21")</formula1>
    </dataValidation>
    <dataValidation type="list" allowBlank="1" showDropDown="1" showInputMessage="1" sqref="AA4 V4:W4" xr:uid="{A5DF6EDB-D28C-4920-B143-D29E8632D357}">
      <formula1>$AP$1:$AP$14</formula1>
    </dataValidation>
    <dataValidation type="list" allowBlank="1" showInputMessage="1" sqref="AA376:AB377 AB5:AB9 AA181:AA184 V181:W193 AA170:AA173 V196:W200 AA200 V203:W210 AA196:AA198 V170:W178 V160:W167 V150:W157 AA120:AA121 V106:W106 AA106:AA107 V87:W92 AA87:AA92 V120:W120 AA36:AA37 V33:W37 W341:W349 AA414:AB418 V309:W310 AA309:AA310 AA305:AA307 V305:W307 AA265:AA278 V265:W278 W380:W389 W410:W411 W406:W407 W328:W338 AA380:AB383 AA5:AA27 V5:W30 AB16:AB18 AB372:AB373 AA188:AA193 AA258:AA261 AA292:AA303 AB367:AB369 AA248:AA251 AA253:AA254 AA262:AB262 V223:W232 AA252:AB252 AA367:AA375 AA361:AA362 AB230:AB232 AA365:AB365 V245:W262 V235:W242 W414:W421 AA226:AA232 W352:W377 AA313:AA321 AA581:AA586 AA574:AA577 V574:W586 AA563:AA566 V589:W593 AA593 V596:W603 AA589:AA591 V563:W571 V553:W560 V543:W550 AA513:AA514 V499:W499 AA499:AA500 V480:W485 AA480:AA485 V428:W428 V513:W513 AA212:AA220 AA238:AA242 V292:W303 W392:W403 V212:W220 V313:W321 V281:W289 AA281:AA289" xr:uid="{6F5B2A8C-6BC6-40AF-A6F7-CC278E2B1D28}">
      <formula1>INDIRECT($AK$1&amp;"!$C$3:$C$21")</formula1>
    </dataValidation>
    <dataValidation type="list" allowBlank="1" showInputMessage="1" showErrorMessage="1" sqref="AB1037:AB1048576" xr:uid="{F99B3B4D-A03E-41A8-9CBF-9FE968945CED}">
      <formula1>$AO$1:$AO$14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A8A9C-A214-4B3F-9DF6-E7AA311028B8}">
  <sheetPr codeName="Sheet12">
    <tabColor rgb="FF00B050"/>
  </sheetPr>
  <dimension ref="A1:M28"/>
  <sheetViews>
    <sheetView topLeftCell="A8" zoomScaleNormal="100" workbookViewId="0" xr3:uid="{10D7214D-A3C2-5BC2-8D14-34EE55C29977}">
      <selection activeCell="F29" sqref="F29"/>
    </sheetView>
  </sheetViews>
  <sheetFormatPr defaultColWidth="8.625" defaultRowHeight="18"/>
  <cols>
    <col min="1" max="1" width="6.625" style="200" bestFit="1" customWidth="1"/>
    <col min="2" max="2" width="9.875" style="200" customWidth="1"/>
    <col min="3" max="3" width="8.625" style="200"/>
    <col min="4" max="4" width="9.375" style="200" customWidth="1"/>
    <col min="5" max="5" width="7.125" style="200" customWidth="1"/>
    <col min="6" max="6" width="13.625" style="200" customWidth="1"/>
    <col min="7" max="16384" width="8.625" style="200"/>
  </cols>
  <sheetData>
    <row r="1" spans="1:13">
      <c r="A1" s="201" t="s">
        <v>143</v>
      </c>
    </row>
    <row r="2" spans="1:13">
      <c r="A2" s="201"/>
    </row>
    <row r="3" spans="1:13">
      <c r="A3" s="368" t="s">
        <v>144</v>
      </c>
      <c r="B3" s="368"/>
      <c r="C3" s="368"/>
      <c r="D3" s="368"/>
      <c r="E3" s="368"/>
      <c r="F3" s="368"/>
      <c r="H3" s="369" t="s">
        <v>145</v>
      </c>
      <c r="I3" s="369"/>
      <c r="J3" s="369"/>
      <c r="K3" s="369"/>
      <c r="L3" s="369"/>
      <c r="M3" s="369"/>
    </row>
    <row r="4" spans="1:13">
      <c r="A4" s="367" t="s">
        <v>146</v>
      </c>
      <c r="B4" s="367"/>
      <c r="C4" s="367"/>
      <c r="D4" s="367"/>
      <c r="E4" s="367"/>
      <c r="F4" s="367"/>
      <c r="H4" s="367" t="s">
        <v>147</v>
      </c>
      <c r="I4" s="367"/>
      <c r="J4" s="367"/>
      <c r="K4" s="367"/>
      <c r="L4" s="367"/>
      <c r="M4" s="367"/>
    </row>
    <row r="5" spans="1:13">
      <c r="A5" s="202" t="s">
        <v>148</v>
      </c>
      <c r="H5" s="202" t="s">
        <v>148</v>
      </c>
    </row>
    <row r="6" spans="1:13">
      <c r="A6" s="202" t="s">
        <v>149</v>
      </c>
      <c r="H6" s="202" t="s">
        <v>149</v>
      </c>
    </row>
    <row r="7" spans="1:13">
      <c r="A7" s="202" t="s">
        <v>150</v>
      </c>
      <c r="H7" s="202" t="s">
        <v>150</v>
      </c>
    </row>
    <row r="8" spans="1:13">
      <c r="A8" s="202"/>
      <c r="H8" s="202"/>
    </row>
    <row r="9" spans="1:13">
      <c r="A9" s="202" t="s">
        <v>151</v>
      </c>
      <c r="H9" s="202" t="s">
        <v>151</v>
      </c>
    </row>
    <row r="10" spans="1:13">
      <c r="A10" s="202" t="s">
        <v>152</v>
      </c>
      <c r="H10" s="202" t="s">
        <v>153</v>
      </c>
    </row>
    <row r="11" spans="1:13">
      <c r="A11" s="202" t="s">
        <v>154</v>
      </c>
      <c r="H11" s="202" t="s">
        <v>155</v>
      </c>
    </row>
    <row r="12" spans="1:13">
      <c r="A12" s="202" t="s">
        <v>156</v>
      </c>
      <c r="H12" s="202" t="s">
        <v>157</v>
      </c>
    </row>
    <row r="13" spans="1:13">
      <c r="A13" s="202"/>
      <c r="H13" s="202"/>
    </row>
    <row r="14" spans="1:13">
      <c r="A14" s="202" t="s">
        <v>158</v>
      </c>
      <c r="H14" s="202" t="s">
        <v>158</v>
      </c>
    </row>
    <row r="16" spans="1:13">
      <c r="A16" s="367" t="s">
        <v>159</v>
      </c>
      <c r="B16" s="367"/>
      <c r="C16" s="367"/>
      <c r="D16" s="367"/>
      <c r="E16" s="367"/>
      <c r="F16" s="367"/>
      <c r="H16" s="367" t="s">
        <v>160</v>
      </c>
      <c r="I16" s="367"/>
      <c r="J16" s="367"/>
      <c r="K16" s="367"/>
      <c r="L16" s="367"/>
      <c r="M16" s="367"/>
    </row>
    <row r="17" spans="1:13">
      <c r="H17" s="202" t="s">
        <v>161</v>
      </c>
    </row>
    <row r="18" spans="1:13">
      <c r="A18" s="202" t="s">
        <v>162</v>
      </c>
      <c r="H18" s="203" t="s">
        <v>163</v>
      </c>
    </row>
    <row r="19" spans="1:13">
      <c r="A19" s="203" t="s">
        <v>164</v>
      </c>
      <c r="H19" s="203" t="s">
        <v>163</v>
      </c>
    </row>
    <row r="20" spans="1:13">
      <c r="A20" s="201"/>
      <c r="B20" s="201"/>
      <c r="C20" s="201"/>
      <c r="D20" s="201"/>
      <c r="E20" s="201"/>
      <c r="F20" s="201"/>
      <c r="H20" s="202" t="s">
        <v>165</v>
      </c>
    </row>
    <row r="22" spans="1:13">
      <c r="H22" s="367" t="s">
        <v>166</v>
      </c>
      <c r="I22" s="367"/>
      <c r="J22" s="367"/>
      <c r="K22" s="367"/>
      <c r="L22" s="367"/>
      <c r="M22" s="367"/>
    </row>
    <row r="23" spans="1:13">
      <c r="H23" s="202" t="s">
        <v>167</v>
      </c>
    </row>
    <row r="24" spans="1:13">
      <c r="H24" s="203" t="s">
        <v>163</v>
      </c>
    </row>
    <row r="25" spans="1:13">
      <c r="H25" s="202" t="s">
        <v>168</v>
      </c>
    </row>
    <row r="27" spans="1:13">
      <c r="H27" s="367" t="s">
        <v>169</v>
      </c>
      <c r="I27" s="367"/>
      <c r="J27" s="367"/>
      <c r="K27" s="367"/>
      <c r="L27" s="367"/>
      <c r="M27" s="367"/>
    </row>
    <row r="28" spans="1:13">
      <c r="H28" s="202" t="s">
        <v>170</v>
      </c>
    </row>
  </sheetData>
  <mergeCells count="8">
    <mergeCell ref="H22:M22"/>
    <mergeCell ref="H27:M27"/>
    <mergeCell ref="A3:F3"/>
    <mergeCell ref="H3:M3"/>
    <mergeCell ref="A4:F4"/>
    <mergeCell ref="H4:M4"/>
    <mergeCell ref="A16:F16"/>
    <mergeCell ref="H16:M16"/>
  </mergeCells>
  <phoneticPr fontId="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E561-B7AE-4C4E-9C5D-BCBECE3818B1}">
  <sheetPr>
    <tabColor rgb="FF4472C4"/>
  </sheetPr>
  <dimension ref="A1:AY800"/>
  <sheetViews>
    <sheetView tabSelected="1" zoomScale="85" zoomScaleNormal="85" workbookViewId="0" xr3:uid="{E7313933-D80B-5D78-8C63-BD98860B4ADC}">
      <pane xSplit="14" ySplit="4" topLeftCell="X5" activePane="bottomRight" state="frozen"/>
      <selection pane="bottomRight" activeCell="AI7" sqref="AI7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200" customWidth="1"/>
    <col min="2" max="2" width="8.125" style="200" customWidth="1"/>
    <col min="3" max="3" width="11.625" style="200" customWidth="1"/>
    <col min="4" max="4" width="20" style="200" customWidth="1"/>
    <col min="5" max="5" width="6.625" style="254" customWidth="1"/>
    <col min="6" max="6" width="4.625" style="200" customWidth="1"/>
    <col min="7" max="7" width="6.125" style="200" customWidth="1"/>
    <col min="8" max="8" width="5.625" style="200" customWidth="1"/>
    <col min="9" max="9" width="20.625" style="200" customWidth="1"/>
    <col min="10" max="10" width="16.125" style="255" customWidth="1"/>
    <col min="11" max="11" width="8.125" style="200" hidden="1" customWidth="1"/>
    <col min="12" max="12" width="20.625" style="200" customWidth="1"/>
    <col min="13" max="13" width="6.125" style="200" customWidth="1"/>
    <col min="14" max="14" width="6.125" style="256" customWidth="1"/>
    <col min="15" max="15" width="16.625" style="257" bestFit="1" customWidth="1"/>
    <col min="16" max="16" width="20.625" style="200" customWidth="1"/>
    <col min="17" max="17" width="6.125" style="200" customWidth="1"/>
    <col min="18" max="18" width="5.625" style="200" customWidth="1"/>
    <col min="19" max="19" width="19.625" style="256" customWidth="1"/>
    <col min="20" max="21" width="9.625" style="254" customWidth="1"/>
    <col min="22" max="22" width="25.625" style="200" customWidth="1"/>
    <col min="23" max="23" width="19.125" style="258" customWidth="1"/>
    <col min="24" max="24" width="16.125" style="200" customWidth="1"/>
    <col min="25" max="26" width="9.625" style="254" customWidth="1"/>
    <col min="27" max="27" width="21.125" style="200" customWidth="1"/>
    <col min="28" max="29" width="18.625" style="200" customWidth="1"/>
    <col min="30" max="30" width="8.125" style="200" customWidth="1"/>
    <col min="31" max="31" width="6.125" style="200" hidden="1" customWidth="1"/>
    <col min="32" max="32" width="7.625" style="259" customWidth="1"/>
    <col min="33" max="33" width="7.125" style="200" customWidth="1"/>
    <col min="34" max="34" width="5.5" style="200" customWidth="1"/>
    <col min="35" max="35" width="19.5" style="200" customWidth="1"/>
    <col min="36" max="36" width="13.125" style="256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200" customWidth="1"/>
    <col min="48" max="48" width="12.125" style="200" customWidth="1"/>
    <col min="49" max="49" width="13.625" style="200" customWidth="1"/>
    <col min="50" max="50" width="8.625" style="200"/>
    <col min="51" max="51" width="14.5" style="200" customWidth="1"/>
    <col min="52" max="16384" width="8.625" style="200"/>
  </cols>
  <sheetData>
    <row r="1" spans="1:51" ht="41.1" customHeight="1" thickBot="1">
      <c r="A1" s="205" t="s">
        <v>171</v>
      </c>
      <c r="B1" s="206" t="s">
        <v>172</v>
      </c>
      <c r="C1" s="205" t="s">
        <v>2</v>
      </c>
      <c r="D1" s="205" t="s">
        <v>3</v>
      </c>
      <c r="E1" s="393" t="s">
        <v>4</v>
      </c>
      <c r="F1" s="394"/>
      <c r="G1" s="394"/>
      <c r="H1" s="395" t="s">
        <v>5</v>
      </c>
      <c r="I1" s="395"/>
      <c r="J1" s="396"/>
      <c r="K1" s="396"/>
      <c r="L1" s="396"/>
      <c r="M1" s="396"/>
      <c r="N1" s="397"/>
      <c r="O1" s="205" t="s">
        <v>172</v>
      </c>
      <c r="P1" s="339"/>
      <c r="Q1" s="340"/>
      <c r="R1" s="340"/>
      <c r="S1" s="400" t="s">
        <v>173</v>
      </c>
      <c r="T1" s="207" t="s">
        <v>6</v>
      </c>
      <c r="U1" s="208" t="s">
        <v>7</v>
      </c>
      <c r="V1" s="209" t="s">
        <v>8</v>
      </c>
      <c r="W1" s="402" t="s">
        <v>174</v>
      </c>
      <c r="X1" s="402"/>
      <c r="Y1" s="403"/>
      <c r="Z1" s="208" t="s">
        <v>9</v>
      </c>
      <c r="AA1" s="206" t="s">
        <v>10</v>
      </c>
      <c r="AB1" s="206" t="s">
        <v>11</v>
      </c>
      <c r="AC1" s="210"/>
      <c r="AD1" s="211"/>
      <c r="AE1" s="211"/>
      <c r="AF1" s="211"/>
      <c r="AG1" s="211"/>
      <c r="AH1" s="211"/>
      <c r="AI1" s="212" t="s">
        <v>12</v>
      </c>
      <c r="AJ1" s="404" t="s">
        <v>175</v>
      </c>
      <c r="AS1" s="383" t="s">
        <v>176</v>
      </c>
      <c r="AT1" s="384"/>
      <c r="AU1" s="384"/>
      <c r="AV1" s="384"/>
      <c r="AW1" s="385"/>
      <c r="AY1" s="213" t="s">
        <v>177</v>
      </c>
    </row>
    <row r="2" spans="1:51" ht="41.1" customHeight="1" thickBot="1">
      <c r="A2" s="344">
        <f>SUM(AA2+AB2)</f>
        <v>0</v>
      </c>
      <c r="B2" s="344">
        <f>O2</f>
        <v>0</v>
      </c>
      <c r="C2" s="344">
        <f>SUM(T2+U2+Z2)</f>
        <v>0</v>
      </c>
      <c r="D2" s="344">
        <f>V2</f>
        <v>0</v>
      </c>
      <c r="E2" s="386">
        <f>SUM(V2+AA2+AB2)</f>
        <v>0</v>
      </c>
      <c r="F2" s="386"/>
      <c r="G2" s="386"/>
      <c r="H2" s="386">
        <f>AI2</f>
        <v>1</v>
      </c>
      <c r="I2" s="386"/>
      <c r="J2" s="398"/>
      <c r="K2" s="398"/>
      <c r="L2" s="398"/>
      <c r="M2" s="398"/>
      <c r="N2" s="399"/>
      <c r="O2" s="344">
        <f>COUNTIFS(I5:I800,"&lt;&gt;",O5:O800,"")+COUNTIFS(I5:I800,"&lt;&gt;",O5:O800,"確認中")</f>
        <v>0</v>
      </c>
      <c r="P2" s="341"/>
      <c r="Q2" s="342"/>
      <c r="R2" s="342"/>
      <c r="S2" s="401"/>
      <c r="T2" s="344">
        <f>COUNTIFS(T5:T800,"",O5:O800,"RP")-COUNTIFS(O5:O800,"Rescuer変更完了",T5:T800,"")</f>
        <v>0</v>
      </c>
      <c r="U2" s="214">
        <f>COUNTIF(T5:T800,"&lt;&gt;")-COUNTIFS(T5:T800,"&lt;&gt;",V5:V800,"&lt;&gt;Chat中",V5:V800,"&lt;&gt;")-COUNTIFS(T5:T800,"&lt;&gt;",O5:O800,"DS完了",V5:V800,"")</f>
        <v>0</v>
      </c>
      <c r="V2" s="214">
        <f>COUNTIF(V5:V800,"電話不通x1")-COUNTIFS(O5:O800,"DS完了",AH5:AH800,"",V5:V800,"電話不通x1")-COUNTIFS(AH5:AH800,"&lt;&gt;",V5:V800,"電話不通x1")</f>
        <v>0</v>
      </c>
      <c r="W2" s="402"/>
      <c r="X2" s="402"/>
      <c r="Y2" s="403"/>
      <c r="Z2" s="214">
        <f>COUNTIF(Y5:Y800,"&lt;&gt;")-COUNTIFS(Y5:Y800,"&lt;&gt;",AA5:AA800,"&lt;&gt;Chat中",AA5:AA800,"&lt;&gt;")-COUNTIFS(Y5:Y800,"&lt;&gt;",O5:O800,"DS完了",AA5:AA800,"")</f>
        <v>0</v>
      </c>
      <c r="AA2" s="214">
        <f>COUNTIF(AA5:AA800,"電話不通 x1")-COUNTIFS(O5:O800,"DS完了",AH5:AH800,"",AA5:AA800,"電話不通 x1")-COUNTIFS(AH5:AH800,"&lt;&gt;",AA5:AA800,"電話不通 x1")</f>
        <v>0</v>
      </c>
      <c r="AB2" s="214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210"/>
      <c r="AD2" s="211"/>
      <c r="AE2" s="211"/>
      <c r="AF2" s="211"/>
      <c r="AG2" s="211"/>
      <c r="AH2" s="211"/>
      <c r="AI2" s="292">
        <f>COUNTIFS(O5:O800,"DS完了",AH5:AH800,"")+COUNTIFS(AF5:AF800,"&lt;&gt;",AH5:AH800,"")-COUNTIFS(O5:O800,"DS完了",D5:D800,"トラブル報告")</f>
        <v>1</v>
      </c>
      <c r="AJ2" s="404"/>
      <c r="AK2" s="215" t="s">
        <v>178</v>
      </c>
      <c r="AS2" s="216" t="s">
        <v>50</v>
      </c>
      <c r="AT2" s="217" t="s">
        <v>52</v>
      </c>
      <c r="AU2" s="218" t="s">
        <v>56</v>
      </c>
      <c r="AV2" s="219" t="s">
        <v>59</v>
      </c>
      <c r="AW2" s="220" t="s">
        <v>63</v>
      </c>
      <c r="AY2" s="221">
        <v>45438</v>
      </c>
    </row>
    <row r="3" spans="1:51" ht="24.6" customHeight="1">
      <c r="A3" s="387" t="s">
        <v>16</v>
      </c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9"/>
      <c r="O3" s="222"/>
      <c r="P3" s="223"/>
      <c r="Q3" s="223"/>
      <c r="R3" s="223"/>
      <c r="S3" s="224"/>
      <c r="T3" s="390" t="s">
        <v>18</v>
      </c>
      <c r="U3" s="390"/>
      <c r="V3" s="390"/>
      <c r="W3" s="225"/>
      <c r="X3" s="391" t="s">
        <v>19</v>
      </c>
      <c r="Y3" s="390"/>
      <c r="Z3" s="390"/>
      <c r="AA3" s="390"/>
      <c r="AB3" s="390"/>
      <c r="AC3" s="390"/>
      <c r="AD3" s="390"/>
      <c r="AE3" s="390"/>
      <c r="AF3" s="392"/>
      <c r="AG3" s="226"/>
      <c r="AH3" s="226"/>
      <c r="AI3" s="227"/>
      <c r="AJ3" s="228"/>
      <c r="AK3" s="229" t="s">
        <v>14</v>
      </c>
      <c r="AL3" s="230" t="str">
        <f ca="1">"L"&amp;MATCH(TODAY(),A:A,0)&amp;":L1000"</f>
        <v>L5:L1000</v>
      </c>
      <c r="AM3" s="230" t="str">
        <f ca="1">"P"&amp;MATCH(TODAY(),A:A,0)&amp;":P1000"</f>
        <v>P5:P1000</v>
      </c>
      <c r="AN3" s="230" t="str">
        <f ca="1">"X"&amp;MATCH(TODAY(),A:A,0)&amp;":X1000"</f>
        <v>X5:X1000</v>
      </c>
      <c r="AO3" s="230" t="str">
        <f ca="1">"I"&amp;MATCH(TODAY(),A:A,0)&amp;":I1000"</f>
        <v>I5:I1000</v>
      </c>
      <c r="AP3" s="230" t="str">
        <f ca="1">"J"&amp;MATCH(TODAY(),A:A,0)&amp;":J1000"</f>
        <v>J5:J1000</v>
      </c>
      <c r="AQ3" s="230" t="str">
        <f ca="1">"C"&amp;MATCH(TODAY(),A:A,0)&amp;":C1000"</f>
        <v>C5:C1000</v>
      </c>
    </row>
    <row r="4" spans="1:51" ht="32.1" customHeight="1" thickBot="1">
      <c r="A4" s="231" t="s">
        <v>20</v>
      </c>
      <c r="B4" s="232" t="s">
        <v>21</v>
      </c>
      <c r="C4" s="233" t="s">
        <v>179</v>
      </c>
      <c r="D4" s="233" t="s">
        <v>180</v>
      </c>
      <c r="E4" s="234" t="s">
        <v>181</v>
      </c>
      <c r="F4" s="235" t="s">
        <v>24</v>
      </c>
      <c r="G4" s="235" t="s">
        <v>26</v>
      </c>
      <c r="H4" s="236" t="s">
        <v>182</v>
      </c>
      <c r="I4" s="237" t="s">
        <v>18</v>
      </c>
      <c r="J4" s="238" t="s">
        <v>183</v>
      </c>
      <c r="K4" s="238" t="s">
        <v>29</v>
      </c>
      <c r="L4" s="239" t="s">
        <v>30</v>
      </c>
      <c r="M4" s="238" t="s">
        <v>31</v>
      </c>
      <c r="N4" s="240" t="s">
        <v>22</v>
      </c>
      <c r="O4" s="241" t="s">
        <v>184</v>
      </c>
      <c r="P4" s="233" t="s">
        <v>185</v>
      </c>
      <c r="Q4" s="233" t="s">
        <v>34</v>
      </c>
      <c r="R4" s="241" t="s">
        <v>35</v>
      </c>
      <c r="S4" s="242" t="s">
        <v>36</v>
      </c>
      <c r="T4" s="243" t="s">
        <v>37</v>
      </c>
      <c r="U4" s="244" t="s">
        <v>186</v>
      </c>
      <c r="V4" s="241" t="s">
        <v>39</v>
      </c>
      <c r="W4" s="245" t="s">
        <v>40</v>
      </c>
      <c r="X4" s="246" t="s">
        <v>187</v>
      </c>
      <c r="Y4" s="243" t="s">
        <v>37</v>
      </c>
      <c r="Z4" s="244" t="s">
        <v>186</v>
      </c>
      <c r="AA4" s="238" t="s">
        <v>42</v>
      </c>
      <c r="AB4" s="246" t="s">
        <v>43</v>
      </c>
      <c r="AC4" s="247" t="s">
        <v>36</v>
      </c>
      <c r="AD4" s="246" t="s">
        <v>44</v>
      </c>
      <c r="AE4" s="233" t="s">
        <v>29</v>
      </c>
      <c r="AF4" s="248" t="s">
        <v>46</v>
      </c>
      <c r="AG4" s="249" t="s">
        <v>47</v>
      </c>
      <c r="AH4" s="238" t="s">
        <v>48</v>
      </c>
      <c r="AI4" s="238" t="s">
        <v>36</v>
      </c>
      <c r="AJ4" s="240" t="s">
        <v>188</v>
      </c>
      <c r="AK4" s="215" t="s">
        <v>189</v>
      </c>
      <c r="AL4" s="250"/>
      <c r="AM4" s="251"/>
      <c r="AN4" s="251"/>
      <c r="AO4" s="250"/>
      <c r="AP4" s="251"/>
    </row>
    <row r="5" spans="1:51" ht="20.100000000000001" customHeight="1" thickTop="1">
      <c r="A5" s="252">
        <v>45802</v>
      </c>
      <c r="B5" s="200" t="s">
        <v>190</v>
      </c>
      <c r="C5" s="253" t="s">
        <v>191</v>
      </c>
      <c r="D5" s="200" t="str">
        <f ca="1">IFERROR(VLOOKUP(INDIRECT(ADDRESS(ROW(),2)),INDIRECT("Shinka一覧!B:E"),4,FALSE),"")</f>
        <v>GDS</v>
      </c>
      <c r="E5" s="254">
        <v>0.60069444444444442</v>
      </c>
      <c r="F5" s="200">
        <v>123</v>
      </c>
      <c r="G5" s="200">
        <v>57</v>
      </c>
      <c r="H5" s="200">
        <v>53</v>
      </c>
      <c r="I5" s="200" t="s">
        <v>192</v>
      </c>
      <c r="J5" s="255" t="s">
        <v>193</v>
      </c>
      <c r="K5" s="200">
        <v>16</v>
      </c>
      <c r="L5" s="253"/>
      <c r="M5" s="200">
        <v>17</v>
      </c>
      <c r="N5" s="256" t="s">
        <v>194</v>
      </c>
      <c r="O5" s="257" t="s">
        <v>195</v>
      </c>
      <c r="S5" s="256" t="s">
        <v>196</v>
      </c>
      <c r="U5" s="254" t="str">
        <f ca="1">IF(INDIRECT(ADDRESS(ROW(),COLUMN()-1))="","",INDIRECT(ADDRESS(ROW(),COLUMN()-1))+TIME(0,5,0))</f>
        <v/>
      </c>
      <c r="Z5" s="254" t="str">
        <f>IF(Y5="","",$Y5+TIME(0,5,0))</f>
        <v/>
      </c>
      <c r="AE5" s="254">
        <f t="shared" ref="AE5:AE68" si="0">TIME(0,$K5+5,0)</f>
        <v>1.4583333333333332E-2</v>
      </c>
      <c r="AG5" s="254" t="str">
        <f>IF(AF5="","",IF(D5="トラブル報告",AF5+TIME(0,45,0),SUM(AE5,AF5)))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0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</row>
    <row r="6" spans="1:51" ht="20.100000000000001" customHeight="1">
      <c r="A6" s="252">
        <f t="shared" ref="A6:A69" si="1">A5</f>
        <v>45802</v>
      </c>
      <c r="B6" s="200" t="s">
        <v>197</v>
      </c>
      <c r="C6" s="253" t="s">
        <v>198</v>
      </c>
      <c r="D6" s="200" t="str">
        <f ca="1">IFERROR(VLOOKUP(INDIRECT(ADDRESS(ROW(),2)),INDIRECT("Shinka一覧!B:E"),4,FALSE),"")</f>
        <v>MRUK</v>
      </c>
      <c r="E6" s="254">
        <v>0.59444444444444444</v>
      </c>
      <c r="F6" s="200">
        <v>130</v>
      </c>
      <c r="G6" s="200">
        <v>52</v>
      </c>
      <c r="H6" s="200">
        <v>38</v>
      </c>
      <c r="I6" s="200" t="s">
        <v>199</v>
      </c>
      <c r="J6" s="255" t="s">
        <v>200</v>
      </c>
      <c r="K6" s="200">
        <v>22</v>
      </c>
      <c r="L6" s="253"/>
      <c r="M6" s="200">
        <v>21</v>
      </c>
      <c r="N6" s="256" t="s">
        <v>201</v>
      </c>
      <c r="O6" s="257" t="s">
        <v>195</v>
      </c>
      <c r="S6" s="256" t="s">
        <v>196</v>
      </c>
      <c r="U6" s="254" t="str">
        <f ca="1">IF(INDIRECT(ADDRESS(ROW(),COLUMN()-1))="","",INDIRECT(ADDRESS(ROW(),COLUMN()-1))+TIME(0,5,0))</f>
        <v/>
      </c>
      <c r="Z6" s="254" t="str">
        <f t="shared" ref="Z6:Z69" si="2">IF(Y6="","",$Y6+TIME(0,5,0))</f>
        <v/>
      </c>
      <c r="AE6" s="254">
        <f t="shared" si="0"/>
        <v>1.8749999999999999E-2</v>
      </c>
      <c r="AG6" s="254" t="str">
        <f t="shared" ref="AG6:AG69" si="3">IF(AF6="","",IF(D6="トラブル報告",AF6+TIME(0,45,0),SUM(AE6,AF6)))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0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</row>
    <row r="7" spans="1:51" ht="20.100000000000001" customHeight="1">
      <c r="A7" s="252">
        <f t="shared" si="1"/>
        <v>45802</v>
      </c>
      <c r="B7" s="200" t="s">
        <v>202</v>
      </c>
      <c r="C7" s="253" t="s">
        <v>203</v>
      </c>
      <c r="D7" s="200" t="str">
        <f ca="1">IFERROR(VLOOKUP(INDIRECT(ADDRESS(ROW(),2)),INDIRECT("Shinka一覧!B:E"),4,FALSE),"")</f>
        <v>LOGINET</v>
      </c>
      <c r="E7" s="254">
        <v>0.72222222222222221</v>
      </c>
      <c r="F7" s="200">
        <v>128</v>
      </c>
      <c r="G7" s="200">
        <v>101</v>
      </c>
      <c r="H7" s="200">
        <v>89</v>
      </c>
      <c r="I7" s="200" t="s">
        <v>204</v>
      </c>
      <c r="J7" s="255" t="s">
        <v>205</v>
      </c>
      <c r="K7" s="200">
        <v>32</v>
      </c>
      <c r="L7" s="253" t="s">
        <v>206</v>
      </c>
      <c r="M7" s="200">
        <v>45</v>
      </c>
      <c r="N7" s="256" t="s">
        <v>207</v>
      </c>
      <c r="O7" s="257" t="s">
        <v>136</v>
      </c>
      <c r="S7" s="256" t="s">
        <v>208</v>
      </c>
      <c r="T7" s="254">
        <v>0.72291666666666676</v>
      </c>
      <c r="U7" s="254">
        <f ca="1">IF(INDIRECT(ADDRESS(ROW(),COLUMN()-1))="","",INDIRECT(ADDRESS(ROW(),COLUMN()-1))+TIME(0,5,0))</f>
        <v>0.72638888888888897</v>
      </c>
      <c r="V7" s="200" t="s">
        <v>209</v>
      </c>
      <c r="X7" s="200" t="s">
        <v>210</v>
      </c>
      <c r="Y7" s="254">
        <v>0.72430555555555554</v>
      </c>
      <c r="Z7" s="254">
        <f t="shared" si="2"/>
        <v>0.72777777777777775</v>
      </c>
      <c r="AA7" s="200" t="s">
        <v>211</v>
      </c>
      <c r="AD7" s="200" t="s">
        <v>212</v>
      </c>
      <c r="AE7" s="254">
        <f t="shared" si="0"/>
        <v>2.5694444444444447E-2</v>
      </c>
      <c r="AF7" s="259">
        <v>0.7270833333333333</v>
      </c>
      <c r="AG7" s="254">
        <f t="shared" ca="1" si="3"/>
        <v>0.75277777777777777</v>
      </c>
      <c r="AI7" s="200" t="s">
        <v>213</v>
      </c>
      <c r="AJ7" s="405" t="s">
        <v>214</v>
      </c>
      <c r="AK7" t="e">
        <f t="shared" ca="1" si="4"/>
        <v>#N/A</v>
      </c>
      <c r="AL7" t="str">
        <f t="shared" ca="1" si="5"/>
        <v/>
      </c>
      <c r="AM7" t="str">
        <f t="shared" si="6"/>
        <v>Viviane Yoko Aragão Katakura45802</v>
      </c>
      <c r="AN7" s="10">
        <f t="shared" si="7"/>
        <v>0.7270833333333333</v>
      </c>
      <c r="AO7">
        <f t="shared" si="8"/>
        <v>1</v>
      </c>
      <c r="AP7" t="str">
        <f t="shared" ca="1" si="9"/>
        <v/>
      </c>
      <c r="AQ7" t="str">
        <f t="shared" ca="1" si="10"/>
        <v/>
      </c>
    </row>
    <row r="8" spans="1:51" ht="20.100000000000001" customHeight="1">
      <c r="A8" s="252">
        <f t="shared" si="1"/>
        <v>45802</v>
      </c>
      <c r="C8" s="253"/>
      <c r="L8" s="253"/>
      <c r="Z8" s="254" t="str">
        <f t="shared" si="2"/>
        <v/>
      </c>
      <c r="AE8" s="254">
        <f t="shared" si="0"/>
        <v>3.472222222222222E-3</v>
      </c>
      <c r="AG8" s="2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0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</row>
    <row r="9" spans="1:51" ht="20.100000000000001" customHeight="1">
      <c r="A9" s="252">
        <f t="shared" si="1"/>
        <v>45802</v>
      </c>
      <c r="C9" s="253"/>
      <c r="L9" s="253"/>
      <c r="Z9" s="254" t="str">
        <f t="shared" si="2"/>
        <v/>
      </c>
      <c r="AE9" s="254">
        <f t="shared" si="0"/>
        <v>3.472222222222222E-3</v>
      </c>
      <c r="AG9" s="2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0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</row>
    <row r="10" spans="1:51" ht="20.100000000000001" customHeight="1">
      <c r="A10" s="252">
        <f t="shared" si="1"/>
        <v>45802</v>
      </c>
      <c r="C10" s="253"/>
      <c r="L10" s="253"/>
      <c r="Z10" s="254" t="str">
        <f t="shared" si="2"/>
        <v/>
      </c>
      <c r="AE10" s="254">
        <f t="shared" si="0"/>
        <v>3.472222222222222E-3</v>
      </c>
      <c r="AG10" s="2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0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</row>
    <row r="11" spans="1:51" ht="20.100000000000001" customHeight="1">
      <c r="A11" s="252">
        <f t="shared" si="1"/>
        <v>45802</v>
      </c>
      <c r="C11" s="253"/>
      <c r="L11" s="253"/>
      <c r="Z11" s="254" t="str">
        <f t="shared" si="2"/>
        <v/>
      </c>
      <c r="AE11" s="254">
        <f t="shared" si="0"/>
        <v>3.472222222222222E-3</v>
      </c>
      <c r="AG11" s="2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0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</row>
    <row r="12" spans="1:51" ht="20.100000000000001" customHeight="1">
      <c r="A12" s="252">
        <f t="shared" si="1"/>
        <v>45802</v>
      </c>
      <c r="C12" s="253"/>
      <c r="L12" s="253"/>
      <c r="Z12" s="254" t="str">
        <f t="shared" si="2"/>
        <v/>
      </c>
      <c r="AE12" s="254">
        <f t="shared" si="0"/>
        <v>3.472222222222222E-3</v>
      </c>
      <c r="AG12" s="2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0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</row>
    <row r="13" spans="1:51" ht="20.100000000000001" customHeight="1">
      <c r="A13" s="252">
        <f t="shared" si="1"/>
        <v>45802</v>
      </c>
      <c r="C13" s="253"/>
      <c r="L13" s="253"/>
      <c r="Z13" s="254" t="str">
        <f t="shared" si="2"/>
        <v/>
      </c>
      <c r="AE13" s="254">
        <f t="shared" si="0"/>
        <v>3.472222222222222E-3</v>
      </c>
      <c r="AG13" s="2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0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</row>
    <row r="14" spans="1:51" ht="20.100000000000001" customHeight="1">
      <c r="A14" s="252">
        <f t="shared" si="1"/>
        <v>45802</v>
      </c>
      <c r="C14" s="253"/>
      <c r="L14" s="253"/>
      <c r="Z14" s="254" t="str">
        <f t="shared" si="2"/>
        <v/>
      </c>
      <c r="AE14" s="254">
        <f t="shared" si="0"/>
        <v>3.472222222222222E-3</v>
      </c>
      <c r="AG14" s="2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0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</row>
    <row r="15" spans="1:51" ht="20.100000000000001" customHeight="1">
      <c r="A15" s="252">
        <f t="shared" si="1"/>
        <v>45802</v>
      </c>
      <c r="C15" s="253"/>
      <c r="L15" s="253"/>
      <c r="Z15" s="254" t="str">
        <f t="shared" si="2"/>
        <v/>
      </c>
      <c r="AE15" s="254">
        <f t="shared" si="0"/>
        <v>3.472222222222222E-3</v>
      </c>
      <c r="AG15" s="2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0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</row>
    <row r="16" spans="1:51" ht="20.100000000000001" customHeight="1">
      <c r="A16" s="252">
        <f t="shared" si="1"/>
        <v>45802</v>
      </c>
      <c r="C16" s="253"/>
      <c r="L16" s="253"/>
      <c r="Z16" s="254" t="str">
        <f t="shared" si="2"/>
        <v/>
      </c>
      <c r="AE16" s="254">
        <f t="shared" si="0"/>
        <v>3.472222222222222E-3</v>
      </c>
      <c r="AG16" s="2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0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</row>
    <row r="17" spans="1:43" ht="20.100000000000001" customHeight="1">
      <c r="A17" s="252">
        <f t="shared" si="1"/>
        <v>45802</v>
      </c>
      <c r="C17" s="253"/>
      <c r="Z17" s="254" t="str">
        <f t="shared" si="2"/>
        <v/>
      </c>
      <c r="AE17" s="254">
        <f t="shared" si="0"/>
        <v>3.472222222222222E-3</v>
      </c>
      <c r="AG17" s="2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0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</row>
    <row r="18" spans="1:43" ht="20.100000000000001" customHeight="1">
      <c r="A18" s="252">
        <f t="shared" si="1"/>
        <v>45802</v>
      </c>
      <c r="C18" s="253"/>
      <c r="Z18" s="254" t="str">
        <f t="shared" si="2"/>
        <v/>
      </c>
      <c r="AE18" s="254">
        <f t="shared" si="0"/>
        <v>3.472222222222222E-3</v>
      </c>
      <c r="AG18" s="2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0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</row>
    <row r="19" spans="1:43" ht="20.100000000000001" customHeight="1">
      <c r="A19" s="252">
        <f t="shared" si="1"/>
        <v>45802</v>
      </c>
      <c r="C19" s="253"/>
      <c r="Z19" s="254" t="str">
        <f t="shared" si="2"/>
        <v/>
      </c>
      <c r="AE19" s="254">
        <f t="shared" si="0"/>
        <v>3.472222222222222E-3</v>
      </c>
      <c r="AG19" s="2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0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</row>
    <row r="20" spans="1:43" ht="20.100000000000001" customHeight="1">
      <c r="A20" s="252">
        <f t="shared" si="1"/>
        <v>45802</v>
      </c>
      <c r="C20" s="253"/>
      <c r="Z20" s="254" t="str">
        <f t="shared" si="2"/>
        <v/>
      </c>
      <c r="AE20" s="254">
        <f t="shared" si="0"/>
        <v>3.472222222222222E-3</v>
      </c>
      <c r="AG20" s="2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0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</row>
    <row r="21" spans="1:43" ht="20.100000000000001" customHeight="1">
      <c r="A21" s="252">
        <f t="shared" si="1"/>
        <v>45802</v>
      </c>
      <c r="C21" s="253"/>
      <c r="Z21" s="254" t="str">
        <f t="shared" si="2"/>
        <v/>
      </c>
      <c r="AE21" s="254">
        <f t="shared" si="0"/>
        <v>3.472222222222222E-3</v>
      </c>
      <c r="AG21" s="2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0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</row>
    <row r="22" spans="1:43" ht="20.100000000000001" customHeight="1">
      <c r="A22" s="252">
        <f t="shared" si="1"/>
        <v>45802</v>
      </c>
      <c r="C22" s="253"/>
      <c r="Z22" s="254" t="str">
        <f t="shared" si="2"/>
        <v/>
      </c>
      <c r="AE22" s="254">
        <f t="shared" si="0"/>
        <v>3.472222222222222E-3</v>
      </c>
      <c r="AG22" s="2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0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</row>
    <row r="23" spans="1:43" ht="20.100000000000001" customHeight="1">
      <c r="A23" s="252">
        <f t="shared" si="1"/>
        <v>45802</v>
      </c>
      <c r="C23" s="253"/>
      <c r="Z23" s="254" t="str">
        <f t="shared" si="2"/>
        <v/>
      </c>
      <c r="AE23" s="254">
        <f t="shared" si="0"/>
        <v>3.472222222222222E-3</v>
      </c>
      <c r="AG23" s="2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0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</row>
    <row r="24" spans="1:43" ht="20.100000000000001" customHeight="1">
      <c r="A24" s="252">
        <f t="shared" si="1"/>
        <v>45802</v>
      </c>
      <c r="C24" s="253"/>
      <c r="Z24" s="254" t="str">
        <f t="shared" si="2"/>
        <v/>
      </c>
      <c r="AE24" s="254">
        <f t="shared" si="0"/>
        <v>3.472222222222222E-3</v>
      </c>
      <c r="AG24" s="2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0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</row>
    <row r="25" spans="1:43" ht="20.100000000000001" customHeight="1">
      <c r="A25" s="252">
        <f t="shared" si="1"/>
        <v>45802</v>
      </c>
      <c r="C25" s="253"/>
      <c r="Z25" s="254" t="str">
        <f t="shared" si="2"/>
        <v/>
      </c>
      <c r="AE25" s="254">
        <f t="shared" si="0"/>
        <v>3.472222222222222E-3</v>
      </c>
      <c r="AG25" s="2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0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</row>
    <row r="26" spans="1:43" ht="20.100000000000001" customHeight="1">
      <c r="A26" s="252">
        <f t="shared" si="1"/>
        <v>45802</v>
      </c>
      <c r="C26" s="253"/>
      <c r="Z26" s="254" t="str">
        <f t="shared" si="2"/>
        <v/>
      </c>
      <c r="AE26" s="254">
        <f t="shared" si="0"/>
        <v>3.472222222222222E-3</v>
      </c>
      <c r="AG26" s="2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0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</row>
    <row r="27" spans="1:43" ht="20.100000000000001" customHeight="1">
      <c r="A27" s="252">
        <f t="shared" si="1"/>
        <v>45802</v>
      </c>
      <c r="C27" s="253"/>
      <c r="Z27" s="254" t="str">
        <f t="shared" si="2"/>
        <v/>
      </c>
      <c r="AE27" s="254">
        <f t="shared" si="0"/>
        <v>3.472222222222222E-3</v>
      </c>
      <c r="AG27" s="2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0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</row>
    <row r="28" spans="1:43" ht="20.100000000000001" customHeight="1">
      <c r="A28" s="252">
        <f t="shared" si="1"/>
        <v>45802</v>
      </c>
      <c r="C28" s="253"/>
      <c r="Z28" s="254" t="str">
        <f t="shared" si="2"/>
        <v/>
      </c>
      <c r="AE28" s="254">
        <f t="shared" si="0"/>
        <v>3.472222222222222E-3</v>
      </c>
      <c r="AG28" s="2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0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</row>
    <row r="29" spans="1:43" ht="20.100000000000001" customHeight="1">
      <c r="A29" s="252">
        <f t="shared" si="1"/>
        <v>45802</v>
      </c>
      <c r="C29" s="253"/>
      <c r="Z29" s="254" t="str">
        <f t="shared" si="2"/>
        <v/>
      </c>
      <c r="AE29" s="254">
        <f t="shared" si="0"/>
        <v>3.472222222222222E-3</v>
      </c>
      <c r="AG29" s="2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0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</row>
    <row r="30" spans="1:43" ht="20.100000000000001" customHeight="1">
      <c r="A30" s="252">
        <f t="shared" si="1"/>
        <v>45802</v>
      </c>
      <c r="C30" s="253"/>
      <c r="Z30" s="254" t="str">
        <f t="shared" si="2"/>
        <v/>
      </c>
      <c r="AE30" s="254">
        <f t="shared" si="0"/>
        <v>3.472222222222222E-3</v>
      </c>
      <c r="AG30" s="2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0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</row>
    <row r="31" spans="1:43" ht="20.100000000000001" customHeight="1">
      <c r="A31" s="252">
        <f t="shared" si="1"/>
        <v>45802</v>
      </c>
      <c r="C31" s="253"/>
      <c r="Z31" s="254" t="str">
        <f t="shared" si="2"/>
        <v/>
      </c>
      <c r="AE31" s="254">
        <f t="shared" si="0"/>
        <v>3.472222222222222E-3</v>
      </c>
      <c r="AG31" s="2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0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</row>
    <row r="32" spans="1:43" ht="20.100000000000001" customHeight="1">
      <c r="A32" s="252">
        <f t="shared" si="1"/>
        <v>45802</v>
      </c>
      <c r="C32" s="253"/>
      <c r="Z32" s="254" t="str">
        <f t="shared" si="2"/>
        <v/>
      </c>
      <c r="AE32" s="254">
        <f t="shared" si="0"/>
        <v>3.472222222222222E-3</v>
      </c>
      <c r="AG32" s="2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0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</row>
    <row r="33" spans="1:43" ht="20.100000000000001" customHeight="1">
      <c r="A33" s="252">
        <f t="shared" si="1"/>
        <v>45802</v>
      </c>
      <c r="C33" s="253"/>
      <c r="Z33" s="254" t="str">
        <f t="shared" si="2"/>
        <v/>
      </c>
      <c r="AE33" s="254">
        <f t="shared" si="0"/>
        <v>3.472222222222222E-3</v>
      </c>
      <c r="AG33" s="2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0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</row>
    <row r="34" spans="1:43" ht="20.100000000000001" customHeight="1">
      <c r="A34" s="252">
        <f t="shared" si="1"/>
        <v>45802</v>
      </c>
      <c r="C34" s="253"/>
      <c r="Z34" s="254" t="str">
        <f t="shared" si="2"/>
        <v/>
      </c>
      <c r="AE34" s="254">
        <f t="shared" si="0"/>
        <v>3.472222222222222E-3</v>
      </c>
      <c r="AG34" s="2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0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</row>
    <row r="35" spans="1:43" ht="20.100000000000001" customHeight="1">
      <c r="A35" s="252">
        <f t="shared" si="1"/>
        <v>45802</v>
      </c>
      <c r="C35" s="253"/>
      <c r="Z35" s="254" t="str">
        <f t="shared" si="2"/>
        <v/>
      </c>
      <c r="AE35" s="254">
        <f t="shared" si="0"/>
        <v>3.472222222222222E-3</v>
      </c>
      <c r="AG35" s="2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0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</row>
    <row r="36" spans="1:43" ht="20.100000000000001" customHeight="1">
      <c r="A36" s="252">
        <f t="shared" si="1"/>
        <v>45802</v>
      </c>
      <c r="C36" s="253"/>
      <c r="Z36" s="254" t="str">
        <f t="shared" si="2"/>
        <v/>
      </c>
      <c r="AE36" s="254">
        <f t="shared" si="0"/>
        <v>3.472222222222222E-3</v>
      </c>
      <c r="AG36" s="2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0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</row>
    <row r="37" spans="1:43" ht="20.100000000000001" customHeight="1">
      <c r="A37" s="252">
        <f t="shared" si="1"/>
        <v>45802</v>
      </c>
      <c r="C37" s="253"/>
      <c r="Z37" s="254" t="str">
        <f t="shared" si="2"/>
        <v/>
      </c>
      <c r="AE37" s="254">
        <f t="shared" si="0"/>
        <v>3.472222222222222E-3</v>
      </c>
      <c r="AG37" s="2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0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</row>
    <row r="38" spans="1:43" ht="20.100000000000001" customHeight="1">
      <c r="A38" s="252">
        <f t="shared" si="1"/>
        <v>45802</v>
      </c>
      <c r="C38" s="253"/>
      <c r="Z38" s="254" t="str">
        <f t="shared" si="2"/>
        <v/>
      </c>
      <c r="AE38" s="254">
        <f t="shared" si="0"/>
        <v>3.472222222222222E-3</v>
      </c>
      <c r="AG38" s="2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0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</row>
    <row r="39" spans="1:43" ht="20.100000000000001" customHeight="1">
      <c r="A39" s="252">
        <f t="shared" si="1"/>
        <v>45802</v>
      </c>
      <c r="C39" s="253"/>
      <c r="Z39" s="254" t="str">
        <f t="shared" si="2"/>
        <v/>
      </c>
      <c r="AE39" s="254">
        <f t="shared" si="0"/>
        <v>3.472222222222222E-3</v>
      </c>
      <c r="AG39" s="2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0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</row>
    <row r="40" spans="1:43" ht="20.100000000000001" customHeight="1">
      <c r="A40" s="252">
        <f t="shared" si="1"/>
        <v>45802</v>
      </c>
      <c r="C40" s="253"/>
      <c r="Z40" s="254" t="str">
        <f t="shared" si="2"/>
        <v/>
      </c>
      <c r="AE40" s="254">
        <f t="shared" si="0"/>
        <v>3.472222222222222E-3</v>
      </c>
      <c r="AG40" s="2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0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</row>
    <row r="41" spans="1:43" ht="20.100000000000001" customHeight="1">
      <c r="A41" s="252">
        <f t="shared" si="1"/>
        <v>45802</v>
      </c>
      <c r="C41" s="253"/>
      <c r="Z41" s="254" t="str">
        <f t="shared" si="2"/>
        <v/>
      </c>
      <c r="AE41" s="254">
        <f t="shared" si="0"/>
        <v>3.472222222222222E-3</v>
      </c>
      <c r="AG41" s="2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0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</row>
    <row r="42" spans="1:43" ht="20.100000000000001" customHeight="1">
      <c r="A42" s="252">
        <f t="shared" si="1"/>
        <v>45802</v>
      </c>
      <c r="C42" s="253"/>
      <c r="Z42" s="254" t="str">
        <f t="shared" si="2"/>
        <v/>
      </c>
      <c r="AE42" s="254">
        <f t="shared" si="0"/>
        <v>3.472222222222222E-3</v>
      </c>
      <c r="AG42" s="2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0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</row>
    <row r="43" spans="1:43" ht="20.100000000000001" customHeight="1">
      <c r="A43" s="252">
        <f t="shared" si="1"/>
        <v>45802</v>
      </c>
      <c r="C43" s="253"/>
      <c r="Z43" s="254" t="str">
        <f t="shared" si="2"/>
        <v/>
      </c>
      <c r="AE43" s="254">
        <f t="shared" si="0"/>
        <v>3.472222222222222E-3</v>
      </c>
      <c r="AG43" s="2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0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</row>
    <row r="44" spans="1:43" ht="20.100000000000001" customHeight="1">
      <c r="A44" s="252">
        <f t="shared" si="1"/>
        <v>45802</v>
      </c>
      <c r="C44" s="253"/>
      <c r="Z44" s="254" t="str">
        <f t="shared" si="2"/>
        <v/>
      </c>
      <c r="AE44" s="254">
        <f t="shared" si="0"/>
        <v>3.472222222222222E-3</v>
      </c>
      <c r="AG44" s="2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0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</row>
    <row r="45" spans="1:43" ht="20.100000000000001" customHeight="1">
      <c r="A45" s="252">
        <f t="shared" si="1"/>
        <v>45802</v>
      </c>
      <c r="C45" s="253"/>
      <c r="Z45" s="254" t="str">
        <f t="shared" si="2"/>
        <v/>
      </c>
      <c r="AE45" s="254">
        <f t="shared" si="0"/>
        <v>3.472222222222222E-3</v>
      </c>
      <c r="AG45" s="2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0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</row>
    <row r="46" spans="1:43" ht="20.100000000000001" customHeight="1">
      <c r="A46" s="252">
        <f t="shared" si="1"/>
        <v>45802</v>
      </c>
      <c r="C46" s="253"/>
      <c r="Z46" s="254" t="str">
        <f t="shared" si="2"/>
        <v/>
      </c>
      <c r="AE46" s="254">
        <f t="shared" si="0"/>
        <v>3.472222222222222E-3</v>
      </c>
      <c r="AG46" s="2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0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</row>
    <row r="47" spans="1:43" ht="20.100000000000001" customHeight="1">
      <c r="A47" s="252">
        <f t="shared" si="1"/>
        <v>45802</v>
      </c>
      <c r="C47" s="253"/>
      <c r="Z47" s="254" t="str">
        <f t="shared" si="2"/>
        <v/>
      </c>
      <c r="AE47" s="254">
        <f t="shared" si="0"/>
        <v>3.472222222222222E-3</v>
      </c>
      <c r="AG47" s="2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0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</row>
    <row r="48" spans="1:43" ht="20.100000000000001" customHeight="1">
      <c r="A48" s="252">
        <f t="shared" si="1"/>
        <v>45802</v>
      </c>
      <c r="C48" s="253"/>
      <c r="Z48" s="254" t="str">
        <f t="shared" si="2"/>
        <v/>
      </c>
      <c r="AE48" s="254">
        <f t="shared" si="0"/>
        <v>3.472222222222222E-3</v>
      </c>
      <c r="AG48" s="2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0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</row>
    <row r="49" spans="1:43" ht="20.100000000000001" customHeight="1">
      <c r="A49" s="252">
        <f t="shared" si="1"/>
        <v>45802</v>
      </c>
      <c r="C49" s="253"/>
      <c r="Z49" s="254" t="str">
        <f t="shared" si="2"/>
        <v/>
      </c>
      <c r="AE49" s="254">
        <f t="shared" si="0"/>
        <v>3.472222222222222E-3</v>
      </c>
      <c r="AG49" s="2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0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</row>
    <row r="50" spans="1:43" ht="20.100000000000001" customHeight="1">
      <c r="A50" s="252">
        <f t="shared" si="1"/>
        <v>45802</v>
      </c>
      <c r="C50" s="253"/>
      <c r="Z50" s="254" t="str">
        <f t="shared" si="2"/>
        <v/>
      </c>
      <c r="AE50" s="254">
        <f t="shared" si="0"/>
        <v>3.472222222222222E-3</v>
      </c>
      <c r="AG50" s="2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0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</row>
    <row r="51" spans="1:43" ht="20.100000000000001" customHeight="1">
      <c r="A51" s="252">
        <f t="shared" si="1"/>
        <v>45802</v>
      </c>
      <c r="C51" s="253"/>
      <c r="Z51" s="254" t="str">
        <f t="shared" si="2"/>
        <v/>
      </c>
      <c r="AE51" s="254">
        <f t="shared" si="0"/>
        <v>3.472222222222222E-3</v>
      </c>
      <c r="AG51" s="2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0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</row>
    <row r="52" spans="1:43" ht="20.100000000000001" customHeight="1">
      <c r="A52" s="252">
        <f t="shared" si="1"/>
        <v>45802</v>
      </c>
      <c r="C52" s="253"/>
      <c r="Z52" s="254" t="str">
        <f t="shared" si="2"/>
        <v/>
      </c>
      <c r="AE52" s="254">
        <f t="shared" si="0"/>
        <v>3.472222222222222E-3</v>
      </c>
      <c r="AG52" s="2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0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</row>
    <row r="53" spans="1:43" ht="20.100000000000001" customHeight="1">
      <c r="A53" s="252">
        <f t="shared" si="1"/>
        <v>45802</v>
      </c>
      <c r="C53" s="253"/>
      <c r="Z53" s="254" t="str">
        <f t="shared" si="2"/>
        <v/>
      </c>
      <c r="AE53" s="254">
        <f t="shared" si="0"/>
        <v>3.472222222222222E-3</v>
      </c>
      <c r="AG53" s="2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0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</row>
    <row r="54" spans="1:43" ht="20.100000000000001" customHeight="1">
      <c r="A54" s="252">
        <f t="shared" si="1"/>
        <v>45802</v>
      </c>
      <c r="C54" s="253"/>
      <c r="Z54" s="254" t="str">
        <f t="shared" si="2"/>
        <v/>
      </c>
      <c r="AE54" s="254">
        <f t="shared" si="0"/>
        <v>3.472222222222222E-3</v>
      </c>
      <c r="AG54" s="2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0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</row>
    <row r="55" spans="1:43" ht="20.100000000000001" customHeight="1">
      <c r="A55" s="252">
        <f t="shared" si="1"/>
        <v>45802</v>
      </c>
      <c r="C55" s="253"/>
      <c r="Z55" s="254" t="str">
        <f t="shared" si="2"/>
        <v/>
      </c>
      <c r="AE55" s="254">
        <f t="shared" si="0"/>
        <v>3.472222222222222E-3</v>
      </c>
      <c r="AG55" s="2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0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</row>
    <row r="56" spans="1:43" ht="20.100000000000001" customHeight="1">
      <c r="A56" s="252">
        <f t="shared" si="1"/>
        <v>45802</v>
      </c>
      <c r="C56" s="253"/>
      <c r="Z56" s="254" t="str">
        <f t="shared" si="2"/>
        <v/>
      </c>
      <c r="AE56" s="254">
        <f t="shared" si="0"/>
        <v>3.472222222222222E-3</v>
      </c>
      <c r="AG56" s="2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0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</row>
    <row r="57" spans="1:43" ht="20.100000000000001" customHeight="1">
      <c r="A57" s="252">
        <f t="shared" si="1"/>
        <v>45802</v>
      </c>
      <c r="C57" s="253"/>
      <c r="Z57" s="254" t="str">
        <f t="shared" si="2"/>
        <v/>
      </c>
      <c r="AE57" s="254">
        <f t="shared" si="0"/>
        <v>3.472222222222222E-3</v>
      </c>
      <c r="AG57" s="2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0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</row>
    <row r="58" spans="1:43" ht="20.100000000000001" customHeight="1">
      <c r="A58" s="252">
        <f t="shared" si="1"/>
        <v>45802</v>
      </c>
      <c r="C58" s="253"/>
      <c r="Z58" s="254" t="str">
        <f t="shared" si="2"/>
        <v/>
      </c>
      <c r="AE58" s="254">
        <f t="shared" si="0"/>
        <v>3.472222222222222E-3</v>
      </c>
      <c r="AG58" s="2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0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</row>
    <row r="59" spans="1:43" ht="20.100000000000001" customHeight="1">
      <c r="A59" s="252">
        <f t="shared" si="1"/>
        <v>45802</v>
      </c>
      <c r="C59" s="253"/>
      <c r="Z59" s="254" t="str">
        <f t="shared" si="2"/>
        <v/>
      </c>
      <c r="AE59" s="254">
        <f t="shared" si="0"/>
        <v>3.472222222222222E-3</v>
      </c>
      <c r="AG59" s="2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0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</row>
    <row r="60" spans="1:43" ht="20.100000000000001" customHeight="1">
      <c r="A60" s="252">
        <f t="shared" si="1"/>
        <v>45802</v>
      </c>
      <c r="C60" s="253"/>
      <c r="Z60" s="254" t="str">
        <f t="shared" si="2"/>
        <v/>
      </c>
      <c r="AE60" s="254">
        <f t="shared" si="0"/>
        <v>3.472222222222222E-3</v>
      </c>
      <c r="AG60" s="2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0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</row>
    <row r="61" spans="1:43" ht="20.100000000000001" customHeight="1">
      <c r="A61" s="252">
        <f t="shared" si="1"/>
        <v>45802</v>
      </c>
      <c r="C61" s="253"/>
      <c r="Z61" s="254" t="str">
        <f t="shared" si="2"/>
        <v/>
      </c>
      <c r="AE61" s="254">
        <f t="shared" si="0"/>
        <v>3.472222222222222E-3</v>
      </c>
      <c r="AG61" s="2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0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</row>
    <row r="62" spans="1:43" ht="20.100000000000001" customHeight="1">
      <c r="A62" s="252">
        <f t="shared" si="1"/>
        <v>45802</v>
      </c>
      <c r="C62" s="253"/>
      <c r="Z62" s="254" t="str">
        <f t="shared" si="2"/>
        <v/>
      </c>
      <c r="AE62" s="254">
        <f t="shared" si="0"/>
        <v>3.472222222222222E-3</v>
      </c>
      <c r="AG62" s="2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0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</row>
    <row r="63" spans="1:43" ht="20.100000000000001" customHeight="1">
      <c r="A63" s="252">
        <f t="shared" si="1"/>
        <v>45802</v>
      </c>
      <c r="C63" s="253"/>
      <c r="Z63" s="254" t="str">
        <f t="shared" si="2"/>
        <v/>
      </c>
      <c r="AE63" s="254">
        <f t="shared" si="0"/>
        <v>3.472222222222222E-3</v>
      </c>
      <c r="AG63" s="2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0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</row>
    <row r="64" spans="1:43" ht="20.100000000000001" customHeight="1">
      <c r="A64" s="252">
        <f t="shared" si="1"/>
        <v>45802</v>
      </c>
      <c r="C64" s="253"/>
      <c r="Z64" s="254" t="str">
        <f t="shared" si="2"/>
        <v/>
      </c>
      <c r="AE64" s="254">
        <f t="shared" si="0"/>
        <v>3.472222222222222E-3</v>
      </c>
      <c r="AG64" s="2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0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</row>
    <row r="65" spans="1:43" ht="20.100000000000001" customHeight="1">
      <c r="A65" s="252">
        <f t="shared" si="1"/>
        <v>45802</v>
      </c>
      <c r="C65" s="253"/>
      <c r="Z65" s="254" t="str">
        <f t="shared" si="2"/>
        <v/>
      </c>
      <c r="AE65" s="254">
        <f t="shared" si="0"/>
        <v>3.472222222222222E-3</v>
      </c>
      <c r="AG65" s="2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0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</row>
    <row r="66" spans="1:43" ht="20.100000000000001" customHeight="1">
      <c r="A66" s="252">
        <f t="shared" si="1"/>
        <v>45802</v>
      </c>
      <c r="C66" s="253"/>
      <c r="Z66" s="254" t="str">
        <f t="shared" si="2"/>
        <v/>
      </c>
      <c r="AE66" s="254">
        <f t="shared" si="0"/>
        <v>3.472222222222222E-3</v>
      </c>
      <c r="AG66" s="2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0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</row>
    <row r="67" spans="1:43" ht="20.100000000000001" customHeight="1">
      <c r="A67" s="252">
        <f t="shared" si="1"/>
        <v>45802</v>
      </c>
      <c r="C67" s="253"/>
      <c r="Z67" s="254" t="str">
        <f t="shared" si="2"/>
        <v/>
      </c>
      <c r="AE67" s="254">
        <f t="shared" si="0"/>
        <v>3.472222222222222E-3</v>
      </c>
      <c r="AG67" s="2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0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</row>
    <row r="68" spans="1:43" ht="20.100000000000001" customHeight="1">
      <c r="A68" s="252">
        <f t="shared" si="1"/>
        <v>45802</v>
      </c>
      <c r="C68" s="253"/>
      <c r="Z68" s="254" t="str">
        <f t="shared" si="2"/>
        <v/>
      </c>
      <c r="AE68" s="254">
        <f t="shared" si="0"/>
        <v>3.472222222222222E-3</v>
      </c>
      <c r="AG68" s="2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0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</row>
    <row r="69" spans="1:43" ht="20.100000000000001" customHeight="1">
      <c r="A69" s="252">
        <f t="shared" si="1"/>
        <v>45802</v>
      </c>
      <c r="C69" s="253"/>
      <c r="Z69" s="254" t="str">
        <f t="shared" si="2"/>
        <v/>
      </c>
      <c r="AE69" s="254">
        <f t="shared" ref="AE69:AE132" si="11">TIME(0,$K69+5,0)</f>
        <v>3.472222222222222E-3</v>
      </c>
      <c r="AG69" s="2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0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</row>
    <row r="70" spans="1:43" ht="20.100000000000001" customHeight="1">
      <c r="A70" s="252">
        <f t="shared" ref="A70:A133" si="12">A69</f>
        <v>45802</v>
      </c>
      <c r="C70" s="253"/>
      <c r="Z70" s="254" t="str">
        <f t="shared" ref="Z70:Z133" si="13">IF(Y70="","",$Y70+TIME(0,5,0))</f>
        <v/>
      </c>
      <c r="AE70" s="254">
        <f t="shared" si="11"/>
        <v>3.472222222222222E-3</v>
      </c>
      <c r="AG70" s="254" t="str">
        <f t="shared" ref="AG70:AG133" si="14">IF(AF70="","",IF(D70="トラブル報告",AF70+TIME(0,45,0),SUM(AE70,AF70)))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0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</row>
    <row r="71" spans="1:43" ht="20.100000000000001" customHeight="1">
      <c r="A71" s="252">
        <f t="shared" si="12"/>
        <v>45802</v>
      </c>
      <c r="C71" s="253"/>
      <c r="Z71" s="254" t="str">
        <f t="shared" si="13"/>
        <v/>
      </c>
      <c r="AE71" s="254">
        <f t="shared" si="11"/>
        <v>3.472222222222222E-3</v>
      </c>
      <c r="AG71" s="2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0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</row>
    <row r="72" spans="1:43" ht="20.100000000000001" customHeight="1">
      <c r="A72" s="252">
        <f t="shared" si="12"/>
        <v>45802</v>
      </c>
      <c r="C72" s="253"/>
      <c r="Z72" s="254" t="str">
        <f t="shared" si="13"/>
        <v/>
      </c>
      <c r="AE72" s="254">
        <f t="shared" si="11"/>
        <v>3.472222222222222E-3</v>
      </c>
      <c r="AG72" s="2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0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</row>
    <row r="73" spans="1:43" ht="20.100000000000001" customHeight="1">
      <c r="A73" s="252">
        <f t="shared" si="12"/>
        <v>45802</v>
      </c>
      <c r="C73" s="253"/>
      <c r="Z73" s="254" t="str">
        <f t="shared" si="13"/>
        <v/>
      </c>
      <c r="AE73" s="254">
        <f t="shared" si="11"/>
        <v>3.472222222222222E-3</v>
      </c>
      <c r="AG73" s="2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0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</row>
    <row r="74" spans="1:43" ht="20.100000000000001" customHeight="1">
      <c r="A74" s="252">
        <f t="shared" si="12"/>
        <v>45802</v>
      </c>
      <c r="C74" s="253"/>
      <c r="Z74" s="254" t="str">
        <f t="shared" si="13"/>
        <v/>
      </c>
      <c r="AE74" s="254">
        <f t="shared" si="11"/>
        <v>3.472222222222222E-3</v>
      </c>
      <c r="AG74" s="2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0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</row>
    <row r="75" spans="1:43" ht="20.100000000000001" customHeight="1">
      <c r="A75" s="252">
        <f t="shared" si="12"/>
        <v>45802</v>
      </c>
      <c r="C75" s="253"/>
      <c r="Z75" s="254" t="str">
        <f t="shared" si="13"/>
        <v/>
      </c>
      <c r="AE75" s="254">
        <f t="shared" si="11"/>
        <v>3.472222222222222E-3</v>
      </c>
      <c r="AG75" s="2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0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</row>
    <row r="76" spans="1:43" ht="20.100000000000001" customHeight="1">
      <c r="A76" s="252">
        <f t="shared" si="12"/>
        <v>45802</v>
      </c>
      <c r="C76" s="253"/>
      <c r="Z76" s="254" t="str">
        <f t="shared" si="13"/>
        <v/>
      </c>
      <c r="AE76" s="254">
        <f t="shared" si="11"/>
        <v>3.472222222222222E-3</v>
      </c>
      <c r="AG76" s="2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0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</row>
    <row r="77" spans="1:43" ht="20.100000000000001" customHeight="1">
      <c r="A77" s="252">
        <f t="shared" si="12"/>
        <v>45802</v>
      </c>
      <c r="C77" s="253"/>
      <c r="Z77" s="254" t="str">
        <f t="shared" si="13"/>
        <v/>
      </c>
      <c r="AE77" s="254">
        <f t="shared" si="11"/>
        <v>3.472222222222222E-3</v>
      </c>
      <c r="AG77" s="2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0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</row>
    <row r="78" spans="1:43" ht="20.100000000000001" customHeight="1">
      <c r="A78" s="252">
        <f t="shared" si="12"/>
        <v>45802</v>
      </c>
      <c r="C78" s="253"/>
      <c r="Z78" s="254" t="str">
        <f t="shared" si="13"/>
        <v/>
      </c>
      <c r="AE78" s="254">
        <f t="shared" si="11"/>
        <v>3.472222222222222E-3</v>
      </c>
      <c r="AG78" s="2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0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</row>
    <row r="79" spans="1:43" ht="20.100000000000001" customHeight="1">
      <c r="A79" s="252">
        <f t="shared" si="12"/>
        <v>45802</v>
      </c>
      <c r="C79" s="253"/>
      <c r="Z79" s="254" t="str">
        <f t="shared" si="13"/>
        <v/>
      </c>
      <c r="AE79" s="254">
        <f t="shared" si="11"/>
        <v>3.472222222222222E-3</v>
      </c>
      <c r="AG79" s="2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0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</row>
    <row r="80" spans="1:43" ht="20.100000000000001" customHeight="1">
      <c r="A80" s="252">
        <f t="shared" si="12"/>
        <v>45802</v>
      </c>
      <c r="C80" s="253"/>
      <c r="Z80" s="254" t="str">
        <f t="shared" si="13"/>
        <v/>
      </c>
      <c r="AE80" s="254">
        <f t="shared" si="11"/>
        <v>3.472222222222222E-3</v>
      </c>
      <c r="AG80" s="2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0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</row>
    <row r="81" spans="1:43" ht="20.100000000000001" customHeight="1">
      <c r="A81" s="252">
        <f t="shared" si="12"/>
        <v>45802</v>
      </c>
      <c r="C81" s="253"/>
      <c r="Z81" s="254" t="str">
        <f t="shared" si="13"/>
        <v/>
      </c>
      <c r="AE81" s="254">
        <f t="shared" si="11"/>
        <v>3.472222222222222E-3</v>
      </c>
      <c r="AG81" s="2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0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</row>
    <row r="82" spans="1:43" ht="20.100000000000001" customHeight="1">
      <c r="A82" s="252">
        <f t="shared" si="12"/>
        <v>45802</v>
      </c>
      <c r="C82" s="253"/>
      <c r="Z82" s="254" t="str">
        <f t="shared" si="13"/>
        <v/>
      </c>
      <c r="AE82" s="254">
        <f t="shared" si="11"/>
        <v>3.472222222222222E-3</v>
      </c>
      <c r="AG82" s="2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0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</row>
    <row r="83" spans="1:43" ht="20.100000000000001" customHeight="1">
      <c r="A83" s="252">
        <f t="shared" si="12"/>
        <v>45802</v>
      </c>
      <c r="C83" s="253"/>
      <c r="Z83" s="254" t="str">
        <f t="shared" si="13"/>
        <v/>
      </c>
      <c r="AE83" s="254">
        <f t="shared" si="11"/>
        <v>3.472222222222222E-3</v>
      </c>
      <c r="AG83" s="2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0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</row>
    <row r="84" spans="1:43" ht="20.100000000000001" customHeight="1">
      <c r="A84" s="252">
        <f t="shared" si="12"/>
        <v>45802</v>
      </c>
      <c r="C84" s="253"/>
      <c r="Z84" s="254" t="str">
        <f t="shared" si="13"/>
        <v/>
      </c>
      <c r="AE84" s="254">
        <f t="shared" si="11"/>
        <v>3.472222222222222E-3</v>
      </c>
      <c r="AG84" s="2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0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</row>
    <row r="85" spans="1:43" ht="20.100000000000001" customHeight="1">
      <c r="A85" s="252">
        <f t="shared" si="12"/>
        <v>45802</v>
      </c>
      <c r="C85" s="253"/>
      <c r="Z85" s="254" t="str">
        <f t="shared" si="13"/>
        <v/>
      </c>
      <c r="AE85" s="254">
        <f t="shared" si="11"/>
        <v>3.472222222222222E-3</v>
      </c>
      <c r="AG85" s="2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0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</row>
    <row r="86" spans="1:43" ht="20.100000000000001" customHeight="1">
      <c r="A86" s="252">
        <f t="shared" si="12"/>
        <v>45802</v>
      </c>
      <c r="C86" s="253"/>
      <c r="Z86" s="254" t="str">
        <f t="shared" si="13"/>
        <v/>
      </c>
      <c r="AE86" s="254">
        <f t="shared" si="11"/>
        <v>3.472222222222222E-3</v>
      </c>
      <c r="AG86" s="2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0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</row>
    <row r="87" spans="1:43" ht="20.100000000000001" customHeight="1">
      <c r="A87" s="252">
        <f t="shared" si="12"/>
        <v>45802</v>
      </c>
      <c r="C87" s="253"/>
      <c r="Z87" s="254" t="str">
        <f t="shared" si="13"/>
        <v/>
      </c>
      <c r="AE87" s="254">
        <f t="shared" si="11"/>
        <v>3.472222222222222E-3</v>
      </c>
      <c r="AG87" s="2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0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</row>
    <row r="88" spans="1:43" ht="20.100000000000001" customHeight="1">
      <c r="A88" s="252">
        <f t="shared" si="12"/>
        <v>45802</v>
      </c>
      <c r="C88" s="253"/>
      <c r="Z88" s="254" t="str">
        <f t="shared" si="13"/>
        <v/>
      </c>
      <c r="AE88" s="254">
        <f t="shared" si="11"/>
        <v>3.472222222222222E-3</v>
      </c>
      <c r="AG88" s="2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0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</row>
    <row r="89" spans="1:43" ht="20.100000000000001" customHeight="1">
      <c r="A89" s="252">
        <f t="shared" si="12"/>
        <v>45802</v>
      </c>
      <c r="C89" s="253"/>
      <c r="Z89" s="254" t="str">
        <f t="shared" si="13"/>
        <v/>
      </c>
      <c r="AE89" s="254">
        <f t="shared" si="11"/>
        <v>3.472222222222222E-3</v>
      </c>
      <c r="AG89" s="2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0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</row>
    <row r="90" spans="1:43" ht="20.100000000000001" customHeight="1">
      <c r="A90" s="252">
        <f t="shared" si="12"/>
        <v>45802</v>
      </c>
      <c r="C90" s="253"/>
      <c r="Z90" s="254" t="str">
        <f t="shared" si="13"/>
        <v/>
      </c>
      <c r="AE90" s="254">
        <f t="shared" si="11"/>
        <v>3.472222222222222E-3</v>
      </c>
      <c r="AG90" s="2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0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</row>
    <row r="91" spans="1:43" ht="20.100000000000001" customHeight="1">
      <c r="A91" s="252">
        <f t="shared" si="12"/>
        <v>45802</v>
      </c>
      <c r="C91" s="253"/>
      <c r="Z91" s="254" t="str">
        <f t="shared" si="13"/>
        <v/>
      </c>
      <c r="AE91" s="254">
        <f t="shared" si="11"/>
        <v>3.472222222222222E-3</v>
      </c>
      <c r="AG91" s="2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0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</row>
    <row r="92" spans="1:43" ht="20.100000000000001" customHeight="1">
      <c r="A92" s="252">
        <f t="shared" si="12"/>
        <v>45802</v>
      </c>
      <c r="C92" s="253"/>
      <c r="Z92" s="254" t="str">
        <f t="shared" si="13"/>
        <v/>
      </c>
      <c r="AE92" s="254">
        <f t="shared" si="11"/>
        <v>3.472222222222222E-3</v>
      </c>
      <c r="AG92" s="2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0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</row>
    <row r="93" spans="1:43" ht="20.100000000000001" customHeight="1">
      <c r="A93" s="252">
        <f t="shared" si="12"/>
        <v>45802</v>
      </c>
      <c r="C93" s="253"/>
      <c r="Z93" s="254" t="str">
        <f t="shared" si="13"/>
        <v/>
      </c>
      <c r="AE93" s="254">
        <f t="shared" si="11"/>
        <v>3.472222222222222E-3</v>
      </c>
      <c r="AG93" s="2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0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</row>
    <row r="94" spans="1:43" ht="20.100000000000001" customHeight="1">
      <c r="A94" s="252">
        <f t="shared" si="12"/>
        <v>45802</v>
      </c>
      <c r="C94" s="253"/>
      <c r="Z94" s="254" t="str">
        <f t="shared" si="13"/>
        <v/>
      </c>
      <c r="AE94" s="254">
        <f t="shared" si="11"/>
        <v>3.472222222222222E-3</v>
      </c>
      <c r="AG94" s="2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0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</row>
    <row r="95" spans="1:43" ht="20.100000000000001" customHeight="1">
      <c r="A95" s="252">
        <f t="shared" si="12"/>
        <v>45802</v>
      </c>
      <c r="C95" s="253"/>
      <c r="Z95" s="254" t="str">
        <f t="shared" si="13"/>
        <v/>
      </c>
      <c r="AE95" s="254">
        <f t="shared" si="11"/>
        <v>3.472222222222222E-3</v>
      </c>
      <c r="AG95" s="2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0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</row>
    <row r="96" spans="1:43" ht="20.100000000000001" customHeight="1">
      <c r="A96" s="252">
        <f t="shared" si="12"/>
        <v>45802</v>
      </c>
      <c r="C96" s="253"/>
      <c r="Z96" s="254" t="str">
        <f t="shared" si="13"/>
        <v/>
      </c>
      <c r="AE96" s="254">
        <f t="shared" si="11"/>
        <v>3.472222222222222E-3</v>
      </c>
      <c r="AG96" s="2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0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</row>
    <row r="97" spans="1:43" ht="20.100000000000001" customHeight="1">
      <c r="A97" s="252">
        <f t="shared" si="12"/>
        <v>45802</v>
      </c>
      <c r="C97" s="253"/>
      <c r="Z97" s="254" t="str">
        <f t="shared" si="13"/>
        <v/>
      </c>
      <c r="AE97" s="254">
        <f t="shared" si="11"/>
        <v>3.472222222222222E-3</v>
      </c>
      <c r="AG97" s="2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0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</row>
    <row r="98" spans="1:43" ht="20.100000000000001" customHeight="1">
      <c r="A98" s="252">
        <f t="shared" si="12"/>
        <v>45802</v>
      </c>
      <c r="C98" s="253"/>
      <c r="Z98" s="254" t="str">
        <f t="shared" si="13"/>
        <v/>
      </c>
      <c r="AE98" s="254">
        <f t="shared" si="11"/>
        <v>3.472222222222222E-3</v>
      </c>
      <c r="AG98" s="2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0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</row>
    <row r="99" spans="1:43" ht="20.100000000000001" customHeight="1">
      <c r="A99" s="252">
        <f t="shared" si="12"/>
        <v>45802</v>
      </c>
      <c r="C99" s="253"/>
      <c r="Z99" s="254" t="str">
        <f t="shared" si="13"/>
        <v/>
      </c>
      <c r="AE99" s="254">
        <f t="shared" si="11"/>
        <v>3.472222222222222E-3</v>
      </c>
      <c r="AG99" s="2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0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</row>
    <row r="100" spans="1:43" ht="20.100000000000001" customHeight="1">
      <c r="A100" s="252">
        <f t="shared" si="12"/>
        <v>45802</v>
      </c>
      <c r="C100" s="253"/>
      <c r="Z100" s="254" t="str">
        <f t="shared" si="13"/>
        <v/>
      </c>
      <c r="AE100" s="254">
        <f t="shared" si="11"/>
        <v>3.472222222222222E-3</v>
      </c>
      <c r="AG100" s="2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0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</row>
    <row r="101" spans="1:43" ht="20.100000000000001" customHeight="1">
      <c r="A101" s="252">
        <f t="shared" si="12"/>
        <v>45802</v>
      </c>
      <c r="C101" s="253"/>
      <c r="Z101" s="254" t="str">
        <f t="shared" si="13"/>
        <v/>
      </c>
      <c r="AE101" s="254">
        <f t="shared" si="11"/>
        <v>3.472222222222222E-3</v>
      </c>
      <c r="AG101" s="2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0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</row>
    <row r="102" spans="1:43" ht="20.100000000000001" customHeight="1">
      <c r="A102" s="252">
        <f t="shared" si="12"/>
        <v>45802</v>
      </c>
      <c r="C102" s="253"/>
      <c r="Z102" s="254" t="str">
        <f t="shared" si="13"/>
        <v/>
      </c>
      <c r="AE102" s="254">
        <f t="shared" si="11"/>
        <v>3.472222222222222E-3</v>
      </c>
      <c r="AG102" s="2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0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</row>
    <row r="103" spans="1:43" ht="20.100000000000001" customHeight="1">
      <c r="A103" s="252">
        <f t="shared" si="12"/>
        <v>45802</v>
      </c>
      <c r="C103" s="253"/>
      <c r="Z103" s="254" t="str">
        <f t="shared" si="13"/>
        <v/>
      </c>
      <c r="AE103" s="254">
        <f t="shared" si="11"/>
        <v>3.472222222222222E-3</v>
      </c>
      <c r="AG103" s="2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0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</row>
    <row r="104" spans="1:43" ht="20.100000000000001" customHeight="1">
      <c r="A104" s="252">
        <f t="shared" si="12"/>
        <v>45802</v>
      </c>
      <c r="C104" s="253"/>
      <c r="Z104" s="254" t="str">
        <f t="shared" si="13"/>
        <v/>
      </c>
      <c r="AE104" s="254">
        <f t="shared" si="11"/>
        <v>3.472222222222222E-3</v>
      </c>
      <c r="AG104" s="2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0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</row>
    <row r="105" spans="1:43" ht="20.100000000000001" customHeight="1">
      <c r="A105" s="252">
        <f t="shared" si="12"/>
        <v>45802</v>
      </c>
      <c r="C105" s="253"/>
      <c r="Z105" s="254" t="str">
        <f t="shared" si="13"/>
        <v/>
      </c>
      <c r="AE105" s="254">
        <f t="shared" si="11"/>
        <v>3.472222222222222E-3</v>
      </c>
      <c r="AG105" s="2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0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</row>
    <row r="106" spans="1:43" ht="20.100000000000001" customHeight="1">
      <c r="A106" s="252">
        <f t="shared" si="12"/>
        <v>45802</v>
      </c>
      <c r="C106" s="253"/>
      <c r="Z106" s="254" t="str">
        <f t="shared" si="13"/>
        <v/>
      </c>
      <c r="AE106" s="254">
        <f t="shared" si="11"/>
        <v>3.472222222222222E-3</v>
      </c>
      <c r="AG106" s="2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0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</row>
    <row r="107" spans="1:43" ht="20.100000000000001" customHeight="1">
      <c r="A107" s="252">
        <f t="shared" si="12"/>
        <v>45802</v>
      </c>
      <c r="C107" s="253"/>
      <c r="Z107" s="254" t="str">
        <f t="shared" si="13"/>
        <v/>
      </c>
      <c r="AE107" s="254">
        <f t="shared" si="11"/>
        <v>3.472222222222222E-3</v>
      </c>
      <c r="AG107" s="2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0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</row>
    <row r="108" spans="1:43" ht="20.100000000000001" customHeight="1">
      <c r="A108" s="252">
        <f t="shared" si="12"/>
        <v>45802</v>
      </c>
      <c r="C108" s="253"/>
      <c r="Z108" s="254" t="str">
        <f t="shared" si="13"/>
        <v/>
      </c>
      <c r="AE108" s="254">
        <f t="shared" si="11"/>
        <v>3.472222222222222E-3</v>
      </c>
      <c r="AG108" s="2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0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</row>
    <row r="109" spans="1:43" ht="20.100000000000001" customHeight="1">
      <c r="A109" s="252">
        <f t="shared" si="12"/>
        <v>45802</v>
      </c>
      <c r="C109" s="253"/>
      <c r="Z109" s="254" t="str">
        <f t="shared" si="13"/>
        <v/>
      </c>
      <c r="AE109" s="254">
        <f t="shared" si="11"/>
        <v>3.472222222222222E-3</v>
      </c>
      <c r="AG109" s="2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0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</row>
    <row r="110" spans="1:43" ht="20.100000000000001" customHeight="1">
      <c r="A110" s="252">
        <f t="shared" si="12"/>
        <v>45802</v>
      </c>
      <c r="C110" s="253"/>
      <c r="Z110" s="254" t="str">
        <f t="shared" si="13"/>
        <v/>
      </c>
      <c r="AE110" s="254">
        <f t="shared" si="11"/>
        <v>3.472222222222222E-3</v>
      </c>
      <c r="AG110" s="2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0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</row>
    <row r="111" spans="1:43" ht="20.100000000000001" customHeight="1">
      <c r="A111" s="252">
        <f t="shared" si="12"/>
        <v>45802</v>
      </c>
      <c r="C111" s="253"/>
      <c r="Z111" s="254" t="str">
        <f t="shared" si="13"/>
        <v/>
      </c>
      <c r="AE111" s="254">
        <f t="shared" si="11"/>
        <v>3.472222222222222E-3</v>
      </c>
      <c r="AG111" s="2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0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</row>
    <row r="112" spans="1:43" ht="20.100000000000001" customHeight="1">
      <c r="A112" s="252">
        <f t="shared" si="12"/>
        <v>45802</v>
      </c>
      <c r="C112" s="253"/>
      <c r="Z112" s="254" t="str">
        <f t="shared" si="13"/>
        <v/>
      </c>
      <c r="AE112" s="254">
        <f t="shared" si="11"/>
        <v>3.472222222222222E-3</v>
      </c>
      <c r="AG112" s="2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0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</row>
    <row r="113" spans="1:43" ht="20.100000000000001" customHeight="1">
      <c r="A113" s="252">
        <f t="shared" si="12"/>
        <v>45802</v>
      </c>
      <c r="C113" s="253"/>
      <c r="Z113" s="254" t="str">
        <f t="shared" si="13"/>
        <v/>
      </c>
      <c r="AE113" s="254">
        <f t="shared" si="11"/>
        <v>3.472222222222222E-3</v>
      </c>
      <c r="AG113" s="2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0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</row>
    <row r="114" spans="1:43" ht="20.100000000000001" customHeight="1">
      <c r="A114" s="252">
        <f t="shared" si="12"/>
        <v>45802</v>
      </c>
      <c r="C114" s="253"/>
      <c r="Z114" s="254" t="str">
        <f t="shared" si="13"/>
        <v/>
      </c>
      <c r="AE114" s="254">
        <f t="shared" si="11"/>
        <v>3.472222222222222E-3</v>
      </c>
      <c r="AG114" s="2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0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</row>
    <row r="115" spans="1:43" ht="20.100000000000001" customHeight="1">
      <c r="A115" s="252">
        <f t="shared" si="12"/>
        <v>45802</v>
      </c>
      <c r="C115" s="253"/>
      <c r="Z115" s="254" t="str">
        <f t="shared" si="13"/>
        <v/>
      </c>
      <c r="AE115" s="254">
        <f t="shared" si="11"/>
        <v>3.472222222222222E-3</v>
      </c>
      <c r="AG115" s="2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0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</row>
    <row r="116" spans="1:43" ht="20.100000000000001" customHeight="1">
      <c r="A116" s="252">
        <f t="shared" si="12"/>
        <v>45802</v>
      </c>
      <c r="C116" s="253"/>
      <c r="Z116" s="254" t="str">
        <f t="shared" si="13"/>
        <v/>
      </c>
      <c r="AE116" s="254">
        <f t="shared" si="11"/>
        <v>3.472222222222222E-3</v>
      </c>
      <c r="AG116" s="2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0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</row>
    <row r="117" spans="1:43" ht="20.100000000000001" customHeight="1">
      <c r="A117" s="252">
        <f t="shared" si="12"/>
        <v>45802</v>
      </c>
      <c r="C117" s="253"/>
      <c r="Z117" s="254" t="str">
        <f t="shared" si="13"/>
        <v/>
      </c>
      <c r="AE117" s="254">
        <f t="shared" si="11"/>
        <v>3.472222222222222E-3</v>
      </c>
      <c r="AG117" s="2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0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</row>
    <row r="118" spans="1:43" ht="20.100000000000001" customHeight="1">
      <c r="A118" s="252">
        <f t="shared" si="12"/>
        <v>45802</v>
      </c>
      <c r="C118" s="253"/>
      <c r="Z118" s="254" t="str">
        <f t="shared" si="13"/>
        <v/>
      </c>
      <c r="AE118" s="254">
        <f t="shared" si="11"/>
        <v>3.472222222222222E-3</v>
      </c>
      <c r="AG118" s="2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0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</row>
    <row r="119" spans="1:43" ht="20.100000000000001" customHeight="1">
      <c r="A119" s="252">
        <f t="shared" si="12"/>
        <v>45802</v>
      </c>
      <c r="C119" s="253"/>
      <c r="Z119" s="254" t="str">
        <f t="shared" si="13"/>
        <v/>
      </c>
      <c r="AE119" s="254">
        <f t="shared" si="11"/>
        <v>3.472222222222222E-3</v>
      </c>
      <c r="AG119" s="2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0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</row>
    <row r="120" spans="1:43" ht="20.100000000000001" customHeight="1">
      <c r="A120" s="252">
        <f t="shared" si="12"/>
        <v>45802</v>
      </c>
      <c r="C120" s="253"/>
      <c r="Z120" s="254" t="str">
        <f t="shared" si="13"/>
        <v/>
      </c>
      <c r="AE120" s="254">
        <f t="shared" si="11"/>
        <v>3.472222222222222E-3</v>
      </c>
      <c r="AG120" s="2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0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</row>
    <row r="121" spans="1:43" ht="20.100000000000001" customHeight="1">
      <c r="A121" s="252">
        <f t="shared" si="12"/>
        <v>45802</v>
      </c>
      <c r="C121" s="253"/>
      <c r="Z121" s="254" t="str">
        <f t="shared" si="13"/>
        <v/>
      </c>
      <c r="AE121" s="254">
        <f t="shared" si="11"/>
        <v>3.472222222222222E-3</v>
      </c>
      <c r="AG121" s="2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0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</row>
    <row r="122" spans="1:43" ht="20.100000000000001" customHeight="1">
      <c r="A122" s="252">
        <f t="shared" si="12"/>
        <v>45802</v>
      </c>
      <c r="C122" s="253"/>
      <c r="Z122" s="254" t="str">
        <f t="shared" si="13"/>
        <v/>
      </c>
      <c r="AE122" s="254">
        <f t="shared" si="11"/>
        <v>3.472222222222222E-3</v>
      </c>
      <c r="AG122" s="2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0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</row>
    <row r="123" spans="1:43" ht="20.100000000000001" customHeight="1">
      <c r="A123" s="252">
        <f t="shared" si="12"/>
        <v>45802</v>
      </c>
      <c r="C123" s="253"/>
      <c r="Z123" s="254" t="str">
        <f t="shared" si="13"/>
        <v/>
      </c>
      <c r="AE123" s="254">
        <f t="shared" si="11"/>
        <v>3.472222222222222E-3</v>
      </c>
      <c r="AG123" s="2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0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</row>
    <row r="124" spans="1:43" ht="20.100000000000001" customHeight="1">
      <c r="A124" s="252">
        <f t="shared" si="12"/>
        <v>45802</v>
      </c>
      <c r="C124" s="253"/>
      <c r="Z124" s="254" t="str">
        <f t="shared" si="13"/>
        <v/>
      </c>
      <c r="AE124" s="254">
        <f t="shared" si="11"/>
        <v>3.472222222222222E-3</v>
      </c>
      <c r="AG124" s="2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0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</row>
    <row r="125" spans="1:43" ht="20.100000000000001" customHeight="1">
      <c r="A125" s="252">
        <f t="shared" si="12"/>
        <v>45802</v>
      </c>
      <c r="C125" s="253"/>
      <c r="Z125" s="254" t="str">
        <f t="shared" si="13"/>
        <v/>
      </c>
      <c r="AE125" s="254">
        <f t="shared" si="11"/>
        <v>3.472222222222222E-3</v>
      </c>
      <c r="AG125" s="2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0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</row>
    <row r="126" spans="1:43" ht="20.100000000000001" customHeight="1">
      <c r="A126" s="252">
        <f t="shared" si="12"/>
        <v>45802</v>
      </c>
      <c r="C126" s="253"/>
      <c r="Z126" s="254" t="str">
        <f t="shared" si="13"/>
        <v/>
      </c>
      <c r="AE126" s="254">
        <f t="shared" si="11"/>
        <v>3.472222222222222E-3</v>
      </c>
      <c r="AG126" s="2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0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</row>
    <row r="127" spans="1:43" ht="20.100000000000001" customHeight="1">
      <c r="A127" s="252">
        <f t="shared" si="12"/>
        <v>45802</v>
      </c>
      <c r="C127" s="253"/>
      <c r="Z127" s="254" t="str">
        <f t="shared" si="13"/>
        <v/>
      </c>
      <c r="AE127" s="254">
        <f t="shared" si="11"/>
        <v>3.472222222222222E-3</v>
      </c>
      <c r="AG127" s="2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0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</row>
    <row r="128" spans="1:43" ht="20.100000000000001" customHeight="1">
      <c r="A128" s="252">
        <f t="shared" si="12"/>
        <v>45802</v>
      </c>
      <c r="C128" s="253"/>
      <c r="Z128" s="254" t="str">
        <f t="shared" si="13"/>
        <v/>
      </c>
      <c r="AE128" s="254">
        <f t="shared" si="11"/>
        <v>3.472222222222222E-3</v>
      </c>
      <c r="AG128" s="2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0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</row>
    <row r="129" spans="1:43" ht="20.100000000000001" customHeight="1">
      <c r="A129" s="252">
        <f t="shared" si="12"/>
        <v>45802</v>
      </c>
      <c r="C129" s="253"/>
      <c r="Z129" s="254" t="str">
        <f t="shared" si="13"/>
        <v/>
      </c>
      <c r="AE129" s="254">
        <f t="shared" si="11"/>
        <v>3.472222222222222E-3</v>
      </c>
      <c r="AG129" s="2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0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</row>
    <row r="130" spans="1:43" ht="20.100000000000001" customHeight="1">
      <c r="A130" s="252">
        <f t="shared" si="12"/>
        <v>45802</v>
      </c>
      <c r="C130" s="253"/>
      <c r="Z130" s="254" t="str">
        <f t="shared" si="13"/>
        <v/>
      </c>
      <c r="AE130" s="254">
        <f t="shared" si="11"/>
        <v>3.472222222222222E-3</v>
      </c>
      <c r="AG130" s="2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0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</row>
    <row r="131" spans="1:43" ht="20.100000000000001" customHeight="1">
      <c r="A131" s="252">
        <f t="shared" si="12"/>
        <v>45802</v>
      </c>
      <c r="C131" s="253"/>
      <c r="Z131" s="254" t="str">
        <f t="shared" si="13"/>
        <v/>
      </c>
      <c r="AE131" s="254">
        <f t="shared" si="11"/>
        <v>3.472222222222222E-3</v>
      </c>
      <c r="AG131" s="2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0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</row>
    <row r="132" spans="1:43" ht="20.100000000000001" customHeight="1">
      <c r="A132" s="252">
        <f t="shared" si="12"/>
        <v>45802</v>
      </c>
      <c r="C132" s="253"/>
      <c r="Z132" s="254" t="str">
        <f t="shared" si="13"/>
        <v/>
      </c>
      <c r="AE132" s="254">
        <f t="shared" si="11"/>
        <v>3.472222222222222E-3</v>
      </c>
      <c r="AG132" s="2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0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</row>
    <row r="133" spans="1:43" ht="20.100000000000001" customHeight="1">
      <c r="A133" s="252">
        <f t="shared" si="12"/>
        <v>45802</v>
      </c>
      <c r="C133" s="253"/>
      <c r="Z133" s="254" t="str">
        <f t="shared" si="13"/>
        <v/>
      </c>
      <c r="AE133" s="254">
        <f t="shared" ref="AE133:AE196" si="22">TIME(0,$K133+5,0)</f>
        <v>3.472222222222222E-3</v>
      </c>
      <c r="AG133" s="2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0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</row>
    <row r="134" spans="1:43" ht="20.100000000000001" customHeight="1">
      <c r="A134" s="252">
        <f t="shared" ref="A134:A197" si="23">A133</f>
        <v>45802</v>
      </c>
      <c r="C134" s="253"/>
      <c r="Z134" s="254" t="str">
        <f t="shared" ref="Z134:Z197" si="24">IF(Y134="","",$Y134+TIME(0,5,0))</f>
        <v/>
      </c>
      <c r="AE134" s="254">
        <f t="shared" si="22"/>
        <v>3.472222222222222E-3</v>
      </c>
      <c r="AG134" s="254" t="str">
        <f t="shared" ref="AG134:AG197" si="25">IF(AF134="","",IF(D134="トラブル報告",AF134+TIME(0,45,0),SUM(AE134,AF134)))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0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</row>
    <row r="135" spans="1:43" ht="20.100000000000001" customHeight="1">
      <c r="A135" s="252">
        <f t="shared" si="23"/>
        <v>45802</v>
      </c>
      <c r="C135" s="253"/>
      <c r="Z135" s="254" t="str">
        <f t="shared" si="24"/>
        <v/>
      </c>
      <c r="AE135" s="254">
        <f t="shared" si="22"/>
        <v>3.472222222222222E-3</v>
      </c>
      <c r="AG135" s="2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0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</row>
    <row r="136" spans="1:43" ht="20.100000000000001" customHeight="1">
      <c r="A136" s="252">
        <f t="shared" si="23"/>
        <v>45802</v>
      </c>
      <c r="C136" s="253"/>
      <c r="Z136" s="254" t="str">
        <f t="shared" si="24"/>
        <v/>
      </c>
      <c r="AE136" s="254">
        <f t="shared" si="22"/>
        <v>3.472222222222222E-3</v>
      </c>
      <c r="AG136" s="2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0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</row>
    <row r="137" spans="1:43" ht="20.100000000000001" customHeight="1">
      <c r="A137" s="252">
        <f t="shared" si="23"/>
        <v>45802</v>
      </c>
      <c r="C137" s="253"/>
      <c r="Z137" s="254" t="str">
        <f t="shared" si="24"/>
        <v/>
      </c>
      <c r="AE137" s="254">
        <f t="shared" si="22"/>
        <v>3.472222222222222E-3</v>
      </c>
      <c r="AG137" s="2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0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</row>
    <row r="138" spans="1:43" ht="20.100000000000001" customHeight="1">
      <c r="A138" s="252">
        <f t="shared" si="23"/>
        <v>45802</v>
      </c>
      <c r="C138" s="253"/>
      <c r="Z138" s="254" t="str">
        <f t="shared" si="24"/>
        <v/>
      </c>
      <c r="AE138" s="254">
        <f t="shared" si="22"/>
        <v>3.472222222222222E-3</v>
      </c>
      <c r="AG138" s="2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0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</row>
    <row r="139" spans="1:43" ht="20.100000000000001" customHeight="1">
      <c r="A139" s="252">
        <f t="shared" si="23"/>
        <v>45802</v>
      </c>
      <c r="C139" s="253"/>
      <c r="Z139" s="254" t="str">
        <f t="shared" si="24"/>
        <v/>
      </c>
      <c r="AE139" s="254">
        <f t="shared" si="22"/>
        <v>3.472222222222222E-3</v>
      </c>
      <c r="AG139" s="2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0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</row>
    <row r="140" spans="1:43" ht="20.100000000000001" customHeight="1">
      <c r="A140" s="252">
        <f t="shared" si="23"/>
        <v>45802</v>
      </c>
      <c r="C140" s="253"/>
      <c r="Z140" s="254" t="str">
        <f t="shared" si="24"/>
        <v/>
      </c>
      <c r="AE140" s="254">
        <f t="shared" si="22"/>
        <v>3.472222222222222E-3</v>
      </c>
      <c r="AG140" s="2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0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</row>
    <row r="141" spans="1:43" ht="20.100000000000001" customHeight="1">
      <c r="A141" s="252">
        <f t="shared" si="23"/>
        <v>45802</v>
      </c>
      <c r="C141" s="253"/>
      <c r="Z141" s="254" t="str">
        <f t="shared" si="24"/>
        <v/>
      </c>
      <c r="AE141" s="254">
        <f t="shared" si="22"/>
        <v>3.472222222222222E-3</v>
      </c>
      <c r="AG141" s="2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0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</row>
    <row r="142" spans="1:43" ht="20.100000000000001" customHeight="1">
      <c r="A142" s="252">
        <f t="shared" si="23"/>
        <v>45802</v>
      </c>
      <c r="C142" s="253"/>
      <c r="Z142" s="254" t="str">
        <f t="shared" si="24"/>
        <v/>
      </c>
      <c r="AE142" s="254">
        <f t="shared" si="22"/>
        <v>3.472222222222222E-3</v>
      </c>
      <c r="AG142" s="2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0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</row>
    <row r="143" spans="1:43" ht="20.100000000000001" customHeight="1">
      <c r="A143" s="252">
        <f t="shared" si="23"/>
        <v>45802</v>
      </c>
      <c r="C143" s="253"/>
      <c r="Z143" s="254" t="str">
        <f t="shared" si="24"/>
        <v/>
      </c>
      <c r="AE143" s="254">
        <f t="shared" si="22"/>
        <v>3.472222222222222E-3</v>
      </c>
      <c r="AG143" s="2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0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</row>
    <row r="144" spans="1:43" ht="20.100000000000001" customHeight="1">
      <c r="A144" s="252">
        <f t="shared" si="23"/>
        <v>45802</v>
      </c>
      <c r="C144" s="253"/>
      <c r="Z144" s="254" t="str">
        <f t="shared" si="24"/>
        <v/>
      </c>
      <c r="AE144" s="254">
        <f t="shared" si="22"/>
        <v>3.472222222222222E-3</v>
      </c>
      <c r="AG144" s="2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0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</row>
    <row r="145" spans="1:43" ht="20.100000000000001" customHeight="1">
      <c r="A145" s="252">
        <f t="shared" si="23"/>
        <v>45802</v>
      </c>
      <c r="C145" s="253"/>
      <c r="Z145" s="254" t="str">
        <f t="shared" si="24"/>
        <v/>
      </c>
      <c r="AE145" s="254">
        <f t="shared" si="22"/>
        <v>3.472222222222222E-3</v>
      </c>
      <c r="AG145" s="2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0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</row>
    <row r="146" spans="1:43" ht="20.100000000000001" customHeight="1">
      <c r="A146" s="252">
        <f t="shared" si="23"/>
        <v>45802</v>
      </c>
      <c r="C146" s="253"/>
      <c r="Z146" s="254" t="str">
        <f t="shared" si="24"/>
        <v/>
      </c>
      <c r="AE146" s="254">
        <f t="shared" si="22"/>
        <v>3.472222222222222E-3</v>
      </c>
      <c r="AG146" s="2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0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</row>
    <row r="147" spans="1:43" ht="20.100000000000001" customHeight="1">
      <c r="A147" s="252">
        <f t="shared" si="23"/>
        <v>45802</v>
      </c>
      <c r="C147" s="253"/>
      <c r="Z147" s="254" t="str">
        <f t="shared" si="24"/>
        <v/>
      </c>
      <c r="AE147" s="254">
        <f t="shared" si="22"/>
        <v>3.472222222222222E-3</v>
      </c>
      <c r="AG147" s="2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0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</row>
    <row r="148" spans="1:43" ht="20.100000000000001" customHeight="1">
      <c r="A148" s="252">
        <f t="shared" si="23"/>
        <v>45802</v>
      </c>
      <c r="C148" s="253"/>
      <c r="Z148" s="254" t="str">
        <f t="shared" si="24"/>
        <v/>
      </c>
      <c r="AE148" s="254">
        <f t="shared" si="22"/>
        <v>3.472222222222222E-3</v>
      </c>
      <c r="AG148" s="2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0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</row>
    <row r="149" spans="1:43" ht="20.100000000000001" customHeight="1">
      <c r="A149" s="252">
        <f t="shared" si="23"/>
        <v>45802</v>
      </c>
      <c r="C149" s="253"/>
      <c r="Z149" s="254" t="str">
        <f t="shared" si="24"/>
        <v/>
      </c>
      <c r="AE149" s="254">
        <f t="shared" si="22"/>
        <v>3.472222222222222E-3</v>
      </c>
      <c r="AG149" s="2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0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</row>
    <row r="150" spans="1:43" ht="20.100000000000001" customHeight="1">
      <c r="A150" s="252">
        <f t="shared" si="23"/>
        <v>45802</v>
      </c>
      <c r="C150" s="253"/>
      <c r="Z150" s="254" t="str">
        <f t="shared" si="24"/>
        <v/>
      </c>
      <c r="AE150" s="254">
        <f t="shared" si="22"/>
        <v>3.472222222222222E-3</v>
      </c>
      <c r="AG150" s="2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0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</row>
    <row r="151" spans="1:43" ht="20.100000000000001" customHeight="1">
      <c r="A151" s="252">
        <f t="shared" si="23"/>
        <v>45802</v>
      </c>
      <c r="C151" s="253"/>
      <c r="Z151" s="254" t="str">
        <f t="shared" si="24"/>
        <v/>
      </c>
      <c r="AE151" s="254">
        <f t="shared" si="22"/>
        <v>3.472222222222222E-3</v>
      </c>
      <c r="AG151" s="2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0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</row>
    <row r="152" spans="1:43" ht="20.100000000000001" customHeight="1">
      <c r="A152" s="252">
        <f t="shared" si="23"/>
        <v>45802</v>
      </c>
      <c r="C152" s="253"/>
      <c r="Z152" s="254" t="str">
        <f t="shared" si="24"/>
        <v/>
      </c>
      <c r="AE152" s="254">
        <f t="shared" si="22"/>
        <v>3.472222222222222E-3</v>
      </c>
      <c r="AG152" s="2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0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</row>
    <row r="153" spans="1:43" ht="20.100000000000001" customHeight="1">
      <c r="A153" s="252">
        <f t="shared" si="23"/>
        <v>45802</v>
      </c>
      <c r="C153" s="253"/>
      <c r="Z153" s="254" t="str">
        <f t="shared" si="24"/>
        <v/>
      </c>
      <c r="AE153" s="254">
        <f t="shared" si="22"/>
        <v>3.472222222222222E-3</v>
      </c>
      <c r="AG153" s="2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0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</row>
    <row r="154" spans="1:43" ht="20.100000000000001" customHeight="1">
      <c r="A154" s="252">
        <f t="shared" si="23"/>
        <v>45802</v>
      </c>
      <c r="C154" s="253"/>
      <c r="Z154" s="254" t="str">
        <f t="shared" si="24"/>
        <v/>
      </c>
      <c r="AE154" s="254">
        <f t="shared" si="22"/>
        <v>3.472222222222222E-3</v>
      </c>
      <c r="AG154" s="2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0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</row>
    <row r="155" spans="1:43" ht="20.100000000000001" customHeight="1">
      <c r="A155" s="252">
        <f t="shared" si="23"/>
        <v>45802</v>
      </c>
      <c r="C155" s="253"/>
      <c r="Z155" s="254" t="str">
        <f t="shared" si="24"/>
        <v/>
      </c>
      <c r="AE155" s="254">
        <f t="shared" si="22"/>
        <v>3.472222222222222E-3</v>
      </c>
      <c r="AG155" s="2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0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</row>
    <row r="156" spans="1:43" ht="20.100000000000001" customHeight="1">
      <c r="A156" s="252">
        <f t="shared" si="23"/>
        <v>45802</v>
      </c>
      <c r="C156" s="253"/>
      <c r="Z156" s="254" t="str">
        <f t="shared" si="24"/>
        <v/>
      </c>
      <c r="AE156" s="254">
        <f t="shared" si="22"/>
        <v>3.472222222222222E-3</v>
      </c>
      <c r="AG156" s="2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0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</row>
    <row r="157" spans="1:43" ht="20.100000000000001" customHeight="1">
      <c r="A157" s="252">
        <f t="shared" si="23"/>
        <v>45802</v>
      </c>
      <c r="C157" s="253"/>
      <c r="Z157" s="254" t="str">
        <f t="shared" si="24"/>
        <v/>
      </c>
      <c r="AE157" s="254">
        <f t="shared" si="22"/>
        <v>3.472222222222222E-3</v>
      </c>
      <c r="AG157" s="2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0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</row>
    <row r="158" spans="1:43" ht="20.100000000000001" customHeight="1">
      <c r="A158" s="252">
        <f t="shared" si="23"/>
        <v>45802</v>
      </c>
      <c r="C158" s="253"/>
      <c r="Z158" s="254" t="str">
        <f t="shared" si="24"/>
        <v/>
      </c>
      <c r="AE158" s="254">
        <f t="shared" si="22"/>
        <v>3.472222222222222E-3</v>
      </c>
      <c r="AG158" s="2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0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</row>
    <row r="159" spans="1:43" ht="20.100000000000001" customHeight="1">
      <c r="A159" s="252">
        <f t="shared" si="23"/>
        <v>45802</v>
      </c>
      <c r="C159" s="253"/>
      <c r="Z159" s="254" t="str">
        <f t="shared" si="24"/>
        <v/>
      </c>
      <c r="AE159" s="254">
        <f t="shared" si="22"/>
        <v>3.472222222222222E-3</v>
      </c>
      <c r="AG159" s="2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0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</row>
    <row r="160" spans="1:43" ht="20.100000000000001" customHeight="1">
      <c r="A160" s="252">
        <f t="shared" si="23"/>
        <v>45802</v>
      </c>
      <c r="C160" s="253"/>
      <c r="Z160" s="254" t="str">
        <f t="shared" si="24"/>
        <v/>
      </c>
      <c r="AE160" s="254">
        <f t="shared" si="22"/>
        <v>3.472222222222222E-3</v>
      </c>
      <c r="AG160" s="2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0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</row>
    <row r="161" spans="1:43" ht="20.100000000000001" customHeight="1">
      <c r="A161" s="252">
        <f t="shared" si="23"/>
        <v>45802</v>
      </c>
      <c r="C161" s="253"/>
      <c r="Z161" s="254" t="str">
        <f t="shared" si="24"/>
        <v/>
      </c>
      <c r="AE161" s="254">
        <f t="shared" si="22"/>
        <v>3.472222222222222E-3</v>
      </c>
      <c r="AG161" s="2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0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</row>
    <row r="162" spans="1:43" ht="20.100000000000001" customHeight="1">
      <c r="A162" s="252">
        <f t="shared" si="23"/>
        <v>45802</v>
      </c>
      <c r="C162" s="253"/>
      <c r="Z162" s="254" t="str">
        <f t="shared" si="24"/>
        <v/>
      </c>
      <c r="AE162" s="254">
        <f t="shared" si="22"/>
        <v>3.472222222222222E-3</v>
      </c>
      <c r="AG162" s="2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0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</row>
    <row r="163" spans="1:43" ht="20.100000000000001" customHeight="1">
      <c r="A163" s="252">
        <f t="shared" si="23"/>
        <v>45802</v>
      </c>
      <c r="C163" s="253"/>
      <c r="Z163" s="254" t="str">
        <f t="shared" si="24"/>
        <v/>
      </c>
      <c r="AE163" s="254">
        <f t="shared" si="22"/>
        <v>3.472222222222222E-3</v>
      </c>
      <c r="AG163" s="2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0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</row>
    <row r="164" spans="1:43" ht="20.100000000000001" customHeight="1">
      <c r="A164" s="252">
        <f t="shared" si="23"/>
        <v>45802</v>
      </c>
      <c r="C164" s="253"/>
      <c r="Z164" s="254" t="str">
        <f t="shared" si="24"/>
        <v/>
      </c>
      <c r="AE164" s="254">
        <f t="shared" si="22"/>
        <v>3.472222222222222E-3</v>
      </c>
      <c r="AG164" s="2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0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</row>
    <row r="165" spans="1:43" ht="20.100000000000001" customHeight="1">
      <c r="A165" s="252">
        <f t="shared" si="23"/>
        <v>45802</v>
      </c>
      <c r="C165" s="253"/>
      <c r="Z165" s="254" t="str">
        <f t="shared" si="24"/>
        <v/>
      </c>
      <c r="AE165" s="254">
        <f t="shared" si="22"/>
        <v>3.472222222222222E-3</v>
      </c>
      <c r="AG165" s="2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0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</row>
    <row r="166" spans="1:43" ht="20.100000000000001" customHeight="1">
      <c r="A166" s="252">
        <f t="shared" si="23"/>
        <v>45802</v>
      </c>
      <c r="C166" s="253"/>
      <c r="Z166" s="254" t="str">
        <f t="shared" si="24"/>
        <v/>
      </c>
      <c r="AE166" s="254">
        <f t="shared" si="22"/>
        <v>3.472222222222222E-3</v>
      </c>
      <c r="AG166" s="2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0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</row>
    <row r="167" spans="1:43" ht="20.100000000000001" customHeight="1">
      <c r="A167" s="252">
        <f t="shared" si="23"/>
        <v>45802</v>
      </c>
      <c r="C167" s="253"/>
      <c r="Z167" s="254" t="str">
        <f t="shared" si="24"/>
        <v/>
      </c>
      <c r="AE167" s="254">
        <f t="shared" si="22"/>
        <v>3.472222222222222E-3</v>
      </c>
      <c r="AG167" s="2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0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</row>
    <row r="168" spans="1:43" ht="20.100000000000001" customHeight="1">
      <c r="A168" s="252">
        <f t="shared" si="23"/>
        <v>45802</v>
      </c>
      <c r="C168" s="253"/>
      <c r="Z168" s="254" t="str">
        <f t="shared" si="24"/>
        <v/>
      </c>
      <c r="AE168" s="254">
        <f t="shared" si="22"/>
        <v>3.472222222222222E-3</v>
      </c>
      <c r="AG168" s="2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0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</row>
    <row r="169" spans="1:43" ht="20.100000000000001" customHeight="1">
      <c r="A169" s="252">
        <f t="shared" si="23"/>
        <v>45802</v>
      </c>
      <c r="C169" s="253"/>
      <c r="Z169" s="254" t="str">
        <f t="shared" si="24"/>
        <v/>
      </c>
      <c r="AE169" s="254">
        <f t="shared" si="22"/>
        <v>3.472222222222222E-3</v>
      </c>
      <c r="AG169" s="2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0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</row>
    <row r="170" spans="1:43" ht="20.100000000000001" customHeight="1">
      <c r="A170" s="252">
        <f t="shared" si="23"/>
        <v>45802</v>
      </c>
      <c r="C170" s="253"/>
      <c r="Z170" s="254" t="str">
        <f t="shared" si="24"/>
        <v/>
      </c>
      <c r="AE170" s="254">
        <f t="shared" si="22"/>
        <v>3.472222222222222E-3</v>
      </c>
      <c r="AG170" s="2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0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</row>
    <row r="171" spans="1:43" ht="20.100000000000001" customHeight="1">
      <c r="A171" s="252">
        <f t="shared" si="23"/>
        <v>45802</v>
      </c>
      <c r="C171" s="253"/>
      <c r="Z171" s="254" t="str">
        <f t="shared" si="24"/>
        <v/>
      </c>
      <c r="AE171" s="254">
        <f t="shared" si="22"/>
        <v>3.472222222222222E-3</v>
      </c>
      <c r="AG171" s="2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0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</row>
    <row r="172" spans="1:43" ht="20.100000000000001" customHeight="1">
      <c r="A172" s="252">
        <f t="shared" si="23"/>
        <v>45802</v>
      </c>
      <c r="C172" s="253"/>
      <c r="Z172" s="254" t="str">
        <f t="shared" si="24"/>
        <v/>
      </c>
      <c r="AE172" s="254">
        <f t="shared" si="22"/>
        <v>3.472222222222222E-3</v>
      </c>
      <c r="AG172" s="2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0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</row>
    <row r="173" spans="1:43" ht="20.100000000000001" customHeight="1">
      <c r="A173" s="252">
        <f t="shared" si="23"/>
        <v>45802</v>
      </c>
      <c r="C173" s="253"/>
      <c r="Z173" s="254" t="str">
        <f t="shared" si="24"/>
        <v/>
      </c>
      <c r="AE173" s="254">
        <f t="shared" si="22"/>
        <v>3.472222222222222E-3</v>
      </c>
      <c r="AG173" s="2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0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</row>
    <row r="174" spans="1:43" ht="20.100000000000001" customHeight="1">
      <c r="A174" s="252">
        <f t="shared" si="23"/>
        <v>45802</v>
      </c>
      <c r="C174" s="253"/>
      <c r="Z174" s="254" t="str">
        <f t="shared" si="24"/>
        <v/>
      </c>
      <c r="AE174" s="254">
        <f t="shared" si="22"/>
        <v>3.472222222222222E-3</v>
      </c>
      <c r="AG174" s="2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0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</row>
    <row r="175" spans="1:43" ht="20.100000000000001" customHeight="1">
      <c r="A175" s="252">
        <f t="shared" si="23"/>
        <v>45802</v>
      </c>
      <c r="C175" s="253"/>
      <c r="Z175" s="254" t="str">
        <f t="shared" si="24"/>
        <v/>
      </c>
      <c r="AE175" s="254">
        <f t="shared" si="22"/>
        <v>3.472222222222222E-3</v>
      </c>
      <c r="AG175" s="2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0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</row>
    <row r="176" spans="1:43" ht="20.100000000000001" customHeight="1">
      <c r="A176" s="252">
        <f t="shared" si="23"/>
        <v>45802</v>
      </c>
      <c r="C176" s="253"/>
      <c r="Z176" s="254" t="str">
        <f t="shared" si="24"/>
        <v/>
      </c>
      <c r="AE176" s="254">
        <f t="shared" si="22"/>
        <v>3.472222222222222E-3</v>
      </c>
      <c r="AG176" s="2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0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</row>
    <row r="177" spans="1:43" ht="20.100000000000001" customHeight="1">
      <c r="A177" s="252">
        <f t="shared" si="23"/>
        <v>45802</v>
      </c>
      <c r="C177" s="253"/>
      <c r="Z177" s="254" t="str">
        <f t="shared" si="24"/>
        <v/>
      </c>
      <c r="AE177" s="254">
        <f t="shared" si="22"/>
        <v>3.472222222222222E-3</v>
      </c>
      <c r="AG177" s="2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0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</row>
    <row r="178" spans="1:43" ht="20.100000000000001" customHeight="1">
      <c r="A178" s="252">
        <f t="shared" si="23"/>
        <v>45802</v>
      </c>
      <c r="C178" s="253"/>
      <c r="Z178" s="254" t="str">
        <f t="shared" si="24"/>
        <v/>
      </c>
      <c r="AE178" s="254">
        <f t="shared" si="22"/>
        <v>3.472222222222222E-3</v>
      </c>
      <c r="AG178" s="2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0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</row>
    <row r="179" spans="1:43" ht="20.100000000000001" customHeight="1">
      <c r="A179" s="252">
        <f t="shared" si="23"/>
        <v>45802</v>
      </c>
      <c r="C179" s="253"/>
      <c r="Z179" s="254" t="str">
        <f t="shared" si="24"/>
        <v/>
      </c>
      <c r="AE179" s="254">
        <f t="shared" si="22"/>
        <v>3.472222222222222E-3</v>
      </c>
      <c r="AG179" s="2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0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</row>
    <row r="180" spans="1:43" ht="20.100000000000001" customHeight="1">
      <c r="A180" s="252">
        <f t="shared" si="23"/>
        <v>45802</v>
      </c>
      <c r="C180" s="253"/>
      <c r="Z180" s="254" t="str">
        <f t="shared" si="24"/>
        <v/>
      </c>
      <c r="AE180" s="254">
        <f t="shared" si="22"/>
        <v>3.472222222222222E-3</v>
      </c>
      <c r="AG180" s="2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0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</row>
    <row r="181" spans="1:43" ht="20.100000000000001" customHeight="1">
      <c r="A181" s="252">
        <f t="shared" si="23"/>
        <v>45802</v>
      </c>
      <c r="C181" s="253"/>
      <c r="Z181" s="254" t="str">
        <f t="shared" si="24"/>
        <v/>
      </c>
      <c r="AE181" s="254">
        <f t="shared" si="22"/>
        <v>3.472222222222222E-3</v>
      </c>
      <c r="AG181" s="2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0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</row>
    <row r="182" spans="1:43" ht="20.100000000000001" customHeight="1">
      <c r="A182" s="252">
        <f t="shared" si="23"/>
        <v>45802</v>
      </c>
      <c r="C182" s="253"/>
      <c r="Z182" s="254" t="str">
        <f t="shared" si="24"/>
        <v/>
      </c>
      <c r="AE182" s="254">
        <f t="shared" si="22"/>
        <v>3.472222222222222E-3</v>
      </c>
      <c r="AG182" s="2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0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</row>
    <row r="183" spans="1:43" ht="20.100000000000001" customHeight="1">
      <c r="A183" s="252">
        <f t="shared" si="23"/>
        <v>45802</v>
      </c>
      <c r="C183" s="253"/>
      <c r="Z183" s="254" t="str">
        <f t="shared" si="24"/>
        <v/>
      </c>
      <c r="AE183" s="254">
        <f t="shared" si="22"/>
        <v>3.472222222222222E-3</v>
      </c>
      <c r="AG183" s="2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0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</row>
    <row r="184" spans="1:43" ht="20.100000000000001" customHeight="1">
      <c r="A184" s="252">
        <f t="shared" si="23"/>
        <v>45802</v>
      </c>
      <c r="C184" s="253"/>
      <c r="Z184" s="254" t="str">
        <f t="shared" si="24"/>
        <v/>
      </c>
      <c r="AE184" s="254">
        <f t="shared" si="22"/>
        <v>3.472222222222222E-3</v>
      </c>
      <c r="AG184" s="2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0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</row>
    <row r="185" spans="1:43" ht="20.100000000000001" customHeight="1">
      <c r="A185" s="252">
        <f t="shared" si="23"/>
        <v>45802</v>
      </c>
      <c r="C185" s="253"/>
      <c r="Z185" s="254" t="str">
        <f t="shared" si="24"/>
        <v/>
      </c>
      <c r="AE185" s="254">
        <f t="shared" si="22"/>
        <v>3.472222222222222E-3</v>
      </c>
      <c r="AG185" s="2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0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</row>
    <row r="186" spans="1:43" ht="20.100000000000001" customHeight="1">
      <c r="A186" s="252">
        <f t="shared" si="23"/>
        <v>45802</v>
      </c>
      <c r="C186" s="253"/>
      <c r="Z186" s="254" t="str">
        <f t="shared" si="24"/>
        <v/>
      </c>
      <c r="AE186" s="254">
        <f t="shared" si="22"/>
        <v>3.472222222222222E-3</v>
      </c>
      <c r="AG186" s="2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0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</row>
    <row r="187" spans="1:43" ht="20.100000000000001" customHeight="1">
      <c r="A187" s="252">
        <f t="shared" si="23"/>
        <v>45802</v>
      </c>
      <c r="C187" s="253"/>
      <c r="Z187" s="254" t="str">
        <f t="shared" si="24"/>
        <v/>
      </c>
      <c r="AE187" s="254">
        <f t="shared" si="22"/>
        <v>3.472222222222222E-3</v>
      </c>
      <c r="AG187" s="2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0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</row>
    <row r="188" spans="1:43" ht="20.100000000000001" customHeight="1">
      <c r="A188" s="252">
        <f t="shared" si="23"/>
        <v>45802</v>
      </c>
      <c r="C188" s="253"/>
      <c r="Z188" s="254" t="str">
        <f t="shared" si="24"/>
        <v/>
      </c>
      <c r="AE188" s="254">
        <f t="shared" si="22"/>
        <v>3.472222222222222E-3</v>
      </c>
      <c r="AG188" s="2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0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</row>
    <row r="189" spans="1:43" ht="20.100000000000001" customHeight="1">
      <c r="A189" s="252">
        <f t="shared" si="23"/>
        <v>45802</v>
      </c>
      <c r="C189" s="253"/>
      <c r="Z189" s="254" t="str">
        <f t="shared" si="24"/>
        <v/>
      </c>
      <c r="AE189" s="254">
        <f t="shared" si="22"/>
        <v>3.472222222222222E-3</v>
      </c>
      <c r="AG189" s="2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0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</row>
    <row r="190" spans="1:43" ht="20.100000000000001" customHeight="1">
      <c r="A190" s="252">
        <f t="shared" si="23"/>
        <v>45802</v>
      </c>
      <c r="C190" s="253"/>
      <c r="Z190" s="254" t="str">
        <f t="shared" si="24"/>
        <v/>
      </c>
      <c r="AE190" s="254">
        <f t="shared" si="22"/>
        <v>3.472222222222222E-3</v>
      </c>
      <c r="AG190" s="2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0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</row>
    <row r="191" spans="1:43" ht="20.100000000000001" customHeight="1">
      <c r="A191" s="252">
        <f t="shared" si="23"/>
        <v>45802</v>
      </c>
      <c r="C191" s="253"/>
      <c r="Z191" s="254" t="str">
        <f t="shared" si="24"/>
        <v/>
      </c>
      <c r="AE191" s="254">
        <f t="shared" si="22"/>
        <v>3.472222222222222E-3</v>
      </c>
      <c r="AG191" s="2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0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</row>
    <row r="192" spans="1:43" ht="20.100000000000001" customHeight="1">
      <c r="A192" s="252">
        <f t="shared" si="23"/>
        <v>45802</v>
      </c>
      <c r="C192" s="253"/>
      <c r="Z192" s="254" t="str">
        <f t="shared" si="24"/>
        <v/>
      </c>
      <c r="AE192" s="254">
        <f t="shared" si="22"/>
        <v>3.472222222222222E-3</v>
      </c>
      <c r="AG192" s="2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0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</row>
    <row r="193" spans="1:43" ht="20.100000000000001" customHeight="1">
      <c r="A193" s="252">
        <f t="shared" si="23"/>
        <v>45802</v>
      </c>
      <c r="C193" s="253"/>
      <c r="Z193" s="254" t="str">
        <f t="shared" si="24"/>
        <v/>
      </c>
      <c r="AE193" s="254">
        <f t="shared" si="22"/>
        <v>3.472222222222222E-3</v>
      </c>
      <c r="AG193" s="2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0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</row>
    <row r="194" spans="1:43" ht="20.100000000000001" customHeight="1">
      <c r="A194" s="252">
        <f t="shared" si="23"/>
        <v>45802</v>
      </c>
      <c r="C194" s="253"/>
      <c r="Z194" s="254" t="str">
        <f t="shared" si="24"/>
        <v/>
      </c>
      <c r="AE194" s="254">
        <f t="shared" si="22"/>
        <v>3.472222222222222E-3</v>
      </c>
      <c r="AG194" s="2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0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</row>
    <row r="195" spans="1:43" ht="20.100000000000001" customHeight="1">
      <c r="A195" s="252">
        <f t="shared" si="23"/>
        <v>45802</v>
      </c>
      <c r="C195" s="253"/>
      <c r="Z195" s="254" t="str">
        <f t="shared" si="24"/>
        <v/>
      </c>
      <c r="AE195" s="254">
        <f t="shared" si="22"/>
        <v>3.472222222222222E-3</v>
      </c>
      <c r="AG195" s="2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0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</row>
    <row r="196" spans="1:43" ht="20.100000000000001" customHeight="1">
      <c r="A196" s="252">
        <f t="shared" si="23"/>
        <v>45802</v>
      </c>
      <c r="C196" s="253"/>
      <c r="Z196" s="254" t="str">
        <f t="shared" si="24"/>
        <v/>
      </c>
      <c r="AE196" s="254">
        <f t="shared" si="22"/>
        <v>3.472222222222222E-3</v>
      </c>
      <c r="AG196" s="2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0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</row>
    <row r="197" spans="1:43" ht="20.100000000000001" customHeight="1">
      <c r="A197" s="252">
        <f t="shared" si="23"/>
        <v>45802</v>
      </c>
      <c r="C197" s="253"/>
      <c r="Z197" s="254" t="str">
        <f t="shared" si="24"/>
        <v/>
      </c>
      <c r="AE197" s="254">
        <f t="shared" ref="AE197:AE260" si="33">TIME(0,$K197+5,0)</f>
        <v>3.472222222222222E-3</v>
      </c>
      <c r="AG197" s="2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0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</row>
    <row r="198" spans="1:43" ht="20.100000000000001" customHeight="1">
      <c r="A198" s="252">
        <f t="shared" ref="A198:A261" si="34">A197</f>
        <v>45802</v>
      </c>
      <c r="C198" s="253"/>
      <c r="Z198" s="254" t="str">
        <f t="shared" ref="Z198:Z261" si="35">IF(Y198="","",$Y198+TIME(0,5,0))</f>
        <v/>
      </c>
      <c r="AE198" s="254">
        <f t="shared" si="33"/>
        <v>3.472222222222222E-3</v>
      </c>
      <c r="AG198" s="254" t="str">
        <f t="shared" ref="AG198:AG261" si="36">IF(AF198="","",IF(D198="トラブル報告",AF198+TIME(0,45,0),SUM(AE198,AF198)))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0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</row>
    <row r="199" spans="1:43" ht="20.100000000000001" customHeight="1">
      <c r="A199" s="252">
        <f t="shared" si="34"/>
        <v>45802</v>
      </c>
      <c r="C199" s="253"/>
      <c r="Z199" s="254" t="str">
        <f t="shared" si="35"/>
        <v/>
      </c>
      <c r="AE199" s="254">
        <f t="shared" si="33"/>
        <v>3.472222222222222E-3</v>
      </c>
      <c r="AG199" s="2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0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</row>
    <row r="200" spans="1:43" ht="20.100000000000001" customHeight="1">
      <c r="A200" s="252">
        <f t="shared" si="34"/>
        <v>45802</v>
      </c>
      <c r="C200" s="253"/>
      <c r="Z200" s="254" t="str">
        <f t="shared" si="35"/>
        <v/>
      </c>
      <c r="AE200" s="254">
        <f t="shared" si="33"/>
        <v>3.472222222222222E-3</v>
      </c>
      <c r="AG200" s="2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0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</row>
    <row r="201" spans="1:43" ht="20.100000000000001" customHeight="1">
      <c r="A201" s="252">
        <f t="shared" si="34"/>
        <v>45802</v>
      </c>
      <c r="C201" s="253"/>
      <c r="Z201" s="254" t="str">
        <f t="shared" si="35"/>
        <v/>
      </c>
      <c r="AE201" s="254">
        <f t="shared" si="33"/>
        <v>3.472222222222222E-3</v>
      </c>
      <c r="AG201" s="2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0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</row>
    <row r="202" spans="1:43" ht="20.100000000000001" customHeight="1">
      <c r="A202" s="252">
        <f t="shared" si="34"/>
        <v>45802</v>
      </c>
      <c r="C202" s="253"/>
      <c r="Z202" s="254" t="str">
        <f t="shared" si="35"/>
        <v/>
      </c>
      <c r="AE202" s="254">
        <f t="shared" si="33"/>
        <v>3.472222222222222E-3</v>
      </c>
      <c r="AG202" s="2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0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</row>
    <row r="203" spans="1:43" ht="20.100000000000001" customHeight="1">
      <c r="A203" s="252">
        <f t="shared" si="34"/>
        <v>45802</v>
      </c>
      <c r="C203" s="253"/>
      <c r="Z203" s="254" t="str">
        <f t="shared" si="35"/>
        <v/>
      </c>
      <c r="AE203" s="254">
        <f t="shared" si="33"/>
        <v>3.472222222222222E-3</v>
      </c>
      <c r="AG203" s="2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0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</row>
    <row r="204" spans="1:43" ht="20.100000000000001" customHeight="1">
      <c r="A204" s="252">
        <f t="shared" si="34"/>
        <v>45802</v>
      </c>
      <c r="C204" s="253"/>
      <c r="Z204" s="254" t="str">
        <f t="shared" si="35"/>
        <v/>
      </c>
      <c r="AE204" s="254">
        <f t="shared" si="33"/>
        <v>3.472222222222222E-3</v>
      </c>
      <c r="AG204" s="2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0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</row>
    <row r="205" spans="1:43" ht="20.100000000000001" customHeight="1">
      <c r="A205" s="252">
        <f t="shared" si="34"/>
        <v>45802</v>
      </c>
      <c r="C205" s="253"/>
      <c r="Z205" s="254" t="str">
        <f t="shared" si="35"/>
        <v/>
      </c>
      <c r="AE205" s="254">
        <f t="shared" si="33"/>
        <v>3.472222222222222E-3</v>
      </c>
      <c r="AG205" s="2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0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</row>
    <row r="206" spans="1:43" ht="20.100000000000001" customHeight="1">
      <c r="A206" s="252">
        <f t="shared" si="34"/>
        <v>45802</v>
      </c>
      <c r="C206" s="253"/>
      <c r="Z206" s="254" t="str">
        <f t="shared" si="35"/>
        <v/>
      </c>
      <c r="AE206" s="254">
        <f t="shared" si="33"/>
        <v>3.472222222222222E-3</v>
      </c>
      <c r="AG206" s="2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0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</row>
    <row r="207" spans="1:43" ht="20.100000000000001" customHeight="1">
      <c r="A207" s="252">
        <f t="shared" si="34"/>
        <v>45802</v>
      </c>
      <c r="C207" s="253"/>
      <c r="Z207" s="254" t="str">
        <f t="shared" si="35"/>
        <v/>
      </c>
      <c r="AE207" s="254">
        <f t="shared" si="33"/>
        <v>3.472222222222222E-3</v>
      </c>
      <c r="AG207" s="2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0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</row>
    <row r="208" spans="1:43" ht="20.100000000000001" customHeight="1">
      <c r="A208" s="252">
        <f t="shared" si="34"/>
        <v>45802</v>
      </c>
      <c r="C208" s="253"/>
      <c r="Z208" s="254" t="str">
        <f t="shared" si="35"/>
        <v/>
      </c>
      <c r="AE208" s="254">
        <f t="shared" si="33"/>
        <v>3.472222222222222E-3</v>
      </c>
      <c r="AG208" s="2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0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</row>
    <row r="209" spans="1:43" ht="20.100000000000001" customHeight="1">
      <c r="A209" s="252">
        <f t="shared" si="34"/>
        <v>45802</v>
      </c>
      <c r="C209" s="253"/>
      <c r="Z209" s="254" t="str">
        <f t="shared" si="35"/>
        <v/>
      </c>
      <c r="AE209" s="254">
        <f t="shared" si="33"/>
        <v>3.472222222222222E-3</v>
      </c>
      <c r="AG209" s="2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0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</row>
    <row r="210" spans="1:43" ht="20.100000000000001" customHeight="1">
      <c r="A210" s="252">
        <f t="shared" si="34"/>
        <v>45802</v>
      </c>
      <c r="C210" s="253"/>
      <c r="Z210" s="254" t="str">
        <f t="shared" si="35"/>
        <v/>
      </c>
      <c r="AE210" s="254">
        <f t="shared" si="33"/>
        <v>3.472222222222222E-3</v>
      </c>
      <c r="AG210" s="2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0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</row>
    <row r="211" spans="1:43" ht="20.100000000000001" customHeight="1">
      <c r="A211" s="252">
        <f t="shared" si="34"/>
        <v>45802</v>
      </c>
      <c r="C211" s="253"/>
      <c r="Z211" s="254" t="str">
        <f t="shared" si="35"/>
        <v/>
      </c>
      <c r="AE211" s="254">
        <f t="shared" si="33"/>
        <v>3.472222222222222E-3</v>
      </c>
      <c r="AG211" s="2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0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</row>
    <row r="212" spans="1:43" ht="20.100000000000001" customHeight="1">
      <c r="A212" s="252">
        <f t="shared" si="34"/>
        <v>45802</v>
      </c>
      <c r="C212" s="253"/>
      <c r="Z212" s="254" t="str">
        <f t="shared" si="35"/>
        <v/>
      </c>
      <c r="AE212" s="254">
        <f t="shared" si="33"/>
        <v>3.472222222222222E-3</v>
      </c>
      <c r="AG212" s="2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0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</row>
    <row r="213" spans="1:43" ht="20.100000000000001" customHeight="1">
      <c r="A213" s="252">
        <f t="shared" si="34"/>
        <v>45802</v>
      </c>
      <c r="C213" s="253"/>
      <c r="Z213" s="254" t="str">
        <f t="shared" si="35"/>
        <v/>
      </c>
      <c r="AE213" s="254">
        <f t="shared" si="33"/>
        <v>3.472222222222222E-3</v>
      </c>
      <c r="AG213" s="2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0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</row>
    <row r="214" spans="1:43" ht="20.100000000000001" customHeight="1">
      <c r="A214" s="252">
        <f t="shared" si="34"/>
        <v>45802</v>
      </c>
      <c r="C214" s="253"/>
      <c r="Z214" s="254" t="str">
        <f t="shared" si="35"/>
        <v/>
      </c>
      <c r="AE214" s="254">
        <f t="shared" si="33"/>
        <v>3.472222222222222E-3</v>
      </c>
      <c r="AG214" s="2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0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</row>
    <row r="215" spans="1:43" ht="20.100000000000001" customHeight="1">
      <c r="A215" s="252">
        <f t="shared" si="34"/>
        <v>45802</v>
      </c>
      <c r="C215" s="253"/>
      <c r="Z215" s="254" t="str">
        <f t="shared" si="35"/>
        <v/>
      </c>
      <c r="AE215" s="254">
        <f t="shared" si="33"/>
        <v>3.472222222222222E-3</v>
      </c>
      <c r="AG215" s="2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0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</row>
    <row r="216" spans="1:43" ht="20.100000000000001" customHeight="1">
      <c r="A216" s="252">
        <f t="shared" si="34"/>
        <v>45802</v>
      </c>
      <c r="C216" s="253"/>
      <c r="Z216" s="254" t="str">
        <f t="shared" si="35"/>
        <v/>
      </c>
      <c r="AE216" s="254">
        <f t="shared" si="33"/>
        <v>3.472222222222222E-3</v>
      </c>
      <c r="AG216" s="2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0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</row>
    <row r="217" spans="1:43" ht="20.100000000000001" customHeight="1">
      <c r="A217" s="252">
        <f t="shared" si="34"/>
        <v>45802</v>
      </c>
      <c r="C217" s="253"/>
      <c r="Z217" s="254" t="str">
        <f t="shared" si="35"/>
        <v/>
      </c>
      <c r="AE217" s="254">
        <f t="shared" si="33"/>
        <v>3.472222222222222E-3</v>
      </c>
      <c r="AG217" s="2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0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</row>
    <row r="218" spans="1:43" ht="20.100000000000001" customHeight="1">
      <c r="A218" s="252">
        <f t="shared" si="34"/>
        <v>45802</v>
      </c>
      <c r="C218" s="253"/>
      <c r="Z218" s="254" t="str">
        <f t="shared" si="35"/>
        <v/>
      </c>
      <c r="AE218" s="254">
        <f t="shared" si="33"/>
        <v>3.472222222222222E-3</v>
      </c>
      <c r="AG218" s="2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0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</row>
    <row r="219" spans="1:43" ht="20.100000000000001" customHeight="1">
      <c r="A219" s="252">
        <f t="shared" si="34"/>
        <v>45802</v>
      </c>
      <c r="C219" s="253"/>
      <c r="Z219" s="254" t="str">
        <f t="shared" si="35"/>
        <v/>
      </c>
      <c r="AE219" s="254">
        <f t="shared" si="33"/>
        <v>3.472222222222222E-3</v>
      </c>
      <c r="AG219" s="2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0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</row>
    <row r="220" spans="1:43" ht="20.100000000000001" customHeight="1">
      <c r="A220" s="252">
        <f t="shared" si="34"/>
        <v>45802</v>
      </c>
      <c r="C220" s="253"/>
      <c r="Z220" s="254" t="str">
        <f t="shared" si="35"/>
        <v/>
      </c>
      <c r="AE220" s="254">
        <f t="shared" si="33"/>
        <v>3.472222222222222E-3</v>
      </c>
      <c r="AG220" s="2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0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</row>
    <row r="221" spans="1:43" ht="20.100000000000001" customHeight="1">
      <c r="A221" s="252">
        <f t="shared" si="34"/>
        <v>45802</v>
      </c>
      <c r="C221" s="253"/>
      <c r="Z221" s="254" t="str">
        <f t="shared" si="35"/>
        <v/>
      </c>
      <c r="AE221" s="254">
        <f t="shared" si="33"/>
        <v>3.472222222222222E-3</v>
      </c>
      <c r="AG221" s="2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0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</row>
    <row r="222" spans="1:43" ht="20.100000000000001" customHeight="1">
      <c r="A222" s="252">
        <f t="shared" si="34"/>
        <v>45802</v>
      </c>
      <c r="C222" s="253"/>
      <c r="Z222" s="254" t="str">
        <f t="shared" si="35"/>
        <v/>
      </c>
      <c r="AE222" s="254">
        <f t="shared" si="33"/>
        <v>3.472222222222222E-3</v>
      </c>
      <c r="AG222" s="2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0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</row>
    <row r="223" spans="1:43" ht="20.100000000000001" customHeight="1">
      <c r="A223" s="252">
        <f t="shared" si="34"/>
        <v>45802</v>
      </c>
      <c r="C223" s="253"/>
      <c r="Z223" s="254" t="str">
        <f t="shared" si="35"/>
        <v/>
      </c>
      <c r="AE223" s="254">
        <f t="shared" si="33"/>
        <v>3.472222222222222E-3</v>
      </c>
      <c r="AG223" s="2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0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</row>
    <row r="224" spans="1:43" ht="20.100000000000001" customHeight="1">
      <c r="A224" s="252">
        <f t="shared" si="34"/>
        <v>45802</v>
      </c>
      <c r="C224" s="253"/>
      <c r="Z224" s="254" t="str">
        <f t="shared" si="35"/>
        <v/>
      </c>
      <c r="AE224" s="254">
        <f t="shared" si="33"/>
        <v>3.472222222222222E-3</v>
      </c>
      <c r="AG224" s="2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0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</row>
    <row r="225" spans="1:43" ht="20.100000000000001" customHeight="1">
      <c r="A225" s="252">
        <f t="shared" si="34"/>
        <v>45802</v>
      </c>
      <c r="C225" s="253"/>
      <c r="Z225" s="254" t="str">
        <f t="shared" si="35"/>
        <v/>
      </c>
      <c r="AE225" s="254">
        <f t="shared" si="33"/>
        <v>3.472222222222222E-3</v>
      </c>
      <c r="AG225" s="2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0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</row>
    <row r="226" spans="1:43" ht="20.100000000000001" customHeight="1">
      <c r="A226" s="252">
        <f t="shared" si="34"/>
        <v>45802</v>
      </c>
      <c r="B226" s="260"/>
      <c r="C226" s="253"/>
      <c r="Z226" s="254" t="str">
        <f t="shared" si="35"/>
        <v/>
      </c>
      <c r="AE226" s="254">
        <f t="shared" si="33"/>
        <v>3.472222222222222E-3</v>
      </c>
      <c r="AG226" s="2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0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</row>
    <row r="227" spans="1:43" ht="20.100000000000001" customHeight="1">
      <c r="A227" s="252">
        <f t="shared" si="34"/>
        <v>45802</v>
      </c>
      <c r="C227" s="253"/>
      <c r="Z227" s="254" t="str">
        <f t="shared" si="35"/>
        <v/>
      </c>
      <c r="AE227" s="254">
        <f t="shared" si="33"/>
        <v>3.472222222222222E-3</v>
      </c>
      <c r="AG227" s="2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0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</row>
    <row r="228" spans="1:43" ht="20.100000000000001" customHeight="1">
      <c r="A228" s="252">
        <f t="shared" si="34"/>
        <v>45802</v>
      </c>
      <c r="C228" s="253"/>
      <c r="Z228" s="254" t="str">
        <f t="shared" si="35"/>
        <v/>
      </c>
      <c r="AE228" s="254">
        <f t="shared" si="33"/>
        <v>3.472222222222222E-3</v>
      </c>
      <c r="AG228" s="2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0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</row>
    <row r="229" spans="1:43" ht="20.100000000000001" customHeight="1">
      <c r="A229" s="252">
        <f t="shared" si="34"/>
        <v>45802</v>
      </c>
      <c r="C229" s="253"/>
      <c r="Z229" s="254" t="str">
        <f t="shared" si="35"/>
        <v/>
      </c>
      <c r="AE229" s="254">
        <f t="shared" si="33"/>
        <v>3.472222222222222E-3</v>
      </c>
      <c r="AG229" s="2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0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</row>
    <row r="230" spans="1:43" ht="20.100000000000001" customHeight="1">
      <c r="A230" s="252">
        <f t="shared" si="34"/>
        <v>45802</v>
      </c>
      <c r="C230" s="253"/>
      <c r="Z230" s="254" t="str">
        <f t="shared" si="35"/>
        <v/>
      </c>
      <c r="AE230" s="254">
        <f t="shared" si="33"/>
        <v>3.472222222222222E-3</v>
      </c>
      <c r="AG230" s="2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0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</row>
    <row r="231" spans="1:43" ht="20.100000000000001" customHeight="1">
      <c r="A231" s="252">
        <f t="shared" si="34"/>
        <v>45802</v>
      </c>
      <c r="C231" s="253"/>
      <c r="Z231" s="254" t="str">
        <f t="shared" si="35"/>
        <v/>
      </c>
      <c r="AE231" s="254">
        <f t="shared" si="33"/>
        <v>3.472222222222222E-3</v>
      </c>
      <c r="AG231" s="2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0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</row>
    <row r="232" spans="1:43" ht="20.100000000000001" customHeight="1">
      <c r="A232" s="252">
        <f t="shared" si="34"/>
        <v>45802</v>
      </c>
      <c r="C232" s="253"/>
      <c r="Z232" s="254" t="str">
        <f t="shared" si="35"/>
        <v/>
      </c>
      <c r="AE232" s="254">
        <f t="shared" si="33"/>
        <v>3.472222222222222E-3</v>
      </c>
      <c r="AG232" s="2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0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</row>
    <row r="233" spans="1:43" ht="20.100000000000001" customHeight="1">
      <c r="A233" s="252">
        <f t="shared" si="34"/>
        <v>45802</v>
      </c>
      <c r="C233" s="253"/>
      <c r="Z233" s="254" t="str">
        <f t="shared" si="35"/>
        <v/>
      </c>
      <c r="AE233" s="254">
        <f t="shared" si="33"/>
        <v>3.472222222222222E-3</v>
      </c>
      <c r="AG233" s="2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0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</row>
    <row r="234" spans="1:43" ht="20.100000000000001" customHeight="1">
      <c r="A234" s="252">
        <f t="shared" si="34"/>
        <v>45802</v>
      </c>
      <c r="C234" s="253"/>
      <c r="Z234" s="254" t="str">
        <f t="shared" si="35"/>
        <v/>
      </c>
      <c r="AE234" s="254">
        <f t="shared" si="33"/>
        <v>3.472222222222222E-3</v>
      </c>
      <c r="AG234" s="2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0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</row>
    <row r="235" spans="1:43" ht="20.100000000000001" customHeight="1">
      <c r="A235" s="252">
        <f t="shared" si="34"/>
        <v>45802</v>
      </c>
      <c r="C235" s="253"/>
      <c r="Z235" s="254" t="str">
        <f t="shared" si="35"/>
        <v/>
      </c>
      <c r="AE235" s="254">
        <f t="shared" si="33"/>
        <v>3.472222222222222E-3</v>
      </c>
      <c r="AG235" s="2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0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</row>
    <row r="236" spans="1:43" ht="20.100000000000001" customHeight="1">
      <c r="A236" s="252">
        <f t="shared" si="34"/>
        <v>45802</v>
      </c>
      <c r="C236" s="253"/>
      <c r="Z236" s="254" t="str">
        <f t="shared" si="35"/>
        <v/>
      </c>
      <c r="AE236" s="254">
        <f t="shared" si="33"/>
        <v>3.472222222222222E-3</v>
      </c>
      <c r="AG236" s="2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0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</row>
    <row r="237" spans="1:43" ht="20.100000000000001" customHeight="1">
      <c r="A237" s="252">
        <f t="shared" si="34"/>
        <v>45802</v>
      </c>
      <c r="C237" s="253"/>
      <c r="Z237" s="254" t="str">
        <f t="shared" si="35"/>
        <v/>
      </c>
      <c r="AE237" s="254">
        <f t="shared" si="33"/>
        <v>3.472222222222222E-3</v>
      </c>
      <c r="AG237" s="2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0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</row>
    <row r="238" spans="1:43" ht="20.100000000000001" customHeight="1">
      <c r="A238" s="252">
        <f t="shared" si="34"/>
        <v>45802</v>
      </c>
      <c r="C238" s="253"/>
      <c r="Z238" s="254" t="str">
        <f t="shared" si="35"/>
        <v/>
      </c>
      <c r="AE238" s="254">
        <f t="shared" si="33"/>
        <v>3.472222222222222E-3</v>
      </c>
      <c r="AG238" s="2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0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</row>
    <row r="239" spans="1:43" ht="20.100000000000001" customHeight="1">
      <c r="A239" s="252">
        <f t="shared" si="34"/>
        <v>45802</v>
      </c>
      <c r="C239" s="253"/>
      <c r="Z239" s="254" t="str">
        <f t="shared" si="35"/>
        <v/>
      </c>
      <c r="AE239" s="254">
        <f t="shared" si="33"/>
        <v>3.472222222222222E-3</v>
      </c>
      <c r="AG239" s="2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0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</row>
    <row r="240" spans="1:43" ht="20.100000000000001" customHeight="1">
      <c r="A240" s="252">
        <f t="shared" si="34"/>
        <v>45802</v>
      </c>
      <c r="C240" s="253"/>
      <c r="Z240" s="254" t="str">
        <f t="shared" si="35"/>
        <v/>
      </c>
      <c r="AE240" s="254">
        <f t="shared" si="33"/>
        <v>3.472222222222222E-3</v>
      </c>
      <c r="AG240" s="2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0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</row>
    <row r="241" spans="1:43" ht="20.100000000000001" customHeight="1">
      <c r="A241" s="252">
        <f t="shared" si="34"/>
        <v>45802</v>
      </c>
      <c r="C241" s="253"/>
      <c r="Z241" s="254" t="str">
        <f t="shared" si="35"/>
        <v/>
      </c>
      <c r="AE241" s="254">
        <f t="shared" si="33"/>
        <v>3.472222222222222E-3</v>
      </c>
      <c r="AG241" s="2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0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</row>
    <row r="242" spans="1:43" ht="20.100000000000001" customHeight="1">
      <c r="A242" s="252">
        <f t="shared" si="34"/>
        <v>45802</v>
      </c>
      <c r="C242" s="253"/>
      <c r="Z242" s="254" t="str">
        <f t="shared" si="35"/>
        <v/>
      </c>
      <c r="AE242" s="254">
        <f t="shared" si="33"/>
        <v>3.472222222222222E-3</v>
      </c>
      <c r="AG242" s="2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0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</row>
    <row r="243" spans="1:43" ht="20.100000000000001" customHeight="1">
      <c r="A243" s="252">
        <f t="shared" si="34"/>
        <v>45802</v>
      </c>
      <c r="C243" s="253"/>
      <c r="Z243" s="254" t="str">
        <f t="shared" si="35"/>
        <v/>
      </c>
      <c r="AE243" s="254">
        <f t="shared" si="33"/>
        <v>3.472222222222222E-3</v>
      </c>
      <c r="AG243" s="2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0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</row>
    <row r="244" spans="1:43" ht="20.100000000000001" customHeight="1">
      <c r="A244" s="252">
        <f t="shared" si="34"/>
        <v>45802</v>
      </c>
      <c r="C244" s="253"/>
      <c r="Z244" s="254" t="str">
        <f t="shared" si="35"/>
        <v/>
      </c>
      <c r="AE244" s="254">
        <f t="shared" si="33"/>
        <v>3.472222222222222E-3</v>
      </c>
      <c r="AG244" s="2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0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</row>
    <row r="245" spans="1:43" ht="20.100000000000001" customHeight="1">
      <c r="A245" s="252">
        <f t="shared" si="34"/>
        <v>45802</v>
      </c>
      <c r="C245" s="253"/>
      <c r="Z245" s="254" t="str">
        <f t="shared" si="35"/>
        <v/>
      </c>
      <c r="AE245" s="254">
        <f t="shared" si="33"/>
        <v>3.472222222222222E-3</v>
      </c>
      <c r="AG245" s="2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0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</row>
    <row r="246" spans="1:43" ht="20.100000000000001" customHeight="1">
      <c r="A246" s="252">
        <f t="shared" si="34"/>
        <v>45802</v>
      </c>
      <c r="C246" s="253"/>
      <c r="Z246" s="254" t="str">
        <f t="shared" si="35"/>
        <v/>
      </c>
      <c r="AE246" s="254">
        <f t="shared" si="33"/>
        <v>3.472222222222222E-3</v>
      </c>
      <c r="AG246" s="2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0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</row>
    <row r="247" spans="1:43" ht="20.100000000000001" customHeight="1">
      <c r="A247" s="252">
        <f t="shared" si="34"/>
        <v>45802</v>
      </c>
      <c r="C247" s="253"/>
      <c r="Z247" s="254" t="str">
        <f t="shared" si="35"/>
        <v/>
      </c>
      <c r="AE247" s="254">
        <f t="shared" si="33"/>
        <v>3.472222222222222E-3</v>
      </c>
      <c r="AG247" s="2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0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</row>
    <row r="248" spans="1:43" ht="20.100000000000001" customHeight="1">
      <c r="A248" s="252">
        <f t="shared" si="34"/>
        <v>45802</v>
      </c>
      <c r="C248" s="253"/>
      <c r="Z248" s="254" t="str">
        <f t="shared" si="35"/>
        <v/>
      </c>
      <c r="AE248" s="254">
        <f t="shared" si="33"/>
        <v>3.472222222222222E-3</v>
      </c>
      <c r="AG248" s="2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0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</row>
    <row r="249" spans="1:43" ht="20.100000000000001" customHeight="1">
      <c r="A249" s="252">
        <f t="shared" si="34"/>
        <v>45802</v>
      </c>
      <c r="C249" s="253"/>
      <c r="Z249" s="254" t="str">
        <f t="shared" si="35"/>
        <v/>
      </c>
      <c r="AE249" s="254">
        <f t="shared" si="33"/>
        <v>3.472222222222222E-3</v>
      </c>
      <c r="AG249" s="2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0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</row>
    <row r="250" spans="1:43" ht="20.100000000000001" customHeight="1">
      <c r="A250" s="252">
        <f t="shared" si="34"/>
        <v>45802</v>
      </c>
      <c r="C250" s="253"/>
      <c r="Z250" s="254" t="str">
        <f t="shared" si="35"/>
        <v/>
      </c>
      <c r="AE250" s="254">
        <f t="shared" si="33"/>
        <v>3.472222222222222E-3</v>
      </c>
      <c r="AG250" s="2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0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</row>
    <row r="251" spans="1:43" ht="20.100000000000001" customHeight="1">
      <c r="A251" s="252">
        <f t="shared" si="34"/>
        <v>45802</v>
      </c>
      <c r="C251" s="253"/>
      <c r="Z251" s="254" t="str">
        <f t="shared" si="35"/>
        <v/>
      </c>
      <c r="AE251" s="254">
        <f t="shared" si="33"/>
        <v>3.472222222222222E-3</v>
      </c>
      <c r="AG251" s="2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0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</row>
    <row r="252" spans="1:43" ht="20.100000000000001" customHeight="1">
      <c r="A252" s="252">
        <f t="shared" si="34"/>
        <v>45802</v>
      </c>
      <c r="C252" s="253"/>
      <c r="Z252" s="254" t="str">
        <f t="shared" si="35"/>
        <v/>
      </c>
      <c r="AE252" s="254">
        <f t="shared" si="33"/>
        <v>3.472222222222222E-3</v>
      </c>
      <c r="AG252" s="2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0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</row>
    <row r="253" spans="1:43" ht="20.100000000000001" customHeight="1">
      <c r="A253" s="252">
        <f t="shared" si="34"/>
        <v>45802</v>
      </c>
      <c r="C253" s="253"/>
      <c r="Z253" s="254" t="str">
        <f t="shared" si="35"/>
        <v/>
      </c>
      <c r="AE253" s="254">
        <f t="shared" si="33"/>
        <v>3.472222222222222E-3</v>
      </c>
      <c r="AG253" s="2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0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</row>
    <row r="254" spans="1:43" ht="20.100000000000001" customHeight="1">
      <c r="A254" s="252">
        <f t="shared" si="34"/>
        <v>45802</v>
      </c>
      <c r="C254" s="253"/>
      <c r="Z254" s="254" t="str">
        <f t="shared" si="35"/>
        <v/>
      </c>
      <c r="AE254" s="254">
        <f t="shared" si="33"/>
        <v>3.472222222222222E-3</v>
      </c>
      <c r="AG254" s="2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0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</row>
    <row r="255" spans="1:43" ht="20.100000000000001" customHeight="1">
      <c r="A255" s="252">
        <f t="shared" si="34"/>
        <v>45802</v>
      </c>
      <c r="C255" s="253"/>
      <c r="Z255" s="254" t="str">
        <f t="shared" si="35"/>
        <v/>
      </c>
      <c r="AE255" s="254">
        <f t="shared" si="33"/>
        <v>3.472222222222222E-3</v>
      </c>
      <c r="AG255" s="2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0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</row>
    <row r="256" spans="1:43" ht="20.100000000000001" customHeight="1">
      <c r="A256" s="252">
        <f t="shared" si="34"/>
        <v>45802</v>
      </c>
      <c r="C256" s="253"/>
      <c r="Z256" s="254" t="str">
        <f t="shared" si="35"/>
        <v/>
      </c>
      <c r="AE256" s="254">
        <f t="shared" si="33"/>
        <v>3.472222222222222E-3</v>
      </c>
      <c r="AG256" s="2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0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</row>
    <row r="257" spans="1:43" ht="20.100000000000001" customHeight="1">
      <c r="A257" s="252">
        <f t="shared" si="34"/>
        <v>45802</v>
      </c>
      <c r="C257" s="253"/>
      <c r="Z257" s="254" t="str">
        <f t="shared" si="35"/>
        <v/>
      </c>
      <c r="AE257" s="254">
        <f t="shared" si="33"/>
        <v>3.472222222222222E-3</v>
      </c>
      <c r="AG257" s="2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0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</row>
    <row r="258" spans="1:43" ht="20.100000000000001" customHeight="1">
      <c r="A258" s="252">
        <f t="shared" si="34"/>
        <v>45802</v>
      </c>
      <c r="C258" s="253"/>
      <c r="Z258" s="254" t="str">
        <f t="shared" si="35"/>
        <v/>
      </c>
      <c r="AE258" s="254">
        <f t="shared" si="33"/>
        <v>3.472222222222222E-3</v>
      </c>
      <c r="AG258" s="2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0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</row>
    <row r="259" spans="1:43" ht="20.100000000000001" customHeight="1">
      <c r="A259" s="252">
        <f t="shared" si="34"/>
        <v>45802</v>
      </c>
      <c r="C259" s="253"/>
      <c r="Z259" s="254" t="str">
        <f t="shared" si="35"/>
        <v/>
      </c>
      <c r="AE259" s="254">
        <f t="shared" si="33"/>
        <v>3.472222222222222E-3</v>
      </c>
      <c r="AG259" s="2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0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</row>
    <row r="260" spans="1:43" ht="20.100000000000001" customHeight="1">
      <c r="A260" s="252">
        <f t="shared" si="34"/>
        <v>45802</v>
      </c>
      <c r="C260" s="253"/>
      <c r="Z260" s="254" t="str">
        <f t="shared" si="35"/>
        <v/>
      </c>
      <c r="AE260" s="254">
        <f t="shared" si="33"/>
        <v>3.472222222222222E-3</v>
      </c>
      <c r="AG260" s="2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0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</row>
    <row r="261" spans="1:43" ht="20.100000000000001" customHeight="1">
      <c r="A261" s="252">
        <f t="shared" si="34"/>
        <v>45802</v>
      </c>
      <c r="C261" s="253"/>
      <c r="Z261" s="254" t="str">
        <f t="shared" si="35"/>
        <v/>
      </c>
      <c r="AE261" s="254">
        <f t="shared" ref="AE261:AE324" si="44">TIME(0,$K261+5,0)</f>
        <v>3.472222222222222E-3</v>
      </c>
      <c r="AG261" s="2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0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</row>
    <row r="262" spans="1:43" ht="20.100000000000001" customHeight="1">
      <c r="A262" s="252">
        <f t="shared" ref="A262:A325" si="45">A261</f>
        <v>45802</v>
      </c>
      <c r="C262" s="253"/>
      <c r="Z262" s="254" t="str">
        <f t="shared" ref="Z262:Z325" si="46">IF(Y262="","",$Y262+TIME(0,5,0))</f>
        <v/>
      </c>
      <c r="AE262" s="254">
        <f t="shared" si="44"/>
        <v>3.472222222222222E-3</v>
      </c>
      <c r="AG262" s="254" t="str">
        <f t="shared" ref="AG262:AG325" si="47">IF(AF262="","",IF(D262="トラブル報告",AF262+TIME(0,45,0),SUM(AE262,AF262)))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0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</row>
    <row r="263" spans="1:43" ht="20.100000000000001" customHeight="1">
      <c r="A263" s="252">
        <f t="shared" si="45"/>
        <v>45802</v>
      </c>
      <c r="C263" s="253"/>
      <c r="Z263" s="254" t="str">
        <f t="shared" si="46"/>
        <v/>
      </c>
      <c r="AE263" s="254">
        <f t="shared" si="44"/>
        <v>3.472222222222222E-3</v>
      </c>
      <c r="AG263" s="2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0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</row>
    <row r="264" spans="1:43" ht="20.100000000000001" customHeight="1">
      <c r="A264" s="252">
        <f t="shared" si="45"/>
        <v>45802</v>
      </c>
      <c r="C264" s="253"/>
      <c r="Z264" s="254" t="str">
        <f t="shared" si="46"/>
        <v/>
      </c>
      <c r="AE264" s="254">
        <f t="shared" si="44"/>
        <v>3.472222222222222E-3</v>
      </c>
      <c r="AG264" s="2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0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</row>
    <row r="265" spans="1:43" ht="20.100000000000001" customHeight="1">
      <c r="A265" s="252">
        <f t="shared" si="45"/>
        <v>45802</v>
      </c>
      <c r="C265" s="253"/>
      <c r="Z265" s="254" t="str">
        <f t="shared" si="46"/>
        <v/>
      </c>
      <c r="AE265" s="254">
        <f t="shared" si="44"/>
        <v>3.472222222222222E-3</v>
      </c>
      <c r="AG265" s="2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0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</row>
    <row r="266" spans="1:43" ht="20.100000000000001" customHeight="1">
      <c r="A266" s="252">
        <f t="shared" si="45"/>
        <v>45802</v>
      </c>
      <c r="C266" s="253"/>
      <c r="Z266" s="254" t="str">
        <f t="shared" si="46"/>
        <v/>
      </c>
      <c r="AE266" s="254">
        <f t="shared" si="44"/>
        <v>3.472222222222222E-3</v>
      </c>
      <c r="AG266" s="2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0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</row>
    <row r="267" spans="1:43" ht="20.100000000000001" customHeight="1">
      <c r="A267" s="252">
        <f t="shared" si="45"/>
        <v>45802</v>
      </c>
      <c r="C267" s="253"/>
      <c r="Z267" s="254" t="str">
        <f t="shared" si="46"/>
        <v/>
      </c>
      <c r="AE267" s="254">
        <f t="shared" si="44"/>
        <v>3.472222222222222E-3</v>
      </c>
      <c r="AG267" s="2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0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</row>
    <row r="268" spans="1:43" ht="20.100000000000001" customHeight="1">
      <c r="A268" s="252">
        <f t="shared" si="45"/>
        <v>45802</v>
      </c>
      <c r="C268" s="253"/>
      <c r="Z268" s="254" t="str">
        <f t="shared" si="46"/>
        <v/>
      </c>
      <c r="AE268" s="254">
        <f t="shared" si="44"/>
        <v>3.472222222222222E-3</v>
      </c>
      <c r="AG268" s="2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0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</row>
    <row r="269" spans="1:43" ht="20.100000000000001" customHeight="1">
      <c r="A269" s="252">
        <f t="shared" si="45"/>
        <v>45802</v>
      </c>
      <c r="C269" s="253"/>
      <c r="Z269" s="254" t="str">
        <f t="shared" si="46"/>
        <v/>
      </c>
      <c r="AE269" s="254">
        <f t="shared" si="44"/>
        <v>3.472222222222222E-3</v>
      </c>
      <c r="AG269" s="2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0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</row>
    <row r="270" spans="1:43" ht="20.100000000000001" customHeight="1">
      <c r="A270" s="252">
        <f t="shared" si="45"/>
        <v>45802</v>
      </c>
      <c r="C270" s="253"/>
      <c r="Z270" s="254" t="str">
        <f t="shared" si="46"/>
        <v/>
      </c>
      <c r="AE270" s="254">
        <f t="shared" si="44"/>
        <v>3.472222222222222E-3</v>
      </c>
      <c r="AG270" s="2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0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</row>
    <row r="271" spans="1:43" ht="20.100000000000001" customHeight="1">
      <c r="A271" s="252">
        <f t="shared" si="45"/>
        <v>45802</v>
      </c>
      <c r="C271" s="253"/>
      <c r="Z271" s="254" t="str">
        <f t="shared" si="46"/>
        <v/>
      </c>
      <c r="AE271" s="254">
        <f t="shared" si="44"/>
        <v>3.472222222222222E-3</v>
      </c>
      <c r="AG271" s="2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0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</row>
    <row r="272" spans="1:43" ht="20.100000000000001" customHeight="1">
      <c r="A272" s="252">
        <f t="shared" si="45"/>
        <v>45802</v>
      </c>
      <c r="C272" s="253"/>
      <c r="Z272" s="254" t="str">
        <f t="shared" si="46"/>
        <v/>
      </c>
      <c r="AE272" s="254">
        <f t="shared" si="44"/>
        <v>3.472222222222222E-3</v>
      </c>
      <c r="AG272" s="2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0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</row>
    <row r="273" spans="1:43" ht="20.100000000000001" customHeight="1">
      <c r="A273" s="252">
        <f t="shared" si="45"/>
        <v>45802</v>
      </c>
      <c r="C273" s="253"/>
      <c r="Z273" s="254" t="str">
        <f t="shared" si="46"/>
        <v/>
      </c>
      <c r="AE273" s="254">
        <f t="shared" si="44"/>
        <v>3.472222222222222E-3</v>
      </c>
      <c r="AG273" s="2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0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</row>
    <row r="274" spans="1:43" ht="20.100000000000001" customHeight="1">
      <c r="A274" s="252">
        <f t="shared" si="45"/>
        <v>45802</v>
      </c>
      <c r="C274" s="253"/>
      <c r="Z274" s="254" t="str">
        <f t="shared" si="46"/>
        <v/>
      </c>
      <c r="AE274" s="254">
        <f t="shared" si="44"/>
        <v>3.472222222222222E-3</v>
      </c>
      <c r="AG274" s="2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0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</row>
    <row r="275" spans="1:43" ht="20.100000000000001" customHeight="1">
      <c r="A275" s="252">
        <f t="shared" si="45"/>
        <v>45802</v>
      </c>
      <c r="C275" s="253"/>
      <c r="Z275" s="254" t="str">
        <f t="shared" si="46"/>
        <v/>
      </c>
      <c r="AE275" s="254">
        <f t="shared" si="44"/>
        <v>3.472222222222222E-3</v>
      </c>
      <c r="AG275" s="2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0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</row>
    <row r="276" spans="1:43" ht="20.100000000000001" customHeight="1">
      <c r="A276" s="252">
        <f t="shared" si="45"/>
        <v>45802</v>
      </c>
      <c r="C276" s="253"/>
      <c r="Z276" s="254" t="str">
        <f t="shared" si="46"/>
        <v/>
      </c>
      <c r="AE276" s="254">
        <f t="shared" si="44"/>
        <v>3.472222222222222E-3</v>
      </c>
      <c r="AG276" s="2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0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</row>
    <row r="277" spans="1:43" ht="20.100000000000001" customHeight="1">
      <c r="A277" s="252">
        <f t="shared" si="45"/>
        <v>45802</v>
      </c>
      <c r="C277" s="253"/>
      <c r="Z277" s="254" t="str">
        <f t="shared" si="46"/>
        <v/>
      </c>
      <c r="AE277" s="254">
        <f t="shared" si="44"/>
        <v>3.472222222222222E-3</v>
      </c>
      <c r="AG277" s="2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0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</row>
    <row r="278" spans="1:43" ht="20.100000000000001" customHeight="1">
      <c r="A278" s="252">
        <f t="shared" si="45"/>
        <v>45802</v>
      </c>
      <c r="C278" s="253"/>
      <c r="Z278" s="254" t="str">
        <f t="shared" si="46"/>
        <v/>
      </c>
      <c r="AE278" s="254">
        <f t="shared" si="44"/>
        <v>3.472222222222222E-3</v>
      </c>
      <c r="AG278" s="2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0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</row>
    <row r="279" spans="1:43" ht="20.100000000000001" customHeight="1">
      <c r="A279" s="252">
        <f t="shared" si="45"/>
        <v>45802</v>
      </c>
      <c r="C279" s="253"/>
      <c r="Z279" s="254" t="str">
        <f t="shared" si="46"/>
        <v/>
      </c>
      <c r="AE279" s="254">
        <f t="shared" si="44"/>
        <v>3.472222222222222E-3</v>
      </c>
      <c r="AG279" s="2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0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</row>
    <row r="280" spans="1:43" ht="20.100000000000001" customHeight="1">
      <c r="A280" s="252">
        <f t="shared" si="45"/>
        <v>45802</v>
      </c>
      <c r="C280" s="253"/>
      <c r="Z280" s="254" t="str">
        <f t="shared" si="46"/>
        <v/>
      </c>
      <c r="AE280" s="254">
        <f t="shared" si="44"/>
        <v>3.472222222222222E-3</v>
      </c>
      <c r="AG280" s="2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0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</row>
    <row r="281" spans="1:43" ht="20.100000000000001" customHeight="1">
      <c r="A281" s="252">
        <f t="shared" si="45"/>
        <v>45802</v>
      </c>
      <c r="C281" s="253"/>
      <c r="Z281" s="254" t="str">
        <f t="shared" si="46"/>
        <v/>
      </c>
      <c r="AE281" s="254">
        <f t="shared" si="44"/>
        <v>3.472222222222222E-3</v>
      </c>
      <c r="AG281" s="2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0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</row>
    <row r="282" spans="1:43" ht="20.100000000000001" customHeight="1">
      <c r="A282" s="252">
        <f t="shared" si="45"/>
        <v>45802</v>
      </c>
      <c r="C282" s="253"/>
      <c r="Z282" s="254" t="str">
        <f t="shared" si="46"/>
        <v/>
      </c>
      <c r="AE282" s="254">
        <f t="shared" si="44"/>
        <v>3.472222222222222E-3</v>
      </c>
      <c r="AG282" s="2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0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</row>
    <row r="283" spans="1:43" ht="20.100000000000001" customHeight="1">
      <c r="A283" s="252">
        <f t="shared" si="45"/>
        <v>45802</v>
      </c>
      <c r="C283" s="253"/>
      <c r="Z283" s="254" t="str">
        <f t="shared" si="46"/>
        <v/>
      </c>
      <c r="AE283" s="254">
        <f t="shared" si="44"/>
        <v>3.472222222222222E-3</v>
      </c>
      <c r="AG283" s="2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0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</row>
    <row r="284" spans="1:43" ht="20.100000000000001" customHeight="1">
      <c r="A284" s="252">
        <f t="shared" si="45"/>
        <v>45802</v>
      </c>
      <c r="C284" s="253"/>
      <c r="Z284" s="254" t="str">
        <f t="shared" si="46"/>
        <v/>
      </c>
      <c r="AE284" s="254">
        <f t="shared" si="44"/>
        <v>3.472222222222222E-3</v>
      </c>
      <c r="AG284" s="2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0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</row>
    <row r="285" spans="1:43" ht="20.100000000000001" customHeight="1">
      <c r="A285" s="252">
        <f t="shared" si="45"/>
        <v>45802</v>
      </c>
      <c r="C285" s="253"/>
      <c r="Z285" s="254" t="str">
        <f t="shared" si="46"/>
        <v/>
      </c>
      <c r="AE285" s="254">
        <f t="shared" si="44"/>
        <v>3.472222222222222E-3</v>
      </c>
      <c r="AG285" s="2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0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</row>
    <row r="286" spans="1:43" ht="20.100000000000001" customHeight="1">
      <c r="A286" s="252">
        <f t="shared" si="45"/>
        <v>45802</v>
      </c>
      <c r="C286" s="253"/>
      <c r="Z286" s="254" t="str">
        <f t="shared" si="46"/>
        <v/>
      </c>
      <c r="AE286" s="254">
        <f t="shared" si="44"/>
        <v>3.472222222222222E-3</v>
      </c>
      <c r="AG286" s="2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0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</row>
    <row r="287" spans="1:43" ht="20.100000000000001" customHeight="1">
      <c r="A287" s="252">
        <f t="shared" si="45"/>
        <v>45802</v>
      </c>
      <c r="C287" s="253"/>
      <c r="Z287" s="254" t="str">
        <f t="shared" si="46"/>
        <v/>
      </c>
      <c r="AE287" s="254">
        <f t="shared" si="44"/>
        <v>3.472222222222222E-3</v>
      </c>
      <c r="AG287" s="2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0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</row>
    <row r="288" spans="1:43" ht="20.100000000000001" customHeight="1">
      <c r="A288" s="252">
        <f t="shared" si="45"/>
        <v>45802</v>
      </c>
      <c r="C288" s="253"/>
      <c r="Z288" s="254" t="str">
        <f t="shared" si="46"/>
        <v/>
      </c>
      <c r="AE288" s="254">
        <f t="shared" si="44"/>
        <v>3.472222222222222E-3</v>
      </c>
      <c r="AG288" s="2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0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</row>
    <row r="289" spans="1:43" ht="20.100000000000001" customHeight="1">
      <c r="A289" s="252">
        <f t="shared" si="45"/>
        <v>45802</v>
      </c>
      <c r="C289" s="253"/>
      <c r="Z289" s="254" t="str">
        <f t="shared" si="46"/>
        <v/>
      </c>
      <c r="AE289" s="254">
        <f t="shared" si="44"/>
        <v>3.472222222222222E-3</v>
      </c>
      <c r="AG289" s="2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0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</row>
    <row r="290" spans="1:43" ht="20.100000000000001" customHeight="1">
      <c r="A290" s="252">
        <f t="shared" si="45"/>
        <v>45802</v>
      </c>
      <c r="C290" s="253"/>
      <c r="Z290" s="254" t="str">
        <f t="shared" si="46"/>
        <v/>
      </c>
      <c r="AE290" s="254">
        <f t="shared" si="44"/>
        <v>3.472222222222222E-3</v>
      </c>
      <c r="AG290" s="2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0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</row>
    <row r="291" spans="1:43" ht="20.100000000000001" customHeight="1">
      <c r="A291" s="252">
        <f t="shared" si="45"/>
        <v>45802</v>
      </c>
      <c r="C291" s="253"/>
      <c r="Z291" s="254" t="str">
        <f t="shared" si="46"/>
        <v/>
      </c>
      <c r="AE291" s="254">
        <f t="shared" si="44"/>
        <v>3.472222222222222E-3</v>
      </c>
      <c r="AG291" s="2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0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</row>
    <row r="292" spans="1:43" ht="20.100000000000001" customHeight="1">
      <c r="A292" s="252">
        <f t="shared" si="45"/>
        <v>45802</v>
      </c>
      <c r="C292" s="253"/>
      <c r="Z292" s="254" t="str">
        <f t="shared" si="46"/>
        <v/>
      </c>
      <c r="AE292" s="254">
        <f t="shared" si="44"/>
        <v>3.472222222222222E-3</v>
      </c>
      <c r="AG292" s="2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0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</row>
    <row r="293" spans="1:43" ht="20.100000000000001" customHeight="1">
      <c r="A293" s="252">
        <f t="shared" si="45"/>
        <v>45802</v>
      </c>
      <c r="C293" s="253"/>
      <c r="Z293" s="254" t="str">
        <f t="shared" si="46"/>
        <v/>
      </c>
      <c r="AE293" s="254">
        <f t="shared" si="44"/>
        <v>3.472222222222222E-3</v>
      </c>
      <c r="AG293" s="2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0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</row>
    <row r="294" spans="1:43" ht="20.100000000000001" customHeight="1">
      <c r="A294" s="252">
        <f t="shared" si="45"/>
        <v>45802</v>
      </c>
      <c r="C294" s="253"/>
      <c r="Z294" s="254" t="str">
        <f t="shared" si="46"/>
        <v/>
      </c>
      <c r="AE294" s="254">
        <f t="shared" si="44"/>
        <v>3.472222222222222E-3</v>
      </c>
      <c r="AG294" s="2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0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</row>
    <row r="295" spans="1:43" ht="20.100000000000001" customHeight="1">
      <c r="A295" s="252">
        <f t="shared" si="45"/>
        <v>45802</v>
      </c>
      <c r="C295" s="253"/>
      <c r="Z295" s="254" t="str">
        <f t="shared" si="46"/>
        <v/>
      </c>
      <c r="AE295" s="254">
        <f t="shared" si="44"/>
        <v>3.472222222222222E-3</v>
      </c>
      <c r="AG295" s="2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0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</row>
    <row r="296" spans="1:43" ht="20.100000000000001" customHeight="1">
      <c r="A296" s="252">
        <f t="shared" si="45"/>
        <v>45802</v>
      </c>
      <c r="C296" s="253"/>
      <c r="Z296" s="254" t="str">
        <f t="shared" si="46"/>
        <v/>
      </c>
      <c r="AE296" s="254">
        <f t="shared" si="44"/>
        <v>3.472222222222222E-3</v>
      </c>
      <c r="AG296" s="2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0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</row>
    <row r="297" spans="1:43" ht="20.100000000000001" customHeight="1">
      <c r="A297" s="252">
        <f t="shared" si="45"/>
        <v>45802</v>
      </c>
      <c r="C297" s="253"/>
      <c r="Z297" s="254" t="str">
        <f t="shared" si="46"/>
        <v/>
      </c>
      <c r="AE297" s="254">
        <f t="shared" si="44"/>
        <v>3.472222222222222E-3</v>
      </c>
      <c r="AG297" s="2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0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</row>
    <row r="298" spans="1:43" ht="20.100000000000001" customHeight="1">
      <c r="A298" s="252">
        <f t="shared" si="45"/>
        <v>45802</v>
      </c>
      <c r="C298" s="253"/>
      <c r="Z298" s="254" t="str">
        <f t="shared" si="46"/>
        <v/>
      </c>
      <c r="AE298" s="254">
        <f t="shared" si="44"/>
        <v>3.472222222222222E-3</v>
      </c>
      <c r="AG298" s="2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0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</row>
    <row r="299" spans="1:43" ht="20.100000000000001" customHeight="1">
      <c r="A299" s="252">
        <f t="shared" si="45"/>
        <v>45802</v>
      </c>
      <c r="C299" s="253"/>
      <c r="Z299" s="254" t="str">
        <f t="shared" si="46"/>
        <v/>
      </c>
      <c r="AE299" s="254">
        <f t="shared" si="44"/>
        <v>3.472222222222222E-3</v>
      </c>
      <c r="AG299" s="2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0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</row>
    <row r="300" spans="1:43" ht="20.100000000000001" customHeight="1">
      <c r="A300" s="252">
        <f t="shared" si="45"/>
        <v>45802</v>
      </c>
      <c r="C300" s="253"/>
      <c r="Z300" s="254" t="str">
        <f t="shared" si="46"/>
        <v/>
      </c>
      <c r="AE300" s="254">
        <f t="shared" si="44"/>
        <v>3.472222222222222E-3</v>
      </c>
      <c r="AG300" s="2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0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</row>
    <row r="301" spans="1:43" ht="20.100000000000001" customHeight="1">
      <c r="A301" s="252">
        <f t="shared" si="45"/>
        <v>45802</v>
      </c>
      <c r="C301" s="253"/>
      <c r="Z301" s="254" t="str">
        <f t="shared" si="46"/>
        <v/>
      </c>
      <c r="AE301" s="254">
        <f t="shared" si="44"/>
        <v>3.472222222222222E-3</v>
      </c>
      <c r="AG301" s="2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0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</row>
    <row r="302" spans="1:43" ht="20.100000000000001" customHeight="1">
      <c r="A302" s="252">
        <f t="shared" si="45"/>
        <v>45802</v>
      </c>
      <c r="C302" s="253"/>
      <c r="Z302" s="254" t="str">
        <f t="shared" si="46"/>
        <v/>
      </c>
      <c r="AE302" s="254">
        <f t="shared" si="44"/>
        <v>3.472222222222222E-3</v>
      </c>
      <c r="AG302" s="2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0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</row>
    <row r="303" spans="1:43" ht="20.100000000000001" customHeight="1">
      <c r="A303" s="252">
        <f t="shared" si="45"/>
        <v>45802</v>
      </c>
      <c r="C303" s="253"/>
      <c r="Z303" s="254" t="str">
        <f t="shared" si="46"/>
        <v/>
      </c>
      <c r="AE303" s="254">
        <f t="shared" si="44"/>
        <v>3.472222222222222E-3</v>
      </c>
      <c r="AG303" s="2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0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</row>
    <row r="304" spans="1:43" ht="20.100000000000001" customHeight="1">
      <c r="A304" s="252">
        <f t="shared" si="45"/>
        <v>45802</v>
      </c>
      <c r="C304" s="253"/>
      <c r="Z304" s="254" t="str">
        <f t="shared" si="46"/>
        <v/>
      </c>
      <c r="AE304" s="254">
        <f t="shared" si="44"/>
        <v>3.472222222222222E-3</v>
      </c>
      <c r="AG304" s="2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0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</row>
    <row r="305" spans="1:43" ht="20.100000000000001" customHeight="1">
      <c r="A305" s="252">
        <f t="shared" si="45"/>
        <v>45802</v>
      </c>
      <c r="C305" s="253"/>
      <c r="Z305" s="254" t="str">
        <f t="shared" si="46"/>
        <v/>
      </c>
      <c r="AE305" s="254">
        <f t="shared" si="44"/>
        <v>3.472222222222222E-3</v>
      </c>
      <c r="AG305" s="2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0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</row>
    <row r="306" spans="1:43" ht="20.100000000000001" customHeight="1">
      <c r="A306" s="252">
        <f t="shared" si="45"/>
        <v>45802</v>
      </c>
      <c r="C306" s="253"/>
      <c r="Z306" s="254" t="str">
        <f t="shared" si="46"/>
        <v/>
      </c>
      <c r="AE306" s="254">
        <f t="shared" si="44"/>
        <v>3.472222222222222E-3</v>
      </c>
      <c r="AG306" s="2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0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</row>
    <row r="307" spans="1:43" ht="20.100000000000001" customHeight="1">
      <c r="A307" s="252">
        <f t="shared" si="45"/>
        <v>45802</v>
      </c>
      <c r="C307" s="253"/>
      <c r="Z307" s="254" t="str">
        <f t="shared" si="46"/>
        <v/>
      </c>
      <c r="AE307" s="254">
        <f t="shared" si="44"/>
        <v>3.472222222222222E-3</v>
      </c>
      <c r="AG307" s="2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0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</row>
    <row r="308" spans="1:43" ht="20.100000000000001" customHeight="1">
      <c r="A308" s="252">
        <f t="shared" si="45"/>
        <v>45802</v>
      </c>
      <c r="C308" s="253"/>
      <c r="Z308" s="254" t="str">
        <f t="shared" si="46"/>
        <v/>
      </c>
      <c r="AE308" s="254">
        <f t="shared" si="44"/>
        <v>3.472222222222222E-3</v>
      </c>
      <c r="AG308" s="2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0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</row>
    <row r="309" spans="1:43" ht="20.100000000000001" customHeight="1">
      <c r="A309" s="252">
        <f t="shared" si="45"/>
        <v>45802</v>
      </c>
      <c r="C309" s="253"/>
      <c r="Z309" s="254" t="str">
        <f t="shared" si="46"/>
        <v/>
      </c>
      <c r="AE309" s="254">
        <f t="shared" si="44"/>
        <v>3.472222222222222E-3</v>
      </c>
      <c r="AG309" s="2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0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</row>
    <row r="310" spans="1:43" ht="20.100000000000001" customHeight="1">
      <c r="A310" s="252">
        <f t="shared" si="45"/>
        <v>45802</v>
      </c>
      <c r="C310" s="253"/>
      <c r="Z310" s="254" t="str">
        <f t="shared" si="46"/>
        <v/>
      </c>
      <c r="AE310" s="254">
        <f t="shared" si="44"/>
        <v>3.472222222222222E-3</v>
      </c>
      <c r="AG310" s="2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0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</row>
    <row r="311" spans="1:43" ht="20.100000000000001" customHeight="1">
      <c r="A311" s="252">
        <f t="shared" si="45"/>
        <v>45802</v>
      </c>
      <c r="C311" s="253"/>
      <c r="Z311" s="254" t="str">
        <f t="shared" si="46"/>
        <v/>
      </c>
      <c r="AE311" s="254">
        <f t="shared" si="44"/>
        <v>3.472222222222222E-3</v>
      </c>
      <c r="AG311" s="2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0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</row>
    <row r="312" spans="1:43" ht="20.100000000000001" customHeight="1">
      <c r="A312" s="252">
        <f t="shared" si="45"/>
        <v>45802</v>
      </c>
      <c r="C312" s="253"/>
      <c r="Z312" s="254" t="str">
        <f t="shared" si="46"/>
        <v/>
      </c>
      <c r="AE312" s="254">
        <f t="shared" si="44"/>
        <v>3.472222222222222E-3</v>
      </c>
      <c r="AG312" s="2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0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</row>
    <row r="313" spans="1:43" ht="20.100000000000001" customHeight="1">
      <c r="A313" s="252">
        <f t="shared" si="45"/>
        <v>45802</v>
      </c>
      <c r="C313" s="253"/>
      <c r="Z313" s="254" t="str">
        <f t="shared" si="46"/>
        <v/>
      </c>
      <c r="AE313" s="254">
        <f t="shared" si="44"/>
        <v>3.472222222222222E-3</v>
      </c>
      <c r="AG313" s="2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0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</row>
    <row r="314" spans="1:43" ht="20.100000000000001" customHeight="1">
      <c r="A314" s="252">
        <f t="shared" si="45"/>
        <v>45802</v>
      </c>
      <c r="C314" s="253"/>
      <c r="Z314" s="254" t="str">
        <f t="shared" si="46"/>
        <v/>
      </c>
      <c r="AE314" s="254">
        <f t="shared" si="44"/>
        <v>3.472222222222222E-3</v>
      </c>
      <c r="AG314" s="2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0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</row>
    <row r="315" spans="1:43" ht="20.100000000000001" customHeight="1">
      <c r="A315" s="252">
        <f t="shared" si="45"/>
        <v>45802</v>
      </c>
      <c r="C315" s="253"/>
      <c r="Z315" s="254" t="str">
        <f t="shared" si="46"/>
        <v/>
      </c>
      <c r="AE315" s="254">
        <f t="shared" si="44"/>
        <v>3.472222222222222E-3</v>
      </c>
      <c r="AG315" s="2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0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</row>
    <row r="316" spans="1:43" ht="20.100000000000001" customHeight="1">
      <c r="A316" s="252">
        <f t="shared" si="45"/>
        <v>45802</v>
      </c>
      <c r="C316" s="253"/>
      <c r="Z316" s="254" t="str">
        <f t="shared" si="46"/>
        <v/>
      </c>
      <c r="AE316" s="254">
        <f t="shared" si="44"/>
        <v>3.472222222222222E-3</v>
      </c>
      <c r="AG316" s="2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0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</row>
    <row r="317" spans="1:43" ht="20.100000000000001" customHeight="1">
      <c r="A317" s="252">
        <f t="shared" si="45"/>
        <v>45802</v>
      </c>
      <c r="C317" s="253"/>
      <c r="Z317" s="254" t="str">
        <f t="shared" si="46"/>
        <v/>
      </c>
      <c r="AE317" s="254">
        <f t="shared" si="44"/>
        <v>3.472222222222222E-3</v>
      </c>
      <c r="AG317" s="2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0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</row>
    <row r="318" spans="1:43" ht="20.100000000000001" customHeight="1">
      <c r="A318" s="252">
        <f t="shared" si="45"/>
        <v>45802</v>
      </c>
      <c r="C318" s="253"/>
      <c r="Z318" s="254" t="str">
        <f t="shared" si="46"/>
        <v/>
      </c>
      <c r="AE318" s="254">
        <f t="shared" si="44"/>
        <v>3.472222222222222E-3</v>
      </c>
      <c r="AG318" s="2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0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</row>
    <row r="319" spans="1:43" ht="20.100000000000001" customHeight="1">
      <c r="A319" s="252">
        <f t="shared" si="45"/>
        <v>45802</v>
      </c>
      <c r="C319" s="253"/>
      <c r="Z319" s="254" t="str">
        <f t="shared" si="46"/>
        <v/>
      </c>
      <c r="AE319" s="254">
        <f t="shared" si="44"/>
        <v>3.472222222222222E-3</v>
      </c>
      <c r="AG319" s="2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0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</row>
    <row r="320" spans="1:43" ht="20.100000000000001" customHeight="1">
      <c r="A320" s="252">
        <f t="shared" si="45"/>
        <v>45802</v>
      </c>
      <c r="C320" s="253"/>
      <c r="Z320" s="254" t="str">
        <f t="shared" si="46"/>
        <v/>
      </c>
      <c r="AE320" s="254">
        <f t="shared" si="44"/>
        <v>3.472222222222222E-3</v>
      </c>
      <c r="AG320" s="2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0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</row>
    <row r="321" spans="1:43" ht="20.100000000000001" customHeight="1">
      <c r="A321" s="252">
        <f t="shared" si="45"/>
        <v>45802</v>
      </c>
      <c r="C321" s="253"/>
      <c r="Z321" s="254" t="str">
        <f t="shared" si="46"/>
        <v/>
      </c>
      <c r="AE321" s="254">
        <f t="shared" si="44"/>
        <v>3.472222222222222E-3</v>
      </c>
      <c r="AG321" s="2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0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</row>
    <row r="322" spans="1:43" ht="20.100000000000001" customHeight="1">
      <c r="A322" s="252">
        <f t="shared" si="45"/>
        <v>45802</v>
      </c>
      <c r="C322" s="253"/>
      <c r="Z322" s="254" t="str">
        <f t="shared" si="46"/>
        <v/>
      </c>
      <c r="AE322" s="254">
        <f t="shared" si="44"/>
        <v>3.472222222222222E-3</v>
      </c>
      <c r="AG322" s="2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0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</row>
    <row r="323" spans="1:43" ht="20.100000000000001" customHeight="1">
      <c r="A323" s="252">
        <f t="shared" si="45"/>
        <v>45802</v>
      </c>
      <c r="C323" s="253"/>
      <c r="Z323" s="254" t="str">
        <f t="shared" si="46"/>
        <v/>
      </c>
      <c r="AE323" s="254">
        <f t="shared" si="44"/>
        <v>3.472222222222222E-3</v>
      </c>
      <c r="AG323" s="2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0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</row>
    <row r="324" spans="1:43" ht="20.100000000000001" customHeight="1">
      <c r="A324" s="252">
        <f t="shared" si="45"/>
        <v>45802</v>
      </c>
      <c r="C324" s="253"/>
      <c r="Z324" s="254" t="str">
        <f t="shared" si="46"/>
        <v/>
      </c>
      <c r="AE324" s="254">
        <f t="shared" si="44"/>
        <v>3.472222222222222E-3</v>
      </c>
      <c r="AG324" s="2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0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</row>
    <row r="325" spans="1:43" ht="20.100000000000001" customHeight="1">
      <c r="A325" s="252">
        <f t="shared" si="45"/>
        <v>45802</v>
      </c>
      <c r="C325" s="253"/>
      <c r="Z325" s="254" t="str">
        <f t="shared" si="46"/>
        <v/>
      </c>
      <c r="AE325" s="254">
        <f t="shared" ref="AE325:AE388" si="55">TIME(0,$K325+5,0)</f>
        <v>3.472222222222222E-3</v>
      </c>
      <c r="AG325" s="2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0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</row>
    <row r="326" spans="1:43" ht="20.100000000000001" customHeight="1">
      <c r="A326" s="252">
        <f t="shared" ref="A326:A389" si="56">A325</f>
        <v>45802</v>
      </c>
      <c r="C326" s="253"/>
      <c r="Z326" s="254" t="str">
        <f t="shared" ref="Z326:Z389" si="57">IF(Y326="","",$Y326+TIME(0,5,0))</f>
        <v/>
      </c>
      <c r="AE326" s="254">
        <f t="shared" si="55"/>
        <v>3.472222222222222E-3</v>
      </c>
      <c r="AG326" s="254" t="str">
        <f t="shared" ref="AG326:AG389" si="58">IF(AF326="","",IF(D326="トラブル報告",AF326+TIME(0,45,0),SUM(AE326,AF326)))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0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</row>
    <row r="327" spans="1:43" ht="20.100000000000001" customHeight="1">
      <c r="A327" s="252">
        <f t="shared" si="56"/>
        <v>45802</v>
      </c>
      <c r="C327" s="253"/>
      <c r="Z327" s="254" t="str">
        <f t="shared" si="57"/>
        <v/>
      </c>
      <c r="AE327" s="254">
        <f t="shared" si="55"/>
        <v>3.472222222222222E-3</v>
      </c>
      <c r="AG327" s="2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0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</row>
    <row r="328" spans="1:43" ht="20.100000000000001" customHeight="1">
      <c r="A328" s="252">
        <f t="shared" si="56"/>
        <v>45802</v>
      </c>
      <c r="C328" s="253"/>
      <c r="Z328" s="254" t="str">
        <f t="shared" si="57"/>
        <v/>
      </c>
      <c r="AE328" s="254">
        <f t="shared" si="55"/>
        <v>3.472222222222222E-3</v>
      </c>
      <c r="AG328" s="2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0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</row>
    <row r="329" spans="1:43" ht="20.100000000000001" customHeight="1">
      <c r="A329" s="252">
        <f t="shared" si="56"/>
        <v>45802</v>
      </c>
      <c r="C329" s="253"/>
      <c r="Z329" s="254" t="str">
        <f t="shared" si="57"/>
        <v/>
      </c>
      <c r="AE329" s="254">
        <f t="shared" si="55"/>
        <v>3.472222222222222E-3</v>
      </c>
      <c r="AG329" s="2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0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</row>
    <row r="330" spans="1:43" ht="20.100000000000001" customHeight="1">
      <c r="A330" s="252">
        <f t="shared" si="56"/>
        <v>45802</v>
      </c>
      <c r="C330" s="253"/>
      <c r="Z330" s="254" t="str">
        <f t="shared" si="57"/>
        <v/>
      </c>
      <c r="AE330" s="254">
        <f t="shared" si="55"/>
        <v>3.472222222222222E-3</v>
      </c>
      <c r="AG330" s="2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0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</row>
    <row r="331" spans="1:43" ht="20.100000000000001" customHeight="1">
      <c r="A331" s="252">
        <f t="shared" si="56"/>
        <v>45802</v>
      </c>
      <c r="C331" s="253"/>
      <c r="Z331" s="254" t="str">
        <f t="shared" si="57"/>
        <v/>
      </c>
      <c r="AE331" s="254">
        <f t="shared" si="55"/>
        <v>3.472222222222222E-3</v>
      </c>
      <c r="AG331" s="2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0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</row>
    <row r="332" spans="1:43" ht="20.100000000000001" customHeight="1">
      <c r="A332" s="252">
        <f t="shared" si="56"/>
        <v>45802</v>
      </c>
      <c r="C332" s="253"/>
      <c r="Z332" s="254" t="str">
        <f t="shared" si="57"/>
        <v/>
      </c>
      <c r="AE332" s="254">
        <f t="shared" si="55"/>
        <v>3.472222222222222E-3</v>
      </c>
      <c r="AG332" s="2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0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</row>
    <row r="333" spans="1:43" ht="20.100000000000001" customHeight="1">
      <c r="A333" s="252">
        <f t="shared" si="56"/>
        <v>45802</v>
      </c>
      <c r="C333" s="253"/>
      <c r="Z333" s="254" t="str">
        <f t="shared" si="57"/>
        <v/>
      </c>
      <c r="AE333" s="254">
        <f t="shared" si="55"/>
        <v>3.472222222222222E-3</v>
      </c>
      <c r="AG333" s="2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0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</row>
    <row r="334" spans="1:43" ht="20.100000000000001" customHeight="1">
      <c r="A334" s="252">
        <f t="shared" si="56"/>
        <v>45802</v>
      </c>
      <c r="C334" s="253"/>
      <c r="Z334" s="254" t="str">
        <f t="shared" si="57"/>
        <v/>
      </c>
      <c r="AE334" s="254">
        <f t="shared" si="55"/>
        <v>3.472222222222222E-3</v>
      </c>
      <c r="AG334" s="2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0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</row>
    <row r="335" spans="1:43" ht="20.100000000000001" customHeight="1">
      <c r="A335" s="252">
        <f t="shared" si="56"/>
        <v>45802</v>
      </c>
      <c r="C335" s="253"/>
      <c r="Z335" s="254" t="str">
        <f t="shared" si="57"/>
        <v/>
      </c>
      <c r="AE335" s="254">
        <f t="shared" si="55"/>
        <v>3.472222222222222E-3</v>
      </c>
      <c r="AG335" s="2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0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</row>
    <row r="336" spans="1:43" ht="20.100000000000001" customHeight="1">
      <c r="A336" s="252">
        <f t="shared" si="56"/>
        <v>45802</v>
      </c>
      <c r="C336" s="253"/>
      <c r="Z336" s="254" t="str">
        <f t="shared" si="57"/>
        <v/>
      </c>
      <c r="AE336" s="254">
        <f t="shared" si="55"/>
        <v>3.472222222222222E-3</v>
      </c>
      <c r="AG336" s="2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0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</row>
    <row r="337" spans="1:43" ht="20.100000000000001" customHeight="1">
      <c r="A337" s="252">
        <f t="shared" si="56"/>
        <v>45802</v>
      </c>
      <c r="C337" s="253"/>
      <c r="Z337" s="254" t="str">
        <f t="shared" si="57"/>
        <v/>
      </c>
      <c r="AE337" s="254">
        <f t="shared" si="55"/>
        <v>3.472222222222222E-3</v>
      </c>
      <c r="AG337" s="2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0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</row>
    <row r="338" spans="1:43" ht="20.100000000000001" customHeight="1">
      <c r="A338" s="252">
        <f t="shared" si="56"/>
        <v>45802</v>
      </c>
      <c r="C338" s="253"/>
      <c r="Z338" s="254" t="str">
        <f t="shared" si="57"/>
        <v/>
      </c>
      <c r="AE338" s="254">
        <f t="shared" si="55"/>
        <v>3.472222222222222E-3</v>
      </c>
      <c r="AG338" s="2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0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</row>
    <row r="339" spans="1:43" ht="20.100000000000001" customHeight="1">
      <c r="A339" s="252">
        <f t="shared" si="56"/>
        <v>45802</v>
      </c>
      <c r="C339" s="253"/>
      <c r="Z339" s="254" t="str">
        <f t="shared" si="57"/>
        <v/>
      </c>
      <c r="AE339" s="254">
        <f t="shared" si="55"/>
        <v>3.472222222222222E-3</v>
      </c>
      <c r="AG339" s="2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0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</row>
    <row r="340" spans="1:43" ht="20.100000000000001" customHeight="1">
      <c r="A340" s="252">
        <f t="shared" si="56"/>
        <v>45802</v>
      </c>
      <c r="C340" s="253"/>
      <c r="Z340" s="254" t="str">
        <f t="shared" si="57"/>
        <v/>
      </c>
      <c r="AE340" s="254">
        <f t="shared" si="55"/>
        <v>3.472222222222222E-3</v>
      </c>
      <c r="AG340" s="2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0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</row>
    <row r="341" spans="1:43" ht="20.100000000000001" customHeight="1">
      <c r="A341" s="252">
        <f t="shared" si="56"/>
        <v>45802</v>
      </c>
      <c r="C341" s="253"/>
      <c r="Z341" s="254" t="str">
        <f t="shared" si="57"/>
        <v/>
      </c>
      <c r="AE341" s="254">
        <f t="shared" si="55"/>
        <v>3.472222222222222E-3</v>
      </c>
      <c r="AG341" s="2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0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</row>
    <row r="342" spans="1:43" ht="20.100000000000001" customHeight="1">
      <c r="A342" s="252">
        <f t="shared" si="56"/>
        <v>45802</v>
      </c>
      <c r="C342" s="253"/>
      <c r="Z342" s="254" t="str">
        <f t="shared" si="57"/>
        <v/>
      </c>
      <c r="AE342" s="254">
        <f t="shared" si="55"/>
        <v>3.472222222222222E-3</v>
      </c>
      <c r="AG342" s="2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0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</row>
    <row r="343" spans="1:43" ht="20.100000000000001" customHeight="1">
      <c r="A343" s="252">
        <f t="shared" si="56"/>
        <v>45802</v>
      </c>
      <c r="C343" s="253"/>
      <c r="Z343" s="254" t="str">
        <f t="shared" si="57"/>
        <v/>
      </c>
      <c r="AE343" s="254">
        <f t="shared" si="55"/>
        <v>3.472222222222222E-3</v>
      </c>
      <c r="AG343" s="2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0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</row>
    <row r="344" spans="1:43" ht="20.100000000000001" customHeight="1">
      <c r="A344" s="252">
        <f t="shared" si="56"/>
        <v>45802</v>
      </c>
      <c r="C344" s="253"/>
      <c r="Z344" s="254" t="str">
        <f t="shared" si="57"/>
        <v/>
      </c>
      <c r="AE344" s="254">
        <f t="shared" si="55"/>
        <v>3.472222222222222E-3</v>
      </c>
      <c r="AG344" s="2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0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</row>
    <row r="345" spans="1:43" ht="20.100000000000001" customHeight="1">
      <c r="A345" s="252">
        <f t="shared" si="56"/>
        <v>45802</v>
      </c>
      <c r="C345" s="253"/>
      <c r="Z345" s="254" t="str">
        <f t="shared" si="57"/>
        <v/>
      </c>
      <c r="AE345" s="254">
        <f t="shared" si="55"/>
        <v>3.472222222222222E-3</v>
      </c>
      <c r="AG345" s="2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0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</row>
    <row r="346" spans="1:43" ht="20.100000000000001" customHeight="1">
      <c r="A346" s="252">
        <f t="shared" si="56"/>
        <v>45802</v>
      </c>
      <c r="C346" s="253"/>
      <c r="Z346" s="254" t="str">
        <f t="shared" si="57"/>
        <v/>
      </c>
      <c r="AE346" s="254">
        <f t="shared" si="55"/>
        <v>3.472222222222222E-3</v>
      </c>
      <c r="AG346" s="2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0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</row>
    <row r="347" spans="1:43" ht="20.100000000000001" customHeight="1">
      <c r="A347" s="252">
        <f t="shared" si="56"/>
        <v>45802</v>
      </c>
      <c r="C347" s="253"/>
      <c r="Z347" s="254" t="str">
        <f t="shared" si="57"/>
        <v/>
      </c>
      <c r="AE347" s="254">
        <f t="shared" si="55"/>
        <v>3.472222222222222E-3</v>
      </c>
      <c r="AG347" s="2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0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</row>
    <row r="348" spans="1:43" ht="20.100000000000001" customHeight="1">
      <c r="A348" s="252">
        <f t="shared" si="56"/>
        <v>45802</v>
      </c>
      <c r="C348" s="253"/>
      <c r="Z348" s="254" t="str">
        <f t="shared" si="57"/>
        <v/>
      </c>
      <c r="AE348" s="254">
        <f t="shared" si="55"/>
        <v>3.472222222222222E-3</v>
      </c>
      <c r="AG348" s="2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0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</row>
    <row r="349" spans="1:43" ht="20.100000000000001" customHeight="1">
      <c r="A349" s="252">
        <f t="shared" si="56"/>
        <v>45802</v>
      </c>
      <c r="C349" s="253"/>
      <c r="Z349" s="254" t="str">
        <f t="shared" si="57"/>
        <v/>
      </c>
      <c r="AE349" s="254">
        <f t="shared" si="55"/>
        <v>3.472222222222222E-3</v>
      </c>
      <c r="AG349" s="2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0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</row>
    <row r="350" spans="1:43" ht="20.100000000000001" customHeight="1">
      <c r="A350" s="252">
        <f t="shared" si="56"/>
        <v>45802</v>
      </c>
      <c r="C350" s="253"/>
      <c r="Z350" s="254" t="str">
        <f t="shared" si="57"/>
        <v/>
      </c>
      <c r="AE350" s="254">
        <f t="shared" si="55"/>
        <v>3.472222222222222E-3</v>
      </c>
      <c r="AG350" s="2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0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</row>
    <row r="351" spans="1:43" ht="20.100000000000001" customHeight="1">
      <c r="A351" s="252">
        <f t="shared" si="56"/>
        <v>45802</v>
      </c>
      <c r="C351" s="253"/>
      <c r="Z351" s="254" t="str">
        <f t="shared" si="57"/>
        <v/>
      </c>
      <c r="AE351" s="254">
        <f t="shared" si="55"/>
        <v>3.472222222222222E-3</v>
      </c>
      <c r="AG351" s="2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0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</row>
    <row r="352" spans="1:43" ht="20.100000000000001" customHeight="1">
      <c r="A352" s="252">
        <f t="shared" si="56"/>
        <v>45802</v>
      </c>
      <c r="C352" s="253"/>
      <c r="Z352" s="254" t="str">
        <f t="shared" si="57"/>
        <v/>
      </c>
      <c r="AE352" s="254">
        <f t="shared" si="55"/>
        <v>3.472222222222222E-3</v>
      </c>
      <c r="AG352" s="2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0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</row>
    <row r="353" spans="1:43" ht="20.100000000000001" customHeight="1">
      <c r="A353" s="252">
        <f t="shared" si="56"/>
        <v>45802</v>
      </c>
      <c r="C353" s="253"/>
      <c r="Z353" s="254" t="str">
        <f t="shared" si="57"/>
        <v/>
      </c>
      <c r="AE353" s="254">
        <f t="shared" si="55"/>
        <v>3.472222222222222E-3</v>
      </c>
      <c r="AG353" s="2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0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</row>
    <row r="354" spans="1:43" ht="20.100000000000001" customHeight="1">
      <c r="A354" s="252">
        <f t="shared" si="56"/>
        <v>45802</v>
      </c>
      <c r="C354" s="253"/>
      <c r="Z354" s="254" t="str">
        <f t="shared" si="57"/>
        <v/>
      </c>
      <c r="AE354" s="254">
        <f t="shared" si="55"/>
        <v>3.472222222222222E-3</v>
      </c>
      <c r="AG354" s="2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0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</row>
    <row r="355" spans="1:43" ht="20.100000000000001" customHeight="1">
      <c r="A355" s="252">
        <f t="shared" si="56"/>
        <v>45802</v>
      </c>
      <c r="C355" s="253"/>
      <c r="Z355" s="254" t="str">
        <f t="shared" si="57"/>
        <v/>
      </c>
      <c r="AE355" s="254">
        <f t="shared" si="55"/>
        <v>3.472222222222222E-3</v>
      </c>
      <c r="AG355" s="2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0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</row>
    <row r="356" spans="1:43" ht="20.100000000000001" customHeight="1">
      <c r="A356" s="252">
        <f t="shared" si="56"/>
        <v>45802</v>
      </c>
      <c r="C356" s="253"/>
      <c r="Z356" s="254" t="str">
        <f t="shared" si="57"/>
        <v/>
      </c>
      <c r="AE356" s="254">
        <f t="shared" si="55"/>
        <v>3.472222222222222E-3</v>
      </c>
      <c r="AG356" s="2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0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</row>
    <row r="357" spans="1:43" ht="20.100000000000001" customHeight="1">
      <c r="A357" s="252">
        <f t="shared" si="56"/>
        <v>45802</v>
      </c>
      <c r="C357" s="253"/>
      <c r="Z357" s="254" t="str">
        <f t="shared" si="57"/>
        <v/>
      </c>
      <c r="AE357" s="254">
        <f t="shared" si="55"/>
        <v>3.472222222222222E-3</v>
      </c>
      <c r="AG357" s="2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0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</row>
    <row r="358" spans="1:43" ht="20.100000000000001" customHeight="1">
      <c r="A358" s="252">
        <f t="shared" si="56"/>
        <v>45802</v>
      </c>
      <c r="C358" s="253"/>
      <c r="Z358" s="254" t="str">
        <f t="shared" si="57"/>
        <v/>
      </c>
      <c r="AE358" s="254">
        <f t="shared" si="55"/>
        <v>3.472222222222222E-3</v>
      </c>
      <c r="AG358" s="2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0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</row>
    <row r="359" spans="1:43" ht="20.100000000000001" customHeight="1">
      <c r="A359" s="252">
        <f t="shared" si="56"/>
        <v>45802</v>
      </c>
      <c r="C359" s="253"/>
      <c r="Z359" s="254" t="str">
        <f t="shared" si="57"/>
        <v/>
      </c>
      <c r="AE359" s="254">
        <f t="shared" si="55"/>
        <v>3.472222222222222E-3</v>
      </c>
      <c r="AG359" s="2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0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</row>
    <row r="360" spans="1:43" ht="20.100000000000001" customHeight="1">
      <c r="A360" s="252">
        <f t="shared" si="56"/>
        <v>45802</v>
      </c>
      <c r="C360" s="253"/>
      <c r="Z360" s="254" t="str">
        <f t="shared" si="57"/>
        <v/>
      </c>
      <c r="AE360" s="254">
        <f t="shared" si="55"/>
        <v>3.472222222222222E-3</v>
      </c>
      <c r="AG360" s="2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0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</row>
    <row r="361" spans="1:43" ht="20.100000000000001" customHeight="1">
      <c r="A361" s="252">
        <f t="shared" si="56"/>
        <v>45802</v>
      </c>
      <c r="C361" s="253"/>
      <c r="Z361" s="254" t="str">
        <f t="shared" si="57"/>
        <v/>
      </c>
      <c r="AE361" s="254">
        <f t="shared" si="55"/>
        <v>3.472222222222222E-3</v>
      </c>
      <c r="AG361" s="2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0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</row>
    <row r="362" spans="1:43" ht="20.100000000000001" customHeight="1">
      <c r="A362" s="252">
        <f t="shared" si="56"/>
        <v>45802</v>
      </c>
      <c r="C362" s="253"/>
      <c r="Z362" s="254" t="str">
        <f t="shared" si="57"/>
        <v/>
      </c>
      <c r="AE362" s="254">
        <f t="shared" si="55"/>
        <v>3.472222222222222E-3</v>
      </c>
      <c r="AG362" s="2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0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</row>
    <row r="363" spans="1:43" ht="20.100000000000001" customHeight="1">
      <c r="A363" s="252">
        <f t="shared" si="56"/>
        <v>45802</v>
      </c>
      <c r="C363" s="253"/>
      <c r="Z363" s="254" t="str">
        <f t="shared" si="57"/>
        <v/>
      </c>
      <c r="AE363" s="254">
        <f t="shared" si="55"/>
        <v>3.472222222222222E-3</v>
      </c>
      <c r="AG363" s="2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0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</row>
    <row r="364" spans="1:43" ht="20.100000000000001" customHeight="1">
      <c r="A364" s="252">
        <f t="shared" si="56"/>
        <v>45802</v>
      </c>
      <c r="C364" s="253"/>
      <c r="Z364" s="254" t="str">
        <f t="shared" si="57"/>
        <v/>
      </c>
      <c r="AE364" s="254">
        <f t="shared" si="55"/>
        <v>3.472222222222222E-3</v>
      </c>
      <c r="AG364" s="2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0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</row>
    <row r="365" spans="1:43" ht="20.100000000000001" customHeight="1">
      <c r="A365" s="252">
        <f t="shared" si="56"/>
        <v>45802</v>
      </c>
      <c r="C365" s="253"/>
      <c r="Z365" s="254" t="str">
        <f t="shared" si="57"/>
        <v/>
      </c>
      <c r="AE365" s="254">
        <f t="shared" si="55"/>
        <v>3.472222222222222E-3</v>
      </c>
      <c r="AG365" s="2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0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</row>
    <row r="366" spans="1:43" ht="20.100000000000001" customHeight="1">
      <c r="A366" s="252">
        <f t="shared" si="56"/>
        <v>45802</v>
      </c>
      <c r="C366" s="253"/>
      <c r="Z366" s="254" t="str">
        <f t="shared" si="57"/>
        <v/>
      </c>
      <c r="AE366" s="254">
        <f t="shared" si="55"/>
        <v>3.472222222222222E-3</v>
      </c>
      <c r="AG366" s="2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0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</row>
    <row r="367" spans="1:43" ht="20.100000000000001" customHeight="1">
      <c r="A367" s="252">
        <f t="shared" si="56"/>
        <v>45802</v>
      </c>
      <c r="C367" s="253"/>
      <c r="Z367" s="254" t="str">
        <f t="shared" si="57"/>
        <v/>
      </c>
      <c r="AE367" s="254">
        <f t="shared" si="55"/>
        <v>3.472222222222222E-3</v>
      </c>
      <c r="AG367" s="2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0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</row>
    <row r="368" spans="1:43" ht="20.100000000000001" customHeight="1">
      <c r="A368" s="252">
        <f t="shared" si="56"/>
        <v>45802</v>
      </c>
      <c r="C368" s="253"/>
      <c r="Z368" s="254" t="str">
        <f t="shared" si="57"/>
        <v/>
      </c>
      <c r="AE368" s="254">
        <f t="shared" si="55"/>
        <v>3.472222222222222E-3</v>
      </c>
      <c r="AG368" s="2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0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</row>
    <row r="369" spans="1:43" ht="20.100000000000001" customHeight="1">
      <c r="A369" s="252">
        <f t="shared" si="56"/>
        <v>45802</v>
      </c>
      <c r="C369" s="253"/>
      <c r="Z369" s="254" t="str">
        <f t="shared" si="57"/>
        <v/>
      </c>
      <c r="AE369" s="254">
        <f t="shared" si="55"/>
        <v>3.472222222222222E-3</v>
      </c>
      <c r="AG369" s="2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0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</row>
    <row r="370" spans="1:43" ht="20.100000000000001" customHeight="1">
      <c r="A370" s="252">
        <f t="shared" si="56"/>
        <v>45802</v>
      </c>
      <c r="C370" s="253"/>
      <c r="Z370" s="254" t="str">
        <f t="shared" si="57"/>
        <v/>
      </c>
      <c r="AE370" s="254">
        <f t="shared" si="55"/>
        <v>3.472222222222222E-3</v>
      </c>
      <c r="AG370" s="2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0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</row>
    <row r="371" spans="1:43" ht="20.100000000000001" customHeight="1">
      <c r="A371" s="252">
        <f t="shared" si="56"/>
        <v>45802</v>
      </c>
      <c r="C371" s="253"/>
      <c r="Z371" s="254" t="str">
        <f t="shared" si="57"/>
        <v/>
      </c>
      <c r="AE371" s="254">
        <f t="shared" si="55"/>
        <v>3.472222222222222E-3</v>
      </c>
      <c r="AG371" s="2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0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</row>
    <row r="372" spans="1:43" ht="20.100000000000001" customHeight="1">
      <c r="A372" s="252">
        <f t="shared" si="56"/>
        <v>45802</v>
      </c>
      <c r="C372" s="253"/>
      <c r="Z372" s="254" t="str">
        <f t="shared" si="57"/>
        <v/>
      </c>
      <c r="AE372" s="254">
        <f t="shared" si="55"/>
        <v>3.472222222222222E-3</v>
      </c>
      <c r="AG372" s="2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0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</row>
    <row r="373" spans="1:43" ht="20.100000000000001" customHeight="1">
      <c r="A373" s="252">
        <f t="shared" si="56"/>
        <v>45802</v>
      </c>
      <c r="C373" s="253"/>
      <c r="Z373" s="254" t="str">
        <f t="shared" si="57"/>
        <v/>
      </c>
      <c r="AE373" s="254">
        <f t="shared" si="55"/>
        <v>3.472222222222222E-3</v>
      </c>
      <c r="AG373" s="2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0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</row>
    <row r="374" spans="1:43" ht="20.100000000000001" customHeight="1">
      <c r="A374" s="252">
        <f t="shared" si="56"/>
        <v>45802</v>
      </c>
      <c r="C374" s="253"/>
      <c r="Z374" s="254" t="str">
        <f t="shared" si="57"/>
        <v/>
      </c>
      <c r="AE374" s="254">
        <f t="shared" si="55"/>
        <v>3.472222222222222E-3</v>
      </c>
      <c r="AG374" s="2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0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</row>
    <row r="375" spans="1:43" ht="20.100000000000001" customHeight="1">
      <c r="A375" s="252">
        <f t="shared" si="56"/>
        <v>45802</v>
      </c>
      <c r="C375" s="253"/>
      <c r="Z375" s="254" t="str">
        <f t="shared" si="57"/>
        <v/>
      </c>
      <c r="AE375" s="254">
        <f t="shared" si="55"/>
        <v>3.472222222222222E-3</v>
      </c>
      <c r="AG375" s="2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0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</row>
    <row r="376" spans="1:43" ht="20.100000000000001" customHeight="1">
      <c r="A376" s="252">
        <f t="shared" si="56"/>
        <v>45802</v>
      </c>
      <c r="C376" s="253"/>
      <c r="Z376" s="254" t="str">
        <f t="shared" si="57"/>
        <v/>
      </c>
      <c r="AE376" s="254">
        <f t="shared" si="55"/>
        <v>3.472222222222222E-3</v>
      </c>
      <c r="AG376" s="2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0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</row>
    <row r="377" spans="1:43" ht="20.100000000000001" customHeight="1">
      <c r="A377" s="252">
        <f t="shared" si="56"/>
        <v>45802</v>
      </c>
      <c r="C377" s="253"/>
      <c r="Z377" s="254" t="str">
        <f t="shared" si="57"/>
        <v/>
      </c>
      <c r="AE377" s="254">
        <f t="shared" si="55"/>
        <v>3.472222222222222E-3</v>
      </c>
      <c r="AG377" s="2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0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</row>
    <row r="378" spans="1:43" ht="20.100000000000001" customHeight="1">
      <c r="A378" s="252">
        <f t="shared" si="56"/>
        <v>45802</v>
      </c>
      <c r="C378" s="253"/>
      <c r="Z378" s="254" t="str">
        <f t="shared" si="57"/>
        <v/>
      </c>
      <c r="AE378" s="254">
        <f t="shared" si="55"/>
        <v>3.472222222222222E-3</v>
      </c>
      <c r="AG378" s="2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0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</row>
    <row r="379" spans="1:43" ht="20.100000000000001" customHeight="1">
      <c r="A379" s="252">
        <f t="shared" si="56"/>
        <v>45802</v>
      </c>
      <c r="C379" s="253"/>
      <c r="Z379" s="254" t="str">
        <f t="shared" si="57"/>
        <v/>
      </c>
      <c r="AE379" s="254">
        <f t="shared" si="55"/>
        <v>3.472222222222222E-3</v>
      </c>
      <c r="AG379" s="2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0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</row>
    <row r="380" spans="1:43" ht="20.100000000000001" customHeight="1">
      <c r="A380" s="252">
        <f t="shared" si="56"/>
        <v>45802</v>
      </c>
      <c r="C380" s="253"/>
      <c r="Z380" s="254" t="str">
        <f t="shared" si="57"/>
        <v/>
      </c>
      <c r="AE380" s="254">
        <f t="shared" si="55"/>
        <v>3.472222222222222E-3</v>
      </c>
      <c r="AG380" s="2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0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</row>
    <row r="381" spans="1:43" ht="20.100000000000001" customHeight="1">
      <c r="A381" s="252">
        <f t="shared" si="56"/>
        <v>45802</v>
      </c>
      <c r="C381" s="253"/>
      <c r="Z381" s="254" t="str">
        <f t="shared" si="57"/>
        <v/>
      </c>
      <c r="AE381" s="254">
        <f t="shared" si="55"/>
        <v>3.472222222222222E-3</v>
      </c>
      <c r="AG381" s="2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0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</row>
    <row r="382" spans="1:43" ht="20.100000000000001" customHeight="1">
      <c r="A382" s="252">
        <f t="shared" si="56"/>
        <v>45802</v>
      </c>
      <c r="C382" s="253"/>
      <c r="Z382" s="254" t="str">
        <f t="shared" si="57"/>
        <v/>
      </c>
      <c r="AE382" s="254">
        <f t="shared" si="55"/>
        <v>3.472222222222222E-3</v>
      </c>
      <c r="AG382" s="2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0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</row>
    <row r="383" spans="1:43" ht="20.100000000000001" customHeight="1">
      <c r="A383" s="252">
        <f t="shared" si="56"/>
        <v>45802</v>
      </c>
      <c r="C383" s="253"/>
      <c r="Z383" s="254" t="str">
        <f t="shared" si="57"/>
        <v/>
      </c>
      <c r="AE383" s="254">
        <f t="shared" si="55"/>
        <v>3.472222222222222E-3</v>
      </c>
      <c r="AG383" s="2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0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</row>
    <row r="384" spans="1:43" ht="20.100000000000001" customHeight="1">
      <c r="A384" s="252">
        <f t="shared" si="56"/>
        <v>45802</v>
      </c>
      <c r="C384" s="253"/>
      <c r="Z384" s="254" t="str">
        <f t="shared" si="57"/>
        <v/>
      </c>
      <c r="AE384" s="254">
        <f t="shared" si="55"/>
        <v>3.472222222222222E-3</v>
      </c>
      <c r="AG384" s="2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0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</row>
    <row r="385" spans="1:43" ht="20.100000000000001" customHeight="1">
      <c r="A385" s="252">
        <f t="shared" si="56"/>
        <v>45802</v>
      </c>
      <c r="C385" s="253"/>
      <c r="Z385" s="254" t="str">
        <f t="shared" si="57"/>
        <v/>
      </c>
      <c r="AE385" s="254">
        <f t="shared" si="55"/>
        <v>3.472222222222222E-3</v>
      </c>
      <c r="AG385" s="2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0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</row>
    <row r="386" spans="1:43" ht="20.100000000000001" customHeight="1">
      <c r="A386" s="252">
        <f t="shared" si="56"/>
        <v>45802</v>
      </c>
      <c r="C386" s="253"/>
      <c r="Z386" s="254" t="str">
        <f t="shared" si="57"/>
        <v/>
      </c>
      <c r="AE386" s="254">
        <f t="shared" si="55"/>
        <v>3.472222222222222E-3</v>
      </c>
      <c r="AG386" s="2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0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</row>
    <row r="387" spans="1:43" ht="20.100000000000001" customHeight="1">
      <c r="A387" s="252">
        <f t="shared" si="56"/>
        <v>45802</v>
      </c>
      <c r="C387" s="253"/>
      <c r="Z387" s="254" t="str">
        <f t="shared" si="57"/>
        <v/>
      </c>
      <c r="AE387" s="254">
        <f t="shared" si="55"/>
        <v>3.472222222222222E-3</v>
      </c>
      <c r="AG387" s="2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0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</row>
    <row r="388" spans="1:43" ht="20.100000000000001" customHeight="1">
      <c r="A388" s="252">
        <f t="shared" si="56"/>
        <v>45802</v>
      </c>
      <c r="C388" s="253"/>
      <c r="Z388" s="254" t="str">
        <f t="shared" si="57"/>
        <v/>
      </c>
      <c r="AE388" s="254">
        <f t="shared" si="55"/>
        <v>3.472222222222222E-3</v>
      </c>
      <c r="AG388" s="2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0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</row>
    <row r="389" spans="1:43" ht="20.100000000000001" customHeight="1">
      <c r="A389" s="252">
        <f t="shared" si="56"/>
        <v>45802</v>
      </c>
      <c r="C389" s="253"/>
      <c r="Z389" s="254" t="str">
        <f t="shared" si="57"/>
        <v/>
      </c>
      <c r="AE389" s="254">
        <f t="shared" ref="AE389:AE400" si="66">TIME(0,$K389+5,0)</f>
        <v>3.472222222222222E-3</v>
      </c>
      <c r="AG389" s="2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0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</row>
    <row r="390" spans="1:43" ht="20.100000000000001" customHeight="1">
      <c r="A390" s="252">
        <f t="shared" ref="A390:A400" si="67">A389</f>
        <v>45802</v>
      </c>
      <c r="C390" s="253"/>
      <c r="Z390" s="254" t="str">
        <f t="shared" ref="Z390:Z400" si="68">IF(Y390="","",$Y390+TIME(0,5,0))</f>
        <v/>
      </c>
      <c r="AE390" s="254">
        <f t="shared" si="66"/>
        <v>3.472222222222222E-3</v>
      </c>
      <c r="AG390" s="254" t="str">
        <f t="shared" ref="AG390:AG400" si="69">IF(AF390="","",IF(D390="トラブル報告",AF390+TIME(0,45,0),SUM(AE390,AF390)))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0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</row>
    <row r="391" spans="1:43" ht="20.100000000000001" customHeight="1">
      <c r="A391" s="252">
        <f t="shared" si="67"/>
        <v>45802</v>
      </c>
      <c r="C391" s="253"/>
      <c r="Z391" s="254" t="str">
        <f t="shared" si="68"/>
        <v/>
      </c>
      <c r="AE391" s="254">
        <f t="shared" si="66"/>
        <v>3.472222222222222E-3</v>
      </c>
      <c r="AG391" s="2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0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</row>
    <row r="392" spans="1:43" ht="20.100000000000001" customHeight="1">
      <c r="A392" s="252">
        <f t="shared" si="67"/>
        <v>45802</v>
      </c>
      <c r="C392" s="253"/>
      <c r="Z392" s="254" t="str">
        <f t="shared" si="68"/>
        <v/>
      </c>
      <c r="AE392" s="254">
        <f t="shared" si="66"/>
        <v>3.472222222222222E-3</v>
      </c>
      <c r="AG392" s="2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0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</row>
    <row r="393" spans="1:43" ht="20.100000000000001" customHeight="1">
      <c r="A393" s="252">
        <f t="shared" si="67"/>
        <v>45802</v>
      </c>
      <c r="C393" s="253"/>
      <c r="Z393" s="254" t="str">
        <f t="shared" si="68"/>
        <v/>
      </c>
      <c r="AE393" s="254">
        <f t="shared" si="66"/>
        <v>3.472222222222222E-3</v>
      </c>
      <c r="AG393" s="2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0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</row>
    <row r="394" spans="1:43" ht="20.100000000000001" customHeight="1">
      <c r="A394" s="252">
        <f t="shared" si="67"/>
        <v>45802</v>
      </c>
      <c r="C394" s="253"/>
      <c r="Z394" s="254" t="str">
        <f t="shared" si="68"/>
        <v/>
      </c>
      <c r="AE394" s="254">
        <f t="shared" si="66"/>
        <v>3.472222222222222E-3</v>
      </c>
      <c r="AG394" s="2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0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</row>
    <row r="395" spans="1:43" ht="20.100000000000001" customHeight="1">
      <c r="A395" s="252">
        <f t="shared" si="67"/>
        <v>45802</v>
      </c>
      <c r="C395" s="253"/>
      <c r="Z395" s="254" t="str">
        <f t="shared" si="68"/>
        <v/>
      </c>
      <c r="AE395" s="254">
        <f t="shared" si="66"/>
        <v>3.472222222222222E-3</v>
      </c>
      <c r="AG395" s="2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0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</row>
    <row r="396" spans="1:43" ht="20.100000000000001" customHeight="1">
      <c r="A396" s="252">
        <f t="shared" si="67"/>
        <v>45802</v>
      </c>
      <c r="C396" s="253"/>
      <c r="Z396" s="254" t="str">
        <f t="shared" si="68"/>
        <v/>
      </c>
      <c r="AE396" s="254">
        <f t="shared" si="66"/>
        <v>3.472222222222222E-3</v>
      </c>
      <c r="AG396" s="2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0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</row>
    <row r="397" spans="1:43" ht="20.100000000000001" customHeight="1">
      <c r="A397" s="252">
        <f t="shared" si="67"/>
        <v>45802</v>
      </c>
      <c r="C397" s="253"/>
      <c r="Z397" s="254" t="str">
        <f t="shared" si="68"/>
        <v/>
      </c>
      <c r="AE397" s="254">
        <f t="shared" si="66"/>
        <v>3.472222222222222E-3</v>
      </c>
      <c r="AG397" s="2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0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</row>
    <row r="398" spans="1:43" ht="20.100000000000001" customHeight="1">
      <c r="A398" s="252">
        <f t="shared" si="67"/>
        <v>45802</v>
      </c>
      <c r="C398" s="253"/>
      <c r="Z398" s="254" t="str">
        <f t="shared" si="68"/>
        <v/>
      </c>
      <c r="AE398" s="254">
        <f t="shared" si="66"/>
        <v>3.472222222222222E-3</v>
      </c>
      <c r="AG398" s="2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0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</row>
    <row r="399" spans="1:43" ht="20.100000000000001" customHeight="1">
      <c r="A399" s="252">
        <f t="shared" si="67"/>
        <v>45802</v>
      </c>
      <c r="C399" s="253"/>
      <c r="Z399" s="254" t="str">
        <f t="shared" si="68"/>
        <v/>
      </c>
      <c r="AE399" s="254">
        <f t="shared" si="66"/>
        <v>3.472222222222222E-3</v>
      </c>
      <c r="AG399" s="2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0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</row>
    <row r="400" spans="1:43" ht="20.100000000000001" customHeight="1">
      <c r="A400" s="252">
        <f t="shared" si="67"/>
        <v>45802</v>
      </c>
      <c r="C400" s="253"/>
      <c r="Z400" s="254" t="str">
        <f t="shared" si="68"/>
        <v/>
      </c>
      <c r="AE400" s="254">
        <f t="shared" si="66"/>
        <v>3.472222222222222E-3</v>
      </c>
      <c r="AG400" s="2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0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S1:S2"/>
    <mergeCell ref="W1:Y2"/>
    <mergeCell ref="AJ1:AJ2"/>
  </mergeCells>
  <phoneticPr fontId="2"/>
  <conditionalFormatting sqref="AI5:AI400 B5:B400 I5:I400 L5:N400 P5:Q400">
    <cfRule type="expression" dxfId="202" priority="30">
      <formula>$AI5=INDIRECT($AK$3&amp;"!$K$3")</formula>
    </cfRule>
  </conditionalFormatting>
  <conditionalFormatting sqref="X5:X400 AI5:AI400 L5:L400 B5:B400 I5:J400 N5:N400 P5:P400">
    <cfRule type="expression" dxfId="201" priority="28">
      <formula>$AI5=INDIRECT($AK$3&amp;"!$K$4")</formula>
    </cfRule>
  </conditionalFormatting>
  <conditionalFormatting sqref="A5:AJ400">
    <cfRule type="expression" dxfId="200" priority="1">
      <formula>$A5&lt;TODAY()</formula>
    </cfRule>
  </conditionalFormatting>
  <conditionalFormatting sqref="P5:S400">
    <cfRule type="expression" dxfId="199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98" priority="10">
      <formula>OR($V5=INDIRECT($AK$3&amp;"!$E$5"),$V5=INDIRECT($AK$3&amp;"!$E$6"))</formula>
    </cfRule>
  </conditionalFormatting>
  <conditionalFormatting sqref="T5:T400">
    <cfRule type="notContainsBlanks" dxfId="197" priority="104">
      <formula>LEN(TRIM(T5))&gt;0</formula>
    </cfRule>
    <cfRule type="expression" dxfId="196" priority="113">
      <formula>OR($O5=INDIRECT($AK$3&amp;"!$C$3"),$O5=INDIRECT($AK$3&amp;"!$C$17"),$O5=INDIRECT($AK$3&amp;"!$C$18"))</formula>
    </cfRule>
  </conditionalFormatting>
  <conditionalFormatting sqref="U5:U400">
    <cfRule type="expression" dxfId="195" priority="98">
      <formula>AND($V5&lt;&gt;"",$U5&lt;&gt;"",$V5&lt;&gt;"Chat中")</formula>
    </cfRule>
    <cfRule type="expression" dxfId="194" priority="99">
      <formula>AND($T5&lt;&gt;"",TEXT(NOW(),"h:mm")*1 &gt;= $T5+TIME(0,5,0) )</formula>
    </cfRule>
  </conditionalFormatting>
  <conditionalFormatting sqref="Y5:Y400">
    <cfRule type="notContainsBlanks" dxfId="193" priority="54">
      <formula>LEN(TRIM(Y5))&gt;0</formula>
    </cfRule>
    <cfRule type="expression" dxfId="192" priority="103">
      <formula>AND($V5=INDIRECT($AK$3&amp;"!$E$3"),$D5&lt;&gt;"トラブル報告")</formula>
    </cfRule>
    <cfRule type="expression" dxfId="191" priority="106">
      <formula>AND($O5=INDIRECT($AK$3&amp;"!$C$3"),$V5=INDIRECT($AK$3&amp;"!$E$3"))</formula>
    </cfRule>
  </conditionalFormatting>
  <conditionalFormatting sqref="Z5:Z400">
    <cfRule type="expression" dxfId="190" priority="91">
      <formula>AND($AA5&lt;&gt;"",$Y5&lt;&gt;"",$AA5&lt;&gt;"Chat中")</formula>
    </cfRule>
    <cfRule type="expression" dxfId="189" priority="92">
      <formula>AND($Y5&lt;&gt;"",TEXT(NOW(),"h:mm")*1 &gt;= $Y5+TIME(0,5,0) )</formula>
    </cfRule>
  </conditionalFormatting>
  <conditionalFormatting sqref="V5:V400">
    <cfRule type="expression" dxfId="188" priority="46">
      <formula>OR($V5=INDIRECT($AK$3&amp;"!$E$13"),$V5=INDIRECT($AK$3&amp;"!$E$14"))</formula>
    </cfRule>
    <cfRule type="expression" dxfId="187" priority="50">
      <formula>$V5=INDIRECT($AK$3&amp;"!$E$2")</formula>
    </cfRule>
    <cfRule type="expression" dxfId="186" priority="94">
      <formula>$V5=INDIRECT($AK$3&amp;"!$E$12")</formula>
    </cfRule>
    <cfRule type="expression" dxfId="185" priority="96">
      <formula>OR($V5=INDIRECT($AK$3&amp;"!$E$3"),$V5=INDIRECT($AK$3&amp;"!$E$4"),$V5=INDIRECT($AK$3&amp;"!$E$15"))</formula>
    </cfRule>
    <cfRule type="expression" dxfId="184" priority="97">
      <formula>$D5="トラブル報告"</formula>
    </cfRule>
  </conditionalFormatting>
  <conditionalFormatting sqref="X5:X400">
    <cfRule type="expression" dxfId="183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82" priority="60">
      <formula>OR($AA5=INDIRECT($AK$3&amp;"!$G$3"),$AA5=INDIRECT($AK$3&amp;"!$G$4"),$AA5=INDIRECT($AK$3&amp;"!$G$7"),$AA5=INDIRECT($AK$3&amp;"!$G$8"))</formula>
    </cfRule>
    <cfRule type="expression" dxfId="181" priority="64">
      <formula>$AB5=INDIRECT($AK$3&amp;"!$I$9")</formula>
    </cfRule>
    <cfRule type="expression" dxfId="180" priority="78">
      <formula>($AB5=INDIRECT($AK$3&amp;"!$I$8"))</formula>
    </cfRule>
    <cfRule type="expression" dxfId="179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8" priority="33">
      <formula>OR($AA5=INDIRECT($AK$3&amp;"!$G$3"),$AA5=INDIRECT($AK$3&amp;"!$G$15"))</formula>
    </cfRule>
    <cfRule type="expression" dxfId="177" priority="55">
      <formula>$AA5=INDIRECT($AK$3&amp;"!$G$2")</formula>
    </cfRule>
    <cfRule type="expression" dxfId="176" priority="71">
      <formula>$AA5=INDIRECT($AK$3&amp;"!$G$14")</formula>
    </cfRule>
    <cfRule type="expression" dxfId="175" priority="74">
      <formula>$AA5=INDIRECT($AK$3&amp;"!$G$5")</formula>
    </cfRule>
    <cfRule type="expression" dxfId="174" priority="76">
      <formula>OR($AA5=INDIRECT($AK$3&amp;"!$G$4"),$AA5=INDIRECT($AK$3&amp;"!$G$7"),$AA5=INDIRECT($AK$3&amp;"!$G$8"))</formula>
    </cfRule>
    <cfRule type="expression" dxfId="173" priority="89">
      <formula>AND($V5=INDIRECT($AK$3&amp;"!$E$3"),$Y5&gt;0)</formula>
    </cfRule>
    <cfRule type="expression" dxfId="172" priority="90">
      <formula>$AA5=INDIRECT($AK$3&amp;"!$G$6")</formula>
    </cfRule>
  </conditionalFormatting>
  <conditionalFormatting sqref="X5:X400 AA5:AA400 D5:D400 I5:J400 L5:M400 P5:Q400">
    <cfRule type="expression" dxfId="171" priority="62">
      <formula>$AA5=INDIRECT($AK$3&amp;"!$G$11")</formula>
    </cfRule>
  </conditionalFormatting>
  <conditionalFormatting sqref="O5:O400">
    <cfRule type="expression" dxfId="170" priority="15">
      <formula>$O5="DSレスキュー済"</formula>
    </cfRule>
    <cfRule type="expression" dxfId="169" priority="25">
      <formula>AND($I5&gt;0,$O5="")</formula>
    </cfRule>
    <cfRule type="expression" dxfId="168" priority="63">
      <formula>$O5=INDIRECT($AK$3&amp;"!$C$15")</formula>
    </cfRule>
    <cfRule type="expression" dxfId="167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66" priority="21" operator="containsText" text="UXへのみ可">
      <formula>NOT(ISERROR(SEARCH("UXへのみ可",P5)))</formula>
    </cfRule>
    <cfRule type="containsText" dxfId="165" priority="24" operator="containsText" text="使用可">
      <formula>NOT(ISERROR(SEARCH("使用可",P5)))</formula>
    </cfRule>
  </conditionalFormatting>
  <conditionalFormatting sqref="Q5:Q400">
    <cfRule type="notContainsBlanks" dxfId="164" priority="112">
      <formula>LEN(TRIM(Q5))&gt;0</formula>
    </cfRule>
  </conditionalFormatting>
  <conditionalFormatting sqref="N5:N400">
    <cfRule type="expression" priority="83">
      <formula>$C5=""</formula>
    </cfRule>
    <cfRule type="expression" dxfId="163" priority="84">
      <formula>OR($C5=$C4,$C5=$C6)</formula>
    </cfRule>
  </conditionalFormatting>
  <conditionalFormatting sqref="U5:V400">
    <cfRule type="expression" dxfId="162" priority="102">
      <formula>$T5&lt;&gt;""</formula>
    </cfRule>
  </conditionalFormatting>
  <conditionalFormatting sqref="Z5:AA400">
    <cfRule type="expression" dxfId="161" priority="100">
      <formula>$Y5&lt;&gt;""</formula>
    </cfRule>
  </conditionalFormatting>
  <conditionalFormatting sqref="AB5:AB400">
    <cfRule type="expression" dxfId="160" priority="66">
      <formula>$AB5=INDIRECT($AK$3&amp;"!$I$10")</formula>
    </cfRule>
    <cfRule type="expression" dxfId="159" priority="69">
      <formula>$AB5=INDIRECT($AK$3&amp;"!$I$13")</formula>
    </cfRule>
    <cfRule type="expression" dxfId="158" priority="70">
      <formula>OR($AB5=INDIRECT($AK$3&amp;"!$I$9"),$AB5=INDIRECT($AK$3&amp;"!$I$11"),$AB5=INDIRECT($AK$3&amp;"!$I$12"))</formula>
    </cfRule>
    <cfRule type="expression" dxfId="157" priority="79">
      <formula>OR($AB5=INDIRECT($AK$3&amp;"!$I$8"),$AB5=INDIRECT($AK$3&amp;"!$I$14"))</formula>
    </cfRule>
    <cfRule type="expression" dxfId="156" priority="88">
      <formula>OR($AA5=INDIRECT($AK$3&amp;"!$G$14"),$V5=INDIRECT($AK$3&amp;"!$E$4"),AND($V5=INDIRECT($AK$3&amp;"!$E$3"),$D5="トラブル報告"))</formula>
    </cfRule>
    <cfRule type="expression" dxfId="155" priority="101">
      <formula>AND($Y5&gt;0,$AB5="")</formula>
    </cfRule>
  </conditionalFormatting>
  <conditionalFormatting sqref="AG5:AG400">
    <cfRule type="expression" dxfId="154" priority="75">
      <formula>OR($AG5="-",$AG5="ー",AG5="‐",AG54="－")</formula>
    </cfRule>
    <cfRule type="expression" dxfId="153" priority="77">
      <formula>AND(_xlfn.ISFORMULA($AG5)=FALSE,ISNUMBER($AG5)=FALSE)</formula>
    </cfRule>
    <cfRule type="expression" dxfId="152" priority="80">
      <formula>OR(_xlfn.ISFORMULA($AG5)=FALSE,$AG5="-")</formula>
    </cfRule>
  </conditionalFormatting>
  <conditionalFormatting sqref="AD5:AD400 AF5:AF400">
    <cfRule type="expression" dxfId="151" priority="115">
      <formula>OR($AA5=INDIRECT($AK$3&amp;"!$G$3"),$AA5=INDIRECT($AK$3&amp;"!$G$3"),$AB5=INDIRECT($AK$3&amp;"!$I$8"))</formula>
    </cfRule>
  </conditionalFormatting>
  <conditionalFormatting sqref="AD5:AD400">
    <cfRule type="notContainsBlanks" dxfId="150" priority="105">
      <formula>LEN(TRIM(AD5))&gt;0</formula>
    </cfRule>
  </conditionalFormatting>
  <conditionalFormatting sqref="AF5:AF400">
    <cfRule type="notContainsBlanks" dxfId="149" priority="114">
      <formula>LEN(TRIM(AF5))&gt;0</formula>
    </cfRule>
  </conditionalFormatting>
  <conditionalFormatting sqref="AG5:AH400">
    <cfRule type="expression" dxfId="148" priority="87">
      <formula>AND($AF5&lt;&gt;"",TEXT(NOW(),"h:mm")*1 &gt;= $AG5+TIME(0,0,0) )</formula>
    </cfRule>
    <cfRule type="expression" dxfId="147" priority="116">
      <formula>OR($AF5&lt;&gt;"",$O5=INDIRECT($AK$3&amp;"!$C$8"))</formula>
    </cfRule>
  </conditionalFormatting>
  <conditionalFormatting sqref="AH5:AH400">
    <cfRule type="notContainsBlanks" dxfId="146" priority="82">
      <formula>LEN(TRIM(AH5))&gt;0</formula>
    </cfRule>
  </conditionalFormatting>
  <conditionalFormatting sqref="X5:AF400 O5:S400">
    <cfRule type="expression" dxfId="145" priority="7">
      <formula>$O5=INDIRECT($AK$3&amp;"!$C$8")</formula>
    </cfRule>
  </conditionalFormatting>
  <conditionalFormatting sqref="T5:W400">
    <cfRule type="expression" dxfId="144" priority="18">
      <formula>AND($V5="",OR($O5=INDIRECT($AK$3&amp;"!$C$5"),$O5=INDIRECT($AK$3&amp;"!$C$6"),$O5=INDIRECT($AK$3&amp;"!$C$8")))</formula>
    </cfRule>
  </conditionalFormatting>
  <conditionalFormatting sqref="O5:AI400">
    <cfRule type="expression" dxfId="143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142" priority="32">
      <formula>$AA5=INDIRECT($AK$3&amp;"!$G$4")</formula>
    </cfRule>
  </conditionalFormatting>
  <conditionalFormatting sqref="AC5:AC400">
    <cfRule type="expression" dxfId="141" priority="53">
      <formula>OR($AA5=INDIRECT($AK$3&amp;"!$G$5"),$AB5=INDIRECT($AK$3&amp;"!$I$13"))</formula>
    </cfRule>
  </conditionalFormatting>
  <conditionalFormatting sqref="E5:E400">
    <cfRule type="expression" dxfId="140" priority="48">
      <formula>$O5&lt;&gt;""</formula>
    </cfRule>
    <cfRule type="expression" dxfId="139" priority="49">
      <formula>AND(TEXT(NOW(),"h:mm")*1 &gt;= $E5+TIME(0,10,0),$E5&gt;0)</formula>
    </cfRule>
  </conditionalFormatting>
  <conditionalFormatting sqref="L5:L400">
    <cfRule type="expression" dxfId="138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37" priority="47">
      <formula>AND($A5=TODAY(),COUNTIF(INDIRECT($AN$3),X5)&gt;1,$L5&gt;0)</formula>
    </cfRule>
    <cfRule type="expression" dxfId="136" priority="57">
      <formula>AND($A5=TODAY(),COUNTIF(INDIRECT($AL$3),L5)&gt;1)</formula>
    </cfRule>
  </conditionalFormatting>
  <conditionalFormatting sqref="AI2">
    <cfRule type="cellIs" dxfId="135" priority="44" operator="equal">
      <formula>0</formula>
    </cfRule>
    <cfRule type="cellIs" dxfId="134" priority="45" operator="greaterThan">
      <formula>0</formula>
    </cfRule>
  </conditionalFormatting>
  <conditionalFormatting sqref="A2:E2">
    <cfRule type="cellIs" dxfId="133" priority="42" operator="equal">
      <formula>0</formula>
    </cfRule>
    <cfRule type="cellIs" dxfId="132" priority="43" operator="greaterThan">
      <formula>0</formula>
    </cfRule>
  </conditionalFormatting>
  <conditionalFormatting sqref="U2:V2 Z2:AB2">
    <cfRule type="cellIs" dxfId="131" priority="40" operator="equal">
      <formula>0</formula>
    </cfRule>
    <cfRule type="cellIs" dxfId="130" priority="41" operator="greaterThan">
      <formula>0</formula>
    </cfRule>
  </conditionalFormatting>
  <conditionalFormatting sqref="O2">
    <cfRule type="cellIs" dxfId="129" priority="38" operator="equal">
      <formula>0</formula>
    </cfRule>
    <cfRule type="cellIs" dxfId="128" priority="39" operator="greaterThan">
      <formula>0</formula>
    </cfRule>
  </conditionalFormatting>
  <conditionalFormatting sqref="H2:I2">
    <cfRule type="cellIs" dxfId="127" priority="36" operator="equal">
      <formula>0</formula>
    </cfRule>
    <cfRule type="cellIs" dxfId="126" priority="37" operator="greaterThan">
      <formula>1</formula>
    </cfRule>
  </conditionalFormatting>
  <conditionalFormatting sqref="T2">
    <cfRule type="cellIs" dxfId="125" priority="34" operator="equal">
      <formula>0</formula>
    </cfRule>
    <cfRule type="cellIs" dxfId="124" priority="35" operator="greaterThan">
      <formula>1</formula>
    </cfRule>
  </conditionalFormatting>
  <conditionalFormatting sqref="I5:I400">
    <cfRule type="expression" dxfId="123" priority="22">
      <formula>$AQ5="DSレスキュー済"</formula>
    </cfRule>
    <cfRule type="expression" dxfId="122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121" priority="58">
      <formula>$AA5=INDIRECT($AK$3&amp;"!$G$13")</formula>
    </cfRule>
    <cfRule type="expression" dxfId="120" priority="59">
      <formula>$AA5=INDIRECT($AK$3&amp;"!$G$12")</formula>
    </cfRule>
    <cfRule type="expression" dxfId="119" priority="67">
      <formula>$AA5=INDIRECT($AK$3&amp;"!$G$10")</formula>
    </cfRule>
    <cfRule type="expression" dxfId="118" priority="68">
      <formula>$AA5=INDIRECT($AK$3&amp;"!$G$9")</formula>
    </cfRule>
  </conditionalFormatting>
  <conditionalFormatting sqref="X5:X400 AB5:AB400 D5:D400 I5:J400 L5:N400 P5:Q400">
    <cfRule type="expression" dxfId="117" priority="29">
      <formula>$AB5=INDIRECT($AK$3&amp;"!$I$7")</formula>
    </cfRule>
    <cfRule type="expression" dxfId="116" priority="31">
      <formula>$AB5=INDIRECT($AK$3&amp;"!$I$6")</formula>
    </cfRule>
    <cfRule type="expression" dxfId="115" priority="56">
      <formula>$AB5=INDIRECT($AK$3&amp;"!$I$5")</formula>
    </cfRule>
    <cfRule type="expression" dxfId="114" priority="61">
      <formula>$AB5=INDIRECT($AK$3&amp;"!$I$4")</formula>
    </cfRule>
    <cfRule type="expression" dxfId="113" priority="65">
      <formula>$AB5=INDIRECT($AK$3&amp;"!$I$3")</formula>
    </cfRule>
  </conditionalFormatting>
  <conditionalFormatting sqref="V5:V400 D5:D400 I5:J400 N5:N400">
    <cfRule type="expression" dxfId="112" priority="52">
      <formula>$V5=INDIRECT($AK$3&amp;"!$E$11")</formula>
    </cfRule>
    <cfRule type="expression" dxfId="111" priority="72">
      <formula>$V5=INDIRECT($AK$3&amp;"!$E$10")</formula>
    </cfRule>
    <cfRule type="expression" dxfId="110" priority="73">
      <formula>$V5=INDIRECT($AK$3&amp;"!$E$9")</formula>
    </cfRule>
    <cfRule type="expression" dxfId="109" priority="81">
      <formula>$V5=INDIRECT($AK$3&amp;"!$E$8")</formula>
    </cfRule>
    <cfRule type="expression" dxfId="108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107" priority="19">
      <formula>ISNUMBER(MATCH($B5,INDIRECT($AK$4&amp;"!$Q$3:$Q$17"),0))</formula>
    </cfRule>
    <cfRule type="expression" dxfId="106" priority="20">
      <formula>TEXT(NOW(),"h:mm")&lt;TEXT($AL5,"h:mm")</formula>
    </cfRule>
  </conditionalFormatting>
  <conditionalFormatting sqref="B5:C400 N5:N400">
    <cfRule type="expression" dxfId="105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104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103" priority="107">
      <formula>$S5=$AW$2</formula>
    </cfRule>
    <cfRule type="expression" dxfId="102" priority="108">
      <formula>$S5=$AV$2</formula>
    </cfRule>
    <cfRule type="expression" dxfId="101" priority="109">
      <formula>$S5=$AU$2</formula>
    </cfRule>
    <cfRule type="expression" dxfId="100" priority="110">
      <formula>$S5=$AT$2</formula>
    </cfRule>
    <cfRule type="expression" dxfId="99" priority="111">
      <formula>$S5=$AS$2</formula>
    </cfRule>
  </conditionalFormatting>
  <conditionalFormatting sqref="D5:D400">
    <cfRule type="containsText" dxfId="98" priority="8" operator="containsText" text="トラブル報告">
      <formula>NOT(ISERROR(SEARCH("トラブル報告",D5)))</formula>
    </cfRule>
  </conditionalFormatting>
  <conditionalFormatting sqref="AJ5:AJ400">
    <cfRule type="notContainsBlanks" dxfId="97" priority="14">
      <formula>LEN(TRIM(AJ5))&gt;0</formula>
    </cfRule>
    <cfRule type="expression" dxfId="96" priority="117">
      <formula>IF($D5&lt;&gt;"トラブル報告",$AF5)</formula>
    </cfRule>
  </conditionalFormatting>
  <conditionalFormatting sqref="O5:AJ400">
    <cfRule type="expression" dxfId="95" priority="2">
      <formula>$O5="トラブル報告"</formula>
    </cfRule>
  </conditionalFormatting>
  <conditionalFormatting sqref="A6:A400">
    <cfRule type="expression" dxfId="94" priority="17">
      <formula>$A6&lt;TODAY()</formula>
    </cfRule>
  </conditionalFormatting>
  <conditionalFormatting sqref="N5:N400">
    <cfRule type="expression" dxfId="93" priority="23">
      <formula>COUNTIFS($P5,"UXへのみ可",$N5,"&lt;&gt;*UX*")</formula>
    </cfRule>
  </conditionalFormatting>
  <conditionalFormatting sqref="P5:P400">
    <cfRule type="expression" dxfId="92" priority="16">
      <formula>IF(AND($B5&lt;&gt;"",$L5&lt;&gt;""),COUNTIF(INDIRECT($AK$4&amp;"!$AK$8:$AK$500"),$L5)&gt;1)</formula>
    </cfRule>
  </conditionalFormatting>
  <conditionalFormatting sqref="B5:P400">
    <cfRule type="expression" dxfId="91" priority="13">
      <formula>$AQ5="DSレスキュー済"</formula>
    </cfRule>
  </conditionalFormatting>
  <conditionalFormatting sqref="P1:R2">
    <cfRule type="containsText" dxfId="90" priority="4" operator="containsText" text="OK">
      <formula>NOT(ISERROR(SEARCH("OK",P1)))</formula>
    </cfRule>
    <cfRule type="containsText" dxfId="89" priority="5" operator="containsText" text="NG">
      <formula>NOT(ISERROR(SEARCH("NG",P1)))</formula>
    </cfRule>
  </conditionalFormatting>
  <conditionalFormatting sqref="J1">
    <cfRule type="expression" dxfId="88" priority="3">
      <formula>$J$1&lt;&gt;""</formula>
    </cfRule>
  </conditionalFormatting>
  <dataValidations count="9">
    <dataValidation type="list" allowBlank="1" showDropDown="1" showInputMessage="1" sqref="AA4 V4:W4" xr:uid="{785E2F13-8DEC-4410-9D89-6FBD8676D2CE}">
      <formula1>$AP$1:$AP$14</formula1>
    </dataValidation>
    <dataValidation type="list" allowBlank="1" showInputMessage="1" sqref="AI5:AI400" xr:uid="{0E8D5502-B30C-4ECA-A720-FDCC332B500F}">
      <formula1>INDIRECT($AK$3&amp;"!$K$3:$K$4")</formula1>
    </dataValidation>
    <dataValidation type="list" allowBlank="1" showInputMessage="1" showErrorMessage="1" sqref="O801:O1048576" xr:uid="{80E6F967-D881-44A5-88EA-D2C82D34D751}">
      <formula1>INDIRECT($AK$3&amp;"!$C$3:$C$11")</formula1>
    </dataValidation>
    <dataValidation type="list" allowBlank="1" showInputMessage="1" showErrorMessage="1" sqref="V5:V400" xr:uid="{8BE9706C-9178-4633-825B-9DEE5733D674}">
      <formula1>INDIRECT($AK$3&amp;"!$E$2:$E$15")</formula1>
    </dataValidation>
    <dataValidation type="list" allowBlank="1" showInputMessage="1" sqref="W5:W400" xr:uid="{C3E7AF66-5FFF-412D-8C15-CFFD97BF5A77}">
      <formula1>INDIRECT($AK$3&amp;"!$M$3")</formula1>
    </dataValidation>
    <dataValidation type="list" allowBlank="1" showInputMessage="1" sqref="AC5:AC400" xr:uid="{6AD46FF2-3C15-490D-819F-8EA0727B685F}">
      <formula1>INDIRECT($AK$3&amp;"!$O$3")</formula1>
    </dataValidation>
    <dataValidation type="list" allowBlank="1" showInputMessage="1" showErrorMessage="1" sqref="O5:O400" xr:uid="{87FCF641-223E-4830-9720-682AD98C99DE}">
      <formula1>INDIRECT($AK$3&amp;"!$Q$3:$Q$16")</formula1>
    </dataValidation>
    <dataValidation type="list" allowBlank="1" showInputMessage="1" showErrorMessage="1" sqref="AA5:AA400" xr:uid="{E59BBE8A-58A1-4DFD-85BD-AB5D5F7D83F0}">
      <formula1>INDIRECT($AK$3&amp;"!$G$2:$G$15")</formula1>
    </dataValidation>
    <dataValidation type="list" allowBlank="1" showInputMessage="1" showErrorMessage="1" sqref="AB5:AB400" xr:uid="{9072696B-5CE6-4A0D-A97B-0D8C0656C3B6}">
      <formula1>INDIRECT($AK$3&amp;"!$I$3:$I$14")</formula1>
    </dataValidation>
  </dataValidations>
  <hyperlinks>
    <hyperlink ref="AJ7" r:id="rId1" xr:uid="{831F9A37-1FE8-4BDA-BE29-AB78AB344C01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12576-01D2-4802-8539-EDEEB557D32F}">
  <sheetPr codeName="Sheet4"/>
  <dimension ref="A1:AL500"/>
  <sheetViews>
    <sheetView zoomScale="70" zoomScaleNormal="70" workbookViewId="0" xr3:uid="{B16E0443-2F48-52D9-8B8E-1D7C2B3D9265}">
      <selection activeCell="L20" sqref="L20"/>
    </sheetView>
  </sheetViews>
  <sheetFormatPr defaultColWidth="7.125" defaultRowHeight="18"/>
  <cols>
    <col min="1" max="1" width="10.75" style="295" customWidth="1"/>
    <col min="2" max="2" width="7.125" style="293"/>
    <col min="3" max="3" width="14.75" style="293" customWidth="1"/>
    <col min="4" max="4" width="16.25" style="293" customWidth="1"/>
    <col min="5" max="7" width="7.125" style="293" customWidth="1"/>
    <col min="8" max="8" width="9.625" style="293" bestFit="1" customWidth="1"/>
    <col min="9" max="9" width="7.125" style="293" customWidth="1"/>
    <col min="10" max="10" width="14.5" style="294" customWidth="1"/>
    <col min="11" max="11" width="7.125" style="293" customWidth="1"/>
    <col min="12" max="12" width="9.375" style="293" customWidth="1"/>
    <col min="13" max="16" width="7.125" style="293" customWidth="1"/>
    <col min="17" max="17" width="7.125" style="293"/>
    <col min="18" max="18" width="8.25" style="293" customWidth="1"/>
    <col min="19" max="19" width="9.125" style="293" customWidth="1"/>
    <col min="20" max="20" width="13.375" style="293" customWidth="1"/>
    <col min="21" max="21" width="15" style="293" bestFit="1" customWidth="1"/>
    <col min="22" max="22" width="17" style="293" customWidth="1"/>
    <col min="23" max="24" width="9.625" style="293" hidden="1" customWidth="1"/>
    <col min="25" max="25" width="9.875" style="293" customWidth="1"/>
    <col min="26" max="32" width="7.125" style="293"/>
    <col min="33" max="38" width="7.125" style="293" hidden="1" customWidth="1"/>
    <col min="39" max="16384" width="7.125" style="293"/>
  </cols>
  <sheetData>
    <row r="1" spans="1:38" ht="18" customHeight="1">
      <c r="A1" s="293"/>
      <c r="B1" s="338" t="s">
        <v>215</v>
      </c>
      <c r="L1" s="315"/>
      <c r="N1" s="337"/>
      <c r="O1" s="336"/>
      <c r="P1" s="336"/>
      <c r="Q1" s="374" t="s">
        <v>216</v>
      </c>
      <c r="R1" s="375">
        <v>45802</v>
      </c>
      <c r="S1" s="382" t="s">
        <v>217</v>
      </c>
      <c r="T1" s="382"/>
      <c r="U1" s="382"/>
      <c r="V1" s="382"/>
      <c r="W1" s="335" t="s">
        <v>218</v>
      </c>
      <c r="X1" s="334" t="s">
        <v>219</v>
      </c>
      <c r="Y1" s="381" t="s">
        <v>220</v>
      </c>
      <c r="AK1" s="58" t="s">
        <v>221</v>
      </c>
      <c r="AL1" s="37" t="s">
        <v>222</v>
      </c>
    </row>
    <row r="2" spans="1:38" ht="20.85" customHeight="1">
      <c r="A2" s="370" t="s">
        <v>216</v>
      </c>
      <c r="B2" s="371" t="s">
        <v>223</v>
      </c>
      <c r="C2" s="371"/>
      <c r="D2" s="371"/>
      <c r="E2" s="371"/>
      <c r="F2" s="371"/>
      <c r="G2" s="371"/>
      <c r="H2" s="371"/>
      <c r="I2" s="371"/>
      <c r="J2" s="371"/>
      <c r="K2" s="326"/>
      <c r="L2" s="333"/>
      <c r="M2" s="333"/>
      <c r="N2" s="333"/>
      <c r="O2" s="333"/>
      <c r="Q2" s="374"/>
      <c r="R2" s="375"/>
      <c r="S2" s="382"/>
      <c r="T2" s="382"/>
      <c r="U2" s="382"/>
      <c r="V2" s="382"/>
      <c r="Y2" s="381"/>
    </row>
    <row r="3" spans="1:38" ht="18.600000000000001" customHeight="1">
      <c r="A3" s="370"/>
      <c r="B3" s="371" t="s">
        <v>224</v>
      </c>
      <c r="C3" s="371"/>
      <c r="D3" s="371"/>
      <c r="E3" s="371"/>
      <c r="F3" s="371"/>
      <c r="G3" s="371"/>
      <c r="H3" s="371"/>
      <c r="I3" s="371"/>
      <c r="J3" s="371"/>
      <c r="K3" s="306"/>
      <c r="L3" s="333"/>
      <c r="M3" s="333"/>
      <c r="N3" s="333"/>
      <c r="O3" s="333"/>
      <c r="Q3" s="372" t="s">
        <v>225</v>
      </c>
      <c r="R3" s="372" t="s">
        <v>82</v>
      </c>
      <c r="S3" s="372" t="s">
        <v>226</v>
      </c>
      <c r="T3" s="377" t="s">
        <v>227</v>
      </c>
      <c r="U3" s="379" t="s">
        <v>228</v>
      </c>
      <c r="V3" s="372" t="s">
        <v>229</v>
      </c>
      <c r="Y3" s="381"/>
      <c r="AG3" s="293" t="str">
        <f>T6</f>
        <v>×</v>
      </c>
    </row>
    <row r="4" spans="1:38" ht="18.600000000000001" customHeight="1">
      <c r="A4" s="332">
        <v>45802</v>
      </c>
      <c r="B4" s="371" t="s">
        <v>230</v>
      </c>
      <c r="C4" s="371"/>
      <c r="D4" s="371"/>
      <c r="E4" s="371"/>
      <c r="F4" s="371"/>
      <c r="G4" s="371"/>
      <c r="H4" s="371"/>
      <c r="I4" s="371"/>
      <c r="J4" s="371"/>
      <c r="K4" s="331"/>
      <c r="L4" s="315"/>
      <c r="Q4" s="372"/>
      <c r="R4" s="372"/>
      <c r="S4" s="372"/>
      <c r="T4" s="377"/>
      <c r="U4" s="379"/>
      <c r="V4" s="372"/>
    </row>
    <row r="5" spans="1:38" ht="18.600000000000001" customHeight="1">
      <c r="A5" s="329"/>
      <c r="B5" s="329" t="s">
        <v>231</v>
      </c>
      <c r="C5" s="329" t="s">
        <v>232</v>
      </c>
      <c r="D5" s="329" t="s">
        <v>233</v>
      </c>
      <c r="E5" s="330" t="s">
        <v>234</v>
      </c>
      <c r="F5" s="329" t="s">
        <v>235</v>
      </c>
      <c r="G5" s="329" t="s">
        <v>236</v>
      </c>
      <c r="H5" s="329" t="s">
        <v>237</v>
      </c>
      <c r="I5" s="328" t="s">
        <v>238</v>
      </c>
      <c r="J5" s="327" t="s">
        <v>239</v>
      </c>
      <c r="K5" s="326"/>
      <c r="L5" s="315"/>
      <c r="Q5" s="373"/>
      <c r="R5" s="373"/>
      <c r="S5" s="373"/>
      <c r="T5" s="378"/>
      <c r="U5" s="380"/>
      <c r="V5" s="373"/>
    </row>
    <row r="6" spans="1:38" ht="18.600000000000001" customHeight="1">
      <c r="A6" s="295" t="s">
        <v>240</v>
      </c>
      <c r="B6" s="293" t="s">
        <v>202</v>
      </c>
      <c r="C6" s="293" t="s">
        <v>206</v>
      </c>
      <c r="D6" s="293" t="s">
        <v>241</v>
      </c>
      <c r="E6" s="293" t="s">
        <v>242</v>
      </c>
      <c r="F6" s="297">
        <v>0.64583333333333337</v>
      </c>
      <c r="G6" s="297">
        <v>0.89583333333333337</v>
      </c>
      <c r="H6" s="296" t="s">
        <v>243</v>
      </c>
      <c r="I6" s="293">
        <v>0</v>
      </c>
      <c r="K6" s="326"/>
      <c r="L6" s="315"/>
      <c r="Q6" s="325" t="s">
        <v>244</v>
      </c>
      <c r="R6" s="324" t="s">
        <v>245</v>
      </c>
      <c r="S6" s="323" t="s">
        <v>83</v>
      </c>
      <c r="T6" s="322" t="s">
        <v>246</v>
      </c>
      <c r="U6" s="321"/>
      <c r="V6" s="320">
        <v>45479</v>
      </c>
    </row>
    <row r="7" spans="1:38" ht="18.600000000000001" customHeight="1">
      <c r="B7" s="293" t="s">
        <v>202</v>
      </c>
      <c r="C7" s="293" t="s">
        <v>247</v>
      </c>
      <c r="D7" s="293" t="s">
        <v>248</v>
      </c>
      <c r="E7" s="293" t="s">
        <v>242</v>
      </c>
      <c r="F7" s="297">
        <v>0.64583333333333337</v>
      </c>
      <c r="G7" s="297">
        <v>0.89583333333333337</v>
      </c>
      <c r="H7" s="296" t="s">
        <v>243</v>
      </c>
      <c r="I7" s="293">
        <v>0</v>
      </c>
      <c r="K7" s="315"/>
      <c r="L7" s="315"/>
      <c r="Q7" s="307"/>
      <c r="R7" s="307"/>
      <c r="S7" s="307"/>
      <c r="T7" s="307"/>
      <c r="U7" s="307"/>
      <c r="V7" s="307"/>
    </row>
    <row r="8" spans="1:38" ht="18.600000000000001" customHeight="1">
      <c r="B8" s="293" t="s">
        <v>202</v>
      </c>
      <c r="C8" s="293" t="s">
        <v>249</v>
      </c>
      <c r="D8" s="293" t="s">
        <v>250</v>
      </c>
      <c r="E8" s="293" t="s">
        <v>242</v>
      </c>
      <c r="F8" s="297">
        <v>0.64583333333333337</v>
      </c>
      <c r="G8" s="297">
        <v>0.89583333333333337</v>
      </c>
      <c r="H8" s="296" t="s">
        <v>243</v>
      </c>
      <c r="I8" s="293">
        <v>0</v>
      </c>
      <c r="K8" s="297"/>
      <c r="L8" s="315"/>
      <c r="M8" s="376" t="s">
        <v>251</v>
      </c>
      <c r="N8" s="376"/>
      <c r="Q8" s="307"/>
      <c r="R8" s="307"/>
      <c r="S8" s="307"/>
      <c r="T8" s="307"/>
      <c r="U8" s="307"/>
      <c r="V8" s="307"/>
    </row>
    <row r="9" spans="1:38" ht="18.600000000000001" customHeight="1">
      <c r="B9" s="293" t="s">
        <v>252</v>
      </c>
      <c r="C9" s="293" t="s">
        <v>253</v>
      </c>
      <c r="D9" s="293" t="s">
        <v>254</v>
      </c>
      <c r="E9" s="293" t="s">
        <v>242</v>
      </c>
      <c r="F9" s="297">
        <v>0.6875</v>
      </c>
      <c r="G9" s="297">
        <v>0.9375</v>
      </c>
      <c r="H9" s="296" t="s">
        <v>243</v>
      </c>
      <c r="I9" s="293">
        <v>0</v>
      </c>
      <c r="K9" s="297"/>
      <c r="L9" s="315"/>
      <c r="M9" s="319" t="s">
        <v>255</v>
      </c>
      <c r="N9" s="319" t="s">
        <v>256</v>
      </c>
      <c r="Q9" s="307"/>
      <c r="R9" s="307"/>
      <c r="S9" s="307"/>
      <c r="T9" s="307"/>
      <c r="U9" s="307"/>
      <c r="V9" s="307"/>
    </row>
    <row r="10" spans="1:38" ht="18.600000000000001" customHeight="1">
      <c r="B10" s="293" t="s">
        <v>197</v>
      </c>
      <c r="C10" s="293" t="s">
        <v>257</v>
      </c>
      <c r="D10" s="293" t="s">
        <v>258</v>
      </c>
      <c r="E10" s="293" t="s">
        <v>242</v>
      </c>
      <c r="F10" s="297">
        <v>0.69791666666666663</v>
      </c>
      <c r="G10" s="297">
        <v>0.90625</v>
      </c>
      <c r="H10" s="296" t="s">
        <v>243</v>
      </c>
      <c r="I10" s="293">
        <v>0</v>
      </c>
      <c r="K10" s="315"/>
      <c r="L10" s="315"/>
      <c r="M10" s="343"/>
      <c r="N10" s="312"/>
      <c r="Q10" s="307"/>
      <c r="R10" s="307"/>
      <c r="S10" s="307"/>
      <c r="T10" s="307"/>
      <c r="U10" s="307"/>
      <c r="V10" s="307"/>
    </row>
    <row r="11" spans="1:38" ht="30.75" customHeight="1">
      <c r="B11" s="293" t="s">
        <v>197</v>
      </c>
      <c r="C11" s="293" t="s">
        <v>259</v>
      </c>
      <c r="D11" s="293" t="s">
        <v>260</v>
      </c>
      <c r="E11" s="293" t="s">
        <v>242</v>
      </c>
      <c r="F11" s="297">
        <v>0.69791666666666663</v>
      </c>
      <c r="G11" s="297">
        <v>0.90625</v>
      </c>
      <c r="H11" s="296" t="s">
        <v>243</v>
      </c>
      <c r="I11" s="293">
        <v>0</v>
      </c>
      <c r="K11" s="315"/>
      <c r="L11" s="315"/>
      <c r="M11" s="313"/>
      <c r="N11" s="312"/>
      <c r="Q11" s="307"/>
      <c r="R11" s="307"/>
      <c r="S11" s="307"/>
      <c r="T11" s="307"/>
      <c r="U11" s="307"/>
      <c r="V11" s="307"/>
    </row>
    <row r="12" spans="1:38" ht="18.600000000000001" customHeight="1">
      <c r="B12" s="293" t="s">
        <v>261</v>
      </c>
      <c r="C12" s="293" t="s">
        <v>262</v>
      </c>
      <c r="D12" s="293" t="s">
        <v>263</v>
      </c>
      <c r="E12" s="293" t="s">
        <v>242</v>
      </c>
      <c r="F12" s="297">
        <v>0.69791666666666663</v>
      </c>
      <c r="G12" s="297">
        <v>0.92708333333333337</v>
      </c>
      <c r="H12" s="296" t="s">
        <v>243</v>
      </c>
      <c r="I12" s="293">
        <v>49</v>
      </c>
      <c r="K12" s="315"/>
      <c r="L12" s="315"/>
      <c r="M12" s="313"/>
      <c r="N12" s="312"/>
      <c r="Q12" s="307"/>
      <c r="R12" s="307"/>
      <c r="S12" s="307"/>
      <c r="T12" s="307"/>
      <c r="U12" s="307"/>
      <c r="V12" s="307"/>
    </row>
    <row r="13" spans="1:38" ht="18.600000000000001" customHeight="1">
      <c r="B13" s="293" t="s">
        <v>264</v>
      </c>
      <c r="C13" s="293" t="s">
        <v>265</v>
      </c>
      <c r="D13" s="293" t="s">
        <v>266</v>
      </c>
      <c r="E13" s="293" t="s">
        <v>242</v>
      </c>
      <c r="F13" s="297">
        <v>0.6875</v>
      </c>
      <c r="G13" s="297">
        <v>0.89583333333333337</v>
      </c>
      <c r="H13" s="296" t="s">
        <v>243</v>
      </c>
      <c r="I13" s="293">
        <v>0</v>
      </c>
      <c r="K13" s="318"/>
      <c r="L13" s="315"/>
      <c r="M13" s="313"/>
      <c r="N13" s="312"/>
      <c r="P13" s="297"/>
      <c r="Q13" s="307"/>
      <c r="R13" s="307"/>
      <c r="S13" s="307"/>
      <c r="T13" s="307"/>
      <c r="U13" s="307"/>
      <c r="V13" s="307"/>
    </row>
    <row r="14" spans="1:38" ht="18.600000000000001" customHeight="1">
      <c r="B14" s="293" t="s">
        <v>264</v>
      </c>
      <c r="C14" s="293" t="s">
        <v>267</v>
      </c>
      <c r="D14" s="293" t="s">
        <v>268</v>
      </c>
      <c r="E14" s="293" t="s">
        <v>242</v>
      </c>
      <c r="F14" s="297">
        <v>0.6875</v>
      </c>
      <c r="G14" s="297">
        <v>0.89583333333333337</v>
      </c>
      <c r="H14" s="296" t="s">
        <v>243</v>
      </c>
      <c r="I14" s="293">
        <v>0</v>
      </c>
      <c r="K14" s="297"/>
      <c r="L14" s="315"/>
      <c r="M14" s="313"/>
      <c r="N14" s="312"/>
      <c r="Q14" s="307"/>
      <c r="R14" s="307"/>
      <c r="S14" s="307"/>
      <c r="T14" s="307"/>
      <c r="U14" s="307"/>
      <c r="V14" s="307"/>
    </row>
    <row r="15" spans="1:38" ht="18.600000000000001" customHeight="1">
      <c r="B15" s="293" t="s">
        <v>264</v>
      </c>
      <c r="C15" s="293" t="s">
        <v>269</v>
      </c>
      <c r="D15" s="293" t="s">
        <v>270</v>
      </c>
      <c r="E15" s="293" t="s">
        <v>242</v>
      </c>
      <c r="F15" s="297">
        <v>0.6875</v>
      </c>
      <c r="G15" s="297">
        <v>0.89583333333333337</v>
      </c>
      <c r="H15" s="296" t="s">
        <v>243</v>
      </c>
      <c r="I15" s="293">
        <v>0</v>
      </c>
      <c r="K15" s="294"/>
      <c r="L15" s="315"/>
      <c r="M15" s="313"/>
      <c r="N15" s="312"/>
      <c r="Q15" s="307"/>
      <c r="R15" s="307"/>
      <c r="S15" s="307"/>
      <c r="T15" s="307"/>
      <c r="U15" s="307"/>
      <c r="V15" s="307"/>
    </row>
    <row r="16" spans="1:38">
      <c r="B16" s="293" t="s">
        <v>271</v>
      </c>
      <c r="C16" s="293" t="s">
        <v>272</v>
      </c>
      <c r="D16" s="293" t="s">
        <v>273</v>
      </c>
      <c r="E16" s="293" t="s">
        <v>242</v>
      </c>
      <c r="F16" s="297">
        <v>0.6875</v>
      </c>
      <c r="G16" s="297">
        <v>0.89583333333333337</v>
      </c>
      <c r="H16" s="296" t="s">
        <v>243</v>
      </c>
      <c r="I16" s="293">
        <v>40</v>
      </c>
      <c r="K16" s="297"/>
      <c r="L16" s="315"/>
      <c r="M16" s="313"/>
      <c r="N16" s="312"/>
      <c r="Q16" s="307"/>
      <c r="R16" s="307"/>
      <c r="S16" s="307"/>
      <c r="T16" s="307"/>
      <c r="U16" s="307"/>
      <c r="V16" s="307"/>
    </row>
    <row r="17" spans="2:22" ht="18.600000000000001" customHeight="1">
      <c r="B17" s="293" t="s">
        <v>271</v>
      </c>
      <c r="C17" s="293" t="s">
        <v>274</v>
      </c>
      <c r="D17" s="293" t="s">
        <v>275</v>
      </c>
      <c r="E17" s="293" t="s">
        <v>242</v>
      </c>
      <c r="F17" s="297">
        <v>0.6875</v>
      </c>
      <c r="G17" s="297">
        <v>0.89583333333333337</v>
      </c>
      <c r="H17" s="296" t="s">
        <v>243</v>
      </c>
      <c r="I17" s="293">
        <v>19</v>
      </c>
      <c r="K17" s="297"/>
      <c r="L17" s="315"/>
      <c r="M17" s="313"/>
      <c r="N17" s="312"/>
      <c r="Q17" s="307"/>
      <c r="R17" s="307"/>
      <c r="S17" s="307"/>
      <c r="T17" s="307"/>
      <c r="U17" s="307"/>
      <c r="V17" s="307"/>
    </row>
    <row r="18" spans="2:22" ht="18.600000000000001" customHeight="1">
      <c r="B18" s="293" t="s">
        <v>276</v>
      </c>
      <c r="C18" s="293" t="s">
        <v>277</v>
      </c>
      <c r="D18" s="293" t="s">
        <v>278</v>
      </c>
      <c r="E18" s="293" t="s">
        <v>242</v>
      </c>
      <c r="F18" s="297">
        <v>0.67708333333333337</v>
      </c>
      <c r="G18" s="297">
        <v>0.88541666666666663</v>
      </c>
      <c r="H18" s="296" t="s">
        <v>243</v>
      </c>
      <c r="I18" s="293">
        <v>0</v>
      </c>
      <c r="K18" s="315"/>
      <c r="L18" s="315"/>
      <c r="M18" s="317"/>
      <c r="N18" s="312"/>
      <c r="Q18" s="307"/>
      <c r="R18" s="307"/>
      <c r="S18" s="307"/>
      <c r="T18" s="307"/>
      <c r="U18" s="307"/>
      <c r="V18" s="307"/>
    </row>
    <row r="19" spans="2:22" ht="18.600000000000001" customHeight="1">
      <c r="F19" s="297"/>
      <c r="G19" s="297"/>
      <c r="H19" s="296"/>
      <c r="K19" s="315"/>
      <c r="L19" s="315"/>
      <c r="M19" s="317"/>
      <c r="N19" s="312"/>
      <c r="Q19" s="307"/>
      <c r="R19" s="307"/>
      <c r="S19" s="307"/>
      <c r="T19" s="307"/>
      <c r="U19" s="307"/>
      <c r="V19" s="307"/>
    </row>
    <row r="20" spans="2:22" ht="38.25" customHeight="1">
      <c r="F20" s="297"/>
      <c r="G20" s="297"/>
      <c r="H20" s="296"/>
      <c r="K20" s="315"/>
      <c r="L20" s="315"/>
      <c r="M20" s="317"/>
      <c r="N20" s="312" t="s">
        <v>212</v>
      </c>
      <c r="Q20" s="307"/>
      <c r="R20" s="307"/>
      <c r="S20" s="307"/>
      <c r="T20" s="307"/>
      <c r="U20" s="307"/>
      <c r="V20" s="307"/>
    </row>
    <row r="21" spans="2:22" ht="18.600000000000001" customHeight="1">
      <c r="F21" s="297"/>
      <c r="G21" s="297"/>
      <c r="H21" s="296"/>
      <c r="K21" s="315"/>
      <c r="M21" s="317"/>
      <c r="N21" s="312"/>
      <c r="Q21" s="307"/>
      <c r="R21" s="307"/>
      <c r="S21" s="307"/>
      <c r="T21" s="307"/>
      <c r="U21" s="307"/>
      <c r="V21" s="307"/>
    </row>
    <row r="22" spans="2:22" ht="18.600000000000001" customHeight="1">
      <c r="F22" s="297"/>
      <c r="G22" s="297"/>
      <c r="H22" s="296"/>
      <c r="K22" s="315"/>
      <c r="L22" s="315"/>
      <c r="M22" s="317"/>
      <c r="N22" s="312"/>
      <c r="Q22" s="307"/>
      <c r="R22" s="307"/>
      <c r="S22" s="307"/>
      <c r="T22" s="307"/>
      <c r="U22" s="307"/>
      <c r="V22" s="307"/>
    </row>
    <row r="23" spans="2:22" ht="18.600000000000001" customHeight="1">
      <c r="F23" s="297"/>
      <c r="G23" s="297"/>
      <c r="H23" s="296"/>
      <c r="K23" s="315"/>
      <c r="M23" s="313"/>
      <c r="N23" s="316"/>
      <c r="Q23" s="307"/>
      <c r="R23" s="307"/>
      <c r="S23" s="307"/>
      <c r="T23" s="307"/>
      <c r="U23" s="307"/>
      <c r="V23" s="307"/>
    </row>
    <row r="24" spans="2:22" ht="23.25" customHeight="1">
      <c r="F24" s="297"/>
      <c r="G24" s="297"/>
      <c r="H24" s="296"/>
      <c r="K24" s="315"/>
      <c r="M24" s="314"/>
      <c r="N24" s="312"/>
      <c r="Q24" s="307"/>
      <c r="R24" s="307"/>
      <c r="S24" s="307"/>
      <c r="T24" s="307"/>
      <c r="U24" s="307"/>
      <c r="V24" s="307"/>
    </row>
    <row r="25" spans="2:22">
      <c r="F25" s="297"/>
      <c r="G25" s="297"/>
      <c r="H25" s="296"/>
      <c r="K25" s="297"/>
      <c r="M25" s="313"/>
      <c r="N25" s="313"/>
      <c r="Q25" s="307"/>
      <c r="R25" s="307"/>
      <c r="S25" s="307"/>
      <c r="T25" s="307"/>
      <c r="U25" s="307"/>
      <c r="V25" s="307"/>
    </row>
    <row r="26" spans="2:22" ht="19.5" customHeight="1">
      <c r="F26" s="297"/>
      <c r="G26" s="297"/>
      <c r="H26" s="296"/>
      <c r="M26" s="309"/>
      <c r="N26" s="308"/>
      <c r="Q26" s="307"/>
      <c r="R26" s="307"/>
      <c r="S26" s="307"/>
      <c r="T26" s="307"/>
      <c r="U26" s="307"/>
      <c r="V26" s="307"/>
    </row>
    <row r="27" spans="2:22">
      <c r="F27" s="297"/>
      <c r="G27" s="297"/>
      <c r="H27" s="296"/>
      <c r="M27" s="311"/>
      <c r="N27" s="310" t="s">
        <v>279</v>
      </c>
      <c r="Q27" s="307"/>
      <c r="R27" s="307"/>
      <c r="S27" s="307"/>
      <c r="T27" s="307"/>
      <c r="U27" s="307"/>
      <c r="V27" s="307"/>
    </row>
    <row r="28" spans="2:22" ht="25.5" customHeight="1">
      <c r="F28" s="297"/>
      <c r="G28" s="297"/>
      <c r="H28" s="296"/>
      <c r="M28" s="309" t="s">
        <v>280</v>
      </c>
      <c r="N28" s="308"/>
      <c r="Q28" s="307"/>
      <c r="R28" s="307"/>
      <c r="S28" s="307"/>
      <c r="T28" s="307"/>
      <c r="U28" s="307"/>
      <c r="V28" s="307"/>
    </row>
    <row r="29" spans="2:22" ht="18.600000000000001" customHeight="1">
      <c r="F29" s="297"/>
      <c r="G29" s="297"/>
      <c r="H29" s="296"/>
      <c r="M29" s="309" t="s">
        <v>281</v>
      </c>
      <c r="N29" s="308"/>
      <c r="Q29" s="307"/>
      <c r="R29" s="307"/>
      <c r="S29" s="307"/>
      <c r="T29" s="307"/>
      <c r="U29" s="307"/>
      <c r="V29" s="307"/>
    </row>
    <row r="30" spans="2:22" ht="16.5" customHeight="1">
      <c r="F30" s="297"/>
      <c r="G30" s="297"/>
      <c r="H30" s="296"/>
      <c r="M30" s="306" t="s">
        <v>282</v>
      </c>
      <c r="Q30" s="302"/>
      <c r="R30" s="302"/>
      <c r="S30" s="305"/>
      <c r="T30" s="300"/>
      <c r="U30" s="299"/>
      <c r="V30" s="298"/>
    </row>
    <row r="31" spans="2:22" ht="18.600000000000001" customHeight="1">
      <c r="F31" s="297"/>
      <c r="G31" s="297"/>
      <c r="H31" s="296"/>
      <c r="Q31" s="302"/>
      <c r="R31" s="302"/>
      <c r="S31" s="304"/>
      <c r="T31" s="300"/>
      <c r="U31" s="299"/>
      <c r="V31" s="298"/>
    </row>
    <row r="32" spans="2:22" ht="18.600000000000001" customHeight="1">
      <c r="F32" s="297"/>
      <c r="G32" s="297"/>
      <c r="H32" s="296"/>
      <c r="Q32" s="302"/>
      <c r="R32" s="302"/>
      <c r="S32" s="304"/>
      <c r="T32" s="300"/>
      <c r="U32" s="299"/>
      <c r="V32" s="298"/>
    </row>
    <row r="33" spans="6:22" ht="18.600000000000001" customHeight="1">
      <c r="F33" s="297"/>
      <c r="G33" s="297"/>
      <c r="H33" s="296"/>
      <c r="Q33" s="302"/>
      <c r="R33" s="302"/>
      <c r="S33" s="305"/>
      <c r="T33" s="300"/>
      <c r="U33" s="299"/>
      <c r="V33" s="298"/>
    </row>
    <row r="34" spans="6:22" ht="18.600000000000001" customHeight="1">
      <c r="F34" s="297"/>
      <c r="G34" s="297"/>
      <c r="H34" s="296"/>
      <c r="Q34" s="302"/>
      <c r="R34" s="302"/>
      <c r="S34" s="305"/>
      <c r="T34" s="300"/>
      <c r="U34" s="299"/>
      <c r="V34" s="298"/>
    </row>
    <row r="35" spans="6:22" ht="18.600000000000001" customHeight="1">
      <c r="F35" s="297"/>
      <c r="G35" s="297"/>
      <c r="H35" s="296"/>
      <c r="Q35" s="302"/>
      <c r="R35" s="302"/>
      <c r="S35" s="303"/>
      <c r="T35" s="300"/>
      <c r="U35" s="299"/>
    </row>
    <row r="36" spans="6:22" ht="18.600000000000001" customHeight="1">
      <c r="F36" s="297"/>
      <c r="G36" s="297"/>
      <c r="H36" s="296"/>
      <c r="Q36" s="302"/>
      <c r="R36" s="302"/>
      <c r="S36" s="305"/>
      <c r="T36" s="300"/>
      <c r="U36" s="299"/>
      <c r="V36" s="298"/>
    </row>
    <row r="37" spans="6:22" ht="18.600000000000001" customHeight="1">
      <c r="F37" s="297"/>
      <c r="G37" s="297"/>
      <c r="H37" s="296"/>
      <c r="Q37" s="302"/>
      <c r="R37" s="302"/>
      <c r="S37" s="301"/>
      <c r="T37" s="300"/>
      <c r="U37" s="299"/>
      <c r="V37" s="298"/>
    </row>
    <row r="38" spans="6:22" ht="18.600000000000001" customHeight="1">
      <c r="F38" s="297"/>
      <c r="G38" s="297"/>
      <c r="H38" s="296"/>
      <c r="Q38" s="302"/>
      <c r="R38" s="302"/>
      <c r="S38" s="304"/>
      <c r="T38" s="300"/>
      <c r="U38" s="299"/>
      <c r="V38" s="298"/>
    </row>
    <row r="39" spans="6:22" ht="18.600000000000001" customHeight="1">
      <c r="F39" s="297"/>
      <c r="G39" s="297"/>
      <c r="H39" s="296"/>
      <c r="Q39" s="302"/>
      <c r="R39" s="302"/>
      <c r="S39" s="303"/>
      <c r="T39" s="300"/>
      <c r="V39" s="298"/>
    </row>
    <row r="40" spans="6:22" ht="18.600000000000001" customHeight="1">
      <c r="F40" s="297"/>
      <c r="G40" s="297"/>
      <c r="H40" s="296"/>
      <c r="Q40" s="302"/>
      <c r="R40" s="302"/>
      <c r="S40" s="301"/>
      <c r="T40" s="300"/>
      <c r="U40" s="299"/>
      <c r="V40" s="298"/>
    </row>
    <row r="41" spans="6:22" ht="18.600000000000001" customHeight="1">
      <c r="F41" s="297"/>
      <c r="G41" s="297"/>
      <c r="H41" s="296"/>
      <c r="Q41" s="302"/>
      <c r="R41" s="302"/>
      <c r="S41" s="301"/>
      <c r="T41" s="300"/>
      <c r="U41" s="299"/>
      <c r="V41" s="298"/>
    </row>
    <row r="42" spans="6:22" ht="18.600000000000001" customHeight="1">
      <c r="F42" s="297"/>
      <c r="G42" s="297"/>
      <c r="H42" s="296"/>
      <c r="Q42" s="302"/>
      <c r="R42" s="302"/>
      <c r="S42" s="303"/>
      <c r="T42" s="300"/>
      <c r="U42" s="299"/>
      <c r="V42" s="298"/>
    </row>
    <row r="43" spans="6:22" ht="18.600000000000001" customHeight="1">
      <c r="F43" s="297"/>
      <c r="G43" s="297"/>
      <c r="H43" s="296"/>
      <c r="Q43" s="302"/>
      <c r="R43" s="302"/>
      <c r="S43" s="301"/>
      <c r="T43" s="300"/>
      <c r="U43" s="299"/>
      <c r="V43" s="298"/>
    </row>
    <row r="44" spans="6:22" ht="18.600000000000001" customHeight="1">
      <c r="F44" s="297"/>
      <c r="G44" s="297"/>
      <c r="H44" s="296"/>
      <c r="Q44" s="302"/>
      <c r="R44" s="302"/>
      <c r="S44" s="301"/>
      <c r="T44" s="300"/>
      <c r="U44" s="299"/>
      <c r="V44" s="298"/>
    </row>
    <row r="45" spans="6:22" ht="18.600000000000001" customHeight="1">
      <c r="F45" s="297"/>
      <c r="G45" s="297"/>
      <c r="H45" s="296"/>
      <c r="Q45" s="302"/>
      <c r="R45" s="302"/>
      <c r="S45" s="301"/>
      <c r="T45" s="300"/>
      <c r="U45" s="299"/>
      <c r="V45" s="298"/>
    </row>
    <row r="46" spans="6:22" ht="18.600000000000001" customHeight="1">
      <c r="F46" s="297"/>
      <c r="G46" s="297"/>
      <c r="H46" s="296"/>
      <c r="Q46" s="302"/>
      <c r="R46" s="302"/>
      <c r="S46" s="301"/>
      <c r="T46" s="300"/>
      <c r="U46" s="299"/>
      <c r="V46" s="298"/>
    </row>
    <row r="47" spans="6:22" ht="18.600000000000001" customHeight="1">
      <c r="F47" s="297"/>
      <c r="G47" s="297"/>
      <c r="H47" s="296"/>
      <c r="Q47" s="302"/>
      <c r="R47" s="302"/>
      <c r="S47" s="303"/>
      <c r="T47" s="300"/>
      <c r="U47" s="299"/>
      <c r="V47" s="298"/>
    </row>
    <row r="48" spans="6:22" ht="18.600000000000001" customHeight="1">
      <c r="F48" s="297"/>
      <c r="G48" s="297"/>
      <c r="H48" s="296"/>
      <c r="Q48" s="302"/>
      <c r="R48" s="302"/>
      <c r="S48" s="301"/>
      <c r="T48" s="300"/>
      <c r="U48" s="299"/>
      <c r="V48" s="298"/>
    </row>
    <row r="49" spans="6:22" ht="18.600000000000001" customHeight="1">
      <c r="F49" s="297"/>
      <c r="G49" s="297"/>
      <c r="H49" s="296"/>
      <c r="Q49" s="302"/>
      <c r="R49" s="302"/>
      <c r="S49" s="301"/>
      <c r="T49" s="300"/>
      <c r="U49" s="299"/>
      <c r="V49" s="298"/>
    </row>
    <row r="50" spans="6:22" ht="18.600000000000001" customHeight="1">
      <c r="F50" s="297"/>
      <c r="G50" s="297"/>
      <c r="H50" s="296"/>
    </row>
    <row r="51" spans="6:22" ht="18.600000000000001" customHeight="1">
      <c r="F51" s="297"/>
      <c r="G51" s="297"/>
      <c r="H51" s="296"/>
    </row>
    <row r="52" spans="6:22" ht="18.600000000000001" customHeight="1">
      <c r="F52" s="297"/>
      <c r="G52" s="297"/>
      <c r="H52" s="296"/>
    </row>
    <row r="53" spans="6:22" ht="18.600000000000001" customHeight="1">
      <c r="F53" s="297"/>
      <c r="G53" s="297"/>
      <c r="H53" s="296"/>
    </row>
    <row r="54" spans="6:22" ht="18.600000000000001" customHeight="1">
      <c r="F54" s="297"/>
      <c r="G54" s="297"/>
      <c r="H54" s="296"/>
    </row>
    <row r="55" spans="6:22" ht="18.600000000000001" customHeight="1">
      <c r="F55" s="297"/>
      <c r="G55" s="297"/>
      <c r="H55" s="296"/>
    </row>
    <row r="56" spans="6:22" ht="18.600000000000001" customHeight="1">
      <c r="F56" s="297"/>
      <c r="G56" s="297"/>
      <c r="H56" s="296"/>
    </row>
    <row r="57" spans="6:22" ht="18.600000000000001" customHeight="1">
      <c r="F57" s="297"/>
      <c r="G57" s="297"/>
      <c r="H57" s="296"/>
    </row>
    <row r="58" spans="6:22" ht="18.600000000000001" customHeight="1">
      <c r="F58" s="297"/>
      <c r="G58" s="297"/>
      <c r="H58" s="296"/>
    </row>
    <row r="59" spans="6:22" ht="18.600000000000001" customHeight="1">
      <c r="F59" s="297"/>
      <c r="G59" s="297"/>
      <c r="H59" s="296"/>
    </row>
    <row r="60" spans="6:22" ht="18.600000000000001" customHeight="1">
      <c r="H60" s="296"/>
    </row>
    <row r="61" spans="6:22" ht="18.600000000000001" customHeight="1">
      <c r="H61" s="296"/>
    </row>
    <row r="62" spans="6:22" ht="18.600000000000001" customHeight="1">
      <c r="H62" s="296"/>
    </row>
    <row r="63" spans="6:22" ht="18.600000000000001" customHeight="1">
      <c r="H63" s="296"/>
    </row>
    <row r="64" spans="6:22" ht="18.600000000000001" customHeight="1">
      <c r="H64" s="296"/>
    </row>
    <row r="65" spans="8:8" ht="18.600000000000001" customHeight="1">
      <c r="H65" s="296"/>
    </row>
    <row r="66" spans="8:8" ht="18.600000000000001" customHeight="1">
      <c r="H66" s="296"/>
    </row>
    <row r="67" spans="8:8" ht="18.600000000000001" customHeight="1">
      <c r="H67" s="296"/>
    </row>
    <row r="68" spans="8:8" ht="18.600000000000001" customHeight="1">
      <c r="H68" s="296"/>
    </row>
    <row r="69" spans="8:8" ht="18.600000000000001" customHeight="1">
      <c r="H69" s="296"/>
    </row>
    <row r="70" spans="8:8" ht="18.600000000000001" customHeight="1">
      <c r="H70" s="296"/>
    </row>
    <row r="71" spans="8:8" ht="18.600000000000001" customHeight="1">
      <c r="H71" s="296"/>
    </row>
    <row r="72" spans="8:8" ht="18.600000000000001" customHeight="1">
      <c r="H72" s="296"/>
    </row>
    <row r="73" spans="8:8" ht="18.600000000000001" customHeight="1">
      <c r="H73" s="296"/>
    </row>
    <row r="74" spans="8:8" ht="18.600000000000001" customHeight="1">
      <c r="H74" s="296"/>
    </row>
    <row r="75" spans="8:8" ht="18.600000000000001" customHeight="1">
      <c r="H75" s="296"/>
    </row>
    <row r="76" spans="8:8" ht="18.600000000000001" customHeight="1">
      <c r="H76" s="296"/>
    </row>
    <row r="77" spans="8:8" ht="18.600000000000001" customHeight="1">
      <c r="H77" s="296"/>
    </row>
    <row r="78" spans="8:8" ht="18.600000000000001" customHeight="1">
      <c r="H78" s="296"/>
    </row>
    <row r="79" spans="8:8" ht="18.600000000000001" customHeight="1">
      <c r="H79" s="296"/>
    </row>
    <row r="80" spans="8:8" ht="18.600000000000001" customHeight="1">
      <c r="H80" s="296"/>
    </row>
    <row r="81" spans="6:8" ht="18.600000000000001" customHeight="1">
      <c r="H81" s="296"/>
    </row>
    <row r="82" spans="6:8" ht="18.600000000000001" customHeight="1">
      <c r="H82" s="296"/>
    </row>
    <row r="83" spans="6:8" ht="18.600000000000001" customHeight="1">
      <c r="H83" s="296"/>
    </row>
    <row r="84" spans="6:8" ht="18.600000000000001" customHeight="1">
      <c r="H84" s="296"/>
    </row>
    <row r="85" spans="6:8" ht="18.600000000000001" customHeight="1">
      <c r="H85" s="296"/>
    </row>
    <row r="86" spans="6:8" ht="18.600000000000001" customHeight="1">
      <c r="H86" s="296"/>
    </row>
    <row r="87" spans="6:8" ht="18.600000000000001" customHeight="1">
      <c r="F87" s="297"/>
      <c r="G87" s="297"/>
      <c r="H87" s="296"/>
    </row>
    <row r="88" spans="6:8" ht="18.600000000000001" customHeight="1">
      <c r="F88" s="297"/>
      <c r="G88" s="297"/>
      <c r="H88" s="296"/>
    </row>
    <row r="89" spans="6:8" ht="18.600000000000001" customHeight="1">
      <c r="H89" s="296"/>
    </row>
    <row r="90" spans="6:8" ht="18.600000000000001" customHeight="1">
      <c r="H90" s="296"/>
    </row>
    <row r="91" spans="6:8" ht="18.600000000000001" customHeight="1">
      <c r="H91" s="296"/>
    </row>
    <row r="92" spans="6:8" ht="18.600000000000001" customHeight="1">
      <c r="H92" s="296"/>
    </row>
    <row r="93" spans="6:8" ht="18.600000000000001" customHeight="1">
      <c r="H93" s="296"/>
    </row>
    <row r="94" spans="6:8" ht="18.600000000000001" customHeight="1">
      <c r="H94" s="296"/>
    </row>
    <row r="95" spans="6:8" ht="18.600000000000001" customHeight="1">
      <c r="H95" s="296"/>
    </row>
    <row r="96" spans="6:8" ht="18.600000000000001" customHeight="1">
      <c r="H96" s="296"/>
    </row>
    <row r="97" spans="8:8" ht="18.600000000000001" customHeight="1">
      <c r="H97" s="296"/>
    </row>
    <row r="98" spans="8:8" ht="18.600000000000001" customHeight="1">
      <c r="H98" s="296"/>
    </row>
    <row r="99" spans="8:8" ht="18.600000000000001" customHeight="1">
      <c r="H99" s="296"/>
    </row>
    <row r="100" spans="8:8" ht="18.600000000000001" customHeight="1">
      <c r="H100" s="296"/>
    </row>
    <row r="101" spans="8:8" ht="18.600000000000001" customHeight="1">
      <c r="H101" s="296"/>
    </row>
    <row r="102" spans="8:8" ht="18.600000000000001" customHeight="1">
      <c r="H102" s="296"/>
    </row>
    <row r="103" spans="8:8" ht="18.600000000000001" customHeight="1">
      <c r="H103" s="296"/>
    </row>
    <row r="104" spans="8:8" ht="18.600000000000001" customHeight="1">
      <c r="H104" s="296"/>
    </row>
    <row r="105" spans="8:8" ht="18.600000000000001" customHeight="1">
      <c r="H105" s="296"/>
    </row>
    <row r="106" spans="8:8" ht="18.600000000000001" customHeight="1">
      <c r="H106" s="296"/>
    </row>
    <row r="107" spans="8:8" ht="18.600000000000001" customHeight="1">
      <c r="H107" s="296"/>
    </row>
    <row r="108" spans="8:8" ht="18.600000000000001" customHeight="1">
      <c r="H108" s="296"/>
    </row>
    <row r="109" spans="8:8" ht="18.600000000000001" customHeight="1">
      <c r="H109" s="296"/>
    </row>
    <row r="110" spans="8:8" ht="18.600000000000001" customHeight="1">
      <c r="H110" s="296"/>
    </row>
    <row r="111" spans="8:8" ht="18.600000000000001" customHeight="1">
      <c r="H111" s="296"/>
    </row>
    <row r="112" spans="8:8" ht="18.600000000000001" customHeight="1">
      <c r="H112" s="296"/>
    </row>
    <row r="113" spans="8:8" ht="18.600000000000001" customHeight="1">
      <c r="H113" s="296"/>
    </row>
    <row r="114" spans="8:8" ht="18.600000000000001" customHeight="1">
      <c r="H114" s="296"/>
    </row>
    <row r="115" spans="8:8" ht="18.600000000000001" customHeight="1">
      <c r="H115" s="296"/>
    </row>
    <row r="116" spans="8:8" ht="18.600000000000001" customHeight="1">
      <c r="H116" s="296"/>
    </row>
    <row r="117" spans="8:8" ht="18.600000000000001" customHeight="1">
      <c r="H117" s="296"/>
    </row>
    <row r="118" spans="8:8" ht="18.600000000000001" customHeight="1">
      <c r="H118" s="296"/>
    </row>
    <row r="119" spans="8:8" ht="18.600000000000001" customHeight="1">
      <c r="H119" s="296"/>
    </row>
    <row r="120" spans="8:8" ht="18.600000000000001" customHeight="1">
      <c r="H120" s="296"/>
    </row>
    <row r="121" spans="8:8" ht="18.600000000000001" customHeight="1">
      <c r="H121" s="296"/>
    </row>
    <row r="122" spans="8:8" ht="18.600000000000001" customHeight="1">
      <c r="H122" s="296"/>
    </row>
    <row r="123" spans="8:8" ht="18.600000000000001" customHeight="1">
      <c r="H123" s="296"/>
    </row>
    <row r="124" spans="8:8" ht="18.600000000000001" customHeight="1">
      <c r="H124" s="296"/>
    </row>
    <row r="125" spans="8:8" ht="18.600000000000001" customHeight="1">
      <c r="H125" s="296"/>
    </row>
    <row r="126" spans="8:8" ht="18.600000000000001" customHeight="1">
      <c r="H126" s="296"/>
    </row>
    <row r="127" spans="8:8" ht="18.600000000000001" customHeight="1">
      <c r="H127" s="296"/>
    </row>
    <row r="128" spans="8:8" ht="18.600000000000001" customHeight="1">
      <c r="H128" s="296"/>
    </row>
    <row r="129" spans="8:8" ht="18.600000000000001" customHeight="1">
      <c r="H129" s="296"/>
    </row>
    <row r="130" spans="8:8" ht="18.600000000000001" customHeight="1">
      <c r="H130" s="296"/>
    </row>
    <row r="131" spans="8:8" ht="18.600000000000001" customHeight="1">
      <c r="H131" s="296"/>
    </row>
    <row r="132" spans="8:8" ht="18.600000000000001" customHeight="1">
      <c r="H132" s="296"/>
    </row>
    <row r="133" spans="8:8" ht="18.600000000000001" customHeight="1">
      <c r="H133" s="296"/>
    </row>
    <row r="134" spans="8:8" ht="18.600000000000001" customHeight="1">
      <c r="H134" s="296"/>
    </row>
    <row r="135" spans="8:8" ht="18.600000000000001" customHeight="1">
      <c r="H135" s="296"/>
    </row>
    <row r="136" spans="8:8" ht="18.600000000000001" customHeight="1">
      <c r="H136" s="296"/>
    </row>
    <row r="137" spans="8:8" ht="18.600000000000001" customHeight="1">
      <c r="H137" s="296"/>
    </row>
    <row r="138" spans="8:8" ht="18.600000000000001" customHeight="1">
      <c r="H138" s="296"/>
    </row>
    <row r="139" spans="8:8" ht="18.600000000000001" customHeight="1">
      <c r="H139" s="296"/>
    </row>
    <row r="140" spans="8:8" ht="18.600000000000001" customHeight="1">
      <c r="H140" s="296"/>
    </row>
    <row r="141" spans="8:8" ht="18.600000000000001" customHeight="1">
      <c r="H141" s="296"/>
    </row>
    <row r="142" spans="8:8" ht="18.600000000000001" customHeight="1">
      <c r="H142" s="296"/>
    </row>
    <row r="143" spans="8:8" ht="18.600000000000001" customHeight="1">
      <c r="H143" s="296"/>
    </row>
    <row r="144" spans="8:8" ht="18.600000000000001" customHeight="1">
      <c r="H144" s="296"/>
    </row>
    <row r="145" spans="8:8" ht="18.600000000000001" customHeight="1">
      <c r="H145" s="296"/>
    </row>
    <row r="146" spans="8:8" ht="18.600000000000001" customHeight="1">
      <c r="H146" s="296"/>
    </row>
    <row r="147" spans="8:8" ht="18.600000000000001" customHeight="1">
      <c r="H147" s="296"/>
    </row>
    <row r="148" spans="8:8" ht="18.600000000000001" customHeight="1">
      <c r="H148" s="296"/>
    </row>
    <row r="149" spans="8:8" ht="18.600000000000001" customHeight="1">
      <c r="H149" s="296"/>
    </row>
    <row r="150" spans="8:8" ht="18.600000000000001" customHeight="1">
      <c r="H150" s="296"/>
    </row>
    <row r="151" spans="8:8" ht="18.600000000000001" customHeight="1">
      <c r="H151" s="296"/>
    </row>
    <row r="152" spans="8:8" ht="18.600000000000001" customHeight="1">
      <c r="H152" s="296"/>
    </row>
    <row r="153" spans="8:8" ht="18.600000000000001" customHeight="1">
      <c r="H153" s="296"/>
    </row>
    <row r="154" spans="8:8" ht="18.600000000000001" customHeight="1">
      <c r="H154" s="296"/>
    </row>
    <row r="155" spans="8:8" ht="18.600000000000001" customHeight="1">
      <c r="H155" s="296"/>
    </row>
    <row r="156" spans="8:8" ht="18.600000000000001" customHeight="1">
      <c r="H156" s="296"/>
    </row>
    <row r="157" spans="8:8" ht="18.600000000000001" customHeight="1">
      <c r="H157" s="296"/>
    </row>
    <row r="158" spans="8:8" ht="18.600000000000001" customHeight="1">
      <c r="H158" s="296"/>
    </row>
    <row r="159" spans="8:8" ht="18.600000000000001" customHeight="1">
      <c r="H159" s="296"/>
    </row>
    <row r="160" spans="8:8" ht="18.600000000000001" customHeight="1">
      <c r="H160" s="296"/>
    </row>
    <row r="161" spans="8:8" ht="18.600000000000001" customHeight="1">
      <c r="H161" s="296"/>
    </row>
    <row r="162" spans="8:8" ht="18.600000000000001" customHeight="1">
      <c r="H162" s="296"/>
    </row>
    <row r="163" spans="8:8" ht="18.600000000000001" customHeight="1">
      <c r="H163" s="296"/>
    </row>
    <row r="164" spans="8:8" ht="18.600000000000001" customHeight="1">
      <c r="H164" s="296"/>
    </row>
    <row r="165" spans="8:8" ht="18.600000000000001" customHeight="1">
      <c r="H165" s="296"/>
    </row>
    <row r="166" spans="8:8" ht="18.600000000000001" customHeight="1">
      <c r="H166" s="296"/>
    </row>
    <row r="167" spans="8:8" ht="18.600000000000001" customHeight="1">
      <c r="H167" s="296"/>
    </row>
    <row r="168" spans="8:8" ht="18.600000000000001" customHeight="1">
      <c r="H168" s="296"/>
    </row>
    <row r="169" spans="8:8" ht="18.600000000000001" customHeight="1">
      <c r="H169" s="296"/>
    </row>
    <row r="170" spans="8:8" ht="18.600000000000001" customHeight="1">
      <c r="H170" s="296"/>
    </row>
    <row r="171" spans="8:8" ht="18.600000000000001" customHeight="1">
      <c r="H171" s="296"/>
    </row>
    <row r="172" spans="8:8" ht="18.600000000000001" customHeight="1">
      <c r="H172" s="296"/>
    </row>
    <row r="173" spans="8:8" ht="18.600000000000001" customHeight="1">
      <c r="H173" s="296"/>
    </row>
    <row r="174" spans="8:8" ht="18.600000000000001" customHeight="1">
      <c r="H174" s="296"/>
    </row>
    <row r="175" spans="8:8" ht="18.600000000000001" customHeight="1">
      <c r="H175" s="296"/>
    </row>
    <row r="176" spans="8:8" ht="18.600000000000001" customHeight="1">
      <c r="H176" s="296"/>
    </row>
    <row r="177" spans="8:8" ht="18.600000000000001" customHeight="1">
      <c r="H177" s="296"/>
    </row>
    <row r="178" spans="8:8" ht="18.600000000000001" customHeight="1">
      <c r="H178" s="296"/>
    </row>
    <row r="179" spans="8:8" ht="18.600000000000001" customHeight="1">
      <c r="H179" s="296"/>
    </row>
    <row r="180" spans="8:8" ht="18.600000000000001" customHeight="1">
      <c r="H180" s="296"/>
    </row>
    <row r="181" spans="8:8" ht="18.600000000000001" customHeight="1">
      <c r="H181" s="296"/>
    </row>
    <row r="182" spans="8:8" ht="18.600000000000001" customHeight="1">
      <c r="H182" s="296"/>
    </row>
    <row r="183" spans="8:8" ht="18.600000000000001" customHeight="1">
      <c r="H183" s="296"/>
    </row>
    <row r="184" spans="8:8" ht="18.600000000000001" customHeight="1">
      <c r="H184" s="296"/>
    </row>
    <row r="185" spans="8:8" ht="18.600000000000001" customHeight="1">
      <c r="H185" s="296"/>
    </row>
    <row r="186" spans="8:8" ht="18.600000000000001" customHeight="1">
      <c r="H186" s="296"/>
    </row>
    <row r="187" spans="8:8" ht="18.600000000000001" customHeight="1">
      <c r="H187" s="296"/>
    </row>
    <row r="188" spans="8:8" ht="18.600000000000001" customHeight="1">
      <c r="H188" s="296"/>
    </row>
    <row r="189" spans="8:8" ht="18.600000000000001" customHeight="1">
      <c r="H189" s="296"/>
    </row>
    <row r="190" spans="8:8" ht="18.600000000000001" customHeight="1">
      <c r="H190" s="296"/>
    </row>
    <row r="191" spans="8:8" ht="18.600000000000001" customHeight="1">
      <c r="H191" s="296"/>
    </row>
    <row r="192" spans="8:8" ht="18.600000000000001" customHeight="1">
      <c r="H192" s="296"/>
    </row>
    <row r="193" spans="8:8" ht="18.600000000000001" customHeight="1">
      <c r="H193" s="296"/>
    </row>
    <row r="194" spans="8:8" ht="18.600000000000001" customHeight="1">
      <c r="H194" s="296"/>
    </row>
    <row r="195" spans="8:8" ht="18.600000000000001" customHeight="1">
      <c r="H195" s="296"/>
    </row>
    <row r="196" spans="8:8" ht="18.600000000000001" customHeight="1">
      <c r="H196" s="296"/>
    </row>
    <row r="197" spans="8:8" ht="18.600000000000001" customHeight="1">
      <c r="H197" s="296"/>
    </row>
    <row r="198" spans="8:8" ht="18.600000000000001" customHeight="1">
      <c r="H198" s="296"/>
    </row>
    <row r="199" spans="8:8" ht="18.600000000000001" customHeight="1">
      <c r="H199" s="296"/>
    </row>
    <row r="200" spans="8:8" ht="18.600000000000001" customHeight="1">
      <c r="H200" s="296"/>
    </row>
    <row r="201" spans="8:8" ht="18.600000000000001" customHeight="1">
      <c r="H201" s="296"/>
    </row>
    <row r="202" spans="8:8" ht="18.600000000000001" customHeight="1">
      <c r="H202" s="296"/>
    </row>
    <row r="203" spans="8:8" ht="18.600000000000001" customHeight="1">
      <c r="H203" s="296"/>
    </row>
    <row r="204" spans="8:8" ht="18.600000000000001" customHeight="1">
      <c r="H204" s="296"/>
    </row>
    <row r="205" spans="8:8" ht="18.600000000000001" customHeight="1">
      <c r="H205" s="296"/>
    </row>
    <row r="206" spans="8:8" ht="18.600000000000001" customHeight="1">
      <c r="H206" s="296"/>
    </row>
    <row r="207" spans="8:8" ht="18.600000000000001" customHeight="1">
      <c r="H207" s="296"/>
    </row>
    <row r="208" spans="8:8" ht="18.600000000000001" customHeight="1">
      <c r="H208" s="296"/>
    </row>
    <row r="209" spans="8:8" ht="18.600000000000001" customHeight="1">
      <c r="H209" s="296"/>
    </row>
    <row r="210" spans="8:8" ht="18.600000000000001" customHeight="1">
      <c r="H210" s="296"/>
    </row>
    <row r="211" spans="8:8" ht="18.600000000000001" customHeight="1">
      <c r="H211" s="296"/>
    </row>
    <row r="212" spans="8:8" ht="18.600000000000001" customHeight="1">
      <c r="H212" s="296"/>
    </row>
    <row r="213" spans="8:8" ht="18.600000000000001" customHeight="1">
      <c r="H213" s="296"/>
    </row>
    <row r="214" spans="8:8" ht="18.600000000000001" customHeight="1">
      <c r="H214" s="296"/>
    </row>
    <row r="215" spans="8:8" ht="18.600000000000001" customHeight="1">
      <c r="H215" s="296"/>
    </row>
    <row r="216" spans="8:8" ht="18.600000000000001" customHeight="1">
      <c r="H216" s="296"/>
    </row>
    <row r="217" spans="8:8" ht="18.600000000000001" customHeight="1">
      <c r="H217" s="296"/>
    </row>
    <row r="218" spans="8:8" ht="18.600000000000001" customHeight="1">
      <c r="H218" s="296"/>
    </row>
    <row r="219" spans="8:8" ht="18.600000000000001" customHeight="1">
      <c r="H219" s="296"/>
    </row>
    <row r="220" spans="8:8" ht="18.600000000000001" customHeight="1">
      <c r="H220" s="296"/>
    </row>
    <row r="221" spans="8:8" ht="18.600000000000001" customHeight="1">
      <c r="H221" s="296"/>
    </row>
    <row r="222" spans="8:8" ht="18.600000000000001" customHeight="1">
      <c r="H222" s="296"/>
    </row>
    <row r="223" spans="8:8" ht="18.600000000000001" customHeight="1">
      <c r="H223" s="296"/>
    </row>
    <row r="224" spans="8:8" ht="18.600000000000001" customHeight="1">
      <c r="H224" s="296"/>
    </row>
    <row r="225" spans="8:8" ht="18.600000000000001" customHeight="1">
      <c r="H225" s="296"/>
    </row>
    <row r="226" spans="8:8" ht="18.600000000000001" customHeight="1">
      <c r="H226" s="296"/>
    </row>
    <row r="227" spans="8:8" ht="18.600000000000001" customHeight="1">
      <c r="H227" s="296"/>
    </row>
    <row r="228" spans="8:8" ht="18.600000000000001" customHeight="1">
      <c r="H228" s="296"/>
    </row>
    <row r="229" spans="8:8" ht="18.600000000000001" customHeight="1">
      <c r="H229" s="296"/>
    </row>
    <row r="230" spans="8:8" ht="18.600000000000001" customHeight="1">
      <c r="H230" s="296"/>
    </row>
    <row r="231" spans="8:8" ht="18.600000000000001" customHeight="1">
      <c r="H231" s="296"/>
    </row>
    <row r="232" spans="8:8" ht="18.600000000000001" customHeight="1">
      <c r="H232" s="296"/>
    </row>
    <row r="233" spans="8:8" ht="18.600000000000001" customHeight="1">
      <c r="H233" s="296"/>
    </row>
    <row r="234" spans="8:8" ht="18.600000000000001" customHeight="1">
      <c r="H234" s="296"/>
    </row>
    <row r="235" spans="8:8" ht="18.600000000000001" customHeight="1">
      <c r="H235" s="296"/>
    </row>
    <row r="236" spans="8:8" ht="18.600000000000001" customHeight="1">
      <c r="H236" s="296"/>
    </row>
    <row r="237" spans="8:8" ht="18.600000000000001" customHeight="1">
      <c r="H237" s="296"/>
    </row>
    <row r="238" spans="8:8" ht="18.600000000000001" customHeight="1">
      <c r="H238" s="296"/>
    </row>
    <row r="239" spans="8:8" ht="18.600000000000001" customHeight="1">
      <c r="H239" s="296"/>
    </row>
    <row r="240" spans="8:8" ht="18.600000000000001" customHeight="1">
      <c r="H240" s="296"/>
    </row>
    <row r="241" spans="8:8" ht="18.600000000000001" customHeight="1">
      <c r="H241" s="296"/>
    </row>
    <row r="242" spans="8:8" ht="18.600000000000001" customHeight="1">
      <c r="H242" s="296"/>
    </row>
    <row r="243" spans="8:8" ht="18.600000000000001" customHeight="1">
      <c r="H243" s="296"/>
    </row>
    <row r="244" spans="8:8" ht="18.600000000000001" customHeight="1">
      <c r="H244" s="296"/>
    </row>
    <row r="245" spans="8:8" ht="18.600000000000001" customHeight="1">
      <c r="H245" s="296"/>
    </row>
    <row r="246" spans="8:8" ht="18.600000000000001" customHeight="1">
      <c r="H246" s="296"/>
    </row>
    <row r="247" spans="8:8" ht="18.600000000000001" customHeight="1">
      <c r="H247" s="296"/>
    </row>
    <row r="248" spans="8:8" ht="18.600000000000001" customHeight="1">
      <c r="H248" s="296"/>
    </row>
    <row r="249" spans="8:8" ht="18.600000000000001" customHeight="1">
      <c r="H249" s="296"/>
    </row>
    <row r="250" spans="8:8" ht="18.600000000000001" customHeight="1">
      <c r="H250" s="296"/>
    </row>
    <row r="251" spans="8:8" ht="18.600000000000001" customHeight="1">
      <c r="H251" s="296"/>
    </row>
    <row r="252" spans="8:8">
      <c r="H252" s="296"/>
    </row>
    <row r="253" spans="8:8">
      <c r="H253" s="296"/>
    </row>
    <row r="254" spans="8:8">
      <c r="H254" s="296"/>
    </row>
    <row r="255" spans="8:8">
      <c r="H255" s="296"/>
    </row>
    <row r="256" spans="8:8">
      <c r="H256" s="296"/>
    </row>
    <row r="257" spans="8:8">
      <c r="H257" s="296"/>
    </row>
    <row r="258" spans="8:8">
      <c r="H258" s="296"/>
    </row>
    <row r="259" spans="8:8">
      <c r="H259" s="296"/>
    </row>
    <row r="260" spans="8:8">
      <c r="H260" s="296"/>
    </row>
    <row r="261" spans="8:8">
      <c r="H261" s="296"/>
    </row>
    <row r="262" spans="8:8">
      <c r="H262" s="296"/>
    </row>
    <row r="263" spans="8:8">
      <c r="H263" s="296"/>
    </row>
    <row r="264" spans="8:8">
      <c r="H264" s="296"/>
    </row>
    <row r="265" spans="8:8">
      <c r="H265" s="296"/>
    </row>
    <row r="266" spans="8:8">
      <c r="H266" s="296"/>
    </row>
    <row r="267" spans="8:8">
      <c r="H267" s="296"/>
    </row>
    <row r="268" spans="8:8">
      <c r="H268" s="296"/>
    </row>
    <row r="269" spans="8:8">
      <c r="H269" s="296"/>
    </row>
    <row r="270" spans="8:8">
      <c r="H270" s="296"/>
    </row>
    <row r="271" spans="8:8">
      <c r="H271" s="296"/>
    </row>
    <row r="272" spans="8:8">
      <c r="H272" s="296"/>
    </row>
    <row r="273" spans="8:8">
      <c r="H273" s="296"/>
    </row>
    <row r="274" spans="8:8">
      <c r="H274" s="296"/>
    </row>
    <row r="275" spans="8:8">
      <c r="H275" s="296"/>
    </row>
    <row r="276" spans="8:8">
      <c r="H276" s="296"/>
    </row>
    <row r="277" spans="8:8">
      <c r="H277" s="296"/>
    </row>
    <row r="278" spans="8:8">
      <c r="H278" s="296"/>
    </row>
    <row r="279" spans="8:8">
      <c r="H279" s="296"/>
    </row>
    <row r="280" spans="8:8">
      <c r="H280" s="296"/>
    </row>
    <row r="281" spans="8:8">
      <c r="H281" s="296"/>
    </row>
    <row r="282" spans="8:8">
      <c r="H282" s="296"/>
    </row>
    <row r="283" spans="8:8">
      <c r="H283" s="296"/>
    </row>
    <row r="284" spans="8:8">
      <c r="H284" s="296"/>
    </row>
    <row r="285" spans="8:8">
      <c r="H285" s="296"/>
    </row>
    <row r="286" spans="8:8">
      <c r="H286" s="296"/>
    </row>
    <row r="287" spans="8:8">
      <c r="H287" s="296"/>
    </row>
    <row r="288" spans="8:8">
      <c r="H288" s="296"/>
    </row>
    <row r="289" spans="8:8">
      <c r="H289" s="296"/>
    </row>
    <row r="290" spans="8:8">
      <c r="H290" s="296"/>
    </row>
    <row r="291" spans="8:8">
      <c r="H291" s="296"/>
    </row>
    <row r="292" spans="8:8">
      <c r="H292" s="296"/>
    </row>
    <row r="293" spans="8:8">
      <c r="H293" s="296"/>
    </row>
    <row r="294" spans="8:8">
      <c r="H294" s="296"/>
    </row>
    <row r="295" spans="8:8">
      <c r="H295" s="296"/>
    </row>
    <row r="296" spans="8:8">
      <c r="H296" s="296"/>
    </row>
    <row r="297" spans="8:8">
      <c r="H297" s="296"/>
    </row>
    <row r="298" spans="8:8">
      <c r="H298" s="296"/>
    </row>
    <row r="299" spans="8:8">
      <c r="H299" s="296"/>
    </row>
    <row r="300" spans="8:8">
      <c r="H300" s="296"/>
    </row>
    <row r="301" spans="8:8">
      <c r="H301" s="296"/>
    </row>
    <row r="302" spans="8:8">
      <c r="H302" s="296"/>
    </row>
    <row r="303" spans="8:8">
      <c r="H303" s="296"/>
    </row>
    <row r="304" spans="8:8">
      <c r="H304" s="296"/>
    </row>
    <row r="305" spans="8:8">
      <c r="H305" s="296"/>
    </row>
    <row r="306" spans="8:8">
      <c r="H306" s="296"/>
    </row>
    <row r="307" spans="8:8">
      <c r="H307" s="296"/>
    </row>
    <row r="308" spans="8:8">
      <c r="H308" s="296"/>
    </row>
    <row r="309" spans="8:8">
      <c r="H309" s="296"/>
    </row>
    <row r="310" spans="8:8">
      <c r="H310" s="296"/>
    </row>
    <row r="311" spans="8:8">
      <c r="H311" s="296"/>
    </row>
    <row r="312" spans="8:8">
      <c r="H312" s="296"/>
    </row>
    <row r="313" spans="8:8">
      <c r="H313" s="296"/>
    </row>
    <row r="314" spans="8:8">
      <c r="H314" s="296"/>
    </row>
    <row r="315" spans="8:8">
      <c r="H315" s="296"/>
    </row>
    <row r="316" spans="8:8">
      <c r="H316" s="296"/>
    </row>
    <row r="317" spans="8:8">
      <c r="H317" s="296"/>
    </row>
    <row r="318" spans="8:8">
      <c r="H318" s="296"/>
    </row>
    <row r="319" spans="8:8">
      <c r="H319" s="296"/>
    </row>
    <row r="320" spans="8:8">
      <c r="H320" s="296"/>
    </row>
    <row r="321" spans="8:8">
      <c r="H321" s="296"/>
    </row>
    <row r="322" spans="8:8">
      <c r="H322" s="296"/>
    </row>
    <row r="323" spans="8:8">
      <c r="H323" s="296"/>
    </row>
    <row r="324" spans="8:8">
      <c r="H324" s="296"/>
    </row>
    <row r="325" spans="8:8">
      <c r="H325" s="296"/>
    </row>
    <row r="326" spans="8:8">
      <c r="H326" s="296"/>
    </row>
    <row r="327" spans="8:8">
      <c r="H327" s="296"/>
    </row>
    <row r="328" spans="8:8">
      <c r="H328" s="296"/>
    </row>
    <row r="329" spans="8:8">
      <c r="H329" s="296"/>
    </row>
    <row r="330" spans="8:8">
      <c r="H330" s="296"/>
    </row>
    <row r="331" spans="8:8">
      <c r="H331" s="296"/>
    </row>
    <row r="332" spans="8:8">
      <c r="H332" s="296"/>
    </row>
    <row r="333" spans="8:8">
      <c r="H333" s="296"/>
    </row>
    <row r="334" spans="8:8">
      <c r="H334" s="296"/>
    </row>
    <row r="335" spans="8:8">
      <c r="H335" s="296"/>
    </row>
    <row r="336" spans="8:8">
      <c r="H336" s="296"/>
    </row>
    <row r="337" spans="8:8">
      <c r="H337" s="296"/>
    </row>
    <row r="338" spans="8:8">
      <c r="H338" s="296"/>
    </row>
    <row r="339" spans="8:8">
      <c r="H339" s="296"/>
    </row>
    <row r="340" spans="8:8">
      <c r="H340" s="296"/>
    </row>
    <row r="341" spans="8:8">
      <c r="H341" s="296"/>
    </row>
    <row r="342" spans="8:8">
      <c r="H342" s="296"/>
    </row>
    <row r="343" spans="8:8">
      <c r="H343" s="296"/>
    </row>
    <row r="344" spans="8:8">
      <c r="H344" s="296"/>
    </row>
    <row r="345" spans="8:8">
      <c r="H345" s="296"/>
    </row>
    <row r="346" spans="8:8">
      <c r="H346" s="296"/>
    </row>
    <row r="347" spans="8:8">
      <c r="H347" s="296"/>
    </row>
    <row r="348" spans="8:8">
      <c r="H348" s="296"/>
    </row>
    <row r="349" spans="8:8">
      <c r="H349" s="296"/>
    </row>
    <row r="350" spans="8:8">
      <c r="H350" s="296"/>
    </row>
    <row r="351" spans="8:8">
      <c r="H351" s="296"/>
    </row>
    <row r="352" spans="8:8">
      <c r="H352" s="296"/>
    </row>
    <row r="353" spans="8:8">
      <c r="H353" s="296"/>
    </row>
    <row r="354" spans="8:8">
      <c r="H354" s="296"/>
    </row>
    <row r="355" spans="8:8">
      <c r="H355" s="296"/>
    </row>
    <row r="356" spans="8:8">
      <c r="H356" s="296"/>
    </row>
    <row r="357" spans="8:8">
      <c r="H357" s="296"/>
    </row>
    <row r="358" spans="8:8">
      <c r="H358" s="296"/>
    </row>
    <row r="359" spans="8:8">
      <c r="H359" s="296"/>
    </row>
    <row r="360" spans="8:8">
      <c r="H360" s="296"/>
    </row>
    <row r="361" spans="8:8">
      <c r="H361" s="296"/>
    </row>
    <row r="362" spans="8:8">
      <c r="H362" s="296"/>
    </row>
    <row r="363" spans="8:8">
      <c r="H363" s="296"/>
    </row>
    <row r="364" spans="8:8">
      <c r="H364" s="296"/>
    </row>
    <row r="365" spans="8:8">
      <c r="H365" s="296"/>
    </row>
    <row r="366" spans="8:8">
      <c r="H366" s="296"/>
    </row>
    <row r="367" spans="8:8">
      <c r="H367" s="296"/>
    </row>
    <row r="368" spans="8:8">
      <c r="H368" s="296"/>
    </row>
    <row r="369" spans="8:8">
      <c r="H369" s="296"/>
    </row>
    <row r="370" spans="8:8">
      <c r="H370" s="296"/>
    </row>
    <row r="371" spans="8:8">
      <c r="H371" s="296"/>
    </row>
    <row r="372" spans="8:8">
      <c r="H372" s="296"/>
    </row>
    <row r="373" spans="8:8">
      <c r="H373" s="296"/>
    </row>
    <row r="374" spans="8:8">
      <c r="H374" s="296"/>
    </row>
    <row r="375" spans="8:8">
      <c r="H375" s="296"/>
    </row>
    <row r="376" spans="8:8">
      <c r="H376" s="296"/>
    </row>
    <row r="377" spans="8:8">
      <c r="H377" s="296"/>
    </row>
    <row r="378" spans="8:8">
      <c r="H378" s="296"/>
    </row>
    <row r="379" spans="8:8">
      <c r="H379" s="296"/>
    </row>
    <row r="380" spans="8:8">
      <c r="H380" s="296"/>
    </row>
    <row r="381" spans="8:8">
      <c r="H381" s="296"/>
    </row>
    <row r="382" spans="8:8">
      <c r="H382" s="296"/>
    </row>
    <row r="383" spans="8:8">
      <c r="H383" s="296"/>
    </row>
    <row r="384" spans="8:8">
      <c r="H384" s="296"/>
    </row>
    <row r="385" spans="8:8">
      <c r="H385" s="296"/>
    </row>
    <row r="386" spans="8:8">
      <c r="H386" s="296"/>
    </row>
    <row r="387" spans="8:8">
      <c r="H387" s="296"/>
    </row>
    <row r="388" spans="8:8">
      <c r="H388" s="296"/>
    </row>
    <row r="389" spans="8:8">
      <c r="H389" s="296"/>
    </row>
    <row r="390" spans="8:8">
      <c r="H390" s="296"/>
    </row>
    <row r="391" spans="8:8">
      <c r="H391" s="296"/>
    </row>
    <row r="392" spans="8:8">
      <c r="H392" s="296"/>
    </row>
    <row r="393" spans="8:8">
      <c r="H393" s="296"/>
    </row>
    <row r="394" spans="8:8">
      <c r="H394" s="296"/>
    </row>
    <row r="395" spans="8:8">
      <c r="H395" s="296"/>
    </row>
    <row r="396" spans="8:8">
      <c r="H396" s="296"/>
    </row>
    <row r="397" spans="8:8">
      <c r="H397" s="296"/>
    </row>
    <row r="398" spans="8:8">
      <c r="H398" s="296"/>
    </row>
    <row r="399" spans="8:8">
      <c r="H399" s="296"/>
    </row>
    <row r="400" spans="8:8">
      <c r="H400" s="296"/>
    </row>
    <row r="401" spans="8:8">
      <c r="H401" s="296"/>
    </row>
    <row r="402" spans="8:8">
      <c r="H402" s="296"/>
    </row>
    <row r="403" spans="8:8">
      <c r="H403" s="296"/>
    </row>
    <row r="404" spans="8:8">
      <c r="H404" s="296"/>
    </row>
    <row r="405" spans="8:8">
      <c r="H405" s="296"/>
    </row>
    <row r="406" spans="8:8">
      <c r="H406" s="296"/>
    </row>
    <row r="407" spans="8:8">
      <c r="H407" s="296"/>
    </row>
    <row r="408" spans="8:8">
      <c r="H408" s="296"/>
    </row>
    <row r="409" spans="8:8">
      <c r="H409" s="296"/>
    </row>
    <row r="410" spans="8:8">
      <c r="H410" s="296"/>
    </row>
    <row r="411" spans="8:8">
      <c r="H411" s="296"/>
    </row>
    <row r="412" spans="8:8">
      <c r="H412" s="296"/>
    </row>
    <row r="413" spans="8:8">
      <c r="H413" s="296"/>
    </row>
    <row r="414" spans="8:8">
      <c r="H414" s="296"/>
    </row>
    <row r="415" spans="8:8">
      <c r="H415" s="296"/>
    </row>
    <row r="416" spans="8:8">
      <c r="H416" s="296"/>
    </row>
    <row r="417" spans="8:8">
      <c r="H417" s="296"/>
    </row>
    <row r="418" spans="8:8">
      <c r="H418" s="296"/>
    </row>
    <row r="419" spans="8:8">
      <c r="H419" s="296"/>
    </row>
    <row r="420" spans="8:8">
      <c r="H420" s="296"/>
    </row>
    <row r="421" spans="8:8">
      <c r="H421" s="296"/>
    </row>
    <row r="422" spans="8:8">
      <c r="H422" s="296"/>
    </row>
    <row r="423" spans="8:8">
      <c r="H423" s="296"/>
    </row>
    <row r="424" spans="8:8">
      <c r="H424" s="296"/>
    </row>
    <row r="425" spans="8:8">
      <c r="H425" s="296"/>
    </row>
    <row r="426" spans="8:8">
      <c r="H426" s="296"/>
    </row>
    <row r="427" spans="8:8">
      <c r="H427" s="296"/>
    </row>
    <row r="428" spans="8:8">
      <c r="H428" s="296"/>
    </row>
    <row r="429" spans="8:8">
      <c r="H429" s="296"/>
    </row>
    <row r="430" spans="8:8">
      <c r="H430" s="296"/>
    </row>
    <row r="431" spans="8:8">
      <c r="H431" s="296"/>
    </row>
    <row r="432" spans="8:8">
      <c r="H432" s="296"/>
    </row>
    <row r="433" spans="8:8">
      <c r="H433" s="296"/>
    </row>
    <row r="434" spans="8:8">
      <c r="H434" s="296"/>
    </row>
    <row r="435" spans="8:8">
      <c r="H435" s="296"/>
    </row>
    <row r="436" spans="8:8">
      <c r="H436" s="296"/>
    </row>
    <row r="437" spans="8:8">
      <c r="H437" s="296"/>
    </row>
    <row r="438" spans="8:8">
      <c r="H438" s="296"/>
    </row>
    <row r="439" spans="8:8">
      <c r="H439" s="296"/>
    </row>
    <row r="440" spans="8:8">
      <c r="H440" s="296"/>
    </row>
    <row r="441" spans="8:8">
      <c r="H441" s="296"/>
    </row>
    <row r="442" spans="8:8">
      <c r="H442" s="296"/>
    </row>
    <row r="443" spans="8:8">
      <c r="H443" s="296"/>
    </row>
    <row r="444" spans="8:8">
      <c r="H444" s="296"/>
    </row>
    <row r="445" spans="8:8">
      <c r="H445" s="296"/>
    </row>
    <row r="446" spans="8:8">
      <c r="H446" s="296"/>
    </row>
    <row r="447" spans="8:8">
      <c r="H447" s="296"/>
    </row>
    <row r="448" spans="8:8">
      <c r="H448" s="296"/>
    </row>
    <row r="449" spans="8:8">
      <c r="H449" s="296"/>
    </row>
    <row r="450" spans="8:8">
      <c r="H450" s="296"/>
    </row>
    <row r="451" spans="8:8">
      <c r="H451" s="296"/>
    </row>
    <row r="452" spans="8:8">
      <c r="H452" s="296"/>
    </row>
    <row r="453" spans="8:8">
      <c r="H453" s="296"/>
    </row>
    <row r="454" spans="8:8">
      <c r="H454" s="296"/>
    </row>
    <row r="455" spans="8:8">
      <c r="H455" s="296"/>
    </row>
    <row r="456" spans="8:8">
      <c r="H456" s="296"/>
    </row>
    <row r="457" spans="8:8">
      <c r="H457" s="296"/>
    </row>
    <row r="458" spans="8:8">
      <c r="H458" s="296"/>
    </row>
    <row r="459" spans="8:8">
      <c r="H459" s="296"/>
    </row>
    <row r="460" spans="8:8">
      <c r="H460" s="296"/>
    </row>
    <row r="461" spans="8:8">
      <c r="H461" s="296"/>
    </row>
    <row r="462" spans="8:8">
      <c r="H462" s="296"/>
    </row>
    <row r="463" spans="8:8">
      <c r="H463" s="296"/>
    </row>
    <row r="464" spans="8:8">
      <c r="H464" s="296"/>
    </row>
    <row r="465" spans="8:8">
      <c r="H465" s="296"/>
    </row>
    <row r="466" spans="8:8">
      <c r="H466" s="296"/>
    </row>
    <row r="467" spans="8:8">
      <c r="H467" s="296"/>
    </row>
    <row r="468" spans="8:8">
      <c r="H468" s="296"/>
    </row>
    <row r="469" spans="8:8">
      <c r="H469" s="296"/>
    </row>
    <row r="470" spans="8:8">
      <c r="H470" s="296"/>
    </row>
    <row r="471" spans="8:8">
      <c r="H471" s="296"/>
    </row>
    <row r="472" spans="8:8">
      <c r="H472" s="296"/>
    </row>
    <row r="473" spans="8:8">
      <c r="H473" s="296"/>
    </row>
    <row r="474" spans="8:8">
      <c r="H474" s="296"/>
    </row>
    <row r="475" spans="8:8">
      <c r="H475" s="296"/>
    </row>
    <row r="476" spans="8:8">
      <c r="H476" s="296"/>
    </row>
    <row r="477" spans="8:8">
      <c r="H477" s="296"/>
    </row>
    <row r="478" spans="8:8">
      <c r="H478" s="296"/>
    </row>
    <row r="479" spans="8:8">
      <c r="H479" s="296"/>
    </row>
    <row r="480" spans="8:8">
      <c r="H480" s="296"/>
    </row>
    <row r="481" spans="8:8">
      <c r="H481" s="296"/>
    </row>
    <row r="482" spans="8:8">
      <c r="H482" s="296"/>
    </row>
    <row r="483" spans="8:8">
      <c r="H483" s="296"/>
    </row>
    <row r="484" spans="8:8">
      <c r="H484" s="296"/>
    </row>
    <row r="485" spans="8:8">
      <c r="H485" s="296"/>
    </row>
    <row r="486" spans="8:8">
      <c r="H486" s="296"/>
    </row>
    <row r="487" spans="8:8">
      <c r="H487" s="296"/>
    </row>
    <row r="488" spans="8:8">
      <c r="H488" s="296"/>
    </row>
    <row r="489" spans="8:8">
      <c r="H489" s="296"/>
    </row>
    <row r="490" spans="8:8">
      <c r="H490" s="296"/>
    </row>
    <row r="491" spans="8:8">
      <c r="H491" s="296"/>
    </row>
    <row r="492" spans="8:8">
      <c r="H492" s="296"/>
    </row>
    <row r="493" spans="8:8">
      <c r="H493" s="296"/>
    </row>
    <row r="494" spans="8:8">
      <c r="H494" s="296"/>
    </row>
    <row r="495" spans="8:8">
      <c r="H495" s="296"/>
    </row>
    <row r="496" spans="8:8">
      <c r="H496" s="296"/>
    </row>
    <row r="497" spans="8:8">
      <c r="H497" s="296"/>
    </row>
    <row r="498" spans="8:8">
      <c r="H498" s="296"/>
    </row>
    <row r="499" spans="8:8">
      <c r="H499" s="296"/>
    </row>
    <row r="500" spans="8:8">
      <c r="H500" s="296"/>
    </row>
  </sheetData>
  <mergeCells count="15">
    <mergeCell ref="M8:N8"/>
    <mergeCell ref="S3:S5"/>
    <mergeCell ref="T3:T5"/>
    <mergeCell ref="U3:U5"/>
    <mergeCell ref="Y1:Y3"/>
    <mergeCell ref="V3:V5"/>
    <mergeCell ref="S1:V2"/>
    <mergeCell ref="A2:A3"/>
    <mergeCell ref="B2:J2"/>
    <mergeCell ref="B3:J3"/>
    <mergeCell ref="Q3:Q5"/>
    <mergeCell ref="R3:R5"/>
    <mergeCell ref="B4:J4"/>
    <mergeCell ref="Q1:Q2"/>
    <mergeCell ref="R1:R2"/>
  </mergeCells>
  <phoneticPr fontId="2"/>
  <conditionalFormatting sqref="I56:J98 F56:G98 B56:D98">
    <cfRule type="expression" dxfId="87" priority="125">
      <formula>$J56="0"</formula>
    </cfRule>
  </conditionalFormatting>
  <conditionalFormatting sqref="A4">
    <cfRule type="containsBlanks" dxfId="86" priority="121">
      <formula>LEN(TRIM(A4))=0</formula>
    </cfRule>
  </conditionalFormatting>
  <conditionalFormatting sqref="R1">
    <cfRule type="containsBlanks" dxfId="85" priority="120">
      <formula>LEN(TRIM(R1))=0</formula>
    </cfRule>
  </conditionalFormatting>
  <conditionalFormatting sqref="B56:C100">
    <cfRule type="expression" dxfId="84" priority="122">
      <formula>$A56="ORM"</formula>
    </cfRule>
    <cfRule type="expression" dxfId="83" priority="123">
      <formula>$A56="DS"</formula>
    </cfRule>
    <cfRule type="expression" dxfId="82" priority="124">
      <formula>$A56&lt;&gt;""</formula>
    </cfRule>
  </conditionalFormatting>
  <conditionalFormatting sqref="K15 F1:G1048576 B1:D1048576 I1:J1048576">
    <cfRule type="expression" dxfId="81" priority="127">
      <formula>$J1="0"</formula>
    </cfRule>
    <cfRule type="expression" dxfId="80" priority="128">
      <formula>COUNTIFS($C$7:$C$499,$C1,$D$7:$D$499,$D1,$G$7:$G$499,$G1)&gt;1</formula>
    </cfRule>
  </conditionalFormatting>
  <conditionalFormatting sqref="H6:H500">
    <cfRule type="expression" dxfId="79" priority="111">
      <formula>COUNTIFS($C$5:$C$502,$C6,$D$5:$D$502,$D6,$F$5:$F$502,$F6)&gt;1</formula>
    </cfRule>
    <cfRule type="expression" dxfId="78" priority="118">
      <formula>OR($A6="使用可",$A6="UXへのみ可")</formula>
    </cfRule>
  </conditionalFormatting>
  <conditionalFormatting sqref="H56:H500">
    <cfRule type="cellIs" dxfId="77" priority="112" operator="equal">
      <formula>"RTS_1"</formula>
    </cfRule>
    <cfRule type="cellIs" dxfId="76" priority="113" operator="equal">
      <formula>"RECOVERY_1"</formula>
    </cfRule>
    <cfRule type="cellIs" dxfId="75" priority="114" operator="equal">
      <formula>"Cycle_4"</formula>
    </cfRule>
    <cfRule type="cellIs" dxfId="74" priority="115" operator="equal">
      <formula>"CYCLE_3"</formula>
    </cfRule>
    <cfRule type="cellIs" dxfId="73" priority="116" operator="equal">
      <formula>"CYCLE_2"</formula>
    </cfRule>
    <cfRule type="cellIs" dxfId="72" priority="117" operator="equal">
      <formula>"CYCLE_1"</formula>
    </cfRule>
  </conditionalFormatting>
  <conditionalFormatting sqref="H56:H500">
    <cfRule type="expression" dxfId="71" priority="119">
      <formula>ABS($I56)&gt;10</formula>
    </cfRule>
  </conditionalFormatting>
  <conditionalFormatting sqref="C56:C98">
    <cfRule type="expression" dxfId="70" priority="108">
      <formula>$A56="ORM"</formula>
    </cfRule>
  </conditionalFormatting>
  <conditionalFormatting sqref="C56:C98">
    <cfRule type="expression" dxfId="69" priority="110">
      <formula>$A56&lt;&gt;""</formula>
    </cfRule>
  </conditionalFormatting>
  <conditionalFormatting sqref="C56:C98">
    <cfRule type="expression" dxfId="68" priority="109">
      <formula>$A56="DS"</formula>
    </cfRule>
  </conditionalFormatting>
  <conditionalFormatting sqref="T31:T45">
    <cfRule type="containsText" dxfId="67" priority="106" operator="containsText" text="〇">
      <formula>NOT(ISERROR(SEARCH("〇",T31)))</formula>
    </cfRule>
    <cfRule type="containsText" dxfId="66" priority="107" operator="containsText" text="×">
      <formula>NOT(ISERROR(SEARCH("×",T31)))</formula>
    </cfRule>
  </conditionalFormatting>
  <conditionalFormatting sqref="T46">
    <cfRule type="containsText" dxfId="65" priority="104" operator="containsText" text="〇">
      <formula>NOT(ISERROR(SEARCH("〇",T46)))</formula>
    </cfRule>
    <cfRule type="containsText" dxfId="64" priority="105" operator="containsText" text="×">
      <formula>NOT(ISERROR(SEARCH("×",T46)))</formula>
    </cfRule>
  </conditionalFormatting>
  <conditionalFormatting sqref="T47">
    <cfRule type="containsText" dxfId="63" priority="102" operator="containsText" text="〇">
      <formula>NOT(ISERROR(SEARCH("〇",T47)))</formula>
    </cfRule>
    <cfRule type="containsText" dxfId="62" priority="103" operator="containsText" text="×">
      <formula>NOT(ISERROR(SEARCH("×",T47)))</formula>
    </cfRule>
  </conditionalFormatting>
  <conditionalFormatting sqref="T30">
    <cfRule type="containsText" dxfId="61" priority="100" operator="containsText" text="〇">
      <formula>NOT(ISERROR(SEARCH("〇",T30)))</formula>
    </cfRule>
    <cfRule type="containsText" dxfId="60" priority="101" operator="containsText" text="×">
      <formula>NOT(ISERROR(SEARCH("×",T30)))</formula>
    </cfRule>
  </conditionalFormatting>
  <conditionalFormatting sqref="T48">
    <cfRule type="containsText" dxfId="59" priority="98" operator="containsText" text="〇">
      <formula>NOT(ISERROR(SEARCH("〇",T48)))</formula>
    </cfRule>
    <cfRule type="containsText" dxfId="58" priority="99" operator="containsText" text="×">
      <formula>NOT(ISERROR(SEARCH("×",T48)))</formula>
    </cfRule>
  </conditionalFormatting>
  <conditionalFormatting sqref="T49">
    <cfRule type="containsText" dxfId="57" priority="96" operator="containsText" text="〇">
      <formula>NOT(ISERROR(SEARCH("〇",T49)))</formula>
    </cfRule>
    <cfRule type="containsText" dxfId="56" priority="97" operator="containsText" text="×">
      <formula>NOT(ISERROR(SEARCH("×",T49)))</formula>
    </cfRule>
  </conditionalFormatting>
  <conditionalFormatting sqref="T6">
    <cfRule type="containsText" dxfId="55" priority="94" operator="containsText" text="〇">
      <formula>NOT(ISERROR(SEARCH("〇",T6)))</formula>
    </cfRule>
    <cfRule type="containsText" dxfId="54" priority="95" operator="containsText" text="×">
      <formula>NOT(ISERROR(SEARCH("×",T6)))</formula>
    </cfRule>
  </conditionalFormatting>
  <conditionalFormatting sqref="C6:C98">
    <cfRule type="expression" dxfId="53" priority="126">
      <formula>COUNTIF($M$10:$M$25,$C6)</formula>
    </cfRule>
  </conditionalFormatting>
  <conditionalFormatting sqref="K15">
    <cfRule type="expression" dxfId="52" priority="93">
      <formula>$J15="0"</formula>
    </cfRule>
  </conditionalFormatting>
  <conditionalFormatting sqref="I41:J55 F41:G55 B41:D55">
    <cfRule type="expression" dxfId="51" priority="92">
      <formula>$J41="0"</formula>
    </cfRule>
  </conditionalFormatting>
  <conditionalFormatting sqref="B41:C55">
    <cfRule type="expression" dxfId="50" priority="89">
      <formula>$A41="ORM"</formula>
    </cfRule>
    <cfRule type="expression" dxfId="49" priority="90">
      <formula>$A41="DS"</formula>
    </cfRule>
    <cfRule type="expression" dxfId="48" priority="91">
      <formula>$A41&lt;&gt;""</formula>
    </cfRule>
  </conditionalFormatting>
  <conditionalFormatting sqref="H41:H55">
    <cfRule type="cellIs" dxfId="47" priority="82" operator="equal">
      <formula>"RTS_1"</formula>
    </cfRule>
    <cfRule type="cellIs" dxfId="46" priority="83" operator="equal">
      <formula>"RECOVERY_1"</formula>
    </cfRule>
    <cfRule type="cellIs" dxfId="45" priority="84" operator="equal">
      <formula>"Cycle_4"</formula>
    </cfRule>
    <cfRule type="cellIs" dxfId="44" priority="85" operator="equal">
      <formula>"CYCLE_3"</formula>
    </cfRule>
    <cfRule type="cellIs" dxfId="43" priority="86" operator="equal">
      <formula>"CYCLE_2"</formula>
    </cfRule>
    <cfRule type="cellIs" dxfId="42" priority="87" operator="equal">
      <formula>"CYCLE_1"</formula>
    </cfRule>
  </conditionalFormatting>
  <conditionalFormatting sqref="H41:H55">
    <cfRule type="expression" dxfId="41" priority="88">
      <formula>ABS($I41)&gt;10</formula>
    </cfRule>
  </conditionalFormatting>
  <conditionalFormatting sqref="C41:C55">
    <cfRule type="expression" dxfId="40" priority="79">
      <formula>$A41="ORM"</formula>
    </cfRule>
  </conditionalFormatting>
  <conditionalFormatting sqref="C41:C55">
    <cfRule type="expression" dxfId="39" priority="81">
      <formula>$A41&lt;&gt;""</formula>
    </cfRule>
  </conditionalFormatting>
  <conditionalFormatting sqref="C41:C55">
    <cfRule type="expression" dxfId="38" priority="80">
      <formula>$A41="DS"</formula>
    </cfRule>
  </conditionalFormatting>
  <conditionalFormatting sqref="I30:J40 J29 B30:D40 F30:G40 F6:G28 B6:D28 I6:J28">
    <cfRule type="expression" dxfId="37" priority="78">
      <formula>$J6="0"</formula>
    </cfRule>
  </conditionalFormatting>
  <conditionalFormatting sqref="B30:C40 B6:C28">
    <cfRule type="expression" dxfId="36" priority="75">
      <formula>$A6="ORM"</formula>
    </cfRule>
    <cfRule type="expression" dxfId="35" priority="76">
      <formula>$A6="DS"</formula>
    </cfRule>
    <cfRule type="expression" dxfId="34" priority="77">
      <formula>$A6&lt;&gt;""</formula>
    </cfRule>
  </conditionalFormatting>
  <conditionalFormatting sqref="H30:H40 H6:H28">
    <cfRule type="cellIs" dxfId="33" priority="68" operator="equal">
      <formula>"RTS_1"</formula>
    </cfRule>
    <cfRule type="cellIs" dxfId="32" priority="69" operator="equal">
      <formula>"RECOVERY_1"</formula>
    </cfRule>
    <cfRule type="cellIs" dxfId="31" priority="70" operator="equal">
      <formula>"Cycle_4"</formula>
    </cfRule>
    <cfRule type="cellIs" dxfId="30" priority="71" operator="equal">
      <formula>"CYCLE_3"</formula>
    </cfRule>
    <cfRule type="cellIs" dxfId="29" priority="72" operator="equal">
      <formula>"CYCLE_2"</formula>
    </cfRule>
    <cfRule type="cellIs" dxfId="28" priority="73" operator="equal">
      <formula>"CYCLE_1"</formula>
    </cfRule>
  </conditionalFormatting>
  <conditionalFormatting sqref="H30:H40 H6:H28">
    <cfRule type="expression" dxfId="27" priority="74">
      <formula>ABS($I6)&gt;10</formula>
    </cfRule>
  </conditionalFormatting>
  <conditionalFormatting sqref="C30:C40 C6:C28">
    <cfRule type="expression" dxfId="26" priority="65">
      <formula>$A6="ORM"</formula>
    </cfRule>
  </conditionalFormatting>
  <conditionalFormatting sqref="C30:C40 C6:C28">
    <cfRule type="expression" dxfId="25" priority="67">
      <formula>$A6&lt;&gt;""</formula>
    </cfRule>
  </conditionalFormatting>
  <conditionalFormatting sqref="C30:C40 C6:C28">
    <cfRule type="expression" dxfId="24" priority="66">
      <formula>$A6="DS"</formula>
    </cfRule>
  </conditionalFormatting>
  <conditionalFormatting sqref="I29 B29:D29 F29:G29">
    <cfRule type="expression" dxfId="23" priority="64">
      <formula>$J29="0"</formula>
    </cfRule>
  </conditionalFormatting>
  <conditionalFormatting sqref="B29:C29">
    <cfRule type="expression" dxfId="22" priority="61">
      <formula>$A29="ORM"</formula>
    </cfRule>
    <cfRule type="expression" dxfId="21" priority="62">
      <formula>$A29="DS"</formula>
    </cfRule>
    <cfRule type="expression" dxfId="20" priority="63">
      <formula>$A29&lt;&gt;""</formula>
    </cfRule>
  </conditionalFormatting>
  <conditionalFormatting sqref="H29">
    <cfRule type="cellIs" dxfId="19" priority="54" operator="equal">
      <formula>"RTS_1"</formula>
    </cfRule>
    <cfRule type="cellIs" dxfId="18" priority="55" operator="equal">
      <formula>"RECOVERY_1"</formula>
    </cfRule>
    <cfRule type="cellIs" dxfId="17" priority="56" operator="equal">
      <formula>"Cycle_4"</formula>
    </cfRule>
    <cfRule type="cellIs" dxfId="16" priority="57" operator="equal">
      <formula>"CYCLE_3"</formula>
    </cfRule>
    <cfRule type="cellIs" dxfId="15" priority="58" operator="equal">
      <formula>"CYCLE_2"</formula>
    </cfRule>
    <cfRule type="cellIs" dxfId="14" priority="59" operator="equal">
      <formula>"CYCLE_1"</formula>
    </cfRule>
  </conditionalFormatting>
  <conditionalFormatting sqref="H29">
    <cfRule type="expression" dxfId="13" priority="60">
      <formula>ABS($I29)&gt;10</formula>
    </cfRule>
  </conditionalFormatting>
  <conditionalFormatting sqref="C29">
    <cfRule type="expression" dxfId="12" priority="51">
      <formula>$A29="ORM"</formula>
    </cfRule>
  </conditionalFormatting>
  <conditionalFormatting sqref="C29">
    <cfRule type="expression" dxfId="11" priority="53">
      <formula>$A29&lt;&gt;""</formula>
    </cfRule>
  </conditionalFormatting>
  <conditionalFormatting sqref="C29">
    <cfRule type="expression" dxfId="10" priority="52">
      <formula>$A29="DS"</formula>
    </cfRule>
  </conditionalFormatting>
  <conditionalFormatting sqref="M10">
    <cfRule type="expression" dxfId="9" priority="9">
      <formula>$J10="0"</formula>
    </cfRule>
    <cfRule type="expression" dxfId="8" priority="10">
      <formula>COUNTIFS($C$7:$C$499,$C10,$D$7:$D$499,$D10,$G$7:$G$499,$G10)&gt;1</formula>
    </cfRule>
  </conditionalFormatting>
  <conditionalFormatting sqref="M10">
    <cfRule type="expression" dxfId="7" priority="8">
      <formula>COUNTIF($M$10:$M$25,$C10)</formula>
    </cfRule>
  </conditionalFormatting>
  <conditionalFormatting sqref="M10">
    <cfRule type="expression" dxfId="6" priority="7">
      <formula>$J10="0"</formula>
    </cfRule>
  </conditionalFormatting>
  <conditionalFormatting sqref="M10">
    <cfRule type="expression" dxfId="5" priority="4">
      <formula>$A10="ORM"</formula>
    </cfRule>
    <cfRule type="expression" dxfId="4" priority="5">
      <formula>$A10="DS"</formula>
    </cfRule>
    <cfRule type="expression" dxfId="3" priority="6">
      <formula>$A10&lt;&gt;""</formula>
    </cfRule>
  </conditionalFormatting>
  <conditionalFormatting sqref="M10">
    <cfRule type="expression" dxfId="2" priority="1">
      <formula>$A10="ORM"</formula>
    </cfRule>
  </conditionalFormatting>
  <conditionalFormatting sqref="M10">
    <cfRule type="expression" dxfId="1" priority="3">
      <formula>$A10&lt;&gt;""</formula>
    </cfRule>
  </conditionalFormatting>
  <conditionalFormatting sqref="M10">
    <cfRule type="expression" dxfId="0" priority="2">
      <formula>$A10="DS"</formula>
    </cfRule>
  </conditionalFormatting>
  <dataValidations count="2">
    <dataValidation type="list" allowBlank="1" showInputMessage="1" showErrorMessage="1" sqref="T6 T30:T49" xr:uid="{3A5796D4-A9C3-4090-9981-76AA68823A03}">
      <formula1>"〇, ×, "</formula1>
    </dataValidation>
    <dataValidation type="list" allowBlank="1" showInputMessage="1" showErrorMessage="1" sqref="A6:A213" xr:uid="{096EF374-99C8-4F49-907C-4E12C6FB817E}">
      <formula1>"DS,STCO"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8747-7FE8-44D1-A6F6-C0AC21C50026}">
  <sheetPr>
    <tabColor rgb="FFC6E0B4"/>
  </sheetPr>
  <dimension ref="A1:U23"/>
  <sheetViews>
    <sheetView zoomScale="85" zoomScaleNormal="85" workbookViewId="0" xr3:uid="{80E86A87-3BC2-5D29-A200-7D14113BD9F4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91" customWidth="1"/>
    <col min="13" max="13" width="14.625" customWidth="1"/>
    <col min="14" max="14" width="6.125" style="291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261" t="s">
        <v>283</v>
      </c>
      <c r="B1" s="262"/>
      <c r="C1" s="263" t="s">
        <v>284</v>
      </c>
      <c r="D1" s="264"/>
      <c r="E1" s="263" t="s">
        <v>285</v>
      </c>
      <c r="F1" s="262"/>
      <c r="G1" s="263" t="s">
        <v>286</v>
      </c>
      <c r="H1" s="264"/>
      <c r="I1" s="263" t="s">
        <v>287</v>
      </c>
      <c r="J1" s="265"/>
      <c r="K1" s="263" t="s">
        <v>288</v>
      </c>
      <c r="L1" s="266"/>
      <c r="M1" s="263" t="s">
        <v>289</v>
      </c>
      <c r="N1" s="266"/>
      <c r="O1" s="263" t="s">
        <v>290</v>
      </c>
    </row>
    <row r="2" spans="1:21">
      <c r="A2" s="267" t="s">
        <v>177</v>
      </c>
      <c r="B2" s="262"/>
      <c r="C2" s="263"/>
      <c r="D2" s="268" t="s">
        <v>291</v>
      </c>
      <c r="E2" s="269" t="s">
        <v>292</v>
      </c>
      <c r="F2" s="268" t="s">
        <v>293</v>
      </c>
      <c r="G2" s="269" t="s">
        <v>292</v>
      </c>
      <c r="H2" s="264"/>
      <c r="I2" s="263"/>
      <c r="J2" s="265"/>
      <c r="K2" s="263"/>
      <c r="L2" s="266"/>
      <c r="M2" s="263"/>
      <c r="N2" s="266"/>
      <c r="O2" s="263"/>
      <c r="Q2" s="270" t="s">
        <v>294</v>
      </c>
    </row>
    <row r="3" spans="1:21" ht="18" customHeight="1" thickBot="1">
      <c r="A3" s="271">
        <v>45676</v>
      </c>
      <c r="B3" s="272" t="s">
        <v>295</v>
      </c>
      <c r="C3" s="273" t="s">
        <v>61</v>
      </c>
      <c r="D3" s="272" t="s">
        <v>296</v>
      </c>
      <c r="E3" s="274" t="s">
        <v>85</v>
      </c>
      <c r="F3" s="272" t="s">
        <v>297</v>
      </c>
      <c r="G3" s="273" t="s">
        <v>86</v>
      </c>
      <c r="H3" s="272" t="s">
        <v>298</v>
      </c>
      <c r="I3" s="274" t="s">
        <v>299</v>
      </c>
      <c r="J3" s="275" t="s">
        <v>300</v>
      </c>
      <c r="K3" s="273" t="s">
        <v>301</v>
      </c>
      <c r="L3" s="276" t="s">
        <v>302</v>
      </c>
      <c r="M3" t="s">
        <v>303</v>
      </c>
      <c r="N3" s="276" t="s">
        <v>304</v>
      </c>
      <c r="O3" t="s">
        <v>305</v>
      </c>
      <c r="Q3" s="277" t="s">
        <v>306</v>
      </c>
    </row>
    <row r="4" spans="1:21" ht="18" customHeight="1">
      <c r="B4" s="272" t="s">
        <v>307</v>
      </c>
      <c r="C4" s="278" t="s">
        <v>107</v>
      </c>
      <c r="D4" s="272" t="s">
        <v>308</v>
      </c>
      <c r="E4" s="273" t="s">
        <v>309</v>
      </c>
      <c r="F4" s="272" t="s">
        <v>310</v>
      </c>
      <c r="G4" s="273" t="s">
        <v>104</v>
      </c>
      <c r="H4" s="272" t="s">
        <v>311</v>
      </c>
      <c r="I4" s="273" t="s">
        <v>312</v>
      </c>
      <c r="J4" s="275" t="s">
        <v>313</v>
      </c>
      <c r="K4" s="273" t="s">
        <v>130</v>
      </c>
      <c r="L4" s="276"/>
      <c r="M4" s="250"/>
      <c r="N4" s="276"/>
      <c r="O4" s="250"/>
      <c r="Q4" s="279" t="s">
        <v>136</v>
      </c>
      <c r="U4" s="280"/>
    </row>
    <row r="5" spans="1:21" ht="18" customHeight="1">
      <c r="B5" s="272" t="s">
        <v>314</v>
      </c>
      <c r="C5" s="273" t="s">
        <v>315</v>
      </c>
      <c r="D5" s="272" t="s">
        <v>316</v>
      </c>
      <c r="E5" s="274" t="s">
        <v>62</v>
      </c>
      <c r="F5" s="272" t="s">
        <v>317</v>
      </c>
      <c r="G5" s="273" t="s">
        <v>94</v>
      </c>
      <c r="H5" s="272" t="s">
        <v>318</v>
      </c>
      <c r="I5" s="274" t="s">
        <v>319</v>
      </c>
      <c r="J5" s="273"/>
      <c r="K5" s="273"/>
      <c r="L5" s="276"/>
      <c r="M5" s="250"/>
      <c r="N5" s="276"/>
      <c r="O5" s="250"/>
      <c r="Q5" s="281" t="s">
        <v>320</v>
      </c>
      <c r="U5" s="282"/>
    </row>
    <row r="6" spans="1:21" ht="18" customHeight="1">
      <c r="B6" s="272" t="s">
        <v>321</v>
      </c>
      <c r="C6" s="283" t="s">
        <v>322</v>
      </c>
      <c r="D6" s="272" t="s">
        <v>323</v>
      </c>
      <c r="E6" s="273" t="s">
        <v>324</v>
      </c>
      <c r="F6" s="272" t="s">
        <v>325</v>
      </c>
      <c r="G6" s="273" t="s">
        <v>326</v>
      </c>
      <c r="H6" s="272" t="s">
        <v>327</v>
      </c>
      <c r="I6" s="273" t="s">
        <v>328</v>
      </c>
      <c r="J6" s="273"/>
      <c r="K6" s="273"/>
      <c r="L6" s="276"/>
      <c r="M6" s="250"/>
      <c r="N6" s="276"/>
      <c r="O6" s="250"/>
      <c r="Q6" s="281" t="s">
        <v>329</v>
      </c>
      <c r="U6" s="280"/>
    </row>
    <row r="7" spans="1:21" ht="18" customHeight="1">
      <c r="B7" s="272" t="s">
        <v>330</v>
      </c>
      <c r="C7" s="284" t="s">
        <v>95</v>
      </c>
      <c r="D7" s="272" t="s">
        <v>331</v>
      </c>
      <c r="E7" s="273" t="s">
        <v>332</v>
      </c>
      <c r="F7" s="272" t="s">
        <v>333</v>
      </c>
      <c r="G7" s="273" t="s">
        <v>334</v>
      </c>
      <c r="H7" s="272" t="s">
        <v>335</v>
      </c>
      <c r="I7" s="273" t="s">
        <v>336</v>
      </c>
      <c r="J7" s="273"/>
      <c r="K7" s="273"/>
      <c r="L7" s="276"/>
      <c r="M7" s="250"/>
      <c r="N7" s="276"/>
      <c r="O7" s="250"/>
      <c r="Q7" s="281" t="s">
        <v>337</v>
      </c>
      <c r="U7" s="282"/>
    </row>
    <row r="8" spans="1:21" ht="18" customHeight="1">
      <c r="B8" s="272" t="s">
        <v>338</v>
      </c>
      <c r="C8" s="273" t="s">
        <v>58</v>
      </c>
      <c r="D8" s="272" t="s">
        <v>339</v>
      </c>
      <c r="E8" s="273" t="s">
        <v>340</v>
      </c>
      <c r="F8" s="272" t="s">
        <v>341</v>
      </c>
      <c r="G8" s="273" t="s">
        <v>76</v>
      </c>
      <c r="H8" s="272" t="s">
        <v>342</v>
      </c>
      <c r="I8" s="274" t="s">
        <v>92</v>
      </c>
      <c r="J8" s="273"/>
      <c r="K8" s="273"/>
      <c r="L8" s="276"/>
      <c r="M8" s="250"/>
      <c r="N8" s="276"/>
      <c r="O8" s="250"/>
      <c r="Q8" s="279" t="s">
        <v>343</v>
      </c>
      <c r="U8" s="280"/>
    </row>
    <row r="9" spans="1:21" ht="18" customHeight="1">
      <c r="B9" s="272" t="s">
        <v>344</v>
      </c>
      <c r="C9" s="278" t="s">
        <v>345</v>
      </c>
      <c r="D9" s="272" t="s">
        <v>346</v>
      </c>
      <c r="E9" s="273" t="s">
        <v>347</v>
      </c>
      <c r="F9" s="272" t="s">
        <v>348</v>
      </c>
      <c r="G9" s="273" t="s">
        <v>349</v>
      </c>
      <c r="H9" s="272" t="s">
        <v>350</v>
      </c>
      <c r="I9" s="273" t="s">
        <v>104</v>
      </c>
      <c r="J9" s="273"/>
      <c r="K9" s="273"/>
      <c r="L9" s="276"/>
      <c r="M9" s="250"/>
      <c r="N9" s="276"/>
      <c r="O9" s="250"/>
      <c r="Q9" s="279" t="s">
        <v>351</v>
      </c>
      <c r="U9" s="282"/>
    </row>
    <row r="10" spans="1:21" ht="18" customHeight="1">
      <c r="B10" s="272" t="s">
        <v>352</v>
      </c>
      <c r="C10" s="285" t="s">
        <v>353</v>
      </c>
      <c r="D10" s="272" t="s">
        <v>354</v>
      </c>
      <c r="E10" s="273" t="s">
        <v>328</v>
      </c>
      <c r="F10" s="272" t="s">
        <v>355</v>
      </c>
      <c r="G10" s="273" t="s">
        <v>340</v>
      </c>
      <c r="H10" s="272" t="s">
        <v>356</v>
      </c>
      <c r="I10" s="286" t="s">
        <v>357</v>
      </c>
      <c r="J10" s="273"/>
      <c r="K10" s="273"/>
      <c r="L10" s="276"/>
      <c r="M10" s="250"/>
      <c r="N10" s="276"/>
      <c r="O10" s="250"/>
      <c r="Q10" s="279" t="s">
        <v>358</v>
      </c>
      <c r="U10" s="280"/>
    </row>
    <row r="11" spans="1:21" ht="18" customHeight="1">
      <c r="B11" s="272" t="s">
        <v>359</v>
      </c>
      <c r="C11" s="284" t="s">
        <v>125</v>
      </c>
      <c r="D11" s="272" t="s">
        <v>360</v>
      </c>
      <c r="E11" s="273" t="s">
        <v>336</v>
      </c>
      <c r="F11" s="272" t="s">
        <v>361</v>
      </c>
      <c r="G11" s="273" t="s">
        <v>347</v>
      </c>
      <c r="H11" s="272" t="s">
        <v>362</v>
      </c>
      <c r="I11" s="286" t="s">
        <v>363</v>
      </c>
      <c r="J11" s="273"/>
      <c r="K11" s="273"/>
      <c r="L11" s="276"/>
      <c r="M11" s="250"/>
      <c r="N11" s="276"/>
      <c r="O11" s="250"/>
      <c r="Q11" s="279" t="s">
        <v>364</v>
      </c>
      <c r="U11" s="282"/>
    </row>
    <row r="12" spans="1:21" ht="18" customHeight="1">
      <c r="B12" s="272" t="s">
        <v>365</v>
      </c>
      <c r="C12" s="273" t="s">
        <v>329</v>
      </c>
      <c r="D12" s="272" t="s">
        <v>366</v>
      </c>
      <c r="E12" s="274" t="s">
        <v>326</v>
      </c>
      <c r="F12" s="272" t="s">
        <v>367</v>
      </c>
      <c r="G12" s="273" t="s">
        <v>328</v>
      </c>
      <c r="H12" s="272" t="s">
        <v>368</v>
      </c>
      <c r="I12" s="273" t="s">
        <v>76</v>
      </c>
      <c r="J12" s="273"/>
      <c r="K12" s="273"/>
      <c r="L12" s="276"/>
      <c r="M12" s="250"/>
      <c r="N12" s="276"/>
      <c r="O12" s="250"/>
      <c r="Q12" s="279" t="s">
        <v>369</v>
      </c>
      <c r="U12" s="280"/>
    </row>
    <row r="13" spans="1:21" ht="18" customHeight="1">
      <c r="B13" s="272" t="s">
        <v>370</v>
      </c>
      <c r="C13" s="273" t="s">
        <v>371</v>
      </c>
      <c r="D13" s="272" t="s">
        <v>372</v>
      </c>
      <c r="E13" s="273" t="s">
        <v>334</v>
      </c>
      <c r="F13" s="272" t="s">
        <v>373</v>
      </c>
      <c r="G13" s="273" t="s">
        <v>336</v>
      </c>
      <c r="H13" s="272" t="s">
        <v>374</v>
      </c>
      <c r="I13" s="273" t="s">
        <v>375</v>
      </c>
      <c r="J13" s="273"/>
      <c r="K13" s="273"/>
      <c r="L13" s="276"/>
      <c r="M13" s="250"/>
      <c r="N13" s="276"/>
      <c r="O13" s="250"/>
      <c r="Q13" s="281" t="s">
        <v>376</v>
      </c>
    </row>
    <row r="14" spans="1:21" ht="18" customHeight="1">
      <c r="B14" s="272" t="s">
        <v>377</v>
      </c>
      <c r="C14" s="273" t="s">
        <v>378</v>
      </c>
      <c r="D14" s="272" t="s">
        <v>379</v>
      </c>
      <c r="E14" s="273" t="s">
        <v>76</v>
      </c>
      <c r="F14" s="272" t="s">
        <v>380</v>
      </c>
      <c r="G14" s="273" t="s">
        <v>91</v>
      </c>
      <c r="H14" s="272" t="s">
        <v>381</v>
      </c>
      <c r="I14" s="287" t="s">
        <v>382</v>
      </c>
      <c r="J14" s="273"/>
      <c r="K14" s="273"/>
      <c r="L14" s="276"/>
      <c r="M14" s="250"/>
      <c r="N14" s="276"/>
      <c r="O14" s="250"/>
      <c r="Q14" s="281" t="s">
        <v>383</v>
      </c>
    </row>
    <row r="15" spans="1:21" ht="18" customHeight="1">
      <c r="B15" s="272" t="s">
        <v>384</v>
      </c>
      <c r="C15" s="273" t="s">
        <v>306</v>
      </c>
      <c r="D15" s="272" t="s">
        <v>385</v>
      </c>
      <c r="E15" s="287" t="s">
        <v>382</v>
      </c>
      <c r="F15" s="272" t="s">
        <v>386</v>
      </c>
      <c r="G15" s="284" t="s">
        <v>382</v>
      </c>
      <c r="H15" s="272"/>
      <c r="I15" s="284"/>
      <c r="J15" s="273"/>
      <c r="K15" s="273"/>
      <c r="L15" s="276"/>
      <c r="M15" s="250"/>
      <c r="N15" s="276"/>
      <c r="O15" s="250"/>
      <c r="Q15" s="279" t="s">
        <v>387</v>
      </c>
    </row>
    <row r="16" spans="1:21" ht="18" customHeight="1">
      <c r="B16" s="272" t="s">
        <v>388</v>
      </c>
      <c r="C16" s="287" t="s">
        <v>382</v>
      </c>
      <c r="D16" s="272"/>
      <c r="E16" s="273"/>
      <c r="F16" s="272"/>
      <c r="G16" s="284"/>
      <c r="H16" s="272"/>
      <c r="I16" s="288"/>
      <c r="J16" s="273"/>
      <c r="K16" s="273"/>
      <c r="L16" s="276"/>
      <c r="M16" s="250"/>
      <c r="N16" s="276"/>
      <c r="O16" s="250"/>
      <c r="Q16" s="289" t="s">
        <v>389</v>
      </c>
    </row>
    <row r="17" spans="2:15" ht="18" customHeight="1">
      <c r="B17" s="272" t="s">
        <v>390</v>
      </c>
      <c r="C17" s="290" t="s">
        <v>351</v>
      </c>
      <c r="D17" s="272"/>
      <c r="E17" s="273"/>
      <c r="F17" s="272"/>
      <c r="G17" s="288"/>
      <c r="H17" s="272"/>
      <c r="I17" s="284"/>
      <c r="J17" s="273"/>
      <c r="K17" s="273"/>
      <c r="L17" s="276"/>
      <c r="M17" s="250"/>
      <c r="N17" s="276"/>
      <c r="O17" s="250"/>
    </row>
    <row r="18" spans="2:15" ht="18" customHeight="1">
      <c r="B18" s="272" t="s">
        <v>391</v>
      </c>
      <c r="C18" s="290" t="s">
        <v>358</v>
      </c>
      <c r="D18" s="272"/>
      <c r="E18" s="273"/>
      <c r="F18" s="272"/>
      <c r="G18" s="288"/>
      <c r="H18" s="272"/>
      <c r="I18" s="273"/>
      <c r="J18" s="273"/>
      <c r="K18" s="273"/>
      <c r="L18" s="276"/>
      <c r="M18" s="250"/>
      <c r="N18" s="276"/>
      <c r="O18" s="250"/>
    </row>
    <row r="19" spans="2:15" ht="18" customHeight="1">
      <c r="B19" s="272" t="s">
        <v>392</v>
      </c>
      <c r="C19" s="273" t="s">
        <v>337</v>
      </c>
      <c r="D19" s="272"/>
      <c r="E19" s="286"/>
      <c r="F19" s="272"/>
      <c r="G19" s="273"/>
      <c r="H19" s="272"/>
      <c r="I19" s="284"/>
      <c r="J19" s="286"/>
      <c r="K19" s="286"/>
    </row>
    <row r="20" spans="2:15" ht="18" customHeight="1">
      <c r="B20" s="272" t="s">
        <v>393</v>
      </c>
      <c r="C20" s="273" t="s">
        <v>343</v>
      </c>
      <c r="D20" s="272"/>
      <c r="E20" s="286"/>
      <c r="F20" s="272"/>
      <c r="G20" s="273"/>
      <c r="H20" s="272"/>
      <c r="I20" s="288"/>
      <c r="J20" s="286"/>
      <c r="K20" s="286"/>
    </row>
    <row r="21" spans="2:15" ht="18" customHeight="1">
      <c r="B21" s="272" t="s">
        <v>394</v>
      </c>
      <c r="C21" s="273" t="s">
        <v>395</v>
      </c>
      <c r="D21" s="272"/>
      <c r="E21" s="286"/>
      <c r="F21" s="272"/>
      <c r="G21" s="286"/>
      <c r="H21" s="272"/>
      <c r="I21" s="286"/>
      <c r="J21" s="286"/>
      <c r="K21" s="286"/>
    </row>
    <row r="22" spans="2:15" ht="18" customHeight="1">
      <c r="B22" s="286"/>
      <c r="C22" s="286"/>
      <c r="D22" s="272"/>
      <c r="E22" s="286"/>
      <c r="F22" s="286"/>
      <c r="G22" s="286"/>
      <c r="H22" s="272"/>
      <c r="I22" s="286"/>
      <c r="J22" s="286"/>
      <c r="K22" s="286"/>
    </row>
    <row r="23" spans="2:15" ht="18" customHeight="1">
      <c r="B23" s="286"/>
      <c r="C23" s="286"/>
      <c r="D23" s="272"/>
      <c r="E23" s="286"/>
      <c r="F23" s="286"/>
      <c r="H23" s="272"/>
      <c r="I23" s="286"/>
      <c r="J23" s="286"/>
      <c r="K23" s="286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C252C-3B2E-48D6-84B0-966485C9CCE9}">
  <sheetPr codeName="Sheet16"/>
  <dimension ref="A1:G397"/>
  <sheetViews>
    <sheetView topLeftCell="A346" workbookViewId="0" xr3:uid="{B41BF3D9-F79C-5631-9A6F-214580E73BEC}">
      <selection activeCell="D370" sqref="D370"/>
    </sheetView>
  </sheetViews>
  <sheetFormatPr defaultColWidth="8.625" defaultRowHeight="18"/>
  <cols>
    <col min="1" max="16384" width="8.625" style="204"/>
  </cols>
  <sheetData>
    <row r="1" spans="1:7">
      <c r="A1" s="204" t="s">
        <v>396</v>
      </c>
      <c r="B1" s="204" t="s">
        <v>397</v>
      </c>
      <c r="C1" s="204" t="s">
        <v>398</v>
      </c>
      <c r="D1" s="204" t="s">
        <v>399</v>
      </c>
      <c r="E1" s="204" t="s">
        <v>400</v>
      </c>
      <c r="F1" s="204" t="s">
        <v>401</v>
      </c>
      <c r="G1" s="204" t="s">
        <v>402</v>
      </c>
    </row>
    <row r="2" spans="1:7">
      <c r="A2" s="204" t="s">
        <v>403</v>
      </c>
      <c r="B2" s="204" t="s">
        <v>404</v>
      </c>
      <c r="C2" s="204" t="s">
        <v>404</v>
      </c>
      <c r="D2" s="204" t="s">
        <v>405</v>
      </c>
      <c r="E2" s="204" t="s">
        <v>406</v>
      </c>
      <c r="F2" s="204" t="s">
        <v>407</v>
      </c>
      <c r="G2" s="204" t="s">
        <v>408</v>
      </c>
    </row>
    <row r="3" spans="1:7">
      <c r="A3" s="204" t="s">
        <v>403</v>
      </c>
      <c r="B3" s="204" t="s">
        <v>409</v>
      </c>
      <c r="C3" s="204" t="s">
        <v>409</v>
      </c>
      <c r="D3" s="204" t="s">
        <v>405</v>
      </c>
      <c r="E3" s="204" t="s">
        <v>410</v>
      </c>
      <c r="F3" s="204" t="s">
        <v>411</v>
      </c>
      <c r="G3" s="204" t="s">
        <v>412</v>
      </c>
    </row>
    <row r="4" spans="1:7">
      <c r="A4" s="204" t="s">
        <v>403</v>
      </c>
      <c r="B4" s="204" t="s">
        <v>413</v>
      </c>
      <c r="C4" s="204" t="s">
        <v>413</v>
      </c>
      <c r="D4" s="204" t="s">
        <v>414</v>
      </c>
      <c r="E4" s="204" t="s">
        <v>406</v>
      </c>
      <c r="F4" s="204" t="s">
        <v>407</v>
      </c>
      <c r="G4" s="204" t="s">
        <v>415</v>
      </c>
    </row>
    <row r="5" spans="1:7">
      <c r="A5" s="204" t="s">
        <v>403</v>
      </c>
      <c r="B5" s="204" t="s">
        <v>413</v>
      </c>
      <c r="C5" s="204" t="s">
        <v>413</v>
      </c>
      <c r="D5" s="204" t="s">
        <v>414</v>
      </c>
      <c r="E5" s="204" t="s">
        <v>410</v>
      </c>
      <c r="F5" s="204" t="s">
        <v>411</v>
      </c>
      <c r="G5" s="204" t="s">
        <v>415</v>
      </c>
    </row>
    <row r="6" spans="1:7">
      <c r="A6" s="204" t="s">
        <v>403</v>
      </c>
      <c r="B6" s="204" t="s">
        <v>416</v>
      </c>
      <c r="C6" s="204" t="s">
        <v>416</v>
      </c>
      <c r="D6" s="204" t="s">
        <v>417</v>
      </c>
      <c r="E6" s="204" t="s">
        <v>418</v>
      </c>
      <c r="F6" s="204" t="s">
        <v>419</v>
      </c>
      <c r="G6" s="204" t="s">
        <v>420</v>
      </c>
    </row>
    <row r="7" spans="1:7">
      <c r="A7" s="204" t="s">
        <v>403</v>
      </c>
      <c r="B7" s="204" t="s">
        <v>421</v>
      </c>
      <c r="C7" s="204" t="s">
        <v>421</v>
      </c>
      <c r="D7" s="204" t="s">
        <v>422</v>
      </c>
      <c r="E7" s="204" t="s">
        <v>423</v>
      </c>
      <c r="F7" s="204" t="s">
        <v>424</v>
      </c>
      <c r="G7" s="204" t="s">
        <v>425</v>
      </c>
    </row>
    <row r="8" spans="1:7">
      <c r="A8" s="204" t="s">
        <v>403</v>
      </c>
      <c r="B8" s="204" t="s">
        <v>421</v>
      </c>
      <c r="C8" s="204" t="s">
        <v>421</v>
      </c>
      <c r="D8" s="204" t="s">
        <v>422</v>
      </c>
      <c r="E8" s="204" t="s">
        <v>426</v>
      </c>
      <c r="F8" s="204" t="s">
        <v>427</v>
      </c>
      <c r="G8" s="204" t="s">
        <v>425</v>
      </c>
    </row>
    <row r="9" spans="1:7">
      <c r="A9" s="204" t="s">
        <v>403</v>
      </c>
      <c r="B9" s="204" t="s">
        <v>428</v>
      </c>
      <c r="C9" s="204" t="s">
        <v>428</v>
      </c>
      <c r="D9" s="204" t="s">
        <v>429</v>
      </c>
      <c r="E9" s="204" t="s">
        <v>430</v>
      </c>
      <c r="F9" s="204" t="s">
        <v>431</v>
      </c>
      <c r="G9" s="204" t="s">
        <v>432</v>
      </c>
    </row>
    <row r="10" spans="1:7">
      <c r="A10" s="204" t="s">
        <v>403</v>
      </c>
      <c r="B10" s="204" t="s">
        <v>433</v>
      </c>
      <c r="C10" s="204" t="s">
        <v>433</v>
      </c>
      <c r="D10" s="204" t="s">
        <v>434</v>
      </c>
      <c r="E10" s="204" t="s">
        <v>435</v>
      </c>
      <c r="F10" s="204" t="s">
        <v>436</v>
      </c>
      <c r="G10" s="204" t="s">
        <v>437</v>
      </c>
    </row>
    <row r="11" spans="1:7">
      <c r="A11" s="204" t="s">
        <v>403</v>
      </c>
      <c r="B11" s="204" t="s">
        <v>433</v>
      </c>
      <c r="C11" s="204" t="s">
        <v>433</v>
      </c>
      <c r="D11" s="204" t="s">
        <v>434</v>
      </c>
      <c r="E11" s="204" t="s">
        <v>426</v>
      </c>
      <c r="F11" s="204" t="s">
        <v>427</v>
      </c>
      <c r="G11" s="204" t="s">
        <v>437</v>
      </c>
    </row>
    <row r="12" spans="1:7">
      <c r="A12" s="204" t="s">
        <v>403</v>
      </c>
      <c r="B12" s="204" t="s">
        <v>438</v>
      </c>
      <c r="C12" s="204" t="s">
        <v>438</v>
      </c>
      <c r="D12" s="204" t="s">
        <v>439</v>
      </c>
      <c r="E12" s="204" t="s">
        <v>440</v>
      </c>
      <c r="F12" s="204" t="s">
        <v>441</v>
      </c>
      <c r="G12" s="204" t="s">
        <v>442</v>
      </c>
    </row>
    <row r="13" spans="1:7">
      <c r="A13" s="204" t="s">
        <v>403</v>
      </c>
      <c r="B13" s="204" t="s">
        <v>443</v>
      </c>
      <c r="C13" s="204" t="s">
        <v>443</v>
      </c>
      <c r="D13" s="204" t="s">
        <v>444</v>
      </c>
      <c r="E13" s="204" t="s">
        <v>445</v>
      </c>
      <c r="F13" s="204" t="s">
        <v>446</v>
      </c>
      <c r="G13" s="204" t="s">
        <v>447</v>
      </c>
    </row>
    <row r="14" spans="1:7">
      <c r="A14" s="204" t="s">
        <v>403</v>
      </c>
      <c r="B14" s="204" t="s">
        <v>448</v>
      </c>
      <c r="C14" s="204" t="s">
        <v>448</v>
      </c>
      <c r="D14" s="204" t="s">
        <v>449</v>
      </c>
      <c r="E14" s="204" t="s">
        <v>406</v>
      </c>
      <c r="F14" s="204" t="s">
        <v>407</v>
      </c>
      <c r="G14" s="204" t="s">
        <v>450</v>
      </c>
    </row>
    <row r="15" spans="1:7">
      <c r="A15" s="204" t="s">
        <v>403</v>
      </c>
      <c r="B15" s="204" t="s">
        <v>451</v>
      </c>
      <c r="C15" s="204" t="s">
        <v>451</v>
      </c>
      <c r="D15" s="204" t="s">
        <v>452</v>
      </c>
      <c r="E15" s="204" t="s">
        <v>423</v>
      </c>
      <c r="F15" s="204" t="s">
        <v>424</v>
      </c>
      <c r="G15" s="204" t="s">
        <v>453</v>
      </c>
    </row>
    <row r="16" spans="1:7">
      <c r="A16" s="204" t="s">
        <v>403</v>
      </c>
      <c r="B16" s="204" t="s">
        <v>454</v>
      </c>
      <c r="C16" s="204" t="s">
        <v>454</v>
      </c>
      <c r="D16" s="204" t="s">
        <v>455</v>
      </c>
      <c r="E16" s="204" t="s">
        <v>456</v>
      </c>
      <c r="F16" s="204" t="s">
        <v>457</v>
      </c>
      <c r="G16" s="204" t="s">
        <v>458</v>
      </c>
    </row>
    <row r="17" spans="1:7">
      <c r="A17" s="204" t="s">
        <v>403</v>
      </c>
      <c r="B17" s="204" t="s">
        <v>459</v>
      </c>
      <c r="C17" s="204" t="s">
        <v>459</v>
      </c>
      <c r="D17" s="204" t="s">
        <v>460</v>
      </c>
      <c r="E17" s="204" t="s">
        <v>430</v>
      </c>
      <c r="F17" s="204" t="s">
        <v>431</v>
      </c>
      <c r="G17" s="204" t="s">
        <v>461</v>
      </c>
    </row>
    <row r="18" spans="1:7">
      <c r="A18" s="204" t="s">
        <v>403</v>
      </c>
      <c r="B18" s="204" t="s">
        <v>462</v>
      </c>
      <c r="C18" s="204" t="s">
        <v>462</v>
      </c>
      <c r="D18" s="204" t="s">
        <v>463</v>
      </c>
      <c r="E18" s="204" t="s">
        <v>464</v>
      </c>
      <c r="F18" s="204" t="s">
        <v>465</v>
      </c>
      <c r="G18" s="204" t="s">
        <v>466</v>
      </c>
    </row>
    <row r="19" spans="1:7">
      <c r="A19" s="204" t="s">
        <v>403</v>
      </c>
      <c r="B19" s="204" t="s">
        <v>467</v>
      </c>
      <c r="C19" s="204" t="s">
        <v>467</v>
      </c>
      <c r="D19" s="204" t="s">
        <v>468</v>
      </c>
      <c r="E19" s="204" t="s">
        <v>456</v>
      </c>
      <c r="F19" s="204" t="s">
        <v>457</v>
      </c>
      <c r="G19" s="204" t="s">
        <v>469</v>
      </c>
    </row>
    <row r="20" spans="1:7">
      <c r="A20" s="204" t="s">
        <v>403</v>
      </c>
      <c r="B20" s="204" t="s">
        <v>470</v>
      </c>
      <c r="C20" s="204" t="s">
        <v>470</v>
      </c>
      <c r="D20" s="204" t="s">
        <v>471</v>
      </c>
      <c r="E20" s="204" t="s">
        <v>406</v>
      </c>
      <c r="F20" s="204" t="s">
        <v>407</v>
      </c>
      <c r="G20" s="204" t="s">
        <v>472</v>
      </c>
    </row>
    <row r="21" spans="1:7">
      <c r="A21" s="204" t="s">
        <v>403</v>
      </c>
      <c r="B21" s="204" t="s">
        <v>473</v>
      </c>
      <c r="C21" s="204" t="s">
        <v>473</v>
      </c>
      <c r="D21" s="204" t="s">
        <v>474</v>
      </c>
      <c r="E21" s="204" t="s">
        <v>456</v>
      </c>
      <c r="F21" s="204" t="s">
        <v>457</v>
      </c>
      <c r="G21" s="204" t="s">
        <v>475</v>
      </c>
    </row>
    <row r="22" spans="1:7">
      <c r="A22" s="204" t="s">
        <v>403</v>
      </c>
      <c r="B22" s="204" t="s">
        <v>476</v>
      </c>
      <c r="C22" s="204" t="s">
        <v>476</v>
      </c>
      <c r="D22" s="204" t="s">
        <v>477</v>
      </c>
      <c r="E22" s="204" t="s">
        <v>478</v>
      </c>
      <c r="F22" s="204" t="s">
        <v>479</v>
      </c>
      <c r="G22" s="204" t="s">
        <v>480</v>
      </c>
    </row>
    <row r="23" spans="1:7">
      <c r="A23" s="204" t="s">
        <v>403</v>
      </c>
      <c r="B23" s="204" t="s">
        <v>481</v>
      </c>
      <c r="C23" s="204" t="s">
        <v>481</v>
      </c>
      <c r="D23" s="204" t="s">
        <v>482</v>
      </c>
      <c r="E23" s="204" t="s">
        <v>456</v>
      </c>
      <c r="F23" s="204" t="s">
        <v>457</v>
      </c>
      <c r="G23" s="204" t="s">
        <v>483</v>
      </c>
    </row>
    <row r="24" spans="1:7">
      <c r="A24" s="204" t="s">
        <v>403</v>
      </c>
      <c r="B24" s="204" t="s">
        <v>484</v>
      </c>
      <c r="C24" s="204" t="s">
        <v>484</v>
      </c>
      <c r="D24" s="204" t="s">
        <v>485</v>
      </c>
      <c r="E24" s="204" t="s">
        <v>456</v>
      </c>
      <c r="F24" s="204" t="s">
        <v>457</v>
      </c>
      <c r="G24" s="204" t="s">
        <v>486</v>
      </c>
    </row>
    <row r="25" spans="1:7">
      <c r="A25" s="204" t="s">
        <v>403</v>
      </c>
      <c r="B25" s="204" t="s">
        <v>484</v>
      </c>
      <c r="C25" s="204" t="s">
        <v>484</v>
      </c>
      <c r="D25" s="204" t="s">
        <v>485</v>
      </c>
      <c r="E25" s="204" t="s">
        <v>418</v>
      </c>
      <c r="F25" s="204" t="s">
        <v>419</v>
      </c>
      <c r="G25" s="204" t="s">
        <v>486</v>
      </c>
    </row>
    <row r="26" spans="1:7">
      <c r="A26" s="204" t="s">
        <v>403</v>
      </c>
      <c r="B26" s="204" t="s">
        <v>484</v>
      </c>
      <c r="C26" s="204" t="s">
        <v>484</v>
      </c>
      <c r="D26" s="204" t="s">
        <v>485</v>
      </c>
      <c r="E26" s="204" t="s">
        <v>487</v>
      </c>
      <c r="F26" s="204" t="s">
        <v>488</v>
      </c>
      <c r="G26" s="204" t="s">
        <v>486</v>
      </c>
    </row>
    <row r="27" spans="1:7">
      <c r="A27" s="204" t="s">
        <v>403</v>
      </c>
      <c r="B27" s="204" t="s">
        <v>489</v>
      </c>
      <c r="C27" s="204" t="s">
        <v>489</v>
      </c>
      <c r="D27" s="204" t="s">
        <v>490</v>
      </c>
      <c r="E27" s="204" t="s">
        <v>410</v>
      </c>
      <c r="F27" s="204" t="s">
        <v>411</v>
      </c>
      <c r="G27" s="204" t="s">
        <v>491</v>
      </c>
    </row>
    <row r="28" spans="1:7">
      <c r="A28" s="204" t="s">
        <v>403</v>
      </c>
      <c r="B28" s="204" t="s">
        <v>489</v>
      </c>
      <c r="C28" s="204" t="s">
        <v>489</v>
      </c>
      <c r="D28" s="204" t="s">
        <v>490</v>
      </c>
      <c r="E28" s="204" t="s">
        <v>487</v>
      </c>
      <c r="F28" s="204" t="s">
        <v>488</v>
      </c>
      <c r="G28" s="204" t="s">
        <v>491</v>
      </c>
    </row>
    <row r="29" spans="1:7">
      <c r="A29" s="204" t="s">
        <v>403</v>
      </c>
      <c r="B29" s="204" t="s">
        <v>492</v>
      </c>
      <c r="C29" s="204" t="s">
        <v>492</v>
      </c>
      <c r="D29" s="204" t="s">
        <v>493</v>
      </c>
      <c r="E29" s="204" t="s">
        <v>494</v>
      </c>
      <c r="F29" s="204" t="s">
        <v>495</v>
      </c>
      <c r="G29" s="204" t="s">
        <v>496</v>
      </c>
    </row>
    <row r="30" spans="1:7">
      <c r="A30" s="204" t="s">
        <v>403</v>
      </c>
      <c r="B30" s="204" t="s">
        <v>497</v>
      </c>
      <c r="C30" s="204" t="s">
        <v>497</v>
      </c>
      <c r="D30" s="204" t="s">
        <v>498</v>
      </c>
      <c r="E30" s="204" t="s">
        <v>494</v>
      </c>
      <c r="F30" s="204" t="s">
        <v>495</v>
      </c>
      <c r="G30" s="204" t="s">
        <v>499</v>
      </c>
    </row>
    <row r="31" spans="1:7">
      <c r="A31" s="204" t="s">
        <v>500</v>
      </c>
      <c r="B31" s="204" t="s">
        <v>501</v>
      </c>
      <c r="C31" s="204" t="s">
        <v>501</v>
      </c>
      <c r="D31" s="204" t="s">
        <v>502</v>
      </c>
      <c r="E31" s="204" t="s">
        <v>503</v>
      </c>
      <c r="F31" s="204" t="s">
        <v>504</v>
      </c>
      <c r="G31" s="204" t="s">
        <v>505</v>
      </c>
    </row>
    <row r="32" spans="1:7">
      <c r="A32" s="204" t="s">
        <v>500</v>
      </c>
      <c r="B32" s="204" t="s">
        <v>501</v>
      </c>
      <c r="C32" s="204" t="s">
        <v>501</v>
      </c>
      <c r="D32" s="204" t="s">
        <v>502</v>
      </c>
      <c r="E32" s="204" t="s">
        <v>506</v>
      </c>
      <c r="F32" s="204" t="s">
        <v>507</v>
      </c>
      <c r="G32" s="204" t="s">
        <v>505</v>
      </c>
    </row>
    <row r="33" spans="1:7">
      <c r="A33" s="204" t="s">
        <v>500</v>
      </c>
      <c r="B33" s="204" t="s">
        <v>501</v>
      </c>
      <c r="C33" s="204" t="s">
        <v>501</v>
      </c>
      <c r="D33" s="204" t="s">
        <v>502</v>
      </c>
      <c r="E33" s="204" t="s">
        <v>508</v>
      </c>
      <c r="F33" s="204" t="s">
        <v>509</v>
      </c>
      <c r="G33" s="204" t="s">
        <v>505</v>
      </c>
    </row>
    <row r="34" spans="1:7">
      <c r="A34" s="204" t="s">
        <v>500</v>
      </c>
      <c r="B34" s="204" t="s">
        <v>501</v>
      </c>
      <c r="C34" s="204" t="s">
        <v>510</v>
      </c>
      <c r="D34" s="204" t="s">
        <v>511</v>
      </c>
      <c r="E34" s="204" t="s">
        <v>503</v>
      </c>
      <c r="F34" s="204" t="s">
        <v>504</v>
      </c>
      <c r="G34" s="204" t="s">
        <v>512</v>
      </c>
    </row>
    <row r="35" spans="1:7">
      <c r="A35" s="204" t="s">
        <v>500</v>
      </c>
      <c r="B35" s="204" t="s">
        <v>501</v>
      </c>
      <c r="C35" s="204" t="s">
        <v>513</v>
      </c>
      <c r="D35" s="204" t="s">
        <v>514</v>
      </c>
      <c r="E35" s="204" t="s">
        <v>503</v>
      </c>
      <c r="F35" s="204" t="s">
        <v>504</v>
      </c>
      <c r="G35" s="204" t="s">
        <v>515</v>
      </c>
    </row>
    <row r="36" spans="1:7">
      <c r="A36" s="204" t="s">
        <v>500</v>
      </c>
      <c r="B36" s="204" t="s">
        <v>501</v>
      </c>
      <c r="C36" s="204" t="s">
        <v>516</v>
      </c>
      <c r="D36" s="204" t="s">
        <v>517</v>
      </c>
      <c r="E36" s="204" t="s">
        <v>503</v>
      </c>
      <c r="F36" s="204" t="s">
        <v>504</v>
      </c>
      <c r="G36" s="204" t="s">
        <v>518</v>
      </c>
    </row>
    <row r="37" spans="1:7">
      <c r="A37" s="204" t="s">
        <v>500</v>
      </c>
      <c r="B37" s="204" t="s">
        <v>501</v>
      </c>
      <c r="C37" s="204" t="s">
        <v>519</v>
      </c>
      <c r="D37" s="204" t="s">
        <v>520</v>
      </c>
      <c r="E37" s="204" t="s">
        <v>506</v>
      </c>
      <c r="F37" s="204" t="s">
        <v>507</v>
      </c>
      <c r="G37" s="204" t="s">
        <v>521</v>
      </c>
    </row>
    <row r="38" spans="1:7">
      <c r="A38" s="204" t="s">
        <v>500</v>
      </c>
      <c r="B38" s="204" t="s">
        <v>501</v>
      </c>
      <c r="C38" s="204" t="s">
        <v>522</v>
      </c>
      <c r="D38" s="204" t="s">
        <v>523</v>
      </c>
      <c r="E38" s="204" t="s">
        <v>487</v>
      </c>
      <c r="F38" s="204" t="s">
        <v>488</v>
      </c>
      <c r="G38" s="204" t="s">
        <v>524</v>
      </c>
    </row>
    <row r="39" spans="1:7">
      <c r="A39" s="204" t="s">
        <v>500</v>
      </c>
      <c r="B39" s="204" t="s">
        <v>525</v>
      </c>
      <c r="C39" s="204" t="s">
        <v>525</v>
      </c>
      <c r="D39" s="204" t="s">
        <v>498</v>
      </c>
      <c r="E39" s="204" t="s">
        <v>526</v>
      </c>
      <c r="F39" s="204" t="s">
        <v>527</v>
      </c>
      <c r="G39" s="204" t="s">
        <v>528</v>
      </c>
    </row>
    <row r="40" spans="1:7">
      <c r="A40" s="204" t="s">
        <v>500</v>
      </c>
      <c r="B40" s="204" t="s">
        <v>525</v>
      </c>
      <c r="C40" s="204" t="s">
        <v>525</v>
      </c>
      <c r="D40" s="204" t="s">
        <v>498</v>
      </c>
      <c r="E40" s="204" t="s">
        <v>529</v>
      </c>
      <c r="F40" s="204" t="s">
        <v>530</v>
      </c>
      <c r="G40" s="204" t="s">
        <v>528</v>
      </c>
    </row>
    <row r="41" spans="1:7">
      <c r="A41" s="204" t="s">
        <v>500</v>
      </c>
      <c r="B41" s="204" t="s">
        <v>525</v>
      </c>
      <c r="C41" s="204" t="s">
        <v>525</v>
      </c>
      <c r="D41" s="204" t="s">
        <v>498</v>
      </c>
      <c r="E41" s="204" t="s">
        <v>494</v>
      </c>
      <c r="F41" s="204" t="s">
        <v>495</v>
      </c>
      <c r="G41" s="204" t="s">
        <v>528</v>
      </c>
    </row>
    <row r="42" spans="1:7">
      <c r="A42" s="204" t="s">
        <v>500</v>
      </c>
      <c r="B42" s="204" t="s">
        <v>525</v>
      </c>
      <c r="C42" s="204" t="s">
        <v>531</v>
      </c>
      <c r="D42" s="204" t="s">
        <v>498</v>
      </c>
      <c r="E42" s="204" t="s">
        <v>526</v>
      </c>
      <c r="F42" s="204" t="s">
        <v>527</v>
      </c>
      <c r="G42" s="204" t="s">
        <v>532</v>
      </c>
    </row>
    <row r="43" spans="1:7">
      <c r="A43" s="204" t="s">
        <v>500</v>
      </c>
      <c r="B43" s="204" t="s">
        <v>525</v>
      </c>
      <c r="C43" s="204" t="s">
        <v>533</v>
      </c>
      <c r="D43" s="204" t="s">
        <v>534</v>
      </c>
      <c r="E43" s="204" t="s">
        <v>526</v>
      </c>
      <c r="F43" s="204" t="s">
        <v>527</v>
      </c>
      <c r="G43" s="204" t="s">
        <v>535</v>
      </c>
    </row>
    <row r="44" spans="1:7">
      <c r="A44" s="204" t="s">
        <v>500</v>
      </c>
      <c r="B44" s="204" t="s">
        <v>525</v>
      </c>
      <c r="C44" s="204" t="s">
        <v>536</v>
      </c>
      <c r="D44" s="204" t="s">
        <v>537</v>
      </c>
      <c r="E44" s="204" t="s">
        <v>538</v>
      </c>
      <c r="F44" s="204" t="s">
        <v>539</v>
      </c>
      <c r="G44" s="204" t="s">
        <v>540</v>
      </c>
    </row>
    <row r="45" spans="1:7">
      <c r="A45" s="204" t="s">
        <v>500</v>
      </c>
      <c r="B45" s="204" t="s">
        <v>525</v>
      </c>
      <c r="C45" s="204" t="s">
        <v>536</v>
      </c>
      <c r="D45" s="204" t="s">
        <v>537</v>
      </c>
      <c r="F45" s="204" t="s">
        <v>539</v>
      </c>
      <c r="G45" s="204" t="s">
        <v>540</v>
      </c>
    </row>
    <row r="46" spans="1:7">
      <c r="A46" s="204" t="s">
        <v>500</v>
      </c>
      <c r="B46" s="204" t="s">
        <v>541</v>
      </c>
      <c r="C46" s="204" t="s">
        <v>541</v>
      </c>
      <c r="D46" s="204" t="s">
        <v>542</v>
      </c>
      <c r="E46" s="204" t="s">
        <v>506</v>
      </c>
      <c r="F46" s="204" t="s">
        <v>507</v>
      </c>
      <c r="G46" s="204" t="s">
        <v>543</v>
      </c>
    </row>
    <row r="47" spans="1:7">
      <c r="A47" s="204" t="s">
        <v>500</v>
      </c>
      <c r="B47" s="204" t="s">
        <v>541</v>
      </c>
      <c r="C47" s="204" t="s">
        <v>541</v>
      </c>
      <c r="D47" s="204" t="s">
        <v>542</v>
      </c>
      <c r="E47" s="204" t="s">
        <v>526</v>
      </c>
      <c r="F47" s="204" t="s">
        <v>527</v>
      </c>
      <c r="G47" s="204" t="s">
        <v>543</v>
      </c>
    </row>
    <row r="48" spans="1:7">
      <c r="A48" s="204" t="s">
        <v>500</v>
      </c>
      <c r="B48" s="204" t="s">
        <v>541</v>
      </c>
      <c r="C48" s="204" t="s">
        <v>541</v>
      </c>
      <c r="D48" s="204" t="s">
        <v>542</v>
      </c>
      <c r="E48" s="204" t="s">
        <v>544</v>
      </c>
      <c r="F48" s="204" t="s">
        <v>545</v>
      </c>
      <c r="G48" s="204" t="s">
        <v>543</v>
      </c>
    </row>
    <row r="49" spans="1:7">
      <c r="A49" s="204" t="s">
        <v>500</v>
      </c>
      <c r="B49" s="204" t="s">
        <v>541</v>
      </c>
      <c r="C49" s="204" t="s">
        <v>541</v>
      </c>
      <c r="D49" s="204" t="s">
        <v>542</v>
      </c>
      <c r="E49" s="204" t="s">
        <v>546</v>
      </c>
      <c r="F49" s="204" t="s">
        <v>547</v>
      </c>
      <c r="G49" s="204" t="s">
        <v>543</v>
      </c>
    </row>
    <row r="50" spans="1:7">
      <c r="A50" s="204" t="s">
        <v>500</v>
      </c>
      <c r="B50" s="204" t="s">
        <v>541</v>
      </c>
      <c r="C50" s="204" t="s">
        <v>541</v>
      </c>
      <c r="D50" s="204" t="s">
        <v>542</v>
      </c>
      <c r="E50" s="204" t="s">
        <v>548</v>
      </c>
      <c r="F50" s="204" t="s">
        <v>549</v>
      </c>
      <c r="G50" s="204" t="s">
        <v>543</v>
      </c>
    </row>
    <row r="51" spans="1:7">
      <c r="A51" s="204" t="s">
        <v>500</v>
      </c>
      <c r="B51" s="204" t="s">
        <v>541</v>
      </c>
      <c r="C51" s="204" t="s">
        <v>550</v>
      </c>
      <c r="D51" s="204" t="s">
        <v>551</v>
      </c>
      <c r="E51" s="204" t="s">
        <v>508</v>
      </c>
      <c r="F51" s="204" t="s">
        <v>509</v>
      </c>
      <c r="G51" s="204" t="s">
        <v>552</v>
      </c>
    </row>
    <row r="52" spans="1:7">
      <c r="A52" s="204" t="s">
        <v>500</v>
      </c>
      <c r="B52" s="204" t="s">
        <v>541</v>
      </c>
      <c r="C52" s="204" t="s">
        <v>553</v>
      </c>
      <c r="D52" s="204" t="s">
        <v>542</v>
      </c>
      <c r="E52" s="204" t="s">
        <v>487</v>
      </c>
      <c r="F52" s="204" t="s">
        <v>488</v>
      </c>
      <c r="G52" s="204" t="s">
        <v>554</v>
      </c>
    </row>
    <row r="53" spans="1:7">
      <c r="A53" s="204" t="s">
        <v>500</v>
      </c>
      <c r="B53" s="204" t="s">
        <v>541</v>
      </c>
      <c r="C53" s="204" t="s">
        <v>555</v>
      </c>
      <c r="D53" s="204" t="s">
        <v>556</v>
      </c>
      <c r="E53" s="204" t="s">
        <v>508</v>
      </c>
      <c r="F53" s="204" t="s">
        <v>509</v>
      </c>
      <c r="G53" s="204" t="s">
        <v>557</v>
      </c>
    </row>
    <row r="54" spans="1:7">
      <c r="A54" s="204" t="s">
        <v>500</v>
      </c>
      <c r="B54" s="204" t="s">
        <v>558</v>
      </c>
      <c r="C54" s="204" t="s">
        <v>558</v>
      </c>
      <c r="D54" s="204" t="s">
        <v>477</v>
      </c>
      <c r="E54" s="204" t="s">
        <v>559</v>
      </c>
      <c r="F54" s="204" t="s">
        <v>560</v>
      </c>
      <c r="G54" s="204" t="s">
        <v>561</v>
      </c>
    </row>
    <row r="55" spans="1:7">
      <c r="A55" s="204" t="s">
        <v>500</v>
      </c>
      <c r="B55" s="204" t="s">
        <v>558</v>
      </c>
      <c r="C55" s="204" t="s">
        <v>558</v>
      </c>
      <c r="D55" s="204" t="s">
        <v>477</v>
      </c>
      <c r="E55" s="204" t="s">
        <v>544</v>
      </c>
      <c r="F55" s="204" t="s">
        <v>545</v>
      </c>
      <c r="G55" s="204" t="s">
        <v>561</v>
      </c>
    </row>
    <row r="56" spans="1:7">
      <c r="A56" s="204" t="s">
        <v>500</v>
      </c>
      <c r="B56" s="204" t="s">
        <v>558</v>
      </c>
      <c r="C56" s="204" t="s">
        <v>558</v>
      </c>
      <c r="D56" s="204" t="s">
        <v>477</v>
      </c>
      <c r="E56" s="204" t="s">
        <v>538</v>
      </c>
      <c r="F56" s="204" t="s">
        <v>539</v>
      </c>
      <c r="G56" s="204" t="s">
        <v>561</v>
      </c>
    </row>
    <row r="57" spans="1:7">
      <c r="A57" s="204" t="s">
        <v>500</v>
      </c>
      <c r="B57" s="204" t="s">
        <v>558</v>
      </c>
      <c r="C57" s="204" t="s">
        <v>562</v>
      </c>
      <c r="D57" s="204" t="s">
        <v>563</v>
      </c>
      <c r="E57" s="204" t="s">
        <v>544</v>
      </c>
      <c r="F57" s="204" t="s">
        <v>545</v>
      </c>
      <c r="G57" s="204" t="s">
        <v>564</v>
      </c>
    </row>
    <row r="58" spans="1:7">
      <c r="A58" s="204" t="s">
        <v>500</v>
      </c>
      <c r="B58" s="204" t="s">
        <v>558</v>
      </c>
      <c r="C58" s="204" t="s">
        <v>565</v>
      </c>
      <c r="D58" s="204" t="s">
        <v>563</v>
      </c>
      <c r="E58" s="204" t="s">
        <v>544</v>
      </c>
      <c r="F58" s="204" t="s">
        <v>545</v>
      </c>
      <c r="G58" s="204" t="s">
        <v>566</v>
      </c>
    </row>
    <row r="59" spans="1:7">
      <c r="A59" s="204" t="s">
        <v>500</v>
      </c>
      <c r="B59" s="204" t="s">
        <v>567</v>
      </c>
      <c r="C59" s="204" t="s">
        <v>567</v>
      </c>
      <c r="D59" s="204" t="s">
        <v>568</v>
      </c>
      <c r="E59" s="204" t="s">
        <v>544</v>
      </c>
      <c r="F59" s="204" t="s">
        <v>545</v>
      </c>
      <c r="G59" s="204" t="s">
        <v>569</v>
      </c>
    </row>
    <row r="60" spans="1:7">
      <c r="A60" s="204" t="s">
        <v>500</v>
      </c>
      <c r="B60" s="204" t="s">
        <v>567</v>
      </c>
      <c r="C60" s="204" t="s">
        <v>567</v>
      </c>
      <c r="D60" s="204" t="s">
        <v>568</v>
      </c>
      <c r="E60" s="204" t="s">
        <v>570</v>
      </c>
      <c r="F60" s="204" t="s">
        <v>571</v>
      </c>
      <c r="G60" s="204" t="s">
        <v>569</v>
      </c>
    </row>
    <row r="61" spans="1:7">
      <c r="A61" s="204" t="s">
        <v>500</v>
      </c>
      <c r="B61" s="204" t="s">
        <v>567</v>
      </c>
      <c r="C61" s="204" t="s">
        <v>567</v>
      </c>
      <c r="D61" s="204" t="s">
        <v>568</v>
      </c>
      <c r="E61" s="204" t="s">
        <v>487</v>
      </c>
      <c r="F61" s="204" t="s">
        <v>488</v>
      </c>
      <c r="G61" s="204" t="s">
        <v>569</v>
      </c>
    </row>
    <row r="62" spans="1:7">
      <c r="A62" s="204" t="s">
        <v>500</v>
      </c>
      <c r="B62" s="204" t="s">
        <v>567</v>
      </c>
      <c r="C62" s="204" t="s">
        <v>567</v>
      </c>
      <c r="D62" s="204" t="s">
        <v>568</v>
      </c>
      <c r="E62" s="204" t="s">
        <v>494</v>
      </c>
      <c r="F62" s="204" t="s">
        <v>495</v>
      </c>
      <c r="G62" s="204" t="s">
        <v>569</v>
      </c>
    </row>
    <row r="63" spans="1:7">
      <c r="A63" s="204" t="s">
        <v>500</v>
      </c>
      <c r="B63" s="204" t="s">
        <v>567</v>
      </c>
      <c r="C63" s="204" t="s">
        <v>572</v>
      </c>
      <c r="D63" s="204" t="s">
        <v>493</v>
      </c>
      <c r="E63" s="204" t="s">
        <v>544</v>
      </c>
      <c r="F63" s="204" t="s">
        <v>545</v>
      </c>
      <c r="G63" s="204" t="s">
        <v>573</v>
      </c>
    </row>
    <row r="64" spans="1:7">
      <c r="A64" s="204" t="s">
        <v>500</v>
      </c>
      <c r="B64" s="204" t="s">
        <v>567</v>
      </c>
      <c r="C64" s="204" t="s">
        <v>574</v>
      </c>
      <c r="D64" s="204" t="s">
        <v>493</v>
      </c>
      <c r="E64" s="204" t="s">
        <v>544</v>
      </c>
      <c r="F64" s="204" t="s">
        <v>545</v>
      </c>
      <c r="G64" s="204" t="s">
        <v>575</v>
      </c>
    </row>
    <row r="65" spans="1:7">
      <c r="A65" s="204" t="s">
        <v>500</v>
      </c>
      <c r="B65" s="204" t="s">
        <v>567</v>
      </c>
      <c r="C65" s="204" t="s">
        <v>576</v>
      </c>
      <c r="D65" s="204" t="s">
        <v>493</v>
      </c>
      <c r="E65" s="204" t="s">
        <v>487</v>
      </c>
      <c r="F65" s="204" t="s">
        <v>488</v>
      </c>
      <c r="G65" s="204" t="s">
        <v>577</v>
      </c>
    </row>
    <row r="66" spans="1:7">
      <c r="A66" s="204" t="s">
        <v>500</v>
      </c>
      <c r="B66" s="204" t="s">
        <v>567</v>
      </c>
      <c r="C66" s="204" t="s">
        <v>578</v>
      </c>
      <c r="D66" s="204" t="s">
        <v>579</v>
      </c>
      <c r="E66" s="204" t="s">
        <v>503</v>
      </c>
      <c r="F66" s="204" t="s">
        <v>504</v>
      </c>
      <c r="G66" s="204" t="s">
        <v>580</v>
      </c>
    </row>
    <row r="67" spans="1:7">
      <c r="A67" s="204" t="s">
        <v>500</v>
      </c>
      <c r="B67" s="204" t="s">
        <v>567</v>
      </c>
      <c r="C67" s="204" t="s">
        <v>581</v>
      </c>
      <c r="D67" s="204" t="s">
        <v>582</v>
      </c>
      <c r="E67" s="204" t="s">
        <v>583</v>
      </c>
      <c r="F67" s="204" t="s">
        <v>584</v>
      </c>
      <c r="G67" s="204" t="s">
        <v>585</v>
      </c>
    </row>
    <row r="68" spans="1:7">
      <c r="A68" s="204" t="s">
        <v>500</v>
      </c>
      <c r="B68" s="204" t="s">
        <v>567</v>
      </c>
      <c r="C68" s="204" t="s">
        <v>581</v>
      </c>
      <c r="D68" s="204" t="s">
        <v>582</v>
      </c>
      <c r="E68" s="204" t="s">
        <v>503</v>
      </c>
      <c r="F68" s="204" t="s">
        <v>504</v>
      </c>
      <c r="G68" s="204" t="s">
        <v>585</v>
      </c>
    </row>
    <row r="69" spans="1:7">
      <c r="A69" s="204" t="s">
        <v>500</v>
      </c>
      <c r="B69" s="204" t="s">
        <v>567</v>
      </c>
      <c r="C69" s="204" t="s">
        <v>581</v>
      </c>
      <c r="D69" s="204" t="s">
        <v>582</v>
      </c>
      <c r="E69" s="204" t="s">
        <v>487</v>
      </c>
      <c r="F69" s="204" t="s">
        <v>488</v>
      </c>
      <c r="G69" s="204" t="s">
        <v>585</v>
      </c>
    </row>
    <row r="70" spans="1:7">
      <c r="A70" s="204" t="s">
        <v>500</v>
      </c>
      <c r="B70" s="204" t="s">
        <v>567</v>
      </c>
      <c r="C70" s="204" t="s">
        <v>586</v>
      </c>
      <c r="D70" s="204" t="s">
        <v>587</v>
      </c>
      <c r="E70" s="204" t="s">
        <v>503</v>
      </c>
      <c r="F70" s="204" t="s">
        <v>504</v>
      </c>
      <c r="G70" s="204" t="s">
        <v>588</v>
      </c>
    </row>
    <row r="71" spans="1:7">
      <c r="A71" s="204" t="s">
        <v>500</v>
      </c>
      <c r="B71" s="204" t="s">
        <v>589</v>
      </c>
      <c r="C71" s="204" t="s">
        <v>589</v>
      </c>
      <c r="D71" s="204" t="s">
        <v>590</v>
      </c>
      <c r="E71" s="204" t="s">
        <v>506</v>
      </c>
      <c r="F71" s="204" t="s">
        <v>507</v>
      </c>
      <c r="G71" s="204" t="s">
        <v>591</v>
      </c>
    </row>
    <row r="72" spans="1:7">
      <c r="A72" s="204" t="s">
        <v>500</v>
      </c>
      <c r="B72" s="204" t="s">
        <v>592</v>
      </c>
      <c r="C72" s="204" t="s">
        <v>592</v>
      </c>
      <c r="D72" s="204" t="s">
        <v>593</v>
      </c>
      <c r="E72" s="204" t="s">
        <v>506</v>
      </c>
      <c r="F72" s="204" t="s">
        <v>507</v>
      </c>
      <c r="G72" s="204" t="s">
        <v>594</v>
      </c>
    </row>
    <row r="73" spans="1:7">
      <c r="A73" s="204" t="s">
        <v>500</v>
      </c>
      <c r="B73" s="204" t="s">
        <v>595</v>
      </c>
      <c r="C73" s="204" t="s">
        <v>595</v>
      </c>
      <c r="D73" s="204" t="s">
        <v>596</v>
      </c>
      <c r="E73" s="204" t="s">
        <v>503</v>
      </c>
      <c r="F73" s="204" t="s">
        <v>504</v>
      </c>
      <c r="G73" s="204" t="s">
        <v>597</v>
      </c>
    </row>
    <row r="74" spans="1:7">
      <c r="A74" s="204" t="s">
        <v>500</v>
      </c>
      <c r="B74" s="204" t="s">
        <v>598</v>
      </c>
      <c r="C74" s="204" t="s">
        <v>598</v>
      </c>
      <c r="D74" s="204" t="s">
        <v>599</v>
      </c>
      <c r="E74" s="204" t="s">
        <v>487</v>
      </c>
      <c r="F74" s="204" t="s">
        <v>488</v>
      </c>
      <c r="G74" s="204" t="s">
        <v>600</v>
      </c>
    </row>
    <row r="75" spans="1:7">
      <c r="A75" s="204" t="s">
        <v>500</v>
      </c>
      <c r="B75" s="204" t="s">
        <v>601</v>
      </c>
      <c r="C75" s="204" t="s">
        <v>601</v>
      </c>
      <c r="D75" s="204" t="s">
        <v>602</v>
      </c>
      <c r="E75" s="204" t="s">
        <v>503</v>
      </c>
      <c r="F75" s="204" t="s">
        <v>504</v>
      </c>
      <c r="G75" s="204" t="s">
        <v>603</v>
      </c>
    </row>
    <row r="76" spans="1:7">
      <c r="A76" s="204" t="s">
        <v>604</v>
      </c>
      <c r="B76" s="204" t="s">
        <v>605</v>
      </c>
      <c r="C76" s="204" t="s">
        <v>605</v>
      </c>
      <c r="D76" s="204" t="s">
        <v>606</v>
      </c>
      <c r="E76" s="204" t="s">
        <v>607</v>
      </c>
      <c r="F76" s="204" t="s">
        <v>608</v>
      </c>
      <c r="G76" s="204" t="s">
        <v>609</v>
      </c>
    </row>
    <row r="77" spans="1:7">
      <c r="A77" s="204" t="s">
        <v>604</v>
      </c>
      <c r="B77" s="204" t="s">
        <v>605</v>
      </c>
      <c r="C77" s="204" t="s">
        <v>605</v>
      </c>
      <c r="D77" s="204" t="s">
        <v>606</v>
      </c>
      <c r="E77" s="204" t="s">
        <v>456</v>
      </c>
      <c r="F77" s="204" t="s">
        <v>457</v>
      </c>
      <c r="G77" s="204" t="s">
        <v>609</v>
      </c>
    </row>
    <row r="78" spans="1:7">
      <c r="A78" s="204" t="s">
        <v>604</v>
      </c>
      <c r="B78" s="204" t="s">
        <v>605</v>
      </c>
      <c r="C78" s="204" t="s">
        <v>605</v>
      </c>
      <c r="D78" s="204" t="s">
        <v>606</v>
      </c>
      <c r="E78" s="204" t="s">
        <v>544</v>
      </c>
      <c r="F78" s="204" t="s">
        <v>545</v>
      </c>
      <c r="G78" s="204" t="s">
        <v>609</v>
      </c>
    </row>
    <row r="79" spans="1:7">
      <c r="A79" s="204" t="s">
        <v>604</v>
      </c>
      <c r="B79" s="204" t="s">
        <v>605</v>
      </c>
      <c r="C79" s="204" t="s">
        <v>605</v>
      </c>
      <c r="D79" s="204" t="s">
        <v>606</v>
      </c>
      <c r="E79" s="204" t="s">
        <v>610</v>
      </c>
      <c r="F79" s="204" t="s">
        <v>611</v>
      </c>
      <c r="G79" s="204" t="s">
        <v>609</v>
      </c>
    </row>
    <row r="80" spans="1:7">
      <c r="A80" s="204" t="s">
        <v>604</v>
      </c>
      <c r="B80" s="204" t="s">
        <v>605</v>
      </c>
      <c r="C80" s="204" t="s">
        <v>605</v>
      </c>
      <c r="D80" s="204" t="s">
        <v>606</v>
      </c>
      <c r="E80" s="204" t="s">
        <v>487</v>
      </c>
      <c r="F80" s="204" t="s">
        <v>488</v>
      </c>
      <c r="G80" s="204" t="s">
        <v>609</v>
      </c>
    </row>
    <row r="81" spans="1:7">
      <c r="A81" s="204" t="s">
        <v>604</v>
      </c>
      <c r="B81" s="204" t="s">
        <v>605</v>
      </c>
      <c r="C81" s="204" t="s">
        <v>605</v>
      </c>
      <c r="D81" s="204" t="s">
        <v>606</v>
      </c>
      <c r="E81" s="204" t="s">
        <v>612</v>
      </c>
      <c r="F81" s="204" t="s">
        <v>613</v>
      </c>
      <c r="G81" s="204" t="s">
        <v>609</v>
      </c>
    </row>
    <row r="82" spans="1:7">
      <c r="A82" s="204" t="s">
        <v>604</v>
      </c>
      <c r="B82" s="204" t="s">
        <v>614</v>
      </c>
      <c r="C82" s="204" t="s">
        <v>614</v>
      </c>
      <c r="D82" s="204" t="s">
        <v>615</v>
      </c>
      <c r="E82" s="204" t="s">
        <v>616</v>
      </c>
      <c r="F82" s="204" t="s">
        <v>617</v>
      </c>
      <c r="G82" s="204" t="s">
        <v>618</v>
      </c>
    </row>
    <row r="83" spans="1:7">
      <c r="A83" s="204" t="s">
        <v>604</v>
      </c>
      <c r="B83" s="204" t="s">
        <v>614</v>
      </c>
      <c r="C83" s="204" t="s">
        <v>614</v>
      </c>
      <c r="D83" s="204" t="s">
        <v>615</v>
      </c>
      <c r="E83" s="204" t="s">
        <v>544</v>
      </c>
      <c r="F83" s="204" t="s">
        <v>545</v>
      </c>
      <c r="G83" s="204" t="s">
        <v>618</v>
      </c>
    </row>
    <row r="84" spans="1:7">
      <c r="A84" s="204" t="s">
        <v>604</v>
      </c>
      <c r="B84" s="204" t="s">
        <v>614</v>
      </c>
      <c r="C84" s="204" t="s">
        <v>614</v>
      </c>
      <c r="D84" s="204" t="s">
        <v>615</v>
      </c>
      <c r="E84" s="204" t="s">
        <v>619</v>
      </c>
      <c r="F84" s="204" t="s">
        <v>620</v>
      </c>
      <c r="G84" s="204" t="s">
        <v>618</v>
      </c>
    </row>
    <row r="85" spans="1:7">
      <c r="A85" s="204" t="s">
        <v>604</v>
      </c>
      <c r="B85" s="204" t="s">
        <v>614</v>
      </c>
      <c r="C85" s="204" t="s">
        <v>621</v>
      </c>
      <c r="D85" s="204" t="s">
        <v>622</v>
      </c>
      <c r="E85" s="204" t="s">
        <v>544</v>
      </c>
      <c r="F85" s="204" t="s">
        <v>545</v>
      </c>
      <c r="G85" s="204" t="s">
        <v>623</v>
      </c>
    </row>
    <row r="86" spans="1:7">
      <c r="A86" s="204" t="s">
        <v>604</v>
      </c>
      <c r="B86" s="204" t="s">
        <v>614</v>
      </c>
      <c r="C86" s="204" t="s">
        <v>624</v>
      </c>
      <c r="D86" s="204" t="s">
        <v>625</v>
      </c>
      <c r="E86" s="204" t="s">
        <v>544</v>
      </c>
      <c r="F86" s="204" t="s">
        <v>545</v>
      </c>
      <c r="G86" s="204" t="s">
        <v>626</v>
      </c>
    </row>
    <row r="87" spans="1:7">
      <c r="A87" s="204" t="s">
        <v>604</v>
      </c>
      <c r="B87" s="204" t="s">
        <v>614</v>
      </c>
      <c r="C87" s="204" t="s">
        <v>627</v>
      </c>
      <c r="D87" s="204" t="s">
        <v>628</v>
      </c>
      <c r="E87" s="204" t="s">
        <v>544</v>
      </c>
      <c r="F87" s="204" t="s">
        <v>545</v>
      </c>
      <c r="G87" s="204" t="s">
        <v>629</v>
      </c>
    </row>
    <row r="88" spans="1:7">
      <c r="A88" s="204" t="s">
        <v>604</v>
      </c>
      <c r="B88" s="204" t="s">
        <v>614</v>
      </c>
      <c r="C88" s="204" t="s">
        <v>630</v>
      </c>
      <c r="D88" s="204" t="s">
        <v>631</v>
      </c>
      <c r="E88" s="204" t="s">
        <v>544</v>
      </c>
      <c r="F88" s="204" t="s">
        <v>545</v>
      </c>
      <c r="G88" s="204" t="s">
        <v>632</v>
      </c>
    </row>
    <row r="89" spans="1:7">
      <c r="A89" s="204" t="s">
        <v>604</v>
      </c>
      <c r="B89" s="204" t="s">
        <v>614</v>
      </c>
      <c r="C89" s="204" t="s">
        <v>633</v>
      </c>
      <c r="D89" s="204" t="s">
        <v>634</v>
      </c>
      <c r="E89" s="204" t="s">
        <v>544</v>
      </c>
      <c r="F89" s="204" t="s">
        <v>545</v>
      </c>
      <c r="G89" s="204" t="s">
        <v>635</v>
      </c>
    </row>
    <row r="90" spans="1:7">
      <c r="A90" s="204" t="s">
        <v>604</v>
      </c>
      <c r="B90" s="204" t="s">
        <v>636</v>
      </c>
      <c r="C90" s="204" t="s">
        <v>636</v>
      </c>
      <c r="D90" s="204" t="s">
        <v>637</v>
      </c>
      <c r="E90" s="204" t="s">
        <v>638</v>
      </c>
      <c r="F90" s="204" t="s">
        <v>639</v>
      </c>
      <c r="G90" s="204" t="s">
        <v>640</v>
      </c>
    </row>
    <row r="91" spans="1:7">
      <c r="A91" s="204" t="s">
        <v>604</v>
      </c>
      <c r="B91" s="204" t="s">
        <v>636</v>
      </c>
      <c r="C91" s="204" t="s">
        <v>636</v>
      </c>
      <c r="D91" s="204" t="s">
        <v>637</v>
      </c>
      <c r="E91" s="204" t="s">
        <v>544</v>
      </c>
      <c r="F91" s="204" t="s">
        <v>545</v>
      </c>
      <c r="G91" s="204" t="s">
        <v>640</v>
      </c>
    </row>
    <row r="92" spans="1:7">
      <c r="A92" s="204" t="s">
        <v>604</v>
      </c>
      <c r="B92" s="204" t="s">
        <v>636</v>
      </c>
      <c r="C92" s="204" t="s">
        <v>636</v>
      </c>
      <c r="D92" s="204" t="s">
        <v>637</v>
      </c>
      <c r="E92" s="204" t="s">
        <v>487</v>
      </c>
      <c r="F92" s="204" t="s">
        <v>488</v>
      </c>
      <c r="G92" s="204" t="s">
        <v>640</v>
      </c>
    </row>
    <row r="93" spans="1:7">
      <c r="A93" s="204" t="s">
        <v>604</v>
      </c>
      <c r="B93" s="204" t="s">
        <v>636</v>
      </c>
      <c r="C93" s="204" t="s">
        <v>636</v>
      </c>
      <c r="D93" s="204" t="s">
        <v>637</v>
      </c>
      <c r="E93" s="204" t="s">
        <v>641</v>
      </c>
      <c r="F93" s="204" t="s">
        <v>642</v>
      </c>
      <c r="G93" s="204" t="s">
        <v>640</v>
      </c>
    </row>
    <row r="94" spans="1:7">
      <c r="A94" s="204" t="s">
        <v>604</v>
      </c>
      <c r="B94" s="204" t="s">
        <v>643</v>
      </c>
      <c r="C94" s="204" t="s">
        <v>643</v>
      </c>
      <c r="D94" s="204" t="s">
        <v>644</v>
      </c>
      <c r="E94" s="204" t="s">
        <v>645</v>
      </c>
      <c r="F94" s="204" t="s">
        <v>646</v>
      </c>
      <c r="G94" s="204" t="s">
        <v>647</v>
      </c>
    </row>
    <row r="95" spans="1:7">
      <c r="A95" s="204" t="s">
        <v>604</v>
      </c>
      <c r="B95" s="204" t="s">
        <v>643</v>
      </c>
      <c r="C95" s="204" t="s">
        <v>643</v>
      </c>
      <c r="D95" s="204" t="s">
        <v>644</v>
      </c>
      <c r="E95" s="204" t="s">
        <v>544</v>
      </c>
      <c r="F95" s="204" t="s">
        <v>545</v>
      </c>
      <c r="G95" s="204" t="s">
        <v>647</v>
      </c>
    </row>
    <row r="96" spans="1:7">
      <c r="A96" s="204" t="s">
        <v>604</v>
      </c>
      <c r="B96" s="204" t="s">
        <v>643</v>
      </c>
      <c r="C96" s="204" t="s">
        <v>648</v>
      </c>
      <c r="D96" s="204" t="s">
        <v>485</v>
      </c>
      <c r="E96" s="204" t="s">
        <v>544</v>
      </c>
      <c r="F96" s="204" t="s">
        <v>545</v>
      </c>
      <c r="G96" s="204" t="s">
        <v>649</v>
      </c>
    </row>
    <row r="97" spans="1:7">
      <c r="A97" s="204" t="s">
        <v>604</v>
      </c>
      <c r="B97" s="204" t="s">
        <v>650</v>
      </c>
      <c r="C97" s="204" t="s">
        <v>650</v>
      </c>
      <c r="D97" s="204" t="s">
        <v>651</v>
      </c>
      <c r="E97" s="204" t="s">
        <v>544</v>
      </c>
      <c r="F97" s="204" t="s">
        <v>545</v>
      </c>
      <c r="G97" s="204" t="s">
        <v>652</v>
      </c>
    </row>
    <row r="98" spans="1:7">
      <c r="A98" s="204" t="s">
        <v>604</v>
      </c>
      <c r="B98" s="204" t="s">
        <v>653</v>
      </c>
      <c r="C98" s="204" t="s">
        <v>653</v>
      </c>
      <c r="D98" s="204" t="s">
        <v>654</v>
      </c>
      <c r="E98" s="204" t="s">
        <v>544</v>
      </c>
      <c r="F98" s="204" t="s">
        <v>545</v>
      </c>
      <c r="G98" s="204" t="s">
        <v>655</v>
      </c>
    </row>
    <row r="99" spans="1:7">
      <c r="A99" s="204" t="s">
        <v>604</v>
      </c>
      <c r="B99" s="204" t="s">
        <v>197</v>
      </c>
      <c r="C99" s="204" t="s">
        <v>197</v>
      </c>
      <c r="D99" s="204" t="s">
        <v>656</v>
      </c>
      <c r="E99" s="204" t="s">
        <v>544</v>
      </c>
      <c r="F99" s="204" t="s">
        <v>545</v>
      </c>
      <c r="G99" s="204" t="s">
        <v>657</v>
      </c>
    </row>
    <row r="100" spans="1:7">
      <c r="A100" s="204" t="s">
        <v>604</v>
      </c>
      <c r="B100" s="204" t="s">
        <v>658</v>
      </c>
      <c r="C100" s="204" t="s">
        <v>658</v>
      </c>
      <c r="D100" s="204" t="s">
        <v>659</v>
      </c>
      <c r="E100" s="204" t="s">
        <v>487</v>
      </c>
      <c r="F100" s="204" t="s">
        <v>488</v>
      </c>
      <c r="G100" s="204" t="s">
        <v>660</v>
      </c>
    </row>
    <row r="101" spans="1:7">
      <c r="A101" s="204" t="s">
        <v>604</v>
      </c>
      <c r="B101" s="204" t="s">
        <v>661</v>
      </c>
      <c r="C101" s="204" t="s">
        <v>661</v>
      </c>
      <c r="D101" s="204" t="s">
        <v>662</v>
      </c>
      <c r="E101" s="204" t="s">
        <v>487</v>
      </c>
      <c r="F101" s="204" t="s">
        <v>488</v>
      </c>
      <c r="G101" s="204" t="s">
        <v>663</v>
      </c>
    </row>
    <row r="102" spans="1:7">
      <c r="A102" s="204" t="s">
        <v>604</v>
      </c>
      <c r="B102" s="204" t="s">
        <v>664</v>
      </c>
      <c r="C102" s="204" t="s">
        <v>664</v>
      </c>
      <c r="D102" s="204" t="s">
        <v>665</v>
      </c>
      <c r="E102" s="204" t="s">
        <v>487</v>
      </c>
      <c r="F102" s="204" t="s">
        <v>488</v>
      </c>
      <c r="G102" s="204" t="s">
        <v>666</v>
      </c>
    </row>
    <row r="103" spans="1:7">
      <c r="A103" s="204" t="s">
        <v>604</v>
      </c>
      <c r="B103" s="204" t="s">
        <v>667</v>
      </c>
      <c r="C103" s="204" t="s">
        <v>667</v>
      </c>
      <c r="D103" s="204" t="s">
        <v>668</v>
      </c>
      <c r="E103" s="204" t="s">
        <v>544</v>
      </c>
      <c r="F103" s="204" t="s">
        <v>545</v>
      </c>
      <c r="G103" s="204" t="s">
        <v>669</v>
      </c>
    </row>
    <row r="104" spans="1:7">
      <c r="A104" s="204" t="s">
        <v>604</v>
      </c>
      <c r="B104" s="204" t="s">
        <v>670</v>
      </c>
      <c r="C104" s="204" t="s">
        <v>670</v>
      </c>
      <c r="D104" s="204" t="s">
        <v>671</v>
      </c>
      <c r="E104" s="204" t="s">
        <v>526</v>
      </c>
      <c r="F104" s="204" t="s">
        <v>527</v>
      </c>
      <c r="G104" s="204" t="s">
        <v>672</v>
      </c>
    </row>
    <row r="105" spans="1:7">
      <c r="A105" s="204" t="s">
        <v>604</v>
      </c>
      <c r="B105" s="204" t="s">
        <v>673</v>
      </c>
      <c r="C105" s="204" t="s">
        <v>673</v>
      </c>
      <c r="D105" s="204" t="s">
        <v>674</v>
      </c>
      <c r="E105" s="204" t="s">
        <v>544</v>
      </c>
      <c r="F105" s="204" t="s">
        <v>545</v>
      </c>
      <c r="G105" s="204" t="s">
        <v>675</v>
      </c>
    </row>
    <row r="106" spans="1:7">
      <c r="A106" s="204" t="s">
        <v>604</v>
      </c>
      <c r="B106" s="204" t="s">
        <v>676</v>
      </c>
      <c r="C106" s="204" t="s">
        <v>676</v>
      </c>
      <c r="D106" s="204" t="s">
        <v>677</v>
      </c>
      <c r="E106" s="204" t="s">
        <v>544</v>
      </c>
      <c r="F106" s="204" t="s">
        <v>545</v>
      </c>
      <c r="G106" s="204" t="s">
        <v>678</v>
      </c>
    </row>
    <row r="107" spans="1:7">
      <c r="A107" s="204" t="s">
        <v>604</v>
      </c>
      <c r="B107" s="204" t="s">
        <v>676</v>
      </c>
      <c r="C107" s="204" t="s">
        <v>676</v>
      </c>
      <c r="D107" s="204" t="s">
        <v>677</v>
      </c>
      <c r="E107" s="204" t="s">
        <v>679</v>
      </c>
      <c r="F107" s="204" t="s">
        <v>680</v>
      </c>
      <c r="G107" s="204" t="s">
        <v>678</v>
      </c>
    </row>
    <row r="108" spans="1:7">
      <c r="A108" s="204" t="s">
        <v>604</v>
      </c>
      <c r="B108" s="204" t="s">
        <v>676</v>
      </c>
      <c r="C108" s="204" t="s">
        <v>676</v>
      </c>
      <c r="D108" s="204" t="s">
        <v>677</v>
      </c>
      <c r="E108" s="204" t="s">
        <v>681</v>
      </c>
      <c r="F108" s="204" t="s">
        <v>682</v>
      </c>
      <c r="G108" s="204" t="s">
        <v>678</v>
      </c>
    </row>
    <row r="109" spans="1:7">
      <c r="A109" s="204" t="s">
        <v>683</v>
      </c>
      <c r="B109" s="204" t="s">
        <v>684</v>
      </c>
      <c r="C109" s="204" t="s">
        <v>684</v>
      </c>
      <c r="D109" s="204" t="s">
        <v>405</v>
      </c>
      <c r="E109" s="204" t="s">
        <v>685</v>
      </c>
      <c r="F109" s="204" t="s">
        <v>686</v>
      </c>
      <c r="G109" s="204" t="s">
        <v>687</v>
      </c>
    </row>
    <row r="110" spans="1:7">
      <c r="A110" s="204" t="s">
        <v>683</v>
      </c>
      <c r="B110" s="204" t="s">
        <v>684</v>
      </c>
      <c r="C110" s="204" t="s">
        <v>684</v>
      </c>
      <c r="D110" s="204" t="s">
        <v>405</v>
      </c>
      <c r="E110" s="204" t="s">
        <v>688</v>
      </c>
      <c r="F110" s="204" t="s">
        <v>689</v>
      </c>
      <c r="G110" s="204" t="s">
        <v>687</v>
      </c>
    </row>
    <row r="111" spans="1:7">
      <c r="A111" s="204" t="s">
        <v>683</v>
      </c>
      <c r="B111" s="204" t="s">
        <v>684</v>
      </c>
      <c r="C111" s="204" t="s">
        <v>690</v>
      </c>
      <c r="D111" s="204" t="s">
        <v>691</v>
      </c>
      <c r="E111" s="204" t="s">
        <v>503</v>
      </c>
      <c r="F111" s="204" t="s">
        <v>504</v>
      </c>
      <c r="G111" s="204" t="s">
        <v>692</v>
      </c>
    </row>
    <row r="112" spans="1:7">
      <c r="A112" s="204" t="s">
        <v>683</v>
      </c>
      <c r="B112" s="204" t="s">
        <v>693</v>
      </c>
      <c r="C112" s="204" t="s">
        <v>693</v>
      </c>
      <c r="D112" s="204" t="s">
        <v>694</v>
      </c>
      <c r="E112" s="204" t="s">
        <v>695</v>
      </c>
      <c r="G112" s="204" t="s">
        <v>696</v>
      </c>
    </row>
    <row r="113" spans="1:7">
      <c r="A113" s="204" t="s">
        <v>683</v>
      </c>
      <c r="B113" s="204" t="s">
        <v>684</v>
      </c>
      <c r="C113" s="204" t="s">
        <v>697</v>
      </c>
      <c r="D113" s="204" t="s">
        <v>698</v>
      </c>
      <c r="E113" s="204" t="s">
        <v>508</v>
      </c>
      <c r="F113" s="204" t="s">
        <v>509</v>
      </c>
      <c r="G113" s="204" t="s">
        <v>699</v>
      </c>
    </row>
    <row r="114" spans="1:7">
      <c r="A114" s="204" t="s">
        <v>683</v>
      </c>
      <c r="B114" s="204" t="s">
        <v>700</v>
      </c>
      <c r="C114" s="204" t="s">
        <v>700</v>
      </c>
      <c r="D114" s="204" t="s">
        <v>463</v>
      </c>
      <c r="E114" s="204" t="s">
        <v>503</v>
      </c>
      <c r="F114" s="204" t="s">
        <v>504</v>
      </c>
      <c r="G114" s="204" t="s">
        <v>701</v>
      </c>
    </row>
    <row r="115" spans="1:7">
      <c r="A115" s="204" t="s">
        <v>683</v>
      </c>
      <c r="B115" s="204" t="s">
        <v>700</v>
      </c>
      <c r="C115" s="204" t="s">
        <v>700</v>
      </c>
      <c r="D115" s="204" t="s">
        <v>463</v>
      </c>
      <c r="E115" s="204" t="s">
        <v>506</v>
      </c>
      <c r="F115" s="204" t="s">
        <v>507</v>
      </c>
      <c r="G115" s="204" t="s">
        <v>701</v>
      </c>
    </row>
    <row r="116" spans="1:7">
      <c r="A116" s="204" t="s">
        <v>683</v>
      </c>
      <c r="B116" s="204" t="s">
        <v>700</v>
      </c>
      <c r="C116" s="204" t="s">
        <v>700</v>
      </c>
      <c r="D116" s="204" t="s">
        <v>463</v>
      </c>
      <c r="E116" s="204" t="s">
        <v>702</v>
      </c>
      <c r="F116" s="204" t="s">
        <v>703</v>
      </c>
      <c r="G116" s="204" t="s">
        <v>701</v>
      </c>
    </row>
    <row r="117" spans="1:7">
      <c r="A117" s="204" t="s">
        <v>683</v>
      </c>
      <c r="B117" s="204" t="s">
        <v>700</v>
      </c>
      <c r="C117" s="204" t="s">
        <v>704</v>
      </c>
      <c r="D117" s="204" t="s">
        <v>705</v>
      </c>
      <c r="E117" s="204" t="s">
        <v>526</v>
      </c>
      <c r="F117" s="204" t="s">
        <v>527</v>
      </c>
      <c r="G117" s="204" t="s">
        <v>706</v>
      </c>
    </row>
    <row r="118" spans="1:7">
      <c r="A118" s="204" t="s">
        <v>683</v>
      </c>
      <c r="B118" s="204" t="s">
        <v>707</v>
      </c>
      <c r="C118" s="204" t="s">
        <v>707</v>
      </c>
      <c r="D118" s="204" t="s">
        <v>405</v>
      </c>
      <c r="E118" s="204" t="s">
        <v>506</v>
      </c>
      <c r="F118" s="204" t="s">
        <v>507</v>
      </c>
      <c r="G118" s="204" t="s">
        <v>708</v>
      </c>
    </row>
    <row r="119" spans="1:7">
      <c r="A119" s="204" t="s">
        <v>683</v>
      </c>
      <c r="B119" s="204" t="s">
        <v>707</v>
      </c>
      <c r="C119" s="204" t="s">
        <v>707</v>
      </c>
      <c r="D119" s="204" t="s">
        <v>405</v>
      </c>
      <c r="E119" s="204" t="s">
        <v>709</v>
      </c>
      <c r="F119" s="204" t="s">
        <v>710</v>
      </c>
      <c r="G119" s="204" t="s">
        <v>708</v>
      </c>
    </row>
    <row r="120" spans="1:7">
      <c r="A120" s="204" t="s">
        <v>683</v>
      </c>
      <c r="B120" s="204" t="s">
        <v>707</v>
      </c>
      <c r="C120" s="204" t="s">
        <v>707</v>
      </c>
      <c r="D120" s="204" t="s">
        <v>405</v>
      </c>
      <c r="E120" s="204" t="s">
        <v>508</v>
      </c>
      <c r="F120" s="204" t="s">
        <v>509</v>
      </c>
      <c r="G120" s="204" t="s">
        <v>708</v>
      </c>
    </row>
    <row r="121" spans="1:7">
      <c r="A121" s="204" t="s">
        <v>683</v>
      </c>
      <c r="B121" s="204" t="s">
        <v>707</v>
      </c>
      <c r="C121" s="204" t="s">
        <v>707</v>
      </c>
      <c r="D121" s="204" t="s">
        <v>405</v>
      </c>
      <c r="E121" s="204" t="s">
        <v>711</v>
      </c>
      <c r="F121" s="204" t="s">
        <v>712</v>
      </c>
      <c r="G121" s="204" t="s">
        <v>708</v>
      </c>
    </row>
    <row r="122" spans="1:7">
      <c r="A122" s="204" t="s">
        <v>683</v>
      </c>
      <c r="B122" s="204" t="s">
        <v>707</v>
      </c>
      <c r="C122" s="204" t="s">
        <v>707</v>
      </c>
      <c r="D122" s="204" t="s">
        <v>405</v>
      </c>
      <c r="E122" s="204" t="s">
        <v>713</v>
      </c>
      <c r="F122" s="204" t="s">
        <v>714</v>
      </c>
      <c r="G122" s="204" t="s">
        <v>708</v>
      </c>
    </row>
    <row r="123" spans="1:7">
      <c r="A123" s="204" t="s">
        <v>683</v>
      </c>
      <c r="B123" s="204" t="s">
        <v>707</v>
      </c>
      <c r="C123" s="204" t="s">
        <v>715</v>
      </c>
      <c r="D123" s="204" t="s">
        <v>716</v>
      </c>
      <c r="E123" s="204" t="s">
        <v>503</v>
      </c>
      <c r="F123" s="204" t="s">
        <v>504</v>
      </c>
      <c r="G123" s="204" t="s">
        <v>717</v>
      </c>
    </row>
    <row r="124" spans="1:7">
      <c r="A124" s="204" t="s">
        <v>683</v>
      </c>
      <c r="B124" s="204" t="s">
        <v>707</v>
      </c>
      <c r="C124" s="204" t="s">
        <v>718</v>
      </c>
      <c r="D124" s="204" t="s">
        <v>719</v>
      </c>
      <c r="E124" s="204" t="s">
        <v>503</v>
      </c>
      <c r="F124" s="204" t="s">
        <v>504</v>
      </c>
      <c r="G124" s="204" t="s">
        <v>720</v>
      </c>
    </row>
    <row r="125" spans="1:7">
      <c r="A125" s="204" t="s">
        <v>683</v>
      </c>
      <c r="B125" s="204" t="s">
        <v>707</v>
      </c>
      <c r="C125" s="204" t="s">
        <v>721</v>
      </c>
      <c r="D125" s="204" t="s">
        <v>722</v>
      </c>
      <c r="E125" s="204" t="s">
        <v>508</v>
      </c>
      <c r="F125" s="204" t="s">
        <v>509</v>
      </c>
      <c r="G125" s="204" t="s">
        <v>723</v>
      </c>
    </row>
    <row r="126" spans="1:7">
      <c r="A126" s="204" t="s">
        <v>683</v>
      </c>
      <c r="B126" s="204" t="s">
        <v>264</v>
      </c>
      <c r="C126" s="204" t="s">
        <v>264</v>
      </c>
      <c r="D126" s="204" t="s">
        <v>724</v>
      </c>
      <c r="E126" s="204" t="s">
        <v>503</v>
      </c>
      <c r="F126" s="204" t="s">
        <v>504</v>
      </c>
      <c r="G126" s="204" t="s">
        <v>725</v>
      </c>
    </row>
    <row r="127" spans="1:7">
      <c r="A127" s="204" t="s">
        <v>683</v>
      </c>
      <c r="B127" s="204" t="s">
        <v>726</v>
      </c>
      <c r="C127" s="204" t="s">
        <v>726</v>
      </c>
      <c r="D127" s="204" t="s">
        <v>727</v>
      </c>
      <c r="E127" s="204" t="s">
        <v>503</v>
      </c>
      <c r="F127" s="204" t="s">
        <v>504</v>
      </c>
      <c r="G127" s="204" t="s">
        <v>728</v>
      </c>
    </row>
    <row r="128" spans="1:7">
      <c r="A128" s="204" t="s">
        <v>683</v>
      </c>
      <c r="B128" s="204" t="s">
        <v>729</v>
      </c>
      <c r="C128" s="204" t="s">
        <v>729</v>
      </c>
      <c r="D128" s="204" t="s">
        <v>498</v>
      </c>
      <c r="E128" s="204" t="s">
        <v>544</v>
      </c>
      <c r="F128" s="204" t="s">
        <v>545</v>
      </c>
      <c r="G128" s="204" t="s">
        <v>730</v>
      </c>
    </row>
    <row r="129" spans="1:7">
      <c r="A129" s="204" t="s">
        <v>683</v>
      </c>
      <c r="B129" s="204" t="s">
        <v>271</v>
      </c>
      <c r="C129" s="204" t="s">
        <v>271</v>
      </c>
      <c r="D129" s="204" t="s">
        <v>731</v>
      </c>
      <c r="E129" s="204" t="s">
        <v>503</v>
      </c>
      <c r="F129" s="204" t="s">
        <v>504</v>
      </c>
      <c r="G129" s="204" t="s">
        <v>732</v>
      </c>
    </row>
    <row r="130" spans="1:7">
      <c r="A130" s="204" t="s">
        <v>683</v>
      </c>
      <c r="B130" s="204" t="s">
        <v>202</v>
      </c>
      <c r="C130" s="204" t="s">
        <v>202</v>
      </c>
      <c r="D130" s="204" t="s">
        <v>733</v>
      </c>
      <c r="E130" s="204" t="s">
        <v>508</v>
      </c>
      <c r="F130" s="204" t="s">
        <v>509</v>
      </c>
      <c r="G130" s="204" t="s">
        <v>734</v>
      </c>
    </row>
    <row r="131" spans="1:7">
      <c r="A131" s="204" t="s">
        <v>683</v>
      </c>
      <c r="B131" s="204" t="s">
        <v>735</v>
      </c>
      <c r="C131" s="204" t="s">
        <v>735</v>
      </c>
      <c r="D131" s="204" t="s">
        <v>736</v>
      </c>
      <c r="E131" s="204" t="s">
        <v>737</v>
      </c>
      <c r="F131" s="204" t="s">
        <v>738</v>
      </c>
      <c r="G131" s="204" t="s">
        <v>739</v>
      </c>
    </row>
    <row r="132" spans="1:7">
      <c r="A132" s="204" t="s">
        <v>683</v>
      </c>
      <c r="B132" s="204" t="s">
        <v>735</v>
      </c>
      <c r="C132" s="204" t="s">
        <v>735</v>
      </c>
      <c r="D132" s="204" t="s">
        <v>736</v>
      </c>
      <c r="E132" s="204" t="s">
        <v>508</v>
      </c>
      <c r="F132" s="204" t="s">
        <v>509</v>
      </c>
      <c r="G132" s="204" t="s">
        <v>739</v>
      </c>
    </row>
    <row r="133" spans="1:7">
      <c r="A133" s="204" t="s">
        <v>683</v>
      </c>
      <c r="B133" s="204" t="s">
        <v>740</v>
      </c>
      <c r="C133" s="204" t="s">
        <v>740</v>
      </c>
      <c r="D133" s="204" t="s">
        <v>741</v>
      </c>
      <c r="E133" s="204" t="s">
        <v>503</v>
      </c>
      <c r="F133" s="204" t="s">
        <v>504</v>
      </c>
      <c r="G133" s="204" t="s">
        <v>742</v>
      </c>
    </row>
    <row r="134" spans="1:7">
      <c r="A134" s="204" t="s">
        <v>683</v>
      </c>
      <c r="B134" s="204" t="s">
        <v>740</v>
      </c>
      <c r="C134" s="204" t="s">
        <v>740</v>
      </c>
      <c r="D134" s="204" t="s">
        <v>741</v>
      </c>
      <c r="E134" s="204" t="s">
        <v>743</v>
      </c>
      <c r="F134" s="204" t="s">
        <v>744</v>
      </c>
      <c r="G134" s="204" t="s">
        <v>742</v>
      </c>
    </row>
    <row r="135" spans="1:7">
      <c r="A135" s="204" t="s">
        <v>683</v>
      </c>
      <c r="B135" s="204" t="s">
        <v>745</v>
      </c>
      <c r="C135" s="204" t="s">
        <v>745</v>
      </c>
      <c r="D135" s="204" t="s">
        <v>746</v>
      </c>
      <c r="E135" s="204" t="s">
        <v>503</v>
      </c>
      <c r="F135" s="204" t="s">
        <v>504</v>
      </c>
      <c r="G135" s="204" t="s">
        <v>747</v>
      </c>
    </row>
    <row r="136" spans="1:7">
      <c r="A136" s="204" t="s">
        <v>748</v>
      </c>
      <c r="B136" s="204" t="s">
        <v>749</v>
      </c>
      <c r="C136" s="204" t="s">
        <v>749</v>
      </c>
      <c r="D136" s="204" t="s">
        <v>485</v>
      </c>
      <c r="E136" s="204" t="s">
        <v>506</v>
      </c>
      <c r="F136" s="204" t="s">
        <v>507</v>
      </c>
      <c r="G136" s="204" t="s">
        <v>750</v>
      </c>
    </row>
    <row r="137" spans="1:7">
      <c r="A137" s="204" t="s">
        <v>748</v>
      </c>
      <c r="B137" s="204" t="s">
        <v>749</v>
      </c>
      <c r="C137" s="204" t="s">
        <v>749</v>
      </c>
      <c r="D137" s="204" t="s">
        <v>485</v>
      </c>
      <c r="E137" s="204" t="s">
        <v>418</v>
      </c>
      <c r="F137" s="204" t="s">
        <v>419</v>
      </c>
      <c r="G137" s="204" t="s">
        <v>750</v>
      </c>
    </row>
    <row r="138" spans="1:7">
      <c r="A138" s="204" t="s">
        <v>748</v>
      </c>
      <c r="B138" s="204" t="s">
        <v>749</v>
      </c>
      <c r="C138" s="204" t="s">
        <v>749</v>
      </c>
      <c r="D138" s="204" t="s">
        <v>485</v>
      </c>
      <c r="E138" s="204" t="s">
        <v>751</v>
      </c>
      <c r="F138" s="204" t="s">
        <v>752</v>
      </c>
      <c r="G138" s="204" t="s">
        <v>750</v>
      </c>
    </row>
    <row r="139" spans="1:7">
      <c r="A139" s="204" t="s">
        <v>748</v>
      </c>
      <c r="B139" s="204" t="s">
        <v>749</v>
      </c>
      <c r="C139" s="204" t="s">
        <v>753</v>
      </c>
      <c r="D139" s="204" t="s">
        <v>754</v>
      </c>
      <c r="E139" s="204" t="s">
        <v>544</v>
      </c>
      <c r="F139" s="204" t="s">
        <v>545</v>
      </c>
      <c r="G139" s="204" t="s">
        <v>755</v>
      </c>
    </row>
    <row r="140" spans="1:7">
      <c r="A140" s="204" t="s">
        <v>748</v>
      </c>
      <c r="B140" s="204" t="s">
        <v>749</v>
      </c>
      <c r="C140" s="204" t="s">
        <v>756</v>
      </c>
      <c r="D140" s="204" t="s">
        <v>757</v>
      </c>
      <c r="E140" s="204" t="s">
        <v>544</v>
      </c>
      <c r="F140" s="204" t="s">
        <v>545</v>
      </c>
      <c r="G140" s="204" t="s">
        <v>758</v>
      </c>
    </row>
    <row r="141" spans="1:7">
      <c r="A141" s="204" t="s">
        <v>748</v>
      </c>
      <c r="B141" s="204" t="s">
        <v>759</v>
      </c>
      <c r="C141" s="204" t="s">
        <v>759</v>
      </c>
      <c r="D141" s="204" t="s">
        <v>760</v>
      </c>
      <c r="E141" s="204" t="s">
        <v>456</v>
      </c>
      <c r="F141" s="204" t="s">
        <v>457</v>
      </c>
      <c r="G141" s="204" t="s">
        <v>761</v>
      </c>
    </row>
    <row r="142" spans="1:7">
      <c r="A142" s="204" t="s">
        <v>748</v>
      </c>
      <c r="B142" s="204" t="s">
        <v>759</v>
      </c>
      <c r="C142" s="204" t="s">
        <v>759</v>
      </c>
      <c r="D142" s="204" t="s">
        <v>760</v>
      </c>
      <c r="E142" s="204" t="s">
        <v>762</v>
      </c>
      <c r="F142" s="204" t="s">
        <v>763</v>
      </c>
      <c r="G142" s="204" t="s">
        <v>761</v>
      </c>
    </row>
    <row r="143" spans="1:7">
      <c r="A143" s="204" t="s">
        <v>748</v>
      </c>
      <c r="B143" s="204" t="s">
        <v>759</v>
      </c>
      <c r="C143" s="204" t="s">
        <v>759</v>
      </c>
      <c r="D143" s="204" t="s">
        <v>760</v>
      </c>
      <c r="E143" s="204" t="s">
        <v>487</v>
      </c>
      <c r="F143" s="204" t="s">
        <v>488</v>
      </c>
      <c r="G143" s="204" t="s">
        <v>761</v>
      </c>
    </row>
    <row r="144" spans="1:7">
      <c r="A144" s="204" t="s">
        <v>748</v>
      </c>
      <c r="B144" s="204" t="s">
        <v>759</v>
      </c>
      <c r="C144" s="204" t="s">
        <v>759</v>
      </c>
      <c r="D144" s="204" t="s">
        <v>760</v>
      </c>
      <c r="E144" s="204" t="s">
        <v>426</v>
      </c>
      <c r="F144" s="204" t="s">
        <v>427</v>
      </c>
      <c r="G144" s="204" t="s">
        <v>761</v>
      </c>
    </row>
    <row r="145" spans="1:7">
      <c r="A145" s="204" t="s">
        <v>748</v>
      </c>
      <c r="B145" s="204" t="s">
        <v>759</v>
      </c>
      <c r="C145" s="204" t="s">
        <v>764</v>
      </c>
      <c r="D145" s="204" t="s">
        <v>422</v>
      </c>
      <c r="E145" s="204" t="s">
        <v>765</v>
      </c>
      <c r="F145" s="204" t="s">
        <v>766</v>
      </c>
      <c r="G145" s="204" t="s">
        <v>767</v>
      </c>
    </row>
    <row r="146" spans="1:7">
      <c r="A146" s="204" t="s">
        <v>748</v>
      </c>
      <c r="B146" s="204" t="s">
        <v>759</v>
      </c>
      <c r="C146" s="204" t="s">
        <v>764</v>
      </c>
      <c r="D146" s="204" t="s">
        <v>422</v>
      </c>
      <c r="E146" s="204" t="s">
        <v>487</v>
      </c>
      <c r="F146" s="204" t="s">
        <v>488</v>
      </c>
      <c r="G146" s="204" t="s">
        <v>767</v>
      </c>
    </row>
    <row r="147" spans="1:7">
      <c r="A147" s="204" t="s">
        <v>748</v>
      </c>
      <c r="B147" s="204" t="s">
        <v>759</v>
      </c>
      <c r="C147" s="204" t="s">
        <v>764</v>
      </c>
      <c r="D147" s="204" t="s">
        <v>422</v>
      </c>
      <c r="E147" s="204" t="s">
        <v>612</v>
      </c>
      <c r="F147" s="204" t="s">
        <v>613</v>
      </c>
      <c r="G147" s="204" t="s">
        <v>767</v>
      </c>
    </row>
    <row r="148" spans="1:7">
      <c r="A148" s="204" t="s">
        <v>748</v>
      </c>
      <c r="B148" s="204" t="s">
        <v>759</v>
      </c>
      <c r="C148" s="204" t="s">
        <v>768</v>
      </c>
      <c r="D148" s="204" t="s">
        <v>422</v>
      </c>
      <c r="E148" s="204" t="s">
        <v>487</v>
      </c>
      <c r="F148" s="204" t="s">
        <v>488</v>
      </c>
      <c r="G148" s="204" t="s">
        <v>769</v>
      </c>
    </row>
    <row r="149" spans="1:7">
      <c r="A149" s="204" t="s">
        <v>748</v>
      </c>
      <c r="B149" s="204" t="s">
        <v>770</v>
      </c>
      <c r="C149" s="204" t="s">
        <v>770</v>
      </c>
      <c r="D149" s="204" t="s">
        <v>490</v>
      </c>
      <c r="E149" s="204" t="s">
        <v>771</v>
      </c>
      <c r="F149" s="204" t="s">
        <v>772</v>
      </c>
      <c r="G149" s="204" t="s">
        <v>773</v>
      </c>
    </row>
    <row r="150" spans="1:7">
      <c r="A150" s="204" t="s">
        <v>748</v>
      </c>
      <c r="B150" s="204" t="s">
        <v>770</v>
      </c>
      <c r="C150" s="204" t="s">
        <v>770</v>
      </c>
      <c r="D150" s="204" t="s">
        <v>490</v>
      </c>
      <c r="E150" s="204" t="s">
        <v>487</v>
      </c>
      <c r="F150" s="204" t="s">
        <v>488</v>
      </c>
      <c r="G150" s="204" t="s">
        <v>773</v>
      </c>
    </row>
    <row r="151" spans="1:7">
      <c r="A151" s="204" t="s">
        <v>748</v>
      </c>
      <c r="B151" s="204" t="s">
        <v>770</v>
      </c>
      <c r="C151" s="204" t="s">
        <v>774</v>
      </c>
      <c r="D151" s="204" t="s">
        <v>490</v>
      </c>
      <c r="E151" s="204" t="s">
        <v>487</v>
      </c>
      <c r="F151" s="204" t="s">
        <v>488</v>
      </c>
      <c r="G151" s="204" t="s">
        <v>775</v>
      </c>
    </row>
    <row r="152" spans="1:7">
      <c r="A152" s="204" t="s">
        <v>748</v>
      </c>
      <c r="B152" s="204" t="s">
        <v>770</v>
      </c>
      <c r="C152" s="204" t="s">
        <v>776</v>
      </c>
      <c r="D152" s="204" t="s">
        <v>777</v>
      </c>
      <c r="E152" s="204" t="s">
        <v>544</v>
      </c>
      <c r="F152" s="204" t="s">
        <v>545</v>
      </c>
      <c r="G152" s="204" t="s">
        <v>778</v>
      </c>
    </row>
    <row r="153" spans="1:7">
      <c r="A153" s="204" t="s">
        <v>748</v>
      </c>
      <c r="B153" s="204" t="s">
        <v>770</v>
      </c>
      <c r="C153" s="204" t="s">
        <v>776</v>
      </c>
      <c r="D153" s="204" t="s">
        <v>777</v>
      </c>
      <c r="E153" s="204" t="s">
        <v>487</v>
      </c>
      <c r="F153" s="204" t="s">
        <v>488</v>
      </c>
      <c r="G153" s="204" t="s">
        <v>778</v>
      </c>
    </row>
    <row r="154" spans="1:7">
      <c r="A154" s="204" t="s">
        <v>748</v>
      </c>
      <c r="B154" s="204" t="s">
        <v>779</v>
      </c>
      <c r="C154" s="204" t="s">
        <v>779</v>
      </c>
      <c r="D154" s="204" t="s">
        <v>422</v>
      </c>
      <c r="E154" s="204" t="s">
        <v>426</v>
      </c>
      <c r="F154" s="204" t="s">
        <v>427</v>
      </c>
      <c r="G154" s="204" t="s">
        <v>780</v>
      </c>
    </row>
    <row r="155" spans="1:7">
      <c r="A155" s="204" t="s">
        <v>748</v>
      </c>
      <c r="B155" s="204" t="s">
        <v>779</v>
      </c>
      <c r="C155" s="204" t="s">
        <v>781</v>
      </c>
      <c r="D155" s="204" t="s">
        <v>422</v>
      </c>
      <c r="E155" s="204" t="s">
        <v>544</v>
      </c>
      <c r="F155" s="204" t="s">
        <v>545</v>
      </c>
      <c r="G155" s="204" t="s">
        <v>782</v>
      </c>
    </row>
    <row r="156" spans="1:7">
      <c r="A156" s="204" t="s">
        <v>748</v>
      </c>
      <c r="B156" s="204" t="s">
        <v>779</v>
      </c>
      <c r="C156" s="204" t="s">
        <v>783</v>
      </c>
      <c r="D156" s="204" t="s">
        <v>784</v>
      </c>
      <c r="E156" s="204" t="s">
        <v>487</v>
      </c>
      <c r="F156" s="204" t="s">
        <v>488</v>
      </c>
      <c r="G156" s="204" t="s">
        <v>785</v>
      </c>
    </row>
    <row r="157" spans="1:7">
      <c r="A157" s="204" t="s">
        <v>748</v>
      </c>
      <c r="B157" s="204" t="s">
        <v>779</v>
      </c>
      <c r="C157" s="204" t="s">
        <v>786</v>
      </c>
      <c r="D157" s="204" t="s">
        <v>787</v>
      </c>
      <c r="E157" s="204" t="s">
        <v>487</v>
      </c>
      <c r="F157" s="204" t="s">
        <v>488</v>
      </c>
      <c r="G157" s="204" t="s">
        <v>788</v>
      </c>
    </row>
    <row r="158" spans="1:7">
      <c r="A158" s="204" t="s">
        <v>748</v>
      </c>
      <c r="B158" s="204" t="s">
        <v>779</v>
      </c>
      <c r="C158" s="204" t="s">
        <v>789</v>
      </c>
      <c r="D158" s="204" t="s">
        <v>790</v>
      </c>
      <c r="E158" s="204" t="s">
        <v>487</v>
      </c>
      <c r="F158" s="204" t="s">
        <v>488</v>
      </c>
      <c r="G158" s="204" t="s">
        <v>791</v>
      </c>
    </row>
    <row r="159" spans="1:7">
      <c r="A159" s="204" t="s">
        <v>748</v>
      </c>
      <c r="B159" s="204" t="s">
        <v>779</v>
      </c>
      <c r="C159" s="204" t="s">
        <v>789</v>
      </c>
      <c r="D159" s="204" t="s">
        <v>790</v>
      </c>
      <c r="E159" s="204" t="s">
        <v>612</v>
      </c>
      <c r="F159" s="204" t="s">
        <v>613</v>
      </c>
      <c r="G159" s="204" t="s">
        <v>791</v>
      </c>
    </row>
    <row r="160" spans="1:7">
      <c r="A160" s="204" t="s">
        <v>748</v>
      </c>
      <c r="B160" s="204" t="s">
        <v>779</v>
      </c>
      <c r="C160" s="204" t="s">
        <v>792</v>
      </c>
      <c r="D160" s="204" t="s">
        <v>793</v>
      </c>
      <c r="E160" s="204" t="s">
        <v>794</v>
      </c>
      <c r="F160" s="204" t="s">
        <v>795</v>
      </c>
      <c r="G160" s="204" t="s">
        <v>796</v>
      </c>
    </row>
    <row r="161" spans="1:7">
      <c r="A161" s="204" t="s">
        <v>748</v>
      </c>
      <c r="B161" s="204" t="s">
        <v>779</v>
      </c>
      <c r="C161" s="204" t="s">
        <v>792</v>
      </c>
      <c r="D161" s="204" t="s">
        <v>793</v>
      </c>
      <c r="E161" s="204" t="s">
        <v>487</v>
      </c>
      <c r="F161" s="204" t="s">
        <v>488</v>
      </c>
      <c r="G161" s="204" t="s">
        <v>796</v>
      </c>
    </row>
    <row r="162" spans="1:7">
      <c r="A162" s="204" t="s">
        <v>748</v>
      </c>
      <c r="B162" s="204" t="s">
        <v>779</v>
      </c>
      <c r="C162" s="204" t="s">
        <v>797</v>
      </c>
      <c r="D162" s="204" t="s">
        <v>787</v>
      </c>
      <c r="E162" s="204" t="s">
        <v>798</v>
      </c>
      <c r="F162" s="204" t="s">
        <v>799</v>
      </c>
      <c r="G162" s="204" t="s">
        <v>800</v>
      </c>
    </row>
    <row r="163" spans="1:7">
      <c r="A163" s="204" t="s">
        <v>748</v>
      </c>
      <c r="B163" s="204" t="s">
        <v>779</v>
      </c>
      <c r="C163" s="204" t="s">
        <v>797</v>
      </c>
      <c r="D163" s="204" t="s">
        <v>787</v>
      </c>
      <c r="E163" s="204" t="s">
        <v>487</v>
      </c>
      <c r="F163" s="204" t="s">
        <v>488</v>
      </c>
      <c r="G163" s="204" t="s">
        <v>800</v>
      </c>
    </row>
    <row r="164" spans="1:7">
      <c r="A164" s="204" t="s">
        <v>748</v>
      </c>
      <c r="B164" s="204" t="s">
        <v>779</v>
      </c>
      <c r="C164" s="204" t="s">
        <v>801</v>
      </c>
      <c r="D164" s="204" t="s">
        <v>787</v>
      </c>
      <c r="E164" s="204" t="s">
        <v>544</v>
      </c>
      <c r="F164" s="204" t="s">
        <v>545</v>
      </c>
      <c r="G164" s="204" t="s">
        <v>802</v>
      </c>
    </row>
    <row r="165" spans="1:7">
      <c r="A165" s="204" t="s">
        <v>748</v>
      </c>
      <c r="B165" s="204" t="s">
        <v>779</v>
      </c>
      <c r="C165" s="204" t="s">
        <v>803</v>
      </c>
      <c r="D165" s="204" t="s">
        <v>784</v>
      </c>
      <c r="E165" s="204" t="s">
        <v>804</v>
      </c>
      <c r="F165" s="204" t="s">
        <v>805</v>
      </c>
      <c r="G165" s="204" t="s">
        <v>806</v>
      </c>
    </row>
    <row r="166" spans="1:7">
      <c r="A166" s="204" t="s">
        <v>748</v>
      </c>
      <c r="B166" s="204" t="s">
        <v>779</v>
      </c>
      <c r="C166" s="204" t="s">
        <v>803</v>
      </c>
      <c r="D166" s="204" t="s">
        <v>784</v>
      </c>
      <c r="E166" s="204" t="s">
        <v>544</v>
      </c>
      <c r="F166" s="204" t="s">
        <v>545</v>
      </c>
      <c r="G166" s="204" t="s">
        <v>806</v>
      </c>
    </row>
    <row r="167" spans="1:7">
      <c r="A167" s="204" t="s">
        <v>748</v>
      </c>
      <c r="B167" s="204" t="s">
        <v>779</v>
      </c>
      <c r="C167" s="204" t="s">
        <v>807</v>
      </c>
      <c r="D167" s="204" t="s">
        <v>787</v>
      </c>
      <c r="E167" s="204" t="s">
        <v>487</v>
      </c>
      <c r="F167" s="204" t="s">
        <v>488</v>
      </c>
      <c r="G167" s="204" t="s">
        <v>808</v>
      </c>
    </row>
    <row r="168" spans="1:7">
      <c r="A168" s="204" t="s">
        <v>748</v>
      </c>
      <c r="B168" s="204" t="s">
        <v>779</v>
      </c>
      <c r="C168" s="204" t="s">
        <v>809</v>
      </c>
      <c r="D168" s="204" t="s">
        <v>810</v>
      </c>
      <c r="E168" s="204" t="s">
        <v>526</v>
      </c>
      <c r="F168" s="204" t="s">
        <v>527</v>
      </c>
      <c r="G168" s="204" t="s">
        <v>811</v>
      </c>
    </row>
    <row r="169" spans="1:7">
      <c r="A169" s="204" t="s">
        <v>748</v>
      </c>
      <c r="B169" s="204" t="s">
        <v>812</v>
      </c>
      <c r="C169" s="204" t="s">
        <v>812</v>
      </c>
      <c r="D169" s="204" t="s">
        <v>813</v>
      </c>
      <c r="E169" s="204" t="s">
        <v>814</v>
      </c>
      <c r="F169" s="204" t="s">
        <v>815</v>
      </c>
      <c r="G169" s="204" t="s">
        <v>816</v>
      </c>
    </row>
    <row r="170" spans="1:7">
      <c r="A170" s="204" t="s">
        <v>748</v>
      </c>
      <c r="B170" s="204" t="s">
        <v>812</v>
      </c>
      <c r="C170" s="204" t="s">
        <v>812</v>
      </c>
      <c r="D170" s="204" t="s">
        <v>813</v>
      </c>
      <c r="E170" s="204" t="s">
        <v>544</v>
      </c>
      <c r="F170" s="204" t="s">
        <v>545</v>
      </c>
      <c r="G170" s="204" t="s">
        <v>816</v>
      </c>
    </row>
    <row r="171" spans="1:7">
      <c r="A171" s="204" t="s">
        <v>748</v>
      </c>
      <c r="B171" s="204" t="s">
        <v>812</v>
      </c>
      <c r="C171" s="204" t="s">
        <v>812</v>
      </c>
      <c r="D171" s="204" t="s">
        <v>813</v>
      </c>
      <c r="E171" s="204" t="s">
        <v>817</v>
      </c>
      <c r="F171" s="204" t="s">
        <v>818</v>
      </c>
      <c r="G171" s="204" t="s">
        <v>816</v>
      </c>
    </row>
    <row r="172" spans="1:7">
      <c r="A172" s="204" t="s">
        <v>748</v>
      </c>
      <c r="B172" s="204" t="s">
        <v>812</v>
      </c>
      <c r="C172" s="204" t="s">
        <v>812</v>
      </c>
      <c r="D172" s="204" t="s">
        <v>813</v>
      </c>
      <c r="E172" s="204" t="s">
        <v>487</v>
      </c>
      <c r="F172" s="204" t="s">
        <v>488</v>
      </c>
      <c r="G172" s="204" t="s">
        <v>816</v>
      </c>
    </row>
    <row r="173" spans="1:7">
      <c r="A173" s="204" t="s">
        <v>748</v>
      </c>
      <c r="B173" s="204" t="s">
        <v>812</v>
      </c>
      <c r="C173" s="204" t="s">
        <v>812</v>
      </c>
      <c r="D173" s="204" t="s">
        <v>813</v>
      </c>
      <c r="E173" s="204" t="s">
        <v>538</v>
      </c>
      <c r="F173" s="204" t="s">
        <v>539</v>
      </c>
      <c r="G173" s="204" t="s">
        <v>816</v>
      </c>
    </row>
    <row r="174" spans="1:7">
      <c r="A174" s="204" t="s">
        <v>748</v>
      </c>
      <c r="B174" s="204" t="s">
        <v>819</v>
      </c>
      <c r="C174" s="204" t="s">
        <v>819</v>
      </c>
      <c r="D174" s="204" t="s">
        <v>820</v>
      </c>
      <c r="E174" s="204" t="s">
        <v>487</v>
      </c>
      <c r="F174" s="204" t="s">
        <v>488</v>
      </c>
      <c r="G174" s="204" t="s">
        <v>821</v>
      </c>
    </row>
    <row r="175" spans="1:7">
      <c r="A175" s="204" t="s">
        <v>748</v>
      </c>
      <c r="B175" s="204" t="s">
        <v>822</v>
      </c>
      <c r="C175" s="204" t="s">
        <v>822</v>
      </c>
      <c r="D175" s="204" t="s">
        <v>823</v>
      </c>
      <c r="E175" s="204" t="s">
        <v>544</v>
      </c>
      <c r="F175" s="204" t="s">
        <v>545</v>
      </c>
      <c r="G175" s="204" t="s">
        <v>824</v>
      </c>
    </row>
    <row r="176" spans="1:7">
      <c r="A176" s="204" t="s">
        <v>748</v>
      </c>
      <c r="B176" s="204" t="s">
        <v>825</v>
      </c>
      <c r="C176" s="204" t="s">
        <v>825</v>
      </c>
      <c r="D176" s="204" t="s">
        <v>826</v>
      </c>
      <c r="E176" s="204" t="s">
        <v>544</v>
      </c>
      <c r="F176" s="204" t="s">
        <v>545</v>
      </c>
      <c r="G176" s="204" t="s">
        <v>827</v>
      </c>
    </row>
    <row r="177" spans="1:7">
      <c r="A177" s="204" t="s">
        <v>748</v>
      </c>
      <c r="B177" s="204" t="s">
        <v>828</v>
      </c>
      <c r="C177" s="204" t="s">
        <v>828</v>
      </c>
      <c r="D177" s="204" t="s">
        <v>829</v>
      </c>
      <c r="E177" s="204" t="s">
        <v>506</v>
      </c>
      <c r="F177" s="204" t="s">
        <v>507</v>
      </c>
      <c r="G177" s="204" t="s">
        <v>830</v>
      </c>
    </row>
    <row r="178" spans="1:7">
      <c r="A178" s="204" t="s">
        <v>748</v>
      </c>
      <c r="B178" s="204" t="s">
        <v>831</v>
      </c>
      <c r="C178" s="204" t="s">
        <v>831</v>
      </c>
      <c r="D178" s="204" t="s">
        <v>832</v>
      </c>
      <c r="E178" s="204" t="s">
        <v>487</v>
      </c>
      <c r="F178" s="204" t="s">
        <v>488</v>
      </c>
      <c r="G178" s="204" t="s">
        <v>833</v>
      </c>
    </row>
    <row r="179" spans="1:7">
      <c r="A179" s="204" t="s">
        <v>748</v>
      </c>
      <c r="B179" s="204" t="s">
        <v>834</v>
      </c>
      <c r="C179" s="204" t="s">
        <v>834</v>
      </c>
      <c r="D179" s="204" t="s">
        <v>835</v>
      </c>
      <c r="E179" s="204" t="s">
        <v>695</v>
      </c>
      <c r="G179" s="204" t="s">
        <v>836</v>
      </c>
    </row>
    <row r="180" spans="1:7">
      <c r="A180" s="204" t="s">
        <v>748</v>
      </c>
      <c r="B180" s="204" t="s">
        <v>837</v>
      </c>
      <c r="C180" s="204" t="s">
        <v>837</v>
      </c>
      <c r="D180" s="204" t="s">
        <v>838</v>
      </c>
      <c r="E180" s="204" t="s">
        <v>695</v>
      </c>
      <c r="G180" s="204" t="s">
        <v>839</v>
      </c>
    </row>
    <row r="181" spans="1:7">
      <c r="A181" s="204" t="s">
        <v>840</v>
      </c>
      <c r="B181" s="204" t="s">
        <v>841</v>
      </c>
      <c r="C181" s="204" t="s">
        <v>841</v>
      </c>
      <c r="D181" s="204" t="s">
        <v>452</v>
      </c>
      <c r="E181" s="204" t="s">
        <v>842</v>
      </c>
      <c r="F181" s="204" t="s">
        <v>843</v>
      </c>
      <c r="G181" s="204" t="s">
        <v>844</v>
      </c>
    </row>
    <row r="182" spans="1:7">
      <c r="A182" s="204" t="s">
        <v>840</v>
      </c>
      <c r="B182" s="204" t="s">
        <v>841</v>
      </c>
      <c r="C182" s="204" t="s">
        <v>841</v>
      </c>
      <c r="D182" s="204" t="s">
        <v>452</v>
      </c>
      <c r="E182" s="204" t="s">
        <v>845</v>
      </c>
      <c r="F182" s="204" t="s">
        <v>846</v>
      </c>
      <c r="G182" s="204" t="s">
        <v>844</v>
      </c>
    </row>
    <row r="183" spans="1:7">
      <c r="A183" s="204" t="s">
        <v>840</v>
      </c>
      <c r="B183" s="204" t="s">
        <v>841</v>
      </c>
      <c r="C183" s="204" t="s">
        <v>841</v>
      </c>
      <c r="D183" s="204" t="s">
        <v>452</v>
      </c>
      <c r="E183" s="204" t="s">
        <v>506</v>
      </c>
      <c r="F183" s="204" t="s">
        <v>507</v>
      </c>
      <c r="G183" s="204" t="s">
        <v>844</v>
      </c>
    </row>
    <row r="184" spans="1:7">
      <c r="A184" s="204" t="s">
        <v>840</v>
      </c>
      <c r="B184" s="204" t="s">
        <v>841</v>
      </c>
      <c r="C184" s="204" t="s">
        <v>841</v>
      </c>
      <c r="D184" s="204" t="s">
        <v>452</v>
      </c>
      <c r="E184" s="204" t="s">
        <v>456</v>
      </c>
      <c r="F184" s="204" t="s">
        <v>457</v>
      </c>
      <c r="G184" s="204" t="s">
        <v>844</v>
      </c>
    </row>
    <row r="185" spans="1:7">
      <c r="A185" s="204" t="s">
        <v>840</v>
      </c>
      <c r="B185" s="204" t="s">
        <v>841</v>
      </c>
      <c r="C185" s="204" t="s">
        <v>841</v>
      </c>
      <c r="D185" s="204" t="s">
        <v>452</v>
      </c>
      <c r="E185" s="204" t="s">
        <v>526</v>
      </c>
      <c r="F185" s="204" t="s">
        <v>527</v>
      </c>
      <c r="G185" s="204" t="s">
        <v>844</v>
      </c>
    </row>
    <row r="186" spans="1:7">
      <c r="A186" s="204" t="s">
        <v>840</v>
      </c>
      <c r="B186" s="204" t="s">
        <v>841</v>
      </c>
      <c r="C186" s="204" t="s">
        <v>841</v>
      </c>
      <c r="D186" s="204" t="s">
        <v>452</v>
      </c>
      <c r="E186" s="204" t="s">
        <v>679</v>
      </c>
      <c r="F186" s="204" t="s">
        <v>680</v>
      </c>
      <c r="G186" s="204" t="s">
        <v>844</v>
      </c>
    </row>
    <row r="187" spans="1:7">
      <c r="A187" s="204" t="s">
        <v>840</v>
      </c>
      <c r="B187" s="204" t="s">
        <v>841</v>
      </c>
      <c r="C187" s="204" t="s">
        <v>841</v>
      </c>
      <c r="D187" s="204" t="s">
        <v>452</v>
      </c>
      <c r="E187" s="204" t="s">
        <v>612</v>
      </c>
      <c r="F187" s="204" t="s">
        <v>613</v>
      </c>
      <c r="G187" s="204" t="s">
        <v>844</v>
      </c>
    </row>
    <row r="188" spans="1:7">
      <c r="A188" s="204" t="s">
        <v>840</v>
      </c>
      <c r="B188" s="204" t="s">
        <v>841</v>
      </c>
      <c r="C188" s="204" t="s">
        <v>841</v>
      </c>
      <c r="D188" s="204" t="s">
        <v>452</v>
      </c>
      <c r="E188" s="204" t="s">
        <v>426</v>
      </c>
      <c r="F188" s="204" t="s">
        <v>427</v>
      </c>
      <c r="G188" s="204" t="s">
        <v>844</v>
      </c>
    </row>
    <row r="189" spans="1:7">
      <c r="A189" s="204" t="s">
        <v>840</v>
      </c>
      <c r="B189" s="204" t="s">
        <v>841</v>
      </c>
      <c r="C189" s="204" t="s">
        <v>847</v>
      </c>
      <c r="D189" s="204" t="s">
        <v>787</v>
      </c>
      <c r="E189" s="204" t="s">
        <v>679</v>
      </c>
      <c r="F189" s="204" t="s">
        <v>680</v>
      </c>
      <c r="G189" s="204" t="s">
        <v>848</v>
      </c>
    </row>
    <row r="190" spans="1:7">
      <c r="A190" s="204" t="s">
        <v>840</v>
      </c>
      <c r="B190" s="204" t="s">
        <v>849</v>
      </c>
      <c r="C190" s="204" t="s">
        <v>849</v>
      </c>
      <c r="D190" s="204" t="s">
        <v>452</v>
      </c>
      <c r="E190" s="204" t="s">
        <v>850</v>
      </c>
      <c r="F190" s="204" t="s">
        <v>851</v>
      </c>
      <c r="G190" s="204" t="s">
        <v>852</v>
      </c>
    </row>
    <row r="191" spans="1:7">
      <c r="A191" s="204" t="s">
        <v>840</v>
      </c>
      <c r="B191" s="204" t="s">
        <v>849</v>
      </c>
      <c r="C191" s="204" t="s">
        <v>849</v>
      </c>
      <c r="D191" s="204" t="s">
        <v>452</v>
      </c>
      <c r="E191" s="204" t="s">
        <v>526</v>
      </c>
      <c r="F191" s="204" t="s">
        <v>527</v>
      </c>
      <c r="G191" s="204" t="s">
        <v>852</v>
      </c>
    </row>
    <row r="192" spans="1:7">
      <c r="A192" s="204" t="s">
        <v>840</v>
      </c>
      <c r="B192" s="204" t="s">
        <v>849</v>
      </c>
      <c r="C192" s="204" t="s">
        <v>849</v>
      </c>
      <c r="D192" s="204" t="s">
        <v>452</v>
      </c>
      <c r="E192" s="204" t="s">
        <v>853</v>
      </c>
      <c r="F192" s="204" t="s">
        <v>854</v>
      </c>
      <c r="G192" s="204" t="s">
        <v>852</v>
      </c>
    </row>
    <row r="193" spans="1:7">
      <c r="A193" s="204" t="s">
        <v>840</v>
      </c>
      <c r="B193" s="204" t="s">
        <v>849</v>
      </c>
      <c r="C193" s="204" t="s">
        <v>849</v>
      </c>
      <c r="D193" s="204" t="s">
        <v>452</v>
      </c>
      <c r="E193" s="204" t="s">
        <v>544</v>
      </c>
      <c r="F193" s="204" t="s">
        <v>545</v>
      </c>
      <c r="G193" s="204" t="s">
        <v>852</v>
      </c>
    </row>
    <row r="194" spans="1:7">
      <c r="A194" s="204" t="s">
        <v>840</v>
      </c>
      <c r="B194" s="204" t="s">
        <v>849</v>
      </c>
      <c r="C194" s="204" t="s">
        <v>855</v>
      </c>
      <c r="D194" s="204" t="s">
        <v>856</v>
      </c>
      <c r="E194" s="204" t="s">
        <v>713</v>
      </c>
      <c r="F194" s="204" t="s">
        <v>714</v>
      </c>
      <c r="G194" s="204" t="s">
        <v>857</v>
      </c>
    </row>
    <row r="195" spans="1:7">
      <c r="A195" s="204" t="s">
        <v>840</v>
      </c>
      <c r="B195" s="204" t="s">
        <v>849</v>
      </c>
      <c r="C195" s="204" t="s">
        <v>858</v>
      </c>
      <c r="D195" s="204" t="s">
        <v>452</v>
      </c>
      <c r="E195" s="204" t="s">
        <v>713</v>
      </c>
      <c r="F195" s="204" t="s">
        <v>714</v>
      </c>
      <c r="G195" s="204" t="s">
        <v>859</v>
      </c>
    </row>
    <row r="196" spans="1:7">
      <c r="A196" s="204" t="s">
        <v>840</v>
      </c>
      <c r="B196" s="204" t="s">
        <v>849</v>
      </c>
      <c r="C196" s="204" t="s">
        <v>860</v>
      </c>
      <c r="D196" s="204" t="s">
        <v>856</v>
      </c>
      <c r="E196" s="204" t="s">
        <v>713</v>
      </c>
      <c r="F196" s="204" t="s">
        <v>714</v>
      </c>
      <c r="G196" s="204" t="s">
        <v>861</v>
      </c>
    </row>
    <row r="197" spans="1:7">
      <c r="A197" s="204" t="s">
        <v>840</v>
      </c>
      <c r="B197" s="204" t="s">
        <v>849</v>
      </c>
      <c r="C197" s="204" t="s">
        <v>862</v>
      </c>
      <c r="D197" s="204" t="s">
        <v>452</v>
      </c>
      <c r="E197" s="204" t="s">
        <v>863</v>
      </c>
      <c r="F197" s="204" t="s">
        <v>864</v>
      </c>
      <c r="G197" s="204" t="s">
        <v>865</v>
      </c>
    </row>
    <row r="198" spans="1:7">
      <c r="A198" s="204" t="s">
        <v>840</v>
      </c>
      <c r="B198" s="204" t="s">
        <v>849</v>
      </c>
      <c r="C198" s="204" t="s">
        <v>862</v>
      </c>
      <c r="D198" s="204" t="s">
        <v>452</v>
      </c>
      <c r="E198" s="204" t="s">
        <v>713</v>
      </c>
      <c r="F198" s="204" t="s">
        <v>714</v>
      </c>
      <c r="G198" s="204" t="s">
        <v>865</v>
      </c>
    </row>
    <row r="199" spans="1:7">
      <c r="A199" s="204" t="s">
        <v>840</v>
      </c>
      <c r="B199" s="204" t="s">
        <v>866</v>
      </c>
      <c r="C199" s="204" t="s">
        <v>866</v>
      </c>
      <c r="D199" s="204" t="s">
        <v>867</v>
      </c>
      <c r="E199" s="204" t="s">
        <v>868</v>
      </c>
      <c r="F199" s="204" t="s">
        <v>869</v>
      </c>
      <c r="G199" s="204" t="s">
        <v>870</v>
      </c>
    </row>
    <row r="200" spans="1:7">
      <c r="A200" s="204" t="s">
        <v>840</v>
      </c>
      <c r="B200" s="204" t="s">
        <v>866</v>
      </c>
      <c r="C200" s="204" t="s">
        <v>866</v>
      </c>
      <c r="D200" s="204" t="s">
        <v>867</v>
      </c>
      <c r="E200" s="204" t="s">
        <v>508</v>
      </c>
      <c r="F200" s="204" t="s">
        <v>509</v>
      </c>
      <c r="G200" s="204" t="s">
        <v>870</v>
      </c>
    </row>
    <row r="201" spans="1:7">
      <c r="A201" s="204" t="s">
        <v>840</v>
      </c>
      <c r="B201" s="204" t="s">
        <v>866</v>
      </c>
      <c r="C201" s="204" t="s">
        <v>871</v>
      </c>
      <c r="D201" s="204" t="s">
        <v>872</v>
      </c>
      <c r="E201" s="204" t="s">
        <v>508</v>
      </c>
      <c r="F201" s="204" t="s">
        <v>509</v>
      </c>
      <c r="G201" s="204" t="s">
        <v>873</v>
      </c>
    </row>
    <row r="202" spans="1:7">
      <c r="A202" s="204" t="s">
        <v>840</v>
      </c>
      <c r="B202" s="204" t="s">
        <v>866</v>
      </c>
      <c r="C202" s="204" t="s">
        <v>874</v>
      </c>
      <c r="D202" s="204" t="s">
        <v>875</v>
      </c>
      <c r="E202" s="204" t="s">
        <v>506</v>
      </c>
      <c r="F202" s="204" t="s">
        <v>507</v>
      </c>
      <c r="G202" s="204" t="s">
        <v>876</v>
      </c>
    </row>
    <row r="203" spans="1:7">
      <c r="A203" s="204" t="s">
        <v>840</v>
      </c>
      <c r="B203" s="204" t="s">
        <v>877</v>
      </c>
      <c r="C203" s="204" t="s">
        <v>877</v>
      </c>
      <c r="D203" s="204" t="s">
        <v>878</v>
      </c>
      <c r="E203" s="204" t="s">
        <v>506</v>
      </c>
      <c r="F203" s="204" t="s">
        <v>507</v>
      </c>
      <c r="G203" s="204" t="s">
        <v>879</v>
      </c>
    </row>
    <row r="204" spans="1:7">
      <c r="A204" s="204" t="s">
        <v>840</v>
      </c>
      <c r="B204" s="204" t="s">
        <v>877</v>
      </c>
      <c r="C204" s="204" t="s">
        <v>877</v>
      </c>
      <c r="D204" s="204" t="s">
        <v>878</v>
      </c>
      <c r="E204" s="204" t="s">
        <v>456</v>
      </c>
      <c r="F204" s="204" t="s">
        <v>457</v>
      </c>
      <c r="G204" s="204" t="s">
        <v>879</v>
      </c>
    </row>
    <row r="205" spans="1:7">
      <c r="A205" s="204" t="s">
        <v>840</v>
      </c>
      <c r="B205" s="204" t="s">
        <v>877</v>
      </c>
      <c r="C205" s="204" t="s">
        <v>877</v>
      </c>
      <c r="D205" s="204" t="s">
        <v>878</v>
      </c>
      <c r="E205" s="204" t="s">
        <v>526</v>
      </c>
      <c r="F205" s="204" t="s">
        <v>527</v>
      </c>
      <c r="G205" s="204" t="s">
        <v>879</v>
      </c>
    </row>
    <row r="206" spans="1:7">
      <c r="A206" s="204" t="s">
        <v>840</v>
      </c>
      <c r="B206" s="204" t="s">
        <v>877</v>
      </c>
      <c r="C206" s="204" t="s">
        <v>877</v>
      </c>
      <c r="D206" s="204" t="s">
        <v>878</v>
      </c>
      <c r="E206" s="204" t="s">
        <v>880</v>
      </c>
      <c r="F206" s="204" t="s">
        <v>881</v>
      </c>
      <c r="G206" s="204" t="s">
        <v>879</v>
      </c>
    </row>
    <row r="207" spans="1:7">
      <c r="A207" s="204" t="s">
        <v>840</v>
      </c>
      <c r="B207" s="204" t="s">
        <v>877</v>
      </c>
      <c r="C207" s="204" t="s">
        <v>877</v>
      </c>
      <c r="D207" s="204" t="s">
        <v>878</v>
      </c>
      <c r="E207" s="204" t="s">
        <v>612</v>
      </c>
      <c r="F207" s="204" t="s">
        <v>613</v>
      </c>
      <c r="G207" s="204" t="s">
        <v>879</v>
      </c>
    </row>
    <row r="208" spans="1:7">
      <c r="A208" s="204" t="s">
        <v>840</v>
      </c>
      <c r="B208" s="204" t="s">
        <v>877</v>
      </c>
      <c r="C208" s="204" t="s">
        <v>877</v>
      </c>
      <c r="D208" s="204" t="s">
        <v>878</v>
      </c>
      <c r="E208" s="204" t="s">
        <v>882</v>
      </c>
      <c r="F208" s="204" t="s">
        <v>883</v>
      </c>
      <c r="G208" s="204" t="s">
        <v>879</v>
      </c>
    </row>
    <row r="209" spans="1:7">
      <c r="A209" s="204" t="s">
        <v>840</v>
      </c>
      <c r="B209" s="204" t="s">
        <v>877</v>
      </c>
      <c r="C209" s="204" t="s">
        <v>884</v>
      </c>
      <c r="D209" s="204" t="s">
        <v>885</v>
      </c>
      <c r="E209" s="204" t="s">
        <v>679</v>
      </c>
      <c r="F209" s="204" t="s">
        <v>680</v>
      </c>
      <c r="G209" s="204" t="s">
        <v>886</v>
      </c>
    </row>
    <row r="210" spans="1:7">
      <c r="A210" s="204" t="s">
        <v>840</v>
      </c>
      <c r="B210" s="204" t="s">
        <v>877</v>
      </c>
      <c r="C210" s="204" t="s">
        <v>884</v>
      </c>
      <c r="D210" s="204" t="s">
        <v>885</v>
      </c>
      <c r="E210" s="204" t="s">
        <v>887</v>
      </c>
      <c r="F210" s="204" t="s">
        <v>888</v>
      </c>
      <c r="G210" s="204" t="s">
        <v>886</v>
      </c>
    </row>
    <row r="211" spans="1:7">
      <c r="A211" s="204" t="s">
        <v>840</v>
      </c>
      <c r="B211" s="204" t="s">
        <v>877</v>
      </c>
      <c r="C211" s="204" t="s">
        <v>889</v>
      </c>
      <c r="D211" s="204" t="s">
        <v>878</v>
      </c>
      <c r="E211" s="204" t="s">
        <v>487</v>
      </c>
      <c r="F211" s="204" t="s">
        <v>488</v>
      </c>
      <c r="G211" s="204" t="s">
        <v>890</v>
      </c>
    </row>
    <row r="212" spans="1:7">
      <c r="A212" s="204" t="s">
        <v>840</v>
      </c>
      <c r="B212" s="204" t="s">
        <v>877</v>
      </c>
      <c r="C212" s="204" t="s">
        <v>889</v>
      </c>
      <c r="D212" s="204" t="s">
        <v>878</v>
      </c>
      <c r="E212" s="204" t="s">
        <v>612</v>
      </c>
      <c r="F212" s="204" t="s">
        <v>613</v>
      </c>
      <c r="G212" s="204" t="s">
        <v>890</v>
      </c>
    </row>
    <row r="213" spans="1:7">
      <c r="A213" s="204" t="s">
        <v>840</v>
      </c>
      <c r="B213" s="204" t="s">
        <v>891</v>
      </c>
      <c r="C213" s="204" t="s">
        <v>891</v>
      </c>
      <c r="D213" s="204" t="s">
        <v>892</v>
      </c>
      <c r="E213" s="204" t="s">
        <v>893</v>
      </c>
      <c r="F213" s="204" t="s">
        <v>894</v>
      </c>
      <c r="G213" s="204" t="s">
        <v>895</v>
      </c>
    </row>
    <row r="214" spans="1:7">
      <c r="A214" s="204" t="s">
        <v>840</v>
      </c>
      <c r="B214" s="204" t="s">
        <v>891</v>
      </c>
      <c r="C214" s="204" t="s">
        <v>891</v>
      </c>
      <c r="D214" s="204" t="s">
        <v>892</v>
      </c>
      <c r="E214" s="204" t="s">
        <v>503</v>
      </c>
      <c r="F214" s="204" t="s">
        <v>504</v>
      </c>
      <c r="G214" s="204" t="s">
        <v>895</v>
      </c>
    </row>
    <row r="215" spans="1:7">
      <c r="A215" s="204" t="s">
        <v>840</v>
      </c>
      <c r="B215" s="204" t="s">
        <v>891</v>
      </c>
      <c r="C215" s="204" t="s">
        <v>891</v>
      </c>
      <c r="D215" s="204" t="s">
        <v>892</v>
      </c>
      <c r="E215" s="204" t="s">
        <v>526</v>
      </c>
      <c r="F215" s="204" t="s">
        <v>527</v>
      </c>
      <c r="G215" s="204" t="s">
        <v>895</v>
      </c>
    </row>
    <row r="216" spans="1:7">
      <c r="A216" s="204" t="s">
        <v>840</v>
      </c>
      <c r="B216" s="204" t="s">
        <v>891</v>
      </c>
      <c r="C216" s="204" t="s">
        <v>891</v>
      </c>
      <c r="D216" s="204" t="s">
        <v>892</v>
      </c>
      <c r="E216" s="204" t="s">
        <v>544</v>
      </c>
      <c r="F216" s="204" t="s">
        <v>545</v>
      </c>
      <c r="G216" s="204" t="s">
        <v>895</v>
      </c>
    </row>
    <row r="217" spans="1:7">
      <c r="A217" s="204" t="s">
        <v>840</v>
      </c>
      <c r="B217" s="204" t="s">
        <v>891</v>
      </c>
      <c r="C217" s="204" t="s">
        <v>891</v>
      </c>
      <c r="D217" s="204" t="s">
        <v>892</v>
      </c>
      <c r="E217" s="204" t="s">
        <v>713</v>
      </c>
      <c r="F217" s="204" t="s">
        <v>714</v>
      </c>
      <c r="G217" s="204" t="s">
        <v>895</v>
      </c>
    </row>
    <row r="218" spans="1:7">
      <c r="A218" s="204" t="s">
        <v>840</v>
      </c>
      <c r="B218" s="204" t="s">
        <v>891</v>
      </c>
      <c r="C218" s="204" t="s">
        <v>896</v>
      </c>
      <c r="D218" s="204" t="s">
        <v>897</v>
      </c>
      <c r="E218" s="204" t="s">
        <v>503</v>
      </c>
      <c r="F218" s="204" t="s">
        <v>504</v>
      </c>
      <c r="G218" s="204" t="s">
        <v>898</v>
      </c>
    </row>
    <row r="219" spans="1:7">
      <c r="A219" s="204" t="s">
        <v>840</v>
      </c>
      <c r="B219" s="204" t="s">
        <v>261</v>
      </c>
      <c r="C219" s="204" t="s">
        <v>261</v>
      </c>
      <c r="D219" s="204" t="s">
        <v>899</v>
      </c>
      <c r="E219" s="204" t="s">
        <v>679</v>
      </c>
      <c r="F219" s="204" t="s">
        <v>680</v>
      </c>
      <c r="G219" s="204" t="s">
        <v>900</v>
      </c>
    </row>
    <row r="220" spans="1:7">
      <c r="A220" s="204" t="s">
        <v>840</v>
      </c>
      <c r="B220" s="204" t="s">
        <v>901</v>
      </c>
      <c r="C220" s="204" t="s">
        <v>901</v>
      </c>
      <c r="D220" s="204" t="s">
        <v>902</v>
      </c>
      <c r="E220" s="204" t="s">
        <v>506</v>
      </c>
      <c r="F220" s="204" t="s">
        <v>507</v>
      </c>
      <c r="G220" s="204" t="s">
        <v>903</v>
      </c>
    </row>
    <row r="221" spans="1:7">
      <c r="A221" s="204" t="s">
        <v>904</v>
      </c>
      <c r="B221" s="204" t="s">
        <v>905</v>
      </c>
      <c r="C221" s="204" t="s">
        <v>905</v>
      </c>
      <c r="D221" s="204" t="s">
        <v>906</v>
      </c>
      <c r="E221" s="204" t="s">
        <v>907</v>
      </c>
      <c r="F221" s="204" t="s">
        <v>908</v>
      </c>
      <c r="G221" s="204" t="s">
        <v>909</v>
      </c>
    </row>
    <row r="222" spans="1:7">
      <c r="A222" s="204" t="s">
        <v>904</v>
      </c>
      <c r="B222" s="204" t="s">
        <v>905</v>
      </c>
      <c r="C222" s="204" t="s">
        <v>905</v>
      </c>
      <c r="D222" s="204" t="s">
        <v>906</v>
      </c>
      <c r="E222" s="204" t="s">
        <v>526</v>
      </c>
      <c r="F222" s="204" t="s">
        <v>527</v>
      </c>
      <c r="G222" s="204" t="s">
        <v>909</v>
      </c>
    </row>
    <row r="223" spans="1:7">
      <c r="A223" s="204" t="s">
        <v>904</v>
      </c>
      <c r="B223" s="204" t="s">
        <v>905</v>
      </c>
      <c r="C223" s="204" t="s">
        <v>905</v>
      </c>
      <c r="D223" s="204" t="s">
        <v>906</v>
      </c>
      <c r="E223" s="204" t="s">
        <v>910</v>
      </c>
      <c r="F223" s="204" t="s">
        <v>911</v>
      </c>
      <c r="G223" s="204" t="s">
        <v>909</v>
      </c>
    </row>
    <row r="224" spans="1:7">
      <c r="A224" s="204" t="s">
        <v>904</v>
      </c>
      <c r="B224" s="204" t="s">
        <v>905</v>
      </c>
      <c r="C224" s="204" t="s">
        <v>905</v>
      </c>
      <c r="D224" s="204" t="s">
        <v>906</v>
      </c>
      <c r="E224" s="204" t="s">
        <v>544</v>
      </c>
      <c r="F224" s="204" t="s">
        <v>545</v>
      </c>
      <c r="G224" s="204" t="s">
        <v>909</v>
      </c>
    </row>
    <row r="225" spans="1:7">
      <c r="A225" s="204" t="s">
        <v>904</v>
      </c>
      <c r="B225" s="204" t="s">
        <v>905</v>
      </c>
      <c r="C225" s="204" t="s">
        <v>905</v>
      </c>
      <c r="D225" s="204" t="s">
        <v>906</v>
      </c>
      <c r="E225" s="204" t="s">
        <v>487</v>
      </c>
      <c r="F225" s="204" t="s">
        <v>488</v>
      </c>
      <c r="G225" s="204" t="s">
        <v>909</v>
      </c>
    </row>
    <row r="226" spans="1:7">
      <c r="A226" s="204" t="s">
        <v>904</v>
      </c>
      <c r="B226" s="204" t="s">
        <v>905</v>
      </c>
      <c r="C226" s="204" t="s">
        <v>912</v>
      </c>
      <c r="D226" s="204" t="s">
        <v>625</v>
      </c>
      <c r="E226" s="204" t="s">
        <v>544</v>
      </c>
      <c r="F226" s="204" t="s">
        <v>545</v>
      </c>
      <c r="G226" s="204" t="s">
        <v>913</v>
      </c>
    </row>
    <row r="227" spans="1:7">
      <c r="A227" s="204" t="s">
        <v>904</v>
      </c>
      <c r="B227" s="204" t="s">
        <v>905</v>
      </c>
      <c r="C227" s="204" t="s">
        <v>914</v>
      </c>
      <c r="D227" s="204" t="s">
        <v>915</v>
      </c>
      <c r="E227" s="204" t="s">
        <v>487</v>
      </c>
      <c r="F227" s="204" t="s">
        <v>488</v>
      </c>
      <c r="G227" s="204" t="s">
        <v>916</v>
      </c>
    </row>
    <row r="228" spans="1:7">
      <c r="A228" s="204" t="s">
        <v>904</v>
      </c>
      <c r="B228" s="204" t="s">
        <v>905</v>
      </c>
      <c r="C228" s="204" t="s">
        <v>917</v>
      </c>
      <c r="D228" s="204" t="s">
        <v>918</v>
      </c>
      <c r="E228" s="204" t="s">
        <v>919</v>
      </c>
      <c r="F228" s="204" t="s">
        <v>920</v>
      </c>
      <c r="G228" s="204" t="s">
        <v>921</v>
      </c>
    </row>
    <row r="229" spans="1:7">
      <c r="A229" s="204" t="s">
        <v>904</v>
      </c>
      <c r="B229" s="204" t="s">
        <v>905</v>
      </c>
      <c r="C229" s="204" t="s">
        <v>917</v>
      </c>
      <c r="D229" s="204" t="s">
        <v>918</v>
      </c>
      <c r="E229" s="204" t="s">
        <v>487</v>
      </c>
      <c r="F229" s="204" t="s">
        <v>488</v>
      </c>
      <c r="G229" s="204" t="s">
        <v>921</v>
      </c>
    </row>
    <row r="230" spans="1:7">
      <c r="A230" s="204" t="s">
        <v>904</v>
      </c>
      <c r="B230" s="204" t="s">
        <v>922</v>
      </c>
      <c r="C230" s="204" t="s">
        <v>922</v>
      </c>
      <c r="D230" s="204" t="s">
        <v>449</v>
      </c>
      <c r="E230" s="204" t="s">
        <v>923</v>
      </c>
      <c r="F230" s="204" t="s">
        <v>924</v>
      </c>
      <c r="G230" s="204" t="s">
        <v>925</v>
      </c>
    </row>
    <row r="231" spans="1:7">
      <c r="A231" s="204" t="s">
        <v>904</v>
      </c>
      <c r="B231" s="204" t="s">
        <v>922</v>
      </c>
      <c r="C231" s="204" t="s">
        <v>922</v>
      </c>
      <c r="D231" s="204" t="s">
        <v>449</v>
      </c>
      <c r="E231" s="204" t="s">
        <v>544</v>
      </c>
      <c r="F231" s="204" t="s">
        <v>545</v>
      </c>
      <c r="G231" s="204" t="s">
        <v>925</v>
      </c>
    </row>
    <row r="232" spans="1:7">
      <c r="A232" s="204" t="s">
        <v>904</v>
      </c>
      <c r="B232" s="204" t="s">
        <v>922</v>
      </c>
      <c r="C232" s="204" t="s">
        <v>922</v>
      </c>
      <c r="D232" s="204" t="s">
        <v>449</v>
      </c>
      <c r="E232" s="204" t="s">
        <v>538</v>
      </c>
      <c r="F232" s="204" t="s">
        <v>539</v>
      </c>
      <c r="G232" s="204" t="s">
        <v>925</v>
      </c>
    </row>
    <row r="233" spans="1:7">
      <c r="A233" s="204" t="s">
        <v>904</v>
      </c>
      <c r="B233" s="204" t="s">
        <v>922</v>
      </c>
      <c r="C233" s="204" t="s">
        <v>922</v>
      </c>
      <c r="D233" s="204" t="s">
        <v>449</v>
      </c>
      <c r="E233" s="204" t="s">
        <v>494</v>
      </c>
      <c r="F233" s="204" t="s">
        <v>495</v>
      </c>
      <c r="G233" s="204" t="s">
        <v>925</v>
      </c>
    </row>
    <row r="234" spans="1:7">
      <c r="A234" s="204" t="s">
        <v>904</v>
      </c>
      <c r="B234" s="204" t="s">
        <v>922</v>
      </c>
      <c r="C234" s="204" t="s">
        <v>926</v>
      </c>
      <c r="D234" s="204" t="s">
        <v>542</v>
      </c>
      <c r="E234" s="204" t="s">
        <v>544</v>
      </c>
      <c r="F234" s="204" t="s">
        <v>545</v>
      </c>
      <c r="G234" s="204" t="s">
        <v>927</v>
      </c>
    </row>
    <row r="235" spans="1:7">
      <c r="A235" s="204" t="s">
        <v>904</v>
      </c>
      <c r="B235" s="204" t="s">
        <v>922</v>
      </c>
      <c r="C235" s="204" t="s">
        <v>926</v>
      </c>
      <c r="D235" s="204" t="s">
        <v>542</v>
      </c>
      <c r="E235" s="204" t="s">
        <v>928</v>
      </c>
      <c r="F235" s="204" t="s">
        <v>929</v>
      </c>
      <c r="G235" s="204" t="s">
        <v>927</v>
      </c>
    </row>
    <row r="236" spans="1:7">
      <c r="A236" s="204" t="s">
        <v>904</v>
      </c>
      <c r="B236" s="204" t="s">
        <v>922</v>
      </c>
      <c r="C236" s="204" t="s">
        <v>930</v>
      </c>
      <c r="D236" s="204" t="s">
        <v>931</v>
      </c>
      <c r="E236" s="204" t="s">
        <v>544</v>
      </c>
      <c r="F236" s="204" t="s">
        <v>545</v>
      </c>
      <c r="G236" s="204" t="s">
        <v>932</v>
      </c>
    </row>
    <row r="237" spans="1:7">
      <c r="A237" s="204" t="s">
        <v>904</v>
      </c>
      <c r="B237" s="204" t="s">
        <v>922</v>
      </c>
      <c r="C237" s="204" t="s">
        <v>933</v>
      </c>
      <c r="D237" s="204" t="s">
        <v>542</v>
      </c>
      <c r="E237" s="204" t="s">
        <v>544</v>
      </c>
      <c r="F237" s="204" t="s">
        <v>545</v>
      </c>
      <c r="G237" s="204" t="s">
        <v>934</v>
      </c>
    </row>
    <row r="238" spans="1:7">
      <c r="A238" s="204" t="s">
        <v>904</v>
      </c>
      <c r="B238" s="204" t="s">
        <v>922</v>
      </c>
      <c r="C238" s="204" t="s">
        <v>935</v>
      </c>
      <c r="D238" s="204" t="s">
        <v>936</v>
      </c>
      <c r="E238" s="204" t="s">
        <v>487</v>
      </c>
      <c r="F238" s="204" t="s">
        <v>488</v>
      </c>
      <c r="G238" s="204" t="s">
        <v>937</v>
      </c>
    </row>
    <row r="239" spans="1:7">
      <c r="A239" s="204" t="s">
        <v>904</v>
      </c>
      <c r="B239" s="204" t="s">
        <v>922</v>
      </c>
      <c r="C239" s="204" t="s">
        <v>938</v>
      </c>
      <c r="D239" s="204" t="s">
        <v>906</v>
      </c>
      <c r="E239" s="204" t="s">
        <v>506</v>
      </c>
      <c r="F239" s="204" t="s">
        <v>507</v>
      </c>
      <c r="G239" s="204" t="s">
        <v>939</v>
      </c>
    </row>
    <row r="240" spans="1:7">
      <c r="A240" s="204" t="s">
        <v>904</v>
      </c>
      <c r="B240" s="204" t="s">
        <v>940</v>
      </c>
      <c r="C240" s="204" t="s">
        <v>940</v>
      </c>
      <c r="D240" s="204" t="s">
        <v>941</v>
      </c>
      <c r="E240" s="204" t="s">
        <v>526</v>
      </c>
      <c r="F240" s="204" t="s">
        <v>527</v>
      </c>
      <c r="G240" s="204" t="s">
        <v>942</v>
      </c>
    </row>
    <row r="241" spans="1:7">
      <c r="A241" s="204" t="s">
        <v>904</v>
      </c>
      <c r="B241" s="204" t="s">
        <v>940</v>
      </c>
      <c r="C241" s="204" t="s">
        <v>940</v>
      </c>
      <c r="D241" s="204" t="s">
        <v>941</v>
      </c>
      <c r="E241" s="204" t="s">
        <v>508</v>
      </c>
      <c r="F241" s="204" t="s">
        <v>509</v>
      </c>
      <c r="G241" s="204" t="s">
        <v>942</v>
      </c>
    </row>
    <row r="242" spans="1:7">
      <c r="A242" s="204" t="s">
        <v>904</v>
      </c>
      <c r="B242" s="204" t="s">
        <v>943</v>
      </c>
      <c r="C242" s="204" t="s">
        <v>943</v>
      </c>
      <c r="D242" s="204" t="s">
        <v>944</v>
      </c>
      <c r="E242" s="204" t="s">
        <v>538</v>
      </c>
      <c r="F242" s="204" t="s">
        <v>539</v>
      </c>
      <c r="G242" s="204" t="s">
        <v>945</v>
      </c>
    </row>
    <row r="243" spans="1:7">
      <c r="A243" s="204" t="s">
        <v>904</v>
      </c>
      <c r="B243" s="204" t="s">
        <v>946</v>
      </c>
      <c r="C243" s="204" t="s">
        <v>946</v>
      </c>
      <c r="D243" s="204" t="s">
        <v>947</v>
      </c>
      <c r="E243" s="204" t="s">
        <v>538</v>
      </c>
      <c r="F243" s="204" t="s">
        <v>539</v>
      </c>
      <c r="G243" s="204" t="s">
        <v>948</v>
      </c>
    </row>
    <row r="244" spans="1:7">
      <c r="A244" s="204" t="s">
        <v>904</v>
      </c>
      <c r="B244" s="204" t="s">
        <v>949</v>
      </c>
      <c r="C244" s="204" t="s">
        <v>949</v>
      </c>
      <c r="D244" s="204" t="s">
        <v>950</v>
      </c>
      <c r="E244" s="204" t="s">
        <v>487</v>
      </c>
      <c r="F244" s="204" t="s">
        <v>488</v>
      </c>
      <c r="G244" s="204" t="s">
        <v>951</v>
      </c>
    </row>
    <row r="245" spans="1:7">
      <c r="A245" s="204" t="s">
        <v>904</v>
      </c>
      <c r="B245" s="204" t="s">
        <v>952</v>
      </c>
      <c r="C245" s="204" t="s">
        <v>952</v>
      </c>
      <c r="D245" s="204" t="s">
        <v>953</v>
      </c>
      <c r="E245" s="204" t="s">
        <v>544</v>
      </c>
      <c r="F245" s="204" t="s">
        <v>545</v>
      </c>
      <c r="G245" s="204" t="s">
        <v>954</v>
      </c>
    </row>
    <row r="246" spans="1:7">
      <c r="A246" s="204" t="s">
        <v>904</v>
      </c>
      <c r="B246" s="204" t="s">
        <v>276</v>
      </c>
      <c r="C246" s="204" t="s">
        <v>276</v>
      </c>
      <c r="D246" s="204" t="s">
        <v>955</v>
      </c>
      <c r="E246" s="204" t="s">
        <v>487</v>
      </c>
      <c r="F246" s="204" t="s">
        <v>488</v>
      </c>
      <c r="G246" s="204" t="s">
        <v>956</v>
      </c>
    </row>
    <row r="247" spans="1:7">
      <c r="A247" s="204" t="s">
        <v>904</v>
      </c>
      <c r="B247" s="204" t="s">
        <v>190</v>
      </c>
      <c r="C247" s="204" t="s">
        <v>190</v>
      </c>
      <c r="D247" s="204" t="s">
        <v>957</v>
      </c>
      <c r="E247" s="204" t="s">
        <v>506</v>
      </c>
      <c r="F247" s="204" t="s">
        <v>507</v>
      </c>
      <c r="G247" s="204" t="s">
        <v>958</v>
      </c>
    </row>
    <row r="248" spans="1:7">
      <c r="A248" s="204" t="s">
        <v>904</v>
      </c>
      <c r="B248" s="204" t="s">
        <v>959</v>
      </c>
      <c r="C248" s="204" t="s">
        <v>959</v>
      </c>
      <c r="D248" s="204" t="s">
        <v>960</v>
      </c>
      <c r="E248" s="204" t="s">
        <v>713</v>
      </c>
      <c r="F248" s="204" t="s">
        <v>714</v>
      </c>
      <c r="G248" s="204" t="s">
        <v>961</v>
      </c>
    </row>
    <row r="249" spans="1:7">
      <c r="A249" s="204" t="s">
        <v>904</v>
      </c>
      <c r="B249" s="204" t="s">
        <v>962</v>
      </c>
      <c r="C249" s="204" t="s">
        <v>962</v>
      </c>
      <c r="D249" s="204" t="s">
        <v>957</v>
      </c>
      <c r="E249" s="204" t="s">
        <v>544</v>
      </c>
      <c r="F249" s="204" t="s">
        <v>545</v>
      </c>
      <c r="G249" s="204" t="s">
        <v>963</v>
      </c>
    </row>
    <row r="250" spans="1:7">
      <c r="A250" s="204" t="s">
        <v>904</v>
      </c>
      <c r="B250" s="204" t="s">
        <v>964</v>
      </c>
      <c r="C250" s="204" t="s">
        <v>964</v>
      </c>
      <c r="D250" s="204" t="s">
        <v>955</v>
      </c>
      <c r="E250" s="204" t="s">
        <v>487</v>
      </c>
      <c r="F250" s="204" t="s">
        <v>488</v>
      </c>
      <c r="G250" s="204" t="s">
        <v>965</v>
      </c>
    </row>
    <row r="251" spans="1:7">
      <c r="A251" s="204" t="s">
        <v>904</v>
      </c>
      <c r="B251" s="204" t="s">
        <v>966</v>
      </c>
      <c r="C251" s="204" t="s">
        <v>966</v>
      </c>
      <c r="D251" s="204" t="s">
        <v>967</v>
      </c>
      <c r="E251" s="204" t="s">
        <v>713</v>
      </c>
      <c r="F251" s="204" t="s">
        <v>714</v>
      </c>
      <c r="G251" s="204" t="s">
        <v>968</v>
      </c>
    </row>
    <row r="252" spans="1:7">
      <c r="A252" s="204" t="s">
        <v>969</v>
      </c>
      <c r="B252" s="204" t="s">
        <v>970</v>
      </c>
      <c r="C252" s="204" t="s">
        <v>970</v>
      </c>
      <c r="D252" s="204" t="s">
        <v>625</v>
      </c>
      <c r="E252" s="204" t="s">
        <v>971</v>
      </c>
      <c r="F252" s="204" t="s">
        <v>972</v>
      </c>
      <c r="G252" s="204" t="s">
        <v>973</v>
      </c>
    </row>
    <row r="253" spans="1:7">
      <c r="A253" s="204" t="s">
        <v>969</v>
      </c>
      <c r="B253" s="204" t="s">
        <v>970</v>
      </c>
      <c r="C253" s="204" t="s">
        <v>970</v>
      </c>
      <c r="D253" s="204" t="s">
        <v>625</v>
      </c>
      <c r="E253" s="204" t="s">
        <v>440</v>
      </c>
      <c r="F253" s="204" t="s">
        <v>441</v>
      </c>
      <c r="G253" s="204" t="s">
        <v>973</v>
      </c>
    </row>
    <row r="254" spans="1:7">
      <c r="A254" s="204" t="s">
        <v>969</v>
      </c>
      <c r="B254" s="204" t="s">
        <v>970</v>
      </c>
      <c r="C254" s="204" t="s">
        <v>970</v>
      </c>
      <c r="D254" s="204" t="s">
        <v>625</v>
      </c>
      <c r="E254" s="204" t="s">
        <v>508</v>
      </c>
      <c r="F254" s="204" t="s">
        <v>509</v>
      </c>
      <c r="G254" s="204" t="s">
        <v>973</v>
      </c>
    </row>
    <row r="255" spans="1:7">
      <c r="A255" s="204" t="s">
        <v>969</v>
      </c>
      <c r="B255" s="204" t="s">
        <v>970</v>
      </c>
      <c r="C255" s="204" t="s">
        <v>970</v>
      </c>
      <c r="D255" s="204" t="s">
        <v>625</v>
      </c>
      <c r="E255" s="204" t="s">
        <v>713</v>
      </c>
      <c r="F255" s="204" t="s">
        <v>714</v>
      </c>
      <c r="G255" s="204" t="s">
        <v>973</v>
      </c>
    </row>
    <row r="256" spans="1:7">
      <c r="A256" s="204" t="s">
        <v>969</v>
      </c>
      <c r="B256" s="204" t="s">
        <v>974</v>
      </c>
      <c r="C256" s="204" t="s">
        <v>974</v>
      </c>
      <c r="D256" s="204" t="s">
        <v>975</v>
      </c>
      <c r="E256" s="204" t="s">
        <v>406</v>
      </c>
      <c r="F256" s="204" t="s">
        <v>407</v>
      </c>
      <c r="G256" s="204" t="s">
        <v>976</v>
      </c>
    </row>
    <row r="257" spans="1:7">
      <c r="A257" s="204" t="s">
        <v>969</v>
      </c>
      <c r="B257" s="204" t="s">
        <v>974</v>
      </c>
      <c r="C257" s="204" t="s">
        <v>974</v>
      </c>
      <c r="D257" s="204" t="s">
        <v>975</v>
      </c>
      <c r="E257" s="204" t="s">
        <v>440</v>
      </c>
      <c r="F257" s="204" t="s">
        <v>441</v>
      </c>
      <c r="G257" s="204" t="s">
        <v>976</v>
      </c>
    </row>
    <row r="258" spans="1:7">
      <c r="A258" s="204" t="s">
        <v>969</v>
      </c>
      <c r="B258" s="204" t="s">
        <v>974</v>
      </c>
      <c r="C258" s="204" t="s">
        <v>974</v>
      </c>
      <c r="D258" s="204" t="s">
        <v>975</v>
      </c>
      <c r="E258" s="204" t="s">
        <v>977</v>
      </c>
      <c r="F258" s="204" t="s">
        <v>978</v>
      </c>
      <c r="G258" s="204" t="s">
        <v>976</v>
      </c>
    </row>
    <row r="259" spans="1:7">
      <c r="A259" s="204" t="s">
        <v>969</v>
      </c>
      <c r="B259" s="204" t="s">
        <v>974</v>
      </c>
      <c r="C259" s="204" t="s">
        <v>974</v>
      </c>
      <c r="D259" s="204" t="s">
        <v>975</v>
      </c>
      <c r="E259" s="204" t="s">
        <v>508</v>
      </c>
      <c r="F259" s="204" t="s">
        <v>509</v>
      </c>
      <c r="G259" s="204" t="s">
        <v>976</v>
      </c>
    </row>
    <row r="260" spans="1:7">
      <c r="A260" s="204" t="s">
        <v>969</v>
      </c>
      <c r="B260" s="204" t="s">
        <v>974</v>
      </c>
      <c r="C260" s="204" t="s">
        <v>979</v>
      </c>
      <c r="D260" s="204" t="s">
        <v>980</v>
      </c>
      <c r="E260" s="204" t="s">
        <v>981</v>
      </c>
      <c r="F260" s="204" t="s">
        <v>982</v>
      </c>
      <c r="G260" s="204" t="s">
        <v>983</v>
      </c>
    </row>
    <row r="261" spans="1:7">
      <c r="A261" s="204" t="s">
        <v>969</v>
      </c>
      <c r="B261" s="204" t="s">
        <v>974</v>
      </c>
      <c r="C261" s="204" t="s">
        <v>979</v>
      </c>
      <c r="D261" s="204" t="s">
        <v>980</v>
      </c>
      <c r="E261" s="204" t="s">
        <v>506</v>
      </c>
      <c r="F261" s="204" t="s">
        <v>507</v>
      </c>
      <c r="G261" s="204" t="s">
        <v>983</v>
      </c>
    </row>
    <row r="262" spans="1:7">
      <c r="A262" s="204" t="s">
        <v>969</v>
      </c>
      <c r="B262" s="204" t="s">
        <v>974</v>
      </c>
      <c r="C262" s="204" t="s">
        <v>984</v>
      </c>
      <c r="D262" s="204" t="s">
        <v>985</v>
      </c>
      <c r="E262" s="204" t="s">
        <v>508</v>
      </c>
      <c r="F262" s="204" t="s">
        <v>509</v>
      </c>
      <c r="G262" s="204" t="s">
        <v>986</v>
      </c>
    </row>
    <row r="263" spans="1:7">
      <c r="A263" s="204" t="s">
        <v>969</v>
      </c>
      <c r="B263" s="204" t="s">
        <v>974</v>
      </c>
      <c r="C263" s="204" t="s">
        <v>987</v>
      </c>
      <c r="D263" s="204" t="s">
        <v>988</v>
      </c>
      <c r="E263" s="204" t="s">
        <v>508</v>
      </c>
      <c r="F263" s="204" t="s">
        <v>509</v>
      </c>
      <c r="G263" s="204" t="s">
        <v>989</v>
      </c>
    </row>
    <row r="264" spans="1:7">
      <c r="A264" s="204" t="s">
        <v>969</v>
      </c>
      <c r="B264" s="204" t="s">
        <v>974</v>
      </c>
      <c r="C264" s="204" t="s">
        <v>990</v>
      </c>
      <c r="D264" s="204" t="s">
        <v>991</v>
      </c>
      <c r="E264" s="204" t="s">
        <v>506</v>
      </c>
      <c r="F264" s="204" t="s">
        <v>507</v>
      </c>
      <c r="G264" s="204" t="s">
        <v>992</v>
      </c>
    </row>
    <row r="265" spans="1:7">
      <c r="A265" s="204" t="s">
        <v>969</v>
      </c>
      <c r="B265" s="204" t="s">
        <v>974</v>
      </c>
      <c r="C265" s="204" t="s">
        <v>993</v>
      </c>
      <c r="D265" s="204" t="s">
        <v>980</v>
      </c>
      <c r="E265" s="204" t="s">
        <v>544</v>
      </c>
      <c r="F265" s="204" t="s">
        <v>545</v>
      </c>
      <c r="G265" s="204" t="s">
        <v>994</v>
      </c>
    </row>
    <row r="266" spans="1:7">
      <c r="A266" s="204" t="s">
        <v>969</v>
      </c>
      <c r="B266" s="204" t="s">
        <v>995</v>
      </c>
      <c r="C266" s="204" t="s">
        <v>995</v>
      </c>
      <c r="D266" s="204" t="s">
        <v>996</v>
      </c>
      <c r="E266" s="204" t="s">
        <v>544</v>
      </c>
      <c r="F266" s="204" t="s">
        <v>545</v>
      </c>
      <c r="G266" s="204" t="s">
        <v>997</v>
      </c>
    </row>
    <row r="267" spans="1:7">
      <c r="A267" s="204" t="s">
        <v>969</v>
      </c>
      <c r="B267" s="204" t="s">
        <v>995</v>
      </c>
      <c r="C267" s="204" t="s">
        <v>995</v>
      </c>
      <c r="D267" s="204" t="s">
        <v>996</v>
      </c>
      <c r="E267" s="204" t="s">
        <v>998</v>
      </c>
      <c r="F267" s="204" t="s">
        <v>999</v>
      </c>
      <c r="G267" s="204" t="s">
        <v>997</v>
      </c>
    </row>
    <row r="268" spans="1:7">
      <c r="A268" s="204" t="s">
        <v>969</v>
      </c>
      <c r="B268" s="204" t="s">
        <v>1000</v>
      </c>
      <c r="C268" s="204" t="s">
        <v>1000</v>
      </c>
      <c r="D268" s="204" t="s">
        <v>1001</v>
      </c>
      <c r="E268" s="204" t="s">
        <v>440</v>
      </c>
      <c r="F268" s="204" t="s">
        <v>441</v>
      </c>
      <c r="G268" s="204" t="s">
        <v>1002</v>
      </c>
    </row>
    <row r="269" spans="1:7">
      <c r="A269" s="204" t="s">
        <v>969</v>
      </c>
      <c r="B269" s="204" t="s">
        <v>1000</v>
      </c>
      <c r="C269" s="204" t="s">
        <v>1000</v>
      </c>
      <c r="D269" s="204" t="s">
        <v>1001</v>
      </c>
      <c r="E269" s="204" t="s">
        <v>1003</v>
      </c>
      <c r="F269" s="204" t="s">
        <v>1004</v>
      </c>
      <c r="G269" s="204" t="s">
        <v>1002</v>
      </c>
    </row>
    <row r="270" spans="1:7">
      <c r="A270" s="204" t="s">
        <v>969</v>
      </c>
      <c r="B270" s="204" t="s">
        <v>1000</v>
      </c>
      <c r="C270" s="204" t="s">
        <v>1000</v>
      </c>
      <c r="D270" s="204" t="s">
        <v>1001</v>
      </c>
      <c r="E270" s="204" t="s">
        <v>713</v>
      </c>
      <c r="F270" s="204" t="s">
        <v>714</v>
      </c>
      <c r="G270" s="204" t="s">
        <v>1002</v>
      </c>
    </row>
    <row r="271" spans="1:7">
      <c r="A271" s="204" t="s">
        <v>969</v>
      </c>
      <c r="B271" s="204" t="s">
        <v>1000</v>
      </c>
      <c r="C271" s="204" t="s">
        <v>1005</v>
      </c>
      <c r="D271" s="204" t="s">
        <v>1006</v>
      </c>
      <c r="E271" s="204" t="s">
        <v>713</v>
      </c>
      <c r="F271" s="204" t="s">
        <v>714</v>
      </c>
      <c r="G271" s="204" t="s">
        <v>1007</v>
      </c>
    </row>
    <row r="272" spans="1:7">
      <c r="A272" s="204" t="s">
        <v>969</v>
      </c>
      <c r="B272" s="204" t="s">
        <v>1000</v>
      </c>
      <c r="C272" s="204" t="s">
        <v>1008</v>
      </c>
      <c r="D272" s="204" t="s">
        <v>1009</v>
      </c>
      <c r="E272" s="204" t="s">
        <v>440</v>
      </c>
      <c r="F272" s="204" t="s">
        <v>441</v>
      </c>
      <c r="G272" s="204" t="s">
        <v>1010</v>
      </c>
    </row>
    <row r="273" spans="1:7">
      <c r="A273" s="204" t="s">
        <v>969</v>
      </c>
      <c r="B273" s="204" t="s">
        <v>1000</v>
      </c>
      <c r="C273" s="204" t="s">
        <v>1008</v>
      </c>
      <c r="D273" s="204" t="s">
        <v>1009</v>
      </c>
      <c r="E273" s="204" t="s">
        <v>506</v>
      </c>
      <c r="F273" s="204" t="s">
        <v>507</v>
      </c>
      <c r="G273" s="204" t="s">
        <v>1010</v>
      </c>
    </row>
    <row r="274" spans="1:7">
      <c r="A274" s="204" t="s">
        <v>969</v>
      </c>
      <c r="B274" s="204" t="s">
        <v>1011</v>
      </c>
      <c r="C274" s="204" t="s">
        <v>1011</v>
      </c>
      <c r="D274" s="204" t="s">
        <v>1012</v>
      </c>
      <c r="E274" s="204" t="s">
        <v>526</v>
      </c>
      <c r="F274" s="204" t="s">
        <v>527</v>
      </c>
      <c r="G274" s="204" t="s">
        <v>1013</v>
      </c>
    </row>
    <row r="275" spans="1:7">
      <c r="A275" s="204" t="s">
        <v>969</v>
      </c>
      <c r="B275" s="204" t="s">
        <v>1011</v>
      </c>
      <c r="C275" s="204" t="s">
        <v>1011</v>
      </c>
      <c r="D275" s="204" t="s">
        <v>1012</v>
      </c>
      <c r="E275" s="204" t="s">
        <v>487</v>
      </c>
      <c r="F275" s="204" t="s">
        <v>488</v>
      </c>
      <c r="G275" s="204" t="s">
        <v>1013</v>
      </c>
    </row>
    <row r="276" spans="1:7">
      <c r="A276" s="204" t="s">
        <v>969</v>
      </c>
      <c r="B276" s="204" t="s">
        <v>1011</v>
      </c>
      <c r="C276" s="204" t="s">
        <v>1011</v>
      </c>
      <c r="D276" s="204" t="s">
        <v>1012</v>
      </c>
      <c r="E276" s="204" t="s">
        <v>1014</v>
      </c>
      <c r="F276" s="204" t="s">
        <v>1015</v>
      </c>
      <c r="G276" s="204" t="s">
        <v>1013</v>
      </c>
    </row>
    <row r="277" spans="1:7">
      <c r="A277" s="204" t="s">
        <v>969</v>
      </c>
      <c r="B277" s="204" t="s">
        <v>1011</v>
      </c>
      <c r="C277" s="204" t="s">
        <v>1016</v>
      </c>
      <c r="D277" s="204" t="s">
        <v>1017</v>
      </c>
      <c r="E277" s="204" t="s">
        <v>487</v>
      </c>
      <c r="F277" s="204" t="s">
        <v>488</v>
      </c>
      <c r="G277" s="204" t="s">
        <v>1018</v>
      </c>
    </row>
    <row r="278" spans="1:7">
      <c r="A278" s="204" t="s">
        <v>969</v>
      </c>
      <c r="B278" s="204" t="s">
        <v>1011</v>
      </c>
      <c r="C278" s="204" t="s">
        <v>1019</v>
      </c>
      <c r="D278" s="204" t="s">
        <v>1020</v>
      </c>
      <c r="E278" s="204" t="s">
        <v>487</v>
      </c>
      <c r="F278" s="204" t="s">
        <v>488</v>
      </c>
      <c r="G278" s="204" t="s">
        <v>1021</v>
      </c>
    </row>
    <row r="279" spans="1:7">
      <c r="A279" s="204" t="s">
        <v>969</v>
      </c>
      <c r="B279" s="204" t="s">
        <v>1011</v>
      </c>
      <c r="C279" s="204" t="s">
        <v>1022</v>
      </c>
      <c r="D279" s="204" t="s">
        <v>1023</v>
      </c>
      <c r="E279" s="204" t="s">
        <v>487</v>
      </c>
      <c r="F279" s="204" t="s">
        <v>488</v>
      </c>
      <c r="G279" s="204" t="s">
        <v>1024</v>
      </c>
    </row>
    <row r="280" spans="1:7">
      <c r="A280" s="204" t="s">
        <v>969</v>
      </c>
      <c r="B280" s="204" t="s">
        <v>1011</v>
      </c>
      <c r="C280" s="204" t="s">
        <v>1025</v>
      </c>
      <c r="D280" s="204" t="s">
        <v>1026</v>
      </c>
      <c r="E280" s="204" t="s">
        <v>506</v>
      </c>
      <c r="F280" s="204" t="s">
        <v>507</v>
      </c>
      <c r="G280" s="204" t="s">
        <v>1027</v>
      </c>
    </row>
    <row r="281" spans="1:7">
      <c r="A281" s="204" t="s">
        <v>969</v>
      </c>
      <c r="B281" s="204" t="s">
        <v>1028</v>
      </c>
      <c r="C281" s="204" t="s">
        <v>1028</v>
      </c>
      <c r="D281" s="204" t="s">
        <v>1029</v>
      </c>
      <c r="E281" s="204" t="s">
        <v>544</v>
      </c>
      <c r="F281" s="204" t="s">
        <v>545</v>
      </c>
      <c r="G281" s="204" t="s">
        <v>1030</v>
      </c>
    </row>
    <row r="282" spans="1:7">
      <c r="A282" s="204" t="s">
        <v>969</v>
      </c>
      <c r="B282" s="204" t="s">
        <v>1031</v>
      </c>
      <c r="C282" s="204" t="s">
        <v>1031</v>
      </c>
      <c r="D282" s="204" t="s">
        <v>1032</v>
      </c>
      <c r="E282" s="204" t="s">
        <v>506</v>
      </c>
      <c r="F282" s="204" t="s">
        <v>507</v>
      </c>
      <c r="G282" s="204" t="s">
        <v>1033</v>
      </c>
    </row>
    <row r="283" spans="1:7">
      <c r="A283" s="204" t="s">
        <v>969</v>
      </c>
      <c r="B283" s="204" t="s">
        <v>1034</v>
      </c>
      <c r="C283" s="204" t="s">
        <v>1034</v>
      </c>
      <c r="D283" s="204" t="s">
        <v>1035</v>
      </c>
      <c r="E283" s="204" t="s">
        <v>506</v>
      </c>
      <c r="F283" s="204" t="s">
        <v>507</v>
      </c>
      <c r="G283" s="204" t="s">
        <v>1036</v>
      </c>
    </row>
    <row r="284" spans="1:7">
      <c r="A284" s="204" t="s">
        <v>969</v>
      </c>
      <c r="B284" s="204" t="s">
        <v>1037</v>
      </c>
      <c r="C284" s="204" t="s">
        <v>1037</v>
      </c>
      <c r="D284" s="204" t="s">
        <v>1038</v>
      </c>
      <c r="E284" s="204" t="s">
        <v>544</v>
      </c>
      <c r="F284" s="204" t="s">
        <v>545</v>
      </c>
      <c r="G284" s="204" t="s">
        <v>1039</v>
      </c>
    </row>
    <row r="285" spans="1:7">
      <c r="A285" s="204" t="s">
        <v>969</v>
      </c>
      <c r="B285" s="204" t="s">
        <v>1040</v>
      </c>
      <c r="C285" s="204" t="s">
        <v>1040</v>
      </c>
      <c r="D285" s="204" t="s">
        <v>1041</v>
      </c>
      <c r="E285" s="204" t="s">
        <v>506</v>
      </c>
      <c r="F285" s="204" t="s">
        <v>507</v>
      </c>
      <c r="G285" s="204" t="s">
        <v>1042</v>
      </c>
    </row>
    <row r="286" spans="1:7">
      <c r="A286" s="204" t="s">
        <v>969</v>
      </c>
      <c r="B286" s="204" t="s">
        <v>1043</v>
      </c>
      <c r="C286" s="204" t="s">
        <v>1043</v>
      </c>
      <c r="D286" s="204" t="s">
        <v>1044</v>
      </c>
      <c r="E286" s="204" t="s">
        <v>506</v>
      </c>
      <c r="F286" s="204" t="s">
        <v>507</v>
      </c>
      <c r="G286" s="204" t="s">
        <v>1045</v>
      </c>
    </row>
    <row r="287" spans="1:7">
      <c r="A287" s="204" t="s">
        <v>969</v>
      </c>
      <c r="B287" s="204" t="s">
        <v>1046</v>
      </c>
      <c r="C287" s="204" t="s">
        <v>1046</v>
      </c>
      <c r="D287" s="204" t="s">
        <v>1047</v>
      </c>
      <c r="E287" s="204" t="s">
        <v>506</v>
      </c>
      <c r="F287" s="204" t="s">
        <v>507</v>
      </c>
      <c r="G287" s="204" t="s">
        <v>1048</v>
      </c>
    </row>
    <row r="288" spans="1:7">
      <c r="A288" s="204" t="s">
        <v>969</v>
      </c>
      <c r="B288" s="204" t="s">
        <v>1049</v>
      </c>
      <c r="C288" s="204" t="s">
        <v>1049</v>
      </c>
      <c r="D288" s="204" t="s">
        <v>1050</v>
      </c>
      <c r="E288" s="204" t="s">
        <v>544</v>
      </c>
      <c r="F288" s="204" t="s">
        <v>545</v>
      </c>
      <c r="G288" s="204" t="s">
        <v>1051</v>
      </c>
    </row>
    <row r="289" spans="1:7">
      <c r="A289" s="204" t="s">
        <v>969</v>
      </c>
      <c r="B289" s="204" t="s">
        <v>1052</v>
      </c>
      <c r="C289" s="204" t="s">
        <v>1052</v>
      </c>
      <c r="D289" s="204" t="s">
        <v>1053</v>
      </c>
      <c r="E289" s="204" t="s">
        <v>506</v>
      </c>
      <c r="F289" s="204" t="s">
        <v>507</v>
      </c>
      <c r="G289" s="204" t="s">
        <v>1054</v>
      </c>
    </row>
    <row r="290" spans="1:7">
      <c r="A290" s="204" t="s">
        <v>969</v>
      </c>
      <c r="B290" s="204" t="s">
        <v>1055</v>
      </c>
      <c r="C290" s="204" t="s">
        <v>1055</v>
      </c>
      <c r="D290" s="204" t="s">
        <v>1056</v>
      </c>
      <c r="E290" s="204" t="s">
        <v>506</v>
      </c>
      <c r="F290" s="204" t="s">
        <v>507</v>
      </c>
      <c r="G290" s="204" t="s">
        <v>1057</v>
      </c>
    </row>
    <row r="291" spans="1:7">
      <c r="A291" s="204" t="s">
        <v>969</v>
      </c>
      <c r="B291" s="204" t="s">
        <v>1058</v>
      </c>
      <c r="C291" s="204" t="s">
        <v>1058</v>
      </c>
      <c r="D291" s="204" t="s">
        <v>915</v>
      </c>
      <c r="E291" s="204" t="s">
        <v>506</v>
      </c>
      <c r="F291" s="204" t="s">
        <v>507</v>
      </c>
      <c r="G291" s="204" t="s">
        <v>1059</v>
      </c>
    </row>
    <row r="292" spans="1:7">
      <c r="A292" s="204" t="s">
        <v>969</v>
      </c>
      <c r="B292" s="204" t="s">
        <v>1060</v>
      </c>
      <c r="C292" s="204" t="s">
        <v>1060</v>
      </c>
      <c r="D292" s="204" t="s">
        <v>1061</v>
      </c>
      <c r="E292" s="204" t="s">
        <v>506</v>
      </c>
      <c r="F292" s="204" t="s">
        <v>507</v>
      </c>
      <c r="G292" s="204" t="s">
        <v>1062</v>
      </c>
    </row>
    <row r="293" spans="1:7">
      <c r="A293" s="204" t="s">
        <v>969</v>
      </c>
      <c r="B293" s="204" t="s">
        <v>1063</v>
      </c>
      <c r="C293" s="204" t="s">
        <v>1063</v>
      </c>
      <c r="D293" s="204" t="s">
        <v>1029</v>
      </c>
      <c r="E293" s="204" t="s">
        <v>506</v>
      </c>
      <c r="F293" s="204" t="s">
        <v>507</v>
      </c>
      <c r="G293" s="204" t="s">
        <v>1064</v>
      </c>
    </row>
    <row r="294" spans="1:7">
      <c r="A294" s="204" t="s">
        <v>969</v>
      </c>
      <c r="B294" s="204" t="s">
        <v>1065</v>
      </c>
      <c r="C294" s="204" t="s">
        <v>1065</v>
      </c>
      <c r="D294" s="204" t="s">
        <v>1029</v>
      </c>
      <c r="E294" s="204" t="s">
        <v>544</v>
      </c>
      <c r="F294" s="204" t="s">
        <v>545</v>
      </c>
      <c r="G294" s="204" t="s">
        <v>1066</v>
      </c>
    </row>
    <row r="295" spans="1:7">
      <c r="A295" s="204" t="s">
        <v>969</v>
      </c>
      <c r="B295" s="204" t="s">
        <v>1067</v>
      </c>
      <c r="C295" s="204" t="s">
        <v>1067</v>
      </c>
      <c r="D295" s="204" t="s">
        <v>1068</v>
      </c>
      <c r="E295" s="204" t="s">
        <v>487</v>
      </c>
      <c r="F295" s="204" t="s">
        <v>488</v>
      </c>
      <c r="G295" s="204" t="s">
        <v>1069</v>
      </c>
    </row>
    <row r="296" spans="1:7">
      <c r="A296" s="204" t="s">
        <v>969</v>
      </c>
      <c r="B296" s="204" t="s">
        <v>1067</v>
      </c>
      <c r="C296" s="204" t="s">
        <v>1067</v>
      </c>
      <c r="D296" s="204" t="s">
        <v>1068</v>
      </c>
      <c r="E296" s="204" t="s">
        <v>1070</v>
      </c>
      <c r="F296" s="204" t="s">
        <v>1071</v>
      </c>
      <c r="G296" s="204" t="s">
        <v>1069</v>
      </c>
    </row>
    <row r="297" spans="1:7">
      <c r="A297" s="204" t="s">
        <v>969</v>
      </c>
      <c r="B297" s="204" t="s">
        <v>1072</v>
      </c>
      <c r="C297" s="204" t="s">
        <v>1072</v>
      </c>
      <c r="D297" s="204" t="s">
        <v>1073</v>
      </c>
      <c r="E297" s="204" t="s">
        <v>713</v>
      </c>
      <c r="F297" s="204" t="s">
        <v>714</v>
      </c>
      <c r="G297" s="204" t="s">
        <v>1074</v>
      </c>
    </row>
    <row r="298" spans="1:7">
      <c r="A298" s="204" t="s">
        <v>969</v>
      </c>
      <c r="B298" s="204" t="s">
        <v>1075</v>
      </c>
      <c r="C298" s="204" t="s">
        <v>1075</v>
      </c>
      <c r="D298" s="204" t="s">
        <v>1032</v>
      </c>
      <c r="E298" s="204" t="s">
        <v>506</v>
      </c>
      <c r="F298" s="204" t="s">
        <v>507</v>
      </c>
      <c r="G298" s="204" t="s">
        <v>1076</v>
      </c>
    </row>
    <row r="299" spans="1:7">
      <c r="A299" s="204" t="s">
        <v>969</v>
      </c>
      <c r="B299" s="204" t="s">
        <v>1075</v>
      </c>
      <c r="C299" s="204" t="s">
        <v>1075</v>
      </c>
      <c r="D299" s="204" t="s">
        <v>1032</v>
      </c>
      <c r="E299" s="204" t="s">
        <v>1077</v>
      </c>
      <c r="F299" s="204" t="s">
        <v>1078</v>
      </c>
      <c r="G299" s="204" t="s">
        <v>1076</v>
      </c>
    </row>
    <row r="300" spans="1:7">
      <c r="A300" s="204" t="s">
        <v>1079</v>
      </c>
      <c r="B300" s="204" t="s">
        <v>1080</v>
      </c>
      <c r="C300" s="204" t="s">
        <v>1080</v>
      </c>
      <c r="D300" s="204" t="s">
        <v>417</v>
      </c>
      <c r="E300" s="204" t="s">
        <v>1081</v>
      </c>
      <c r="F300" s="204" t="s">
        <v>1082</v>
      </c>
      <c r="G300" s="204" t="s">
        <v>1083</v>
      </c>
    </row>
    <row r="301" spans="1:7">
      <c r="A301" s="204" t="s">
        <v>1079</v>
      </c>
      <c r="B301" s="204" t="s">
        <v>1080</v>
      </c>
      <c r="C301" s="204" t="s">
        <v>1080</v>
      </c>
      <c r="D301" s="204" t="s">
        <v>417</v>
      </c>
      <c r="E301" s="204" t="s">
        <v>406</v>
      </c>
      <c r="F301" s="204" t="s">
        <v>407</v>
      </c>
      <c r="G301" s="204" t="s">
        <v>1083</v>
      </c>
    </row>
    <row r="302" spans="1:7">
      <c r="A302" s="204" t="s">
        <v>1079</v>
      </c>
      <c r="B302" s="204" t="s">
        <v>1080</v>
      </c>
      <c r="C302" s="204" t="s">
        <v>1080</v>
      </c>
      <c r="D302" s="204" t="s">
        <v>417</v>
      </c>
      <c r="E302" s="204" t="s">
        <v>506</v>
      </c>
      <c r="F302" s="204" t="s">
        <v>507</v>
      </c>
      <c r="G302" s="204" t="s">
        <v>1083</v>
      </c>
    </row>
    <row r="303" spans="1:7">
      <c r="A303" s="204" t="s">
        <v>1079</v>
      </c>
      <c r="B303" s="204" t="s">
        <v>1080</v>
      </c>
      <c r="C303" s="204" t="s">
        <v>1080</v>
      </c>
      <c r="D303" s="204" t="s">
        <v>417</v>
      </c>
      <c r="E303" s="204" t="s">
        <v>1084</v>
      </c>
      <c r="F303" s="204" t="s">
        <v>1085</v>
      </c>
      <c r="G303" s="204" t="s">
        <v>1083</v>
      </c>
    </row>
    <row r="304" spans="1:7">
      <c r="A304" s="204" t="s">
        <v>1079</v>
      </c>
      <c r="B304" s="204" t="s">
        <v>1080</v>
      </c>
      <c r="C304" s="204" t="s">
        <v>1080</v>
      </c>
      <c r="D304" s="204" t="s">
        <v>417</v>
      </c>
      <c r="E304" s="204" t="s">
        <v>487</v>
      </c>
      <c r="F304" s="204" t="s">
        <v>488</v>
      </c>
      <c r="G304" s="204" t="s">
        <v>1083</v>
      </c>
    </row>
    <row r="305" spans="1:7">
      <c r="A305" s="204" t="s">
        <v>1079</v>
      </c>
      <c r="B305" s="204" t="s">
        <v>1080</v>
      </c>
      <c r="C305" s="204" t="s">
        <v>1080</v>
      </c>
      <c r="D305" s="204" t="s">
        <v>417</v>
      </c>
      <c r="E305" s="204" t="s">
        <v>1086</v>
      </c>
      <c r="F305" s="204" t="s">
        <v>1087</v>
      </c>
      <c r="G305" s="204" t="s">
        <v>1083</v>
      </c>
    </row>
    <row r="306" spans="1:7">
      <c r="A306" s="204" t="s">
        <v>1079</v>
      </c>
      <c r="B306" s="204" t="s">
        <v>1080</v>
      </c>
      <c r="C306" s="204" t="s">
        <v>1080</v>
      </c>
      <c r="D306" s="204" t="s">
        <v>417</v>
      </c>
      <c r="E306" s="204" t="s">
        <v>713</v>
      </c>
      <c r="F306" s="204" t="s">
        <v>714</v>
      </c>
      <c r="G306" s="204" t="s">
        <v>1083</v>
      </c>
    </row>
    <row r="307" spans="1:7">
      <c r="A307" s="204" t="s">
        <v>1079</v>
      </c>
      <c r="B307" s="204" t="s">
        <v>1080</v>
      </c>
      <c r="C307" s="204" t="s">
        <v>1088</v>
      </c>
      <c r="D307" s="204" t="s">
        <v>417</v>
      </c>
      <c r="E307" s="204" t="s">
        <v>487</v>
      </c>
      <c r="F307" s="204" t="s">
        <v>488</v>
      </c>
      <c r="G307" s="204" t="s">
        <v>1089</v>
      </c>
    </row>
    <row r="308" spans="1:7">
      <c r="A308" s="204" t="s">
        <v>1079</v>
      </c>
      <c r="B308" s="204" t="s">
        <v>1080</v>
      </c>
      <c r="C308" s="204" t="s">
        <v>1090</v>
      </c>
      <c r="D308" s="204" t="s">
        <v>417</v>
      </c>
      <c r="E308" s="204" t="s">
        <v>487</v>
      </c>
      <c r="F308" s="204" t="s">
        <v>488</v>
      </c>
      <c r="G308" s="204" t="s">
        <v>1091</v>
      </c>
    </row>
    <row r="309" spans="1:7">
      <c r="A309" s="204" t="s">
        <v>1079</v>
      </c>
      <c r="B309" s="204" t="s">
        <v>1080</v>
      </c>
      <c r="C309" s="204" t="s">
        <v>1090</v>
      </c>
      <c r="D309" s="204" t="s">
        <v>417</v>
      </c>
      <c r="E309" s="204" t="s">
        <v>713</v>
      </c>
      <c r="F309" s="204" t="s">
        <v>714</v>
      </c>
      <c r="G309" s="204" t="s">
        <v>1091</v>
      </c>
    </row>
    <row r="310" spans="1:7">
      <c r="A310" s="204" t="s">
        <v>1079</v>
      </c>
      <c r="B310" s="204" t="s">
        <v>1080</v>
      </c>
      <c r="C310" s="204" t="s">
        <v>1092</v>
      </c>
      <c r="D310" s="204" t="s">
        <v>1093</v>
      </c>
      <c r="E310" s="204" t="s">
        <v>487</v>
      </c>
      <c r="F310" s="204" t="s">
        <v>488</v>
      </c>
      <c r="G310" s="204" t="s">
        <v>1094</v>
      </c>
    </row>
    <row r="311" spans="1:7">
      <c r="A311" s="204" t="s">
        <v>1079</v>
      </c>
      <c r="B311" s="204" t="s">
        <v>1095</v>
      </c>
      <c r="C311" s="204" t="s">
        <v>1095</v>
      </c>
      <c r="D311" s="204" t="s">
        <v>444</v>
      </c>
      <c r="E311" s="204" t="s">
        <v>1096</v>
      </c>
      <c r="F311" s="204" t="s">
        <v>1097</v>
      </c>
      <c r="G311" s="204" t="s">
        <v>1098</v>
      </c>
    </row>
    <row r="312" spans="1:7">
      <c r="A312" s="204" t="s">
        <v>1079</v>
      </c>
      <c r="B312" s="204" t="s">
        <v>1095</v>
      </c>
      <c r="C312" s="204" t="s">
        <v>1095</v>
      </c>
      <c r="D312" s="204" t="s">
        <v>444</v>
      </c>
      <c r="E312" s="204" t="s">
        <v>679</v>
      </c>
      <c r="F312" s="204" t="s">
        <v>680</v>
      </c>
      <c r="G312" s="204" t="s">
        <v>1098</v>
      </c>
    </row>
    <row r="313" spans="1:7">
      <c r="A313" s="204" t="s">
        <v>1079</v>
      </c>
      <c r="B313" s="204" t="s">
        <v>1095</v>
      </c>
      <c r="C313" s="204" t="s">
        <v>1099</v>
      </c>
      <c r="D313" s="204" t="s">
        <v>1100</v>
      </c>
      <c r="E313" s="204" t="s">
        <v>713</v>
      </c>
      <c r="F313" s="204" t="s">
        <v>714</v>
      </c>
      <c r="G313" s="204" t="s">
        <v>1101</v>
      </c>
    </row>
    <row r="314" spans="1:7">
      <c r="A314" s="204" t="s">
        <v>1079</v>
      </c>
      <c r="B314" s="204" t="s">
        <v>1095</v>
      </c>
      <c r="C314" s="204" t="s">
        <v>1102</v>
      </c>
      <c r="D314" s="204" t="s">
        <v>1103</v>
      </c>
      <c r="E314" s="204" t="s">
        <v>679</v>
      </c>
      <c r="F314" s="204" t="s">
        <v>680</v>
      </c>
      <c r="G314" s="204" t="s">
        <v>1104</v>
      </c>
    </row>
    <row r="315" spans="1:7">
      <c r="A315" s="204" t="s">
        <v>1079</v>
      </c>
      <c r="B315" s="204" t="s">
        <v>1105</v>
      </c>
      <c r="C315" s="204" t="s">
        <v>1105</v>
      </c>
      <c r="D315" s="204" t="s">
        <v>1106</v>
      </c>
      <c r="E315" s="204" t="s">
        <v>1107</v>
      </c>
      <c r="F315" s="204" t="s">
        <v>1108</v>
      </c>
      <c r="G315" s="204" t="s">
        <v>1109</v>
      </c>
    </row>
    <row r="316" spans="1:7">
      <c r="A316" s="204" t="s">
        <v>1079</v>
      </c>
      <c r="B316" s="204" t="s">
        <v>1105</v>
      </c>
      <c r="C316" s="204" t="s">
        <v>1105</v>
      </c>
      <c r="D316" s="204" t="s">
        <v>1106</v>
      </c>
      <c r="E316" s="204" t="s">
        <v>544</v>
      </c>
      <c r="F316" s="204" t="s">
        <v>545</v>
      </c>
      <c r="G316" s="204" t="s">
        <v>1109</v>
      </c>
    </row>
    <row r="317" spans="1:7">
      <c r="A317" s="204" t="s">
        <v>1079</v>
      </c>
      <c r="B317" s="204" t="s">
        <v>1105</v>
      </c>
      <c r="C317" s="204" t="s">
        <v>1110</v>
      </c>
      <c r="D317" s="204" t="s">
        <v>1111</v>
      </c>
      <c r="E317" s="204" t="s">
        <v>487</v>
      </c>
      <c r="F317" s="204" t="s">
        <v>488</v>
      </c>
      <c r="G317" s="204" t="s">
        <v>1112</v>
      </c>
    </row>
    <row r="318" spans="1:7">
      <c r="A318" s="204" t="s">
        <v>1079</v>
      </c>
      <c r="B318" s="204" t="s">
        <v>1105</v>
      </c>
      <c r="C318" s="204" t="s">
        <v>1113</v>
      </c>
      <c r="D318" s="204" t="s">
        <v>1114</v>
      </c>
      <c r="E318" s="204" t="s">
        <v>544</v>
      </c>
      <c r="F318" s="204" t="s">
        <v>545</v>
      </c>
      <c r="G318" s="204" t="s">
        <v>1115</v>
      </c>
    </row>
    <row r="319" spans="1:7">
      <c r="A319" s="204" t="s">
        <v>1079</v>
      </c>
      <c r="B319" s="204" t="s">
        <v>1116</v>
      </c>
      <c r="C319" s="204" t="s">
        <v>1116</v>
      </c>
      <c r="D319" s="204" t="s">
        <v>1117</v>
      </c>
      <c r="E319" s="204" t="s">
        <v>1118</v>
      </c>
      <c r="F319" s="204" t="s">
        <v>1119</v>
      </c>
      <c r="G319" s="204" t="s">
        <v>1120</v>
      </c>
    </row>
    <row r="320" spans="1:7">
      <c r="A320" s="204" t="s">
        <v>1079</v>
      </c>
      <c r="B320" s="204" t="s">
        <v>1116</v>
      </c>
      <c r="C320" s="204" t="s">
        <v>1116</v>
      </c>
      <c r="D320" s="204" t="s">
        <v>1117</v>
      </c>
      <c r="E320" s="204" t="s">
        <v>1121</v>
      </c>
      <c r="F320" s="204" t="s">
        <v>1122</v>
      </c>
      <c r="G320" s="204" t="s">
        <v>1120</v>
      </c>
    </row>
    <row r="321" spans="1:7">
      <c r="A321" s="204" t="s">
        <v>1079</v>
      </c>
      <c r="B321" s="204" t="s">
        <v>1116</v>
      </c>
      <c r="C321" s="204" t="s">
        <v>1116</v>
      </c>
      <c r="D321" s="204" t="s">
        <v>1117</v>
      </c>
      <c r="E321" s="204" t="s">
        <v>544</v>
      </c>
      <c r="F321" s="204" t="s">
        <v>545</v>
      </c>
      <c r="G321" s="204" t="s">
        <v>1120</v>
      </c>
    </row>
    <row r="322" spans="1:7">
      <c r="A322" s="204" t="s">
        <v>1079</v>
      </c>
      <c r="B322" s="204" t="s">
        <v>1116</v>
      </c>
      <c r="C322" s="204" t="s">
        <v>1123</v>
      </c>
      <c r="D322" s="204" t="s">
        <v>1124</v>
      </c>
      <c r="E322" s="204" t="s">
        <v>544</v>
      </c>
      <c r="F322" s="204" t="s">
        <v>545</v>
      </c>
      <c r="G322" s="204" t="s">
        <v>1125</v>
      </c>
    </row>
    <row r="323" spans="1:7">
      <c r="A323" s="204" t="s">
        <v>1079</v>
      </c>
      <c r="B323" s="204" t="s">
        <v>1116</v>
      </c>
      <c r="C323" s="204" t="s">
        <v>1126</v>
      </c>
      <c r="D323" s="204" t="s">
        <v>1127</v>
      </c>
      <c r="E323" s="204" t="s">
        <v>487</v>
      </c>
      <c r="F323" s="204" t="s">
        <v>488</v>
      </c>
      <c r="G323" s="204" t="s">
        <v>1128</v>
      </c>
    </row>
    <row r="324" spans="1:7">
      <c r="A324" s="204" t="s">
        <v>1079</v>
      </c>
      <c r="B324" s="204" t="s">
        <v>1129</v>
      </c>
      <c r="C324" s="204" t="s">
        <v>1129</v>
      </c>
      <c r="D324" s="204" t="s">
        <v>1130</v>
      </c>
      <c r="E324" s="204" t="s">
        <v>679</v>
      </c>
      <c r="F324" s="204" t="s">
        <v>680</v>
      </c>
      <c r="G324" s="204" t="s">
        <v>1131</v>
      </c>
    </row>
    <row r="325" spans="1:7">
      <c r="A325" s="204" t="s">
        <v>1079</v>
      </c>
      <c r="B325" s="204" t="s">
        <v>1132</v>
      </c>
      <c r="C325" s="204" t="s">
        <v>1132</v>
      </c>
      <c r="D325" s="204" t="s">
        <v>1133</v>
      </c>
      <c r="E325" s="204" t="s">
        <v>679</v>
      </c>
      <c r="F325" s="204" t="s">
        <v>680</v>
      </c>
      <c r="G325" s="204" t="s">
        <v>1134</v>
      </c>
    </row>
    <row r="326" spans="1:7">
      <c r="A326" s="204" t="s">
        <v>1079</v>
      </c>
      <c r="B326" s="204" t="s">
        <v>1135</v>
      </c>
      <c r="C326" s="204" t="s">
        <v>1135</v>
      </c>
      <c r="D326" s="204" t="s">
        <v>1136</v>
      </c>
      <c r="E326" s="204" t="s">
        <v>679</v>
      </c>
      <c r="F326" s="204" t="s">
        <v>680</v>
      </c>
      <c r="G326" s="204" t="s">
        <v>1137</v>
      </c>
    </row>
    <row r="327" spans="1:7">
      <c r="A327" s="204" t="s">
        <v>1079</v>
      </c>
      <c r="B327" s="204" t="s">
        <v>1138</v>
      </c>
      <c r="C327" s="204" t="s">
        <v>1138</v>
      </c>
      <c r="D327" s="204" t="s">
        <v>1139</v>
      </c>
      <c r="E327" s="204" t="s">
        <v>679</v>
      </c>
      <c r="F327" s="204" t="s">
        <v>680</v>
      </c>
      <c r="G327" s="204" t="s">
        <v>1140</v>
      </c>
    </row>
    <row r="328" spans="1:7">
      <c r="A328" s="204" t="s">
        <v>1079</v>
      </c>
      <c r="B328" s="204" t="s">
        <v>1141</v>
      </c>
      <c r="C328" s="204" t="s">
        <v>1141</v>
      </c>
      <c r="D328" s="204" t="s">
        <v>1142</v>
      </c>
      <c r="E328" s="204" t="s">
        <v>679</v>
      </c>
      <c r="F328" s="204" t="s">
        <v>680</v>
      </c>
      <c r="G328" s="204" t="s">
        <v>1143</v>
      </c>
    </row>
    <row r="329" spans="1:7">
      <c r="A329" s="204" t="s">
        <v>1079</v>
      </c>
      <c r="B329" s="204" t="s">
        <v>1144</v>
      </c>
      <c r="C329" s="204" t="s">
        <v>1144</v>
      </c>
      <c r="D329" s="204" t="s">
        <v>1145</v>
      </c>
      <c r="E329" s="204" t="s">
        <v>544</v>
      </c>
      <c r="F329" s="204" t="s">
        <v>545</v>
      </c>
      <c r="G329" s="204" t="s">
        <v>1146</v>
      </c>
    </row>
    <row r="330" spans="1:7">
      <c r="A330" s="204" t="s">
        <v>1079</v>
      </c>
      <c r="B330" s="204" t="s">
        <v>1147</v>
      </c>
      <c r="C330" s="204" t="s">
        <v>1147</v>
      </c>
      <c r="D330" s="204" t="s">
        <v>1148</v>
      </c>
      <c r="E330" s="204" t="s">
        <v>679</v>
      </c>
      <c r="F330" s="204" t="s">
        <v>680</v>
      </c>
      <c r="G330" s="204" t="s">
        <v>1149</v>
      </c>
    </row>
    <row r="331" spans="1:7">
      <c r="A331" s="204" t="s">
        <v>1079</v>
      </c>
      <c r="B331" s="204" t="s">
        <v>1150</v>
      </c>
      <c r="C331" s="204" t="s">
        <v>1150</v>
      </c>
      <c r="D331" s="204" t="s">
        <v>1151</v>
      </c>
      <c r="E331" s="204" t="s">
        <v>713</v>
      </c>
      <c r="F331" s="204" t="s">
        <v>714</v>
      </c>
      <c r="G331" s="204" t="s">
        <v>1152</v>
      </c>
    </row>
    <row r="332" spans="1:7">
      <c r="A332" s="204" t="s">
        <v>1079</v>
      </c>
      <c r="B332" s="204" t="s">
        <v>1153</v>
      </c>
      <c r="C332" s="204" t="s">
        <v>1153</v>
      </c>
      <c r="D332" s="204" t="s">
        <v>1154</v>
      </c>
      <c r="E332" s="204" t="s">
        <v>544</v>
      </c>
      <c r="F332" s="204" t="s">
        <v>545</v>
      </c>
      <c r="G332" s="204" t="s">
        <v>1155</v>
      </c>
    </row>
    <row r="333" spans="1:7">
      <c r="A333" s="204" t="s">
        <v>1079</v>
      </c>
      <c r="B333" s="204" t="s">
        <v>1156</v>
      </c>
      <c r="C333" s="204" t="s">
        <v>1156</v>
      </c>
      <c r="D333" s="204" t="s">
        <v>1157</v>
      </c>
      <c r="E333" s="204" t="s">
        <v>544</v>
      </c>
      <c r="F333" s="204" t="s">
        <v>545</v>
      </c>
      <c r="G333" s="204" t="s">
        <v>1158</v>
      </c>
    </row>
    <row r="334" spans="1:7">
      <c r="A334" s="204" t="s">
        <v>1079</v>
      </c>
      <c r="B334" s="204" t="s">
        <v>1159</v>
      </c>
      <c r="C334" s="204" t="s">
        <v>1159</v>
      </c>
      <c r="D334" s="204" t="s">
        <v>1160</v>
      </c>
      <c r="E334" s="204" t="s">
        <v>544</v>
      </c>
      <c r="F334" s="204" t="s">
        <v>545</v>
      </c>
      <c r="G334" s="204" t="s">
        <v>1161</v>
      </c>
    </row>
    <row r="335" spans="1:7">
      <c r="A335" s="204" t="s">
        <v>1162</v>
      </c>
      <c r="B335" s="204" t="s">
        <v>1163</v>
      </c>
      <c r="C335" s="204" t="s">
        <v>1163</v>
      </c>
      <c r="D335" s="204" t="s">
        <v>625</v>
      </c>
      <c r="E335" s="204" t="s">
        <v>506</v>
      </c>
      <c r="F335" s="204" t="s">
        <v>507</v>
      </c>
      <c r="G335" s="204" t="s">
        <v>1164</v>
      </c>
    </row>
    <row r="336" spans="1:7">
      <c r="A336" s="204" t="s">
        <v>1162</v>
      </c>
      <c r="B336" s="204" t="s">
        <v>1163</v>
      </c>
      <c r="C336" s="204" t="s">
        <v>1163</v>
      </c>
      <c r="D336" s="204" t="s">
        <v>625</v>
      </c>
      <c r="E336" s="204" t="s">
        <v>1165</v>
      </c>
      <c r="F336" s="204" t="s">
        <v>1166</v>
      </c>
      <c r="G336" s="204" t="s">
        <v>1164</v>
      </c>
    </row>
    <row r="337" spans="1:7">
      <c r="A337" s="204" t="s">
        <v>1162</v>
      </c>
      <c r="B337" s="204" t="s">
        <v>1163</v>
      </c>
      <c r="C337" s="204" t="s">
        <v>1163</v>
      </c>
      <c r="D337" s="204" t="s">
        <v>625</v>
      </c>
      <c r="E337" s="204" t="s">
        <v>487</v>
      </c>
      <c r="F337" s="204" t="s">
        <v>488</v>
      </c>
      <c r="G337" s="204" t="s">
        <v>1164</v>
      </c>
    </row>
    <row r="338" spans="1:7">
      <c r="A338" s="204" t="s">
        <v>1162</v>
      </c>
      <c r="B338" s="204" t="s">
        <v>1163</v>
      </c>
      <c r="C338" s="204" t="s">
        <v>1167</v>
      </c>
      <c r="D338" s="204" t="s">
        <v>1168</v>
      </c>
      <c r="E338" s="204" t="s">
        <v>506</v>
      </c>
      <c r="F338" s="204" t="s">
        <v>507</v>
      </c>
      <c r="G338" s="204" t="s">
        <v>1169</v>
      </c>
    </row>
    <row r="339" spans="1:7">
      <c r="A339" s="204" t="s">
        <v>1162</v>
      </c>
      <c r="B339" s="204" t="s">
        <v>1170</v>
      </c>
      <c r="C339" s="204" t="s">
        <v>1170</v>
      </c>
      <c r="D339" s="204" t="s">
        <v>471</v>
      </c>
      <c r="E339" s="204" t="s">
        <v>1171</v>
      </c>
      <c r="F339" s="204" t="s">
        <v>1172</v>
      </c>
      <c r="G339" s="204" t="s">
        <v>1173</v>
      </c>
    </row>
    <row r="340" spans="1:7">
      <c r="A340" s="204" t="s">
        <v>1162</v>
      </c>
      <c r="B340" s="204" t="s">
        <v>1170</v>
      </c>
      <c r="C340" s="204" t="s">
        <v>1170</v>
      </c>
      <c r="D340" s="204" t="s">
        <v>471</v>
      </c>
      <c r="E340" s="204" t="s">
        <v>544</v>
      </c>
      <c r="F340" s="204" t="s">
        <v>545</v>
      </c>
      <c r="G340" s="204" t="s">
        <v>1173</v>
      </c>
    </row>
    <row r="341" spans="1:7">
      <c r="A341" s="204" t="s">
        <v>1162</v>
      </c>
      <c r="B341" s="204" t="s">
        <v>1170</v>
      </c>
      <c r="C341" s="204" t="s">
        <v>1170</v>
      </c>
      <c r="D341" s="204" t="s">
        <v>471</v>
      </c>
      <c r="E341" s="204" t="s">
        <v>679</v>
      </c>
      <c r="F341" s="204" t="s">
        <v>680</v>
      </c>
      <c r="G341" s="204" t="s">
        <v>1173</v>
      </c>
    </row>
    <row r="342" spans="1:7">
      <c r="A342" s="204" t="s">
        <v>1162</v>
      </c>
      <c r="B342" s="204" t="s">
        <v>1170</v>
      </c>
      <c r="C342" s="204" t="s">
        <v>1170</v>
      </c>
      <c r="D342" s="204" t="s">
        <v>471</v>
      </c>
      <c r="E342" s="204" t="s">
        <v>612</v>
      </c>
      <c r="F342" s="204" t="s">
        <v>613</v>
      </c>
      <c r="G342" s="204" t="s">
        <v>1173</v>
      </c>
    </row>
    <row r="343" spans="1:7">
      <c r="A343" s="204" t="s">
        <v>1162</v>
      </c>
      <c r="B343" s="204" t="s">
        <v>1170</v>
      </c>
      <c r="C343" s="204" t="s">
        <v>1170</v>
      </c>
      <c r="D343" s="204" t="s">
        <v>471</v>
      </c>
      <c r="E343" s="204" t="s">
        <v>1174</v>
      </c>
      <c r="F343" s="204" t="s">
        <v>1175</v>
      </c>
      <c r="G343" s="204" t="s">
        <v>1173</v>
      </c>
    </row>
    <row r="344" spans="1:7">
      <c r="A344" s="204" t="s">
        <v>1162</v>
      </c>
      <c r="B344" s="204" t="s">
        <v>1170</v>
      </c>
      <c r="C344" s="204" t="s">
        <v>1170</v>
      </c>
      <c r="D344" s="204" t="s">
        <v>471</v>
      </c>
      <c r="E344" s="204" t="s">
        <v>713</v>
      </c>
      <c r="F344" s="204" t="s">
        <v>714</v>
      </c>
      <c r="G344" s="204" t="s">
        <v>1173</v>
      </c>
    </row>
    <row r="345" spans="1:7">
      <c r="A345" s="204" t="s">
        <v>1162</v>
      </c>
      <c r="B345" s="204" t="s">
        <v>1170</v>
      </c>
      <c r="C345" s="204" t="s">
        <v>1176</v>
      </c>
      <c r="D345" s="204" t="s">
        <v>1177</v>
      </c>
      <c r="E345" s="204" t="s">
        <v>1178</v>
      </c>
      <c r="F345" s="204" t="s">
        <v>1179</v>
      </c>
      <c r="G345" s="204" t="s">
        <v>1180</v>
      </c>
    </row>
    <row r="346" spans="1:7">
      <c r="A346" s="204" t="s">
        <v>1162</v>
      </c>
      <c r="B346" s="204" t="s">
        <v>1170</v>
      </c>
      <c r="C346" s="204" t="s">
        <v>1176</v>
      </c>
      <c r="D346" s="204" t="s">
        <v>1177</v>
      </c>
      <c r="E346" s="204" t="s">
        <v>544</v>
      </c>
      <c r="F346" s="204" t="s">
        <v>545</v>
      </c>
      <c r="G346" s="204" t="s">
        <v>1180</v>
      </c>
    </row>
    <row r="347" spans="1:7">
      <c r="A347" s="204" t="s">
        <v>1162</v>
      </c>
      <c r="B347" s="204" t="s">
        <v>1170</v>
      </c>
      <c r="C347" s="204" t="s">
        <v>1176</v>
      </c>
      <c r="D347" s="204" t="s">
        <v>1177</v>
      </c>
      <c r="E347" s="204" t="s">
        <v>487</v>
      </c>
      <c r="F347" s="204" t="s">
        <v>488</v>
      </c>
      <c r="G347" s="204" t="s">
        <v>1180</v>
      </c>
    </row>
    <row r="348" spans="1:7">
      <c r="A348" s="204" t="s">
        <v>1162</v>
      </c>
      <c r="B348" s="204" t="s">
        <v>1170</v>
      </c>
      <c r="C348" s="204" t="s">
        <v>1176</v>
      </c>
      <c r="D348" s="204" t="s">
        <v>1177</v>
      </c>
      <c r="E348" s="204" t="s">
        <v>612</v>
      </c>
      <c r="F348" s="204" t="s">
        <v>613</v>
      </c>
      <c r="G348" s="204" t="s">
        <v>1180</v>
      </c>
    </row>
    <row r="349" spans="1:7">
      <c r="A349" s="204" t="s">
        <v>1162</v>
      </c>
      <c r="B349" s="204" t="s">
        <v>1170</v>
      </c>
      <c r="C349" s="204" t="s">
        <v>1181</v>
      </c>
      <c r="D349" s="204" t="s">
        <v>1182</v>
      </c>
      <c r="E349" s="204" t="s">
        <v>544</v>
      </c>
      <c r="F349" s="204" t="s">
        <v>545</v>
      </c>
      <c r="G349" s="204" t="s">
        <v>1183</v>
      </c>
    </row>
    <row r="350" spans="1:7">
      <c r="A350" s="204" t="s">
        <v>1162</v>
      </c>
      <c r="B350" s="204" t="s">
        <v>1184</v>
      </c>
      <c r="C350" s="204" t="s">
        <v>1184</v>
      </c>
      <c r="D350" s="204" t="s">
        <v>429</v>
      </c>
      <c r="E350" s="204" t="s">
        <v>1185</v>
      </c>
      <c r="F350" s="204" t="s">
        <v>1186</v>
      </c>
      <c r="G350" s="204" t="s">
        <v>1187</v>
      </c>
    </row>
    <row r="351" spans="1:7">
      <c r="A351" s="204" t="s">
        <v>1162</v>
      </c>
      <c r="B351" s="204" t="s">
        <v>1184</v>
      </c>
      <c r="C351" s="204" t="s">
        <v>1184</v>
      </c>
      <c r="D351" s="204" t="s">
        <v>429</v>
      </c>
      <c r="E351" s="204" t="s">
        <v>544</v>
      </c>
      <c r="F351" s="204" t="s">
        <v>545</v>
      </c>
      <c r="G351" s="204" t="s">
        <v>1187</v>
      </c>
    </row>
    <row r="352" spans="1:7">
      <c r="A352" s="204" t="s">
        <v>1162</v>
      </c>
      <c r="B352" s="204" t="s">
        <v>1184</v>
      </c>
      <c r="C352" s="204" t="s">
        <v>1184</v>
      </c>
      <c r="D352" s="204" t="s">
        <v>429</v>
      </c>
      <c r="E352" s="204" t="s">
        <v>487</v>
      </c>
      <c r="F352" s="204" t="s">
        <v>488</v>
      </c>
      <c r="G352" s="204" t="s">
        <v>1187</v>
      </c>
    </row>
    <row r="353" spans="1:7">
      <c r="A353" s="204" t="s">
        <v>1162</v>
      </c>
      <c r="B353" s="204" t="s">
        <v>1184</v>
      </c>
      <c r="C353" s="204" t="s">
        <v>1184</v>
      </c>
      <c r="D353" s="204" t="s">
        <v>429</v>
      </c>
      <c r="E353" s="204" t="s">
        <v>612</v>
      </c>
      <c r="F353" s="204" t="s">
        <v>613</v>
      </c>
      <c r="G353" s="204" t="s">
        <v>1187</v>
      </c>
    </row>
    <row r="354" spans="1:7">
      <c r="A354" s="204" t="s">
        <v>1162</v>
      </c>
      <c r="B354" s="204" t="s">
        <v>1184</v>
      </c>
      <c r="C354" s="204" t="s">
        <v>1188</v>
      </c>
      <c r="D354" s="204" t="s">
        <v>1189</v>
      </c>
      <c r="E354" s="204" t="s">
        <v>544</v>
      </c>
      <c r="F354" s="204" t="s">
        <v>545</v>
      </c>
      <c r="G354" s="204" t="s">
        <v>1190</v>
      </c>
    </row>
    <row r="355" spans="1:7">
      <c r="A355" s="204" t="s">
        <v>1162</v>
      </c>
      <c r="B355" s="204" t="s">
        <v>1184</v>
      </c>
      <c r="C355" s="204" t="s">
        <v>1191</v>
      </c>
      <c r="D355" s="204" t="s">
        <v>429</v>
      </c>
      <c r="E355" s="204" t="s">
        <v>544</v>
      </c>
      <c r="F355" s="204" t="s">
        <v>545</v>
      </c>
      <c r="G355" s="204" t="s">
        <v>1192</v>
      </c>
    </row>
    <row r="356" spans="1:7">
      <c r="A356" s="204" t="s">
        <v>1162</v>
      </c>
      <c r="B356" s="204" t="s">
        <v>1184</v>
      </c>
      <c r="C356" s="204" t="s">
        <v>1191</v>
      </c>
      <c r="D356" s="204" t="s">
        <v>429</v>
      </c>
      <c r="E356" s="204" t="s">
        <v>612</v>
      </c>
      <c r="F356" s="204" t="s">
        <v>613</v>
      </c>
      <c r="G356" s="204" t="s">
        <v>1192</v>
      </c>
    </row>
    <row r="357" spans="1:7">
      <c r="A357" s="204" t="s">
        <v>1162</v>
      </c>
      <c r="B357" s="204" t="s">
        <v>1184</v>
      </c>
      <c r="C357" s="204" t="s">
        <v>1193</v>
      </c>
      <c r="D357" s="204" t="s">
        <v>1194</v>
      </c>
      <c r="E357" s="204" t="s">
        <v>544</v>
      </c>
      <c r="F357" s="204" t="s">
        <v>545</v>
      </c>
      <c r="G357" s="204" t="s">
        <v>1195</v>
      </c>
    </row>
    <row r="358" spans="1:7">
      <c r="A358" s="204" t="s">
        <v>1162</v>
      </c>
      <c r="B358" s="204" t="s">
        <v>1196</v>
      </c>
      <c r="C358" s="204" t="s">
        <v>1196</v>
      </c>
      <c r="D358" s="204" t="s">
        <v>1197</v>
      </c>
      <c r="E358" s="204" t="s">
        <v>544</v>
      </c>
      <c r="F358" s="204" t="s">
        <v>545</v>
      </c>
      <c r="G358" s="204" t="s">
        <v>1198</v>
      </c>
    </row>
    <row r="359" spans="1:7">
      <c r="A359" s="204" t="s">
        <v>1162</v>
      </c>
      <c r="B359" s="204" t="s">
        <v>1196</v>
      </c>
      <c r="C359" s="204" t="s">
        <v>1196</v>
      </c>
      <c r="D359" s="204" t="s">
        <v>1197</v>
      </c>
      <c r="E359" s="204" t="s">
        <v>1199</v>
      </c>
      <c r="F359" s="204" t="s">
        <v>1200</v>
      </c>
      <c r="G359" s="204" t="s">
        <v>1198</v>
      </c>
    </row>
    <row r="360" spans="1:7">
      <c r="A360" s="204" t="s">
        <v>1162</v>
      </c>
      <c r="B360" s="204" t="s">
        <v>1196</v>
      </c>
      <c r="C360" s="204" t="s">
        <v>1196</v>
      </c>
      <c r="D360" s="204" t="s">
        <v>1197</v>
      </c>
      <c r="E360" s="204" t="s">
        <v>1201</v>
      </c>
      <c r="F360" s="204" t="s">
        <v>1202</v>
      </c>
      <c r="G360" s="204" t="s">
        <v>1198</v>
      </c>
    </row>
    <row r="361" spans="1:7">
      <c r="A361" s="204" t="s">
        <v>1162</v>
      </c>
      <c r="B361" s="204" t="s">
        <v>1196</v>
      </c>
      <c r="C361" s="204" t="s">
        <v>1196</v>
      </c>
      <c r="D361" s="204" t="s">
        <v>1197</v>
      </c>
      <c r="E361" s="204" t="s">
        <v>679</v>
      </c>
      <c r="F361" s="204" t="s">
        <v>680</v>
      </c>
      <c r="G361" s="204" t="s">
        <v>1198</v>
      </c>
    </row>
    <row r="362" spans="1:7">
      <c r="A362" s="204" t="s">
        <v>1162</v>
      </c>
      <c r="B362" s="204" t="s">
        <v>1196</v>
      </c>
      <c r="C362" s="204" t="s">
        <v>1203</v>
      </c>
      <c r="D362" s="204" t="s">
        <v>1197</v>
      </c>
      <c r="E362" s="204" t="s">
        <v>544</v>
      </c>
      <c r="F362" s="204" t="s">
        <v>545</v>
      </c>
      <c r="G362" s="204" t="s">
        <v>1204</v>
      </c>
    </row>
    <row r="363" spans="1:7">
      <c r="A363" s="204" t="s">
        <v>1162</v>
      </c>
      <c r="B363" s="204" t="s">
        <v>1196</v>
      </c>
      <c r="C363" s="204" t="s">
        <v>1203</v>
      </c>
      <c r="D363" s="204" t="s">
        <v>1197</v>
      </c>
      <c r="E363" s="204" t="s">
        <v>679</v>
      </c>
      <c r="F363" s="204" t="s">
        <v>680</v>
      </c>
      <c r="G363" s="204" t="s">
        <v>1204</v>
      </c>
    </row>
    <row r="364" spans="1:7">
      <c r="A364" s="204" t="s">
        <v>1162</v>
      </c>
      <c r="B364" s="204" t="s">
        <v>1196</v>
      </c>
      <c r="C364" s="204" t="s">
        <v>1205</v>
      </c>
      <c r="D364" s="204" t="s">
        <v>1206</v>
      </c>
      <c r="E364" s="204" t="s">
        <v>544</v>
      </c>
      <c r="F364" s="204" t="s">
        <v>545</v>
      </c>
      <c r="G364" s="204" t="s">
        <v>1207</v>
      </c>
    </row>
    <row r="365" spans="1:7">
      <c r="A365" s="204" t="s">
        <v>1162</v>
      </c>
      <c r="B365" s="204" t="s">
        <v>1196</v>
      </c>
      <c r="C365" s="204" t="s">
        <v>1205</v>
      </c>
      <c r="D365" s="204" t="s">
        <v>1206</v>
      </c>
      <c r="E365" s="204" t="s">
        <v>1208</v>
      </c>
      <c r="F365" s="204" t="s">
        <v>1209</v>
      </c>
      <c r="G365" s="204" t="s">
        <v>1207</v>
      </c>
    </row>
    <row r="366" spans="1:7">
      <c r="A366" s="204" t="s">
        <v>1162</v>
      </c>
      <c r="B366" s="204" t="s">
        <v>1210</v>
      </c>
      <c r="C366" s="204" t="s">
        <v>1210</v>
      </c>
      <c r="D366" s="204" t="s">
        <v>1211</v>
      </c>
      <c r="E366" s="204" t="s">
        <v>544</v>
      </c>
      <c r="F366" s="204" t="s">
        <v>545</v>
      </c>
      <c r="G366" s="204" t="s">
        <v>1212</v>
      </c>
    </row>
    <row r="367" spans="1:7">
      <c r="A367" s="204" t="s">
        <v>1162</v>
      </c>
      <c r="B367" s="204" t="s">
        <v>1213</v>
      </c>
      <c r="C367" s="204" t="s">
        <v>1213</v>
      </c>
      <c r="D367" s="204" t="s">
        <v>1214</v>
      </c>
      <c r="E367" s="204" t="s">
        <v>506</v>
      </c>
      <c r="F367" s="204" t="s">
        <v>507</v>
      </c>
      <c r="G367" s="204" t="s">
        <v>1215</v>
      </c>
    </row>
    <row r="368" spans="1:7">
      <c r="A368" s="204" t="s">
        <v>1162</v>
      </c>
      <c r="B368" s="204" t="s">
        <v>1216</v>
      </c>
      <c r="C368" s="204" t="s">
        <v>1216</v>
      </c>
      <c r="D368" s="204" t="s">
        <v>1217</v>
      </c>
      <c r="E368" s="204" t="s">
        <v>506</v>
      </c>
      <c r="F368" s="204" t="s">
        <v>507</v>
      </c>
      <c r="G368" s="204" t="s">
        <v>1218</v>
      </c>
    </row>
    <row r="369" spans="1:7">
      <c r="A369" s="204" t="s">
        <v>1162</v>
      </c>
      <c r="B369" s="204" t="s">
        <v>1219</v>
      </c>
      <c r="C369" s="204" t="s">
        <v>1219</v>
      </c>
      <c r="D369" s="204" t="s">
        <v>1220</v>
      </c>
      <c r="E369" s="204" t="s">
        <v>506</v>
      </c>
      <c r="F369" s="204" t="s">
        <v>507</v>
      </c>
      <c r="G369" s="204" t="s">
        <v>1221</v>
      </c>
    </row>
    <row r="370" spans="1:7">
      <c r="A370" s="204" t="s">
        <v>1162</v>
      </c>
      <c r="B370" s="204" t="s">
        <v>1222</v>
      </c>
      <c r="C370" s="204" t="s">
        <v>1222</v>
      </c>
      <c r="D370" s="204" t="s">
        <v>1223</v>
      </c>
      <c r="E370" s="204" t="s">
        <v>487</v>
      </c>
      <c r="F370" s="204" t="s">
        <v>488</v>
      </c>
      <c r="G370" s="204" t="s">
        <v>1224</v>
      </c>
    </row>
    <row r="371" spans="1:7">
      <c r="A371" s="204" t="s">
        <v>1162</v>
      </c>
      <c r="B371" s="204" t="s">
        <v>252</v>
      </c>
      <c r="C371" s="204" t="s">
        <v>252</v>
      </c>
      <c r="D371" s="204" t="s">
        <v>1225</v>
      </c>
      <c r="E371" s="204" t="s">
        <v>506</v>
      </c>
      <c r="F371" s="204" t="s">
        <v>507</v>
      </c>
      <c r="G371" s="204" t="s">
        <v>1226</v>
      </c>
    </row>
    <row r="372" spans="1:7">
      <c r="A372" s="204" t="s">
        <v>1162</v>
      </c>
      <c r="B372" s="204" t="s">
        <v>252</v>
      </c>
      <c r="C372" s="204" t="s">
        <v>252</v>
      </c>
      <c r="D372" s="204" t="s">
        <v>1225</v>
      </c>
      <c r="F372" s="204" t="s">
        <v>507</v>
      </c>
      <c r="G372" s="204" t="s">
        <v>1226</v>
      </c>
    </row>
    <row r="373" spans="1:7">
      <c r="A373" s="204" t="s">
        <v>1162</v>
      </c>
      <c r="B373" s="204" t="s">
        <v>1227</v>
      </c>
      <c r="C373" s="204" t="s">
        <v>1227</v>
      </c>
      <c r="D373" s="204" t="s">
        <v>1228</v>
      </c>
      <c r="E373" s="204" t="s">
        <v>544</v>
      </c>
      <c r="F373" s="204" t="s">
        <v>545</v>
      </c>
      <c r="G373" s="204" t="s">
        <v>1229</v>
      </c>
    </row>
    <row r="374" spans="1:7">
      <c r="A374" s="204" t="s">
        <v>1162</v>
      </c>
      <c r="B374" s="204" t="s">
        <v>1230</v>
      </c>
      <c r="C374" s="204" t="s">
        <v>1230</v>
      </c>
      <c r="D374" s="204" t="s">
        <v>1231</v>
      </c>
      <c r="E374" s="204" t="s">
        <v>713</v>
      </c>
      <c r="F374" s="204" t="s">
        <v>714</v>
      </c>
      <c r="G374" s="204" t="s">
        <v>1232</v>
      </c>
    </row>
    <row r="375" spans="1:7">
      <c r="A375" s="204" t="s">
        <v>1233</v>
      </c>
      <c r="B375" s="204" t="s">
        <v>1234</v>
      </c>
      <c r="C375" s="204" t="s">
        <v>1234</v>
      </c>
      <c r="D375" s="204" t="s">
        <v>452</v>
      </c>
      <c r="E375" s="204" t="s">
        <v>1235</v>
      </c>
      <c r="F375" s="204" t="s">
        <v>1236</v>
      </c>
      <c r="G375" s="204" t="s">
        <v>1237</v>
      </c>
    </row>
    <row r="376" spans="1:7">
      <c r="A376" s="204" t="s">
        <v>1233</v>
      </c>
      <c r="B376" s="204" t="s">
        <v>1234</v>
      </c>
      <c r="C376" s="204" t="s">
        <v>1234</v>
      </c>
      <c r="D376" s="204" t="s">
        <v>452</v>
      </c>
      <c r="E376" s="204" t="s">
        <v>1238</v>
      </c>
      <c r="F376" s="204" t="s">
        <v>1239</v>
      </c>
      <c r="G376" s="204" t="s">
        <v>1237</v>
      </c>
    </row>
    <row r="377" spans="1:7">
      <c r="A377" s="204" t="s">
        <v>1233</v>
      </c>
      <c r="B377" s="204" t="s">
        <v>1234</v>
      </c>
      <c r="C377" s="204" t="s">
        <v>1234</v>
      </c>
      <c r="D377" s="204" t="s">
        <v>452</v>
      </c>
      <c r="E377" s="204" t="s">
        <v>506</v>
      </c>
      <c r="F377" s="204" t="s">
        <v>507</v>
      </c>
      <c r="G377" s="204" t="s">
        <v>1237</v>
      </c>
    </row>
    <row r="378" spans="1:7">
      <c r="A378" s="204" t="s">
        <v>1233</v>
      </c>
      <c r="B378" s="204" t="s">
        <v>1234</v>
      </c>
      <c r="C378" s="204" t="s">
        <v>1234</v>
      </c>
      <c r="D378" s="204" t="s">
        <v>452</v>
      </c>
      <c r="E378" s="204" t="s">
        <v>526</v>
      </c>
      <c r="F378" s="204" t="s">
        <v>527</v>
      </c>
      <c r="G378" s="204" t="s">
        <v>1237</v>
      </c>
    </row>
    <row r="379" spans="1:7">
      <c r="A379" s="204" t="s">
        <v>1233</v>
      </c>
      <c r="B379" s="204" t="s">
        <v>1234</v>
      </c>
      <c r="C379" s="204" t="s">
        <v>1240</v>
      </c>
      <c r="D379" s="204" t="s">
        <v>452</v>
      </c>
      <c r="E379" s="204" t="s">
        <v>506</v>
      </c>
      <c r="F379" s="204" t="s">
        <v>507</v>
      </c>
      <c r="G379" s="204" t="s">
        <v>1241</v>
      </c>
    </row>
    <row r="380" spans="1:7">
      <c r="A380" s="204" t="s">
        <v>1233</v>
      </c>
      <c r="B380" s="204" t="s">
        <v>1234</v>
      </c>
      <c r="C380" s="204" t="s">
        <v>1240</v>
      </c>
      <c r="D380" s="204" t="s">
        <v>452</v>
      </c>
      <c r="E380" s="204" t="s">
        <v>526</v>
      </c>
      <c r="F380" s="204" t="s">
        <v>527</v>
      </c>
      <c r="G380" s="204" t="s">
        <v>1241</v>
      </c>
    </row>
    <row r="381" spans="1:7">
      <c r="A381" s="204" t="s">
        <v>1233</v>
      </c>
      <c r="B381" s="204" t="s">
        <v>1234</v>
      </c>
      <c r="C381" s="204" t="s">
        <v>1240</v>
      </c>
      <c r="D381" s="204" t="s">
        <v>452</v>
      </c>
      <c r="E381" s="204" t="s">
        <v>487</v>
      </c>
      <c r="F381" s="204" t="s">
        <v>488</v>
      </c>
      <c r="G381" s="204" t="s">
        <v>1241</v>
      </c>
    </row>
    <row r="382" spans="1:7">
      <c r="A382" s="204" t="s">
        <v>1233</v>
      </c>
      <c r="B382" s="204" t="s">
        <v>1242</v>
      </c>
      <c r="C382" s="204" t="s">
        <v>1242</v>
      </c>
      <c r="D382" s="204" t="s">
        <v>1243</v>
      </c>
      <c r="E382" s="204" t="s">
        <v>487</v>
      </c>
      <c r="F382" s="204" t="s">
        <v>488</v>
      </c>
      <c r="G382" s="204" t="s">
        <v>1244</v>
      </c>
    </row>
    <row r="383" spans="1:7">
      <c r="A383" s="204" t="s">
        <v>1233</v>
      </c>
      <c r="B383" s="204" t="s">
        <v>1242</v>
      </c>
      <c r="C383" s="204" t="s">
        <v>1242</v>
      </c>
      <c r="D383" s="204" t="s">
        <v>1243</v>
      </c>
      <c r="E383" s="204" t="s">
        <v>1245</v>
      </c>
      <c r="F383" s="204" t="s">
        <v>1246</v>
      </c>
      <c r="G383" s="204" t="s">
        <v>1244</v>
      </c>
    </row>
    <row r="384" spans="1:7">
      <c r="A384" s="204" t="s">
        <v>1233</v>
      </c>
      <c r="B384" s="204" t="s">
        <v>1242</v>
      </c>
      <c r="C384" s="204" t="s">
        <v>1247</v>
      </c>
      <c r="D384" s="204" t="s">
        <v>1248</v>
      </c>
      <c r="E384" s="204" t="s">
        <v>487</v>
      </c>
      <c r="F384" s="204" t="s">
        <v>488</v>
      </c>
      <c r="G384" s="204" t="s">
        <v>1249</v>
      </c>
    </row>
    <row r="385" spans="1:7">
      <c r="A385" s="204" t="s">
        <v>1233</v>
      </c>
      <c r="B385" s="204" t="s">
        <v>1242</v>
      </c>
      <c r="C385" s="204" t="s">
        <v>1250</v>
      </c>
      <c r="D385" s="204" t="s">
        <v>1251</v>
      </c>
      <c r="E385" s="204" t="s">
        <v>487</v>
      </c>
      <c r="F385" s="204" t="s">
        <v>488</v>
      </c>
      <c r="G385" s="204" t="s">
        <v>1252</v>
      </c>
    </row>
    <row r="386" spans="1:7">
      <c r="A386" s="204" t="s">
        <v>1233</v>
      </c>
      <c r="B386" s="204" t="s">
        <v>1253</v>
      </c>
      <c r="C386" s="204" t="s">
        <v>1253</v>
      </c>
      <c r="D386" s="204" t="s">
        <v>1254</v>
      </c>
      <c r="E386" s="204" t="s">
        <v>487</v>
      </c>
      <c r="F386" s="204" t="s">
        <v>488</v>
      </c>
      <c r="G386" s="204" t="s">
        <v>1255</v>
      </c>
    </row>
    <row r="387" spans="1:7">
      <c r="A387" s="204" t="s">
        <v>1233</v>
      </c>
      <c r="B387" s="204" t="s">
        <v>1256</v>
      </c>
      <c r="C387" s="204" t="s">
        <v>1256</v>
      </c>
      <c r="D387" s="204" t="s">
        <v>1257</v>
      </c>
      <c r="E387" s="204" t="s">
        <v>508</v>
      </c>
      <c r="F387" s="204" t="s">
        <v>509</v>
      </c>
      <c r="G387" s="204" t="s">
        <v>1258</v>
      </c>
    </row>
    <row r="388" spans="1:7">
      <c r="A388" s="204" t="s">
        <v>1233</v>
      </c>
      <c r="B388" s="204" t="s">
        <v>1259</v>
      </c>
      <c r="C388" s="204" t="s">
        <v>1259</v>
      </c>
      <c r="D388" s="204" t="s">
        <v>1260</v>
      </c>
      <c r="E388" s="204" t="s">
        <v>508</v>
      </c>
      <c r="F388" s="204" t="s">
        <v>509</v>
      </c>
      <c r="G388" s="204" t="s">
        <v>1261</v>
      </c>
    </row>
    <row r="389" spans="1:7">
      <c r="A389" s="204" t="s">
        <v>1233</v>
      </c>
      <c r="B389" s="204" t="s">
        <v>1262</v>
      </c>
      <c r="C389" s="204" t="s">
        <v>1262</v>
      </c>
      <c r="D389" s="204" t="s">
        <v>1263</v>
      </c>
      <c r="E389" s="204" t="s">
        <v>544</v>
      </c>
      <c r="F389" s="204" t="s">
        <v>545</v>
      </c>
      <c r="G389" s="204" t="s">
        <v>1264</v>
      </c>
    </row>
    <row r="390" spans="1:7">
      <c r="A390" s="204" t="s">
        <v>1233</v>
      </c>
      <c r="B390" s="204" t="s">
        <v>1265</v>
      </c>
      <c r="C390" s="204" t="s">
        <v>1265</v>
      </c>
      <c r="D390" s="204" t="s">
        <v>1266</v>
      </c>
      <c r="E390" s="204" t="s">
        <v>487</v>
      </c>
      <c r="F390" s="204" t="s">
        <v>488</v>
      </c>
      <c r="G390" s="204" t="s">
        <v>1267</v>
      </c>
    </row>
    <row r="391" spans="1:7">
      <c r="A391" s="204" t="s">
        <v>1233</v>
      </c>
      <c r="B391" s="204" t="s">
        <v>1268</v>
      </c>
      <c r="C391" s="204" t="s">
        <v>1268</v>
      </c>
      <c r="D391" s="204" t="s">
        <v>1269</v>
      </c>
      <c r="E391" s="204" t="s">
        <v>487</v>
      </c>
      <c r="F391" s="204" t="s">
        <v>488</v>
      </c>
      <c r="G391" s="204" t="s">
        <v>1270</v>
      </c>
    </row>
    <row r="392" spans="1:7">
      <c r="A392" s="204" t="s">
        <v>1233</v>
      </c>
      <c r="B392" s="204" t="s">
        <v>1271</v>
      </c>
      <c r="C392" s="204" t="s">
        <v>1271</v>
      </c>
      <c r="D392" s="204" t="s">
        <v>1272</v>
      </c>
      <c r="E392" s="204" t="s">
        <v>487</v>
      </c>
      <c r="F392" s="204" t="s">
        <v>488</v>
      </c>
      <c r="G392" s="204" t="s">
        <v>1273</v>
      </c>
    </row>
    <row r="393" spans="1:7">
      <c r="A393" s="204" t="s">
        <v>1233</v>
      </c>
      <c r="B393" s="204" t="s">
        <v>1274</v>
      </c>
      <c r="C393" s="204" t="s">
        <v>1274</v>
      </c>
      <c r="D393" s="204" t="s">
        <v>468</v>
      </c>
      <c r="E393" s="204" t="s">
        <v>1275</v>
      </c>
      <c r="F393" s="204" t="s">
        <v>1276</v>
      </c>
      <c r="G393" s="204" t="s">
        <v>1277</v>
      </c>
    </row>
    <row r="394" spans="1:7">
      <c r="A394" s="204" t="s">
        <v>1233</v>
      </c>
      <c r="B394" s="204" t="s">
        <v>1274</v>
      </c>
      <c r="C394" s="204" t="s">
        <v>1274</v>
      </c>
      <c r="D394" s="204" t="s">
        <v>468</v>
      </c>
      <c r="E394" s="204" t="s">
        <v>487</v>
      </c>
      <c r="F394" s="204" t="s">
        <v>488</v>
      </c>
      <c r="G394" s="204" t="s">
        <v>1277</v>
      </c>
    </row>
    <row r="395" spans="1:7">
      <c r="A395" s="204" t="s">
        <v>1233</v>
      </c>
      <c r="B395" s="204" t="s">
        <v>1278</v>
      </c>
      <c r="C395" s="204" t="s">
        <v>1278</v>
      </c>
      <c r="D395" s="204" t="s">
        <v>1279</v>
      </c>
      <c r="E395" s="204" t="s">
        <v>526</v>
      </c>
      <c r="F395" s="204" t="s">
        <v>527</v>
      </c>
      <c r="G395" s="204" t="s">
        <v>1280</v>
      </c>
    </row>
    <row r="396" spans="1:7">
      <c r="A396" s="204" t="s">
        <v>1281</v>
      </c>
      <c r="B396" s="204" t="s">
        <v>1282</v>
      </c>
      <c r="C396" s="204" t="s">
        <v>1282</v>
      </c>
      <c r="D396" s="204" t="s">
        <v>1283</v>
      </c>
      <c r="E396" s="204" t="s">
        <v>695</v>
      </c>
      <c r="G396" s="204" t="s">
        <v>1284</v>
      </c>
    </row>
    <row r="397" spans="1:7">
      <c r="A397" s="204" t="s">
        <v>1281</v>
      </c>
      <c r="B397" s="204" t="s">
        <v>1285</v>
      </c>
      <c r="C397" s="204" t="s">
        <v>1285</v>
      </c>
      <c r="D397" s="204" t="s">
        <v>1286</v>
      </c>
      <c r="E397" s="204" t="s">
        <v>695</v>
      </c>
      <c r="G397" s="204" t="s">
        <v>1287</v>
      </c>
    </row>
  </sheetData>
  <phoneticPr fontId="2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Uetani, Soushi [C]</cp:lastModifiedBy>
  <cp:revision/>
  <dcterms:created xsi:type="dcterms:W3CDTF">2023-07-23T11:41:36Z</dcterms:created>
  <dcterms:modified xsi:type="dcterms:W3CDTF">2025-05-25T08:29:51Z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