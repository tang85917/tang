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913BCA1-283D-4E2C-AFB0-2B0B0C0CD8D7}" xr6:coauthVersionLast="36" xr6:coauthVersionMax="47" xr10:uidLastSave="{00000000-0000-0000-0000-000000000000}"/>
  <bookViews>
    <workbookView xWindow="40995" yWindow="3345" windowWidth="11475" windowHeight="9390" tabRatio="896" firstSheet="2" activeTab="1" xr2:uid="{46C7E05D-2187-4227-944F-2BBE767CD602}"/>
  </bookViews>
  <sheets>
    <sheet name="リスト" sheetId="170" state="hidden" r:id="rId1"/>
    <sheet name="0525" sheetId="171" r:id="rId2"/>
    <sheet name="DS使用中" sheetId="172" r:id="rId3"/>
  </sheets>
  <definedNames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o" hidden="1" xlm="1">#NAME?</definedName>
    <definedName name="_xlpm.p" hidden="1" xlm="1">#NAME?</definedName>
    <definedName name="_xlpm.post_sp①" hidden="1" xlm="1">#NAME?</definedName>
    <definedName name="_xlpm.post_sp②" hidden="1" xlm="1">#NAME?</definedName>
    <definedName name="_xlpm.post_sp③" hidden="1" xlm="1">#NAME?</definedName>
    <definedName name="_xlpm.post_sp④" hidden="1" xlm="1">#NAME?</definedName>
    <definedName name="_xlpm.pre_sp①" hidden="1" xlm="1">#NAME?</definedName>
    <definedName name="_xlpm.pre_sp②" hidden="1" xlm="1">#NAME?</definedName>
    <definedName name="_xlpm.pre_sp③" hidden="1" xlm="1">#NAME?</definedName>
    <definedName name="_xlpm.pre_sp④" hidden="1" xlm="1">#NAME?</definedName>
    <definedName name="_xlpm.q" hidden="1" xlm="1">#NAME?</definedName>
    <definedName name="_xlpm.seq①" hidden="1" xlm="1">#NAME?</definedName>
    <definedName name="_xlpm.seq②" hidden="1" xlm="1">#NAME?</definedName>
    <definedName name="_xlpm.seq③" hidden="1" xlm="1">#NAME?</definedName>
    <definedName name="_xlpm.seq④" hidden="1" xlm="1">#NAME?</definedName>
    <definedName name="_xlpm.txt①" hidden="1" xlm="1">#NAME?</definedName>
    <definedName name="_xlpm.txt②" hidden="1" xlm="1">#NAME?</definedName>
    <definedName name="_xlpm.txt③" hidden="1" xlm="1">#NAME?</definedName>
    <definedName name="_xlpm.txt④" hidden="1" xlm="1">#NAME?</definedName>
    <definedName name="_xlpm.シフト判定" hidden="1" xlm="1">#NAME?</definedName>
    <definedName name="_xlpm.区切り①" hidden="1" xlm="1">#NAME?</definedName>
    <definedName name="_xlpm.区切り②" hidden="1" xlm="1">#NAME?</definedName>
    <definedName name="_xlpm.区切り③" hidden="1" xlm="1">#NAME?</definedName>
    <definedName name="_xlpm.区切り④" hidden="1" xlm="1">#NAME?</definedName>
    <definedName name="_xlpm.対象範囲①" hidden="1" xlm="1">#NAME?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171" l="1"/>
  <c r="AP6" i="171"/>
  <c r="P6" i="171"/>
  <c r="U5" i="171"/>
  <c r="AP5" i="171"/>
  <c r="P5" i="171"/>
  <c r="AM501" i="172"/>
  <c r="AK501" i="172"/>
  <c r="AM400" i="172"/>
  <c r="AK400" i="172"/>
  <c r="A400" i="172"/>
  <c r="AM399" i="172"/>
  <c r="AK399" i="172"/>
  <c r="A399" i="172"/>
  <c r="AK398" i="172"/>
  <c r="A398" i="172"/>
  <c r="AM398" i="172"/>
  <c r="AM397" i="172"/>
  <c r="AK397" i="172"/>
  <c r="A397" i="172"/>
  <c r="AK396" i="172"/>
  <c r="A396" i="172"/>
  <c r="AM396" i="172"/>
  <c r="AK395" i="172"/>
  <c r="A395" i="172"/>
  <c r="AM395" i="172"/>
  <c r="AM394" i="172"/>
  <c r="AK394" i="172"/>
  <c r="A394" i="172"/>
  <c r="AM393" i="172"/>
  <c r="AK393" i="172"/>
  <c r="A393" i="172"/>
  <c r="AK392" i="172"/>
  <c r="A392" i="172"/>
  <c r="AM392" i="172"/>
  <c r="AM391" i="172"/>
  <c r="AK391" i="172"/>
  <c r="A391" i="172"/>
  <c r="AK390" i="172"/>
  <c r="A390" i="172"/>
  <c r="AM390" i="172"/>
  <c r="AK389" i="172"/>
  <c r="A389" i="172"/>
  <c r="AM389" i="172"/>
  <c r="AK388" i="172"/>
  <c r="A388" i="172"/>
  <c r="AM388" i="172"/>
  <c r="AM387" i="172"/>
  <c r="AK387" i="172"/>
  <c r="A387" i="172"/>
  <c r="AK386" i="172"/>
  <c r="A386" i="172"/>
  <c r="AM386" i="172"/>
  <c r="AK385" i="172"/>
  <c r="A385" i="172"/>
  <c r="AM385" i="172"/>
  <c r="AM384" i="172"/>
  <c r="AK384" i="172"/>
  <c r="A384" i="172"/>
  <c r="AM383" i="172"/>
  <c r="AK383" i="172"/>
  <c r="A383" i="172"/>
  <c r="AK382" i="172"/>
  <c r="A382" i="172"/>
  <c r="AM382" i="172"/>
  <c r="AM381" i="172"/>
  <c r="AK381" i="172"/>
  <c r="A381" i="172"/>
  <c r="AK380" i="172"/>
  <c r="A380" i="172"/>
  <c r="AM380" i="172"/>
  <c r="AK379" i="172"/>
  <c r="A379" i="172"/>
  <c r="AM379" i="172"/>
  <c r="AM378" i="172"/>
  <c r="AK378" i="172"/>
  <c r="A378" i="172"/>
  <c r="AM377" i="172"/>
  <c r="AK377" i="172"/>
  <c r="A377" i="172"/>
  <c r="AK376" i="172"/>
  <c r="A376" i="172"/>
  <c r="AM376" i="172"/>
  <c r="AM375" i="172"/>
  <c r="AK375" i="172"/>
  <c r="A375" i="172"/>
  <c r="AM374" i="172"/>
  <c r="AK374" i="172"/>
  <c r="A374" i="172"/>
  <c r="AK373" i="172"/>
  <c r="A373" i="172"/>
  <c r="AM373" i="172"/>
  <c r="AK372" i="172"/>
  <c r="A372" i="172"/>
  <c r="AM372" i="172"/>
  <c r="AM371" i="172"/>
  <c r="AK371" i="172"/>
  <c r="A371" i="172"/>
  <c r="AK370" i="172"/>
  <c r="A370" i="172"/>
  <c r="AM370" i="172"/>
  <c r="AK369" i="172"/>
  <c r="A369" i="172"/>
  <c r="AM369" i="172"/>
  <c r="AM368" i="172"/>
  <c r="AK368" i="172"/>
  <c r="A368" i="172"/>
  <c r="AM367" i="172"/>
  <c r="AK367" i="172"/>
  <c r="A367" i="172"/>
  <c r="AM366" i="172"/>
  <c r="AK366" i="172"/>
  <c r="A366" i="172"/>
  <c r="AM365" i="172"/>
  <c r="AK365" i="172"/>
  <c r="A365" i="172"/>
  <c r="AM364" i="172"/>
  <c r="AK364" i="172"/>
  <c r="A364" i="172"/>
  <c r="AK363" i="172"/>
  <c r="A363" i="172"/>
  <c r="AM363" i="172"/>
  <c r="AM362" i="172"/>
  <c r="AK362" i="172"/>
  <c r="A362" i="172"/>
  <c r="AK361" i="172"/>
  <c r="A361" i="172"/>
  <c r="AM361" i="172"/>
  <c r="AK360" i="172"/>
  <c r="A360" i="172"/>
  <c r="AM360" i="172"/>
  <c r="AM359" i="172"/>
  <c r="AK359" i="172"/>
  <c r="A359" i="172"/>
  <c r="AM358" i="172"/>
  <c r="AK358" i="172"/>
  <c r="A358" i="172"/>
  <c r="AK357" i="172"/>
  <c r="A357" i="172"/>
  <c r="AM357" i="172"/>
  <c r="AM356" i="172"/>
  <c r="AK356" i="172"/>
  <c r="A356" i="172"/>
  <c r="AM355" i="172"/>
  <c r="AK355" i="172"/>
  <c r="A355" i="172"/>
  <c r="AK354" i="172"/>
  <c r="A354" i="172"/>
  <c r="AM354" i="172"/>
  <c r="AK353" i="172"/>
  <c r="A353" i="172"/>
  <c r="AM353" i="172"/>
  <c r="AK352" i="172"/>
  <c r="A352" i="172"/>
  <c r="AM352" i="172"/>
  <c r="AM351" i="172"/>
  <c r="AK351" i="172"/>
  <c r="A351" i="172"/>
  <c r="AK350" i="172"/>
  <c r="A350" i="172"/>
  <c r="AM350" i="172"/>
  <c r="AM349" i="172"/>
  <c r="AK349" i="172"/>
  <c r="A349" i="172"/>
  <c r="AK348" i="172"/>
  <c r="A348" i="172"/>
  <c r="AM348" i="172"/>
  <c r="AM347" i="172"/>
  <c r="AK347" i="172"/>
  <c r="A347" i="172"/>
  <c r="AM346" i="172"/>
  <c r="AK346" i="172"/>
  <c r="A346" i="172"/>
  <c r="AK345" i="172"/>
  <c r="A345" i="172"/>
  <c r="AM345" i="172"/>
  <c r="AK344" i="172"/>
  <c r="A344" i="172"/>
  <c r="AM344" i="172"/>
  <c r="AM343" i="172"/>
  <c r="AK343" i="172"/>
  <c r="A343" i="172"/>
  <c r="AM342" i="172"/>
  <c r="AK342" i="172"/>
  <c r="A342" i="172"/>
  <c r="AK341" i="172"/>
  <c r="A341" i="172"/>
  <c r="AM341" i="172"/>
  <c r="AM340" i="172"/>
  <c r="AK340" i="172"/>
  <c r="A340" i="172"/>
  <c r="AM339" i="172"/>
  <c r="AK339" i="172"/>
  <c r="A339" i="172"/>
  <c r="AM338" i="172"/>
  <c r="AK338" i="172"/>
  <c r="A338" i="172"/>
  <c r="AK337" i="172"/>
  <c r="A337" i="172"/>
  <c r="AM337" i="172"/>
  <c r="AK336" i="172"/>
  <c r="A336" i="172"/>
  <c r="AM336" i="172"/>
  <c r="AK335" i="172"/>
  <c r="A335" i="172"/>
  <c r="AM335" i="172"/>
  <c r="AK334" i="172"/>
  <c r="A334" i="172"/>
  <c r="AM334" i="172"/>
  <c r="AM333" i="172"/>
  <c r="AK333" i="172"/>
  <c r="A333" i="172"/>
  <c r="AK332" i="172"/>
  <c r="A332" i="172"/>
  <c r="AM332" i="172"/>
  <c r="AM331" i="172"/>
  <c r="AK331" i="172"/>
  <c r="A331" i="172"/>
  <c r="AM330" i="172"/>
  <c r="AK330" i="172"/>
  <c r="A330" i="172"/>
  <c r="AM329" i="172"/>
  <c r="AK329" i="172"/>
  <c r="A329" i="172"/>
  <c r="AK328" i="172"/>
  <c r="A328" i="172"/>
  <c r="AM328" i="172"/>
  <c r="AM327" i="172"/>
  <c r="AK327" i="172"/>
  <c r="A327" i="172"/>
  <c r="AM326" i="172"/>
  <c r="AK326" i="172"/>
  <c r="A326" i="172"/>
  <c r="AK325" i="172"/>
  <c r="A325" i="172"/>
  <c r="AM325" i="172"/>
  <c r="AM324" i="172"/>
  <c r="AK324" i="172"/>
  <c r="A324" i="172"/>
  <c r="AM323" i="172"/>
  <c r="AK323" i="172"/>
  <c r="A323" i="172"/>
  <c r="AK322" i="172"/>
  <c r="A322" i="172"/>
  <c r="AM322" i="172"/>
  <c r="AK321" i="172"/>
  <c r="A321" i="172"/>
  <c r="AM321" i="172"/>
  <c r="AM320" i="172"/>
  <c r="AK320" i="172"/>
  <c r="A320" i="172"/>
  <c r="AK319" i="172"/>
  <c r="A319" i="172"/>
  <c r="AM319" i="172"/>
  <c r="AM318" i="172"/>
  <c r="AK318" i="172"/>
  <c r="A318" i="172"/>
  <c r="AK317" i="172"/>
  <c r="A317" i="172"/>
  <c r="AM317" i="172"/>
  <c r="AK316" i="172"/>
  <c r="A316" i="172"/>
  <c r="AM316" i="172"/>
  <c r="AK315" i="172"/>
  <c r="A315" i="172"/>
  <c r="AM315" i="172"/>
  <c r="AM314" i="172"/>
  <c r="AK314" i="172"/>
  <c r="A314" i="172"/>
  <c r="AM313" i="172"/>
  <c r="AK313" i="172"/>
  <c r="A313" i="172"/>
  <c r="AK312" i="172"/>
  <c r="A312" i="172"/>
  <c r="AM312" i="172"/>
  <c r="AM311" i="172"/>
  <c r="AK311" i="172"/>
  <c r="A311" i="172"/>
  <c r="AK310" i="172"/>
  <c r="A310" i="172"/>
  <c r="AM310" i="172"/>
  <c r="AK309" i="172"/>
  <c r="A309" i="172"/>
  <c r="AM309" i="172"/>
  <c r="AM308" i="172"/>
  <c r="AK308" i="172"/>
  <c r="A308" i="172"/>
  <c r="AK307" i="172"/>
  <c r="A307" i="172"/>
  <c r="AM307" i="172"/>
  <c r="AM306" i="172"/>
  <c r="AK306" i="172"/>
  <c r="A306" i="172"/>
  <c r="AM305" i="172"/>
  <c r="AK305" i="172"/>
  <c r="A305" i="172"/>
  <c r="AK304" i="172"/>
  <c r="A304" i="172"/>
  <c r="AM304" i="172"/>
  <c r="AM303" i="172"/>
  <c r="AK303" i="172"/>
  <c r="A303" i="172"/>
  <c r="AM302" i="172"/>
  <c r="AK302" i="172"/>
  <c r="A302" i="172"/>
  <c r="AK301" i="172"/>
  <c r="A301" i="172"/>
  <c r="AM301" i="172"/>
  <c r="AK300" i="172"/>
  <c r="A300" i="172"/>
  <c r="AM300" i="172"/>
  <c r="AK299" i="172"/>
  <c r="A299" i="172"/>
  <c r="AM299" i="172"/>
  <c r="AM298" i="172"/>
  <c r="AK298" i="172"/>
  <c r="A298" i="172"/>
  <c r="AK297" i="172"/>
  <c r="A297" i="172"/>
  <c r="AM297" i="172"/>
  <c r="AK296" i="172"/>
  <c r="A296" i="172"/>
  <c r="AM296" i="172"/>
  <c r="AM295" i="172"/>
  <c r="AK295" i="172"/>
  <c r="A295" i="172"/>
  <c r="AK294" i="172"/>
  <c r="A294" i="172"/>
  <c r="AM294" i="172"/>
  <c r="AK293" i="172"/>
  <c r="A293" i="172"/>
  <c r="AM293" i="172"/>
  <c r="AK292" i="172"/>
  <c r="A292" i="172"/>
  <c r="AM292" i="172"/>
  <c r="AM291" i="172"/>
  <c r="AK291" i="172"/>
  <c r="A291" i="172"/>
  <c r="AM290" i="172"/>
  <c r="AK290" i="172"/>
  <c r="A290" i="172"/>
  <c r="AK289" i="172"/>
  <c r="A289" i="172"/>
  <c r="AM289" i="172"/>
  <c r="AM288" i="172"/>
  <c r="AK288" i="172"/>
  <c r="A288" i="172"/>
  <c r="AM287" i="172"/>
  <c r="AK287" i="172"/>
  <c r="A287" i="172"/>
  <c r="AK286" i="172"/>
  <c r="A286" i="172"/>
  <c r="AM286" i="172"/>
  <c r="AK285" i="172"/>
  <c r="A285" i="172"/>
  <c r="AM285" i="172"/>
  <c r="AM284" i="172"/>
  <c r="AK284" i="172"/>
  <c r="A284" i="172"/>
  <c r="AK283" i="172"/>
  <c r="A283" i="172"/>
  <c r="AM283" i="172"/>
  <c r="AK282" i="172"/>
  <c r="A282" i="172"/>
  <c r="AM282" i="172"/>
  <c r="AK281" i="172"/>
  <c r="A281" i="172"/>
  <c r="AM281" i="172"/>
  <c r="AM280" i="172"/>
  <c r="AK280" i="172"/>
  <c r="A280" i="172"/>
  <c r="AM279" i="172"/>
  <c r="AK279" i="172"/>
  <c r="A279" i="172"/>
  <c r="AK278" i="172"/>
  <c r="A278" i="172"/>
  <c r="AM278" i="172"/>
  <c r="AM277" i="172"/>
  <c r="AK277" i="172"/>
  <c r="A277" i="172"/>
  <c r="AM276" i="172"/>
  <c r="AK276" i="172"/>
  <c r="A276" i="172"/>
  <c r="AM275" i="172"/>
  <c r="AK275" i="172"/>
  <c r="A275" i="172"/>
  <c r="AK274" i="172"/>
  <c r="A274" i="172"/>
  <c r="AM274" i="172"/>
  <c r="AK273" i="172"/>
  <c r="A273" i="172"/>
  <c r="AM273" i="172"/>
  <c r="AM272" i="172"/>
  <c r="AK272" i="172"/>
  <c r="A272" i="172"/>
  <c r="AM271" i="172"/>
  <c r="AK271" i="172"/>
  <c r="A271" i="172"/>
  <c r="AK270" i="172"/>
  <c r="A270" i="172"/>
  <c r="AM270" i="172"/>
  <c r="AK269" i="172"/>
  <c r="A269" i="172"/>
  <c r="AM269" i="172"/>
  <c r="AK268" i="172"/>
  <c r="A268" i="172"/>
  <c r="AM268" i="172"/>
  <c r="AM267" i="172"/>
  <c r="AK267" i="172"/>
  <c r="A267" i="172"/>
  <c r="AM266" i="172"/>
  <c r="AK266" i="172"/>
  <c r="A266" i="172"/>
  <c r="AK265" i="172"/>
  <c r="A265" i="172"/>
  <c r="AM265" i="172"/>
  <c r="AK264" i="172"/>
  <c r="A264" i="172"/>
  <c r="AM264" i="172"/>
  <c r="AM263" i="172"/>
  <c r="AK263" i="172"/>
  <c r="A263" i="172"/>
  <c r="AK262" i="172"/>
  <c r="A262" i="172"/>
  <c r="AM262" i="172"/>
  <c r="AK261" i="172"/>
  <c r="A261" i="172"/>
  <c r="AM261" i="172"/>
  <c r="AM260" i="172"/>
  <c r="AK260" i="172"/>
  <c r="A260" i="172"/>
  <c r="AK259" i="172"/>
  <c r="A259" i="172"/>
  <c r="AM259" i="172"/>
  <c r="AK258" i="172"/>
  <c r="A258" i="172"/>
  <c r="AM258" i="172"/>
  <c r="AM257" i="172"/>
  <c r="AK257" i="172"/>
  <c r="A257" i="172"/>
  <c r="AM256" i="172"/>
  <c r="AK256" i="172"/>
  <c r="A256" i="172"/>
  <c r="AM255" i="172"/>
  <c r="AK255" i="172"/>
  <c r="A255" i="172"/>
  <c r="AK254" i="172"/>
  <c r="A254" i="172"/>
  <c r="AM254" i="172"/>
  <c r="AK253" i="172"/>
  <c r="A253" i="172"/>
  <c r="AM253" i="172"/>
  <c r="AM252" i="172"/>
  <c r="AK252" i="172"/>
  <c r="A252" i="172"/>
  <c r="AM251" i="172"/>
  <c r="AK251" i="172"/>
  <c r="A251" i="172"/>
  <c r="AM250" i="172"/>
  <c r="AK250" i="172"/>
  <c r="A250" i="172"/>
  <c r="AK249" i="172"/>
  <c r="A249" i="172"/>
  <c r="AM249" i="172"/>
  <c r="AM248" i="172"/>
  <c r="AK248" i="172"/>
  <c r="A248" i="172"/>
  <c r="AM247" i="172"/>
  <c r="AK247" i="172"/>
  <c r="A247" i="172"/>
  <c r="AK246" i="172"/>
  <c r="A246" i="172"/>
  <c r="AM246" i="172"/>
  <c r="AK245" i="172"/>
  <c r="A245" i="172"/>
  <c r="AM245" i="172"/>
  <c r="AM244" i="172"/>
  <c r="AK244" i="172"/>
  <c r="A244" i="172"/>
  <c r="AK243" i="172"/>
  <c r="A243" i="172"/>
  <c r="AM243" i="172"/>
  <c r="AM242" i="172"/>
  <c r="AK242" i="172"/>
  <c r="A242" i="172"/>
  <c r="AM241" i="172"/>
  <c r="AK241" i="172"/>
  <c r="A241" i="172"/>
  <c r="AM240" i="172"/>
  <c r="AK240" i="172"/>
  <c r="A240" i="172"/>
  <c r="AM239" i="172"/>
  <c r="AK239" i="172"/>
  <c r="A239" i="172"/>
  <c r="AK238" i="172"/>
  <c r="A238" i="172"/>
  <c r="AM238" i="172"/>
  <c r="AM237" i="172"/>
  <c r="AK237" i="172"/>
  <c r="A237" i="172"/>
  <c r="AM236" i="172"/>
  <c r="AK236" i="172"/>
  <c r="A236" i="172"/>
  <c r="AK235" i="172"/>
  <c r="A235" i="172"/>
  <c r="AM235" i="172"/>
  <c r="AK234" i="172"/>
  <c r="A234" i="172"/>
  <c r="AM234" i="172"/>
  <c r="AK233" i="172"/>
  <c r="A233" i="172"/>
  <c r="AM233" i="172"/>
  <c r="AM232" i="172"/>
  <c r="AK232" i="172"/>
  <c r="A232" i="172"/>
  <c r="AM231" i="172"/>
  <c r="AK231" i="172"/>
  <c r="A231" i="172"/>
  <c r="AK230" i="172"/>
  <c r="A230" i="172"/>
  <c r="AM230" i="172"/>
  <c r="AM229" i="172"/>
  <c r="AK229" i="172"/>
  <c r="A229" i="172"/>
  <c r="AM228" i="172"/>
  <c r="AK228" i="172"/>
  <c r="A228" i="172"/>
  <c r="AK227" i="172"/>
  <c r="A227" i="172"/>
  <c r="AM227" i="172"/>
  <c r="AM226" i="172"/>
  <c r="AK226" i="172"/>
  <c r="A226" i="172"/>
  <c r="AK225" i="172"/>
  <c r="A225" i="172"/>
  <c r="AM225" i="172"/>
  <c r="AM224" i="172"/>
  <c r="AK224" i="172"/>
  <c r="A224" i="172"/>
  <c r="AM223" i="172"/>
  <c r="AK223" i="172"/>
  <c r="A223" i="172"/>
  <c r="AK222" i="172"/>
  <c r="A222" i="172"/>
  <c r="AM222" i="172"/>
  <c r="AM221" i="172"/>
  <c r="AK221" i="172"/>
  <c r="A221" i="172"/>
  <c r="AM220" i="172"/>
  <c r="AK220" i="172"/>
  <c r="A220" i="172"/>
  <c r="AM219" i="172"/>
  <c r="AK219" i="172"/>
  <c r="A219" i="172"/>
  <c r="AK218" i="172"/>
  <c r="A218" i="172"/>
  <c r="AM218" i="172"/>
  <c r="AK217" i="172"/>
  <c r="A217" i="172"/>
  <c r="AM217" i="172"/>
  <c r="AM216" i="172"/>
  <c r="AK216" i="172"/>
  <c r="A216" i="172"/>
  <c r="AK215" i="172"/>
  <c r="A215" i="172"/>
  <c r="AM215" i="172"/>
  <c r="AK214" i="172"/>
  <c r="A214" i="172"/>
  <c r="AM214" i="172"/>
  <c r="AM213" i="172"/>
  <c r="AK213" i="172"/>
  <c r="A213" i="172"/>
  <c r="AM212" i="172"/>
  <c r="AK212" i="172"/>
  <c r="A212" i="172"/>
  <c r="AM211" i="172"/>
  <c r="AK211" i="172"/>
  <c r="A211" i="172"/>
  <c r="AK210" i="172"/>
  <c r="A210" i="172"/>
  <c r="AM210" i="172"/>
  <c r="AK209" i="172"/>
  <c r="A209" i="172"/>
  <c r="AM209" i="172"/>
  <c r="AM208" i="172"/>
  <c r="AK208" i="172"/>
  <c r="A208" i="172"/>
  <c r="AK207" i="172"/>
  <c r="A207" i="172"/>
  <c r="AM207" i="172"/>
  <c r="AM206" i="172"/>
  <c r="AK206" i="172"/>
  <c r="A206" i="172"/>
  <c r="AK205" i="172"/>
  <c r="A205" i="172"/>
  <c r="AM205" i="172"/>
  <c r="AM204" i="172"/>
  <c r="AK204" i="172"/>
  <c r="A204" i="172"/>
  <c r="AM203" i="172"/>
  <c r="AK203" i="172"/>
  <c r="A203" i="172"/>
  <c r="AK202" i="172"/>
  <c r="A202" i="172"/>
  <c r="AM202" i="172"/>
  <c r="AM201" i="172"/>
  <c r="AK201" i="172"/>
  <c r="A201" i="172"/>
  <c r="AM200" i="172"/>
  <c r="AK200" i="172"/>
  <c r="A200" i="172"/>
  <c r="AK199" i="172"/>
  <c r="A199" i="172"/>
  <c r="AM199" i="172"/>
  <c r="AK198" i="172"/>
  <c r="A198" i="172"/>
  <c r="AM198" i="172"/>
  <c r="AM197" i="172"/>
  <c r="AK197" i="172"/>
  <c r="A197" i="172"/>
  <c r="AM196" i="172"/>
  <c r="AK196" i="172"/>
  <c r="A196" i="172"/>
  <c r="AM195" i="172"/>
  <c r="AK195" i="172"/>
  <c r="A195" i="172"/>
  <c r="AK194" i="172"/>
  <c r="A194" i="172"/>
  <c r="AM194" i="172"/>
  <c r="AM193" i="172"/>
  <c r="AK193" i="172"/>
  <c r="A193" i="172"/>
  <c r="AM192" i="172"/>
  <c r="AK192" i="172"/>
  <c r="A192" i="172"/>
  <c r="AK191" i="172"/>
  <c r="A191" i="172"/>
  <c r="AM191" i="172"/>
  <c r="AM190" i="172"/>
  <c r="AK190" i="172"/>
  <c r="A190" i="172"/>
  <c r="AK189" i="172"/>
  <c r="A189" i="172"/>
  <c r="AM189" i="172"/>
  <c r="AM188" i="172"/>
  <c r="AK188" i="172"/>
  <c r="A188" i="172"/>
  <c r="AK187" i="172"/>
  <c r="A187" i="172"/>
  <c r="AM187" i="172"/>
  <c r="AK186" i="172"/>
  <c r="A186" i="172"/>
  <c r="AM186" i="172"/>
  <c r="AM185" i="172"/>
  <c r="AK185" i="172"/>
  <c r="A185" i="172"/>
  <c r="AM184" i="172"/>
  <c r="AK184" i="172"/>
  <c r="A184" i="172"/>
  <c r="AK183" i="172"/>
  <c r="A183" i="172"/>
  <c r="AM183" i="172"/>
  <c r="AK182" i="172"/>
  <c r="A182" i="172"/>
  <c r="AM182" i="172"/>
  <c r="AK181" i="172"/>
  <c r="A181" i="172"/>
  <c r="AM181" i="172"/>
  <c r="AM180" i="172"/>
  <c r="AK180" i="172"/>
  <c r="A180" i="172"/>
  <c r="AM179" i="172"/>
  <c r="AK179" i="172"/>
  <c r="A179" i="172"/>
  <c r="AK178" i="172"/>
  <c r="A178" i="172"/>
  <c r="AM178" i="172"/>
  <c r="AM177" i="172"/>
  <c r="AK177" i="172"/>
  <c r="A177" i="172"/>
  <c r="AM176" i="172"/>
  <c r="AK176" i="172"/>
  <c r="A176" i="172"/>
  <c r="AK175" i="172"/>
  <c r="A175" i="172"/>
  <c r="AM175" i="172"/>
  <c r="AM174" i="172"/>
  <c r="AK174" i="172"/>
  <c r="A174" i="172"/>
  <c r="AM173" i="172"/>
  <c r="AK173" i="172"/>
  <c r="A173" i="172"/>
  <c r="AM172" i="172"/>
  <c r="AK172" i="172"/>
  <c r="A172" i="172"/>
  <c r="AM171" i="172"/>
  <c r="AK171" i="172"/>
  <c r="A171" i="172"/>
  <c r="AK170" i="172"/>
  <c r="A170" i="172"/>
  <c r="AM170" i="172"/>
  <c r="AK169" i="172"/>
  <c r="A169" i="172"/>
  <c r="AM169" i="172"/>
  <c r="AM168" i="172"/>
  <c r="AK168" i="172"/>
  <c r="A168" i="172"/>
  <c r="AM167" i="172"/>
  <c r="AK167" i="172"/>
  <c r="A167" i="172"/>
  <c r="AK166" i="172"/>
  <c r="A166" i="172"/>
  <c r="AM166" i="172"/>
  <c r="AM165" i="172"/>
  <c r="AK165" i="172"/>
  <c r="A165" i="172"/>
  <c r="AM164" i="172"/>
  <c r="AK164" i="172"/>
  <c r="A164" i="172"/>
  <c r="AK163" i="172"/>
  <c r="A163" i="172"/>
  <c r="AM163" i="172"/>
  <c r="AM162" i="172"/>
  <c r="AK162" i="172"/>
  <c r="A162" i="172"/>
  <c r="AM161" i="172"/>
  <c r="AK161" i="172"/>
  <c r="A161" i="172"/>
  <c r="AM160" i="172"/>
  <c r="AK160" i="172"/>
  <c r="A160" i="172"/>
  <c r="AM159" i="172"/>
  <c r="AK159" i="172"/>
  <c r="A159" i="172"/>
  <c r="AK158" i="172"/>
  <c r="A158" i="172"/>
  <c r="AM158" i="172"/>
  <c r="AK157" i="172"/>
  <c r="A157" i="172"/>
  <c r="AM157" i="172"/>
  <c r="AM156" i="172"/>
  <c r="AK156" i="172"/>
  <c r="A156" i="172"/>
  <c r="AM155" i="172"/>
  <c r="AK155" i="172"/>
  <c r="A155" i="172"/>
  <c r="AK154" i="172"/>
  <c r="A154" i="172"/>
  <c r="AM154" i="172"/>
  <c r="AM153" i="172"/>
  <c r="AK153" i="172"/>
  <c r="A153" i="172"/>
  <c r="AM152" i="172"/>
  <c r="AK152" i="172"/>
  <c r="A152" i="172"/>
  <c r="AK151" i="172"/>
  <c r="A151" i="172"/>
  <c r="AM151" i="172"/>
  <c r="AM150" i="172"/>
  <c r="AK150" i="172"/>
  <c r="A150" i="172"/>
  <c r="AM149" i="172"/>
  <c r="AK149" i="172"/>
  <c r="A149" i="172"/>
  <c r="AM148" i="172"/>
  <c r="AK148" i="172"/>
  <c r="A148" i="172"/>
  <c r="AM147" i="172"/>
  <c r="AK147" i="172"/>
  <c r="A147" i="172"/>
  <c r="AK146" i="172"/>
  <c r="A146" i="172"/>
  <c r="AM146" i="172"/>
  <c r="AK145" i="172"/>
  <c r="A145" i="172"/>
  <c r="AM145" i="172"/>
  <c r="AM144" i="172"/>
  <c r="AK144" i="172"/>
  <c r="A144" i="172"/>
  <c r="AM143" i="172"/>
  <c r="AK143" i="172"/>
  <c r="A143" i="172"/>
  <c r="AK142" i="172"/>
  <c r="A142" i="172"/>
  <c r="AM142" i="172"/>
  <c r="AM141" i="172"/>
  <c r="AK141" i="172"/>
  <c r="A141" i="172"/>
  <c r="AM140" i="172"/>
  <c r="AK140" i="172"/>
  <c r="A140" i="172"/>
  <c r="AK139" i="172"/>
  <c r="A139" i="172"/>
  <c r="AM139" i="172"/>
  <c r="AM138" i="172"/>
  <c r="AK138" i="172"/>
  <c r="A138" i="172"/>
  <c r="AK137" i="172"/>
  <c r="A137" i="172"/>
  <c r="AM137" i="172"/>
  <c r="AM136" i="172"/>
  <c r="AK136" i="172"/>
  <c r="A136" i="172"/>
  <c r="AK135" i="172"/>
  <c r="A135" i="172"/>
  <c r="AM135" i="172"/>
  <c r="AM134" i="172"/>
  <c r="AK134" i="172"/>
  <c r="A134" i="172"/>
  <c r="AK133" i="172"/>
  <c r="A133" i="172"/>
  <c r="AM133" i="172"/>
  <c r="AM132" i="172"/>
  <c r="AK132" i="172"/>
  <c r="A132" i="172"/>
  <c r="AM131" i="172"/>
  <c r="AK131" i="172"/>
  <c r="A131" i="172"/>
  <c r="AK130" i="172"/>
  <c r="A130" i="172"/>
  <c r="AM130" i="172"/>
  <c r="AK129" i="172"/>
  <c r="A129" i="172"/>
  <c r="AM129" i="172"/>
  <c r="AM128" i="172"/>
  <c r="AK128" i="172"/>
  <c r="A128" i="172"/>
  <c r="AK127" i="172"/>
  <c r="A127" i="172"/>
  <c r="AM127" i="172"/>
  <c r="AK126" i="172"/>
  <c r="A126" i="172"/>
  <c r="AM126" i="172"/>
  <c r="AM125" i="172"/>
  <c r="AK125" i="172"/>
  <c r="A125" i="172"/>
  <c r="AK124" i="172"/>
  <c r="A124" i="172"/>
  <c r="AM124" i="172"/>
  <c r="AM123" i="172"/>
  <c r="AK123" i="172"/>
  <c r="A123" i="172"/>
  <c r="AM122" i="172"/>
  <c r="AK122" i="172"/>
  <c r="A122" i="172"/>
  <c r="AK121" i="172"/>
  <c r="A121" i="172"/>
  <c r="AM121" i="172"/>
  <c r="AK120" i="172"/>
  <c r="A120" i="172"/>
  <c r="AM120" i="172"/>
  <c r="AM119" i="172"/>
  <c r="AK119" i="172"/>
  <c r="A119" i="172"/>
  <c r="AK118" i="172"/>
  <c r="A118" i="172"/>
  <c r="AM118" i="172"/>
  <c r="AK117" i="172"/>
  <c r="A117" i="172"/>
  <c r="AM117" i="172"/>
  <c r="AM116" i="172"/>
  <c r="AK116" i="172"/>
  <c r="A116" i="172"/>
  <c r="AK115" i="172"/>
  <c r="A115" i="172"/>
  <c r="AM115" i="172"/>
  <c r="AK114" i="172"/>
  <c r="A114" i="172"/>
  <c r="AM114" i="172"/>
  <c r="AK113" i="172"/>
  <c r="A113" i="172"/>
  <c r="AM113" i="172"/>
  <c r="AM112" i="172"/>
  <c r="AK112" i="172"/>
  <c r="A112" i="172"/>
  <c r="AK111" i="172"/>
  <c r="A111" i="172"/>
  <c r="AM111" i="172"/>
  <c r="AM110" i="172"/>
  <c r="AK110" i="172"/>
  <c r="A110" i="172"/>
  <c r="AK109" i="172"/>
  <c r="A109" i="172"/>
  <c r="AM109" i="172"/>
  <c r="AM108" i="172"/>
  <c r="AK108" i="172"/>
  <c r="A108" i="172"/>
  <c r="AK107" i="172"/>
  <c r="A107" i="172"/>
  <c r="AM107" i="172"/>
  <c r="AM106" i="172"/>
  <c r="AK106" i="172"/>
  <c r="A106" i="172"/>
  <c r="AK105" i="172"/>
  <c r="A105" i="172"/>
  <c r="AM105" i="172"/>
  <c r="AK104" i="172"/>
  <c r="A104" i="172"/>
  <c r="AM104" i="172"/>
  <c r="AK103" i="172"/>
  <c r="A103" i="172"/>
  <c r="AM103" i="172"/>
  <c r="AM102" i="172"/>
  <c r="AK102" i="172"/>
  <c r="A102" i="172"/>
  <c r="AK101" i="172"/>
  <c r="A101" i="172"/>
  <c r="AM101" i="172"/>
  <c r="AK100" i="172"/>
  <c r="A100" i="172"/>
  <c r="AM100" i="172"/>
  <c r="AM99" i="172"/>
  <c r="AK99" i="172"/>
  <c r="A99" i="172"/>
  <c r="AM98" i="172"/>
  <c r="AK98" i="172"/>
  <c r="A98" i="172"/>
  <c r="AK97" i="172"/>
  <c r="A97" i="172"/>
  <c r="AM97" i="172"/>
  <c r="AK96" i="172"/>
  <c r="A96" i="172"/>
  <c r="AM96" i="172"/>
  <c r="AM95" i="172"/>
  <c r="AK95" i="172"/>
  <c r="A95" i="172"/>
  <c r="AM94" i="172"/>
  <c r="AK94" i="172"/>
  <c r="A94" i="172"/>
  <c r="AK93" i="172"/>
  <c r="A93" i="172"/>
  <c r="AM93" i="172"/>
  <c r="AK92" i="172"/>
  <c r="A92" i="172"/>
  <c r="AM92" i="172"/>
  <c r="AK91" i="172"/>
  <c r="A91" i="172"/>
  <c r="AM91" i="172"/>
  <c r="AM90" i="172"/>
  <c r="AK90" i="172"/>
  <c r="A90" i="172"/>
  <c r="AK89" i="172"/>
  <c r="A89" i="172"/>
  <c r="AM89" i="172"/>
  <c r="AK88" i="172"/>
  <c r="A88" i="172"/>
  <c r="AM88" i="172"/>
  <c r="AM87" i="172"/>
  <c r="AK87" i="172"/>
  <c r="A87" i="172"/>
  <c r="AM86" i="172"/>
  <c r="AK86" i="172"/>
  <c r="A86" i="172"/>
  <c r="AK85" i="172"/>
  <c r="A85" i="172"/>
  <c r="AM85" i="172"/>
  <c r="AK84" i="172"/>
  <c r="A84" i="172"/>
  <c r="AM84" i="172"/>
  <c r="AM83" i="172"/>
  <c r="AK83" i="172"/>
  <c r="A83" i="172"/>
  <c r="AM82" i="172"/>
  <c r="AK82" i="172"/>
  <c r="A82" i="172"/>
  <c r="AM81" i="172"/>
  <c r="AK81" i="172"/>
  <c r="A81" i="172"/>
  <c r="AK80" i="172"/>
  <c r="A80" i="172"/>
  <c r="AM80" i="172"/>
  <c r="AK79" i="172"/>
  <c r="A79" i="172"/>
  <c r="AM79" i="172"/>
  <c r="AM78" i="172"/>
  <c r="AK78" i="172"/>
  <c r="A78" i="172"/>
  <c r="AK77" i="172"/>
  <c r="A77" i="172"/>
  <c r="AM77" i="172"/>
  <c r="AK76" i="172"/>
  <c r="A76" i="172"/>
  <c r="AM76" i="172"/>
  <c r="AM75" i="172"/>
  <c r="AK75" i="172"/>
  <c r="A75" i="172"/>
  <c r="AM74" i="172"/>
  <c r="AK74" i="172"/>
  <c r="A74" i="172"/>
  <c r="AK73" i="172"/>
  <c r="A73" i="172"/>
  <c r="AM73" i="172"/>
  <c r="AK72" i="172"/>
  <c r="A72" i="172"/>
  <c r="AM72" i="172"/>
  <c r="AK71" i="172"/>
  <c r="A71" i="172"/>
  <c r="AM71" i="172"/>
  <c r="AM70" i="172"/>
  <c r="AK70" i="172"/>
  <c r="A70" i="172"/>
  <c r="AK69" i="172"/>
  <c r="A69" i="172"/>
  <c r="AM69" i="172"/>
  <c r="AK68" i="172"/>
  <c r="A68" i="172"/>
  <c r="AM68" i="172"/>
  <c r="AK67" i="172"/>
  <c r="A67" i="172"/>
  <c r="AM67" i="172"/>
  <c r="AM66" i="172"/>
  <c r="AK66" i="172"/>
  <c r="A66" i="172"/>
  <c r="AM65" i="172"/>
  <c r="AK65" i="172"/>
  <c r="A65" i="172"/>
  <c r="AK64" i="172"/>
  <c r="A64" i="172"/>
  <c r="AM64" i="172"/>
  <c r="AM63" i="172"/>
  <c r="AK63" i="172"/>
  <c r="A63" i="172"/>
  <c r="AM62" i="172"/>
  <c r="AK62" i="172"/>
  <c r="A62" i="172"/>
  <c r="AK61" i="172"/>
  <c r="A61" i="172"/>
  <c r="AM61" i="172"/>
  <c r="AK60" i="172"/>
  <c r="A60" i="172"/>
  <c r="AM60" i="172"/>
  <c r="AK59" i="172"/>
  <c r="A59" i="172"/>
  <c r="AM59" i="172"/>
  <c r="AM58" i="172"/>
  <c r="AK58" i="172"/>
  <c r="A58" i="172"/>
  <c r="AK57" i="172"/>
  <c r="A57" i="172"/>
  <c r="AM57" i="172"/>
  <c r="AK56" i="172"/>
  <c r="A56" i="172"/>
  <c r="AM56" i="172"/>
  <c r="AK55" i="172"/>
  <c r="A55" i="172"/>
  <c r="AM55" i="172"/>
  <c r="AM54" i="172"/>
  <c r="AK54" i="172"/>
  <c r="A54" i="172"/>
  <c r="AM53" i="172"/>
  <c r="AK53" i="172"/>
  <c r="A53" i="172"/>
  <c r="AK52" i="172"/>
  <c r="A52" i="172"/>
  <c r="AM52" i="172"/>
  <c r="AM51" i="172"/>
  <c r="AK51" i="172"/>
  <c r="A51" i="172"/>
  <c r="AM50" i="172"/>
  <c r="AK50" i="172"/>
  <c r="A50" i="172"/>
  <c r="AK49" i="172"/>
  <c r="A49" i="172"/>
  <c r="AM49" i="172"/>
  <c r="AK48" i="172"/>
  <c r="A48" i="172"/>
  <c r="AM48" i="172"/>
  <c r="AK47" i="172"/>
  <c r="A47" i="172"/>
  <c r="AM47" i="172"/>
  <c r="AM46" i="172"/>
  <c r="AK46" i="172"/>
  <c r="A46" i="172"/>
  <c r="AK45" i="172"/>
  <c r="A45" i="172"/>
  <c r="AM45" i="172"/>
  <c r="AK44" i="172"/>
  <c r="A44" i="172"/>
  <c r="AM44" i="172"/>
  <c r="AK43" i="172"/>
  <c r="A43" i="172"/>
  <c r="AM43" i="172"/>
  <c r="AM42" i="172"/>
  <c r="AK42" i="172"/>
  <c r="A42" i="172"/>
  <c r="AM41" i="172"/>
  <c r="AK41" i="172"/>
  <c r="A41" i="172"/>
  <c r="AK40" i="172"/>
  <c r="A40" i="172"/>
  <c r="AM40" i="172"/>
  <c r="AM39" i="172"/>
  <c r="AK39" i="172"/>
  <c r="A39" i="172"/>
  <c r="AM38" i="172"/>
  <c r="AK38" i="172"/>
  <c r="A38" i="172"/>
  <c r="AK37" i="172"/>
  <c r="A37" i="172"/>
  <c r="AM37" i="172"/>
  <c r="AK36" i="172"/>
  <c r="A36" i="172"/>
  <c r="AM36" i="172"/>
  <c r="AK35" i="172"/>
  <c r="A35" i="172"/>
  <c r="AM35" i="172"/>
  <c r="AM34" i="172"/>
  <c r="AK34" i="172"/>
  <c r="A34" i="172"/>
  <c r="AM33" i="172"/>
  <c r="AK33" i="172"/>
  <c r="A33" i="172"/>
  <c r="AK32" i="172"/>
  <c r="A32" i="172"/>
  <c r="AM32" i="172"/>
  <c r="AK31" i="172"/>
  <c r="A31" i="172"/>
  <c r="AM31" i="172"/>
  <c r="AM30" i="172"/>
  <c r="AK30" i="172"/>
  <c r="A30" i="172"/>
  <c r="AK29" i="172"/>
  <c r="A29" i="172"/>
  <c r="AM29" i="172"/>
  <c r="AK28" i="172"/>
  <c r="A28" i="172"/>
  <c r="AM28" i="172"/>
  <c r="AM27" i="172"/>
  <c r="AK27" i="172"/>
  <c r="A27" i="172"/>
  <c r="AM26" i="172"/>
  <c r="AK26" i="172"/>
  <c r="A26" i="172"/>
  <c r="AK25" i="172"/>
  <c r="A25" i="172"/>
  <c r="AM25" i="172"/>
  <c r="AK24" i="172"/>
  <c r="A24" i="172"/>
  <c r="AM24" i="172"/>
  <c r="AK23" i="172"/>
  <c r="A23" i="172"/>
  <c r="AM23" i="172"/>
  <c r="AM22" i="172"/>
  <c r="AK22" i="172"/>
  <c r="A22" i="172"/>
  <c r="AM21" i="172"/>
  <c r="AK21" i="172"/>
  <c r="A21" i="172"/>
  <c r="AK20" i="172"/>
  <c r="A20" i="172"/>
  <c r="AM20" i="172"/>
  <c r="AK19" i="172"/>
  <c r="A19" i="172"/>
  <c r="AM19" i="172"/>
  <c r="AM18" i="172"/>
  <c r="AK18" i="172"/>
  <c r="A18" i="172"/>
  <c r="AK17" i="172"/>
  <c r="A17" i="172"/>
  <c r="AM17" i="172"/>
  <c r="AK16" i="172"/>
  <c r="A16" i="172"/>
  <c r="AM16" i="172"/>
  <c r="AM15" i="172"/>
  <c r="AK15" i="172"/>
  <c r="A15" i="172"/>
  <c r="AM14" i="172"/>
  <c r="AK14" i="172"/>
  <c r="A14" i="172"/>
  <c r="AK13" i="172"/>
  <c r="A13" i="172"/>
  <c r="AM13" i="172"/>
  <c r="AK12" i="172"/>
  <c r="A12" i="172"/>
  <c r="AM12" i="172"/>
  <c r="AM11" i="172"/>
  <c r="AK11" i="172"/>
  <c r="A11" i="172"/>
  <c r="AM10" i="172"/>
  <c r="AK10" i="172"/>
  <c r="A10" i="172"/>
  <c r="AK9" i="172"/>
  <c r="A9" i="172"/>
  <c r="AM9" i="172"/>
  <c r="AK8" i="172"/>
  <c r="A8" i="172"/>
  <c r="AL6" i="172"/>
  <c r="AM7" i="172"/>
  <c r="AL7" i="172"/>
  <c r="M3" i="172"/>
  <c r="AO400" i="171"/>
  <c r="AN400" i="171"/>
  <c r="AM400" i="171"/>
  <c r="AG400" i="171"/>
  <c r="AE400" i="171"/>
  <c r="Z400" i="171"/>
  <c r="AO399" i="171"/>
  <c r="AN399" i="171"/>
  <c r="AM399" i="171"/>
  <c r="AG399" i="171"/>
  <c r="AE399" i="171"/>
  <c r="Z399" i="171"/>
  <c r="AO398" i="171"/>
  <c r="AN398" i="171"/>
  <c r="AM398" i="171"/>
  <c r="AG398" i="171"/>
  <c r="AE398" i="171"/>
  <c r="Z398" i="171"/>
  <c r="AO397" i="171"/>
  <c r="AN397" i="171"/>
  <c r="AM397" i="171"/>
  <c r="AG397" i="171"/>
  <c r="AE397" i="171"/>
  <c r="Z397" i="171"/>
  <c r="AO396" i="171"/>
  <c r="AN396" i="171"/>
  <c r="AM396" i="171"/>
  <c r="AG396" i="171"/>
  <c r="AE396" i="171"/>
  <c r="Z396" i="171"/>
  <c r="AO395" i="171"/>
  <c r="AN395" i="171"/>
  <c r="AM395" i="171"/>
  <c r="AG395" i="171"/>
  <c r="AE395" i="171"/>
  <c r="Z395" i="171"/>
  <c r="AO394" i="171"/>
  <c r="AN394" i="171"/>
  <c r="AM394" i="171"/>
  <c r="AG394" i="171"/>
  <c r="AE394" i="171"/>
  <c r="Z394" i="171"/>
  <c r="AO393" i="171"/>
  <c r="AN393" i="171"/>
  <c r="AM393" i="171"/>
  <c r="AG393" i="171"/>
  <c r="AE393" i="171"/>
  <c r="Z393" i="171"/>
  <c r="AO392" i="171"/>
  <c r="AN392" i="171"/>
  <c r="AM392" i="171"/>
  <c r="AG392" i="171"/>
  <c r="AE392" i="171"/>
  <c r="Z392" i="171"/>
  <c r="AO391" i="171"/>
  <c r="AN391" i="171"/>
  <c r="AM391" i="171"/>
  <c r="AG391" i="171"/>
  <c r="AE391" i="171"/>
  <c r="Z391" i="171"/>
  <c r="AO390" i="171"/>
  <c r="AN390" i="171"/>
  <c r="AM390" i="171"/>
  <c r="AG390" i="171"/>
  <c r="AE390" i="171"/>
  <c r="Z390" i="171"/>
  <c r="AO389" i="171"/>
  <c r="AN389" i="171"/>
  <c r="AM389" i="171"/>
  <c r="AG389" i="171"/>
  <c r="AE389" i="171"/>
  <c r="Z389" i="171"/>
  <c r="AO388" i="171"/>
  <c r="AN388" i="171"/>
  <c r="AM388" i="171"/>
  <c r="AG388" i="171"/>
  <c r="AE388" i="171"/>
  <c r="Z388" i="171"/>
  <c r="AO387" i="171"/>
  <c r="AN387" i="171"/>
  <c r="AM387" i="171"/>
  <c r="AG387" i="171"/>
  <c r="AE387" i="171"/>
  <c r="Z387" i="171"/>
  <c r="AO386" i="171"/>
  <c r="AN386" i="171"/>
  <c r="AM386" i="171"/>
  <c r="AG386" i="171"/>
  <c r="AE386" i="171"/>
  <c r="Z386" i="171"/>
  <c r="AO385" i="171"/>
  <c r="AN385" i="171"/>
  <c r="AM385" i="171"/>
  <c r="AG385" i="171"/>
  <c r="AE385" i="171"/>
  <c r="Z385" i="171"/>
  <c r="AO384" i="171"/>
  <c r="AN384" i="171"/>
  <c r="AM384" i="171"/>
  <c r="AG384" i="171"/>
  <c r="AE384" i="171"/>
  <c r="Z384" i="171"/>
  <c r="AO383" i="171"/>
  <c r="AN383" i="171"/>
  <c r="AM383" i="171"/>
  <c r="AG383" i="171"/>
  <c r="AE383" i="171"/>
  <c r="Z383" i="171"/>
  <c r="AO382" i="171"/>
  <c r="AN382" i="171"/>
  <c r="AM382" i="171"/>
  <c r="AG382" i="171"/>
  <c r="AE382" i="171"/>
  <c r="Z382" i="171"/>
  <c r="AO381" i="171"/>
  <c r="AN381" i="171"/>
  <c r="AM381" i="171"/>
  <c r="AG381" i="171"/>
  <c r="AE381" i="171"/>
  <c r="Z381" i="171"/>
  <c r="AO380" i="171"/>
  <c r="AN380" i="171"/>
  <c r="AM380" i="171"/>
  <c r="AG380" i="171"/>
  <c r="AE380" i="171"/>
  <c r="Z380" i="171"/>
  <c r="AO379" i="171"/>
  <c r="AN379" i="171"/>
  <c r="AM379" i="171"/>
  <c r="AG379" i="171"/>
  <c r="AE379" i="171"/>
  <c r="Z379" i="171"/>
  <c r="AO378" i="171"/>
  <c r="AN378" i="171"/>
  <c r="AM378" i="171"/>
  <c r="AG378" i="171"/>
  <c r="AE378" i="171"/>
  <c r="Z378" i="171"/>
  <c r="AO377" i="171"/>
  <c r="AN377" i="171"/>
  <c r="AM377" i="171"/>
  <c r="AG377" i="171"/>
  <c r="AE377" i="171"/>
  <c r="Z377" i="171"/>
  <c r="AO376" i="171"/>
  <c r="AN376" i="171"/>
  <c r="AM376" i="171"/>
  <c r="AG376" i="171"/>
  <c r="AE376" i="171"/>
  <c r="Z376" i="171"/>
  <c r="AO375" i="171"/>
  <c r="AN375" i="171"/>
  <c r="AM375" i="171"/>
  <c r="AG375" i="171"/>
  <c r="AE375" i="171"/>
  <c r="Z375" i="171"/>
  <c r="AO374" i="171"/>
  <c r="AN374" i="171"/>
  <c r="AM374" i="171"/>
  <c r="AG374" i="171"/>
  <c r="AE374" i="171"/>
  <c r="Z374" i="171"/>
  <c r="AO373" i="171"/>
  <c r="AN373" i="171"/>
  <c r="AM373" i="171"/>
  <c r="AG373" i="171"/>
  <c r="AE373" i="171"/>
  <c r="Z373" i="171"/>
  <c r="AO372" i="171"/>
  <c r="AN372" i="171"/>
  <c r="AM372" i="171"/>
  <c r="AG372" i="171"/>
  <c r="AE372" i="171"/>
  <c r="Z372" i="171"/>
  <c r="AO371" i="171"/>
  <c r="AN371" i="171"/>
  <c r="AM371" i="171"/>
  <c r="AG371" i="171"/>
  <c r="AE371" i="171"/>
  <c r="Z371" i="171"/>
  <c r="AO370" i="171"/>
  <c r="AN370" i="171"/>
  <c r="AM370" i="171"/>
  <c r="AG370" i="171"/>
  <c r="AE370" i="171"/>
  <c r="Z370" i="171"/>
  <c r="AO369" i="171"/>
  <c r="AN369" i="171"/>
  <c r="AM369" i="171"/>
  <c r="AG369" i="171"/>
  <c r="AE369" i="171"/>
  <c r="Z369" i="171"/>
  <c r="AO368" i="171"/>
  <c r="AN368" i="171"/>
  <c r="AM368" i="171"/>
  <c r="AG368" i="171"/>
  <c r="AE368" i="171"/>
  <c r="Z368" i="171"/>
  <c r="AO367" i="171"/>
  <c r="AN367" i="171"/>
  <c r="AM367" i="171"/>
  <c r="AG367" i="171"/>
  <c r="AE367" i="171"/>
  <c r="Z367" i="171"/>
  <c r="AO366" i="171"/>
  <c r="AN366" i="171"/>
  <c r="AM366" i="171"/>
  <c r="AG366" i="171"/>
  <c r="AE366" i="171"/>
  <c r="Z366" i="171"/>
  <c r="AO365" i="171"/>
  <c r="AN365" i="171"/>
  <c r="AM365" i="171"/>
  <c r="AG365" i="171"/>
  <c r="AE365" i="171"/>
  <c r="Z365" i="171"/>
  <c r="AO364" i="171"/>
  <c r="AN364" i="171"/>
  <c r="AM364" i="171"/>
  <c r="AG364" i="171"/>
  <c r="AE364" i="171"/>
  <c r="Z364" i="171"/>
  <c r="AO363" i="171"/>
  <c r="AN363" i="171"/>
  <c r="AM363" i="171"/>
  <c r="AG363" i="171"/>
  <c r="AE363" i="171"/>
  <c r="Z363" i="171"/>
  <c r="AO362" i="171"/>
  <c r="AN362" i="171"/>
  <c r="AM362" i="171"/>
  <c r="AG362" i="171"/>
  <c r="AE362" i="171"/>
  <c r="Z362" i="171"/>
  <c r="AO361" i="171"/>
  <c r="AN361" i="171"/>
  <c r="AM361" i="171"/>
  <c r="AG361" i="171"/>
  <c r="AE361" i="171"/>
  <c r="Z361" i="171"/>
  <c r="AO360" i="171"/>
  <c r="AN360" i="171"/>
  <c r="AM360" i="171"/>
  <c r="AG360" i="171"/>
  <c r="AE360" i="171"/>
  <c r="Z360" i="171"/>
  <c r="AO359" i="171"/>
  <c r="AN359" i="171"/>
  <c r="AM359" i="171"/>
  <c r="AG359" i="171"/>
  <c r="AE359" i="171"/>
  <c r="Z359" i="171"/>
  <c r="AO358" i="171"/>
  <c r="AN358" i="171"/>
  <c r="AM358" i="171"/>
  <c r="AG358" i="171"/>
  <c r="AE358" i="171"/>
  <c r="Z358" i="171"/>
  <c r="AO357" i="171"/>
  <c r="AN357" i="171"/>
  <c r="AM357" i="171"/>
  <c r="AG357" i="171"/>
  <c r="AE357" i="171"/>
  <c r="Z357" i="171"/>
  <c r="AO356" i="171"/>
  <c r="AN356" i="171"/>
  <c r="AM356" i="171"/>
  <c r="AG356" i="171"/>
  <c r="AE356" i="171"/>
  <c r="Z356" i="171"/>
  <c r="AO355" i="171"/>
  <c r="AN355" i="171"/>
  <c r="AM355" i="171"/>
  <c r="AG355" i="171"/>
  <c r="AE355" i="171"/>
  <c r="Z355" i="171"/>
  <c r="AO354" i="171"/>
  <c r="AN354" i="171"/>
  <c r="AM354" i="171"/>
  <c r="AG354" i="171"/>
  <c r="AE354" i="171"/>
  <c r="Z354" i="171"/>
  <c r="AO353" i="171"/>
  <c r="AN353" i="171"/>
  <c r="AM353" i="171"/>
  <c r="AG353" i="171"/>
  <c r="AE353" i="171"/>
  <c r="Z353" i="171"/>
  <c r="AO352" i="171"/>
  <c r="AN352" i="171"/>
  <c r="AM352" i="171"/>
  <c r="AG352" i="171"/>
  <c r="AE352" i="171"/>
  <c r="Z352" i="171"/>
  <c r="AO351" i="171"/>
  <c r="AN351" i="171"/>
  <c r="AM351" i="171"/>
  <c r="AG351" i="171"/>
  <c r="AE351" i="171"/>
  <c r="Z351" i="171"/>
  <c r="AO350" i="171"/>
  <c r="AN350" i="171"/>
  <c r="AM350" i="171"/>
  <c r="AG350" i="171"/>
  <c r="AE350" i="171"/>
  <c r="Z350" i="171"/>
  <c r="AO349" i="171"/>
  <c r="AN349" i="171"/>
  <c r="AM349" i="171"/>
  <c r="AG349" i="171"/>
  <c r="AE349" i="171"/>
  <c r="Z349" i="171"/>
  <c r="AO348" i="171"/>
  <c r="AN348" i="171"/>
  <c r="AM348" i="171"/>
  <c r="AG348" i="171"/>
  <c r="AE348" i="171"/>
  <c r="Z348" i="171"/>
  <c r="AO347" i="171"/>
  <c r="AN347" i="171"/>
  <c r="AM347" i="171"/>
  <c r="AG347" i="171"/>
  <c r="AE347" i="171"/>
  <c r="Z347" i="171"/>
  <c r="AO346" i="171"/>
  <c r="AN346" i="171"/>
  <c r="AM346" i="171"/>
  <c r="AG346" i="171"/>
  <c r="AE346" i="171"/>
  <c r="Z346" i="171"/>
  <c r="AO345" i="171"/>
  <c r="AN345" i="171"/>
  <c r="AM345" i="171"/>
  <c r="AG345" i="171"/>
  <c r="AE345" i="171"/>
  <c r="Z345" i="171"/>
  <c r="AO344" i="171"/>
  <c r="AN344" i="171"/>
  <c r="AM344" i="171"/>
  <c r="AG344" i="171"/>
  <c r="AE344" i="171"/>
  <c r="Z344" i="171"/>
  <c r="AO343" i="171"/>
  <c r="AN343" i="171"/>
  <c r="AM343" i="171"/>
  <c r="AG343" i="171"/>
  <c r="AE343" i="171"/>
  <c r="Z343" i="171"/>
  <c r="AO342" i="171"/>
  <c r="AN342" i="171"/>
  <c r="AM342" i="171"/>
  <c r="AG342" i="171"/>
  <c r="AE342" i="171"/>
  <c r="Z342" i="171"/>
  <c r="AO341" i="171"/>
  <c r="AN341" i="171"/>
  <c r="AM341" i="171"/>
  <c r="AG341" i="171"/>
  <c r="AE341" i="171"/>
  <c r="Z341" i="171"/>
  <c r="AO340" i="171"/>
  <c r="AN340" i="171"/>
  <c r="AM340" i="171"/>
  <c r="AG340" i="171"/>
  <c r="AE340" i="171"/>
  <c r="Z340" i="171"/>
  <c r="AO339" i="171"/>
  <c r="AN339" i="171"/>
  <c r="AM339" i="171"/>
  <c r="AG339" i="171"/>
  <c r="AE339" i="171"/>
  <c r="Z339" i="171"/>
  <c r="AO338" i="171"/>
  <c r="AN338" i="171"/>
  <c r="AM338" i="171"/>
  <c r="AG338" i="171"/>
  <c r="AE338" i="171"/>
  <c r="Z338" i="171"/>
  <c r="AO337" i="171"/>
  <c r="AN337" i="171"/>
  <c r="AM337" i="171"/>
  <c r="AG337" i="171"/>
  <c r="AE337" i="171"/>
  <c r="Z337" i="171"/>
  <c r="AO336" i="171"/>
  <c r="AN336" i="171"/>
  <c r="AM336" i="171"/>
  <c r="AG336" i="171"/>
  <c r="AE336" i="171"/>
  <c r="Z336" i="171"/>
  <c r="AO335" i="171"/>
  <c r="AN335" i="171"/>
  <c r="AM335" i="171"/>
  <c r="AG335" i="171"/>
  <c r="AE335" i="171"/>
  <c r="Z335" i="171"/>
  <c r="AO334" i="171"/>
  <c r="AN334" i="171"/>
  <c r="AM334" i="171"/>
  <c r="AG334" i="171"/>
  <c r="AE334" i="171"/>
  <c r="Z334" i="171"/>
  <c r="AO333" i="171"/>
  <c r="AN333" i="171"/>
  <c r="AM333" i="171"/>
  <c r="AG333" i="171"/>
  <c r="AE333" i="171"/>
  <c r="Z333" i="171"/>
  <c r="AO332" i="171"/>
  <c r="AN332" i="171"/>
  <c r="AM332" i="171"/>
  <c r="AG332" i="171"/>
  <c r="AE332" i="171"/>
  <c r="Z332" i="171"/>
  <c r="AO331" i="171"/>
  <c r="AN331" i="171"/>
  <c r="AM331" i="171"/>
  <c r="AG331" i="171"/>
  <c r="AE331" i="171"/>
  <c r="Z331" i="171"/>
  <c r="AO330" i="171"/>
  <c r="AN330" i="171"/>
  <c r="AM330" i="171"/>
  <c r="AG330" i="171"/>
  <c r="AE330" i="171"/>
  <c r="Z330" i="171"/>
  <c r="AO329" i="171"/>
  <c r="AN329" i="171"/>
  <c r="AM329" i="171"/>
  <c r="AG329" i="171"/>
  <c r="AE329" i="171"/>
  <c r="Z329" i="171"/>
  <c r="AO328" i="171"/>
  <c r="AN328" i="171"/>
  <c r="AM328" i="171"/>
  <c r="AG328" i="171"/>
  <c r="AE328" i="171"/>
  <c r="Z328" i="171"/>
  <c r="AO327" i="171"/>
  <c r="AN327" i="171"/>
  <c r="AM327" i="171"/>
  <c r="AG327" i="171"/>
  <c r="AE327" i="171"/>
  <c r="Z327" i="171"/>
  <c r="AO326" i="171"/>
  <c r="AN326" i="171"/>
  <c r="AM326" i="171"/>
  <c r="AG326" i="171"/>
  <c r="AE326" i="171"/>
  <c r="Z326" i="171"/>
  <c r="AO325" i="171"/>
  <c r="AN325" i="171"/>
  <c r="AM325" i="171"/>
  <c r="AG325" i="171"/>
  <c r="AE325" i="171"/>
  <c r="Z325" i="171"/>
  <c r="AO324" i="171"/>
  <c r="AN324" i="171"/>
  <c r="AM324" i="171"/>
  <c r="AG324" i="171"/>
  <c r="AE324" i="171"/>
  <c r="Z324" i="171"/>
  <c r="AO323" i="171"/>
  <c r="AN323" i="171"/>
  <c r="AM323" i="171"/>
  <c r="AG323" i="171"/>
  <c r="AE323" i="171"/>
  <c r="Z323" i="171"/>
  <c r="AO322" i="171"/>
  <c r="AN322" i="171"/>
  <c r="AM322" i="171"/>
  <c r="AG322" i="171"/>
  <c r="AE322" i="171"/>
  <c r="Z322" i="171"/>
  <c r="AO321" i="171"/>
  <c r="AN321" i="171"/>
  <c r="AM321" i="171"/>
  <c r="AG321" i="171"/>
  <c r="AE321" i="171"/>
  <c r="Z321" i="171"/>
  <c r="AO320" i="171"/>
  <c r="AN320" i="171"/>
  <c r="AM320" i="171"/>
  <c r="AG320" i="171"/>
  <c r="AE320" i="171"/>
  <c r="Z320" i="171"/>
  <c r="AO319" i="171"/>
  <c r="AN319" i="171"/>
  <c r="AM319" i="171"/>
  <c r="AG319" i="171"/>
  <c r="AE319" i="171"/>
  <c r="Z319" i="171"/>
  <c r="AO318" i="171"/>
  <c r="AN318" i="171"/>
  <c r="AM318" i="171"/>
  <c r="AG318" i="171"/>
  <c r="AE318" i="171"/>
  <c r="Z318" i="171"/>
  <c r="AO317" i="171"/>
  <c r="AN317" i="171"/>
  <c r="AM317" i="171"/>
  <c r="AG317" i="171"/>
  <c r="AE317" i="171"/>
  <c r="Z317" i="171"/>
  <c r="AO316" i="171"/>
  <c r="AN316" i="171"/>
  <c r="AM316" i="171"/>
  <c r="AG316" i="171"/>
  <c r="AE316" i="171"/>
  <c r="Z316" i="171"/>
  <c r="AO315" i="171"/>
  <c r="AN315" i="171"/>
  <c r="AM315" i="171"/>
  <c r="AG315" i="171"/>
  <c r="AE315" i="171"/>
  <c r="Z315" i="171"/>
  <c r="AO314" i="171"/>
  <c r="AN314" i="171"/>
  <c r="AM314" i="171"/>
  <c r="AG314" i="171"/>
  <c r="AE314" i="171"/>
  <c r="Z314" i="171"/>
  <c r="AO313" i="171"/>
  <c r="AN313" i="171"/>
  <c r="AM313" i="171"/>
  <c r="AG313" i="171"/>
  <c r="AE313" i="171"/>
  <c r="Z313" i="171"/>
  <c r="AO312" i="171"/>
  <c r="AN312" i="171"/>
  <c r="AM312" i="171"/>
  <c r="AG312" i="171"/>
  <c r="AE312" i="171"/>
  <c r="Z312" i="171"/>
  <c r="AO311" i="171"/>
  <c r="AN311" i="171"/>
  <c r="AM311" i="171"/>
  <c r="AG311" i="171"/>
  <c r="AE311" i="171"/>
  <c r="Z311" i="171"/>
  <c r="AO310" i="171"/>
  <c r="AN310" i="171"/>
  <c r="AM310" i="171"/>
  <c r="AG310" i="171"/>
  <c r="AE310" i="171"/>
  <c r="Z310" i="171"/>
  <c r="AO309" i="171"/>
  <c r="AN309" i="171"/>
  <c r="AM309" i="171"/>
  <c r="AG309" i="171"/>
  <c r="AE309" i="171"/>
  <c r="Z309" i="171"/>
  <c r="AO308" i="171"/>
  <c r="AN308" i="171"/>
  <c r="AM308" i="171"/>
  <c r="AG308" i="171"/>
  <c r="AE308" i="171"/>
  <c r="Z308" i="171"/>
  <c r="AO307" i="171"/>
  <c r="AN307" i="171"/>
  <c r="AM307" i="171"/>
  <c r="AG307" i="171"/>
  <c r="AE307" i="171"/>
  <c r="Z307" i="171"/>
  <c r="AO306" i="171"/>
  <c r="AN306" i="171"/>
  <c r="AM306" i="171"/>
  <c r="AG306" i="171"/>
  <c r="AE306" i="171"/>
  <c r="Z306" i="171"/>
  <c r="AO305" i="171"/>
  <c r="AN305" i="171"/>
  <c r="AM305" i="171"/>
  <c r="AG305" i="171"/>
  <c r="AE305" i="171"/>
  <c r="Z305" i="171"/>
  <c r="AO304" i="171"/>
  <c r="AN304" i="171"/>
  <c r="AM304" i="171"/>
  <c r="AG304" i="171"/>
  <c r="AE304" i="171"/>
  <c r="Z304" i="171"/>
  <c r="AO303" i="171"/>
  <c r="AN303" i="171"/>
  <c r="AM303" i="171"/>
  <c r="AG303" i="171"/>
  <c r="AE303" i="171"/>
  <c r="Z303" i="171"/>
  <c r="AO302" i="171"/>
  <c r="AN302" i="171"/>
  <c r="AM302" i="171"/>
  <c r="AG302" i="171"/>
  <c r="AE302" i="171"/>
  <c r="Z302" i="171"/>
  <c r="AO301" i="171"/>
  <c r="AN301" i="171"/>
  <c r="AM301" i="171"/>
  <c r="AG301" i="171"/>
  <c r="AE301" i="171"/>
  <c r="Z301" i="171"/>
  <c r="AO300" i="171"/>
  <c r="AN300" i="171"/>
  <c r="AM300" i="171"/>
  <c r="AG300" i="171"/>
  <c r="AE300" i="171"/>
  <c r="Z300" i="171"/>
  <c r="AO299" i="171"/>
  <c r="AN299" i="171"/>
  <c r="AM299" i="171"/>
  <c r="AG299" i="171"/>
  <c r="AE299" i="171"/>
  <c r="Z299" i="171"/>
  <c r="AO298" i="171"/>
  <c r="AN298" i="171"/>
  <c r="AM298" i="171"/>
  <c r="AG298" i="171"/>
  <c r="AE298" i="171"/>
  <c r="Z298" i="171"/>
  <c r="AO297" i="171"/>
  <c r="AN297" i="171"/>
  <c r="AM297" i="171"/>
  <c r="AG297" i="171"/>
  <c r="AE297" i="171"/>
  <c r="Z297" i="171"/>
  <c r="AO296" i="171"/>
  <c r="AN296" i="171"/>
  <c r="AM296" i="171"/>
  <c r="AG296" i="171"/>
  <c r="AE296" i="171"/>
  <c r="Z296" i="171"/>
  <c r="AO295" i="171"/>
  <c r="AN295" i="171"/>
  <c r="AM295" i="171"/>
  <c r="AG295" i="171"/>
  <c r="AE295" i="171"/>
  <c r="Z295" i="171"/>
  <c r="AO294" i="171"/>
  <c r="AN294" i="171"/>
  <c r="AM294" i="171"/>
  <c r="AG294" i="171"/>
  <c r="AE294" i="171"/>
  <c r="Z294" i="171"/>
  <c r="AO293" i="171"/>
  <c r="AN293" i="171"/>
  <c r="AM293" i="171"/>
  <c r="AG293" i="171"/>
  <c r="AE293" i="171"/>
  <c r="Z293" i="171"/>
  <c r="AO292" i="171"/>
  <c r="AN292" i="171"/>
  <c r="AM292" i="171"/>
  <c r="AG292" i="171"/>
  <c r="AE292" i="171"/>
  <c r="Z292" i="171"/>
  <c r="AO291" i="171"/>
  <c r="AN291" i="171"/>
  <c r="AM291" i="171"/>
  <c r="AG291" i="171"/>
  <c r="AE291" i="171"/>
  <c r="Z291" i="171"/>
  <c r="AO290" i="171"/>
  <c r="AN290" i="171"/>
  <c r="AM290" i="171"/>
  <c r="AG290" i="171"/>
  <c r="AE290" i="171"/>
  <c r="Z290" i="171"/>
  <c r="AO289" i="171"/>
  <c r="AN289" i="171"/>
  <c r="AM289" i="171"/>
  <c r="AG289" i="171"/>
  <c r="AE289" i="171"/>
  <c r="Z289" i="171"/>
  <c r="AO288" i="171"/>
  <c r="AN288" i="171"/>
  <c r="AM288" i="171"/>
  <c r="AG288" i="171"/>
  <c r="AE288" i="171"/>
  <c r="Z288" i="171"/>
  <c r="AO287" i="171"/>
  <c r="AN287" i="171"/>
  <c r="AM287" i="171"/>
  <c r="AG287" i="171"/>
  <c r="AE287" i="171"/>
  <c r="Z287" i="171"/>
  <c r="AO286" i="171"/>
  <c r="AN286" i="171"/>
  <c r="AM286" i="171"/>
  <c r="AG286" i="171"/>
  <c r="AE286" i="171"/>
  <c r="Z286" i="171"/>
  <c r="AO285" i="171"/>
  <c r="AN285" i="171"/>
  <c r="AM285" i="171"/>
  <c r="AG285" i="171"/>
  <c r="AE285" i="171"/>
  <c r="Z285" i="171"/>
  <c r="AO284" i="171"/>
  <c r="AN284" i="171"/>
  <c r="AM284" i="171"/>
  <c r="AG284" i="171"/>
  <c r="AE284" i="171"/>
  <c r="Z284" i="171"/>
  <c r="AO283" i="171"/>
  <c r="AN283" i="171"/>
  <c r="AM283" i="171"/>
  <c r="AG283" i="171"/>
  <c r="AE283" i="171"/>
  <c r="Z283" i="171"/>
  <c r="AO282" i="171"/>
  <c r="AN282" i="171"/>
  <c r="AM282" i="171"/>
  <c r="AG282" i="171"/>
  <c r="AE282" i="171"/>
  <c r="Z282" i="171"/>
  <c r="AO281" i="171"/>
  <c r="AN281" i="171"/>
  <c r="AM281" i="171"/>
  <c r="AG281" i="171"/>
  <c r="AE281" i="171"/>
  <c r="Z281" i="171"/>
  <c r="AO280" i="171"/>
  <c r="AN280" i="171"/>
  <c r="AM280" i="171"/>
  <c r="AG280" i="171"/>
  <c r="AE280" i="171"/>
  <c r="Z280" i="171"/>
  <c r="AO279" i="171"/>
  <c r="AN279" i="171"/>
  <c r="AM279" i="171"/>
  <c r="AG279" i="171"/>
  <c r="AE279" i="171"/>
  <c r="Z279" i="171"/>
  <c r="AO278" i="171"/>
  <c r="AN278" i="171"/>
  <c r="AM278" i="171"/>
  <c r="AG278" i="171"/>
  <c r="AE278" i="171"/>
  <c r="Z278" i="171"/>
  <c r="AO277" i="171"/>
  <c r="AN277" i="171"/>
  <c r="AM277" i="171"/>
  <c r="AG277" i="171"/>
  <c r="AE277" i="171"/>
  <c r="Z277" i="171"/>
  <c r="AO276" i="171"/>
  <c r="AN276" i="171"/>
  <c r="AM276" i="171"/>
  <c r="AG276" i="171"/>
  <c r="AE276" i="171"/>
  <c r="Z276" i="171"/>
  <c r="AO275" i="171"/>
  <c r="AN275" i="171"/>
  <c r="AM275" i="171"/>
  <c r="AG275" i="171"/>
  <c r="AE275" i="171"/>
  <c r="Z275" i="171"/>
  <c r="AO274" i="171"/>
  <c r="AN274" i="171"/>
  <c r="AM274" i="171"/>
  <c r="AG274" i="171"/>
  <c r="AE274" i="171"/>
  <c r="Z274" i="171"/>
  <c r="AO273" i="171"/>
  <c r="AN273" i="171"/>
  <c r="AM273" i="171"/>
  <c r="AG273" i="171"/>
  <c r="AE273" i="171"/>
  <c r="Z273" i="171"/>
  <c r="AO272" i="171"/>
  <c r="AN272" i="171"/>
  <c r="AM272" i="171"/>
  <c r="AG272" i="171"/>
  <c r="AE272" i="171"/>
  <c r="Z272" i="171"/>
  <c r="AO271" i="171"/>
  <c r="AN271" i="171"/>
  <c r="AM271" i="171"/>
  <c r="AG271" i="171"/>
  <c r="AE271" i="171"/>
  <c r="Z271" i="171"/>
  <c r="AO270" i="171"/>
  <c r="AN270" i="171"/>
  <c r="AM270" i="171"/>
  <c r="AG270" i="171"/>
  <c r="AE270" i="171"/>
  <c r="Z270" i="171"/>
  <c r="AO269" i="171"/>
  <c r="AN269" i="171"/>
  <c r="AM269" i="171"/>
  <c r="AG269" i="171"/>
  <c r="AE269" i="171"/>
  <c r="Z269" i="171"/>
  <c r="AO268" i="171"/>
  <c r="AN268" i="171"/>
  <c r="AM268" i="171"/>
  <c r="AG268" i="171"/>
  <c r="AE268" i="171"/>
  <c r="Z268" i="171"/>
  <c r="AO267" i="171"/>
  <c r="AN267" i="171"/>
  <c r="AM267" i="171"/>
  <c r="AG267" i="171"/>
  <c r="AE267" i="171"/>
  <c r="Z267" i="171"/>
  <c r="AO266" i="171"/>
  <c r="AN266" i="171"/>
  <c r="AM266" i="171"/>
  <c r="AG266" i="171"/>
  <c r="AE266" i="171"/>
  <c r="Z266" i="171"/>
  <c r="AO265" i="171"/>
  <c r="AN265" i="171"/>
  <c r="AM265" i="171"/>
  <c r="AG265" i="171"/>
  <c r="AE265" i="171"/>
  <c r="Z265" i="171"/>
  <c r="AO264" i="171"/>
  <c r="AN264" i="171"/>
  <c r="AM264" i="171"/>
  <c r="AG264" i="171"/>
  <c r="AE264" i="171"/>
  <c r="Z264" i="171"/>
  <c r="AO263" i="171"/>
  <c r="AN263" i="171"/>
  <c r="AM263" i="171"/>
  <c r="AG263" i="171"/>
  <c r="AE263" i="171"/>
  <c r="Z263" i="171"/>
  <c r="AO262" i="171"/>
  <c r="AN262" i="171"/>
  <c r="AM262" i="171"/>
  <c r="AG262" i="171"/>
  <c r="AE262" i="171"/>
  <c r="Z262" i="171"/>
  <c r="AO261" i="171"/>
  <c r="AN261" i="171"/>
  <c r="AM261" i="171"/>
  <c r="AG261" i="171"/>
  <c r="AE261" i="171"/>
  <c r="Z261" i="171"/>
  <c r="AO260" i="171"/>
  <c r="AN260" i="171"/>
  <c r="AM260" i="171"/>
  <c r="AG260" i="171"/>
  <c r="AE260" i="171"/>
  <c r="Z260" i="171"/>
  <c r="AO259" i="171"/>
  <c r="AN259" i="171"/>
  <c r="AM259" i="171"/>
  <c r="AG259" i="171"/>
  <c r="AE259" i="171"/>
  <c r="Z259" i="171"/>
  <c r="AO258" i="171"/>
  <c r="AN258" i="171"/>
  <c r="AM258" i="171"/>
  <c r="AG258" i="171"/>
  <c r="AE258" i="171"/>
  <c r="Z258" i="171"/>
  <c r="AO257" i="171"/>
  <c r="AN257" i="171"/>
  <c r="AM257" i="171"/>
  <c r="AG257" i="171"/>
  <c r="AE257" i="171"/>
  <c r="Z257" i="171"/>
  <c r="AO256" i="171"/>
  <c r="AN256" i="171"/>
  <c r="AM256" i="171"/>
  <c r="AG256" i="171"/>
  <c r="AE256" i="171"/>
  <c r="Z256" i="171"/>
  <c r="AO255" i="171"/>
  <c r="AN255" i="171"/>
  <c r="AM255" i="171"/>
  <c r="AG255" i="171"/>
  <c r="AE255" i="171"/>
  <c r="Z255" i="171"/>
  <c r="AO254" i="171"/>
  <c r="AN254" i="171"/>
  <c r="AM254" i="171"/>
  <c r="AG254" i="171"/>
  <c r="AE254" i="171"/>
  <c r="Z254" i="171"/>
  <c r="AO253" i="171"/>
  <c r="AN253" i="171"/>
  <c r="AM253" i="171"/>
  <c r="AG253" i="171"/>
  <c r="AE253" i="171"/>
  <c r="Z253" i="171"/>
  <c r="AO252" i="171"/>
  <c r="AN252" i="171"/>
  <c r="AM252" i="171"/>
  <c r="AG252" i="171"/>
  <c r="AE252" i="171"/>
  <c r="Z252" i="171"/>
  <c r="AO251" i="171"/>
  <c r="AN251" i="171"/>
  <c r="AM251" i="171"/>
  <c r="AG251" i="171"/>
  <c r="AE251" i="171"/>
  <c r="Z251" i="171"/>
  <c r="AO250" i="171"/>
  <c r="AN250" i="171"/>
  <c r="AM250" i="171"/>
  <c r="AG250" i="171"/>
  <c r="AE250" i="171"/>
  <c r="Z250" i="171"/>
  <c r="AO249" i="171"/>
  <c r="AN249" i="171"/>
  <c r="AM249" i="171"/>
  <c r="AG249" i="171"/>
  <c r="AE249" i="171"/>
  <c r="Z249" i="171"/>
  <c r="AO248" i="171"/>
  <c r="AN248" i="171"/>
  <c r="AM248" i="171"/>
  <c r="AG248" i="171"/>
  <c r="AE248" i="171"/>
  <c r="Z248" i="171"/>
  <c r="AO247" i="171"/>
  <c r="AN247" i="171"/>
  <c r="AM247" i="171"/>
  <c r="AG247" i="171"/>
  <c r="AE247" i="171"/>
  <c r="Z247" i="171"/>
  <c r="AO246" i="171"/>
  <c r="AN246" i="171"/>
  <c r="AM246" i="171"/>
  <c r="AG246" i="171"/>
  <c r="AE246" i="171"/>
  <c r="Z246" i="171"/>
  <c r="AO245" i="171"/>
  <c r="AN245" i="171"/>
  <c r="AM245" i="171"/>
  <c r="AG245" i="171"/>
  <c r="AE245" i="171"/>
  <c r="Z245" i="171"/>
  <c r="AO244" i="171"/>
  <c r="AN244" i="171"/>
  <c r="AM244" i="171"/>
  <c r="AG244" i="171"/>
  <c r="AE244" i="171"/>
  <c r="Z244" i="171"/>
  <c r="AO243" i="171"/>
  <c r="AN243" i="171"/>
  <c r="AM243" i="171"/>
  <c r="AG243" i="171"/>
  <c r="AE243" i="171"/>
  <c r="Z243" i="171"/>
  <c r="AO242" i="171"/>
  <c r="AN242" i="171"/>
  <c r="AM242" i="171"/>
  <c r="AG242" i="171"/>
  <c r="AE242" i="171"/>
  <c r="Z242" i="171"/>
  <c r="AO241" i="171"/>
  <c r="AN241" i="171"/>
  <c r="AM241" i="171"/>
  <c r="AG241" i="171"/>
  <c r="AE241" i="171"/>
  <c r="Z241" i="171"/>
  <c r="AO240" i="171"/>
  <c r="AN240" i="171"/>
  <c r="AM240" i="171"/>
  <c r="AG240" i="171"/>
  <c r="AE240" i="171"/>
  <c r="Z240" i="171"/>
  <c r="AO239" i="171"/>
  <c r="AN239" i="171"/>
  <c r="AM239" i="171"/>
  <c r="AG239" i="171"/>
  <c r="AE239" i="171"/>
  <c r="Z239" i="171"/>
  <c r="AO238" i="171"/>
  <c r="AN238" i="171"/>
  <c r="AM238" i="171"/>
  <c r="AG238" i="171"/>
  <c r="AE238" i="171"/>
  <c r="Z238" i="171"/>
  <c r="AO237" i="171"/>
  <c r="AN237" i="171"/>
  <c r="AM237" i="171"/>
  <c r="AG237" i="171"/>
  <c r="AE237" i="171"/>
  <c r="Z237" i="171"/>
  <c r="AO236" i="171"/>
  <c r="AN236" i="171"/>
  <c r="AM236" i="171"/>
  <c r="AG236" i="171"/>
  <c r="AE236" i="171"/>
  <c r="Z236" i="171"/>
  <c r="AO235" i="171"/>
  <c r="AN235" i="171"/>
  <c r="AM235" i="171"/>
  <c r="AG235" i="171"/>
  <c r="AE235" i="171"/>
  <c r="Z235" i="171"/>
  <c r="AO234" i="171"/>
  <c r="AN234" i="171"/>
  <c r="AM234" i="171"/>
  <c r="AG234" i="171"/>
  <c r="AE234" i="171"/>
  <c r="Z234" i="171"/>
  <c r="AO233" i="171"/>
  <c r="AN233" i="171"/>
  <c r="AM233" i="171"/>
  <c r="AG233" i="171"/>
  <c r="AE233" i="171"/>
  <c r="Z233" i="171"/>
  <c r="AO232" i="171"/>
  <c r="AN232" i="171"/>
  <c r="AM232" i="171"/>
  <c r="AG232" i="171"/>
  <c r="AE232" i="171"/>
  <c r="Z232" i="171"/>
  <c r="AO231" i="171"/>
  <c r="AN231" i="171"/>
  <c r="AM231" i="171"/>
  <c r="AG231" i="171"/>
  <c r="AE231" i="171"/>
  <c r="Z231" i="171"/>
  <c r="AO230" i="171"/>
  <c r="AN230" i="171"/>
  <c r="AM230" i="171"/>
  <c r="AG230" i="171"/>
  <c r="AE230" i="171"/>
  <c r="Z230" i="171"/>
  <c r="AO229" i="171"/>
  <c r="AN229" i="171"/>
  <c r="AM229" i="171"/>
  <c r="AG229" i="171"/>
  <c r="AE229" i="171"/>
  <c r="Z229" i="171"/>
  <c r="AO228" i="171"/>
  <c r="AN228" i="171"/>
  <c r="AM228" i="171"/>
  <c r="AG228" i="171"/>
  <c r="AE228" i="171"/>
  <c r="Z228" i="171"/>
  <c r="AO227" i="171"/>
  <c r="AN227" i="171"/>
  <c r="AM227" i="171"/>
  <c r="AG227" i="171"/>
  <c r="AE227" i="171"/>
  <c r="Z227" i="171"/>
  <c r="AO226" i="171"/>
  <c r="AN226" i="171"/>
  <c r="AM226" i="171"/>
  <c r="AG226" i="171"/>
  <c r="AE226" i="171"/>
  <c r="Z226" i="171"/>
  <c r="AO225" i="171"/>
  <c r="AN225" i="171"/>
  <c r="AM225" i="171"/>
  <c r="AG225" i="171"/>
  <c r="AE225" i="171"/>
  <c r="Z225" i="171"/>
  <c r="AO224" i="171"/>
  <c r="AN224" i="171"/>
  <c r="AM224" i="171"/>
  <c r="AG224" i="171"/>
  <c r="AE224" i="171"/>
  <c r="Z224" i="171"/>
  <c r="AO223" i="171"/>
  <c r="AN223" i="171"/>
  <c r="AM223" i="171"/>
  <c r="AG223" i="171"/>
  <c r="AE223" i="171"/>
  <c r="Z223" i="171"/>
  <c r="AO222" i="171"/>
  <c r="AN222" i="171"/>
  <c r="AM222" i="171"/>
  <c r="AG222" i="171"/>
  <c r="AE222" i="171"/>
  <c r="Z222" i="171"/>
  <c r="AO221" i="171"/>
  <c r="AN221" i="171"/>
  <c r="AM221" i="171"/>
  <c r="AG221" i="171"/>
  <c r="AE221" i="171"/>
  <c r="Z221" i="171"/>
  <c r="AO220" i="171"/>
  <c r="AN220" i="171"/>
  <c r="AM220" i="171"/>
  <c r="AG220" i="171"/>
  <c r="AE220" i="171"/>
  <c r="Z220" i="171"/>
  <c r="AO219" i="171"/>
  <c r="AN219" i="171"/>
  <c r="AM219" i="171"/>
  <c r="AG219" i="171"/>
  <c r="AE219" i="171"/>
  <c r="Z219" i="171"/>
  <c r="AO218" i="171"/>
  <c r="AN218" i="171"/>
  <c r="AM218" i="171"/>
  <c r="AG218" i="171"/>
  <c r="AE218" i="171"/>
  <c r="Z218" i="171"/>
  <c r="AO217" i="171"/>
  <c r="AN217" i="171"/>
  <c r="AM217" i="171"/>
  <c r="AG217" i="171"/>
  <c r="AE217" i="171"/>
  <c r="Z217" i="171"/>
  <c r="AO216" i="171"/>
  <c r="AN216" i="171"/>
  <c r="AM216" i="171"/>
  <c r="AG216" i="171"/>
  <c r="AE216" i="171"/>
  <c r="Z216" i="171"/>
  <c r="AO215" i="171"/>
  <c r="AN215" i="171"/>
  <c r="AM215" i="171"/>
  <c r="AG215" i="171"/>
  <c r="AE215" i="171"/>
  <c r="Z215" i="171"/>
  <c r="AO214" i="171"/>
  <c r="AN214" i="171"/>
  <c r="AM214" i="171"/>
  <c r="AG214" i="171"/>
  <c r="AE214" i="171"/>
  <c r="Z214" i="171"/>
  <c r="AO213" i="171"/>
  <c r="AN213" i="171"/>
  <c r="AM213" i="171"/>
  <c r="AG213" i="171"/>
  <c r="AE213" i="171"/>
  <c r="Z213" i="171"/>
  <c r="AO212" i="171"/>
  <c r="AN212" i="171"/>
  <c r="AM212" i="171"/>
  <c r="AG212" i="171"/>
  <c r="AE212" i="171"/>
  <c r="Z212" i="171"/>
  <c r="AO211" i="171"/>
  <c r="AN211" i="171"/>
  <c r="AM211" i="171"/>
  <c r="AG211" i="171"/>
  <c r="AE211" i="171"/>
  <c r="Z211" i="171"/>
  <c r="AO210" i="171"/>
  <c r="AN210" i="171"/>
  <c r="AM210" i="171"/>
  <c r="AG210" i="171"/>
  <c r="AE210" i="171"/>
  <c r="Z210" i="171"/>
  <c r="AO209" i="171"/>
  <c r="AN209" i="171"/>
  <c r="AM209" i="171"/>
  <c r="AG209" i="171"/>
  <c r="AE209" i="171"/>
  <c r="Z209" i="171"/>
  <c r="AO208" i="171"/>
  <c r="AN208" i="171"/>
  <c r="AM208" i="171"/>
  <c r="AG208" i="171"/>
  <c r="AE208" i="171"/>
  <c r="Z208" i="171"/>
  <c r="AO207" i="171"/>
  <c r="AN207" i="171"/>
  <c r="AM207" i="171"/>
  <c r="AG207" i="171"/>
  <c r="AE207" i="171"/>
  <c r="Z207" i="171"/>
  <c r="AO206" i="171"/>
  <c r="AN206" i="171"/>
  <c r="AM206" i="171"/>
  <c r="AG206" i="171"/>
  <c r="AE206" i="171"/>
  <c r="Z206" i="171"/>
  <c r="AO205" i="171"/>
  <c r="AN205" i="171"/>
  <c r="AM205" i="171"/>
  <c r="AG205" i="171"/>
  <c r="AE205" i="171"/>
  <c r="Z205" i="171"/>
  <c r="AO204" i="171"/>
  <c r="AN204" i="171"/>
  <c r="AM204" i="171"/>
  <c r="AG204" i="171"/>
  <c r="AE204" i="171"/>
  <c r="Z204" i="171"/>
  <c r="AO203" i="171"/>
  <c r="AN203" i="171"/>
  <c r="AM203" i="171"/>
  <c r="AG203" i="171"/>
  <c r="AE203" i="171"/>
  <c r="Z203" i="171"/>
  <c r="AO202" i="171"/>
  <c r="AN202" i="171"/>
  <c r="AM202" i="171"/>
  <c r="AG202" i="171"/>
  <c r="AE202" i="171"/>
  <c r="Z202" i="171"/>
  <c r="AO201" i="171"/>
  <c r="AN201" i="171"/>
  <c r="AM201" i="171"/>
  <c r="AG201" i="171"/>
  <c r="AE201" i="171"/>
  <c r="Z201" i="171"/>
  <c r="AO200" i="171"/>
  <c r="AN200" i="171"/>
  <c r="AM200" i="171"/>
  <c r="AG200" i="171"/>
  <c r="AE200" i="171"/>
  <c r="Z200" i="171"/>
  <c r="AO199" i="171"/>
  <c r="AN199" i="171"/>
  <c r="AM199" i="171"/>
  <c r="AG199" i="171"/>
  <c r="AE199" i="171"/>
  <c r="Z199" i="171"/>
  <c r="AO198" i="171"/>
  <c r="AN198" i="171"/>
  <c r="AM198" i="171"/>
  <c r="AG198" i="171"/>
  <c r="AE198" i="171"/>
  <c r="Z198" i="171"/>
  <c r="AO197" i="171"/>
  <c r="AN197" i="171"/>
  <c r="AM197" i="171"/>
  <c r="AG197" i="171"/>
  <c r="AE197" i="171"/>
  <c r="Z197" i="171"/>
  <c r="AO196" i="171"/>
  <c r="AN196" i="171"/>
  <c r="AM196" i="171"/>
  <c r="AG196" i="171"/>
  <c r="AE196" i="171"/>
  <c r="Z196" i="171"/>
  <c r="AO195" i="171"/>
  <c r="AN195" i="171"/>
  <c r="AM195" i="171"/>
  <c r="AG195" i="171"/>
  <c r="AE195" i="171"/>
  <c r="Z195" i="171"/>
  <c r="AO194" i="171"/>
  <c r="AN194" i="171"/>
  <c r="AM194" i="171"/>
  <c r="AG194" i="171"/>
  <c r="AE194" i="171"/>
  <c r="Z194" i="171"/>
  <c r="AO193" i="171"/>
  <c r="AN193" i="171"/>
  <c r="AM193" i="171"/>
  <c r="AG193" i="171"/>
  <c r="AE193" i="171"/>
  <c r="Z193" i="171"/>
  <c r="AO192" i="171"/>
  <c r="AN192" i="171"/>
  <c r="AM192" i="171"/>
  <c r="AG192" i="171"/>
  <c r="AE192" i="171"/>
  <c r="Z192" i="171"/>
  <c r="AO191" i="171"/>
  <c r="AN191" i="171"/>
  <c r="AM191" i="171"/>
  <c r="AG191" i="171"/>
  <c r="AE191" i="171"/>
  <c r="Z191" i="171"/>
  <c r="AO190" i="171"/>
  <c r="AN190" i="171"/>
  <c r="AM190" i="171"/>
  <c r="AG190" i="171"/>
  <c r="AE190" i="171"/>
  <c r="Z190" i="171"/>
  <c r="AO189" i="171"/>
  <c r="AN189" i="171"/>
  <c r="AM189" i="171"/>
  <c r="AG189" i="171"/>
  <c r="AE189" i="171"/>
  <c r="Z189" i="171"/>
  <c r="AO188" i="171"/>
  <c r="AN188" i="171"/>
  <c r="AM188" i="171"/>
  <c r="AG188" i="171"/>
  <c r="AE188" i="171"/>
  <c r="Z188" i="171"/>
  <c r="AO187" i="171"/>
  <c r="AN187" i="171"/>
  <c r="AM187" i="171"/>
  <c r="AG187" i="171"/>
  <c r="AE187" i="171"/>
  <c r="Z187" i="171"/>
  <c r="AO186" i="171"/>
  <c r="AN186" i="171"/>
  <c r="AM186" i="171"/>
  <c r="AG186" i="171"/>
  <c r="AE186" i="171"/>
  <c r="Z186" i="171"/>
  <c r="AO185" i="171"/>
  <c r="AN185" i="171"/>
  <c r="AM185" i="171"/>
  <c r="AG185" i="171"/>
  <c r="AE185" i="171"/>
  <c r="Z185" i="171"/>
  <c r="AO184" i="171"/>
  <c r="AN184" i="171"/>
  <c r="AM184" i="171"/>
  <c r="AG184" i="171"/>
  <c r="AE184" i="171"/>
  <c r="Z184" i="171"/>
  <c r="AO183" i="171"/>
  <c r="AN183" i="171"/>
  <c r="AM183" i="171"/>
  <c r="AG183" i="171"/>
  <c r="AE183" i="171"/>
  <c r="Z183" i="171"/>
  <c r="AO182" i="171"/>
  <c r="AN182" i="171"/>
  <c r="AM182" i="171"/>
  <c r="AG182" i="171"/>
  <c r="AE182" i="171"/>
  <c r="Z182" i="171"/>
  <c r="AO181" i="171"/>
  <c r="AN181" i="171"/>
  <c r="AM181" i="171"/>
  <c r="AG181" i="171"/>
  <c r="AE181" i="171"/>
  <c r="Z181" i="171"/>
  <c r="AO180" i="171"/>
  <c r="AN180" i="171"/>
  <c r="AM180" i="171"/>
  <c r="AG180" i="171"/>
  <c r="AE180" i="171"/>
  <c r="Z180" i="171"/>
  <c r="AO179" i="171"/>
  <c r="AN179" i="171"/>
  <c r="AM179" i="171"/>
  <c r="AG179" i="171"/>
  <c r="AE179" i="171"/>
  <c r="Z179" i="171"/>
  <c r="AO178" i="171"/>
  <c r="AN178" i="171"/>
  <c r="AM178" i="171"/>
  <c r="AG178" i="171"/>
  <c r="AE178" i="171"/>
  <c r="Z178" i="171"/>
  <c r="AO177" i="171"/>
  <c r="AN177" i="171"/>
  <c r="AM177" i="171"/>
  <c r="AG177" i="171"/>
  <c r="AE177" i="171"/>
  <c r="Z177" i="171"/>
  <c r="AO176" i="171"/>
  <c r="AN176" i="171"/>
  <c r="AM176" i="171"/>
  <c r="AG176" i="171"/>
  <c r="AE176" i="171"/>
  <c r="Z176" i="171"/>
  <c r="AO175" i="171"/>
  <c r="AN175" i="171"/>
  <c r="AM175" i="171"/>
  <c r="AG175" i="171"/>
  <c r="AE175" i="171"/>
  <c r="Z175" i="171"/>
  <c r="AO174" i="171"/>
  <c r="AN174" i="171"/>
  <c r="AM174" i="171"/>
  <c r="AG174" i="171"/>
  <c r="AE174" i="171"/>
  <c r="Z174" i="171"/>
  <c r="AO173" i="171"/>
  <c r="AN173" i="171"/>
  <c r="AM173" i="171"/>
  <c r="AG173" i="171"/>
  <c r="AE173" i="171"/>
  <c r="Z173" i="171"/>
  <c r="AO172" i="171"/>
  <c r="AN172" i="171"/>
  <c r="AM172" i="171"/>
  <c r="AG172" i="171"/>
  <c r="AE172" i="171"/>
  <c r="Z172" i="171"/>
  <c r="AO171" i="171"/>
  <c r="AN171" i="171"/>
  <c r="AM171" i="171"/>
  <c r="AG171" i="171"/>
  <c r="AE171" i="171"/>
  <c r="Z171" i="171"/>
  <c r="AO170" i="171"/>
  <c r="AN170" i="171"/>
  <c r="AM170" i="171"/>
  <c r="AG170" i="171"/>
  <c r="AE170" i="171"/>
  <c r="Z170" i="171"/>
  <c r="AO169" i="171"/>
  <c r="AN169" i="171"/>
  <c r="AM169" i="171"/>
  <c r="AG169" i="171"/>
  <c r="AE169" i="171"/>
  <c r="Z169" i="171"/>
  <c r="AO168" i="171"/>
  <c r="AN168" i="171"/>
  <c r="AM168" i="171"/>
  <c r="AG168" i="171"/>
  <c r="AE168" i="171"/>
  <c r="Z168" i="171"/>
  <c r="AO167" i="171"/>
  <c r="AN167" i="171"/>
  <c r="AM167" i="171"/>
  <c r="AG167" i="171"/>
  <c r="AE167" i="171"/>
  <c r="Z167" i="171"/>
  <c r="AO166" i="171"/>
  <c r="AN166" i="171"/>
  <c r="AM166" i="171"/>
  <c r="AG166" i="171"/>
  <c r="AE166" i="171"/>
  <c r="Z166" i="171"/>
  <c r="AO165" i="171"/>
  <c r="AN165" i="171"/>
  <c r="AM165" i="171"/>
  <c r="AG165" i="171"/>
  <c r="AE165" i="171"/>
  <c r="Z165" i="171"/>
  <c r="AO164" i="171"/>
  <c r="AN164" i="171"/>
  <c r="AM164" i="171"/>
  <c r="AG164" i="171"/>
  <c r="AE164" i="171"/>
  <c r="Z164" i="171"/>
  <c r="AO163" i="171"/>
  <c r="AN163" i="171"/>
  <c r="AM163" i="171"/>
  <c r="AG163" i="171"/>
  <c r="AE163" i="171"/>
  <c r="Z163" i="171"/>
  <c r="AO162" i="171"/>
  <c r="AN162" i="171"/>
  <c r="AM162" i="171"/>
  <c r="AG162" i="171"/>
  <c r="AE162" i="171"/>
  <c r="Z162" i="171"/>
  <c r="AO161" i="171"/>
  <c r="AN161" i="171"/>
  <c r="AM161" i="171"/>
  <c r="AG161" i="171"/>
  <c r="AE161" i="171"/>
  <c r="Z161" i="171"/>
  <c r="AO160" i="171"/>
  <c r="AN160" i="171"/>
  <c r="AM160" i="171"/>
  <c r="AG160" i="171"/>
  <c r="AE160" i="171"/>
  <c r="Z160" i="171"/>
  <c r="AO159" i="171"/>
  <c r="AN159" i="171"/>
  <c r="AM159" i="171"/>
  <c r="AG159" i="171"/>
  <c r="AE159" i="171"/>
  <c r="Z159" i="171"/>
  <c r="AO158" i="171"/>
  <c r="AN158" i="171"/>
  <c r="AM158" i="171"/>
  <c r="AG158" i="171"/>
  <c r="AE158" i="171"/>
  <c r="Z158" i="171"/>
  <c r="AO157" i="171"/>
  <c r="AN157" i="171"/>
  <c r="AM157" i="171"/>
  <c r="AG157" i="171"/>
  <c r="AE157" i="171"/>
  <c r="Z157" i="171"/>
  <c r="AO156" i="171"/>
  <c r="AN156" i="171"/>
  <c r="AM156" i="171"/>
  <c r="AG156" i="171"/>
  <c r="AE156" i="171"/>
  <c r="Z156" i="171"/>
  <c r="AO155" i="171"/>
  <c r="AN155" i="171"/>
  <c r="AM155" i="171"/>
  <c r="AG155" i="171"/>
  <c r="AE155" i="171"/>
  <c r="Z155" i="171"/>
  <c r="AO154" i="171"/>
  <c r="AN154" i="171"/>
  <c r="AM154" i="171"/>
  <c r="AG154" i="171"/>
  <c r="AE154" i="171"/>
  <c r="Z154" i="171"/>
  <c r="AO153" i="171"/>
  <c r="AN153" i="171"/>
  <c r="AM153" i="171"/>
  <c r="AG153" i="171"/>
  <c r="AE153" i="171"/>
  <c r="Z153" i="171"/>
  <c r="AO152" i="171"/>
  <c r="AN152" i="171"/>
  <c r="AM152" i="171"/>
  <c r="AG152" i="171"/>
  <c r="AE152" i="171"/>
  <c r="Z152" i="171"/>
  <c r="AO151" i="171"/>
  <c r="AN151" i="171"/>
  <c r="AM151" i="171"/>
  <c r="AG151" i="171"/>
  <c r="AE151" i="171"/>
  <c r="Z151" i="171"/>
  <c r="AO150" i="171"/>
  <c r="AN150" i="171"/>
  <c r="AM150" i="171"/>
  <c r="AG150" i="171"/>
  <c r="AE150" i="171"/>
  <c r="Z150" i="171"/>
  <c r="AO149" i="171"/>
  <c r="AN149" i="171"/>
  <c r="AM149" i="171"/>
  <c r="AG149" i="171"/>
  <c r="AE149" i="171"/>
  <c r="Z149" i="171"/>
  <c r="AO148" i="171"/>
  <c r="AN148" i="171"/>
  <c r="AM148" i="171"/>
  <c r="AG148" i="171"/>
  <c r="AE148" i="171"/>
  <c r="Z148" i="171"/>
  <c r="AO147" i="171"/>
  <c r="AN147" i="171"/>
  <c r="AM147" i="171"/>
  <c r="AG147" i="171"/>
  <c r="AE147" i="171"/>
  <c r="Z147" i="171"/>
  <c r="AO146" i="171"/>
  <c r="AN146" i="171"/>
  <c r="AM146" i="171"/>
  <c r="AG146" i="171"/>
  <c r="AE146" i="171"/>
  <c r="Z146" i="171"/>
  <c r="AO145" i="171"/>
  <c r="AN145" i="171"/>
  <c r="AM145" i="171"/>
  <c r="AG145" i="171"/>
  <c r="AE145" i="171"/>
  <c r="Z145" i="171"/>
  <c r="AO144" i="171"/>
  <c r="AN144" i="171"/>
  <c r="AM144" i="171"/>
  <c r="AG144" i="171"/>
  <c r="AE144" i="171"/>
  <c r="Z144" i="171"/>
  <c r="AO143" i="171"/>
  <c r="AN143" i="171"/>
  <c r="AM143" i="171"/>
  <c r="AG143" i="171"/>
  <c r="AE143" i="171"/>
  <c r="Z143" i="171"/>
  <c r="AO142" i="171"/>
  <c r="AN142" i="171"/>
  <c r="AM142" i="171"/>
  <c r="AG142" i="171"/>
  <c r="AE142" i="171"/>
  <c r="Z142" i="171"/>
  <c r="AO141" i="171"/>
  <c r="AN141" i="171"/>
  <c r="AM141" i="171"/>
  <c r="AG141" i="171"/>
  <c r="AE141" i="171"/>
  <c r="Z141" i="171"/>
  <c r="AO140" i="171"/>
  <c r="AN140" i="171"/>
  <c r="AM140" i="171"/>
  <c r="AG140" i="171"/>
  <c r="AE140" i="171"/>
  <c r="Z140" i="171"/>
  <c r="AO139" i="171"/>
  <c r="AN139" i="171"/>
  <c r="AM139" i="171"/>
  <c r="AG139" i="171"/>
  <c r="AE139" i="171"/>
  <c r="Z139" i="171"/>
  <c r="AO138" i="171"/>
  <c r="AN138" i="171"/>
  <c r="AM138" i="171"/>
  <c r="AG138" i="171"/>
  <c r="AE138" i="171"/>
  <c r="Z138" i="171"/>
  <c r="AO137" i="171"/>
  <c r="AN137" i="171"/>
  <c r="AM137" i="171"/>
  <c r="AG137" i="171"/>
  <c r="AE137" i="171"/>
  <c r="Z137" i="171"/>
  <c r="AO136" i="171"/>
  <c r="AN136" i="171"/>
  <c r="AM136" i="171"/>
  <c r="AG136" i="171"/>
  <c r="AE136" i="171"/>
  <c r="Z136" i="171"/>
  <c r="AO135" i="171"/>
  <c r="AN135" i="171"/>
  <c r="AM135" i="171"/>
  <c r="AG135" i="171"/>
  <c r="AE135" i="171"/>
  <c r="Z135" i="171"/>
  <c r="AO134" i="171"/>
  <c r="AN134" i="171"/>
  <c r="AM134" i="171"/>
  <c r="AG134" i="171"/>
  <c r="AE134" i="171"/>
  <c r="Z134" i="171"/>
  <c r="AO133" i="171"/>
  <c r="AN133" i="171"/>
  <c r="AM133" i="171"/>
  <c r="AG133" i="171"/>
  <c r="AE133" i="171"/>
  <c r="Z133" i="171"/>
  <c r="AO132" i="171"/>
  <c r="AN132" i="171"/>
  <c r="AM132" i="171"/>
  <c r="AG132" i="171"/>
  <c r="AE132" i="171"/>
  <c r="Z132" i="171"/>
  <c r="AO131" i="171"/>
  <c r="AN131" i="171"/>
  <c r="AM131" i="171"/>
  <c r="AG131" i="171"/>
  <c r="AE131" i="171"/>
  <c r="Z131" i="171"/>
  <c r="AO130" i="171"/>
  <c r="AN130" i="171"/>
  <c r="AM130" i="171"/>
  <c r="AG130" i="171"/>
  <c r="AE130" i="171"/>
  <c r="Z130" i="171"/>
  <c r="AO129" i="171"/>
  <c r="AN129" i="171"/>
  <c r="AM129" i="171"/>
  <c r="AG129" i="171"/>
  <c r="AE129" i="171"/>
  <c r="Z129" i="171"/>
  <c r="AO128" i="171"/>
  <c r="AN128" i="171"/>
  <c r="AM128" i="171"/>
  <c r="AG128" i="171"/>
  <c r="AE128" i="171"/>
  <c r="Z128" i="171"/>
  <c r="AO127" i="171"/>
  <c r="AN127" i="171"/>
  <c r="AM127" i="171"/>
  <c r="AG127" i="171"/>
  <c r="AE127" i="171"/>
  <c r="Z127" i="171"/>
  <c r="AO126" i="171"/>
  <c r="AN126" i="171"/>
  <c r="AM126" i="171"/>
  <c r="AG126" i="171"/>
  <c r="AE126" i="171"/>
  <c r="Z126" i="171"/>
  <c r="AO125" i="171"/>
  <c r="AN125" i="171"/>
  <c r="AM125" i="171"/>
  <c r="AG125" i="171"/>
  <c r="AE125" i="171"/>
  <c r="Z125" i="171"/>
  <c r="AO124" i="171"/>
  <c r="AN124" i="171"/>
  <c r="AM124" i="171"/>
  <c r="AG124" i="171"/>
  <c r="AE124" i="171"/>
  <c r="Z124" i="171"/>
  <c r="AO123" i="171"/>
  <c r="AN123" i="171"/>
  <c r="AM123" i="171"/>
  <c r="AG123" i="171"/>
  <c r="AE123" i="171"/>
  <c r="Z123" i="171"/>
  <c r="AO122" i="171"/>
  <c r="AN122" i="171"/>
  <c r="AM122" i="171"/>
  <c r="AG122" i="171"/>
  <c r="AE122" i="171"/>
  <c r="Z122" i="171"/>
  <c r="AO121" i="171"/>
  <c r="AN121" i="171"/>
  <c r="AM121" i="171"/>
  <c r="AG121" i="171"/>
  <c r="AE121" i="171"/>
  <c r="Z121" i="171"/>
  <c r="AO120" i="171"/>
  <c r="AN120" i="171"/>
  <c r="AM120" i="171"/>
  <c r="AG120" i="171"/>
  <c r="AE120" i="171"/>
  <c r="Z120" i="171"/>
  <c r="AO119" i="171"/>
  <c r="AN119" i="171"/>
  <c r="AM119" i="171"/>
  <c r="AG119" i="171"/>
  <c r="AE119" i="171"/>
  <c r="Z119" i="171"/>
  <c r="AO118" i="171"/>
  <c r="AN118" i="171"/>
  <c r="AM118" i="171"/>
  <c r="AG118" i="171"/>
  <c r="AE118" i="171"/>
  <c r="Z118" i="171"/>
  <c r="AO117" i="171"/>
  <c r="AN117" i="171"/>
  <c r="AM117" i="171"/>
  <c r="AG117" i="171"/>
  <c r="AE117" i="171"/>
  <c r="Z117" i="171"/>
  <c r="AO116" i="171"/>
  <c r="AN116" i="171"/>
  <c r="AM116" i="171"/>
  <c r="AG116" i="171"/>
  <c r="AE116" i="171"/>
  <c r="Z116" i="171"/>
  <c r="AO115" i="171"/>
  <c r="AN115" i="171"/>
  <c r="AM115" i="171"/>
  <c r="AG115" i="171"/>
  <c r="AE115" i="171"/>
  <c r="Z115" i="171"/>
  <c r="AO114" i="171"/>
  <c r="AN114" i="171"/>
  <c r="AM114" i="171"/>
  <c r="AG114" i="171"/>
  <c r="AE114" i="171"/>
  <c r="Z114" i="171"/>
  <c r="AO113" i="171"/>
  <c r="AN113" i="171"/>
  <c r="AM113" i="171"/>
  <c r="AG113" i="171"/>
  <c r="AE113" i="171"/>
  <c r="Z113" i="171"/>
  <c r="AO112" i="171"/>
  <c r="AN112" i="171"/>
  <c r="AM112" i="171"/>
  <c r="AG112" i="171"/>
  <c r="AE112" i="171"/>
  <c r="Z112" i="171"/>
  <c r="AO111" i="171"/>
  <c r="AN111" i="171"/>
  <c r="AM111" i="171"/>
  <c r="AG111" i="171"/>
  <c r="AE111" i="171"/>
  <c r="Z111" i="171"/>
  <c r="AO110" i="171"/>
  <c r="AN110" i="171"/>
  <c r="AM110" i="171"/>
  <c r="AG110" i="171"/>
  <c r="AE110" i="171"/>
  <c r="Z110" i="171"/>
  <c r="AO109" i="171"/>
  <c r="AN109" i="171"/>
  <c r="AM109" i="171"/>
  <c r="AG109" i="171"/>
  <c r="AE109" i="171"/>
  <c r="Z109" i="171"/>
  <c r="AO108" i="171"/>
  <c r="AN108" i="171"/>
  <c r="AM108" i="171"/>
  <c r="AG108" i="171"/>
  <c r="AE108" i="171"/>
  <c r="Z108" i="171"/>
  <c r="AO107" i="171"/>
  <c r="AN107" i="171"/>
  <c r="AM107" i="171"/>
  <c r="AG107" i="171"/>
  <c r="AE107" i="171"/>
  <c r="Z107" i="171"/>
  <c r="AO106" i="171"/>
  <c r="AN106" i="171"/>
  <c r="AM106" i="171"/>
  <c r="AG106" i="171"/>
  <c r="AE106" i="171"/>
  <c r="Z106" i="171"/>
  <c r="AO105" i="171"/>
  <c r="AN105" i="171"/>
  <c r="AM105" i="171"/>
  <c r="AG105" i="171"/>
  <c r="AE105" i="171"/>
  <c r="Z105" i="171"/>
  <c r="AO104" i="171"/>
  <c r="AN104" i="171"/>
  <c r="AM104" i="171"/>
  <c r="AG104" i="171"/>
  <c r="AE104" i="171"/>
  <c r="Z104" i="171"/>
  <c r="AO103" i="171"/>
  <c r="AN103" i="171"/>
  <c r="AM103" i="171"/>
  <c r="AG103" i="171"/>
  <c r="AE103" i="171"/>
  <c r="Z103" i="171"/>
  <c r="AO102" i="171"/>
  <c r="AN102" i="171"/>
  <c r="AM102" i="171"/>
  <c r="AG102" i="171"/>
  <c r="AE102" i="171"/>
  <c r="Z102" i="171"/>
  <c r="AO101" i="171"/>
  <c r="AN101" i="171"/>
  <c r="AM101" i="171"/>
  <c r="AG101" i="171"/>
  <c r="AE101" i="171"/>
  <c r="Z101" i="171"/>
  <c r="AO100" i="171"/>
  <c r="AN100" i="171"/>
  <c r="AM100" i="171"/>
  <c r="AG100" i="171"/>
  <c r="AE100" i="171"/>
  <c r="Z100" i="171"/>
  <c r="AO99" i="171"/>
  <c r="AN99" i="171"/>
  <c r="AM99" i="171"/>
  <c r="AG99" i="171"/>
  <c r="AE99" i="171"/>
  <c r="Z99" i="171"/>
  <c r="AO98" i="171"/>
  <c r="AN98" i="171"/>
  <c r="AM98" i="171"/>
  <c r="AG98" i="171"/>
  <c r="AE98" i="171"/>
  <c r="Z98" i="171"/>
  <c r="AO97" i="171"/>
  <c r="AN97" i="171"/>
  <c r="AM97" i="171"/>
  <c r="AG97" i="171"/>
  <c r="AE97" i="171"/>
  <c r="Z97" i="171"/>
  <c r="AO96" i="171"/>
  <c r="AN96" i="171"/>
  <c r="AM96" i="171"/>
  <c r="AG96" i="171"/>
  <c r="AE96" i="171"/>
  <c r="Z96" i="171"/>
  <c r="AO95" i="171"/>
  <c r="AN95" i="171"/>
  <c r="AM95" i="171"/>
  <c r="AG95" i="171"/>
  <c r="AE95" i="171"/>
  <c r="Z95" i="171"/>
  <c r="AO94" i="171"/>
  <c r="AN94" i="171"/>
  <c r="AM94" i="171"/>
  <c r="AG94" i="171"/>
  <c r="AE94" i="171"/>
  <c r="Z94" i="171"/>
  <c r="AO93" i="171"/>
  <c r="AN93" i="171"/>
  <c r="AM93" i="171"/>
  <c r="AG93" i="171"/>
  <c r="AE93" i="171"/>
  <c r="Z93" i="171"/>
  <c r="AO92" i="171"/>
  <c r="AN92" i="171"/>
  <c r="AM92" i="171"/>
  <c r="AG92" i="171"/>
  <c r="AE92" i="171"/>
  <c r="Z92" i="171"/>
  <c r="AO91" i="171"/>
  <c r="AN91" i="171"/>
  <c r="AM91" i="171"/>
  <c r="AG91" i="171"/>
  <c r="AE91" i="171"/>
  <c r="Z91" i="171"/>
  <c r="AO90" i="171"/>
  <c r="AN90" i="171"/>
  <c r="AM90" i="171"/>
  <c r="AG90" i="171"/>
  <c r="AE90" i="171"/>
  <c r="Z90" i="171"/>
  <c r="AO89" i="171"/>
  <c r="AN89" i="171"/>
  <c r="AM89" i="171"/>
  <c r="AG89" i="171"/>
  <c r="AE89" i="171"/>
  <c r="Z89" i="171"/>
  <c r="AO88" i="171"/>
  <c r="AN88" i="171"/>
  <c r="AM88" i="171"/>
  <c r="AG88" i="171"/>
  <c r="AE88" i="171"/>
  <c r="Z88" i="171"/>
  <c r="AO87" i="171"/>
  <c r="AN87" i="171"/>
  <c r="AM87" i="171"/>
  <c r="AG87" i="171"/>
  <c r="AE87" i="171"/>
  <c r="Z87" i="171"/>
  <c r="AO86" i="171"/>
  <c r="AN86" i="171"/>
  <c r="AM86" i="171"/>
  <c r="AG86" i="171"/>
  <c r="AE86" i="171"/>
  <c r="Z86" i="171"/>
  <c r="AO85" i="171"/>
  <c r="AN85" i="171"/>
  <c r="AM85" i="171"/>
  <c r="AG85" i="171"/>
  <c r="AE85" i="171"/>
  <c r="Z85" i="171"/>
  <c r="AO84" i="171"/>
  <c r="AN84" i="171"/>
  <c r="AM84" i="171"/>
  <c r="AG84" i="171"/>
  <c r="AE84" i="171"/>
  <c r="Z84" i="171"/>
  <c r="AO83" i="171"/>
  <c r="AN83" i="171"/>
  <c r="AM83" i="171"/>
  <c r="AG83" i="171"/>
  <c r="AE83" i="171"/>
  <c r="Z83" i="171"/>
  <c r="AO82" i="171"/>
  <c r="AN82" i="171"/>
  <c r="AM82" i="171"/>
  <c r="AG82" i="171"/>
  <c r="AE82" i="171"/>
  <c r="Z82" i="171"/>
  <c r="AO81" i="171"/>
  <c r="AN81" i="171"/>
  <c r="AM81" i="171"/>
  <c r="AG81" i="171"/>
  <c r="AE81" i="171"/>
  <c r="Z81" i="171"/>
  <c r="AO80" i="171"/>
  <c r="AN80" i="171"/>
  <c r="AM80" i="171"/>
  <c r="AG80" i="171"/>
  <c r="AE80" i="171"/>
  <c r="Z80" i="171"/>
  <c r="AO79" i="171"/>
  <c r="AN79" i="171"/>
  <c r="AM79" i="171"/>
  <c r="AG79" i="171"/>
  <c r="AE79" i="171"/>
  <c r="Z79" i="171"/>
  <c r="AO78" i="171"/>
  <c r="AN78" i="171"/>
  <c r="AM78" i="171"/>
  <c r="AG78" i="171"/>
  <c r="AE78" i="171"/>
  <c r="Z78" i="171"/>
  <c r="AO77" i="171"/>
  <c r="AN77" i="171"/>
  <c r="AM77" i="171"/>
  <c r="AG77" i="171"/>
  <c r="AE77" i="171"/>
  <c r="Z77" i="171"/>
  <c r="AO76" i="171"/>
  <c r="AN76" i="171"/>
  <c r="AM76" i="171"/>
  <c r="AG76" i="171"/>
  <c r="AE76" i="171"/>
  <c r="Z76" i="171"/>
  <c r="AO75" i="171"/>
  <c r="AN75" i="171"/>
  <c r="AM75" i="171"/>
  <c r="AG75" i="171"/>
  <c r="AE75" i="171"/>
  <c r="Z75" i="171"/>
  <c r="AO74" i="171"/>
  <c r="AN74" i="171"/>
  <c r="AM74" i="171"/>
  <c r="AG74" i="171"/>
  <c r="AE74" i="171"/>
  <c r="Z74" i="171"/>
  <c r="AO73" i="171"/>
  <c r="AN73" i="171"/>
  <c r="AM73" i="171"/>
  <c r="AG73" i="171"/>
  <c r="AE73" i="171"/>
  <c r="Z73" i="171"/>
  <c r="AO72" i="171"/>
  <c r="AN72" i="171"/>
  <c r="AM72" i="171"/>
  <c r="AG72" i="171"/>
  <c r="AE72" i="171"/>
  <c r="Z72" i="171"/>
  <c r="AO71" i="171"/>
  <c r="AN71" i="171"/>
  <c r="AM71" i="171"/>
  <c r="AG71" i="171"/>
  <c r="AE71" i="171"/>
  <c r="Z71" i="171"/>
  <c r="AO70" i="171"/>
  <c r="AN70" i="171"/>
  <c r="AM70" i="171"/>
  <c r="AG70" i="171"/>
  <c r="AE70" i="171"/>
  <c r="Z70" i="171"/>
  <c r="AO69" i="171"/>
  <c r="AN69" i="171"/>
  <c r="AM69" i="171"/>
  <c r="AG69" i="171"/>
  <c r="AE69" i="171"/>
  <c r="Z69" i="171"/>
  <c r="AO68" i="171"/>
  <c r="AN68" i="171"/>
  <c r="AM68" i="171"/>
  <c r="AG68" i="171"/>
  <c r="AE68" i="171"/>
  <c r="Z68" i="171"/>
  <c r="AO67" i="171"/>
  <c r="AN67" i="171"/>
  <c r="AM67" i="171"/>
  <c r="AG67" i="171"/>
  <c r="AE67" i="171"/>
  <c r="Z67" i="171"/>
  <c r="AO66" i="171"/>
  <c r="AN66" i="171"/>
  <c r="AM66" i="171"/>
  <c r="AG66" i="171"/>
  <c r="AE66" i="171"/>
  <c r="Z66" i="171"/>
  <c r="AO65" i="171"/>
  <c r="AN65" i="171"/>
  <c r="AM65" i="171"/>
  <c r="AG65" i="171"/>
  <c r="AE65" i="171"/>
  <c r="Z65" i="171"/>
  <c r="AO64" i="171"/>
  <c r="AN64" i="171"/>
  <c r="AM64" i="171"/>
  <c r="AG64" i="171"/>
  <c r="AE64" i="171"/>
  <c r="Z64" i="171"/>
  <c r="AO63" i="171"/>
  <c r="AN63" i="171"/>
  <c r="AM63" i="171"/>
  <c r="AG63" i="171"/>
  <c r="AE63" i="171"/>
  <c r="Z63" i="171"/>
  <c r="AO62" i="171"/>
  <c r="AN62" i="171"/>
  <c r="AM62" i="171"/>
  <c r="AG62" i="171"/>
  <c r="AE62" i="171"/>
  <c r="Z62" i="171"/>
  <c r="AO61" i="171"/>
  <c r="AN61" i="171"/>
  <c r="AM61" i="171"/>
  <c r="AG61" i="171"/>
  <c r="AE61" i="171"/>
  <c r="Z61" i="171"/>
  <c r="AO60" i="171"/>
  <c r="AN60" i="171"/>
  <c r="AM60" i="171"/>
  <c r="AG60" i="171"/>
  <c r="AE60" i="171"/>
  <c r="Z60" i="171"/>
  <c r="AO59" i="171"/>
  <c r="AN59" i="171"/>
  <c r="AM59" i="171"/>
  <c r="AG59" i="171"/>
  <c r="AE59" i="171"/>
  <c r="Z59" i="171"/>
  <c r="AO58" i="171"/>
  <c r="AN58" i="171"/>
  <c r="AM58" i="171"/>
  <c r="AG58" i="171"/>
  <c r="AE58" i="171"/>
  <c r="Z58" i="171"/>
  <c r="AO57" i="171"/>
  <c r="AN57" i="171"/>
  <c r="AM57" i="171"/>
  <c r="AG57" i="171"/>
  <c r="AE57" i="171"/>
  <c r="Z57" i="171"/>
  <c r="AO56" i="171"/>
  <c r="AN56" i="171"/>
  <c r="AM56" i="171"/>
  <c r="AG56" i="171"/>
  <c r="AE56" i="171"/>
  <c r="Z56" i="171"/>
  <c r="AO55" i="171"/>
  <c r="AN55" i="171"/>
  <c r="AM55" i="171"/>
  <c r="AG55" i="171"/>
  <c r="AE55" i="171"/>
  <c r="Z55" i="171"/>
  <c r="AO54" i="171"/>
  <c r="AN54" i="171"/>
  <c r="AM54" i="171"/>
  <c r="AG54" i="171"/>
  <c r="AE54" i="171"/>
  <c r="Z54" i="171"/>
  <c r="AO53" i="171"/>
  <c r="AN53" i="171"/>
  <c r="AM53" i="171"/>
  <c r="AG53" i="171"/>
  <c r="AE53" i="171"/>
  <c r="Z53" i="171"/>
  <c r="AO52" i="171"/>
  <c r="AN52" i="171"/>
  <c r="AM52" i="171"/>
  <c r="AG52" i="171"/>
  <c r="AE52" i="171"/>
  <c r="Z52" i="171"/>
  <c r="AO51" i="171"/>
  <c r="AN51" i="171"/>
  <c r="AM51" i="171"/>
  <c r="AG51" i="171"/>
  <c r="AE51" i="171"/>
  <c r="Z51" i="171"/>
  <c r="AO50" i="171"/>
  <c r="AN50" i="171"/>
  <c r="AM50" i="171"/>
  <c r="AG50" i="171"/>
  <c r="AE50" i="171"/>
  <c r="Z50" i="171"/>
  <c r="AO49" i="171"/>
  <c r="AN49" i="171"/>
  <c r="AM49" i="171"/>
  <c r="AG49" i="171"/>
  <c r="AE49" i="171"/>
  <c r="Z49" i="171"/>
  <c r="AO48" i="171"/>
  <c r="AN48" i="171"/>
  <c r="AM48" i="171"/>
  <c r="AG48" i="171"/>
  <c r="AE48" i="171"/>
  <c r="Z48" i="171"/>
  <c r="AO47" i="171"/>
  <c r="AN47" i="171"/>
  <c r="AM47" i="171"/>
  <c r="AG47" i="171"/>
  <c r="AE47" i="171"/>
  <c r="Z47" i="171"/>
  <c r="AO46" i="171"/>
  <c r="AN46" i="171"/>
  <c r="AM46" i="171"/>
  <c r="AG46" i="171"/>
  <c r="AE46" i="171"/>
  <c r="Z46" i="171"/>
  <c r="AO45" i="171"/>
  <c r="AN45" i="171"/>
  <c r="AM45" i="171"/>
  <c r="AG45" i="171"/>
  <c r="AE45" i="171"/>
  <c r="Z45" i="171"/>
  <c r="AO44" i="171"/>
  <c r="AN44" i="171"/>
  <c r="AM44" i="171"/>
  <c r="AG44" i="171"/>
  <c r="AE44" i="171"/>
  <c r="Z44" i="171"/>
  <c r="AO43" i="171"/>
  <c r="AN43" i="171"/>
  <c r="AM43" i="171"/>
  <c r="AG43" i="171"/>
  <c r="AE43" i="171"/>
  <c r="Z43" i="171"/>
  <c r="AO42" i="171"/>
  <c r="AN42" i="171"/>
  <c r="AM42" i="171"/>
  <c r="AG42" i="171"/>
  <c r="AE42" i="171"/>
  <c r="Z42" i="171"/>
  <c r="AO41" i="171"/>
  <c r="AN41" i="171"/>
  <c r="AM41" i="171"/>
  <c r="AG41" i="171"/>
  <c r="AE41" i="171"/>
  <c r="Z41" i="171"/>
  <c r="AO40" i="171"/>
  <c r="AN40" i="171"/>
  <c r="AM40" i="171"/>
  <c r="AG40" i="171"/>
  <c r="AE40" i="171"/>
  <c r="Z40" i="171"/>
  <c r="AO39" i="171"/>
  <c r="AN39" i="171"/>
  <c r="AM39" i="171"/>
  <c r="AG39" i="171"/>
  <c r="AE39" i="171"/>
  <c r="Z39" i="171"/>
  <c r="AO38" i="171"/>
  <c r="AN38" i="171"/>
  <c r="AM38" i="171"/>
  <c r="AG38" i="171"/>
  <c r="AE38" i="171"/>
  <c r="Z38" i="171"/>
  <c r="AO37" i="171"/>
  <c r="AN37" i="171"/>
  <c r="AM37" i="171"/>
  <c r="AG37" i="171"/>
  <c r="AE37" i="171"/>
  <c r="Z37" i="171"/>
  <c r="AO36" i="171"/>
  <c r="AN36" i="171"/>
  <c r="AM36" i="171"/>
  <c r="AG36" i="171"/>
  <c r="AE36" i="171"/>
  <c r="Z36" i="171"/>
  <c r="AO35" i="171"/>
  <c r="AN35" i="171"/>
  <c r="AM35" i="171"/>
  <c r="AG35" i="171"/>
  <c r="AE35" i="171"/>
  <c r="Z35" i="171"/>
  <c r="AO34" i="171"/>
  <c r="AN34" i="171"/>
  <c r="AM34" i="171"/>
  <c r="AG34" i="171"/>
  <c r="AE34" i="171"/>
  <c r="Z34" i="171"/>
  <c r="AO33" i="171"/>
  <c r="AN33" i="171"/>
  <c r="AM33" i="171"/>
  <c r="AG33" i="171"/>
  <c r="AE33" i="171"/>
  <c r="Z33" i="171"/>
  <c r="AO32" i="171"/>
  <c r="AN32" i="171"/>
  <c r="AM32" i="171"/>
  <c r="AG32" i="171"/>
  <c r="AE32" i="171"/>
  <c r="Z32" i="171"/>
  <c r="AO31" i="171"/>
  <c r="AN31" i="171"/>
  <c r="AM31" i="171"/>
  <c r="AG31" i="171"/>
  <c r="AE31" i="171"/>
  <c r="Z31" i="171"/>
  <c r="AO30" i="171"/>
  <c r="AN30" i="171"/>
  <c r="AM30" i="171"/>
  <c r="AG30" i="171"/>
  <c r="AE30" i="171"/>
  <c r="Z30" i="171"/>
  <c r="AO29" i="171"/>
  <c r="AN29" i="171"/>
  <c r="AM29" i="171"/>
  <c r="AG29" i="171"/>
  <c r="AE29" i="171"/>
  <c r="Z29" i="171"/>
  <c r="AO28" i="171"/>
  <c r="AN28" i="171"/>
  <c r="AM28" i="171"/>
  <c r="AG28" i="171"/>
  <c r="AE28" i="171"/>
  <c r="Z28" i="171"/>
  <c r="AO27" i="171"/>
  <c r="AN27" i="171"/>
  <c r="AM27" i="171"/>
  <c r="AG27" i="171"/>
  <c r="AE27" i="171"/>
  <c r="Z27" i="171"/>
  <c r="AO26" i="171"/>
  <c r="AN26" i="171"/>
  <c r="AM26" i="171"/>
  <c r="AG26" i="171"/>
  <c r="AE26" i="171"/>
  <c r="Z26" i="171"/>
  <c r="AO25" i="171"/>
  <c r="AN25" i="171"/>
  <c r="AM25" i="171"/>
  <c r="AG25" i="171"/>
  <c r="AE25" i="171"/>
  <c r="Z25" i="171"/>
  <c r="AO24" i="171"/>
  <c r="AN24" i="171"/>
  <c r="AM24" i="171"/>
  <c r="AG24" i="171"/>
  <c r="AE24" i="171"/>
  <c r="Z24" i="171"/>
  <c r="AO23" i="171"/>
  <c r="AN23" i="171"/>
  <c r="AM23" i="171"/>
  <c r="AG23" i="171"/>
  <c r="AE23" i="171"/>
  <c r="Z23" i="171"/>
  <c r="AO22" i="171"/>
  <c r="AN22" i="171"/>
  <c r="AM22" i="171"/>
  <c r="AG22" i="171"/>
  <c r="AE22" i="171"/>
  <c r="Z22" i="171"/>
  <c r="AO21" i="171"/>
  <c r="AN21" i="171"/>
  <c r="AM21" i="171"/>
  <c r="AG21" i="171"/>
  <c r="AE21" i="171"/>
  <c r="Z21" i="171"/>
  <c r="AO20" i="171"/>
  <c r="AN20" i="171"/>
  <c r="AM20" i="171"/>
  <c r="AG20" i="171"/>
  <c r="AE20" i="171"/>
  <c r="Z20" i="171"/>
  <c r="AO19" i="171"/>
  <c r="AN19" i="171"/>
  <c r="AM19" i="171"/>
  <c r="AG19" i="171"/>
  <c r="AE19" i="171"/>
  <c r="Z19" i="171"/>
  <c r="AO18" i="171"/>
  <c r="AN18" i="171"/>
  <c r="AM18" i="171"/>
  <c r="AG18" i="171"/>
  <c r="AE18" i="171"/>
  <c r="Z18" i="171"/>
  <c r="AO17" i="171"/>
  <c r="AN17" i="171"/>
  <c r="AM17" i="171"/>
  <c r="AG17" i="171"/>
  <c r="AE17" i="171"/>
  <c r="Z17" i="171"/>
  <c r="AO16" i="171"/>
  <c r="AN16" i="171"/>
  <c r="AM16" i="171"/>
  <c r="AG16" i="171"/>
  <c r="AE16" i="171"/>
  <c r="Z16" i="171"/>
  <c r="AO15" i="171"/>
  <c r="AN15" i="171"/>
  <c r="AM15" i="171"/>
  <c r="AG15" i="171"/>
  <c r="AE15" i="171"/>
  <c r="Z15" i="171"/>
  <c r="AO14" i="171"/>
  <c r="AN14" i="171"/>
  <c r="AM14" i="171"/>
  <c r="AG14" i="171"/>
  <c r="AE14" i="171"/>
  <c r="Z14" i="171"/>
  <c r="AO13" i="171"/>
  <c r="AN13" i="171"/>
  <c r="AM13" i="171"/>
  <c r="AG13" i="171"/>
  <c r="AE13" i="171"/>
  <c r="Z13" i="171"/>
  <c r="AO12" i="171"/>
  <c r="AN12" i="171"/>
  <c r="AM12" i="171"/>
  <c r="AG12" i="171"/>
  <c r="AE12" i="171"/>
  <c r="Z12" i="171"/>
  <c r="AO11" i="171"/>
  <c r="AN11" i="171"/>
  <c r="AM11" i="171"/>
  <c r="AG11" i="171"/>
  <c r="AE11" i="171"/>
  <c r="Z11" i="171"/>
  <c r="AO10" i="171"/>
  <c r="AN10" i="171"/>
  <c r="AM10" i="171"/>
  <c r="AG10" i="171"/>
  <c r="AE10" i="171"/>
  <c r="Z10" i="171"/>
  <c r="AO9" i="171"/>
  <c r="AN9" i="171"/>
  <c r="AM9" i="171"/>
  <c r="AG9" i="171"/>
  <c r="AE9" i="171"/>
  <c r="Z9" i="171"/>
  <c r="AO8" i="171"/>
  <c r="AN8" i="171"/>
  <c r="AM8" i="171"/>
  <c r="AG8" i="171"/>
  <c r="AE8" i="171"/>
  <c r="Z8" i="171"/>
  <c r="AO7" i="171"/>
  <c r="AN7" i="171"/>
  <c r="AM7" i="171"/>
  <c r="AG7" i="171"/>
  <c r="AE7" i="171"/>
  <c r="Z7" i="171"/>
  <c r="AO6" i="171"/>
  <c r="AN6" i="171"/>
  <c r="AM6" i="171"/>
  <c r="AG6" i="171"/>
  <c r="AE6" i="171"/>
  <c r="Z6" i="171"/>
  <c r="A6" i="171"/>
  <c r="A7" i="171"/>
  <c r="A8" i="171"/>
  <c r="AO5" i="171"/>
  <c r="AN5" i="171"/>
  <c r="AM5" i="171"/>
  <c r="AG5" i="171"/>
  <c r="AE5" i="171"/>
  <c r="Z5" i="171"/>
  <c r="AI2" i="171"/>
  <c r="H2" i="171"/>
  <c r="AB2" i="171"/>
  <c r="AA2" i="171"/>
  <c r="Z2" i="171"/>
  <c r="V2" i="171"/>
  <c r="U2" i="171"/>
  <c r="T2" i="171"/>
  <c r="C2" i="171"/>
  <c r="O2" i="171"/>
  <c r="B2" i="171"/>
  <c r="A2" i="171"/>
  <c r="AQ5" i="171"/>
  <c r="AK397" i="171"/>
  <c r="AK394" i="171"/>
  <c r="AK382" i="171"/>
  <c r="AK370" i="171"/>
  <c r="AK358" i="171"/>
  <c r="AK346" i="171"/>
  <c r="AK396" i="171"/>
  <c r="AK368" i="171"/>
  <c r="AK342" i="171"/>
  <c r="AK341" i="171"/>
  <c r="AK340" i="171"/>
  <c r="AK339" i="171"/>
  <c r="AK338" i="171"/>
  <c r="AK337" i="171"/>
  <c r="AK325" i="171"/>
  <c r="AK313" i="171"/>
  <c r="AK301" i="171"/>
  <c r="AK289" i="171"/>
  <c r="AK277" i="171"/>
  <c r="AK265" i="171"/>
  <c r="AK253" i="171"/>
  <c r="AK241" i="171"/>
  <c r="AK229" i="171"/>
  <c r="AK395" i="171"/>
  <c r="AK393" i="171"/>
  <c r="AK392" i="171"/>
  <c r="AK391" i="171"/>
  <c r="AK360" i="171"/>
  <c r="AK334" i="171"/>
  <c r="AK322" i="171"/>
  <c r="AK310" i="171"/>
  <c r="AK298" i="171"/>
  <c r="AK286" i="171"/>
  <c r="AK274" i="171"/>
  <c r="AK398" i="171"/>
  <c r="AK385" i="171"/>
  <c r="AK384" i="171"/>
  <c r="AK377" i="171"/>
  <c r="AK367" i="171"/>
  <c r="AK399" i="171"/>
  <c r="AK386" i="171"/>
  <c r="AK369" i="171"/>
  <c r="AK366" i="171"/>
  <c r="AK365" i="171"/>
  <c r="AK364" i="171"/>
  <c r="AK363" i="171"/>
  <c r="AK362" i="171"/>
  <c r="AK361" i="171"/>
  <c r="AK359" i="171"/>
  <c r="AK400" i="171"/>
  <c r="AK387" i="171"/>
  <c r="AK378" i="171"/>
  <c r="AK345" i="171"/>
  <c r="AK344" i="171"/>
  <c r="AK343" i="171"/>
  <c r="AK300" i="171"/>
  <c r="AK293" i="171"/>
  <c r="AK255" i="171"/>
  <c r="AK227" i="171"/>
  <c r="AK211" i="171"/>
  <c r="AK199" i="171"/>
  <c r="AK187" i="171"/>
  <c r="AK175" i="171"/>
  <c r="AK163" i="171"/>
  <c r="AK151" i="171"/>
  <c r="AK139" i="171"/>
  <c r="AK388" i="171"/>
  <c r="AK372" i="171"/>
  <c r="AK371" i="171"/>
  <c r="AK304" i="171"/>
  <c r="AK303" i="171"/>
  <c r="AK302" i="171"/>
  <c r="AK299" i="171"/>
  <c r="AK297" i="171"/>
  <c r="AK296" i="171"/>
  <c r="AK295" i="171"/>
  <c r="AK294" i="171"/>
  <c r="AK254" i="171"/>
  <c r="AK252" i="171"/>
  <c r="AK226" i="171"/>
  <c r="AK210" i="171"/>
  <c r="AL309" i="172"/>
  <c r="AN232" i="172"/>
  <c r="AL206" i="172"/>
  <c r="AL104" i="172"/>
  <c r="AN95" i="172"/>
  <c r="AL90" i="172"/>
  <c r="AN75" i="172"/>
  <c r="AL70" i="172"/>
  <c r="AN61" i="172"/>
  <c r="AN41" i="172"/>
  <c r="AN33" i="172"/>
  <c r="AK380" i="171"/>
  <c r="AK376" i="171"/>
  <c r="AK330" i="171"/>
  <c r="AK251" i="171"/>
  <c r="AK224" i="171"/>
  <c r="AK197" i="171"/>
  <c r="AK171" i="171"/>
  <c r="AK170" i="171"/>
  <c r="AK169" i="171"/>
  <c r="AK168" i="171"/>
  <c r="AK167" i="171"/>
  <c r="AK166" i="171"/>
  <c r="AK140" i="171"/>
  <c r="AK138" i="171"/>
  <c r="AK122" i="171"/>
  <c r="AK110" i="171"/>
  <c r="AK98" i="171"/>
  <c r="AK86" i="171"/>
  <c r="AK74" i="171"/>
  <c r="AK62" i="171"/>
  <c r="AK50" i="171"/>
  <c r="AK38" i="171"/>
  <c r="AK26" i="171"/>
  <c r="AK14" i="171"/>
  <c r="AL351" i="172"/>
  <c r="AL292" i="172"/>
  <c r="AL170" i="172"/>
  <c r="AL163" i="172"/>
  <c r="AN137" i="172"/>
  <c r="AN110" i="172"/>
  <c r="AN81" i="172"/>
  <c r="AL61" i="172"/>
  <c r="AN35" i="172"/>
  <c r="AK373" i="171"/>
  <c r="AK352" i="171"/>
  <c r="AK347" i="171"/>
  <c r="AK336" i="171"/>
  <c r="AN377" i="172"/>
  <c r="AN364" i="172"/>
  <c r="AL284" i="172"/>
  <c r="AN268" i="172"/>
  <c r="AL239" i="172"/>
  <c r="AN173" i="172"/>
  <c r="AL148" i="172"/>
  <c r="AN123" i="172"/>
  <c r="AL95" i="172"/>
  <c r="AL92" i="172"/>
  <c r="AN83" i="172"/>
  <c r="AL55" i="172"/>
  <c r="AL41" i="172"/>
  <c r="AL38" i="172"/>
  <c r="AL33" i="172"/>
  <c r="AN18" i="172"/>
  <c r="AK331" i="171"/>
  <c r="AK324" i="171"/>
  <c r="AK323" i="171"/>
  <c r="AN155" i="172"/>
  <c r="AN126" i="172"/>
  <c r="AL110" i="172"/>
  <c r="AL86" i="172"/>
  <c r="AL72" i="172"/>
  <c r="AN63" i="172"/>
  <c r="AL35" i="172"/>
  <c r="AL15" i="172"/>
  <c r="AK381" i="171"/>
  <c r="AK348" i="171"/>
  <c r="AK305" i="171"/>
  <c r="AL367" i="172"/>
  <c r="AL238" i="172"/>
  <c r="AL216" i="172"/>
  <c r="AN187" i="172"/>
  <c r="AL97" i="172"/>
  <c r="AN77" i="172"/>
  <c r="AN74" i="172"/>
  <c r="AN65" i="172"/>
  <c r="AL63" i="172"/>
  <c r="AN43" i="172"/>
  <c r="AN29" i="172"/>
  <c r="AK326" i="171"/>
  <c r="AK316" i="171"/>
  <c r="AK315" i="171"/>
  <c r="AK314" i="171"/>
  <c r="AK311" i="171"/>
  <c r="AK309" i="171"/>
  <c r="AK308" i="171"/>
  <c r="AK307" i="171"/>
  <c r="AK306" i="171"/>
  <c r="AK292" i="171"/>
  <c r="AK291" i="171"/>
  <c r="AK290" i="171"/>
  <c r="AK287" i="171"/>
  <c r="AK285" i="171"/>
  <c r="AK284" i="171"/>
  <c r="AK283" i="171"/>
  <c r="AK282" i="171"/>
  <c r="AK272" i="171"/>
  <c r="AK236" i="171"/>
  <c r="AN118" i="172"/>
  <c r="AN102" i="172"/>
  <c r="AN67" i="172"/>
  <c r="AL18" i="172"/>
  <c r="AN11" i="172"/>
  <c r="AK357" i="171"/>
  <c r="AK354" i="171"/>
  <c r="AK351" i="171"/>
  <c r="AK279" i="171"/>
  <c r="AK263" i="171"/>
  <c r="AK262" i="171"/>
  <c r="AK235" i="171"/>
  <c r="AK200" i="171"/>
  <c r="AK198" i="171"/>
  <c r="AK196" i="171"/>
  <c r="AK182" i="171"/>
  <c r="AK108" i="171"/>
  <c r="AK82" i="171"/>
  <c r="AK81" i="171"/>
  <c r="AK80" i="171"/>
  <c r="AK79" i="171"/>
  <c r="AK78" i="171"/>
  <c r="AK77" i="171"/>
  <c r="AK51" i="171"/>
  <c r="AK49" i="171"/>
  <c r="AK23" i="171"/>
  <c r="AR5" i="171" a="1"/>
  <c r="AN200" i="172"/>
  <c r="AN196" i="172"/>
  <c r="AL106" i="172"/>
  <c r="AN46" i="172"/>
  <c r="AN39" i="172"/>
  <c r="AK328" i="171"/>
  <c r="AK280" i="171"/>
  <c r="AK264" i="171"/>
  <c r="AK261" i="171"/>
  <c r="AK260" i="171"/>
  <c r="AK259" i="171"/>
  <c r="AK258" i="171"/>
  <c r="AK257" i="171"/>
  <c r="AK256" i="171"/>
  <c r="AK195" i="171"/>
  <c r="AK194" i="171"/>
  <c r="AK193" i="171"/>
  <c r="AK192" i="171"/>
  <c r="AK191" i="171"/>
  <c r="AK190" i="171"/>
  <c r="AK186" i="171"/>
  <c r="AK185" i="171"/>
  <c r="AK184" i="171"/>
  <c r="AK183" i="171"/>
  <c r="AK150" i="171"/>
  <c r="AK149" i="171"/>
  <c r="AK148" i="171"/>
  <c r="AK137" i="171"/>
  <c r="AK107" i="171"/>
  <c r="AK76" i="171"/>
  <c r="AK48" i="171"/>
  <c r="AK22" i="171"/>
  <c r="AK21" i="171"/>
  <c r="AK20" i="171"/>
  <c r="AK19" i="171"/>
  <c r="AK18" i="171"/>
  <c r="AK17" i="171"/>
  <c r="AN264" i="172"/>
  <c r="AN125" i="172"/>
  <c r="AL11" i="172"/>
  <c r="AK390" i="171"/>
  <c r="AK383" i="171"/>
  <c r="AK320" i="171"/>
  <c r="AK317" i="171"/>
  <c r="AK288" i="171"/>
  <c r="AK281" i="171"/>
  <c r="AK213" i="171"/>
  <c r="AK212" i="171"/>
  <c r="AK189" i="171"/>
  <c r="AK147" i="171"/>
  <c r="AK146" i="171"/>
  <c r="AK145" i="171"/>
  <c r="AK144" i="171"/>
  <c r="AK143" i="171"/>
  <c r="AK142" i="171"/>
  <c r="AK136" i="171"/>
  <c r="AK106" i="171"/>
  <c r="AK105" i="171"/>
  <c r="AK104" i="171"/>
  <c r="AK103" i="171"/>
  <c r="AK102" i="171"/>
  <c r="AK101" i="171"/>
  <c r="AK75" i="171"/>
  <c r="AK73" i="171"/>
  <c r="AK47" i="171"/>
  <c r="AK16" i="171"/>
  <c r="AK275" i="171"/>
  <c r="AK269" i="171"/>
  <c r="AK214" i="171"/>
  <c r="AK153" i="171"/>
  <c r="AK135" i="171"/>
  <c r="AK133" i="171"/>
  <c r="AK131" i="171"/>
  <c r="AK46" i="171"/>
  <c r="AK45" i="171"/>
  <c r="AK43" i="171"/>
  <c r="AK41" i="171"/>
  <c r="AK13" i="171"/>
  <c r="AL381" i="172"/>
  <c r="AN271" i="172"/>
  <c r="AN128" i="172"/>
  <c r="AN101" i="172"/>
  <c r="AL20" i="172"/>
  <c r="AK129" i="171"/>
  <c r="AK127" i="171"/>
  <c r="AK125" i="171"/>
  <c r="AL251" i="172"/>
  <c r="AN247" i="172"/>
  <c r="AL211" i="172"/>
  <c r="AL203" i="172"/>
  <c r="AL164" i="172"/>
  <c r="AL74" i="172"/>
  <c r="AN70" i="172"/>
  <c r="AK375" i="171"/>
  <c r="AK335" i="171"/>
  <c r="AK332" i="171"/>
  <c r="AK188" i="171"/>
  <c r="AK154" i="171"/>
  <c r="AK152" i="171"/>
  <c r="AK141" i="171"/>
  <c r="AK134" i="171"/>
  <c r="AK132" i="171"/>
  <c r="AK100" i="171"/>
  <c r="AK72" i="171"/>
  <c r="AK44" i="171"/>
  <c r="AK42" i="171"/>
  <c r="AK15" i="171"/>
  <c r="AN31" i="172"/>
  <c r="AN13" i="172"/>
  <c r="AK355" i="171"/>
  <c r="AK349" i="171"/>
  <c r="AK312" i="171"/>
  <c r="AK276" i="171"/>
  <c r="AK242" i="171"/>
  <c r="AK237" i="171"/>
  <c r="AK225" i="171"/>
  <c r="AK155" i="171"/>
  <c r="AK130" i="171"/>
  <c r="AK128" i="171"/>
  <c r="AK126" i="171"/>
  <c r="AN112" i="172"/>
  <c r="AN97" i="172"/>
  <c r="AN90" i="172"/>
  <c r="AL51" i="172"/>
  <c r="AL31" i="172"/>
  <c r="AL13" i="172"/>
  <c r="AK329" i="171"/>
  <c r="AK321" i="171"/>
  <c r="AK215" i="171"/>
  <c r="AK165" i="171"/>
  <c r="AK156" i="171"/>
  <c r="AK124" i="171"/>
  <c r="AK96" i="171"/>
  <c r="AK70" i="171"/>
  <c r="AK69" i="171"/>
  <c r="AK68" i="171"/>
  <c r="AK67" i="171"/>
  <c r="AK66" i="171"/>
  <c r="AK65" i="171"/>
  <c r="AK39" i="171"/>
  <c r="AL277" i="172"/>
  <c r="AL128" i="172"/>
  <c r="AL115" i="172"/>
  <c r="AN106" i="172"/>
  <c r="AL57" i="172"/>
  <c r="AK333" i="171"/>
  <c r="AK222" i="171"/>
  <c r="AK159" i="171"/>
  <c r="AK120" i="171"/>
  <c r="AK116" i="171"/>
  <c r="AK112" i="171"/>
  <c r="AK92" i="171"/>
  <c r="AK88" i="171"/>
  <c r="AK64" i="171"/>
  <c r="AK52" i="171"/>
  <c r="AK33" i="171"/>
  <c r="AK30" i="171"/>
  <c r="AK178" i="171"/>
  <c r="AK99" i="171"/>
  <c r="AK85" i="171"/>
  <c r="AK8" i="171"/>
  <c r="AK173" i="171"/>
  <c r="AK164" i="171"/>
  <c r="AK117" i="171"/>
  <c r="AK113" i="171"/>
  <c r="AK89" i="171"/>
  <c r="AK40" i="171"/>
  <c r="AK27" i="171"/>
  <c r="AN85" i="172"/>
  <c r="AL65" i="172"/>
  <c r="AK389" i="171"/>
  <c r="AK249" i="171"/>
  <c r="AK245" i="171"/>
  <c r="AK219" i="171"/>
  <c r="AK216" i="171"/>
  <c r="AK181" i="171"/>
  <c r="AK71" i="171"/>
  <c r="AL190" i="172"/>
  <c r="AL131" i="172"/>
  <c r="AL85" i="172"/>
  <c r="AK356" i="171"/>
  <c r="AK318" i="171"/>
  <c r="AK270" i="171"/>
  <c r="AK267" i="171"/>
  <c r="AK121" i="171"/>
  <c r="AK61" i="171"/>
  <c r="AK57" i="171"/>
  <c r="AK53" i="171"/>
  <c r="AL48" i="172"/>
  <c r="AK273" i="171"/>
  <c r="AK239" i="171"/>
  <c r="AK230" i="171"/>
  <c r="AK209" i="171"/>
  <c r="AK206" i="171"/>
  <c r="AK203" i="171"/>
  <c r="AK93" i="171"/>
  <c r="AK9" i="171"/>
  <c r="AL126" i="172"/>
  <c r="AK223" i="171"/>
  <c r="AK217" i="171"/>
  <c r="AK179" i="171"/>
  <c r="AK176" i="171"/>
  <c r="AK58" i="171"/>
  <c r="AK54" i="171"/>
  <c r="AK28" i="171"/>
  <c r="AK10" i="171"/>
  <c r="AL175" i="172"/>
  <c r="AL83" i="172"/>
  <c r="AN50" i="172"/>
  <c r="AK374" i="171"/>
  <c r="AK234" i="171"/>
  <c r="AK201" i="171"/>
  <c r="AK158" i="171"/>
  <c r="AK123" i="171"/>
  <c r="AK95" i="171"/>
  <c r="AK83" i="171"/>
  <c r="AK59" i="171"/>
  <c r="AK55" i="171"/>
  <c r="AK220" i="171"/>
  <c r="AK174" i="171"/>
  <c r="AK162" i="171"/>
  <c r="AK24" i="171"/>
  <c r="AK12" i="171"/>
  <c r="AR6" i="171" a="1"/>
  <c r="AK238" i="171"/>
  <c r="AK218" i="171"/>
  <c r="AK207" i="171"/>
  <c r="AK202" i="171"/>
  <c r="AK157" i="171"/>
  <c r="AK36" i="171"/>
  <c r="AK177" i="171"/>
  <c r="AK91" i="171"/>
  <c r="AK56" i="171"/>
  <c r="AK97" i="171"/>
  <c r="AL151" i="172"/>
  <c r="AK268" i="171"/>
  <c r="AK244" i="171"/>
  <c r="AK84" i="171"/>
  <c r="AK7" i="171"/>
  <c r="AK5" i="171"/>
  <c r="AK11" i="171"/>
  <c r="AL79" i="172"/>
  <c r="AK250" i="171"/>
  <c r="AK60" i="171"/>
  <c r="AK204" i="171"/>
  <c r="AK109" i="171"/>
  <c r="AK90" i="171"/>
  <c r="AK63" i="171"/>
  <c r="P1" i="171" a="1"/>
  <c r="AN99" i="172"/>
  <c r="AL50" i="172"/>
  <c r="AK319" i="171"/>
  <c r="AK248" i="171"/>
  <c r="J1" i="171" a="1"/>
  <c r="AK243" i="171"/>
  <c r="AK233" i="171"/>
  <c r="AK172" i="171"/>
  <c r="AK115" i="171"/>
  <c r="AL99" i="172"/>
  <c r="AN26" i="172"/>
  <c r="AL22" i="172"/>
  <c r="AK379" i="171"/>
  <c r="AK353" i="171"/>
  <c r="AK228" i="171"/>
  <c r="AK205" i="171"/>
  <c r="AK118" i="171"/>
  <c r="AK31" i="171"/>
  <c r="AK25" i="171"/>
  <c r="AN329" i="172"/>
  <c r="AN320" i="172"/>
  <c r="AN277" i="172"/>
  <c r="AL112" i="172"/>
  <c r="AK246" i="171"/>
  <c r="AK231" i="171"/>
  <c r="AK221" i="171"/>
  <c r="AK160" i="171"/>
  <c r="AK37" i="171"/>
  <c r="AK29" i="171"/>
  <c r="AK6" i="171"/>
  <c r="AL146" i="172"/>
  <c r="AK87" i="171"/>
  <c r="AK350" i="171"/>
  <c r="AK240" i="171"/>
  <c r="AN286" i="172"/>
  <c r="AL26" i="172"/>
  <c r="AK208" i="171"/>
  <c r="AK94" i="171"/>
  <c r="AK34" i="171"/>
  <c r="AL389" i="172"/>
  <c r="AN115" i="172"/>
  <c r="AN93" i="172"/>
  <c r="AK327" i="171"/>
  <c r="AK278" i="171"/>
  <c r="AK247" i="171"/>
  <c r="AK180" i="171"/>
  <c r="AK161" i="171"/>
  <c r="AK119" i="171"/>
  <c r="AK32" i="171"/>
  <c r="AL124" i="172"/>
  <c r="AN79" i="172"/>
  <c r="AK271" i="171"/>
  <c r="AK266" i="171"/>
  <c r="AK232" i="171"/>
  <c r="AK114" i="171"/>
  <c r="AK111" i="171"/>
  <c r="AK35" i="171"/>
  <c r="AL35" i="171"/>
  <c r="AL111" i="171"/>
  <c r="AL114" i="171"/>
  <c r="AL232" i="171"/>
  <c r="AL266" i="171"/>
  <c r="AL271" i="171"/>
  <c r="AL32" i="171"/>
  <c r="AL119" i="171"/>
  <c r="AL161" i="171"/>
  <c r="AL180" i="171"/>
  <c r="AL247" i="171"/>
  <c r="AL278" i="171"/>
  <c r="AL327" i="171"/>
  <c r="AL34" i="171"/>
  <c r="AL94" i="171"/>
  <c r="AL208" i="171"/>
  <c r="AL240" i="171"/>
  <c r="AL350" i="171"/>
  <c r="AL87" i="171"/>
  <c r="AL6" i="171"/>
  <c r="AL29" i="171"/>
  <c r="AL37" i="171"/>
  <c r="AL160" i="171"/>
  <c r="AL221" i="171"/>
  <c r="AL231" i="171"/>
  <c r="AL246" i="171"/>
  <c r="AL25" i="171"/>
  <c r="AL31" i="171"/>
  <c r="AL118" i="171"/>
  <c r="AL205" i="171"/>
  <c r="AL228" i="171"/>
  <c r="AL353" i="171"/>
  <c r="AL379" i="171"/>
  <c r="AL115" i="171"/>
  <c r="AL172" i="171"/>
  <c r="AL233" i="171"/>
  <c r="AL243" i="171"/>
  <c r="J1" i="171"/>
  <c r="AL248" i="171"/>
  <c r="AL319" i="171"/>
  <c r="P1" i="171"/>
  <c r="AL63" i="171"/>
  <c r="AL90" i="171"/>
  <c r="AL109" i="171"/>
  <c r="AL204" i="171"/>
  <c r="AL60" i="171"/>
  <c r="AL250" i="171"/>
  <c r="AL11" i="171"/>
  <c r="AL5" i="171"/>
  <c r="AL7" i="171"/>
  <c r="AL84" i="171"/>
  <c r="AL244" i="171"/>
  <c r="AL268" i="171"/>
  <c r="AL97" i="171"/>
  <c r="AL56" i="171"/>
  <c r="AL91" i="171"/>
  <c r="AL177" i="171"/>
  <c r="AL36" i="171"/>
  <c r="AL157" i="171"/>
  <c r="AL202" i="171"/>
  <c r="AL207" i="171"/>
  <c r="AL218" i="171"/>
  <c r="AL238" i="171"/>
  <c r="AR6" i="171"/>
  <c r="AL12" i="171"/>
  <c r="AL24" i="171"/>
  <c r="AL162" i="171"/>
  <c r="AL174" i="171"/>
  <c r="AL220" i="171"/>
  <c r="AL55" i="171"/>
  <c r="AL59" i="171"/>
  <c r="AL83" i="171"/>
  <c r="AL95" i="171"/>
  <c r="AL123" i="171"/>
  <c r="AL158" i="171"/>
  <c r="AL201" i="171"/>
  <c r="AL234" i="171"/>
  <c r="AL374" i="171"/>
  <c r="AL10" i="171"/>
  <c r="AL28" i="171"/>
  <c r="AL54" i="171"/>
  <c r="AL58" i="171"/>
  <c r="AL176" i="171"/>
  <c r="AL179" i="171"/>
  <c r="AL217" i="171"/>
  <c r="AL223" i="171"/>
  <c r="AL9" i="171"/>
  <c r="AL93" i="171"/>
  <c r="AL203" i="171"/>
  <c r="AL206" i="171"/>
  <c r="AL209" i="171"/>
  <c r="AL230" i="171"/>
  <c r="AL239" i="171"/>
  <c r="AL273" i="171"/>
  <c r="AL53" i="171"/>
  <c r="AL57" i="171"/>
  <c r="AL61" i="171"/>
  <c r="AL121" i="171"/>
  <c r="AL267" i="171"/>
  <c r="AL270" i="171"/>
  <c r="AL318" i="171"/>
  <c r="AL356" i="171"/>
  <c r="AL71" i="171"/>
  <c r="AL181" i="171"/>
  <c r="AL216" i="171"/>
  <c r="AL219" i="171"/>
  <c r="AL245" i="171"/>
  <c r="AL249" i="171"/>
  <c r="AL389" i="171"/>
  <c r="AL27" i="171"/>
  <c r="AL40" i="171"/>
  <c r="AL89" i="171"/>
  <c r="AL113" i="171"/>
  <c r="AL117" i="171"/>
  <c r="AL164" i="171"/>
  <c r="AL173" i="171"/>
  <c r="AL8" i="171"/>
  <c r="AL85" i="171"/>
  <c r="AL99" i="171"/>
  <c r="AL178" i="171"/>
  <c r="AL30" i="171"/>
  <c r="AL33" i="171"/>
  <c r="AL52" i="171"/>
  <c r="AL64" i="171"/>
  <c r="AL88" i="171"/>
  <c r="AL92" i="171"/>
  <c r="AL112" i="171"/>
  <c r="AL116" i="171"/>
  <c r="AL120" i="171"/>
  <c r="AL159" i="171"/>
  <c r="AL222" i="171"/>
  <c r="AL333" i="171"/>
  <c r="AL39" i="171"/>
  <c r="AL65" i="171"/>
  <c r="AL66" i="171"/>
  <c r="AL67" i="171"/>
  <c r="AL68" i="171"/>
  <c r="AL69" i="171"/>
  <c r="AL70" i="171"/>
  <c r="AL96" i="171"/>
  <c r="AL124" i="171"/>
  <c r="AL156" i="171"/>
  <c r="AL165" i="171"/>
  <c r="AL215" i="171"/>
  <c r="AL321" i="171"/>
  <c r="AL329" i="171"/>
  <c r="AL126" i="171"/>
  <c r="AL128" i="171"/>
  <c r="AL130" i="171"/>
  <c r="AL155" i="171"/>
  <c r="AL225" i="171"/>
  <c r="AL237" i="171"/>
  <c r="AL242" i="171"/>
  <c r="AL276" i="171"/>
  <c r="AL312" i="171"/>
  <c r="AL349" i="171"/>
  <c r="AL355" i="171"/>
  <c r="AL15" i="171"/>
  <c r="AL42" i="171"/>
  <c r="AL44" i="171"/>
  <c r="AL72" i="171"/>
  <c r="AL100" i="171"/>
  <c r="AL132" i="171"/>
  <c r="AL134" i="171"/>
  <c r="AL141" i="171"/>
  <c r="AL152" i="171"/>
  <c r="AL154" i="171"/>
  <c r="AL188" i="171"/>
  <c r="AL332" i="171"/>
  <c r="AL335" i="171"/>
  <c r="AL375" i="171"/>
  <c r="AL125" i="171"/>
  <c r="AL127" i="171"/>
  <c r="AL129" i="171"/>
  <c r="AL13" i="171"/>
  <c r="AL41" i="171"/>
  <c r="AL43" i="171"/>
  <c r="AL45" i="171"/>
  <c r="AL46" i="171"/>
  <c r="AL131" i="171"/>
  <c r="AL133" i="171"/>
  <c r="AL135" i="171"/>
  <c r="AL153" i="171"/>
  <c r="AL214" i="171"/>
  <c r="AL269" i="171"/>
  <c r="AL275" i="171"/>
  <c r="AL16" i="171"/>
  <c r="AL47" i="171"/>
  <c r="AL73" i="171"/>
  <c r="AL75" i="171"/>
  <c r="AL101" i="171"/>
  <c r="AL102" i="171"/>
  <c r="AL103" i="171"/>
  <c r="AL104" i="171"/>
  <c r="AL105" i="171"/>
  <c r="AL106" i="171"/>
  <c r="AL136" i="171"/>
  <c r="AL142" i="171"/>
  <c r="AL143" i="171"/>
  <c r="AL144" i="171"/>
  <c r="AL145" i="171"/>
  <c r="AL146" i="171"/>
  <c r="AL147" i="171"/>
  <c r="AL189" i="171"/>
  <c r="AL212" i="171"/>
  <c r="AL213" i="171"/>
  <c r="AL281" i="171"/>
  <c r="AL288" i="171"/>
  <c r="AL317" i="171"/>
  <c r="AL320" i="171"/>
  <c r="AL383" i="171"/>
  <c r="AL390" i="171"/>
  <c r="AL17" i="171"/>
  <c r="AL18" i="171"/>
  <c r="AL19" i="171"/>
  <c r="AL20" i="171"/>
  <c r="AL21" i="171"/>
  <c r="AL22" i="171"/>
  <c r="AL48" i="171"/>
  <c r="AL76" i="171"/>
  <c r="AL107" i="171"/>
  <c r="AL137" i="171"/>
  <c r="AL148" i="171"/>
  <c r="AL149" i="171"/>
  <c r="AL150" i="171"/>
  <c r="AL183" i="171"/>
  <c r="AL184" i="171"/>
  <c r="AL185" i="171"/>
  <c r="AL186" i="171"/>
  <c r="AL190" i="171"/>
  <c r="AL191" i="171"/>
  <c r="AL192" i="171"/>
  <c r="AL193" i="171"/>
  <c r="AL194" i="171"/>
  <c r="AL195" i="171"/>
  <c r="AL256" i="171"/>
  <c r="AL257" i="171"/>
  <c r="AL258" i="171"/>
  <c r="AL259" i="171"/>
  <c r="AL260" i="171"/>
  <c r="AL261" i="171"/>
  <c r="AL264" i="171"/>
  <c r="AL280" i="171"/>
  <c r="AL328" i="171"/>
  <c r="AR5" i="171"/>
  <c r="AL23" i="171"/>
  <c r="AL49" i="171"/>
  <c r="AL51" i="171"/>
  <c r="AL77" i="171"/>
  <c r="AL78" i="171"/>
  <c r="AL79" i="171"/>
  <c r="AL80" i="171"/>
  <c r="AL81" i="171"/>
  <c r="AL82" i="171"/>
  <c r="AL108" i="171"/>
  <c r="AL182" i="171"/>
  <c r="AL196" i="171"/>
  <c r="AL198" i="171"/>
  <c r="AL200" i="171"/>
  <c r="AL235" i="171"/>
  <c r="AL262" i="171"/>
  <c r="AL263" i="171"/>
  <c r="AL279" i="171"/>
  <c r="AL351" i="171"/>
  <c r="AL354" i="171"/>
  <c r="AL357" i="171"/>
  <c r="AL236" i="171"/>
  <c r="AL272" i="171"/>
  <c r="AL282" i="171"/>
  <c r="AL283" i="171"/>
  <c r="AL284" i="171"/>
  <c r="AL285" i="171"/>
  <c r="AL287" i="171"/>
  <c r="AL290" i="171"/>
  <c r="AL291" i="171"/>
  <c r="AL292" i="171"/>
  <c r="AL306" i="171"/>
  <c r="AL307" i="171"/>
  <c r="AL308" i="171"/>
  <c r="AL309" i="171"/>
  <c r="AL311" i="171"/>
  <c r="AL314" i="171"/>
  <c r="AL315" i="171"/>
  <c r="AL316" i="171"/>
  <c r="AL326" i="171"/>
  <c r="AL305" i="171"/>
  <c r="AL348" i="171"/>
  <c r="AL381" i="171"/>
  <c r="AL323" i="171"/>
  <c r="AL324" i="171"/>
  <c r="AL331" i="171"/>
  <c r="AL336" i="171"/>
  <c r="AL347" i="171"/>
  <c r="AL352" i="171"/>
  <c r="AL373" i="171"/>
  <c r="AL14" i="171"/>
  <c r="AL26" i="171"/>
  <c r="AL38" i="171"/>
  <c r="AL50" i="171"/>
  <c r="AL62" i="171"/>
  <c r="AL74" i="171"/>
  <c r="AL86" i="171"/>
  <c r="AL98" i="171"/>
  <c r="AL110" i="171"/>
  <c r="AL122" i="171"/>
  <c r="AL138" i="171"/>
  <c r="AL140" i="171"/>
  <c r="AL166" i="171"/>
  <c r="AL167" i="171"/>
  <c r="AL168" i="171"/>
  <c r="AL169" i="171"/>
  <c r="AL170" i="171"/>
  <c r="AL171" i="171"/>
  <c r="AL197" i="171"/>
  <c r="AL224" i="171"/>
  <c r="AL251" i="171"/>
  <c r="AL330" i="171"/>
  <c r="AL376" i="171"/>
  <c r="AL380" i="171"/>
  <c r="AL210" i="171"/>
  <c r="AL226" i="171"/>
  <c r="AL252" i="171"/>
  <c r="AL254" i="171"/>
  <c r="AL294" i="171"/>
  <c r="AL295" i="171"/>
  <c r="AL296" i="171"/>
  <c r="AL297" i="171"/>
  <c r="AL299" i="171"/>
  <c r="AL302" i="171"/>
  <c r="AL303" i="171"/>
  <c r="AL304" i="171"/>
  <c r="AL371" i="171"/>
  <c r="AL372" i="171"/>
  <c r="AL388" i="171"/>
  <c r="AL139" i="171"/>
  <c r="AL151" i="171"/>
  <c r="AL163" i="171"/>
  <c r="AL175" i="171"/>
  <c r="AL187" i="171"/>
  <c r="AL199" i="171"/>
  <c r="AL211" i="171"/>
  <c r="AL227" i="171"/>
  <c r="AL255" i="171"/>
  <c r="AL293" i="171"/>
  <c r="AL300" i="171"/>
  <c r="AL343" i="171"/>
  <c r="AL344" i="171"/>
  <c r="AL345" i="171"/>
  <c r="AL378" i="171"/>
  <c r="AL387" i="171"/>
  <c r="AL400" i="171"/>
  <c r="AL359" i="171"/>
  <c r="AL361" i="171"/>
  <c r="AL362" i="171"/>
  <c r="AL363" i="171"/>
  <c r="AL364" i="171"/>
  <c r="AL365" i="171"/>
  <c r="AL366" i="171"/>
  <c r="AL369" i="171"/>
  <c r="AL386" i="171"/>
  <c r="AL399" i="171"/>
  <c r="AL367" i="171"/>
  <c r="AL377" i="171"/>
  <c r="AL384" i="171"/>
  <c r="AL385" i="171"/>
  <c r="AL398" i="171"/>
  <c r="AL274" i="171"/>
  <c r="AL286" i="171"/>
  <c r="AL298" i="171"/>
  <c r="AL310" i="171"/>
  <c r="AL322" i="171"/>
  <c r="AL334" i="171"/>
  <c r="AL360" i="171"/>
  <c r="AL391" i="171"/>
  <c r="AL392" i="171"/>
  <c r="AL393" i="171"/>
  <c r="AL395" i="171"/>
  <c r="AL229" i="171"/>
  <c r="AL241" i="171"/>
  <c r="AL253" i="171"/>
  <c r="AL265" i="171"/>
  <c r="AL277" i="171"/>
  <c r="AL289" i="171"/>
  <c r="AL301" i="171"/>
  <c r="AL313" i="171"/>
  <c r="AL325" i="171"/>
  <c r="AL337" i="171"/>
  <c r="AL338" i="171"/>
  <c r="AL339" i="171"/>
  <c r="AL340" i="171"/>
  <c r="AL341" i="171"/>
  <c r="AL342" i="171"/>
  <c r="AL368" i="171"/>
  <c r="AL396" i="171"/>
  <c r="AL346" i="171"/>
  <c r="AL358" i="171"/>
  <c r="AL370" i="171"/>
  <c r="AL382" i="171"/>
  <c r="AL394" i="171"/>
  <c r="AL397" i="171"/>
  <c r="E2" i="171"/>
  <c r="D2" i="171"/>
  <c r="A9" i="171"/>
  <c r="K3" i="172"/>
  <c r="AM8" i="172"/>
  <c r="L3" i="172"/>
  <c r="AQ6" i="171"/>
  <c r="AQ8" i="171"/>
  <c r="AP8" i="171"/>
  <c r="AQ7" i="171"/>
  <c r="AP7" i="171"/>
  <c r="AN395" i="172"/>
  <c r="AN318" i="172"/>
  <c r="AN357" i="172"/>
  <c r="AN370" i="172"/>
  <c r="AL296" i="172"/>
  <c r="AN316" i="172"/>
  <c r="AN390" i="172"/>
  <c r="AN352" i="172"/>
  <c r="AL323" i="172"/>
  <c r="AL245" i="172"/>
  <c r="AL221" i="172"/>
  <c r="AL197" i="172"/>
  <c r="AL173" i="172"/>
  <c r="AL149" i="172"/>
  <c r="AL125" i="172"/>
  <c r="AN378" i="172"/>
  <c r="AN218" i="172"/>
  <c r="AN170" i="172"/>
  <c r="AL371" i="172"/>
  <c r="AL281" i="172"/>
  <c r="AN231" i="172"/>
  <c r="AN183" i="172"/>
  <c r="AL224" i="172"/>
  <c r="AL183" i="172"/>
  <c r="AL156" i="172"/>
  <c r="AN235" i="172"/>
  <c r="AN169" i="172"/>
  <c r="AN84" i="172"/>
  <c r="AN36" i="172"/>
  <c r="AL355" i="172"/>
  <c r="AN282" i="172"/>
  <c r="AN184" i="172"/>
  <c r="AN298" i="172"/>
  <c r="AL223" i="172"/>
  <c r="AL143" i="172"/>
  <c r="AL397" i="172"/>
  <c r="AN270" i="172"/>
  <c r="AN180" i="172"/>
  <c r="AN308" i="172"/>
  <c r="AL195" i="172"/>
  <c r="AL40" i="172"/>
  <c r="AL300" i="172"/>
  <c r="AL158" i="172"/>
  <c r="AL268" i="172"/>
  <c r="AL150" i="172"/>
  <c r="AN82" i="172"/>
  <c r="AL19" i="172"/>
  <c r="AL136" i="172"/>
  <c r="AN87" i="172"/>
  <c r="AN37" i="172"/>
  <c r="AN94" i="172"/>
  <c r="AN317" i="172"/>
  <c r="AL317" i="172"/>
  <c r="AL30" i="172"/>
  <c r="AN132" i="172"/>
  <c r="AL60" i="172"/>
  <c r="AN269" i="172"/>
  <c r="AL220" i="172"/>
  <c r="AL77" i="172"/>
  <c r="AL21" i="172"/>
  <c r="AN66" i="172"/>
  <c r="AN17" i="172"/>
  <c r="AL234" i="172"/>
  <c r="AN131" i="172"/>
  <c r="AL82" i="172"/>
  <c r="AL34" i="172"/>
  <c r="AL89" i="172"/>
  <c r="AL32" i="172"/>
  <c r="AL42" i="172"/>
  <c r="AN69" i="172"/>
  <c r="AL56" i="172"/>
  <c r="AL287" i="172"/>
  <c r="AL80" i="172"/>
  <c r="AN302" i="172"/>
  <c r="AL198" i="172"/>
  <c r="AN141" i="172"/>
  <c r="AL383" i="172"/>
  <c r="AN58" i="172"/>
  <c r="AL304" i="172"/>
  <c r="AL501" i="172"/>
  <c r="AL378" i="172"/>
  <c r="AL354" i="172"/>
  <c r="AL330" i="172"/>
  <c r="AL306" i="172"/>
  <c r="AL356" i="172"/>
  <c r="AL395" i="172"/>
  <c r="AN367" i="172"/>
  <c r="AN290" i="172"/>
  <c r="AL266" i="172"/>
  <c r="AN356" i="172"/>
  <c r="AN388" i="172"/>
  <c r="AN273" i="172"/>
  <c r="AN374" i="172"/>
  <c r="AN321" i="172"/>
  <c r="AL264" i="172"/>
  <c r="AN214" i="172"/>
  <c r="AN166" i="172"/>
  <c r="AN381" i="172"/>
  <c r="AL279" i="172"/>
  <c r="AN228" i="172"/>
  <c r="AN267" i="172"/>
  <c r="AN385" i="172"/>
  <c r="AL232" i="172"/>
  <c r="AL186" i="172"/>
  <c r="AN212" i="172"/>
  <c r="AN163" i="172"/>
  <c r="AL123" i="172"/>
  <c r="AN80" i="172"/>
  <c r="AN32" i="172"/>
  <c r="AN278" i="172"/>
  <c r="AL230" i="172"/>
  <c r="AL178" i="172"/>
  <c r="AL359" i="172"/>
  <c r="AL139" i="172"/>
  <c r="AL261" i="172"/>
  <c r="AN300" i="172"/>
  <c r="AL28" i="172"/>
  <c r="AN292" i="172"/>
  <c r="AN152" i="172"/>
  <c r="AN285" i="172"/>
  <c r="AN38" i="172"/>
  <c r="AN350" i="172"/>
  <c r="AN392" i="172"/>
  <c r="AN389" i="172"/>
  <c r="AL315" i="172"/>
  <c r="AL328" i="172"/>
  <c r="AN384" i="172"/>
  <c r="AL345" i="172"/>
  <c r="AL241" i="172"/>
  <c r="AL217" i="172"/>
  <c r="AL193" i="172"/>
  <c r="AL169" i="172"/>
  <c r="AL145" i="172"/>
  <c r="AL121" i="172"/>
  <c r="AN372" i="172"/>
  <c r="AN258" i="172"/>
  <c r="AN210" i="172"/>
  <c r="AN162" i="172"/>
  <c r="AN225" i="172"/>
  <c r="AL364" i="172"/>
  <c r="AN260" i="172"/>
  <c r="AL219" i="172"/>
  <c r="AL180" i="172"/>
  <c r="AN160" i="172"/>
  <c r="AN117" i="172"/>
  <c r="AN76" i="172"/>
  <c r="AN28" i="172"/>
  <c r="AL276" i="172"/>
  <c r="AL166" i="172"/>
  <c r="AN288" i="172"/>
  <c r="AL259" i="172"/>
  <c r="AN295" i="172"/>
  <c r="AL182" i="172"/>
  <c r="AN121" i="172"/>
  <c r="AL16" i="172"/>
  <c r="AN144" i="172"/>
  <c r="AN257" i="172"/>
  <c r="AL134" i="172"/>
  <c r="AL68" i="172"/>
  <c r="AN19" i="172"/>
  <c r="AL226" i="172"/>
  <c r="AN120" i="172"/>
  <c r="AN54" i="172"/>
  <c r="AN223" i="172"/>
  <c r="AN140" i="172"/>
  <c r="AL94" i="172"/>
  <c r="AL398" i="172"/>
  <c r="AL374" i="172"/>
  <c r="AL350" i="172"/>
  <c r="AL326" i="172"/>
  <c r="AL302" i="172"/>
  <c r="AL388" i="172"/>
  <c r="AN347" i="172"/>
  <c r="AN309" i="172"/>
  <c r="AN399" i="172"/>
  <c r="AN322" i="172"/>
  <c r="AL286" i="172"/>
  <c r="AL262" i="172"/>
  <c r="AL311" i="172"/>
  <c r="AL267" i="172"/>
  <c r="AN368" i="172"/>
  <c r="AN314" i="172"/>
  <c r="AN254" i="172"/>
  <c r="AN206" i="172"/>
  <c r="AN158" i="172"/>
  <c r="AL348" i="172"/>
  <c r="AL265" i="172"/>
  <c r="AN219" i="172"/>
  <c r="AL147" i="172"/>
  <c r="AL316" i="172"/>
  <c r="AL204" i="172"/>
  <c r="AN157" i="172"/>
  <c r="AN114" i="172"/>
  <c r="AN72" i="172"/>
  <c r="AN24" i="172"/>
  <c r="AN274" i="172"/>
  <c r="AL154" i="172"/>
  <c r="AN353" i="172"/>
  <c r="AL273" i="172"/>
  <c r="AL212" i="172"/>
  <c r="AN176" i="172"/>
  <c r="AR8" i="171" a="1"/>
  <c r="AN382" i="172"/>
  <c r="AL347" i="172"/>
  <c r="AL360" i="172"/>
  <c r="AN319" i="172"/>
  <c r="AL349" i="172"/>
  <c r="AN380" i="172"/>
  <c r="AL336" i="172"/>
  <c r="AN359" i="172"/>
  <c r="AN261" i="172"/>
  <c r="AL237" i="172"/>
  <c r="AL213" i="172"/>
  <c r="AL189" i="172"/>
  <c r="AL165" i="172"/>
  <c r="AL141" i="172"/>
  <c r="AL117" i="172"/>
  <c r="AN250" i="172"/>
  <c r="AN202" i="172"/>
  <c r="AN154" i="172"/>
  <c r="AN333" i="172"/>
  <c r="AN358" i="172"/>
  <c r="AN263" i="172"/>
  <c r="AN216" i="172"/>
  <c r="AL353" i="172"/>
  <c r="AL255" i="172"/>
  <c r="AL214" i="172"/>
  <c r="AN355" i="172"/>
  <c r="AL222" i="172"/>
  <c r="AN305" i="172"/>
  <c r="AN248" i="172"/>
  <c r="AN151" i="172"/>
  <c r="AN68" i="172"/>
  <c r="AN20" i="172"/>
  <c r="AN272" i="172"/>
  <c r="AN220" i="172"/>
  <c r="AL142" i="172"/>
  <c r="AN346" i="172"/>
  <c r="AL208" i="172"/>
  <c r="AN362" i="172"/>
  <c r="AN168" i="172"/>
  <c r="AN116" i="172"/>
  <c r="AL247" i="172"/>
  <c r="AN59" i="172"/>
  <c r="AL218" i="172"/>
  <c r="AL357" i="172"/>
  <c r="AL210" i="172"/>
  <c r="AL73" i="172"/>
  <c r="AN129" i="172"/>
  <c r="AL66" i="172"/>
  <c r="AN161" i="172"/>
  <c r="AN55" i="172"/>
  <c r="AL23" i="172"/>
  <c r="AL45" i="172"/>
  <c r="AN165" i="172"/>
  <c r="AN205" i="172"/>
  <c r="AL8" i="172"/>
  <c r="AL67" i="172"/>
  <c r="AN156" i="172"/>
  <c r="AL394" i="172"/>
  <c r="AL370" i="172"/>
  <c r="AL346" i="172"/>
  <c r="AL322" i="172"/>
  <c r="AL298" i="172"/>
  <c r="AN379" i="172"/>
  <c r="AL385" i="172"/>
  <c r="AN341" i="172"/>
  <c r="AN354" i="172"/>
  <c r="AL282" i="172"/>
  <c r="AN345" i="172"/>
  <c r="AL293" i="172"/>
  <c r="AN343" i="172"/>
  <c r="AN304" i="172"/>
  <c r="AL361" i="172"/>
  <c r="AN246" i="172"/>
  <c r="AN198" i="172"/>
  <c r="AN150" i="172"/>
  <c r="AN326" i="172"/>
  <c r="AL260" i="172"/>
  <c r="AN213" i="172"/>
  <c r="AL171" i="172"/>
  <c r="AL144" i="172"/>
  <c r="AN344" i="172"/>
  <c r="AN397" i="172"/>
  <c r="AL303" i="172"/>
  <c r="AN148" i="172"/>
  <c r="AN64" i="172"/>
  <c r="AN16" i="172"/>
  <c r="AN127" i="172"/>
  <c r="AN340" i="172"/>
  <c r="AN197" i="172"/>
  <c r="AN113" i="172"/>
  <c r="AN349" i="172"/>
  <c r="AL248" i="172"/>
  <c r="AL263" i="172"/>
  <c r="AL111" i="172"/>
  <c r="AL375" i="172"/>
  <c r="AL254" i="172"/>
  <c r="AL207" i="172"/>
  <c r="AN119" i="172"/>
  <c r="AL118" i="172"/>
  <c r="AN9" i="172"/>
  <c r="AL44" i="172"/>
  <c r="AL335" i="172"/>
  <c r="AL184" i="172"/>
  <c r="AN71" i="172"/>
  <c r="AL12" i="172"/>
  <c r="AN62" i="172"/>
  <c r="AL17" i="172"/>
  <c r="AN149" i="172"/>
  <c r="AN57" i="172"/>
  <c r="AN185" i="172"/>
  <c r="AL25" i="172"/>
  <c r="AL119" i="172"/>
  <c r="AN122" i="172"/>
  <c r="AN208" i="172"/>
  <c r="AN10" i="172"/>
  <c r="AL366" i="172"/>
  <c r="AL318" i="172"/>
  <c r="AN386" i="172"/>
  <c r="AL312" i="172"/>
  <c r="AL288" i="172"/>
  <c r="AL343" i="172"/>
  <c r="AN294" i="172"/>
  <c r="AN190" i="172"/>
  <c r="AN252" i="172"/>
  <c r="AL308" i="172"/>
  <c r="AL258" i="172"/>
  <c r="AN104" i="172"/>
  <c r="AN8" i="172"/>
  <c r="AL242" i="172"/>
  <c r="AL108" i="172"/>
  <c r="AN393" i="172"/>
  <c r="AL52" i="172"/>
  <c r="AN98" i="172"/>
  <c r="AL377" i="172"/>
  <c r="AL29" i="172"/>
  <c r="AL167" i="172"/>
  <c r="AN15" i="172"/>
  <c r="AL36" i="172"/>
  <c r="AN45" i="172"/>
  <c r="AR7" i="171" a="1"/>
  <c r="AL372" i="172"/>
  <c r="AN383" i="172"/>
  <c r="AN306" i="172"/>
  <c r="AL253" i="172"/>
  <c r="AL205" i="172"/>
  <c r="AL157" i="172"/>
  <c r="AL109" i="172"/>
  <c r="AN186" i="172"/>
  <c r="AN249" i="172"/>
  <c r="AL135" i="172"/>
  <c r="AN100" i="172"/>
  <c r="AL400" i="172"/>
  <c r="AN256" i="172"/>
  <c r="AL120" i="172"/>
  <c r="AL236" i="172"/>
  <c r="AL393" i="172"/>
  <c r="AL271" i="172"/>
  <c r="AN91" i="172"/>
  <c r="AN27" i="172"/>
  <c r="AN164" i="172"/>
  <c r="AN311" i="172"/>
  <c r="AN103" i="172"/>
  <c r="AN296" i="172"/>
  <c r="AL78" i="172"/>
  <c r="AL243" i="172"/>
  <c r="AN182" i="172"/>
  <c r="AN243" i="172"/>
  <c r="AN191" i="172"/>
  <c r="AN280" i="172"/>
  <c r="AN181" i="172"/>
  <c r="AN96" i="172"/>
  <c r="AL327" i="172"/>
  <c r="AN371" i="172"/>
  <c r="AN109" i="172"/>
  <c r="AL291" i="172"/>
  <c r="AL93" i="172"/>
  <c r="AN259" i="172"/>
  <c r="AL391" i="172"/>
  <c r="AN143" i="172"/>
  <c r="AN310" i="172"/>
  <c r="AL47" i="172"/>
  <c r="AN78" i="172"/>
  <c r="AN266" i="172"/>
  <c r="AN240" i="172"/>
  <c r="AN175" i="172"/>
  <c r="AN369" i="172"/>
  <c r="AL84" i="172"/>
  <c r="AN279" i="172"/>
  <c r="AL91" i="172"/>
  <c r="AL96" i="172"/>
  <c r="AL10" i="172"/>
  <c r="AN177" i="172"/>
  <c r="AL81" i="172"/>
  <c r="AN335" i="172"/>
  <c r="AL320" i="172"/>
  <c r="AN330" i="172"/>
  <c r="AN222" i="172"/>
  <c r="AL283" i="172"/>
  <c r="AN107" i="172"/>
  <c r="AL174" i="172"/>
  <c r="AN14" i="172"/>
  <c r="AL62" i="172"/>
  <c r="AL399" i="172"/>
  <c r="AN348" i="172"/>
  <c r="AL161" i="172"/>
  <c r="AN301" i="172"/>
  <c r="AN12" i="172"/>
  <c r="AL246" i="172"/>
  <c r="AN241" i="172"/>
  <c r="AN312" i="172"/>
  <c r="AL14" i="172"/>
  <c r="AN328" i="172"/>
  <c r="AL71" i="172"/>
  <c r="AL54" i="172"/>
  <c r="AL202" i="172"/>
  <c r="AL307" i="172"/>
  <c r="AN251" i="172"/>
  <c r="AL256" i="172"/>
  <c r="AL129" i="172"/>
  <c r="AL387" i="172"/>
  <c r="AN192" i="172"/>
  <c r="AL297" i="172"/>
  <c r="AN313" i="172"/>
  <c r="AL252" i="172"/>
  <c r="AL187" i="172"/>
  <c r="AN239" i="172"/>
  <c r="AL9" i="172"/>
  <c r="AL228" i="172"/>
  <c r="AN153" i="172"/>
  <c r="AN147" i="172"/>
  <c r="AL324" i="172"/>
  <c r="AL37" i="172"/>
  <c r="AN376" i="172"/>
  <c r="AN209" i="172"/>
  <c r="AL362" i="172"/>
  <c r="AL314" i="172"/>
  <c r="AN366" i="172"/>
  <c r="AL369" i="172"/>
  <c r="AL331" i="172"/>
  <c r="AN303" i="172"/>
  <c r="AL280" i="172"/>
  <c r="AL365" i="172"/>
  <c r="AN339" i="172"/>
  <c r="AN284" i="172"/>
  <c r="AN253" i="172"/>
  <c r="AN111" i="172"/>
  <c r="AN53" i="172"/>
  <c r="AN92" i="172"/>
  <c r="AN221" i="172"/>
  <c r="AL59" i="172"/>
  <c r="AL140" i="172"/>
  <c r="AN217" i="172"/>
  <c r="AL321" i="172"/>
  <c r="AN244" i="172"/>
  <c r="AN47" i="172"/>
  <c r="AL105" i="172"/>
  <c r="AL101" i="172"/>
  <c r="AN400" i="172"/>
  <c r="AN211" i="172"/>
  <c r="AL338" i="172"/>
  <c r="AN48" i="172"/>
  <c r="AL275" i="172"/>
  <c r="AL386" i="172"/>
  <c r="AN338" i="172"/>
  <c r="AN396" i="172"/>
  <c r="AL225" i="172"/>
  <c r="AL305" i="172"/>
  <c r="AL159" i="172"/>
  <c r="AN44" i="172"/>
  <c r="AL160" i="172"/>
  <c r="AL122" i="172"/>
  <c r="AL138" i="172"/>
  <c r="AL58" i="172"/>
  <c r="AN30" i="172"/>
  <c r="AN398" i="172"/>
  <c r="AN227" i="172"/>
  <c r="AL209" i="172"/>
  <c r="AL191" i="172"/>
  <c r="AL116" i="172"/>
  <c r="AN363" i="172"/>
  <c r="AN501" i="172"/>
  <c r="AN325" i="172"/>
  <c r="AN361" i="172"/>
  <c r="AL332" i="172"/>
  <c r="AL249" i="172"/>
  <c r="AL201" i="172"/>
  <c r="AL153" i="172"/>
  <c r="AL384" i="172"/>
  <c r="AN276" i="172"/>
  <c r="AN178" i="172"/>
  <c r="AN297" i="172"/>
  <c r="AL188" i="172"/>
  <c r="AL132" i="172"/>
  <c r="AN342" i="172"/>
  <c r="AN391" i="172"/>
  <c r="AN283" i="172"/>
  <c r="AN179" i="172"/>
  <c r="AL299" i="172"/>
  <c r="AN204" i="172"/>
  <c r="AN193" i="172"/>
  <c r="AL75" i="172"/>
  <c r="AN387" i="172"/>
  <c r="AN331" i="172"/>
  <c r="AN245" i="172"/>
  <c r="AN22" i="172"/>
  <c r="AL53" i="172"/>
  <c r="AN51" i="172"/>
  <c r="AL177" i="172"/>
  <c r="AN226" i="172"/>
  <c r="AL196" i="172"/>
  <c r="AN130" i="172"/>
  <c r="AL88" i="172"/>
  <c r="AL98" i="172"/>
  <c r="AN42" i="172"/>
  <c r="AL289" i="172"/>
  <c r="AL334" i="172"/>
  <c r="AN394" i="172"/>
  <c r="AN189" i="172"/>
  <c r="AN215" i="172"/>
  <c r="AN255" i="172"/>
  <c r="AL179" i="172"/>
  <c r="AL215" i="172"/>
  <c r="AL358" i="172"/>
  <c r="AL310" i="172"/>
  <c r="AL376" i="172"/>
  <c r="AN365" i="172"/>
  <c r="AL380" i="172"/>
  <c r="AN174" i="172"/>
  <c r="AL368" i="172"/>
  <c r="AN237" i="172"/>
  <c r="AL285" i="172"/>
  <c r="AN172" i="172"/>
  <c r="AN88" i="172"/>
  <c r="AN360" i="172"/>
  <c r="AL235" i="172"/>
  <c r="AN275" i="172"/>
  <c r="AL313" i="172"/>
  <c r="AN203" i="172"/>
  <c r="AL192" i="172"/>
  <c r="AN89" i="172"/>
  <c r="AL231" i="172"/>
  <c r="AL69" i="172"/>
  <c r="AL114" i="172"/>
  <c r="AL87" i="172"/>
  <c r="AL340" i="172"/>
  <c r="AL379" i="172"/>
  <c r="AN351" i="172"/>
  <c r="AL325" i="172"/>
  <c r="AL301" i="172"/>
  <c r="AL233" i="172"/>
  <c r="AL185" i="172"/>
  <c r="AL137" i="172"/>
  <c r="AN242" i="172"/>
  <c r="AN146" i="172"/>
  <c r="AN207" i="172"/>
  <c r="AL250" i="172"/>
  <c r="AL240" i="172"/>
  <c r="AN145" i="172"/>
  <c r="AN60" i="172"/>
  <c r="AN337" i="172"/>
  <c r="AL244" i="172"/>
  <c r="AN49" i="172"/>
  <c r="AN324" i="172"/>
  <c r="AN236" i="172"/>
  <c r="AN21" i="172"/>
  <c r="AL127" i="172"/>
  <c r="AL342" i="172"/>
  <c r="AL294" i="172"/>
  <c r="AN334" i="172"/>
  <c r="AN373" i="172"/>
  <c r="AL278" i="172"/>
  <c r="AN336" i="172"/>
  <c r="AN332" i="172"/>
  <c r="AN299" i="172"/>
  <c r="AL352" i="172"/>
  <c r="AN238" i="172"/>
  <c r="AN142" i="172"/>
  <c r="AL333" i="172"/>
  <c r="AL168" i="172"/>
  <c r="AN323" i="172"/>
  <c r="AN375" i="172"/>
  <c r="AN139" i="172"/>
  <c r="AN56" i="172"/>
  <c r="AN307" i="172"/>
  <c r="AL199" i="172"/>
  <c r="AN327" i="172"/>
  <c r="AN233" i="172"/>
  <c r="AN315" i="172"/>
  <c r="AN188" i="172"/>
  <c r="AL172" i="172"/>
  <c r="AL46" i="172"/>
  <c r="AN262" i="172"/>
  <c r="AN287" i="172"/>
  <c r="AN124" i="172"/>
  <c r="AN25" i="172"/>
  <c r="AL130" i="172"/>
  <c r="AL103" i="172"/>
  <c r="AL390" i="172"/>
  <c r="AN293" i="172"/>
  <c r="AL229" i="172"/>
  <c r="AL181" i="172"/>
  <c r="AL133" i="172"/>
  <c r="AN234" i="172"/>
  <c r="AN138" i="172"/>
  <c r="AN201" i="172"/>
  <c r="AN136" i="172"/>
  <c r="AN52" i="172"/>
  <c r="AL176" i="172"/>
  <c r="AN167" i="172"/>
  <c r="AN73" i="172"/>
  <c r="AN105" i="172"/>
  <c r="AN159" i="172"/>
  <c r="AN135" i="172"/>
  <c r="AN224" i="172"/>
  <c r="AN108" i="172"/>
  <c r="AL290" i="172"/>
  <c r="AL344" i="172"/>
  <c r="AL274" i="172"/>
  <c r="AL329" i="172"/>
  <c r="AL396" i="172"/>
  <c r="AN289" i="172"/>
  <c r="AL341" i="172"/>
  <c r="AN230" i="172"/>
  <c r="AN134" i="172"/>
  <c r="AN195" i="172"/>
  <c r="AN199" i="172"/>
  <c r="AL227" i="172"/>
  <c r="AN133" i="172"/>
  <c r="AL194" i="172"/>
  <c r="AL319" i="172"/>
  <c r="AN229" i="172"/>
  <c r="AL100" i="172"/>
  <c r="AL272" i="172"/>
  <c r="AL162" i="172"/>
  <c r="AL155" i="172"/>
  <c r="AN34" i="172"/>
  <c r="AL200" i="172"/>
  <c r="AL49" i="172"/>
  <c r="AL152" i="172"/>
  <c r="AL363" i="172"/>
  <c r="AL270" i="172"/>
  <c r="AN281" i="172"/>
  <c r="AL295" i="172"/>
  <c r="AN40" i="172"/>
  <c r="AL76" i="172"/>
  <c r="AL373" i="172"/>
  <c r="AL24" i="172"/>
  <c r="AL39" i="172"/>
  <c r="AN86" i="172"/>
  <c r="AN171" i="172"/>
  <c r="AN23" i="172"/>
  <c r="AL382" i="172"/>
  <c r="AL392" i="172"/>
  <c r="AN291" i="172"/>
  <c r="AL257" i="172"/>
  <c r="AL113" i="172"/>
  <c r="AN194" i="172"/>
  <c r="AL339" i="172"/>
  <c r="AL269" i="172"/>
  <c r="AL107" i="172"/>
  <c r="AN265" i="172"/>
  <c r="AL337" i="172"/>
  <c r="AL64" i="172"/>
  <c r="AL102" i="172"/>
  <c r="AL27" i="172"/>
  <c r="AL43" i="172"/>
  <c r="AR7" i="171"/>
  <c r="AR8" i="171"/>
  <c r="A10" i="171"/>
  <c r="AP9" i="171"/>
  <c r="AQ9" i="171"/>
  <c r="AR9" i="171" a="1"/>
  <c r="AR9" i="171"/>
  <c r="A11" i="171"/>
  <c r="AQ10" i="171"/>
  <c r="AP10" i="171"/>
  <c r="AR10" i="171" a="1"/>
  <c r="AR10" i="171"/>
  <c r="A12" i="171"/>
  <c r="AP11" i="171"/>
  <c r="AQ11" i="171"/>
  <c r="AR11" i="171" a="1"/>
  <c r="AR11" i="171"/>
  <c r="A13" i="171"/>
  <c r="AQ12" i="171"/>
  <c r="AP12" i="171"/>
  <c r="AR12" i="171" a="1"/>
  <c r="AR12" i="171"/>
  <c r="A14" i="171"/>
  <c r="AP13" i="171"/>
  <c r="AQ13" i="171"/>
  <c r="AR13" i="171" a="1"/>
  <c r="AR13" i="171"/>
  <c r="A15" i="171"/>
  <c r="AQ14" i="171"/>
  <c r="AP14" i="171"/>
  <c r="AR14" i="171" a="1"/>
  <c r="AR14" i="171"/>
  <c r="A16" i="171"/>
  <c r="AP15" i="171"/>
  <c r="AQ15" i="171"/>
  <c r="AR15" i="171" a="1"/>
  <c r="AR15" i="171"/>
  <c r="A17" i="171"/>
  <c r="AP16" i="171"/>
  <c r="AQ16" i="171"/>
  <c r="AR16" i="171" a="1"/>
  <c r="AR16" i="171"/>
  <c r="A18" i="171"/>
  <c r="AQ17" i="171"/>
  <c r="AP17" i="171"/>
  <c r="AR17" i="171" a="1"/>
  <c r="AR17" i="171"/>
  <c r="A19" i="171"/>
  <c r="AQ18" i="171"/>
  <c r="AP18" i="171"/>
  <c r="AR18" i="171" a="1"/>
  <c r="AR18" i="171"/>
  <c r="A20" i="171"/>
  <c r="AP19" i="171"/>
  <c r="AQ19" i="171"/>
  <c r="AR19" i="171" a="1"/>
  <c r="AR19" i="171"/>
  <c r="A21" i="171"/>
  <c r="AQ20" i="171"/>
  <c r="AP20" i="171"/>
  <c r="AR20" i="171" a="1"/>
  <c r="AR20" i="171"/>
  <c r="A22" i="171"/>
  <c r="AP21" i="171"/>
  <c r="AQ21" i="171"/>
  <c r="AR21" i="171" a="1"/>
  <c r="AR21" i="171"/>
  <c r="A23" i="171"/>
  <c r="AP22" i="171"/>
  <c r="AQ22" i="171"/>
  <c r="AR22" i="171" a="1"/>
  <c r="AR22" i="171"/>
  <c r="A24" i="171"/>
  <c r="AP23" i="171"/>
  <c r="AQ23" i="171"/>
  <c r="AR23" i="171" a="1"/>
  <c r="AR23" i="171"/>
  <c r="A25" i="171"/>
  <c r="AP24" i="171"/>
  <c r="AQ24" i="171"/>
  <c r="AR24" i="171" a="1"/>
  <c r="AR24" i="171"/>
  <c r="A26" i="171"/>
  <c r="AP25" i="171"/>
  <c r="AQ25" i="171"/>
  <c r="AR25" i="171" a="1"/>
  <c r="AR25" i="171"/>
  <c r="A27" i="171"/>
  <c r="AP26" i="171"/>
  <c r="AQ26" i="171"/>
  <c r="AR26" i="171" a="1"/>
  <c r="AR26" i="171"/>
  <c r="A28" i="171"/>
  <c r="AP27" i="171"/>
  <c r="AQ27" i="171"/>
  <c r="AR27" i="171" a="1"/>
  <c r="AR27" i="171"/>
  <c r="A29" i="171"/>
  <c r="AQ28" i="171"/>
  <c r="AP28" i="171"/>
  <c r="AR28" i="171" a="1"/>
  <c r="AR28" i="171"/>
  <c r="A30" i="171"/>
  <c r="AQ29" i="171"/>
  <c r="AP29" i="171"/>
  <c r="AR29" i="171" a="1"/>
  <c r="AR29" i="171"/>
  <c r="A31" i="171"/>
  <c r="AQ30" i="171"/>
  <c r="AP30" i="171"/>
  <c r="AR30" i="171" a="1"/>
  <c r="AR30" i="171"/>
  <c r="A32" i="171"/>
  <c r="AP31" i="171"/>
  <c r="AQ31" i="171"/>
  <c r="AR31" i="171" a="1"/>
  <c r="AR31" i="171"/>
  <c r="A33" i="171"/>
  <c r="AQ32" i="171"/>
  <c r="AP32" i="171"/>
  <c r="AR32" i="171" a="1"/>
  <c r="AR32" i="171"/>
  <c r="A34" i="171"/>
  <c r="AP33" i="171"/>
  <c r="AQ33" i="171"/>
  <c r="AR33" i="171" a="1"/>
  <c r="AR33" i="171"/>
  <c r="A35" i="171"/>
  <c r="AQ34" i="171"/>
  <c r="AP34" i="171"/>
  <c r="AR34" i="171" a="1"/>
  <c r="AR34" i="171"/>
  <c r="A36" i="171"/>
  <c r="AQ35" i="171"/>
  <c r="AP35" i="171"/>
  <c r="AR35" i="171" a="1"/>
  <c r="AR35" i="171"/>
  <c r="A37" i="171"/>
  <c r="AQ36" i="171"/>
  <c r="AP36" i="171"/>
  <c r="AR36" i="171" a="1"/>
  <c r="AR36" i="171"/>
  <c r="A38" i="171"/>
  <c r="AQ37" i="171"/>
  <c r="AP37" i="171"/>
  <c r="AR37" i="171" a="1"/>
  <c r="AR37" i="171"/>
  <c r="A39" i="171"/>
  <c r="AQ38" i="171"/>
  <c r="AP38" i="171"/>
  <c r="AR38" i="171" a="1"/>
  <c r="AR38" i="171"/>
  <c r="A40" i="171"/>
  <c r="AP39" i="171"/>
  <c r="AQ39" i="171"/>
  <c r="AR39" i="171" a="1"/>
  <c r="AR39" i="171"/>
  <c r="A41" i="171"/>
  <c r="AQ40" i="171"/>
  <c r="AP40" i="171"/>
  <c r="AR40" i="171" a="1"/>
  <c r="AR40" i="171"/>
  <c r="A42" i="171"/>
  <c r="AP41" i="171"/>
  <c r="AQ41" i="171"/>
  <c r="AR41" i="171" a="1"/>
  <c r="AR41" i="171"/>
  <c r="A43" i="171"/>
  <c r="AQ42" i="171"/>
  <c r="AP42" i="171"/>
  <c r="AR42" i="171" a="1"/>
  <c r="AR42" i="171"/>
  <c r="A44" i="171"/>
  <c r="AQ43" i="171"/>
  <c r="AP43" i="171"/>
  <c r="AR43" i="171" a="1"/>
  <c r="AR43" i="171"/>
  <c r="A45" i="171"/>
  <c r="AQ44" i="171"/>
  <c r="AP44" i="171"/>
  <c r="AR44" i="171" a="1"/>
  <c r="AR44" i="171"/>
  <c r="A46" i="171"/>
  <c r="AP45" i="171"/>
  <c r="AQ45" i="171"/>
  <c r="AR45" i="171" a="1"/>
  <c r="AR45" i="171"/>
  <c r="A47" i="171"/>
  <c r="AQ46" i="171"/>
  <c r="AP46" i="171"/>
  <c r="AR46" i="171" a="1"/>
  <c r="AR46" i="171"/>
  <c r="A48" i="171"/>
  <c r="AP47" i="171"/>
  <c r="AQ47" i="171"/>
  <c r="AR47" i="171" a="1"/>
  <c r="AR47" i="171"/>
  <c r="A49" i="171"/>
  <c r="AQ48" i="171"/>
  <c r="AP48" i="171"/>
  <c r="AR48" i="171" a="1"/>
  <c r="AR48" i="171"/>
  <c r="A50" i="171"/>
  <c r="AP49" i="171"/>
  <c r="AQ49" i="171"/>
  <c r="AR49" i="171" a="1"/>
  <c r="AR49" i="171"/>
  <c r="A51" i="171"/>
  <c r="AP50" i="171"/>
  <c r="AQ50" i="171"/>
  <c r="AR50" i="171" a="1"/>
  <c r="AR50" i="171"/>
  <c r="A52" i="171"/>
  <c r="AQ51" i="171"/>
  <c r="AP51" i="171"/>
  <c r="AR51" i="171" a="1"/>
  <c r="AR51" i="171"/>
  <c r="A53" i="171"/>
  <c r="AQ52" i="171"/>
  <c r="AP52" i="171"/>
  <c r="AR52" i="171" a="1"/>
  <c r="AR52" i="171"/>
  <c r="A54" i="171"/>
  <c r="AQ53" i="171"/>
  <c r="AP53" i="171"/>
  <c r="AR53" i="171" a="1"/>
  <c r="AR53" i="171"/>
  <c r="A55" i="171"/>
  <c r="AP54" i="171"/>
  <c r="AQ54" i="171"/>
  <c r="AR54" i="171" a="1"/>
  <c r="AR54" i="171"/>
  <c r="A56" i="171"/>
  <c r="AP55" i="171"/>
  <c r="AQ55" i="171"/>
  <c r="AR55" i="171" a="1"/>
  <c r="AR55" i="171"/>
  <c r="A57" i="171"/>
  <c r="AQ56" i="171"/>
  <c r="AP56" i="171"/>
  <c r="AR56" i="171" a="1"/>
  <c r="AR56" i="171"/>
  <c r="A58" i="171"/>
  <c r="AQ57" i="171"/>
  <c r="AP57" i="171"/>
  <c r="AR57" i="171" a="1"/>
  <c r="AR57" i="171"/>
  <c r="A59" i="171"/>
  <c r="AP58" i="171"/>
  <c r="AQ58" i="171"/>
  <c r="AR58" i="171" a="1"/>
  <c r="AR58" i="171"/>
  <c r="A60" i="171"/>
  <c r="AQ59" i="171"/>
  <c r="AP59" i="171"/>
  <c r="AR59" i="171" a="1"/>
  <c r="AR59" i="171"/>
  <c r="A61" i="171"/>
  <c r="AQ60" i="171"/>
  <c r="AP60" i="171"/>
  <c r="AR60" i="171" a="1"/>
  <c r="AR60" i="171"/>
  <c r="A62" i="171"/>
  <c r="AQ61" i="171"/>
  <c r="AP61" i="171"/>
  <c r="AR61" i="171" a="1"/>
  <c r="AR61" i="171"/>
  <c r="A63" i="171"/>
  <c r="AQ62" i="171"/>
  <c r="AP62" i="171"/>
  <c r="AR62" i="171" a="1"/>
  <c r="AR62" i="171"/>
  <c r="A64" i="171"/>
  <c r="AQ63" i="171"/>
  <c r="AP63" i="171"/>
  <c r="AR63" i="171" a="1"/>
  <c r="AR63" i="171"/>
  <c r="A65" i="171"/>
  <c r="AQ64" i="171"/>
  <c r="AP64" i="171"/>
  <c r="AR64" i="171" a="1"/>
  <c r="AR64" i="171"/>
  <c r="A66" i="171"/>
  <c r="AP65" i="171"/>
  <c r="AQ65" i="171"/>
  <c r="AR65" i="171" a="1"/>
  <c r="AR65" i="171"/>
  <c r="A67" i="171"/>
  <c r="AP66" i="171"/>
  <c r="AQ66" i="171"/>
  <c r="AR66" i="171" a="1"/>
  <c r="AR66" i="171"/>
  <c r="A68" i="171"/>
  <c r="AP67" i="171"/>
  <c r="AQ67" i="171"/>
  <c r="AR67" i="171" a="1"/>
  <c r="AR67" i="171"/>
  <c r="A69" i="171"/>
  <c r="AQ68" i="171"/>
  <c r="AP68" i="171"/>
  <c r="AR68" i="171" a="1"/>
  <c r="AR68" i="171"/>
  <c r="A70" i="171"/>
  <c r="AP69" i="171"/>
  <c r="AQ69" i="171"/>
  <c r="AR69" i="171" a="1"/>
  <c r="AR69" i="171"/>
  <c r="A71" i="171"/>
  <c r="AP70" i="171"/>
  <c r="AQ70" i="171"/>
  <c r="AR70" i="171" a="1"/>
  <c r="AR70" i="171"/>
  <c r="A72" i="171"/>
  <c r="AQ71" i="171"/>
  <c r="AP71" i="171"/>
  <c r="AR71" i="171" a="1"/>
  <c r="AR71" i="171"/>
  <c r="A73" i="171"/>
  <c r="AP72" i="171"/>
  <c r="AQ72" i="171"/>
  <c r="AR72" i="171" a="1"/>
  <c r="AR72" i="171"/>
  <c r="A74" i="171"/>
  <c r="AP73" i="171"/>
  <c r="AQ73" i="171"/>
  <c r="AR73" i="171" a="1"/>
  <c r="AR73" i="171"/>
  <c r="A75" i="171"/>
  <c r="AP74" i="171"/>
  <c r="AQ74" i="171"/>
  <c r="AR74" i="171" a="1"/>
  <c r="AR74" i="171"/>
  <c r="A76" i="171"/>
  <c r="AQ75" i="171"/>
  <c r="AP75" i="171"/>
  <c r="AR75" i="171" a="1"/>
  <c r="AR75" i="171"/>
  <c r="A77" i="171"/>
  <c r="AP76" i="171"/>
  <c r="AQ76" i="171"/>
  <c r="AR76" i="171" a="1"/>
  <c r="AR76" i="171"/>
  <c r="A78" i="171"/>
  <c r="AQ77" i="171"/>
  <c r="AP77" i="171"/>
  <c r="AR77" i="171" a="1"/>
  <c r="AR77" i="171"/>
  <c r="A79" i="171"/>
  <c r="AQ78" i="171"/>
  <c r="AP78" i="171"/>
  <c r="AR78" i="171" a="1"/>
  <c r="AR78" i="171"/>
  <c r="A80" i="171"/>
  <c r="AP79" i="171"/>
  <c r="AQ79" i="171"/>
  <c r="AR79" i="171" a="1"/>
  <c r="AR79" i="171"/>
  <c r="A81" i="171"/>
  <c r="AQ80" i="171"/>
  <c r="AP80" i="171"/>
  <c r="AR80" i="171" a="1"/>
  <c r="AR80" i="171"/>
  <c r="A82" i="171"/>
  <c r="AP81" i="171"/>
  <c r="AQ81" i="171"/>
  <c r="AR81" i="171" a="1"/>
  <c r="AR81" i="171"/>
  <c r="A83" i="171"/>
  <c r="AQ82" i="171"/>
  <c r="AP82" i="171"/>
  <c r="AR82" i="171" a="1"/>
  <c r="AR82" i="171"/>
  <c r="A84" i="171"/>
  <c r="AQ83" i="171"/>
  <c r="AP83" i="171"/>
  <c r="AR83" i="171" a="1"/>
  <c r="AR83" i="171"/>
  <c r="A85" i="171"/>
  <c r="AP84" i="171"/>
  <c r="AQ84" i="171"/>
  <c r="AR84" i="171" a="1"/>
  <c r="AR84" i="171"/>
  <c r="A86" i="171"/>
  <c r="AP85" i="171"/>
  <c r="AQ85" i="171"/>
  <c r="AR85" i="171" a="1"/>
  <c r="AR85" i="171"/>
  <c r="A87" i="171"/>
  <c r="AP86" i="171"/>
  <c r="AQ86" i="171"/>
  <c r="AR86" i="171" a="1"/>
  <c r="AR86" i="171"/>
  <c r="A88" i="171"/>
  <c r="AQ87" i="171"/>
  <c r="AP87" i="171"/>
  <c r="AR87" i="171" a="1"/>
  <c r="AR87" i="171"/>
  <c r="A89" i="171"/>
  <c r="AP88" i="171"/>
  <c r="AQ88" i="171"/>
  <c r="AR88" i="171" a="1"/>
  <c r="AR88" i="171"/>
  <c r="A90" i="171"/>
  <c r="AQ89" i="171"/>
  <c r="AP89" i="171"/>
  <c r="AR89" i="171" a="1"/>
  <c r="AR89" i="171"/>
  <c r="A91" i="171"/>
  <c r="AQ90" i="171"/>
  <c r="AP90" i="171"/>
  <c r="AR90" i="171" a="1"/>
  <c r="AR90" i="171"/>
  <c r="A92" i="171"/>
  <c r="AQ91" i="171"/>
  <c r="AP91" i="171"/>
  <c r="AR91" i="171" a="1"/>
  <c r="AR91" i="171"/>
  <c r="A93" i="171"/>
  <c r="AQ92" i="171"/>
  <c r="AP92" i="171"/>
  <c r="AR92" i="171" a="1"/>
  <c r="AR92" i="171"/>
  <c r="A94" i="171"/>
  <c r="AP93" i="171"/>
  <c r="AQ93" i="171"/>
  <c r="AR93" i="171" a="1"/>
  <c r="AR93" i="171"/>
  <c r="A95" i="171"/>
  <c r="AQ94" i="171"/>
  <c r="AP94" i="171"/>
  <c r="AR94" i="171" a="1"/>
  <c r="AR94" i="171"/>
  <c r="A96" i="171"/>
  <c r="AP95" i="171"/>
  <c r="AQ95" i="171"/>
  <c r="AR95" i="171" a="1"/>
  <c r="AR95" i="171"/>
  <c r="A97" i="171"/>
  <c r="AP96" i="171"/>
  <c r="AQ96" i="171"/>
  <c r="AR96" i="171" a="1"/>
  <c r="AR96" i="171"/>
  <c r="A98" i="171"/>
  <c r="AP97" i="171"/>
  <c r="AQ97" i="171"/>
  <c r="AR97" i="171" a="1"/>
  <c r="AR97" i="171"/>
  <c r="A99" i="171"/>
  <c r="AP98" i="171"/>
  <c r="AQ98" i="171"/>
  <c r="AR98" i="171" a="1"/>
  <c r="AR98" i="171"/>
  <c r="A100" i="171"/>
  <c r="AQ99" i="171"/>
  <c r="AP99" i="171"/>
  <c r="AR99" i="171" a="1"/>
  <c r="AR99" i="171"/>
  <c r="A101" i="171"/>
  <c r="AP100" i="171"/>
  <c r="AQ100" i="171"/>
  <c r="AR100" i="171" a="1"/>
  <c r="AR100" i="171"/>
  <c r="A102" i="171"/>
  <c r="AP101" i="171"/>
  <c r="AQ101" i="171"/>
  <c r="AR101" i="171" a="1"/>
  <c r="AR101" i="171"/>
  <c r="A103" i="171"/>
  <c r="AQ102" i="171"/>
  <c r="AP102" i="171"/>
  <c r="AR102" i="171" a="1"/>
  <c r="AR102" i="171"/>
  <c r="A104" i="171"/>
  <c r="AP103" i="171"/>
  <c r="AQ103" i="171"/>
  <c r="AR103" i="171" a="1"/>
  <c r="AR103" i="171"/>
  <c r="A105" i="171"/>
  <c r="AQ104" i="171"/>
  <c r="AP104" i="171"/>
  <c r="AR104" i="171" a="1"/>
  <c r="AR104" i="171"/>
  <c r="A106" i="171"/>
  <c r="AQ105" i="171"/>
  <c r="AP105" i="171"/>
  <c r="AR105" i="171" a="1"/>
  <c r="AR105" i="171"/>
  <c r="A107" i="171"/>
  <c r="AQ106" i="171"/>
  <c r="AP106" i="171"/>
  <c r="AR106" i="171" a="1"/>
  <c r="AR106" i="171"/>
  <c r="A108" i="171"/>
  <c r="AQ107" i="171"/>
  <c r="AP107" i="171"/>
  <c r="AR107" i="171" a="1"/>
  <c r="AR107" i="171"/>
  <c r="A109" i="171"/>
  <c r="AP108" i="171"/>
  <c r="AQ108" i="171"/>
  <c r="AR108" i="171" a="1"/>
  <c r="AR108" i="171"/>
  <c r="A110" i="171"/>
  <c r="AQ109" i="171"/>
  <c r="AP109" i="171"/>
  <c r="AR109" i="171" a="1"/>
  <c r="AR109" i="171"/>
  <c r="A111" i="171"/>
  <c r="AQ110" i="171"/>
  <c r="AP110" i="171"/>
  <c r="AR110" i="171" a="1"/>
  <c r="AR110" i="171"/>
  <c r="A112" i="171"/>
  <c r="AQ111" i="171"/>
  <c r="AP111" i="171"/>
  <c r="AR111" i="171" a="1"/>
  <c r="AR111" i="171"/>
  <c r="A113" i="171"/>
  <c r="AP112" i="171"/>
  <c r="AQ112" i="171"/>
  <c r="AR112" i="171" a="1"/>
  <c r="AR112" i="171"/>
  <c r="A114" i="171"/>
  <c r="AQ113" i="171"/>
  <c r="AP113" i="171"/>
  <c r="AR113" i="171" a="1"/>
  <c r="AR113" i="171"/>
  <c r="A115" i="171"/>
  <c r="AQ114" i="171"/>
  <c r="AP114" i="171"/>
  <c r="AR114" i="171" a="1"/>
  <c r="AR114" i="171"/>
  <c r="A116" i="171"/>
  <c r="AQ115" i="171"/>
  <c r="AP115" i="171"/>
  <c r="AR115" i="171" a="1"/>
  <c r="AR115" i="171"/>
  <c r="A117" i="171"/>
  <c r="AQ116" i="171"/>
  <c r="AP116" i="171"/>
  <c r="AR116" i="171" a="1"/>
  <c r="AR116" i="171"/>
  <c r="A118" i="171"/>
  <c r="AP117" i="171"/>
  <c r="AQ117" i="171"/>
  <c r="AR117" i="171" a="1"/>
  <c r="AR117" i="171"/>
  <c r="A119" i="171"/>
  <c r="AQ118" i="171"/>
  <c r="AP118" i="171"/>
  <c r="AR118" i="171" a="1"/>
  <c r="AR118" i="171"/>
  <c r="A120" i="171"/>
  <c r="AQ119" i="171"/>
  <c r="AP119" i="171"/>
  <c r="AR119" i="171" a="1"/>
  <c r="AR119" i="171"/>
  <c r="A121" i="171"/>
  <c r="AP120" i="171"/>
  <c r="AQ120" i="171"/>
  <c r="AR120" i="171" a="1"/>
  <c r="AR120" i="171"/>
  <c r="A122" i="171"/>
  <c r="AQ121" i="171"/>
  <c r="AP121" i="171"/>
  <c r="AR121" i="171" a="1"/>
  <c r="AR121" i="171"/>
  <c r="A123" i="171"/>
  <c r="AP122" i="171"/>
  <c r="AQ122" i="171"/>
  <c r="AR122" i="171" a="1"/>
  <c r="AR122" i="171"/>
  <c r="A124" i="171"/>
  <c r="AQ123" i="171"/>
  <c r="AP123" i="171"/>
  <c r="AR123" i="171" a="1"/>
  <c r="AR123" i="171"/>
  <c r="A125" i="171"/>
  <c r="AP124" i="171"/>
  <c r="AQ124" i="171"/>
  <c r="AR124" i="171" a="1"/>
  <c r="AR124" i="171"/>
  <c r="A126" i="171"/>
  <c r="AQ125" i="171"/>
  <c r="AP125" i="171"/>
  <c r="AR125" i="171" a="1"/>
  <c r="AR125" i="171"/>
  <c r="A127" i="171"/>
  <c r="AQ126" i="171"/>
  <c r="AP126" i="171"/>
  <c r="AR126" i="171" a="1"/>
  <c r="AR126" i="171"/>
  <c r="A128" i="171"/>
  <c r="AQ127" i="171"/>
  <c r="AP127" i="171"/>
  <c r="AR127" i="171" a="1"/>
  <c r="AR127" i="171"/>
  <c r="A129" i="171"/>
  <c r="AQ128" i="171"/>
  <c r="AP128" i="171"/>
  <c r="AR128" i="171" a="1"/>
  <c r="AR128" i="171"/>
  <c r="A130" i="171"/>
  <c r="AP129" i="171"/>
  <c r="AQ129" i="171"/>
  <c r="AR129" i="171" a="1"/>
  <c r="AR129" i="171"/>
  <c r="A131" i="171"/>
  <c r="AQ130" i="171"/>
  <c r="AP130" i="171"/>
  <c r="AR130" i="171" a="1"/>
  <c r="AR130" i="171"/>
  <c r="A132" i="171"/>
  <c r="AQ131" i="171"/>
  <c r="AP131" i="171"/>
  <c r="AR131" i="171" a="1"/>
  <c r="AR131" i="171"/>
  <c r="A133" i="171"/>
  <c r="AP132" i="171"/>
  <c r="AQ132" i="171"/>
  <c r="AR132" i="171" a="1"/>
  <c r="AR132" i="171"/>
  <c r="A134" i="171"/>
  <c r="AP133" i="171"/>
  <c r="AQ133" i="171"/>
  <c r="AR133" i="171" a="1"/>
  <c r="AR133" i="171"/>
  <c r="A135" i="171"/>
  <c r="AP134" i="171"/>
  <c r="AQ134" i="171"/>
  <c r="AR134" i="171" a="1"/>
  <c r="AR134" i="171"/>
  <c r="A136" i="171"/>
  <c r="AP135" i="171"/>
  <c r="AQ135" i="171"/>
  <c r="AR135" i="171" a="1"/>
  <c r="AR135" i="171"/>
  <c r="A137" i="171"/>
  <c r="AQ136" i="171"/>
  <c r="AP136" i="171"/>
  <c r="AR136" i="171" a="1"/>
  <c r="AR136" i="171"/>
  <c r="A138" i="171"/>
  <c r="AQ137" i="171"/>
  <c r="AP137" i="171"/>
  <c r="AR137" i="171" a="1"/>
  <c r="AR137" i="171"/>
  <c r="A139" i="171"/>
  <c r="AQ138" i="171"/>
  <c r="AP138" i="171"/>
  <c r="AR138" i="171" a="1"/>
  <c r="AR138" i="171"/>
  <c r="A140" i="171"/>
  <c r="AQ139" i="171"/>
  <c r="AP139" i="171"/>
  <c r="AR139" i="171" a="1"/>
  <c r="AR139" i="171"/>
  <c r="A141" i="171"/>
  <c r="AQ140" i="171"/>
  <c r="AP140" i="171"/>
  <c r="AR140" i="171" a="1"/>
  <c r="AR140" i="171"/>
  <c r="A142" i="171"/>
  <c r="AP141" i="171"/>
  <c r="AQ141" i="171"/>
  <c r="AR141" i="171" a="1"/>
  <c r="AR141" i="171"/>
  <c r="A143" i="171"/>
  <c r="AQ142" i="171"/>
  <c r="AP142" i="171"/>
  <c r="AR142" i="171" a="1"/>
  <c r="AR142" i="171"/>
  <c r="A144" i="171"/>
  <c r="AP143" i="171"/>
  <c r="AQ143" i="171"/>
  <c r="AR143" i="171" a="1"/>
  <c r="AR143" i="171"/>
  <c r="A145" i="171"/>
  <c r="AP144" i="171"/>
  <c r="AQ144" i="171"/>
  <c r="AR144" i="171" a="1"/>
  <c r="AR144" i="171"/>
  <c r="A146" i="171"/>
  <c r="AQ145" i="171"/>
  <c r="AP145" i="171"/>
  <c r="AR145" i="171" a="1"/>
  <c r="AR145" i="171"/>
  <c r="A147" i="171"/>
  <c r="AP146" i="171"/>
  <c r="AQ146" i="171"/>
  <c r="AR146" i="171" a="1"/>
  <c r="AR146" i="171"/>
  <c r="A148" i="171"/>
  <c r="AQ147" i="171"/>
  <c r="AP147" i="171"/>
  <c r="AR147" i="171" a="1"/>
  <c r="AR147" i="171"/>
  <c r="A149" i="171"/>
  <c r="AQ148" i="171"/>
  <c r="AP148" i="171"/>
  <c r="AR148" i="171" a="1"/>
  <c r="AR148" i="171"/>
  <c r="A150" i="171"/>
  <c r="AQ149" i="171"/>
  <c r="AP149" i="171"/>
  <c r="AR149" i="171" a="1"/>
  <c r="AR149" i="171"/>
  <c r="A151" i="171"/>
  <c r="AP150" i="171"/>
  <c r="AQ150" i="171"/>
  <c r="AR150" i="171" a="1"/>
  <c r="AR150" i="171"/>
  <c r="A152" i="171"/>
  <c r="AQ151" i="171"/>
  <c r="AP151" i="171"/>
  <c r="AR151" i="171" a="1"/>
  <c r="AR151" i="171"/>
  <c r="A153" i="171"/>
  <c r="AP152" i="171"/>
  <c r="AQ152" i="171"/>
  <c r="AR152" i="171" a="1"/>
  <c r="AR152" i="171"/>
  <c r="A154" i="171"/>
  <c r="AQ153" i="171"/>
  <c r="AP153" i="171"/>
  <c r="AR153" i="171" a="1"/>
  <c r="AR153" i="171"/>
  <c r="A155" i="171"/>
  <c r="AP154" i="171"/>
  <c r="AQ154" i="171"/>
  <c r="AR154" i="171" a="1"/>
  <c r="AR154" i="171"/>
  <c r="A156" i="171"/>
  <c r="AP155" i="171"/>
  <c r="AQ155" i="171"/>
  <c r="AR155" i="171" a="1"/>
  <c r="AR155" i="171"/>
  <c r="A157" i="171"/>
  <c r="AP156" i="171"/>
  <c r="AQ156" i="171"/>
  <c r="AR156" i="171" a="1"/>
  <c r="AR156" i="171"/>
  <c r="A158" i="171"/>
  <c r="AQ157" i="171"/>
  <c r="AP157" i="171"/>
  <c r="AR157" i="171" a="1"/>
  <c r="AR157" i="171"/>
  <c r="A159" i="171"/>
  <c r="AP158" i="171"/>
  <c r="AQ158" i="171"/>
  <c r="AR158" i="171" a="1"/>
  <c r="AR158" i="171"/>
  <c r="A160" i="171"/>
  <c r="AP159" i="171"/>
  <c r="AQ159" i="171"/>
  <c r="AR159" i="171" a="1"/>
  <c r="AR159" i="171"/>
  <c r="A161" i="171"/>
  <c r="AQ160" i="171"/>
  <c r="AP160" i="171"/>
  <c r="AR160" i="171" a="1"/>
  <c r="AR160" i="171"/>
  <c r="A162" i="171"/>
  <c r="AQ161" i="171"/>
  <c r="AP161" i="171"/>
  <c r="AR161" i="171" a="1"/>
  <c r="AR161" i="171"/>
  <c r="A163" i="171"/>
  <c r="AQ162" i="171"/>
  <c r="AP162" i="171"/>
  <c r="AR162" i="171" a="1"/>
  <c r="AR162" i="171"/>
  <c r="A164" i="171"/>
  <c r="AQ163" i="171"/>
  <c r="AP163" i="171"/>
  <c r="AR163" i="171" a="1"/>
  <c r="AR163" i="171"/>
  <c r="A165" i="171"/>
  <c r="AQ164" i="171"/>
  <c r="AP164" i="171"/>
  <c r="AR164" i="171" a="1"/>
  <c r="AR164" i="171"/>
  <c r="A166" i="171"/>
  <c r="AQ165" i="171"/>
  <c r="AP165" i="171"/>
  <c r="AR165" i="171" a="1"/>
  <c r="AR165" i="171"/>
  <c r="A167" i="171"/>
  <c r="AP166" i="171"/>
  <c r="AQ166" i="171"/>
  <c r="AR166" i="171" a="1"/>
  <c r="AR166" i="171"/>
  <c r="A168" i="171"/>
  <c r="AQ167" i="171"/>
  <c r="AP167" i="171"/>
  <c r="AR167" i="171" a="1"/>
  <c r="AR167" i="171"/>
  <c r="A169" i="171"/>
  <c r="AQ168" i="171"/>
  <c r="AP168" i="171"/>
  <c r="AR168" i="171" a="1"/>
  <c r="AR168" i="171"/>
  <c r="A170" i="171"/>
  <c r="AQ169" i="171"/>
  <c r="AP169" i="171"/>
  <c r="AR169" i="171" a="1"/>
  <c r="AR169" i="171"/>
  <c r="A171" i="171"/>
  <c r="AP170" i="171"/>
  <c r="AQ170" i="171"/>
  <c r="AR170" i="171" a="1"/>
  <c r="AR170" i="171"/>
  <c r="A172" i="171"/>
  <c r="AP171" i="171"/>
  <c r="AQ171" i="171"/>
  <c r="AR171" i="171" a="1"/>
  <c r="AR171" i="171"/>
  <c r="A173" i="171"/>
  <c r="AQ172" i="171"/>
  <c r="AP172" i="171"/>
  <c r="AR172" i="171" a="1"/>
  <c r="AR172" i="171"/>
  <c r="A174" i="171"/>
  <c r="AQ173" i="171"/>
  <c r="AP173" i="171"/>
  <c r="AR173" i="171" a="1"/>
  <c r="AR173" i="171"/>
  <c r="A175" i="171"/>
  <c r="AP174" i="171"/>
  <c r="AQ174" i="171"/>
  <c r="AR174" i="171" a="1"/>
  <c r="AR174" i="171"/>
  <c r="A176" i="171"/>
  <c r="AQ175" i="171"/>
  <c r="AP175" i="171"/>
  <c r="AR175" i="171" a="1"/>
  <c r="AR175" i="171"/>
  <c r="A177" i="171"/>
  <c r="AQ176" i="171"/>
  <c r="AP176" i="171"/>
  <c r="AR176" i="171" a="1"/>
  <c r="AR176" i="171"/>
  <c r="A178" i="171"/>
  <c r="AQ177" i="171"/>
  <c r="AP177" i="171"/>
  <c r="AR177" i="171" a="1"/>
  <c r="AR177" i="171"/>
  <c r="A179" i="171"/>
  <c r="AQ178" i="171"/>
  <c r="AP178" i="171"/>
  <c r="AR178" i="171" a="1"/>
  <c r="AR178" i="171"/>
  <c r="A180" i="171"/>
  <c r="AQ179" i="171"/>
  <c r="AP179" i="171"/>
  <c r="AR179" i="171" a="1"/>
  <c r="AR179" i="171"/>
  <c r="A181" i="171"/>
  <c r="AQ180" i="171"/>
  <c r="AP180" i="171"/>
  <c r="AR180" i="171" a="1"/>
  <c r="AR180" i="171"/>
  <c r="A182" i="171"/>
  <c r="AQ181" i="171"/>
  <c r="AP181" i="171"/>
  <c r="AR181" i="171" a="1"/>
  <c r="AR181" i="171"/>
  <c r="A183" i="171"/>
  <c r="AP182" i="171"/>
  <c r="AQ182" i="171"/>
  <c r="AR182" i="171" a="1"/>
  <c r="AR182" i="171"/>
  <c r="A184" i="171"/>
  <c r="AQ183" i="171"/>
  <c r="AP183" i="171"/>
  <c r="AR183" i="171" a="1"/>
  <c r="AR183" i="171"/>
  <c r="A185" i="171"/>
  <c r="AQ184" i="171"/>
  <c r="AP184" i="171"/>
  <c r="AR184" i="171" a="1"/>
  <c r="AR184" i="171"/>
  <c r="A186" i="171"/>
  <c r="AP185" i="171"/>
  <c r="AQ185" i="171"/>
  <c r="AR185" i="171" a="1"/>
  <c r="AR185" i="171"/>
  <c r="A187" i="171"/>
  <c r="AP186" i="171"/>
  <c r="AQ186" i="171"/>
  <c r="AR186" i="171" a="1"/>
  <c r="AR186" i="171"/>
  <c r="A188" i="171"/>
  <c r="AP187" i="171"/>
  <c r="AQ187" i="171"/>
  <c r="AR187" i="171" a="1"/>
  <c r="AR187" i="171"/>
  <c r="A189" i="171"/>
  <c r="AP188" i="171"/>
  <c r="AQ188" i="171"/>
  <c r="AR188" i="171" a="1"/>
  <c r="AR188" i="171"/>
  <c r="A190" i="171"/>
  <c r="AQ189" i="171"/>
  <c r="AP189" i="171"/>
  <c r="AR189" i="171" a="1"/>
  <c r="AR189" i="171"/>
  <c r="A191" i="171"/>
  <c r="AQ190" i="171"/>
  <c r="AP190" i="171"/>
  <c r="AR190" i="171" a="1"/>
  <c r="AR190" i="171"/>
  <c r="A192" i="171"/>
  <c r="AQ191" i="171"/>
  <c r="AP191" i="171"/>
  <c r="AR191" i="171" a="1"/>
  <c r="AR191" i="171"/>
  <c r="A193" i="171"/>
  <c r="AQ192" i="171"/>
  <c r="AP192" i="171"/>
  <c r="AR192" i="171" a="1"/>
  <c r="AR192" i="171"/>
  <c r="A194" i="171"/>
  <c r="AQ193" i="171"/>
  <c r="AP193" i="171"/>
  <c r="AR193" i="171" a="1"/>
  <c r="AR193" i="171"/>
  <c r="A195" i="171"/>
  <c r="AQ194" i="171"/>
  <c r="AP194" i="171"/>
  <c r="AR194" i="171" a="1"/>
  <c r="AR194" i="171"/>
  <c r="A196" i="171"/>
  <c r="AQ195" i="171"/>
  <c r="AP195" i="171"/>
  <c r="AR195" i="171" a="1"/>
  <c r="AR195" i="171"/>
  <c r="A197" i="171"/>
  <c r="AQ196" i="171"/>
  <c r="AP196" i="171"/>
  <c r="AR196" i="171" a="1"/>
  <c r="AR196" i="171"/>
  <c r="A198" i="171"/>
  <c r="AP197" i="171"/>
  <c r="AQ197" i="171"/>
  <c r="AR197" i="171" a="1"/>
  <c r="AR197" i="171"/>
  <c r="A199" i="171"/>
  <c r="AP198" i="171"/>
  <c r="AQ198" i="171"/>
  <c r="AR198" i="171" a="1"/>
  <c r="AR198" i="171"/>
  <c r="A200" i="171"/>
  <c r="AQ199" i="171"/>
  <c r="AP199" i="171"/>
  <c r="AR199" i="171" a="1"/>
  <c r="AR199" i="171"/>
  <c r="A201" i="171"/>
  <c r="AQ200" i="171"/>
  <c r="AP200" i="171"/>
  <c r="AR200" i="171" a="1"/>
  <c r="AR200" i="171"/>
  <c r="A202" i="171"/>
  <c r="AQ201" i="171"/>
  <c r="AP201" i="171"/>
  <c r="AR201" i="171" a="1"/>
  <c r="AR201" i="171"/>
  <c r="A203" i="171"/>
  <c r="AQ202" i="171"/>
  <c r="AP202" i="171"/>
  <c r="AR202" i="171" a="1"/>
  <c r="AR202" i="171"/>
  <c r="A204" i="171"/>
  <c r="AQ203" i="171"/>
  <c r="AP203" i="171"/>
  <c r="AR203" i="171" a="1"/>
  <c r="AR203" i="171"/>
  <c r="A205" i="171"/>
  <c r="AQ204" i="171"/>
  <c r="AP204" i="171"/>
  <c r="AR204" i="171" a="1"/>
  <c r="AR204" i="171"/>
  <c r="A206" i="171"/>
  <c r="AQ205" i="171"/>
  <c r="AP205" i="171"/>
  <c r="AR205" i="171" a="1"/>
  <c r="AR205" i="171"/>
  <c r="A207" i="171"/>
  <c r="AP206" i="171"/>
  <c r="AQ206" i="171"/>
  <c r="AR206" i="171" a="1"/>
  <c r="AR206" i="171"/>
  <c r="A208" i="171"/>
  <c r="AQ207" i="171"/>
  <c r="AP207" i="171"/>
  <c r="AR207" i="171" a="1"/>
  <c r="AR207" i="171"/>
  <c r="A209" i="171"/>
  <c r="AQ208" i="171"/>
  <c r="AP208" i="171"/>
  <c r="AR208" i="171" a="1"/>
  <c r="AR208" i="171"/>
  <c r="A210" i="171"/>
  <c r="AQ209" i="171"/>
  <c r="AP209" i="171"/>
  <c r="AR209" i="171" a="1"/>
  <c r="AR209" i="171"/>
  <c r="A211" i="171"/>
  <c r="AQ210" i="171"/>
  <c r="AP210" i="171"/>
  <c r="AR210" i="171" a="1"/>
  <c r="AR210" i="171"/>
  <c r="A212" i="171"/>
  <c r="AQ211" i="171"/>
  <c r="AP211" i="171"/>
  <c r="AR211" i="171" a="1"/>
  <c r="AR211" i="171"/>
  <c r="A213" i="171"/>
  <c r="AQ212" i="171"/>
  <c r="AP212" i="171"/>
  <c r="AR212" i="171" a="1"/>
  <c r="AR212" i="171"/>
  <c r="A214" i="171"/>
  <c r="AP213" i="171"/>
  <c r="AQ213" i="171"/>
  <c r="AR213" i="171" a="1"/>
  <c r="AR213" i="171"/>
  <c r="A215" i="171"/>
  <c r="AQ214" i="171"/>
  <c r="AP214" i="171"/>
  <c r="AR214" i="171" a="1"/>
  <c r="AR214" i="171"/>
  <c r="A216" i="171"/>
  <c r="AP215" i="171"/>
  <c r="AQ215" i="171"/>
  <c r="AR215" i="171" a="1"/>
  <c r="AR215" i="171"/>
  <c r="A217" i="171"/>
  <c r="AQ216" i="171"/>
  <c r="AP216" i="171"/>
  <c r="AR216" i="171" a="1"/>
  <c r="AR216" i="171"/>
  <c r="A218" i="171"/>
  <c r="AQ217" i="171"/>
  <c r="AP217" i="171"/>
  <c r="AR217" i="171" a="1"/>
  <c r="AR217" i="171"/>
  <c r="A219" i="171"/>
  <c r="AP218" i="171"/>
  <c r="AQ218" i="171"/>
  <c r="AR218" i="171" a="1"/>
  <c r="AR218" i="171"/>
  <c r="A220" i="171"/>
  <c r="AQ219" i="171"/>
  <c r="AP219" i="171"/>
  <c r="AR219" i="171" a="1"/>
  <c r="AR219" i="171"/>
  <c r="A221" i="171"/>
  <c r="AP220" i="171"/>
  <c r="AQ220" i="171"/>
  <c r="AR220" i="171" a="1"/>
  <c r="AR220" i="171"/>
  <c r="A222" i="171"/>
  <c r="AP221" i="171"/>
  <c r="AQ221" i="171"/>
  <c r="AR221" i="171" a="1"/>
  <c r="AR221" i="171"/>
  <c r="A223" i="171"/>
  <c r="AQ222" i="171"/>
  <c r="AP222" i="171"/>
  <c r="AR222" i="171" a="1"/>
  <c r="AR222" i="171"/>
  <c r="A224" i="171"/>
  <c r="AQ223" i="171"/>
  <c r="AP223" i="171"/>
  <c r="AR223" i="171" a="1"/>
  <c r="AR223" i="171"/>
  <c r="A225" i="171"/>
  <c r="AP224" i="171"/>
  <c r="AQ224" i="171"/>
  <c r="AR224" i="171" a="1"/>
  <c r="AR224" i="171"/>
  <c r="A226" i="171"/>
  <c r="AP225" i="171"/>
  <c r="AQ225" i="171"/>
  <c r="AR225" i="171" a="1"/>
  <c r="AR225" i="171"/>
  <c r="A227" i="171"/>
  <c r="AQ226" i="171"/>
  <c r="AP226" i="171"/>
  <c r="AR226" i="171" a="1"/>
  <c r="AR226" i="171"/>
  <c r="A228" i="171"/>
  <c r="AQ227" i="171"/>
  <c r="AP227" i="171"/>
  <c r="AR227" i="171" a="1"/>
  <c r="AR227" i="171"/>
  <c r="A229" i="171"/>
  <c r="AQ228" i="171"/>
  <c r="AP228" i="171"/>
  <c r="AR228" i="171" a="1"/>
  <c r="AR228" i="171"/>
  <c r="A230" i="171"/>
  <c r="AQ229" i="171"/>
  <c r="AP229" i="171"/>
  <c r="AR229" i="171" a="1"/>
  <c r="AR229" i="171"/>
  <c r="A231" i="171"/>
  <c r="AQ230" i="171"/>
  <c r="AP230" i="171"/>
  <c r="AR230" i="171" a="1"/>
  <c r="AR230" i="171"/>
  <c r="A232" i="171"/>
  <c r="AQ231" i="171"/>
  <c r="AP231" i="171"/>
  <c r="AR231" i="171" a="1"/>
  <c r="AR231" i="171"/>
  <c r="A233" i="171"/>
  <c r="AQ232" i="171"/>
  <c r="AP232" i="171"/>
  <c r="AR232" i="171" a="1"/>
  <c r="AR232" i="171"/>
  <c r="A234" i="171"/>
  <c r="AQ233" i="171"/>
  <c r="AP233" i="171"/>
  <c r="AR233" i="171" a="1"/>
  <c r="AR233" i="171"/>
  <c r="A235" i="171"/>
  <c r="AQ234" i="171"/>
  <c r="AP234" i="171"/>
  <c r="AR234" i="171" a="1"/>
  <c r="AR234" i="171"/>
  <c r="A236" i="171"/>
  <c r="AQ235" i="171"/>
  <c r="AP235" i="171"/>
  <c r="AR235" i="171" a="1"/>
  <c r="AR235" i="171"/>
  <c r="A237" i="171"/>
  <c r="AP236" i="171"/>
  <c r="AQ236" i="171"/>
  <c r="AR236" i="171" a="1"/>
  <c r="AR236" i="171"/>
  <c r="A238" i="171"/>
  <c r="AQ237" i="171"/>
  <c r="AP237" i="171"/>
  <c r="AR237" i="171" a="1"/>
  <c r="AR237" i="171"/>
  <c r="A239" i="171"/>
  <c r="AQ238" i="171"/>
  <c r="AP238" i="171"/>
  <c r="AR238" i="171" a="1"/>
  <c r="AR238" i="171"/>
  <c r="A240" i="171"/>
  <c r="AQ239" i="171"/>
  <c r="AP239" i="171"/>
  <c r="AR239" i="171" a="1"/>
  <c r="AR239" i="171"/>
  <c r="A241" i="171"/>
  <c r="AQ240" i="171"/>
  <c r="AP240" i="171"/>
  <c r="AR240" i="171" a="1"/>
  <c r="AR240" i="171"/>
  <c r="A242" i="171"/>
  <c r="AQ241" i="171"/>
  <c r="AP241" i="171"/>
  <c r="AR241" i="171" a="1"/>
  <c r="AR241" i="171"/>
  <c r="A243" i="171"/>
  <c r="AQ242" i="171"/>
  <c r="AP242" i="171"/>
  <c r="AR242" i="171" a="1"/>
  <c r="AR242" i="171"/>
  <c r="A244" i="171"/>
  <c r="AP243" i="171"/>
  <c r="AQ243" i="171"/>
  <c r="AR243" i="171" a="1"/>
  <c r="AR243" i="171"/>
  <c r="A245" i="171"/>
  <c r="AQ244" i="171"/>
  <c r="AP244" i="171"/>
  <c r="AR244" i="171" a="1"/>
  <c r="AR244" i="171"/>
  <c r="A246" i="171"/>
  <c r="AQ245" i="171"/>
  <c r="AP245" i="171"/>
  <c r="AR245" i="171" a="1"/>
  <c r="AR245" i="171"/>
  <c r="A247" i="171"/>
  <c r="AQ246" i="171"/>
  <c r="AP246" i="171"/>
  <c r="AR246" i="171" a="1"/>
  <c r="AR246" i="171"/>
  <c r="A248" i="171"/>
  <c r="AQ247" i="171"/>
  <c r="AP247" i="171"/>
  <c r="AR247" i="171" a="1"/>
  <c r="AR247" i="171"/>
  <c r="A249" i="171"/>
  <c r="AP248" i="171"/>
  <c r="AQ248" i="171"/>
  <c r="AR248" i="171" a="1"/>
  <c r="AR248" i="171"/>
  <c r="A250" i="171"/>
  <c r="AQ249" i="171"/>
  <c r="AP249" i="171"/>
  <c r="AR249" i="171" a="1"/>
  <c r="AR249" i="171"/>
  <c r="A251" i="171"/>
  <c r="AQ250" i="171"/>
  <c r="AP250" i="171"/>
  <c r="AR250" i="171" a="1"/>
  <c r="AR250" i="171"/>
  <c r="A252" i="171"/>
  <c r="AQ251" i="171"/>
  <c r="AP251" i="171"/>
  <c r="AR251" i="171" a="1"/>
  <c r="AR251" i="171"/>
  <c r="A253" i="171"/>
  <c r="AQ252" i="171"/>
  <c r="AP252" i="171"/>
  <c r="AR252" i="171" a="1"/>
  <c r="AR252" i="171"/>
  <c r="A254" i="171"/>
  <c r="AQ253" i="171"/>
  <c r="AP253" i="171"/>
  <c r="AR253" i="171" a="1"/>
  <c r="AR253" i="171"/>
  <c r="A255" i="171"/>
  <c r="AQ254" i="171"/>
  <c r="AP254" i="171"/>
  <c r="AR254" i="171" a="1"/>
  <c r="AR254" i="171"/>
  <c r="A256" i="171"/>
  <c r="AQ255" i="171"/>
  <c r="AP255" i="171"/>
  <c r="AR255" i="171" a="1"/>
  <c r="AR255" i="171"/>
  <c r="A257" i="171"/>
  <c r="AP256" i="171"/>
  <c r="AQ256" i="171"/>
  <c r="AR256" i="171" a="1"/>
  <c r="AR256" i="171"/>
  <c r="A258" i="171"/>
  <c r="AQ257" i="171"/>
  <c r="AP257" i="171"/>
  <c r="AR257" i="171" a="1"/>
  <c r="AR257" i="171"/>
  <c r="A259" i="171"/>
  <c r="AP258" i="171"/>
  <c r="AQ258" i="171"/>
  <c r="AR258" i="171" a="1"/>
  <c r="AR258" i="171"/>
  <c r="A260" i="171"/>
  <c r="AQ259" i="171"/>
  <c r="AP259" i="171"/>
  <c r="AR259" i="171" a="1"/>
  <c r="AR259" i="171"/>
  <c r="A261" i="171"/>
  <c r="AP260" i="171"/>
  <c r="AQ260" i="171"/>
  <c r="AR260" i="171" a="1"/>
  <c r="AR260" i="171"/>
  <c r="A262" i="171"/>
  <c r="AQ261" i="171"/>
  <c r="AP261" i="171"/>
  <c r="AR261" i="171" a="1"/>
  <c r="AR261" i="171"/>
  <c r="A263" i="171"/>
  <c r="AQ262" i="171"/>
  <c r="AP262" i="171"/>
  <c r="AR262" i="171" a="1"/>
  <c r="AR262" i="171"/>
  <c r="A264" i="171"/>
  <c r="AQ263" i="171"/>
  <c r="AP263" i="171"/>
  <c r="AR263" i="171" a="1"/>
  <c r="AR263" i="171"/>
  <c r="A265" i="171"/>
  <c r="AQ264" i="171"/>
  <c r="AP264" i="171"/>
  <c r="AR264" i="171" a="1"/>
  <c r="AR264" i="171"/>
  <c r="A266" i="171"/>
  <c r="AQ265" i="171"/>
  <c r="AP265" i="171"/>
  <c r="AR265" i="171" a="1"/>
  <c r="AR265" i="171"/>
  <c r="A267" i="171"/>
  <c r="AQ266" i="171"/>
  <c r="AP266" i="171"/>
  <c r="AR266" i="171" a="1"/>
  <c r="AR266" i="171"/>
  <c r="A268" i="171"/>
  <c r="AQ267" i="171"/>
  <c r="AP267" i="171"/>
  <c r="AR267" i="171" a="1"/>
  <c r="AR267" i="171"/>
  <c r="A269" i="171"/>
  <c r="AQ268" i="171"/>
  <c r="AP268" i="171"/>
  <c r="AR268" i="171" a="1"/>
  <c r="AR268" i="171"/>
  <c r="A270" i="171"/>
  <c r="AP269" i="171"/>
  <c r="AQ269" i="171"/>
  <c r="AR269" i="171" a="1"/>
  <c r="AR269" i="171"/>
  <c r="A271" i="171"/>
  <c r="AP270" i="171"/>
  <c r="AQ270" i="171"/>
  <c r="AR270" i="171" a="1"/>
  <c r="AR270" i="171"/>
  <c r="A272" i="171"/>
  <c r="AQ271" i="171"/>
  <c r="AP271" i="171"/>
  <c r="AR271" i="171" a="1"/>
  <c r="AR271" i="171"/>
  <c r="A273" i="171"/>
  <c r="AP272" i="171"/>
  <c r="AQ272" i="171"/>
  <c r="AR272" i="171" a="1"/>
  <c r="AR272" i="171"/>
  <c r="A274" i="171"/>
  <c r="AQ273" i="171"/>
  <c r="AP273" i="171"/>
  <c r="AR273" i="171" a="1"/>
  <c r="AR273" i="171"/>
  <c r="A275" i="171"/>
  <c r="AQ274" i="171"/>
  <c r="AP274" i="171"/>
  <c r="AR274" i="171" a="1"/>
  <c r="AR274" i="171"/>
  <c r="A276" i="171"/>
  <c r="AQ275" i="171"/>
  <c r="AP275" i="171"/>
  <c r="AR275" i="171" a="1"/>
  <c r="AR275" i="171"/>
  <c r="A277" i="171"/>
  <c r="AQ276" i="171"/>
  <c r="AP276" i="171"/>
  <c r="AR276" i="171" a="1"/>
  <c r="AR276" i="171"/>
  <c r="A278" i="171"/>
  <c r="AQ277" i="171"/>
  <c r="AP277" i="171"/>
  <c r="AR277" i="171" a="1"/>
  <c r="AR277" i="171"/>
  <c r="A279" i="171"/>
  <c r="AQ278" i="171"/>
  <c r="AP278" i="171"/>
  <c r="AR278" i="171" a="1"/>
  <c r="AR278" i="171"/>
  <c r="A280" i="171"/>
  <c r="AQ279" i="171"/>
  <c r="AP279" i="171"/>
  <c r="AR279" i="171" a="1"/>
  <c r="AR279" i="171"/>
  <c r="A281" i="171"/>
  <c r="AQ280" i="171"/>
  <c r="AP280" i="171"/>
  <c r="AR280" i="171" a="1"/>
  <c r="AR280" i="171"/>
  <c r="A282" i="171"/>
  <c r="AP281" i="171"/>
  <c r="AQ281" i="171"/>
  <c r="AR281" i="171" a="1"/>
  <c r="AR281" i="171"/>
  <c r="A283" i="171"/>
  <c r="AP282" i="171"/>
  <c r="AQ282" i="171"/>
  <c r="AR282" i="171" a="1"/>
  <c r="AR282" i="171"/>
  <c r="A284" i="171"/>
  <c r="AQ283" i="171"/>
  <c r="AP283" i="171"/>
  <c r="AR283" i="171" a="1"/>
  <c r="AR283" i="171"/>
  <c r="A285" i="171"/>
  <c r="AP284" i="171"/>
  <c r="AQ284" i="171"/>
  <c r="AR284" i="171" a="1"/>
  <c r="AR284" i="171"/>
  <c r="A286" i="171"/>
  <c r="AQ285" i="171"/>
  <c r="AP285" i="171"/>
  <c r="AR285" i="171" a="1"/>
  <c r="AR285" i="171"/>
  <c r="A287" i="171"/>
  <c r="AQ286" i="171"/>
  <c r="AP286" i="171"/>
  <c r="AR286" i="171" a="1"/>
  <c r="AR286" i="171"/>
  <c r="A288" i="171"/>
  <c r="AP287" i="171"/>
  <c r="AQ287" i="171"/>
  <c r="AR287" i="171" a="1"/>
  <c r="AR287" i="171"/>
  <c r="A289" i="171"/>
  <c r="AP288" i="171"/>
  <c r="AQ288" i="171"/>
  <c r="AR288" i="171" a="1"/>
  <c r="AR288" i="171"/>
  <c r="A290" i="171"/>
  <c r="AP289" i="171"/>
  <c r="AQ289" i="171"/>
  <c r="AR289" i="171" a="1"/>
  <c r="AR289" i="171"/>
  <c r="A291" i="171"/>
  <c r="AP290" i="171"/>
  <c r="AQ290" i="171"/>
  <c r="AR290" i="171" a="1"/>
  <c r="AR290" i="171"/>
  <c r="A292" i="171"/>
  <c r="AP291" i="171"/>
  <c r="AQ291" i="171"/>
  <c r="AR291" i="171" a="1"/>
  <c r="AR291" i="171"/>
  <c r="A293" i="171"/>
  <c r="AQ292" i="171"/>
  <c r="AP292" i="171"/>
  <c r="AR292" i="171" a="1"/>
  <c r="AR292" i="171"/>
  <c r="A294" i="171"/>
  <c r="AP293" i="171"/>
  <c r="AQ293" i="171"/>
  <c r="AR293" i="171" a="1"/>
  <c r="AR293" i="171"/>
  <c r="A295" i="171"/>
  <c r="AP294" i="171"/>
  <c r="AQ294" i="171"/>
  <c r="AR294" i="171" a="1"/>
  <c r="AR294" i="171"/>
  <c r="A296" i="171"/>
  <c r="AQ295" i="171"/>
  <c r="AP295" i="171"/>
  <c r="AR295" i="171" a="1"/>
  <c r="AR295" i="171"/>
  <c r="A297" i="171"/>
  <c r="AP296" i="171"/>
  <c r="AQ296" i="171"/>
  <c r="AR296" i="171" a="1"/>
  <c r="AR296" i="171"/>
  <c r="A298" i="171"/>
  <c r="AQ297" i="171"/>
  <c r="AP297" i="171"/>
  <c r="AR297" i="171" a="1"/>
  <c r="AR297" i="171"/>
  <c r="A299" i="171"/>
  <c r="AP298" i="171"/>
  <c r="AQ298" i="171"/>
  <c r="AR298" i="171" a="1"/>
  <c r="AR298" i="171"/>
  <c r="A300" i="171"/>
  <c r="AQ299" i="171"/>
  <c r="AP299" i="171"/>
  <c r="AR299" i="171" a="1"/>
  <c r="AR299" i="171"/>
  <c r="A301" i="171"/>
  <c r="AP300" i="171"/>
  <c r="AQ300" i="171"/>
  <c r="AR300" i="171" a="1"/>
  <c r="AR300" i="171"/>
  <c r="A302" i="171"/>
  <c r="AQ301" i="171"/>
  <c r="AP301" i="171"/>
  <c r="AR301" i="171" a="1"/>
  <c r="AR301" i="171"/>
  <c r="A303" i="171"/>
  <c r="AP302" i="171"/>
  <c r="AQ302" i="171"/>
  <c r="AR302" i="171" a="1"/>
  <c r="AR302" i="171"/>
  <c r="A304" i="171"/>
  <c r="AQ303" i="171"/>
  <c r="AP303" i="171"/>
  <c r="AR303" i="171" a="1"/>
  <c r="AR303" i="171"/>
  <c r="A305" i="171"/>
  <c r="AQ304" i="171"/>
  <c r="AP304" i="171"/>
  <c r="AR304" i="171" a="1"/>
  <c r="AR304" i="171"/>
  <c r="A306" i="171"/>
  <c r="AP305" i="171"/>
  <c r="AQ305" i="171"/>
  <c r="AR305" i="171" a="1"/>
  <c r="AR305" i="171"/>
  <c r="A307" i="171"/>
  <c r="AP306" i="171"/>
  <c r="AQ306" i="171"/>
  <c r="AR306" i="171" a="1"/>
  <c r="AR306" i="171"/>
  <c r="A308" i="171"/>
  <c r="AQ307" i="171"/>
  <c r="AP307" i="171"/>
  <c r="AR307" i="171" a="1"/>
  <c r="AR307" i="171"/>
  <c r="A309" i="171"/>
  <c r="AP308" i="171"/>
  <c r="AQ308" i="171"/>
  <c r="AR308" i="171" a="1"/>
  <c r="AR308" i="171"/>
  <c r="A310" i="171"/>
  <c r="AQ309" i="171"/>
  <c r="AP309" i="171"/>
  <c r="AR309" i="171" a="1"/>
  <c r="AR309" i="171"/>
  <c r="A311" i="171"/>
  <c r="AP310" i="171"/>
  <c r="AQ310" i="171"/>
  <c r="AR310" i="171" a="1"/>
  <c r="AR310" i="171"/>
  <c r="A312" i="171"/>
  <c r="AP311" i="171"/>
  <c r="AQ311" i="171"/>
  <c r="AR311" i="171" a="1"/>
  <c r="AR311" i="171"/>
  <c r="A313" i="171"/>
  <c r="AQ312" i="171"/>
  <c r="AP312" i="171"/>
  <c r="AR312" i="171" a="1"/>
  <c r="AR312" i="171"/>
  <c r="A314" i="171"/>
  <c r="AP313" i="171"/>
  <c r="AQ313" i="171"/>
  <c r="AR313" i="171" a="1"/>
  <c r="AR313" i="171"/>
  <c r="A315" i="171"/>
  <c r="AP314" i="171"/>
  <c r="AQ314" i="171"/>
  <c r="AR314" i="171" a="1"/>
  <c r="AR314" i="171"/>
  <c r="A316" i="171"/>
  <c r="AP315" i="171"/>
  <c r="AQ315" i="171"/>
  <c r="AR315" i="171" a="1"/>
  <c r="AR315" i="171"/>
  <c r="A317" i="171"/>
  <c r="AQ316" i="171"/>
  <c r="AP316" i="171"/>
  <c r="AR316" i="171" a="1"/>
  <c r="AR316" i="171"/>
  <c r="A318" i="171"/>
  <c r="AP317" i="171"/>
  <c r="AQ317" i="171"/>
  <c r="AR317" i="171" a="1"/>
  <c r="AR317" i="171"/>
  <c r="A319" i="171"/>
  <c r="AP318" i="171"/>
  <c r="AQ318" i="171"/>
  <c r="AR318" i="171" a="1"/>
  <c r="AR318" i="171"/>
  <c r="A320" i="171"/>
  <c r="AQ319" i="171"/>
  <c r="AP319" i="171"/>
  <c r="AR319" i="171" a="1"/>
  <c r="AR319" i="171"/>
  <c r="A321" i="171"/>
  <c r="AP320" i="171"/>
  <c r="AQ320" i="171"/>
  <c r="AR320" i="171" a="1"/>
  <c r="AR320" i="171"/>
  <c r="A322" i="171"/>
  <c r="AQ321" i="171"/>
  <c r="AP321" i="171"/>
  <c r="AR321" i="171" a="1"/>
  <c r="AR321" i="171"/>
  <c r="A323" i="171"/>
  <c r="AQ322" i="171"/>
  <c r="AP322" i="171"/>
  <c r="AR322" i="171" a="1"/>
  <c r="AR322" i="171"/>
  <c r="A324" i="171"/>
  <c r="AP323" i="171"/>
  <c r="AQ323" i="171"/>
  <c r="AR323" i="171" a="1"/>
  <c r="AR323" i="171"/>
  <c r="A325" i="171"/>
  <c r="AP324" i="171"/>
  <c r="AQ324" i="171"/>
  <c r="AR324" i="171" a="1"/>
  <c r="AR324" i="171"/>
  <c r="A326" i="171"/>
  <c r="AP325" i="171"/>
  <c r="AQ325" i="171"/>
  <c r="AR325" i="171" a="1"/>
  <c r="AR325" i="171"/>
  <c r="A327" i="171"/>
  <c r="AP326" i="171"/>
  <c r="AQ326" i="171"/>
  <c r="AR326" i="171" a="1"/>
  <c r="AR326" i="171"/>
  <c r="A328" i="171"/>
  <c r="AP327" i="171"/>
  <c r="AQ327" i="171"/>
  <c r="AR327" i="171" a="1"/>
  <c r="AR327" i="171"/>
  <c r="A329" i="171"/>
  <c r="AQ328" i="171"/>
  <c r="AP328" i="171"/>
  <c r="AR328" i="171" a="1"/>
  <c r="AR328" i="171"/>
  <c r="A330" i="171"/>
  <c r="AP329" i="171"/>
  <c r="AQ329" i="171"/>
  <c r="AR329" i="171" a="1"/>
  <c r="AR329" i="171"/>
  <c r="A331" i="171"/>
  <c r="AQ330" i="171"/>
  <c r="AP330" i="171"/>
  <c r="AR330" i="171" a="1"/>
  <c r="AR330" i="171"/>
  <c r="A332" i="171"/>
  <c r="AQ331" i="171"/>
  <c r="AP331" i="171"/>
  <c r="AR331" i="171" a="1"/>
  <c r="AR331" i="171"/>
  <c r="A333" i="171"/>
  <c r="AP332" i="171"/>
  <c r="AQ332" i="171"/>
  <c r="AR332" i="171" a="1"/>
  <c r="AR332" i="171"/>
  <c r="A334" i="171"/>
  <c r="AQ333" i="171"/>
  <c r="AP333" i="171"/>
  <c r="AR333" i="171" a="1"/>
  <c r="AR333" i="171"/>
  <c r="A335" i="171"/>
  <c r="AQ334" i="171"/>
  <c r="AP334" i="171"/>
  <c r="AR334" i="171" a="1"/>
  <c r="AR334" i="171"/>
  <c r="A336" i="171"/>
  <c r="AQ335" i="171"/>
  <c r="AP335" i="171"/>
  <c r="AR335" i="171" a="1"/>
  <c r="AR335" i="171"/>
  <c r="A337" i="171"/>
  <c r="AQ336" i="171"/>
  <c r="AP336" i="171"/>
  <c r="AR336" i="171" a="1"/>
  <c r="AR336" i="171"/>
  <c r="A338" i="171"/>
  <c r="AQ337" i="171"/>
  <c r="AP337" i="171"/>
  <c r="AR337" i="171" a="1"/>
  <c r="AR337" i="171"/>
  <c r="A339" i="171"/>
  <c r="AQ338" i="171"/>
  <c r="AP338" i="171"/>
  <c r="AR338" i="171" a="1"/>
  <c r="AR338" i="171"/>
  <c r="A340" i="171"/>
  <c r="AQ339" i="171"/>
  <c r="AP339" i="171"/>
  <c r="AR339" i="171" a="1"/>
  <c r="AR339" i="171"/>
  <c r="A341" i="171"/>
  <c r="AQ340" i="171"/>
  <c r="AP340" i="171"/>
  <c r="AR340" i="171" a="1"/>
  <c r="AR340" i="171"/>
  <c r="A342" i="171"/>
  <c r="AP341" i="171"/>
  <c r="AQ341" i="171"/>
  <c r="AR341" i="171" a="1"/>
  <c r="AR341" i="171"/>
  <c r="A343" i="171"/>
  <c r="AP342" i="171"/>
  <c r="AQ342" i="171"/>
  <c r="AR342" i="171" a="1"/>
  <c r="AR342" i="171"/>
  <c r="A344" i="171"/>
  <c r="AQ343" i="171"/>
  <c r="AP343" i="171"/>
  <c r="AR343" i="171" a="1"/>
  <c r="AR343" i="171"/>
  <c r="A345" i="171"/>
  <c r="AQ344" i="171"/>
  <c r="AP344" i="171"/>
  <c r="AR344" i="171" a="1"/>
  <c r="AR344" i="171"/>
  <c r="A346" i="171"/>
  <c r="AQ345" i="171"/>
  <c r="AP345" i="171"/>
  <c r="AR345" i="171" a="1"/>
  <c r="AR345" i="171"/>
  <c r="A347" i="171"/>
  <c r="AQ346" i="171"/>
  <c r="AP346" i="171"/>
  <c r="AR346" i="171" a="1"/>
  <c r="AR346" i="171"/>
  <c r="A348" i="171"/>
  <c r="AQ347" i="171"/>
  <c r="AP347" i="171"/>
  <c r="AR347" i="171" a="1"/>
  <c r="AR347" i="171"/>
  <c r="A349" i="171"/>
  <c r="AP348" i="171"/>
  <c r="AQ348" i="171"/>
  <c r="AR348" i="171" a="1"/>
  <c r="AR348" i="171"/>
  <c r="A350" i="171"/>
  <c r="AP349" i="171"/>
  <c r="AQ349" i="171"/>
  <c r="AR349" i="171" a="1"/>
  <c r="AR349" i="171"/>
  <c r="A351" i="171"/>
  <c r="AQ350" i="171"/>
  <c r="AP350" i="171"/>
  <c r="AR350" i="171" a="1"/>
  <c r="AR350" i="171"/>
  <c r="A352" i="171"/>
  <c r="AQ351" i="171"/>
  <c r="AP351" i="171"/>
  <c r="AR351" i="171" a="1"/>
  <c r="AR351" i="171"/>
  <c r="A353" i="171"/>
  <c r="AQ352" i="171"/>
  <c r="AP352" i="171"/>
  <c r="AR352" i="171" a="1"/>
  <c r="AR352" i="171"/>
  <c r="A354" i="171"/>
  <c r="AP353" i="171"/>
  <c r="AQ353" i="171"/>
  <c r="AR353" i="171" a="1"/>
  <c r="AR353" i="171"/>
  <c r="A355" i="171"/>
  <c r="AQ354" i="171"/>
  <c r="AP354" i="171"/>
  <c r="AR354" i="171" a="1"/>
  <c r="AR354" i="171"/>
  <c r="A356" i="171"/>
  <c r="AQ355" i="171"/>
  <c r="AP355" i="171"/>
  <c r="AR355" i="171" a="1"/>
  <c r="AR355" i="171"/>
  <c r="A357" i="171"/>
  <c r="AP356" i="171"/>
  <c r="AQ356" i="171"/>
  <c r="AR356" i="171" a="1"/>
  <c r="AR356" i="171"/>
  <c r="A358" i="171"/>
  <c r="AP357" i="171"/>
  <c r="AQ357" i="171"/>
  <c r="AR357" i="171" a="1"/>
  <c r="AR357" i="171"/>
  <c r="A359" i="171"/>
  <c r="AP358" i="171"/>
  <c r="AQ358" i="171"/>
  <c r="AR358" i="171" a="1"/>
  <c r="AR358" i="171"/>
  <c r="A360" i="171"/>
  <c r="AP359" i="171"/>
  <c r="AQ359" i="171"/>
  <c r="AR359" i="171" a="1"/>
  <c r="AR359" i="171"/>
  <c r="A361" i="171"/>
  <c r="AQ360" i="171"/>
  <c r="AP360" i="171"/>
  <c r="AR360" i="171" a="1"/>
  <c r="AR360" i="171"/>
  <c r="A362" i="171"/>
  <c r="AP361" i="171"/>
  <c r="AQ361" i="171"/>
  <c r="AR361" i="171" a="1"/>
  <c r="AR361" i="171"/>
  <c r="A363" i="171"/>
  <c r="AQ362" i="171"/>
  <c r="AP362" i="171"/>
  <c r="AR362" i="171" a="1"/>
  <c r="AR362" i="171"/>
  <c r="A364" i="171"/>
  <c r="AQ363" i="171"/>
  <c r="AP363" i="171"/>
  <c r="AR363" i="171" a="1"/>
  <c r="AR363" i="171"/>
  <c r="A365" i="171"/>
  <c r="AQ364" i="171"/>
  <c r="AP364" i="171"/>
  <c r="AR364" i="171" a="1"/>
  <c r="AR364" i="171"/>
  <c r="A366" i="171"/>
  <c r="AP365" i="171"/>
  <c r="AQ365" i="171"/>
  <c r="AR365" i="171" a="1"/>
  <c r="AR365" i="171"/>
  <c r="A367" i="171"/>
  <c r="AQ366" i="171"/>
  <c r="AP366" i="171"/>
  <c r="AR366" i="171" a="1"/>
  <c r="AR366" i="171"/>
  <c r="A368" i="171"/>
  <c r="AQ367" i="171"/>
  <c r="AP367" i="171"/>
  <c r="AR367" i="171" a="1"/>
  <c r="AR367" i="171"/>
  <c r="A369" i="171"/>
  <c r="AQ368" i="171"/>
  <c r="AP368" i="171"/>
  <c r="AR368" i="171" a="1"/>
  <c r="AR368" i="171"/>
  <c r="A370" i="171"/>
  <c r="AP369" i="171"/>
  <c r="AQ369" i="171"/>
  <c r="AR369" i="171" a="1"/>
  <c r="AR369" i="171"/>
  <c r="A371" i="171"/>
  <c r="AQ370" i="171"/>
  <c r="AP370" i="171"/>
  <c r="AR370" i="171" a="1"/>
  <c r="AR370" i="171"/>
  <c r="A372" i="171"/>
  <c r="AP371" i="171"/>
  <c r="AQ371" i="171"/>
  <c r="AR371" i="171" a="1"/>
  <c r="AR371" i="171"/>
  <c r="A373" i="171"/>
  <c r="AP372" i="171"/>
  <c r="AQ372" i="171"/>
  <c r="AR372" i="171" a="1"/>
  <c r="AR372" i="171"/>
  <c r="A374" i="171"/>
  <c r="AQ373" i="171"/>
  <c r="AP373" i="171"/>
  <c r="AR373" i="171" a="1"/>
  <c r="AR373" i="171"/>
  <c r="A375" i="171"/>
  <c r="AP374" i="171"/>
  <c r="AQ374" i="171"/>
  <c r="AR374" i="171" a="1"/>
  <c r="AR374" i="171"/>
  <c r="A376" i="171"/>
  <c r="AQ375" i="171"/>
  <c r="AP375" i="171"/>
  <c r="AR375" i="171" a="1"/>
  <c r="AR375" i="171"/>
  <c r="A377" i="171"/>
  <c r="AQ376" i="171"/>
  <c r="AP376" i="171"/>
  <c r="AR376" i="171" a="1"/>
  <c r="AR376" i="171"/>
  <c r="A378" i="171"/>
  <c r="AP377" i="171"/>
  <c r="AQ377" i="171"/>
  <c r="AR377" i="171" a="1"/>
  <c r="AR377" i="171"/>
  <c r="A379" i="171"/>
  <c r="AQ378" i="171"/>
  <c r="AP378" i="171"/>
  <c r="AR378" i="171" a="1"/>
  <c r="AR378" i="171"/>
  <c r="A380" i="171"/>
  <c r="AP379" i="171"/>
  <c r="AQ379" i="171"/>
  <c r="AR379" i="171" a="1"/>
  <c r="AR379" i="171"/>
  <c r="A381" i="171"/>
  <c r="AQ380" i="171"/>
  <c r="AP380" i="171"/>
  <c r="AR380" i="171" a="1"/>
  <c r="AR380" i="171"/>
  <c r="A382" i="171"/>
  <c r="AQ381" i="171"/>
  <c r="AP381" i="171"/>
  <c r="AR381" i="171" a="1"/>
  <c r="AR381" i="171"/>
  <c r="A383" i="171"/>
  <c r="AQ382" i="171"/>
  <c r="AP382" i="171"/>
  <c r="AR382" i="171" a="1"/>
  <c r="AR382" i="171"/>
  <c r="A384" i="171"/>
  <c r="AQ383" i="171"/>
  <c r="AP383" i="171"/>
  <c r="AR383" i="171" a="1"/>
  <c r="AR383" i="171"/>
  <c r="A385" i="171"/>
  <c r="AP384" i="171"/>
  <c r="AQ384" i="171"/>
  <c r="AR384" i="171" a="1"/>
  <c r="AR384" i="171"/>
  <c r="A386" i="171"/>
  <c r="AP385" i="171"/>
  <c r="AQ385" i="171"/>
  <c r="AR385" i="171" a="1"/>
  <c r="AR385" i="171"/>
  <c r="A387" i="171"/>
  <c r="AP386" i="171"/>
  <c r="AQ386" i="171"/>
  <c r="AR386" i="171" a="1"/>
  <c r="AR386" i="171"/>
  <c r="A388" i="171"/>
  <c r="AQ387" i="171"/>
  <c r="AP387" i="171"/>
  <c r="AR387" i="171" a="1"/>
  <c r="AR387" i="171"/>
  <c r="A389" i="171"/>
  <c r="AQ388" i="171"/>
  <c r="AP388" i="171"/>
  <c r="AR388" i="171" a="1"/>
  <c r="AR388" i="171"/>
  <c r="A390" i="171"/>
  <c r="AP389" i="171"/>
  <c r="AQ389" i="171"/>
  <c r="AR389" i="171" a="1"/>
  <c r="AR389" i="171"/>
  <c r="A391" i="171"/>
  <c r="AQ390" i="171"/>
  <c r="AP390" i="171"/>
  <c r="AR390" i="171" a="1"/>
  <c r="AR390" i="171"/>
  <c r="A392" i="171"/>
  <c r="AQ391" i="171"/>
  <c r="AP391" i="171"/>
  <c r="AR391" i="171" a="1"/>
  <c r="AR391" i="171"/>
  <c r="A393" i="171"/>
  <c r="AQ392" i="171"/>
  <c r="AP392" i="171"/>
  <c r="AR392" i="171" a="1"/>
  <c r="AR392" i="171"/>
  <c r="A394" i="171"/>
  <c r="AP393" i="171"/>
  <c r="AQ393" i="171"/>
  <c r="AR393" i="171" a="1"/>
  <c r="AR393" i="171"/>
  <c r="A395" i="171"/>
  <c r="AQ394" i="171"/>
  <c r="AP394" i="171"/>
  <c r="AR394" i="171" a="1"/>
  <c r="AR394" i="171"/>
  <c r="A396" i="171"/>
  <c r="AQ395" i="171"/>
  <c r="AP395" i="171"/>
  <c r="AR395" i="171" a="1"/>
  <c r="AR395" i="171"/>
  <c r="A397" i="171"/>
  <c r="AQ396" i="171"/>
  <c r="AP396" i="171"/>
  <c r="AR396" i="171" a="1"/>
  <c r="AR396" i="171"/>
  <c r="A398" i="171"/>
  <c r="AQ397" i="171"/>
  <c r="AP397" i="171"/>
  <c r="AR397" i="171" a="1"/>
  <c r="AR397" i="171"/>
  <c r="A399" i="171"/>
  <c r="AP398" i="171"/>
  <c r="AQ398" i="171"/>
  <c r="AR398" i="171" a="1"/>
  <c r="AR398" i="171"/>
  <c r="A400" i="171"/>
  <c r="AQ399" i="171"/>
  <c r="AP399" i="171"/>
  <c r="AR399" i="171" a="1"/>
  <c r="AR399" i="171"/>
  <c r="AQ3" i="171"/>
  <c r="AO3" i="171"/>
  <c r="AM3" i="171"/>
  <c r="AN3" i="171"/>
  <c r="AP3" i="171"/>
  <c r="AL3" i="171"/>
  <c r="AQ400" i="171"/>
  <c r="AP400" i="171"/>
  <c r="AR400" i="171" a="1"/>
  <c r="AR400" i="171"/>
  <c r="AO379" i="172"/>
  <c r="AO355" i="172"/>
  <c r="AO331" i="172"/>
  <c r="AO307" i="172"/>
  <c r="AP357" i="172"/>
  <c r="AP396" i="172"/>
  <c r="AP319" i="172"/>
  <c r="AP279" i="172"/>
  <c r="AO332" i="172"/>
  <c r="AO267" i="172"/>
  <c r="AP363" i="172"/>
  <c r="AO390" i="172"/>
  <c r="AP376" i="172"/>
  <c r="AO276" i="172"/>
  <c r="AP328" i="172"/>
  <c r="AP265" i="172"/>
  <c r="AP397" i="172"/>
  <c r="AP280" i="172"/>
  <c r="AP391" i="172"/>
  <c r="AP282" i="172"/>
  <c r="AP189" i="172"/>
  <c r="AP154" i="172"/>
  <c r="AO333" i="172"/>
  <c r="AO272" i="172"/>
  <c r="AP215" i="172"/>
  <c r="AP124" i="172"/>
  <c r="AO233" i="172"/>
  <c r="AP101" i="172"/>
  <c r="AP53" i="172"/>
  <c r="AO362" i="172"/>
  <c r="AO94" i="172"/>
  <c r="AO133" i="172"/>
  <c r="AO224" i="172"/>
  <c r="AO101" i="172"/>
  <c r="AO65" i="172"/>
  <c r="AO29" i="172"/>
  <c r="AP22" i="172"/>
  <c r="AP239" i="172"/>
  <c r="AP138" i="172"/>
  <c r="AP71" i="172"/>
  <c r="AP236" i="172"/>
  <c r="AO296" i="172"/>
  <c r="AP149" i="172"/>
  <c r="AP35" i="172"/>
  <c r="AO196" i="172"/>
  <c r="AP31" i="172"/>
  <c r="AP146" i="172"/>
  <c r="AO75" i="172"/>
  <c r="AP185" i="172"/>
  <c r="AO255" i="172"/>
  <c r="AP153" i="172"/>
  <c r="AP51" i="172"/>
  <c r="AP122" i="172"/>
  <c r="AO269" i="172"/>
  <c r="AO62" i="172"/>
  <c r="AP262" i="172"/>
  <c r="AO136" i="172"/>
  <c r="AP131" i="172"/>
  <c r="AO147" i="172"/>
  <c r="AP304" i="172"/>
  <c r="AO191" i="172"/>
  <c r="AO149" i="172"/>
  <c r="AO345" i="172"/>
  <c r="AP82" i="172"/>
  <c r="AP195" i="172"/>
  <c r="AP135" i="172"/>
  <c r="AP310" i="172"/>
  <c r="AO165" i="172"/>
  <c r="AP326" i="172"/>
  <c r="AP130" i="172"/>
  <c r="AO32" i="172"/>
  <c r="AO173" i="172"/>
  <c r="AP46" i="172"/>
  <c r="AO377" i="172"/>
  <c r="AP98" i="172"/>
  <c r="AO326" i="172"/>
  <c r="AO392" i="172"/>
  <c r="AO501" i="172"/>
  <c r="AO354" i="172"/>
  <c r="AP316" i="172"/>
  <c r="AP275" i="172"/>
  <c r="AP329" i="172"/>
  <c r="AP311" i="172"/>
  <c r="AO388" i="172"/>
  <c r="AP350" i="172"/>
  <c r="AO374" i="172"/>
  <c r="AO321" i="172"/>
  <c r="AO242" i="172"/>
  <c r="AO218" i="172"/>
  <c r="AO194" i="172"/>
  <c r="AO170" i="172"/>
  <c r="AO146" i="172"/>
  <c r="AO122" i="172"/>
  <c r="AP358" i="172"/>
  <c r="AO385" i="172"/>
  <c r="AP222" i="172"/>
  <c r="AP181" i="172"/>
  <c r="AP151" i="172"/>
  <c r="AO280" i="172"/>
  <c r="AO151" i="172"/>
  <c r="AP320" i="172"/>
  <c r="AO265" i="172"/>
  <c r="AO349" i="172"/>
  <c r="AP97" i="172"/>
  <c r="AP49" i="172"/>
  <c r="AP293" i="172"/>
  <c r="AP216" i="172"/>
  <c r="AO91" i="172"/>
  <c r="AO393" i="172"/>
  <c r="AO176" i="172"/>
  <c r="AP188" i="172"/>
  <c r="AO131" i="172"/>
  <c r="AO98" i="172"/>
  <c r="AO26" i="172"/>
  <c r="AP234" i="172"/>
  <c r="AO36" i="172"/>
  <c r="AO177" i="172"/>
  <c r="AP132" i="172"/>
  <c r="AP79" i="172"/>
  <c r="AO43" i="172"/>
  <c r="AO76" i="172"/>
  <c r="AP134" i="172"/>
  <c r="AP200" i="172"/>
  <c r="AP102" i="172"/>
  <c r="AO187" i="172"/>
  <c r="AO281" i="172"/>
  <c r="AP60" i="172"/>
  <c r="AP67" i="172"/>
  <c r="AP269" i="172"/>
  <c r="AO273" i="172"/>
  <c r="AO9" i="172"/>
  <c r="AO104" i="172"/>
  <c r="AP266" i="172"/>
  <c r="AP54" i="172"/>
  <c r="AP95" i="172"/>
  <c r="AO266" i="172"/>
  <c r="AP291" i="172"/>
  <c r="AP39" i="172"/>
  <c r="AP244" i="172"/>
  <c r="AP11" i="172"/>
  <c r="AO93" i="172"/>
  <c r="AP118" i="172"/>
  <c r="AO139" i="172"/>
  <c r="AO185" i="172"/>
  <c r="AO193" i="172"/>
  <c r="AO232" i="172"/>
  <c r="AO302" i="172"/>
  <c r="AP193" i="172"/>
  <c r="AP232" i="172"/>
  <c r="AO298" i="172"/>
  <c r="AP16" i="172"/>
  <c r="AO33" i="172"/>
  <c r="AP229" i="172"/>
  <c r="AP294" i="172"/>
  <c r="AP298" i="172"/>
  <c r="AO312" i="172"/>
  <c r="AP190" i="172"/>
  <c r="AO45" i="172"/>
  <c r="AO48" i="172"/>
  <c r="AP167" i="172"/>
  <c r="AO219" i="172"/>
  <c r="AP48" i="172"/>
  <c r="AO13" i="172"/>
  <c r="AO28" i="172"/>
  <c r="AO31" i="172"/>
  <c r="AP90" i="172"/>
  <c r="AO128" i="172"/>
  <c r="AO90" i="172"/>
  <c r="AP206" i="172"/>
  <c r="AP219" i="172"/>
  <c r="AP331" i="172"/>
  <c r="AP340" i="172"/>
  <c r="AP353" i="172"/>
  <c r="AP28" i="172"/>
  <c r="AP59" i="172"/>
  <c r="AP70" i="172"/>
  <c r="AP84" i="172"/>
  <c r="AO247" i="172"/>
  <c r="AO337" i="172"/>
  <c r="AO56" i="172"/>
  <c r="AP74" i="172"/>
  <c r="AO203" i="172"/>
  <c r="AO289" i="172"/>
  <c r="AO8" i="172"/>
  <c r="AO39" i="172"/>
  <c r="AO88" i="172"/>
  <c r="AO161" i="172"/>
  <c r="AP196" i="172"/>
  <c r="AO200" i="172"/>
  <c r="AO260" i="172"/>
  <c r="AO20" i="172"/>
  <c r="AP26" i="172"/>
  <c r="AO68" i="172"/>
  <c r="AP91" i="172"/>
  <c r="AO99" i="172"/>
  <c r="AO112" i="172"/>
  <c r="AP128" i="172"/>
  <c r="AO143" i="172"/>
  <c r="AO179" i="172"/>
  <c r="AP204" i="172"/>
  <c r="AP227" i="172"/>
  <c r="AO245" i="172"/>
  <c r="AO24" i="172"/>
  <c r="AP43" i="172"/>
  <c r="AO46" i="172"/>
  <c r="AO116" i="172"/>
  <c r="AP191" i="172"/>
  <c r="AP208" i="172"/>
  <c r="AP260" i="172"/>
  <c r="AP264" i="172"/>
  <c r="AP312" i="172"/>
  <c r="AP24" i="172"/>
  <c r="AO63" i="172"/>
  <c r="AO72" i="172"/>
  <c r="AO113" i="172"/>
  <c r="AP120" i="172"/>
  <c r="AP155" i="172"/>
  <c r="AP235" i="172"/>
  <c r="AP253" i="172"/>
  <c r="AO304" i="172"/>
  <c r="AP18" i="172"/>
  <c r="AO55" i="172"/>
  <c r="AO58" i="172"/>
  <c r="AP63" i="172"/>
  <c r="AP72" i="172"/>
  <c r="AP83" i="172"/>
  <c r="AP86" i="172"/>
  <c r="AO92" i="172"/>
  <c r="AP180" i="172"/>
  <c r="AO30" i="172"/>
  <c r="AP58" i="172"/>
  <c r="AP66" i="172"/>
  <c r="AO81" i="172"/>
  <c r="AO107" i="172"/>
  <c r="AP117" i="172"/>
  <c r="AO213" i="172"/>
  <c r="AP257" i="172"/>
  <c r="AP347" i="172"/>
  <c r="AO399" i="172"/>
  <c r="AO375" i="172"/>
  <c r="AO351" i="172"/>
  <c r="AO327" i="172"/>
  <c r="AO303" i="172"/>
  <c r="AP389" i="172"/>
  <c r="AP351" i="172"/>
  <c r="AP271" i="172"/>
  <c r="AO364" i="172"/>
  <c r="AO287" i="172"/>
  <c r="AO263" i="172"/>
  <c r="AP354" i="172"/>
  <c r="AP306" i="172"/>
  <c r="AO384" i="172"/>
  <c r="AO372" i="172"/>
  <c r="AO314" i="172"/>
  <c r="AP268" i="172"/>
  <c r="AP317" i="172"/>
  <c r="AO356" i="172"/>
  <c r="AP365" i="172"/>
  <c r="AO277" i="172"/>
  <c r="AP148" i="172"/>
  <c r="AP375" i="172"/>
  <c r="AP278" i="172"/>
  <c r="AP230" i="172"/>
  <c r="AP184" i="172"/>
  <c r="AO148" i="172"/>
  <c r="AP318" i="172"/>
  <c r="AO256" i="172"/>
  <c r="AO207" i="172"/>
  <c r="AO346" i="172"/>
  <c r="AP228" i="172"/>
  <c r="AP93" i="172"/>
  <c r="AP45" i="172"/>
  <c r="AP356" i="172"/>
  <c r="AP214" i="172"/>
  <c r="AO137" i="172"/>
  <c r="AP88" i="172"/>
  <c r="AP379" i="172"/>
  <c r="AP174" i="172"/>
  <c r="AO285" i="172"/>
  <c r="AP213" i="172"/>
  <c r="AO95" i="172"/>
  <c r="AO59" i="172"/>
  <c r="AO23" i="172"/>
  <c r="AP15" i="172"/>
  <c r="AO129" i="172"/>
  <c r="AO80" i="172"/>
  <c r="AP273" i="172"/>
  <c r="AP30" i="172"/>
  <c r="AO155" i="172"/>
  <c r="AO389" i="172"/>
  <c r="AO386" i="172"/>
  <c r="AP348" i="172"/>
  <c r="AP361" i="172"/>
  <c r="AP352" i="172"/>
  <c r="AO301" i="172"/>
  <c r="AO361" i="172"/>
  <c r="AP382" i="172"/>
  <c r="AP339" i="172"/>
  <c r="AO368" i="172"/>
  <c r="AO238" i="172"/>
  <c r="AO214" i="172"/>
  <c r="AO190" i="172"/>
  <c r="AO166" i="172"/>
  <c r="AO142" i="172"/>
  <c r="AO118" i="172"/>
  <c r="AP360" i="172"/>
  <c r="AO358" i="172"/>
  <c r="AP258" i="172"/>
  <c r="AO217" i="172"/>
  <c r="AP175" i="172"/>
  <c r="AP369" i="172"/>
  <c r="AP276" i="172"/>
  <c r="AP225" i="172"/>
  <c r="AO181" i="172"/>
  <c r="AO145" i="172"/>
  <c r="AP251" i="172"/>
  <c r="AO336" i="172"/>
  <c r="AP223" i="172"/>
  <c r="AP89" i="172"/>
  <c r="AP41" i="172"/>
  <c r="AP126" i="172"/>
  <c r="AO85" i="172"/>
  <c r="AO365" i="172"/>
  <c r="AP252" i="172"/>
  <c r="AP170" i="172"/>
  <c r="AO395" i="172"/>
  <c r="AO371" i="172"/>
  <c r="AO347" i="172"/>
  <c r="AO323" i="172"/>
  <c r="AO299" i="172"/>
  <c r="AO344" i="172"/>
  <c r="AP386" i="172"/>
  <c r="AP383" i="172"/>
  <c r="AO306" i="172"/>
  <c r="AO396" i="172"/>
  <c r="AO283" i="172"/>
  <c r="AO259" i="172"/>
  <c r="AP296" i="172"/>
  <c r="AO352" i="172"/>
  <c r="AP309" i="172"/>
  <c r="AP366" i="172"/>
  <c r="AO309" i="172"/>
  <c r="AP172" i="172"/>
  <c r="AP145" i="172"/>
  <c r="AP274" i="172"/>
  <c r="AP178" i="172"/>
  <c r="AP142" i="172"/>
  <c r="AP202" i="172"/>
  <c r="AO111" i="172"/>
  <c r="AP327" i="172"/>
  <c r="AP85" i="172"/>
  <c r="AP37" i="172"/>
  <c r="AO270" i="172"/>
  <c r="AP116" i="172"/>
  <c r="AO82" i="172"/>
  <c r="AP250" i="172"/>
  <c r="AO168" i="172"/>
  <c r="AP277" i="172"/>
  <c r="AP385" i="172"/>
  <c r="AP267" i="172"/>
  <c r="AP209" i="172"/>
  <c r="AP129" i="172"/>
  <c r="AO89" i="172"/>
  <c r="AO53" i="172"/>
  <c r="AO17" i="172"/>
  <c r="AO120" i="172"/>
  <c r="AP12" i="172"/>
  <c r="AO105" i="172"/>
  <c r="AP47" i="172"/>
  <c r="AP125" i="172"/>
  <c r="AO15" i="172"/>
  <c r="AP246" i="172"/>
  <c r="AO25" i="172"/>
  <c r="AP281" i="172"/>
  <c r="AP173" i="172"/>
  <c r="AP110" i="172"/>
  <c r="AO286" i="172"/>
  <c r="AO19" i="172"/>
  <c r="AO119" i="172"/>
  <c r="AP341" i="172"/>
  <c r="AP380" i="172"/>
  <c r="AP303" i="172"/>
  <c r="AP393" i="172"/>
  <c r="AO34" i="172"/>
  <c r="AP179" i="172"/>
  <c r="AP94" i="172"/>
  <c r="AP159" i="172"/>
  <c r="AP68" i="172"/>
  <c r="AP29" i="172"/>
  <c r="AO172" i="172"/>
  <c r="AP34" i="172"/>
  <c r="AO123" i="172"/>
  <c r="AO140" i="172"/>
  <c r="AP168" i="172"/>
  <c r="AP187" i="172"/>
  <c r="AO220" i="172"/>
  <c r="AP381" i="172"/>
  <c r="AO126" i="172"/>
  <c r="AP103" i="172"/>
  <c r="AO11" i="172"/>
  <c r="AO67" i="172"/>
  <c r="AP65" i="172"/>
  <c r="AP290" i="172"/>
  <c r="AO366" i="172"/>
  <c r="AP160" i="172"/>
  <c r="AO240" i="172"/>
  <c r="AO178" i="172"/>
  <c r="AO226" i="172"/>
  <c r="AP398" i="172"/>
  <c r="AO328" i="172"/>
  <c r="AO387" i="172"/>
  <c r="AO132" i="172"/>
  <c r="AO257" i="172"/>
  <c r="AO18" i="172"/>
  <c r="AP261" i="172"/>
  <c r="AO52" i="172"/>
  <c r="AO44" i="172"/>
  <c r="AP20" i="172"/>
  <c r="AP80" i="172"/>
  <c r="AO310" i="172"/>
  <c r="AP109" i="172"/>
  <c r="AO252" i="172"/>
  <c r="AO70" i="172"/>
  <c r="AP322" i="172"/>
  <c r="AO197" i="172"/>
  <c r="AO292" i="172"/>
  <c r="AP233" i="172"/>
  <c r="AO369" i="172"/>
  <c r="AP207" i="172"/>
  <c r="AO305" i="172"/>
  <c r="AP163" i="172"/>
  <c r="AP346" i="172"/>
  <c r="AO294" i="172"/>
  <c r="AO398" i="172"/>
  <c r="AO400" i="172"/>
  <c r="AP334" i="172"/>
  <c r="AO275" i="172"/>
  <c r="AO370" i="172"/>
  <c r="AO291" i="172"/>
  <c r="AP242" i="172"/>
  <c r="AO16" i="172"/>
  <c r="AP161" i="172"/>
  <c r="AO42" i="172"/>
  <c r="AP115" i="172"/>
  <c r="AP32" i="172"/>
  <c r="AO83" i="172"/>
  <c r="AP119" i="172"/>
  <c r="AP254" i="172"/>
  <c r="AO73" i="172"/>
  <c r="AP238" i="172"/>
  <c r="AO212" i="172"/>
  <c r="AP248" i="172"/>
  <c r="AO134" i="172"/>
  <c r="AO182" i="172"/>
  <c r="AO230" i="172"/>
  <c r="AO348" i="172"/>
  <c r="AP198" i="172"/>
  <c r="AO57" i="172"/>
  <c r="AO228" i="172"/>
  <c r="AP285" i="172"/>
  <c r="AO87" i="172"/>
  <c r="AO35" i="172"/>
  <c r="AP92" i="172"/>
  <c r="AO192" i="172"/>
  <c r="AO135" i="172"/>
  <c r="AP76" i="172"/>
  <c r="AO195" i="172"/>
  <c r="AP77" i="172"/>
  <c r="AP205" i="172"/>
  <c r="AO318" i="172"/>
  <c r="AP333" i="172"/>
  <c r="AP169" i="172"/>
  <c r="AO340" i="172"/>
  <c r="AP355" i="172"/>
  <c r="AO334" i="172"/>
  <c r="AP343" i="172"/>
  <c r="AO279" i="172"/>
  <c r="AP300" i="172"/>
  <c r="AO295" i="172"/>
  <c r="AO343" i="172"/>
  <c r="AP249" i="172"/>
  <c r="AO183" i="172"/>
  <c r="AP14" i="172"/>
  <c r="AO188" i="172"/>
  <c r="AO121" i="172"/>
  <c r="AP338" i="172"/>
  <c r="AO78" i="172"/>
  <c r="AP52" i="172"/>
  <c r="AP140" i="172"/>
  <c r="AO325" i="172"/>
  <c r="AO262" i="172"/>
  <c r="AO66" i="172"/>
  <c r="AO38" i="172"/>
  <c r="AP104" i="172"/>
  <c r="AO329" i="172"/>
  <c r="AP144" i="172"/>
  <c r="AO97" i="172"/>
  <c r="AO227" i="172"/>
  <c r="AP9" i="172"/>
  <c r="AP105" i="172"/>
  <c r="AO274" i="172"/>
  <c r="AO157" i="172"/>
  <c r="AP243" i="172"/>
  <c r="AO397" i="172"/>
  <c r="AP186" i="172"/>
  <c r="AO268" i="172"/>
  <c r="AO150" i="172"/>
  <c r="AO198" i="172"/>
  <c r="AO246" i="172"/>
  <c r="AO330" i="172"/>
  <c r="AP359" i="172"/>
  <c r="AP392" i="172"/>
  <c r="AP297" i="172"/>
  <c r="AO322" i="172"/>
  <c r="AP399" i="172"/>
  <c r="AO360" i="172"/>
  <c r="AP111" i="172"/>
  <c r="AO376" i="172"/>
  <c r="AP308" i="172"/>
  <c r="AP177" i="172"/>
  <c r="AP362" i="172"/>
  <c r="AO27" i="172"/>
  <c r="AO74" i="172"/>
  <c r="AP64" i="172"/>
  <c r="AP61" i="172"/>
  <c r="AO235" i="172"/>
  <c r="AO382" i="172"/>
  <c r="AO271" i="172"/>
  <c r="AP364" i="172"/>
  <c r="AO335" i="172"/>
  <c r="AP141" i="172"/>
  <c r="AP10" i="172"/>
  <c r="AO205" i="172"/>
  <c r="AP301" i="172"/>
  <c r="AO290" i="172"/>
  <c r="AO231" i="172"/>
  <c r="AP255" i="172"/>
  <c r="AO117" i="172"/>
  <c r="AP127" i="172"/>
  <c r="AP55" i="172"/>
  <c r="AO12" i="172"/>
  <c r="AO108" i="172"/>
  <c r="AO278" i="172"/>
  <c r="AO248" i="172"/>
  <c r="AO381" i="172"/>
  <c r="AO394" i="172"/>
  <c r="AP384" i="172"/>
  <c r="AO300" i="172"/>
  <c r="AP377" i="172"/>
  <c r="AO311" i="172"/>
  <c r="AO359" i="172"/>
  <c r="AO100" i="172"/>
  <c r="AO96" i="172"/>
  <c r="AO61" i="172"/>
  <c r="AO378" i="172"/>
  <c r="AO84" i="172"/>
  <c r="AP42" i="172"/>
  <c r="AP203" i="172"/>
  <c r="AP176" i="172"/>
  <c r="AP192" i="172"/>
  <c r="AP349" i="172"/>
  <c r="AP337" i="172"/>
  <c r="AP325" i="172"/>
  <c r="AP23" i="172"/>
  <c r="AP240" i="172"/>
  <c r="AP50" i="172"/>
  <c r="AO77" i="172"/>
  <c r="AO130" i="172"/>
  <c r="AP19" i="172"/>
  <c r="AP259" i="172"/>
  <c r="AP182" i="172"/>
  <c r="AP321" i="172"/>
  <c r="AO339" i="172"/>
  <c r="AO223" i="172"/>
  <c r="AP73" i="172"/>
  <c r="AO51" i="172"/>
  <c r="AP44" i="172"/>
  <c r="AP395" i="172"/>
  <c r="AO106" i="172"/>
  <c r="AO154" i="172"/>
  <c r="AO250" i="172"/>
  <c r="AP388" i="172"/>
  <c r="AO380" i="172"/>
  <c r="AO209" i="172"/>
  <c r="AP199" i="172"/>
  <c r="AP201" i="172"/>
  <c r="AP194" i="172"/>
  <c r="AO174" i="172"/>
  <c r="AP8" i="172"/>
  <c r="AP218" i="172"/>
  <c r="AO288" i="172"/>
  <c r="AO225" i="172"/>
  <c r="AO284" i="172"/>
  <c r="AP323" i="172"/>
  <c r="AP287" i="172"/>
  <c r="AP501" i="172"/>
  <c r="AO141" i="172"/>
  <c r="AP143" i="172"/>
  <c r="AO180" i="172"/>
  <c r="AP367" i="172"/>
  <c r="AP40" i="172"/>
  <c r="AP69" i="172"/>
  <c r="AP345" i="172"/>
  <c r="AP183" i="172"/>
  <c r="AP27" i="172"/>
  <c r="AO115" i="172"/>
  <c r="AO37" i="172"/>
  <c r="AP156" i="172"/>
  <c r="AO124" i="172"/>
  <c r="AP139" i="172"/>
  <c r="AO317" i="172"/>
  <c r="AP302" i="172"/>
  <c r="AP374" i="172"/>
  <c r="AP313" i="172"/>
  <c r="AO338" i="172"/>
  <c r="AO319" i="172"/>
  <c r="AO208" i="172"/>
  <c r="AP150" i="172"/>
  <c r="AP217" i="172"/>
  <c r="AO342" i="172"/>
  <c r="AO71" i="172"/>
  <c r="AP247" i="172"/>
  <c r="AO216" i="172"/>
  <c r="AP57" i="172"/>
  <c r="AP284" i="172"/>
  <c r="AO127" i="172"/>
  <c r="AP336" i="172"/>
  <c r="AP157" i="172"/>
  <c r="AO222" i="172"/>
  <c r="AP283" i="172"/>
  <c r="AO383" i="172"/>
  <c r="AP237" i="172"/>
  <c r="AO167" i="172"/>
  <c r="AP371" i="172"/>
  <c r="AO236" i="172"/>
  <c r="AP147" i="172"/>
  <c r="AO41" i="172"/>
  <c r="AP107" i="172"/>
  <c r="AO211" i="172"/>
  <c r="AP152" i="172"/>
  <c r="AO324" i="172"/>
  <c r="AO293" i="172"/>
  <c r="AP100" i="172"/>
  <c r="AO229" i="172"/>
  <c r="AP13" i="172"/>
  <c r="AP241" i="172"/>
  <c r="AO160" i="172"/>
  <c r="AP224" i="172"/>
  <c r="AO153" i="172"/>
  <c r="AO144" i="172"/>
  <c r="AP99" i="172"/>
  <c r="AP62" i="172"/>
  <c r="AO159" i="172"/>
  <c r="AO22" i="172"/>
  <c r="AP87" i="172"/>
  <c r="AO249" i="172"/>
  <c r="AP226" i="172"/>
  <c r="AO156" i="172"/>
  <c r="AP295" i="172"/>
  <c r="AO103" i="172"/>
  <c r="AP231" i="172"/>
  <c r="AP17" i="172"/>
  <c r="AO251" i="172"/>
  <c r="AP387" i="172"/>
  <c r="AO163" i="172"/>
  <c r="AP133" i="172"/>
  <c r="AP299" i="172"/>
  <c r="AO202" i="172"/>
  <c r="AO60" i="172"/>
  <c r="AO221" i="172"/>
  <c r="AP38" i="172"/>
  <c r="AO40" i="172"/>
  <c r="AP137" i="172"/>
  <c r="AO171" i="172"/>
  <c r="AO10" i="172"/>
  <c r="AO64" i="172"/>
  <c r="AO109" i="172"/>
  <c r="AO357" i="172"/>
  <c r="AO47" i="172"/>
  <c r="AP112" i="172"/>
  <c r="AO237" i="172"/>
  <c r="AP158" i="172"/>
  <c r="AP342" i="172"/>
  <c r="AO308" i="172"/>
  <c r="AP106" i="172"/>
  <c r="AP21" i="172"/>
  <c r="AO184" i="172"/>
  <c r="AO282" i="172"/>
  <c r="AP166" i="172"/>
  <c r="AP256" i="172"/>
  <c r="AO199" i="172"/>
  <c r="AP305" i="172"/>
  <c r="AO313" i="172"/>
  <c r="AP292" i="172"/>
  <c r="AO341" i="172"/>
  <c r="AP368" i="172"/>
  <c r="AP286" i="172"/>
  <c r="AP390" i="172"/>
  <c r="AP332" i="172"/>
  <c r="AP370" i="172"/>
  <c r="AO315" i="172"/>
  <c r="AO363" i="172"/>
  <c r="AP221" i="172"/>
  <c r="AP211" i="172"/>
  <c r="AP36" i="172"/>
  <c r="AP75" i="172"/>
  <c r="AP245" i="172"/>
  <c r="AO102" i="172"/>
  <c r="AO201" i="172"/>
  <c r="AP113" i="172"/>
  <c r="AP314" i="172"/>
  <c r="AP78" i="172"/>
  <c r="AO152" i="172"/>
  <c r="AO297" i="172"/>
  <c r="AP56" i="172"/>
  <c r="AP114" i="172"/>
  <c r="AO239" i="172"/>
  <c r="AP162" i="172"/>
  <c r="AP324" i="172"/>
  <c r="AP25" i="172"/>
  <c r="AP121" i="172"/>
  <c r="AP263" i="172"/>
  <c r="AO189" i="172"/>
  <c r="AP288" i="172"/>
  <c r="AO169" i="172"/>
  <c r="AP136" i="172"/>
  <c r="AO204" i="172"/>
  <c r="AP315" i="172"/>
  <c r="AO110" i="172"/>
  <c r="AO158" i="172"/>
  <c r="AO206" i="172"/>
  <c r="AO254" i="172"/>
  <c r="AP372" i="172"/>
  <c r="AP394" i="172"/>
  <c r="AP335" i="172"/>
  <c r="AO373" i="172"/>
  <c r="AP373" i="172"/>
  <c r="AO367" i="172"/>
  <c r="AO391" i="172"/>
  <c r="AP165" i="172"/>
  <c r="AO69" i="172"/>
  <c r="AO21" i="172"/>
  <c r="AP171" i="172"/>
  <c r="AO49" i="172"/>
  <c r="AP289" i="172"/>
  <c r="AO264" i="172"/>
  <c r="AO125" i="172"/>
  <c r="AO241" i="172"/>
  <c r="AP123" i="172"/>
  <c r="AP96" i="172"/>
  <c r="AP210" i="172"/>
  <c r="AO54" i="172"/>
  <c r="AO244" i="172"/>
  <c r="AO14" i="172"/>
  <c r="AO50" i="172"/>
  <c r="AO86" i="172"/>
  <c r="AO164" i="172"/>
  <c r="AP164" i="172"/>
  <c r="AO79" i="172"/>
  <c r="AO261" i="172"/>
  <c r="AP33" i="172"/>
  <c r="AP81" i="172"/>
  <c r="AO215" i="172"/>
  <c r="AP270" i="172"/>
  <c r="AO320" i="172"/>
  <c r="AP108" i="172"/>
  <c r="AP197" i="172"/>
  <c r="AO243" i="172"/>
  <c r="AO175" i="172"/>
  <c r="AP220" i="172"/>
  <c r="AP272" i="172"/>
  <c r="AP212" i="172"/>
  <c r="AO253" i="172"/>
  <c r="AP344" i="172"/>
  <c r="AO353" i="172"/>
  <c r="AP307" i="172"/>
  <c r="AO114" i="172"/>
  <c r="AO138" i="172"/>
  <c r="AO162" i="172"/>
  <c r="AO186" i="172"/>
  <c r="AO210" i="172"/>
  <c r="AO234" i="172"/>
  <c r="AO258" i="172"/>
  <c r="AO350" i="172"/>
  <c r="AP330" i="172"/>
  <c r="AP378" i="172"/>
  <c r="AP400" i="172"/>
  <c r="AO316" i="172"/>
  <c r="J400" i="172" a="1"/>
  <c r="J400" i="172"/>
  <c r="J378" i="172" a="1"/>
  <c r="J378" i="172"/>
  <c r="J330" i="172" a="1"/>
  <c r="J330" i="172"/>
  <c r="J307" i="172" a="1"/>
  <c r="J307" i="172"/>
  <c r="J344" i="172" a="1"/>
  <c r="J344" i="172"/>
  <c r="J212" i="172" a="1"/>
  <c r="J212" i="172"/>
  <c r="J272" i="172" a="1"/>
  <c r="J272" i="172"/>
  <c r="J220" i="172" a="1"/>
  <c r="J220" i="172"/>
  <c r="J197" i="172" a="1"/>
  <c r="J197" i="172"/>
  <c r="J108" i="172" a="1"/>
  <c r="J108" i="172"/>
  <c r="J270" i="172" a="1"/>
  <c r="J270" i="172"/>
  <c r="J81" i="172" a="1"/>
  <c r="J81" i="172"/>
  <c r="J33" i="172" a="1"/>
  <c r="J33" i="172"/>
  <c r="J164" i="172" a="1"/>
  <c r="J164" i="172"/>
  <c r="J210" i="172" a="1"/>
  <c r="J210" i="172"/>
  <c r="J96" i="172" a="1"/>
  <c r="J96" i="172"/>
  <c r="J123" i="172" a="1"/>
  <c r="J123" i="172"/>
  <c r="J289" i="172" a="1"/>
  <c r="J289" i="172"/>
  <c r="J171" i="172" a="1"/>
  <c r="J171" i="172"/>
  <c r="J165" i="172" a="1"/>
  <c r="J165" i="172"/>
  <c r="J373" i="172" a="1"/>
  <c r="J373" i="172"/>
  <c r="J335" i="172" a="1"/>
  <c r="J335" i="172"/>
  <c r="J394" i="172" a="1"/>
  <c r="J394" i="172"/>
  <c r="J372" i="172" a="1"/>
  <c r="J372" i="172"/>
  <c r="J315" i="172" a="1"/>
  <c r="J315" i="172"/>
  <c r="J136" i="172" a="1"/>
  <c r="J136" i="172"/>
  <c r="J288" i="172" a="1"/>
  <c r="J288" i="172"/>
  <c r="J263" i="172" a="1"/>
  <c r="J263" i="172"/>
  <c r="J121" i="172" a="1"/>
  <c r="J121" i="172"/>
  <c r="J25" i="172" a="1"/>
  <c r="J25" i="172"/>
  <c r="J324" i="172" a="1"/>
  <c r="J324" i="172"/>
  <c r="J162" i="172" a="1"/>
  <c r="J162" i="172"/>
  <c r="J114" i="172" a="1"/>
  <c r="J114" i="172"/>
  <c r="J56" i="172" a="1"/>
  <c r="J56" i="172"/>
  <c r="J78" i="172" a="1"/>
  <c r="J78" i="172"/>
  <c r="J314" i="172" a="1"/>
  <c r="J314" i="172"/>
  <c r="J113" i="172" a="1"/>
  <c r="J113" i="172"/>
  <c r="J245" i="172" a="1"/>
  <c r="J245" i="172"/>
  <c r="J75" i="172" a="1"/>
  <c r="J75" i="172"/>
  <c r="J36" i="172" a="1"/>
  <c r="J36" i="172"/>
  <c r="J211" i="172" a="1"/>
  <c r="J211" i="172"/>
  <c r="J221" i="172" a="1"/>
  <c r="J221" i="172"/>
  <c r="J370" i="172" a="1"/>
  <c r="J370" i="172"/>
  <c r="J332" i="172" a="1"/>
  <c r="J332" i="172"/>
  <c r="J390" i="172" a="1"/>
  <c r="J390" i="172"/>
  <c r="J286" i="172" a="1"/>
  <c r="J286" i="172"/>
  <c r="J368" i="172" a="1"/>
  <c r="J368" i="172"/>
  <c r="J292" i="172" a="1"/>
  <c r="J292" i="172"/>
  <c r="J305" i="172" a="1"/>
  <c r="J305" i="172"/>
  <c r="J256" i="172" a="1"/>
  <c r="J256" i="172"/>
  <c r="J166" i="172" a="1"/>
  <c r="J166" i="172"/>
  <c r="J21" i="172" a="1"/>
  <c r="J21" i="172"/>
  <c r="J106" i="172" a="1"/>
  <c r="J106" i="172"/>
  <c r="J342" i="172" a="1"/>
  <c r="J342" i="172"/>
  <c r="J158" i="172" a="1"/>
  <c r="J158" i="172"/>
  <c r="J112" i="172" a="1"/>
  <c r="J112" i="172"/>
  <c r="J137" i="172" a="1"/>
  <c r="J137" i="172"/>
  <c r="J38" i="172" a="1"/>
  <c r="J38" i="172"/>
  <c r="J299" i="172" a="1"/>
  <c r="J299" i="172"/>
  <c r="J133" i="172" a="1"/>
  <c r="J133" i="172"/>
  <c r="J387" i="172" a="1"/>
  <c r="J387" i="172"/>
  <c r="J17" i="172" a="1"/>
  <c r="J17" i="172"/>
  <c r="J231" i="172" a="1"/>
  <c r="J231" i="172"/>
  <c r="J295" i="172" a="1"/>
  <c r="J295" i="172"/>
  <c r="J226" i="172" a="1"/>
  <c r="J226" i="172"/>
  <c r="J87" i="172" a="1"/>
  <c r="J87" i="172"/>
  <c r="J62" i="172" a="1"/>
  <c r="J62" i="172"/>
  <c r="J99" i="172" a="1"/>
  <c r="J99" i="172"/>
  <c r="J224" i="172" a="1"/>
  <c r="J224" i="172"/>
  <c r="J241" i="172" a="1"/>
  <c r="J241" i="172"/>
  <c r="J13" i="172" a="1"/>
  <c r="J13" i="172"/>
  <c r="J100" i="172" a="1"/>
  <c r="J100" i="172"/>
  <c r="J152" i="172" a="1"/>
  <c r="J152" i="172"/>
  <c r="J107" i="172" a="1"/>
  <c r="J107" i="172"/>
  <c r="J147" i="172" a="1"/>
  <c r="J147" i="172"/>
  <c r="J371" i="172" a="1"/>
  <c r="J371" i="172"/>
  <c r="J237" i="172" a="1"/>
  <c r="J237" i="172"/>
  <c r="J283" i="172" a="1"/>
  <c r="J283" i="172"/>
  <c r="J157" i="172" a="1"/>
  <c r="J157" i="172"/>
  <c r="J336" i="172" a="1"/>
  <c r="J336" i="172"/>
  <c r="J284" i="172" a="1"/>
  <c r="J284" i="172"/>
  <c r="J57" i="172" a="1"/>
  <c r="J57" i="172"/>
  <c r="J247" i="172" a="1"/>
  <c r="J247" i="172"/>
  <c r="J217" i="172" a="1"/>
  <c r="J217" i="172"/>
  <c r="J150" i="172" a="1"/>
  <c r="J150" i="172"/>
  <c r="J313" i="172" a="1"/>
  <c r="J313" i="172"/>
  <c r="J374" i="172" a="1"/>
  <c r="J374" i="172"/>
  <c r="J302" i="172" a="1"/>
  <c r="J302" i="172"/>
  <c r="J139" i="172" a="1"/>
  <c r="J139" i="172"/>
  <c r="J156" i="172" a="1"/>
  <c r="J156" i="172"/>
  <c r="J27" i="172" a="1"/>
  <c r="J27" i="172"/>
  <c r="J183" i="172" a="1"/>
  <c r="J183" i="172"/>
  <c r="J345" i="172" a="1"/>
  <c r="J345" i="172"/>
  <c r="J69" i="172" a="1"/>
  <c r="J69" i="172"/>
  <c r="J40" i="172" a="1"/>
  <c r="J40" i="172"/>
  <c r="J367" i="172" a="1"/>
  <c r="J367" i="172"/>
  <c r="J143" i="172" a="1"/>
  <c r="J143" i="172"/>
  <c r="J287" i="172" a="1"/>
  <c r="J287" i="172"/>
  <c r="J323" i="172" a="1"/>
  <c r="J323" i="172"/>
  <c r="J218" i="172" a="1"/>
  <c r="J218" i="172"/>
  <c r="J8" i="172" a="1"/>
  <c r="J8" i="172"/>
  <c r="J194" i="172" a="1"/>
  <c r="J194" i="172"/>
  <c r="J201" i="172" a="1"/>
  <c r="J201" i="172"/>
  <c r="J199" i="172" a="1"/>
  <c r="J199" i="172"/>
  <c r="J388" i="172" a="1"/>
  <c r="J388" i="172"/>
  <c r="J395" i="172" a="1"/>
  <c r="J395" i="172"/>
  <c r="J44" i="172" a="1"/>
  <c r="J44" i="172"/>
  <c r="J73" i="172" a="1"/>
  <c r="J73" i="172"/>
  <c r="J321" i="172" a="1"/>
  <c r="J321" i="172"/>
  <c r="J182" i="172" a="1"/>
  <c r="J182" i="172"/>
  <c r="J259" i="172" a="1"/>
  <c r="J259" i="172"/>
  <c r="J19" i="172" a="1"/>
  <c r="J19" i="172"/>
  <c r="J50" i="172" a="1"/>
  <c r="J50" i="172"/>
  <c r="J240" i="172" a="1"/>
  <c r="J240" i="172"/>
  <c r="J23" i="172" a="1"/>
  <c r="J23" i="172"/>
  <c r="J325" i="172" a="1"/>
  <c r="J325" i="172"/>
  <c r="J337" i="172" a="1"/>
  <c r="J337" i="172"/>
  <c r="J349" i="172" a="1"/>
  <c r="J349" i="172"/>
  <c r="J192" i="172" a="1"/>
  <c r="J192" i="172"/>
  <c r="J176" i="172" a="1"/>
  <c r="J176" i="172"/>
  <c r="J203" i="172" a="1"/>
  <c r="J203" i="172"/>
  <c r="J42" i="172" a="1"/>
  <c r="J42" i="172"/>
  <c r="J377" i="172" a="1"/>
  <c r="J377" i="172"/>
  <c r="J384" i="172" a="1"/>
  <c r="J384" i="172"/>
  <c r="J55" i="172" a="1"/>
  <c r="J55" i="172"/>
  <c r="J127" i="172" a="1"/>
  <c r="J127" i="172"/>
  <c r="J255" i="172" a="1"/>
  <c r="J255" i="172"/>
  <c r="J301" i="172" a="1"/>
  <c r="J301" i="172"/>
  <c r="J10" i="172" a="1"/>
  <c r="J10" i="172"/>
  <c r="J141" i="172" a="1"/>
  <c r="J141" i="172"/>
  <c r="J364" i="172" a="1"/>
  <c r="J364" i="172"/>
  <c r="J61" i="172" a="1"/>
  <c r="J61" i="172"/>
  <c r="J64" i="172" a="1"/>
  <c r="J64" i="172"/>
  <c r="J362" i="172" a="1"/>
  <c r="J362" i="172"/>
  <c r="J177" i="172" a="1"/>
  <c r="J177" i="172"/>
  <c r="J308" i="172" a="1"/>
  <c r="J308" i="172"/>
  <c r="J111" i="172" a="1"/>
  <c r="J111" i="172"/>
  <c r="J399" i="172" a="1"/>
  <c r="J399" i="172"/>
  <c r="J297" i="172" a="1"/>
  <c r="J297" i="172"/>
  <c r="J392" i="172" a="1"/>
  <c r="J392" i="172"/>
  <c r="J359" i="172" a="1"/>
  <c r="J359" i="172"/>
  <c r="J186" i="172" a="1"/>
  <c r="J186" i="172"/>
  <c r="J243" i="172" a="1"/>
  <c r="J243" i="172"/>
  <c r="J105" i="172" a="1"/>
  <c r="J105" i="172"/>
  <c r="J9" i="172" a="1"/>
  <c r="J9" i="172"/>
  <c r="J144" i="172" a="1"/>
  <c r="J144" i="172"/>
  <c r="J104" i="172" a="1"/>
  <c r="J104" i="172"/>
  <c r="J140" i="172" a="1"/>
  <c r="J140" i="172"/>
  <c r="J52" i="172" a="1"/>
  <c r="J52" i="172"/>
  <c r="J338" i="172" a="1"/>
  <c r="J338" i="172"/>
  <c r="J14" i="172" a="1"/>
  <c r="J14" i="172"/>
  <c r="J249" i="172" a="1"/>
  <c r="J249" i="172"/>
  <c r="J300" i="172" a="1"/>
  <c r="J300" i="172"/>
  <c r="J343" i="172" a="1"/>
  <c r="J343" i="172"/>
  <c r="J355" i="172" a="1"/>
  <c r="J355" i="172"/>
  <c r="J169" i="172" a="1"/>
  <c r="J169" i="172"/>
  <c r="J333" i="172" a="1"/>
  <c r="J333" i="172"/>
  <c r="J205" i="172" a="1"/>
  <c r="J205" i="172"/>
  <c r="J77" i="172" a="1"/>
  <c r="J77" i="172"/>
  <c r="J76" i="172" a="1"/>
  <c r="J76" i="172"/>
  <c r="J92" i="172" a="1"/>
  <c r="J92" i="172"/>
  <c r="J285" i="172" a="1"/>
  <c r="J285" i="172"/>
  <c r="J198" i="172" a="1"/>
  <c r="J198" i="172"/>
  <c r="J248" i="172" a="1"/>
  <c r="J248" i="172"/>
  <c r="J238" i="172" a="1"/>
  <c r="J238" i="172"/>
  <c r="J254" i="172" a="1"/>
  <c r="J254" i="172"/>
  <c r="J119" i="172" a="1"/>
  <c r="J119" i="172"/>
  <c r="J32" i="172" a="1"/>
  <c r="J32" i="172"/>
  <c r="J115" i="172" a="1"/>
  <c r="J115" i="172"/>
  <c r="J161" i="172" a="1"/>
  <c r="J161" i="172"/>
  <c r="J242" i="172" a="1"/>
  <c r="J242" i="172"/>
  <c r="J334" i="172" a="1"/>
  <c r="J334" i="172"/>
  <c r="J346" i="172" a="1"/>
  <c r="J346" i="172"/>
  <c r="J163" i="172" a="1"/>
  <c r="J163" i="172"/>
  <c r="J207" i="172" a="1"/>
  <c r="J207" i="172"/>
  <c r="J233" i="172" a="1"/>
  <c r="J233" i="172"/>
  <c r="J322" i="172" a="1"/>
  <c r="J322" i="172"/>
  <c r="J109" i="172" a="1"/>
  <c r="J109" i="172"/>
  <c r="J80" i="172" a="1"/>
  <c r="J80" i="172"/>
  <c r="J20" i="172" a="1"/>
  <c r="J20" i="172"/>
  <c r="J261" i="172" a="1"/>
  <c r="J261" i="172"/>
  <c r="J398" i="172" a="1"/>
  <c r="J398" i="172"/>
  <c r="J160" i="172" a="1"/>
  <c r="J160" i="172"/>
  <c r="J290" i="172" a="1"/>
  <c r="J290" i="172"/>
  <c r="J65" i="172" a="1"/>
  <c r="J65" i="172"/>
  <c r="J103" i="172" a="1"/>
  <c r="J103" i="172"/>
  <c r="J381" i="172" a="1"/>
  <c r="J381" i="172"/>
  <c r="J187" i="172" a="1"/>
  <c r="J187" i="172"/>
  <c r="J168" i="172" a="1"/>
  <c r="J168" i="172"/>
  <c r="J34" i="172" a="1"/>
  <c r="J34" i="172"/>
  <c r="J29" i="172" a="1"/>
  <c r="J29" i="172"/>
  <c r="J68" i="172" a="1"/>
  <c r="J68" i="172"/>
  <c r="J159" i="172" a="1"/>
  <c r="J159" i="172"/>
  <c r="J94" i="172" a="1"/>
  <c r="J94" i="172"/>
  <c r="J179" i="172" a="1"/>
  <c r="J179" i="172"/>
  <c r="J393" i="172" a="1"/>
  <c r="J393" i="172"/>
  <c r="J303" i="172" a="1"/>
  <c r="J303" i="172"/>
  <c r="J380" i="172" a="1"/>
  <c r="J380" i="172"/>
  <c r="J341" i="172" a="1"/>
  <c r="J341" i="172"/>
  <c r="J110" i="172" a="1"/>
  <c r="J110" i="172"/>
  <c r="J173" i="172" a="1"/>
  <c r="J173" i="172"/>
  <c r="J281" i="172" a="1"/>
  <c r="J281" i="172"/>
  <c r="J246" i="172" a="1"/>
  <c r="J246" i="172"/>
  <c r="J125" i="172" a="1"/>
  <c r="J125" i="172"/>
  <c r="J47" i="172" a="1"/>
  <c r="J47" i="172"/>
  <c r="J12" i="172" a="1"/>
  <c r="J12" i="172"/>
  <c r="J129" i="172" a="1"/>
  <c r="J129" i="172"/>
  <c r="J209" i="172" a="1"/>
  <c r="J209" i="172"/>
  <c r="J267" i="172" a="1"/>
  <c r="J267" i="172"/>
  <c r="J385" i="172" a="1"/>
  <c r="J385" i="172"/>
  <c r="J277" i="172" a="1"/>
  <c r="J277" i="172"/>
  <c r="J250" i="172" a="1"/>
  <c r="J250" i="172"/>
  <c r="J116" i="172" a="1"/>
  <c r="J116" i="172"/>
  <c r="J37" i="172" a="1"/>
  <c r="J37" i="172"/>
  <c r="J85" i="172" a="1"/>
  <c r="J85" i="172"/>
  <c r="J327" i="172" a="1"/>
  <c r="J327" i="172"/>
  <c r="J202" i="172" a="1"/>
  <c r="J202" i="172"/>
  <c r="J142" i="172" a="1"/>
  <c r="J142" i="172"/>
  <c r="J178" i="172" a="1"/>
  <c r="J178" i="172"/>
  <c r="J274" i="172" a="1"/>
  <c r="J274" i="172"/>
  <c r="J145" i="172" a="1"/>
  <c r="J145" i="172"/>
  <c r="J172" i="172" a="1"/>
  <c r="J172" i="172"/>
  <c r="J366" i="172" a="1"/>
  <c r="J366" i="172"/>
  <c r="J309" i="172" a="1"/>
  <c r="J309" i="172"/>
  <c r="J296" i="172" a="1"/>
  <c r="J296" i="172"/>
  <c r="J383" i="172" a="1"/>
  <c r="J383" i="172"/>
  <c r="J386" i="172" a="1"/>
  <c r="J386" i="172"/>
  <c r="J170" i="172" a="1"/>
  <c r="J170" i="172"/>
  <c r="J252" i="172" a="1"/>
  <c r="J252" i="172"/>
  <c r="J126" i="172" a="1"/>
  <c r="J126" i="172"/>
  <c r="J41" i="172" a="1"/>
  <c r="J41" i="172"/>
  <c r="J89" i="172" a="1"/>
  <c r="J89" i="172"/>
  <c r="J223" i="172" a="1"/>
  <c r="J223" i="172"/>
  <c r="J251" i="172" a="1"/>
  <c r="J251" i="172"/>
  <c r="J225" i="172" a="1"/>
  <c r="J225" i="172"/>
  <c r="J276" i="172" a="1"/>
  <c r="J276" i="172"/>
  <c r="J369" i="172" a="1"/>
  <c r="J369" i="172"/>
  <c r="J175" i="172" a="1"/>
  <c r="J175" i="172"/>
  <c r="J258" i="172" a="1"/>
  <c r="J258" i="172"/>
  <c r="J360" i="172" a="1"/>
  <c r="J360" i="172"/>
  <c r="J339" i="172" a="1"/>
  <c r="J339" i="172"/>
  <c r="J382" i="172" a="1"/>
  <c r="J382" i="172"/>
  <c r="J352" i="172" a="1"/>
  <c r="J352" i="172"/>
  <c r="J361" i="172" a="1"/>
  <c r="J361" i="172"/>
  <c r="J348" i="172" a="1"/>
  <c r="J348" i="172"/>
  <c r="J30" i="172" a="1"/>
  <c r="J30" i="172"/>
  <c r="J273" i="172" a="1"/>
  <c r="J273" i="172"/>
  <c r="J15" i="172" a="1"/>
  <c r="J15" i="172"/>
  <c r="J213" i="172" a="1"/>
  <c r="J213" i="172"/>
  <c r="J174" i="172" a="1"/>
  <c r="J174" i="172"/>
  <c r="J379" i="172" a="1"/>
  <c r="J379" i="172"/>
  <c r="J88" i="172" a="1"/>
  <c r="J88" i="172"/>
  <c r="J214" i="172" a="1"/>
  <c r="J214" i="172"/>
  <c r="J356" i="172" a="1"/>
  <c r="J356" i="172"/>
  <c r="J45" i="172" a="1"/>
  <c r="J45" i="172"/>
  <c r="J93" i="172" a="1"/>
  <c r="J93" i="172"/>
  <c r="J228" i="172" a="1"/>
  <c r="J228" i="172"/>
  <c r="J318" i="172" a="1"/>
  <c r="J318" i="172"/>
  <c r="J184" i="172" a="1"/>
  <c r="J184" i="172"/>
  <c r="J230" i="172" a="1"/>
  <c r="J230" i="172"/>
  <c r="J278" i="172" a="1"/>
  <c r="J278" i="172"/>
  <c r="J375" i="172" a="1"/>
  <c r="J375" i="172"/>
  <c r="J148" i="172" a="1"/>
  <c r="J148" i="172"/>
  <c r="J365" i="172" a="1"/>
  <c r="J365" i="172"/>
  <c r="J317" i="172" a="1"/>
  <c r="J317" i="172"/>
  <c r="J268" i="172" a="1"/>
  <c r="J268" i="172"/>
  <c r="J306" i="172" a="1"/>
  <c r="J306" i="172"/>
  <c r="J354" i="172" a="1"/>
  <c r="J354" i="172"/>
  <c r="J271" i="172" a="1"/>
  <c r="J271" i="172"/>
  <c r="J351" i="172" a="1"/>
  <c r="J351" i="172"/>
  <c r="J389" i="172" a="1"/>
  <c r="J389" i="172"/>
  <c r="J347" i="172" a="1"/>
  <c r="J347" i="172"/>
  <c r="J257" i="172" a="1"/>
  <c r="J257" i="172"/>
  <c r="J117" i="172" a="1"/>
  <c r="J117" i="172"/>
  <c r="J66" i="172" a="1"/>
  <c r="J66" i="172"/>
  <c r="J58" i="172" a="1"/>
  <c r="J58" i="172"/>
  <c r="J180" i="172" a="1"/>
  <c r="J180" i="172"/>
  <c r="J86" i="172" a="1"/>
  <c r="J86" i="172"/>
  <c r="J83" i="172" a="1"/>
  <c r="J83" i="172"/>
  <c r="J72" i="172" a="1"/>
  <c r="J72" i="172"/>
  <c r="J63" i="172" a="1"/>
  <c r="J63" i="172"/>
  <c r="J18" i="172" a="1"/>
  <c r="J18" i="172"/>
  <c r="J253" i="172" a="1"/>
  <c r="J253" i="172"/>
  <c r="J235" i="172" a="1"/>
  <c r="J235" i="172"/>
  <c r="J155" i="172" a="1"/>
  <c r="J155" i="172"/>
  <c r="J120" i="172" a="1"/>
  <c r="J120" i="172"/>
  <c r="J24" i="172" a="1"/>
  <c r="J24" i="172"/>
  <c r="J312" i="172" a="1"/>
  <c r="J312" i="172"/>
  <c r="J264" i="172" a="1"/>
  <c r="J264" i="172"/>
  <c r="J260" i="172" a="1"/>
  <c r="J260" i="172"/>
  <c r="J208" i="172" a="1"/>
  <c r="J208" i="172"/>
  <c r="J191" i="172" a="1"/>
  <c r="J191" i="172"/>
  <c r="J43" i="172" a="1"/>
  <c r="J43" i="172"/>
  <c r="J227" i="172" a="1"/>
  <c r="J227" i="172"/>
  <c r="J204" i="172" a="1"/>
  <c r="J204" i="172"/>
  <c r="J128" i="172" a="1"/>
  <c r="J128" i="172"/>
  <c r="J91" i="172" a="1"/>
  <c r="J91" i="172"/>
  <c r="J26" i="172" a="1"/>
  <c r="J26" i="172"/>
  <c r="J196" i="172" a="1"/>
  <c r="J196" i="172"/>
  <c r="J74" i="172" a="1"/>
  <c r="J74" i="172"/>
  <c r="J84" i="172" a="1"/>
  <c r="J84" i="172"/>
  <c r="J70" i="172" a="1"/>
  <c r="J70" i="172"/>
  <c r="J59" i="172" a="1"/>
  <c r="J59" i="172"/>
  <c r="J28" i="172" a="1"/>
  <c r="J28" i="172"/>
  <c r="J353" i="172" a="1"/>
  <c r="J353" i="172"/>
  <c r="J340" i="172" a="1"/>
  <c r="J340" i="172"/>
  <c r="J331" i="172" a="1"/>
  <c r="J331" i="172"/>
  <c r="J219" i="172" a="1"/>
  <c r="J219" i="172"/>
  <c r="J206" i="172" a="1"/>
  <c r="J206" i="172"/>
  <c r="J90" i="172" a="1"/>
  <c r="J90" i="172"/>
  <c r="J48" i="172" a="1"/>
  <c r="J48" i="172"/>
  <c r="J167" i="172" a="1"/>
  <c r="J167" i="172"/>
  <c r="J190" i="172" a="1"/>
  <c r="J190" i="172"/>
  <c r="J298" i="172" a="1"/>
  <c r="J298" i="172"/>
  <c r="J294" i="172" a="1"/>
  <c r="J294" i="172"/>
  <c r="J229" i="172" a="1"/>
  <c r="J229" i="172"/>
  <c r="J16" i="172" a="1"/>
  <c r="J16" i="172"/>
  <c r="J232" i="172" a="1"/>
  <c r="J232" i="172"/>
  <c r="J193" i="172" a="1"/>
  <c r="J193" i="172"/>
  <c r="J118" i="172" a="1"/>
  <c r="J118" i="172"/>
  <c r="J11" i="172" a="1"/>
  <c r="J11" i="172"/>
  <c r="J244" i="172" a="1"/>
  <c r="J244" i="172"/>
  <c r="J39" i="172" a="1"/>
  <c r="J39" i="172"/>
  <c r="J291" i="172" a="1"/>
  <c r="J291" i="172"/>
  <c r="J95" i="172" a="1"/>
  <c r="J95" i="172"/>
  <c r="J54" i="172" a="1"/>
  <c r="J54" i="172"/>
  <c r="J266" i="172" a="1"/>
  <c r="J266" i="172"/>
  <c r="J269" i="172" a="1"/>
  <c r="J269" i="172"/>
  <c r="J67" i="172" a="1"/>
  <c r="J67" i="172"/>
  <c r="J60" i="172" a="1"/>
  <c r="J60" i="172"/>
  <c r="J102" i="172" a="1"/>
  <c r="J102" i="172"/>
  <c r="J200" i="172" a="1"/>
  <c r="J200" i="172"/>
  <c r="J134" i="172" a="1"/>
  <c r="J134" i="172"/>
  <c r="J79" i="172" a="1"/>
  <c r="J79" i="172"/>
  <c r="J132" i="172" a="1"/>
  <c r="J132" i="172"/>
  <c r="J234" i="172" a="1"/>
  <c r="J234" i="172"/>
  <c r="J188" i="172" a="1"/>
  <c r="J188" i="172"/>
  <c r="J216" i="172" a="1"/>
  <c r="J216" i="172"/>
  <c r="J293" i="172" a="1"/>
  <c r="J293" i="172"/>
  <c r="J49" i="172" a="1"/>
  <c r="J49" i="172"/>
  <c r="J97" i="172" a="1"/>
  <c r="J97" i="172"/>
  <c r="J320" i="172" a="1"/>
  <c r="J320" i="172"/>
  <c r="J151" i="172" a="1"/>
  <c r="J151" i="172"/>
  <c r="J181" i="172" a="1"/>
  <c r="J181" i="172"/>
  <c r="J222" i="172" a="1"/>
  <c r="J222" i="172"/>
  <c r="J358" i="172" a="1"/>
  <c r="J358" i="172"/>
  <c r="J350" i="172" a="1"/>
  <c r="J350" i="172"/>
  <c r="J311" i="172" a="1"/>
  <c r="J311" i="172"/>
  <c r="J329" i="172" a="1"/>
  <c r="J329" i="172"/>
  <c r="J275" i="172" a="1"/>
  <c r="J275" i="172"/>
  <c r="J316" i="172" a="1"/>
  <c r="J316" i="172"/>
  <c r="J98" i="172" a="1"/>
  <c r="J98" i="172"/>
  <c r="J46" i="172" a="1"/>
  <c r="J46" i="172"/>
  <c r="J130" i="172" a="1"/>
  <c r="J130" i="172"/>
  <c r="J326" i="172" a="1"/>
  <c r="J326" i="172"/>
  <c r="J310" i="172" a="1"/>
  <c r="J310" i="172"/>
  <c r="J135" i="172" a="1"/>
  <c r="J135" i="172"/>
  <c r="J195" i="172" a="1"/>
  <c r="J195" i="172"/>
  <c r="J82" i="172" a="1"/>
  <c r="J82" i="172"/>
  <c r="J304" i="172" a="1"/>
  <c r="J304" i="172"/>
  <c r="J131" i="172" a="1"/>
  <c r="J131" i="172"/>
  <c r="J262" i="172" a="1"/>
  <c r="J262" i="172"/>
  <c r="J122" i="172" a="1"/>
  <c r="J122" i="172"/>
  <c r="J51" i="172" a="1"/>
  <c r="J51" i="172"/>
  <c r="J153" i="172" a="1"/>
  <c r="J153" i="172"/>
  <c r="J185" i="172" a="1"/>
  <c r="J185" i="172"/>
  <c r="J146" i="172" a="1"/>
  <c r="J146" i="172"/>
  <c r="J31" i="172" a="1"/>
  <c r="J31" i="172"/>
  <c r="J35" i="172" a="1"/>
  <c r="J35" i="172"/>
  <c r="J149" i="172" a="1"/>
  <c r="J149" i="172"/>
  <c r="J236" i="172" a="1"/>
  <c r="J236" i="172"/>
  <c r="J71" i="172" a="1"/>
  <c r="J71" i="172"/>
  <c r="J138" i="172" a="1"/>
  <c r="J138" i="172"/>
  <c r="J239" i="172" a="1"/>
  <c r="J239" i="172"/>
  <c r="J22" i="172" a="1"/>
  <c r="J22" i="172"/>
  <c r="J53" i="172" a="1"/>
  <c r="J53" i="172"/>
  <c r="J101" i="172" a="1"/>
  <c r="J101" i="172"/>
  <c r="J124" i="172" a="1"/>
  <c r="J124" i="172"/>
  <c r="J215" i="172" a="1"/>
  <c r="J215" i="172"/>
  <c r="J154" i="172" a="1"/>
  <c r="J154" i="172"/>
  <c r="J189" i="172" a="1"/>
  <c r="J189" i="172"/>
  <c r="J282" i="172" a="1"/>
  <c r="J282" i="172"/>
  <c r="J391" i="172" a="1"/>
  <c r="J391" i="172"/>
  <c r="J280" i="172" a="1"/>
  <c r="J280" i="172"/>
  <c r="J397" i="172" a="1"/>
  <c r="J397" i="172"/>
  <c r="J265" i="172" a="1"/>
  <c r="J265" i="172"/>
  <c r="J328" i="172" a="1"/>
  <c r="J328" i="172"/>
  <c r="J376" i="172" a="1"/>
  <c r="J376" i="172"/>
  <c r="J363" i="172" a="1"/>
  <c r="J363" i="172"/>
  <c r="J279" i="172" a="1"/>
  <c r="J279" i="172"/>
  <c r="J319" i="172" a="1"/>
  <c r="J319" i="172"/>
  <c r="J396" i="172" a="1"/>
  <c r="J396" i="172"/>
  <c r="J357" i="172" a="1"/>
  <c r="J357" i="17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<sst xmlns="http://schemas.openxmlformats.org/spreadsheetml/2006/main" count="348" uniqueCount="284">
  <si>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</si>
  <si>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</si>
  <si>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</si>
  <si>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</si>
  <si>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</si>
  <si>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</si>
  <si>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</si>
  <si>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</si>
  <si>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</si>
  <si>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</si>
  <si>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</si>
  <si>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</si>
  <si>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</si>
  <si>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</si>
  <si>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</si>
  <si>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</si>
  <si>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</si>
  <si>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</si>
  <si>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</si>
  <si>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</si>
  <si>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</si>
  <si>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</si>
  <si>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</si>
  <si>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</si>
  <si>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</si>
  <si>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</si>
  <si>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</si>
  <si>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</si>
  <si>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</si>
  <si>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</si>
  <si>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</si>
  <si>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</si>
  <si>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</si>
  <si>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</si>
  <si>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</si>
  <si>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</si>
  <si>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</si>
  <si>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</si>
  <si>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</si>
  <si>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</si>
  <si>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</si>
  <si>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</si>
  <si>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</si>
  <si>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</si>
  <si>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</si>
  <si>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</si>
  <si>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</si>
  <si>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</si>
  <si>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</si>
  <si>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</si>
  <si>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</si>
  <si>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</si>
  <si>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</si>
  <si>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</si>
  <si>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</si>
  <si>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</si>
  <si>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</si>
  <si>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</si>
  <si>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</si>
  <si>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</si>
  <si>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</si>
  <si>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</si>
  <si>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</si>
  <si>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</si>
  <si>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</si>
  <si>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</si>
  <si>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</si>
  <si>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</si>
  <si>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</si>
  <si>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</si>
  <si>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</si>
  <si>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</si>
  <si>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</si>
  <si>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</si>
  <si>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</si>
  <si>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</si>
  <si>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</si>
  <si>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</si>
  <si>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</si>
  <si>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</si>
  <si>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</si>
  <si>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</si>
  <si>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</si>
  <si>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</si>
  <si>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</si>
  <si>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</si>
  <si>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</si>
  <si>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</si>
  <si>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</si>
  <si>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</si>
  <si>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</si>
  <si>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</si>
  <si>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</si>
  <si>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</si>
  <si>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</si>
  <si>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</si>
  <si>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</si>
  <si>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</si>
  <si>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</si>
  <si>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</si>
  <si>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</si>
  <si>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</si>
  <si>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</si>
  <si>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</si>
  <si>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</si>
  <si>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</si>
  <si>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</si>
  <si>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</si>
  <si>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</si>
  <si>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</si>
  <si>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</si>
  <si>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</si>
  <si>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</si>
  <si>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</si>
  <si>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</si>
  <si>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</si>
  <si>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</si>
  <si>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</si>
  <si>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</si>
  <si>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</si>
  <si>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</si>
  <si>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</si>
  <si>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</si>
  <si>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</si>
  <si>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</si>
  <si>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</si>
  <si>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</si>
  <si>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</si>
  <si>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</si>
  <si>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</si>
  <si>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</si>
  <si>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</si>
  <si>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</si>
  <si>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</si>
  <si>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</si>
  <si>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</si>
  <si>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</si>
  <si>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</si>
  <si>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</si>
  <si>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</si>
  <si>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</si>
  <si>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</si>
  <si>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</si>
  <si>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</si>
  <si>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</si>
  <si>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</si>
  <si>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</si>
  <si>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</si>
  <si>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</si>
  <si>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</si>
  <si>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</si>
  <si>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</si>
  <si>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</si>
  <si>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</si>
  <si>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</si>
  <si>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</si>
  <si>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</si>
  <si>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</si>
  <si>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</si>
  <si>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</si>
  <si>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</si>
  <si>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</si>
  <si>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</si>
  <si>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</si>
  <si>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</si>
  <si>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</si>
  <si>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</si>
  <si>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</si>
  <si>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</si>
  <si>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</si>
  <si>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</si>
  <si>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</si>
  <si>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</si>
  <si>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</si>
  <si>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</si>
  <si>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</si>
  <si>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</si>
  <si>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</si>
  <si>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</si>
  <si>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</si>
  <si>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</si>
  <si>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</si>
  <si>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</si>
  <si>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</si>
  <si>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</si>
  <si>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</si>
  <si>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OWJ2</t>
  </si>
  <si>
    <t>212a</t>
  </si>
  <si>
    <t>京都市右京区西院春栄町, 22-23, Kyoto-fu 615-0005</t>
  </si>
  <si>
    <t>悠二郎 英賀谷</t>
  </si>
  <si>
    <t>090-1445-0126</t>
  </si>
  <si>
    <t>BMX24</t>
  </si>
  <si>
    <t>DS一時停止中</t>
  </si>
  <si>
    <t>okjyurik</t>
  </si>
  <si>
    <t>OWJP</t>
  </si>
  <si>
    <t>5105</t>
  </si>
  <si>
    <t>大津市青山, 7-5-15, 滋賀県 520-2101</t>
  </si>
  <si>
    <t>正幹 本池</t>
  </si>
  <si>
    <t>090-3282-7055</t>
  </si>
  <si>
    <t>EMX1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</si>
  <si>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</si>
  <si>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</si>
  <si>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</si>
  <si>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</si>
  <si>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</si>
  <si>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</si>
  <si>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</si>
  <si>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</si>
  <si>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</si>
  <si>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</si>
  <si>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</si>
  <si>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</si>
  <si>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</si>
  <si>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</si>
  <si>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</si>
  <si>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</si>
  <si>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</si>
  <si>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</si>
  <si>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</si>
  <si>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</si>
  <si>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</si>
  <si>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</si>
  <si>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</si>
  <si>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DOO4</t>
  </si>
  <si>
    <t>Yin</t>
  </si>
  <si>
    <t>〇</t>
  </si>
  <si>
    <t>OWJ3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</si>
  <si>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</si>
  <si>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OWJ4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</si>
  <si>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</si>
  <si>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</si>
  <si>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</si>
  <si>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</si>
  <si>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</si>
  <si>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</si>
  <si>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</si>
  <si>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</si>
  <si>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</si>
  <si>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</si>
  <si>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OWJD</t>
  </si>
  <si>
    <t>OWJE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</si>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</sst>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h:mm;@"/>
    <numFmt numFmtId="178" formatCode="0.0_);[Red]\(0.0\)"/>
    <numFmt numFmtId="179" formatCode="0_);[Red]\(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6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1"/>
      <color rgb="FF5A8B3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sz val="7"/>
      <color rgb="FFFFFFFF"/>
      <name val="Segoe UI Emoji"/>
      <family val="2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0" fontId="9" fillId="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/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4" fillId="5" borderId="0" xfId="0" applyFont="1" applyFill="1" applyAlignment="1">
      <alignment vertical="center" wrapText="1"/>
    </xf>
    <xf numFmtId="0" fontId="5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5" fillId="4" borderId="0" xfId="0" applyFont="1" applyFill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vertical="center" wrapText="1"/>
    </xf>
    <xf numFmtId="0" fontId="0" fillId="0" borderId="3" xfId="0" applyBorder="1">
      <alignment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15" fillId="0" borderId="3" xfId="0" applyFont="1" applyBorder="1" applyAlignment="1">
      <alignment vertical="center" wrapText="1"/>
    </xf>
    <xf numFmtId="0" fontId="16" fillId="0" borderId="3" xfId="0" applyFont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0" fillId="0" borderId="7" xfId="0" applyFont="1" applyBorder="1" applyAlignment="1">
      <alignment horizontal="left" vertical="center"/>
    </xf>
    <xf numFmtId="0" fontId="4" fillId="5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>
      <alignment vertical="center"/>
    </xf>
    <xf numFmtId="14" fontId="0" fillId="0" borderId="6" xfId="0" applyNumberFormat="1" applyBorder="1">
      <alignment vertical="center"/>
    </xf>
    <xf numFmtId="0" fontId="5" fillId="5" borderId="9" xfId="0" applyFont="1" applyFill="1" applyBorder="1" applyAlignment="1">
      <alignment horizontal="center" vertical="center"/>
    </xf>
    <xf numFmtId="0" fontId="24" fillId="0" borderId="3" xfId="0" applyFont="1" applyBorder="1" applyAlignment="1">
      <alignment vertical="center" wrapText="1"/>
    </xf>
    <xf numFmtId="0" fontId="11" fillId="0" borderId="0" xfId="1" applyFont="1" applyFill="1" applyAlignment="1" applyProtection="1">
      <alignment horizontal="left" vertical="center" wrapText="1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6" fontId="21" fillId="0" borderId="0" xfId="1" applyNumberFormat="1" applyFont="1" applyFill="1" applyAlignment="1" applyProtection="1">
      <alignment horizontal="center" vertical="center"/>
      <protection locked="0"/>
    </xf>
    <xf numFmtId="20" fontId="19" fillId="0" borderId="0" xfId="0" applyNumberFormat="1" applyFont="1" applyProtection="1">
      <alignment vertical="center"/>
      <protection locked="0"/>
    </xf>
    <xf numFmtId="49" fontId="5" fillId="12" borderId="0" xfId="1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0" fontId="22" fillId="0" borderId="0" xfId="5" applyFont="1" applyProtection="1">
      <alignment vertical="center"/>
      <protection locked="0"/>
    </xf>
    <xf numFmtId="0" fontId="5" fillId="7" borderId="0" xfId="1" applyFont="1" applyAlignment="1" applyProtection="1">
      <alignment horizontal="center" vertical="center"/>
      <protection locked="0"/>
    </xf>
    <xf numFmtId="49" fontId="5" fillId="7" borderId="0" xfId="1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26" fillId="0" borderId="0" xfId="1" applyFont="1" applyFill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5" fillId="0" borderId="6" xfId="0" applyFont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31" fillId="2" borderId="25" xfId="0" applyFont="1" applyFill="1" applyBorder="1" applyAlignment="1" applyProtection="1">
      <alignment horizontal="center" vertical="center"/>
      <protection locked="0"/>
    </xf>
    <xf numFmtId="0" fontId="21" fillId="0" borderId="13" xfId="1" applyFont="1" applyFill="1" applyBorder="1" applyAlignment="1" applyProtection="1">
      <alignment horizontal="center" vertical="center" wrapText="1"/>
      <protection locked="0"/>
    </xf>
    <xf numFmtId="0" fontId="6" fillId="13" borderId="25" xfId="0" applyFont="1" applyFill="1" applyBorder="1" applyAlignment="1" applyProtection="1">
      <alignment horizontal="center" vertical="center"/>
      <protection locked="0"/>
    </xf>
    <xf numFmtId="0" fontId="32" fillId="0" borderId="0" xfId="1" applyFont="1" applyFill="1" applyAlignment="1" applyProtection="1">
      <alignment vertical="center" wrapText="1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178" fontId="5" fillId="4" borderId="26" xfId="0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14" fontId="7" fillId="0" borderId="6" xfId="0" applyNumberFormat="1" applyFont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0" borderId="19" xfId="0" applyBorder="1" applyProtection="1">
      <alignment vertical="center"/>
      <protection locked="0"/>
    </xf>
    <xf numFmtId="0" fontId="10" fillId="0" borderId="16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20" fontId="10" fillId="0" borderId="16" xfId="0" applyNumberFormat="1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Protection="1">
      <alignment vertical="center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7" fillId="0" borderId="4" xfId="0" applyFont="1" applyBorder="1" applyProtection="1">
      <alignment vertical="center"/>
      <protection locked="0"/>
    </xf>
    <xf numFmtId="0" fontId="7" fillId="0" borderId="17" xfId="0" applyFont="1" applyBorder="1" applyAlignment="1" applyProtection="1">
      <alignment vertical="center" wrapText="1"/>
      <protection locked="0"/>
    </xf>
    <xf numFmtId="0" fontId="10" fillId="0" borderId="24" xfId="0" applyFont="1" applyBorder="1" applyAlignment="1" applyProtection="1">
      <alignment horizontal="center" vertical="center"/>
      <protection locked="0"/>
    </xf>
    <xf numFmtId="0" fontId="3" fillId="17" borderId="25" xfId="0" applyFont="1" applyFill="1" applyBorder="1" applyAlignment="1" applyProtection="1">
      <alignment horizontal="center" vertical="center"/>
      <protection locked="0"/>
    </xf>
    <xf numFmtId="0" fontId="3" fillId="17" borderId="28" xfId="0" applyFont="1" applyFill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76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5" fillId="5" borderId="26" xfId="0" applyFont="1" applyFill="1" applyBorder="1" applyAlignment="1" applyProtection="1">
      <alignment horizontal="center" vertical="center"/>
      <protection locked="0"/>
    </xf>
    <xf numFmtId="0" fontId="0" fillId="10" borderId="0" xfId="0" applyFill="1" applyProtection="1">
      <alignment vertical="center"/>
      <protection locked="0"/>
    </xf>
    <xf numFmtId="0" fontId="34" fillId="0" borderId="3" xfId="0" applyFont="1" applyBorder="1" applyAlignment="1">
      <alignment vertical="center" wrapText="1"/>
    </xf>
    <xf numFmtId="0" fontId="35" fillId="0" borderId="3" xfId="0" applyFont="1" applyBorder="1" applyAlignment="1">
      <alignment vertical="center" wrapText="1"/>
    </xf>
    <xf numFmtId="0" fontId="30" fillId="16" borderId="14" xfId="0" applyFont="1" applyFill="1" applyBorder="1" applyAlignment="1" applyProtection="1">
      <alignment vertical="center" wrapText="1"/>
      <protection locked="0"/>
    </xf>
    <xf numFmtId="0" fontId="30" fillId="16" borderId="8" xfId="0" applyFont="1" applyFill="1" applyBorder="1" applyAlignment="1" applyProtection="1">
      <alignment vertical="center" wrapText="1"/>
      <protection locked="0"/>
    </xf>
    <xf numFmtId="0" fontId="3" fillId="10" borderId="0" xfId="0" applyFont="1" applyFill="1" applyAlignment="1" applyProtection="1">
      <alignment horizontal="center" vertical="center"/>
      <protection locked="0"/>
    </xf>
    <xf numFmtId="0" fontId="3" fillId="10" borderId="0" xfId="0" applyFont="1" applyFill="1" applyProtection="1">
      <alignment vertical="center"/>
      <protection locked="0"/>
    </xf>
    <xf numFmtId="0" fontId="3" fillId="15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8" fillId="0" borderId="0" xfId="0" applyNumberFormat="1" applyFont="1" applyProtection="1">
      <alignment vertical="center"/>
      <protection locked="0"/>
    </xf>
    <xf numFmtId="0" fontId="5" fillId="5" borderId="5" xfId="0" applyFont="1" applyFill="1" applyBorder="1">
      <alignment vertical="center"/>
    </xf>
    <xf numFmtId="0" fontId="0" fillId="0" borderId="5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0" fillId="0" borderId="1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8" fillId="8" borderId="18" xfId="0" applyFont="1" applyFill="1" applyBorder="1" applyProtection="1">
      <alignment vertical="center"/>
      <protection locked="0"/>
    </xf>
    <xf numFmtId="20" fontId="0" fillId="0" borderId="22" xfId="0" applyNumberFormat="1" applyBorder="1" applyAlignment="1" applyProtection="1">
      <alignment horizontal="center" vertical="center"/>
      <protection locked="0"/>
    </xf>
    <xf numFmtId="20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20" fontId="3" fillId="10" borderId="0" xfId="0" applyNumberFormat="1" applyFont="1" applyFill="1" applyProtection="1">
      <alignment vertical="center"/>
      <protection locked="0"/>
    </xf>
    <xf numFmtId="20" fontId="13" fillId="11" borderId="0" xfId="0" applyNumberFormat="1" applyFont="1" applyFill="1" applyProtection="1">
      <alignment vertical="center"/>
      <protection locked="0"/>
    </xf>
    <xf numFmtId="20" fontId="6" fillId="10" borderId="0" xfId="0" applyNumberFormat="1" applyFont="1" applyFill="1" applyProtection="1">
      <alignment vertical="center"/>
      <protection locked="0"/>
    </xf>
    <xf numFmtId="20" fontId="13" fillId="11" borderId="0" xfId="0" applyNumberFormat="1" applyFont="1" applyFill="1" applyAlignment="1" applyProtection="1">
      <alignment vertical="top"/>
      <protection locked="0"/>
    </xf>
    <xf numFmtId="0" fontId="3" fillId="10" borderId="0" xfId="0" applyFont="1" applyFill="1" applyAlignment="1" applyProtection="1">
      <alignment horizontal="left" vertical="center"/>
      <protection locked="0"/>
    </xf>
    <xf numFmtId="0" fontId="13" fillId="11" borderId="0" xfId="0" applyFont="1" applyFill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177" fontId="0" fillId="0" borderId="0" xfId="0" applyNumberFormat="1" applyProtection="1">
      <alignment vertical="center"/>
      <protection locked="0"/>
    </xf>
    <xf numFmtId="177" fontId="8" fillId="8" borderId="18" xfId="0" applyNumberFormat="1" applyFont="1" applyFill="1" applyBorder="1" applyProtection="1">
      <alignment vertical="center"/>
      <protection locked="0"/>
    </xf>
    <xf numFmtId="177" fontId="10" fillId="3" borderId="21" xfId="3" applyNumberFormat="1" applyFont="1" applyFill="1" applyBorder="1" applyAlignment="1" applyProtection="1">
      <alignment horizontal="center" vertical="center"/>
      <protection locked="0"/>
    </xf>
    <xf numFmtId="177" fontId="10" fillId="0" borderId="16" xfId="3" applyNumberFormat="1" applyFon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10" borderId="0" xfId="0" applyNumberFormat="1" applyFill="1" applyProtection="1">
      <alignment vertical="center"/>
      <protection locked="0"/>
    </xf>
    <xf numFmtId="177" fontId="0" fillId="11" borderId="0" xfId="0" applyNumberFormat="1" applyFill="1" applyProtection="1">
      <alignment vertical="center"/>
      <protection locked="0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177" fontId="5" fillId="5" borderId="0" xfId="0" applyNumberFormat="1" applyFont="1" applyFill="1" applyAlignment="1" applyProtection="1">
      <alignment horizontal="center" vertical="center" wrapText="1"/>
      <protection locked="0"/>
    </xf>
    <xf numFmtId="177" fontId="41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29" xfId="0" applyFont="1" applyFill="1" applyBorder="1" applyAlignment="1" applyProtection="1">
      <alignment horizontal="center" vertical="center" wrapText="1"/>
      <protection locked="0"/>
    </xf>
    <xf numFmtId="0" fontId="42" fillId="0" borderId="29" xfId="0" applyFont="1" applyBorder="1" applyProtection="1">
      <alignment vertical="center"/>
      <protection locked="0"/>
    </xf>
    <xf numFmtId="0" fontId="42" fillId="0" borderId="0" xfId="0" applyFont="1" applyProtection="1">
      <alignment vertical="center"/>
      <protection locked="0"/>
    </xf>
    <xf numFmtId="0" fontId="44" fillId="5" borderId="0" xfId="0" applyFont="1" applyFill="1" applyAlignment="1" applyProtection="1">
      <alignment horizontal="center" vertical="center" wrapText="1"/>
      <protection locked="0"/>
    </xf>
    <xf numFmtId="0" fontId="46" fillId="5" borderId="18" xfId="0" applyFont="1" applyFill="1" applyBorder="1" applyAlignment="1" applyProtection="1">
      <alignment horizontal="center" vertical="center" wrapText="1"/>
      <protection locked="0"/>
    </xf>
    <xf numFmtId="0" fontId="48" fillId="0" borderId="1" xfId="0" applyFont="1" applyBorder="1" applyAlignment="1" applyProtection="1">
      <alignment horizontal="center" vertical="center" wrapText="1"/>
      <protection locked="0"/>
    </xf>
    <xf numFmtId="0" fontId="49" fillId="2" borderId="0" xfId="0" applyFont="1" applyFill="1" applyAlignment="1" applyProtection="1">
      <alignment horizontal="center" vertical="center" wrapText="1"/>
      <protection locked="0"/>
    </xf>
    <xf numFmtId="0" fontId="50" fillId="5" borderId="33" xfId="0" applyFont="1" applyFill="1" applyBorder="1" applyAlignment="1">
      <alignment vertical="center" wrapText="1"/>
    </xf>
    <xf numFmtId="0" fontId="13" fillId="0" borderId="34" xfId="0" applyFont="1" applyBorder="1" applyProtection="1">
      <alignment vertical="center"/>
      <protection locked="0"/>
    </xf>
    <xf numFmtId="0" fontId="51" fillId="0" borderId="35" xfId="0" applyFont="1" applyBorder="1" applyProtection="1">
      <alignment vertical="center"/>
      <protection locked="0"/>
    </xf>
    <xf numFmtId="0" fontId="52" fillId="0" borderId="35" xfId="0" applyFont="1" applyBorder="1" applyProtection="1">
      <alignment vertical="center"/>
      <protection locked="0"/>
    </xf>
    <xf numFmtId="0" fontId="53" fillId="0" borderId="35" xfId="0" applyFont="1" applyBorder="1" applyProtection="1">
      <alignment vertical="center"/>
      <protection locked="0"/>
    </xf>
    <xf numFmtId="0" fontId="54" fillId="0" borderId="13" xfId="0" applyFont="1" applyBorder="1" applyProtection="1">
      <alignment vertical="center"/>
      <protection locked="0"/>
    </xf>
    <xf numFmtId="14" fontId="3" fillId="0" borderId="6" xfId="0" applyNumberFormat="1" applyFont="1" applyBorder="1" applyAlignment="1" applyProtection="1">
      <alignment horizontal="center" vertical="center"/>
      <protection locked="0"/>
    </xf>
    <xf numFmtId="0" fontId="55" fillId="2" borderId="36" xfId="0" applyFont="1" applyFill="1" applyBorder="1" applyAlignment="1" applyProtection="1">
      <alignment vertical="center" wrapText="1"/>
      <protection locked="0"/>
    </xf>
    <xf numFmtId="0" fontId="55" fillId="2" borderId="37" xfId="0" applyFont="1" applyFill="1" applyBorder="1" applyAlignment="1" applyProtection="1">
      <alignment vertical="center" wrapText="1"/>
      <protection locked="0"/>
    </xf>
    <xf numFmtId="0" fontId="55" fillId="2" borderId="38" xfId="0" applyFont="1" applyFill="1" applyBorder="1" applyAlignment="1" applyProtection="1">
      <alignment vertical="center" wrapText="1"/>
      <protection locked="0"/>
    </xf>
    <xf numFmtId="0" fontId="49" fillId="2" borderId="39" xfId="0" applyFont="1" applyFill="1" applyBorder="1" applyAlignment="1" applyProtection="1">
      <alignment vertical="center" wrapText="1"/>
      <protection locked="0"/>
    </xf>
    <xf numFmtId="0" fontId="56" fillId="2" borderId="37" xfId="0" applyFont="1" applyFill="1" applyBorder="1" applyAlignment="1" applyProtection="1">
      <alignment horizontal="center" vertical="center" wrapText="1"/>
      <protection locked="0"/>
    </xf>
    <xf numFmtId="179" fontId="49" fillId="2" borderId="37" xfId="0" applyNumberFormat="1" applyFont="1" applyFill="1" applyBorder="1" applyAlignment="1" applyProtection="1">
      <alignment horizontal="center" vertical="center" wrapText="1"/>
      <protection locked="0"/>
    </xf>
    <xf numFmtId="179" fontId="49" fillId="2" borderId="38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7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176" fontId="57" fillId="20" borderId="40" xfId="0" applyNumberFormat="1" applyFont="1" applyFill="1" applyBorder="1" applyAlignment="1" applyProtection="1">
      <alignment horizontal="center" vertical="center" wrapText="1"/>
      <protection locked="0"/>
    </xf>
    <xf numFmtId="20" fontId="57" fillId="20" borderId="40" xfId="0" applyNumberFormat="1" applyFont="1" applyFill="1" applyBorder="1" applyAlignment="1" applyProtection="1">
      <alignment horizontal="center" vertical="center" wrapText="1"/>
      <protection locked="0"/>
    </xf>
    <xf numFmtId="0" fontId="57" fillId="20" borderId="40" xfId="0" applyFont="1" applyFill="1" applyBorder="1" applyAlignment="1" applyProtection="1">
      <alignment vertical="center" wrapText="1"/>
      <protection locked="0"/>
    </xf>
    <xf numFmtId="177" fontId="57" fillId="20" borderId="40" xfId="0" applyNumberFormat="1" applyFont="1" applyFill="1" applyBorder="1" applyAlignment="1" applyProtection="1">
      <alignment horizontal="center" vertical="center"/>
      <protection locked="0"/>
    </xf>
    <xf numFmtId="0" fontId="57" fillId="20" borderId="40" xfId="0" applyFont="1" applyFill="1" applyBorder="1" applyAlignment="1" applyProtection="1">
      <alignment horizontal="center" vertical="center"/>
      <protection locked="0"/>
    </xf>
    <xf numFmtId="9" fontId="57" fillId="20" borderId="40" xfId="9" applyFont="1" applyFill="1" applyBorder="1" applyAlignment="1" applyProtection="1">
      <alignment horizontal="center" vertical="center" wrapText="1"/>
      <protection locked="0"/>
    </xf>
    <xf numFmtId="0" fontId="58" fillId="20" borderId="40" xfId="0" applyFont="1" applyFill="1" applyBorder="1" applyAlignment="1" applyProtection="1">
      <alignment vertical="center" wrapText="1"/>
      <protection locked="0"/>
    </xf>
    <xf numFmtId="0" fontId="57" fillId="20" borderId="40" xfId="0" applyFont="1" applyFill="1" applyBorder="1" applyAlignment="1" applyProtection="1">
      <alignment horizontal="left" vertical="center" wrapText="1"/>
      <protection locked="0"/>
    </xf>
    <xf numFmtId="0" fontId="57" fillId="20" borderId="40" xfId="0" applyFont="1" applyFill="1" applyBorder="1" applyAlignment="1" applyProtection="1">
      <alignment horizontal="left" vertical="center"/>
      <protection locked="0"/>
    </xf>
    <xf numFmtId="0" fontId="57" fillId="20" borderId="41" xfId="0" applyFont="1" applyFill="1" applyBorder="1" applyAlignment="1" applyProtection="1">
      <alignment horizontal="left" vertical="center" wrapText="1"/>
      <protection locked="0"/>
    </xf>
    <xf numFmtId="0" fontId="57" fillId="20" borderId="40" xfId="0" applyFont="1" applyFill="1" applyBorder="1" applyAlignment="1" applyProtection="1">
      <alignment horizontal="center" vertical="center" wrapText="1"/>
      <protection locked="0"/>
    </xf>
    <xf numFmtId="49" fontId="57" fillId="20" borderId="41" xfId="0" applyNumberFormat="1" applyFont="1" applyFill="1" applyBorder="1" applyAlignment="1" applyProtection="1">
      <alignment vertical="center" wrapText="1"/>
      <protection locked="0"/>
    </xf>
    <xf numFmtId="177" fontId="57" fillId="20" borderId="40" xfId="0" applyNumberFormat="1" applyFont="1" applyFill="1" applyBorder="1" applyAlignment="1" applyProtection="1">
      <alignment horizontal="left" vertical="center" wrapText="1"/>
      <protection locked="0"/>
    </xf>
    <xf numFmtId="177" fontId="57" fillId="20" borderId="40" xfId="0" applyNumberFormat="1" applyFont="1" applyFill="1" applyBorder="1" applyAlignment="1" applyProtection="1">
      <alignment horizontal="center" vertical="center" wrapText="1"/>
      <protection locked="0"/>
    </xf>
    <xf numFmtId="49" fontId="57" fillId="20" borderId="42" xfId="0" applyNumberFormat="1" applyFont="1" applyFill="1" applyBorder="1" applyAlignment="1" applyProtection="1">
      <alignment vertical="center" wrapText="1"/>
      <protection locked="0"/>
    </xf>
    <xf numFmtId="49" fontId="57" fillId="20" borderId="40" xfId="0" applyNumberFormat="1" applyFont="1" applyFill="1" applyBorder="1" applyAlignment="1" applyProtection="1">
      <alignment vertical="center" wrapText="1"/>
      <protection locked="0"/>
    </xf>
    <xf numFmtId="49" fontId="57" fillId="20" borderId="40" xfId="0" applyNumberFormat="1" applyFont="1" applyFill="1" applyBorder="1" applyAlignment="1" applyProtection="1">
      <alignment horizontal="center" vertical="center" wrapText="1"/>
      <protection locked="0"/>
    </xf>
    <xf numFmtId="177" fontId="57" fillId="20" borderId="41" xfId="0" applyNumberFormat="1" applyFont="1" applyFill="1" applyBorder="1" applyAlignment="1" applyProtection="1">
      <alignment horizontal="left" vertical="center"/>
      <protection locked="0"/>
    </xf>
    <xf numFmtId="20" fontId="57" fillId="20" borderId="40" xfId="0" applyNumberFormat="1" applyFont="1" applyFill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center" vertical="center" wrapText="1"/>
    </xf>
    <xf numFmtId="176" fontId="0" fillId="0" borderId="0" xfId="0" applyNumberFormat="1" applyProtection="1">
      <alignment vertical="center"/>
      <protection locked="0"/>
    </xf>
    <xf numFmtId="179" fontId="0" fillId="0" borderId="0" xfId="0" applyNumberFormat="1" applyAlignment="1" applyProtection="1">
      <alignment horizontal="left" vertical="center"/>
      <protection locked="0"/>
    </xf>
    <xf numFmtId="0" fontId="0" fillId="0" borderId="30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43" xfId="0" applyBorder="1" applyProtection="1">
      <alignment vertical="center"/>
      <protection locked="0"/>
    </xf>
    <xf numFmtId="177" fontId="0" fillId="0" borderId="0" xfId="0" applyNumberFormat="1">
      <alignment vertical="center"/>
    </xf>
    <xf numFmtId="177" fontId="0" fillId="0" borderId="30" xfId="0" applyNumberFormat="1" applyBorder="1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47" fillId="0" borderId="5" xfId="0" applyFont="1" applyBorder="1" applyAlignment="1" applyProtection="1">
      <alignment horizontal="center" vertical="center"/>
      <protection locked="0"/>
    </xf>
    <xf numFmtId="20" fontId="0" fillId="0" borderId="15" xfId="0" applyNumberFormat="1" applyBorder="1" applyProtection="1">
      <alignment vertical="center"/>
      <protection locked="0"/>
    </xf>
    <xf numFmtId="14" fontId="10" fillId="0" borderId="2" xfId="0" applyNumberFormat="1" applyFont="1" applyBorder="1" applyProtection="1">
      <alignment vertical="center"/>
      <protection locked="0"/>
    </xf>
    <xf numFmtId="20" fontId="0" fillId="0" borderId="17" xfId="0" applyNumberFormat="1" applyBorder="1" applyProtection="1">
      <alignment vertical="center"/>
      <protection locked="0"/>
    </xf>
    <xf numFmtId="14" fontId="10" fillId="0" borderId="4" xfId="0" applyNumberFormat="1" applyFont="1" applyBorder="1" applyProtection="1">
      <alignment vertical="center"/>
      <protection locked="0"/>
    </xf>
    <xf numFmtId="0" fontId="11" fillId="5" borderId="14" xfId="0" applyFont="1" applyFill="1" applyBorder="1" applyAlignment="1" applyProtection="1">
      <alignment horizontal="center" vertical="center"/>
      <protection locked="0"/>
    </xf>
    <xf numFmtId="0" fontId="11" fillId="5" borderId="10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center" vertical="center"/>
      <protection locked="0"/>
    </xf>
    <xf numFmtId="0" fontId="47" fillId="0" borderId="5" xfId="0" applyFont="1" applyBorder="1" applyAlignment="1" applyProtection="1">
      <alignment horizontal="center" vertical="center"/>
      <protection locked="0"/>
    </xf>
    <xf numFmtId="179" fontId="48" fillId="2" borderId="36" xfId="0" applyNumberFormat="1" applyFont="1" applyFill="1" applyBorder="1" applyAlignment="1" applyProtection="1">
      <alignment horizontal="center" vertical="center" wrapText="1"/>
      <protection locked="0"/>
    </xf>
    <xf numFmtId="179" fontId="48" fillId="2" borderId="37" xfId="0" applyNumberFormat="1" applyFont="1" applyFill="1" applyBorder="1" applyAlignment="1" applyProtection="1">
      <alignment horizontal="center" vertical="center" wrapText="1"/>
      <protection locked="0"/>
    </xf>
    <xf numFmtId="179" fontId="48" fillId="2" borderId="38" xfId="0" applyNumberFormat="1" applyFont="1" applyFill="1" applyBorder="1" applyAlignment="1" applyProtection="1">
      <alignment horizontal="center" vertical="center" wrapText="1"/>
      <protection locked="0"/>
    </xf>
    <xf numFmtId="0" fontId="49" fillId="2" borderId="37" xfId="0" applyFont="1" applyFill="1" applyBorder="1" applyAlignment="1" applyProtection="1">
      <alignment horizontal="center" vertical="center" wrapText="1"/>
      <protection locked="0"/>
    </xf>
    <xf numFmtId="0" fontId="49" fillId="2" borderId="36" xfId="0" applyFont="1" applyFill="1" applyBorder="1" applyAlignment="1" applyProtection="1">
      <alignment horizontal="center" vertical="center" wrapText="1"/>
      <protection locked="0"/>
    </xf>
    <xf numFmtId="0" fontId="49" fillId="2" borderId="38" xfId="0" applyFont="1" applyFill="1" applyBorder="1" applyAlignment="1" applyProtection="1">
      <alignment horizontal="center" vertical="center" wrapText="1"/>
      <protection locked="0"/>
    </xf>
    <xf numFmtId="0" fontId="11" fillId="5" borderId="29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0" fontId="42" fillId="0" borderId="0" xfId="0" applyFont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5" fillId="4" borderId="30" xfId="0" applyFont="1" applyFill="1" applyBorder="1" applyAlignment="1" applyProtection="1">
      <alignment horizontal="center" vertical="center" wrapText="1"/>
      <protection locked="0"/>
    </xf>
    <xf numFmtId="176" fontId="21" fillId="9" borderId="0" xfId="1" applyNumberFormat="1" applyFont="1" applyFill="1" applyAlignment="1" applyProtection="1">
      <alignment horizontal="center" vertical="center"/>
      <protection locked="0"/>
    </xf>
    <xf numFmtId="0" fontId="12" fillId="6" borderId="14" xfId="1" applyFont="1" applyFill="1" applyBorder="1" applyAlignment="1" applyProtection="1">
      <alignment horizontal="center" vertical="center" wrapText="1"/>
      <protection locked="0"/>
    </xf>
    <xf numFmtId="0" fontId="12" fillId="6" borderId="10" xfId="1" applyFont="1" applyFill="1" applyBorder="1" applyAlignment="1" applyProtection="1">
      <alignment horizontal="center" vertical="center" wrapText="1"/>
      <protection locked="0"/>
    </xf>
    <xf numFmtId="0" fontId="12" fillId="6" borderId="8" xfId="1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25" fillId="3" borderId="14" xfId="1" applyFont="1" applyFill="1" applyBorder="1" applyAlignment="1" applyProtection="1">
      <alignment horizontal="center" vertical="center" wrapText="1"/>
      <protection locked="0"/>
    </xf>
    <xf numFmtId="0" fontId="12" fillId="3" borderId="10" xfId="1" applyFont="1" applyFill="1" applyBorder="1" applyAlignment="1" applyProtection="1">
      <alignment horizontal="center" vertical="center" wrapText="1"/>
      <protection locked="0"/>
    </xf>
    <xf numFmtId="0" fontId="12" fillId="3" borderId="8" xfId="1" applyFont="1" applyFill="1" applyBorder="1" applyAlignment="1" applyProtection="1">
      <alignment horizontal="center" vertical="center" wrapText="1"/>
      <protection locked="0"/>
    </xf>
    <xf numFmtId="0" fontId="12" fillId="3" borderId="14" xfId="1" applyFont="1" applyFill="1" applyBorder="1" applyAlignment="1" applyProtection="1">
      <alignment horizontal="center" vertical="center" wrapText="1"/>
      <protection locked="0"/>
    </xf>
    <xf numFmtId="0" fontId="32" fillId="13" borderId="18" xfId="1" applyFont="1" applyFill="1" applyBorder="1" applyAlignment="1" applyProtection="1">
      <alignment horizontal="center" vertical="center" wrapText="1"/>
      <protection locked="0"/>
    </xf>
    <xf numFmtId="0" fontId="32" fillId="13" borderId="6" xfId="1" applyFont="1" applyFill="1" applyBorder="1" applyAlignment="1" applyProtection="1">
      <alignment horizontal="center" vertical="center" wrapText="1"/>
      <protection locked="0"/>
    </xf>
    <xf numFmtId="0" fontId="8" fillId="8" borderId="14" xfId="0" applyFont="1" applyFill="1" applyBorder="1" applyAlignment="1" applyProtection="1">
      <alignment horizontal="center" vertical="center"/>
      <protection locked="0"/>
    </xf>
    <xf numFmtId="0" fontId="8" fillId="8" borderId="10" xfId="0" applyFont="1" applyFill="1" applyBorder="1" applyAlignment="1" applyProtection="1">
      <alignment horizontal="center" vertical="center"/>
      <protection locked="0"/>
    </xf>
    <xf numFmtId="0" fontId="8" fillId="8" borderId="8" xfId="0" applyFont="1" applyFill="1" applyBorder="1" applyAlignment="1" applyProtection="1">
      <alignment horizontal="center" vertical="center"/>
      <protection locked="0"/>
    </xf>
    <xf numFmtId="0" fontId="8" fillId="17" borderId="14" xfId="0" applyFont="1" applyFill="1" applyBorder="1" applyAlignment="1" applyProtection="1">
      <alignment horizontal="center" vertical="center"/>
      <protection locked="0"/>
    </xf>
    <xf numFmtId="0" fontId="8" fillId="17" borderId="10" xfId="0" applyFont="1" applyFill="1" applyBorder="1" applyAlignment="1" applyProtection="1">
      <alignment horizontal="center" vertical="center"/>
      <protection locked="0"/>
    </xf>
    <xf numFmtId="0" fontId="8" fillId="17" borderId="8" xfId="0" applyFont="1" applyFill="1" applyBorder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6" fontId="38" fillId="11" borderId="0" xfId="1" applyNumberFormat="1" applyFont="1" applyFill="1" applyAlignment="1" applyProtection="1">
      <alignment horizontal="center" vertical="center"/>
      <protection locked="0"/>
    </xf>
    <xf numFmtId="0" fontId="39" fillId="18" borderId="0" xfId="0" applyFont="1" applyFill="1" applyAlignment="1" applyProtection="1">
      <alignment horizontal="center" vertical="center" textRotation="255"/>
      <protection locked="0"/>
    </xf>
    <xf numFmtId="0" fontId="62" fillId="19" borderId="0" xfId="2" applyFont="1" applyFill="1" applyAlignment="1" applyProtection="1">
      <alignment horizontal="center" vertical="center" textRotation="255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20" fontId="18" fillId="14" borderId="0" xfId="0" applyNumberFormat="1" applyFont="1" applyFill="1" applyAlignment="1" applyProtection="1">
      <alignment horizontal="center" vertical="center"/>
      <protection locked="0"/>
    </xf>
    <xf numFmtId="20" fontId="28" fillId="8" borderId="0" xfId="0" applyNumberFormat="1" applyFont="1" applyFill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64" fillId="19" borderId="45" xfId="2" applyFont="1" applyFill="1" applyBorder="1" applyAlignment="1" applyProtection="1">
      <alignment horizontal="center" vertical="center" textRotation="255"/>
      <protection locked="0"/>
    </xf>
    <xf numFmtId="0" fontId="64" fillId="19" borderId="0" xfId="2" applyFont="1" applyFill="1" applyAlignment="1" applyProtection="1">
      <alignment horizontal="center" vertical="center" textRotation="255"/>
      <protection locked="0"/>
    </xf>
    <xf numFmtId="0" fontId="17" fillId="15" borderId="0" xfId="2" applyFill="1" applyAlignment="1" applyProtection="1">
      <alignment horizontal="center" vertical="center"/>
      <protection locked="0"/>
    </xf>
  </cellXfs>
  <cellStyles count="12">
    <cellStyle name="Accent1" xfId="1" builtinId="29"/>
    <cellStyle name="Heading 1" xfId="11" builtinId="16"/>
    <cellStyle name="Hyperlink" xfId="2" builtinId="8"/>
    <cellStyle name="Normal" xfId="0" builtinId="0"/>
    <cellStyle name="Percent" xfId="9" builtinId="5"/>
    <cellStyle name="ハイパーリンク 2" xfId="8" xr:uid="{F71BA4AF-1028-420C-AF6D-41D6FDF55AB4}"/>
    <cellStyle name="ハイパーリンク 2 2" xfId="7" xr:uid="{13B5A6D5-3925-483D-A1B6-98A00694CA54}"/>
    <cellStyle name="標準 2" xfId="3" xr:uid="{D5A12A10-EEE9-497B-B187-AB8E90E8EBC7}"/>
    <cellStyle name="標準 3" xfId="5" xr:uid="{B95E741D-1F5F-4583-958E-B4D280FDCA8D}"/>
    <cellStyle name="標準 3 2" xfId="6" xr:uid="{CD8A3319-8D46-4F06-97CF-6B80A000AB58}"/>
    <cellStyle name="標準 3 7" xfId="10" xr:uid="{61C3745F-09F3-42BA-BBE6-FDE9DDE9B1AE}"/>
    <cellStyle name="標準 4" xfId="4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5176A-B762-4713-A2BC-5D38F30940C8}">
  <sheetPr>
    <tabColor rgb="FFC6E0B4"/>
  </sheetPr>
  <dimension ref="A1:U23"/>
  <sheetViews>
    <sheetView zoomScale="85" zoomScaleNormal="85" workbookViewId="0" xr3:uid="{C5664F03-5DCF-5626-A8CD-57DB80270B97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2" customWidth="1"/>
    <col min="13" max="13" width="14.625" customWidth="1"/>
    <col min="14" max="14" width="6.125" style="22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0"/>
      <c r="M1" s="2" t="s">
        <v>6</v>
      </c>
      <c r="N1" s="20"/>
      <c r="O1" s="2" t="s">
        <v>7</v>
      </c>
    </row>
    <row r="2" spans="1:21">
      <c r="A2" s="24" t="s">
        <v>8</v>
      </c>
      <c r="B2" s="1"/>
      <c r="C2" s="2"/>
      <c r="D2" s="11" t="s">
        <v>9</v>
      </c>
      <c r="E2" s="12" t="s">
        <v>10</v>
      </c>
      <c r="F2" s="11" t="s">
        <v>11</v>
      </c>
      <c r="G2" s="12" t="s">
        <v>10</v>
      </c>
      <c r="H2" s="3"/>
      <c r="I2" s="2"/>
      <c r="J2" s="4"/>
      <c r="K2" s="2"/>
      <c r="L2" s="20"/>
      <c r="M2" s="2"/>
      <c r="N2" s="20"/>
      <c r="O2" s="2"/>
      <c r="Q2" s="91" t="s">
        <v>12</v>
      </c>
    </row>
    <row r="3" spans="1:21" ht="18" customHeight="1" thickBot="1">
      <c r="A3" s="23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1" t="s">
        <v>23</v>
      </c>
      <c r="M3" t="s">
        <v>24</v>
      </c>
      <c r="N3" s="21" t="s">
        <v>25</v>
      </c>
      <c r="O3" t="s">
        <v>26</v>
      </c>
      <c r="Q3" s="92" t="s">
        <v>27</v>
      </c>
    </row>
    <row r="4" spans="1:21" ht="18" customHeight="1">
      <c r="B4" s="6" t="s">
        <v>28</v>
      </c>
      <c r="C4" s="16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1"/>
      <c r="M4" s="15"/>
      <c r="N4" s="21"/>
      <c r="O4" s="15"/>
      <c r="Q4" s="93" t="s">
        <v>38</v>
      </c>
      <c r="U4" s="13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1"/>
      <c r="M5" s="15"/>
      <c r="N5" s="21"/>
      <c r="O5" s="15"/>
      <c r="Q5" s="94" t="s">
        <v>47</v>
      </c>
      <c r="U5" s="14"/>
    </row>
    <row r="6" spans="1:21" ht="18" customHeight="1">
      <c r="B6" s="6" t="s">
        <v>48</v>
      </c>
      <c r="C6" s="19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1"/>
      <c r="M6" s="15"/>
      <c r="N6" s="21"/>
      <c r="O6" s="15"/>
      <c r="Q6" s="94" t="s">
        <v>56</v>
      </c>
      <c r="U6" s="13"/>
    </row>
    <row r="7" spans="1:21" ht="18" customHeight="1">
      <c r="B7" s="6" t="s">
        <v>57</v>
      </c>
      <c r="C7" s="79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1"/>
      <c r="M7" s="15"/>
      <c r="N7" s="21"/>
      <c r="O7" s="15"/>
      <c r="Q7" s="94" t="s">
        <v>65</v>
      </c>
      <c r="U7" s="14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1"/>
      <c r="M8" s="15"/>
      <c r="N8" s="21"/>
      <c r="O8" s="15"/>
      <c r="Q8" s="93" t="s">
        <v>74</v>
      </c>
      <c r="U8" s="13"/>
    </row>
    <row r="9" spans="1:21" ht="18" customHeight="1">
      <c r="B9" s="6" t="s">
        <v>75</v>
      </c>
      <c r="C9" s="16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1"/>
      <c r="M9" s="15"/>
      <c r="N9" s="21"/>
      <c r="O9" s="15"/>
      <c r="Q9" s="93" t="s">
        <v>82</v>
      </c>
      <c r="U9" s="14"/>
    </row>
    <row r="10" spans="1:21" ht="18" customHeight="1">
      <c r="B10" s="6" t="s">
        <v>83</v>
      </c>
      <c r="C10" s="17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1"/>
      <c r="M10" s="15"/>
      <c r="N10" s="21"/>
      <c r="O10" s="15"/>
      <c r="Q10" s="93" t="s">
        <v>89</v>
      </c>
      <c r="U10" s="13"/>
    </row>
    <row r="11" spans="1:21" ht="18" customHeight="1">
      <c r="B11" s="6" t="s">
        <v>90</v>
      </c>
      <c r="C11" s="79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1"/>
      <c r="M11" s="15"/>
      <c r="N11" s="21"/>
      <c r="O11" s="15"/>
      <c r="Q11" s="93" t="s">
        <v>96</v>
      </c>
      <c r="U11" s="14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1"/>
      <c r="M12" s="15"/>
      <c r="N12" s="21"/>
      <c r="O12" s="15"/>
      <c r="Q12" s="93" t="s">
        <v>101</v>
      </c>
      <c r="U12" s="13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1"/>
      <c r="M13" s="15"/>
      <c r="N13" s="21"/>
      <c r="O13" s="15"/>
      <c r="Q13" s="9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25" t="s">
        <v>115</v>
      </c>
      <c r="J14" s="7"/>
      <c r="K14" s="7"/>
      <c r="L14" s="21"/>
      <c r="M14" s="15"/>
      <c r="N14" s="21"/>
      <c r="O14" s="15"/>
      <c r="Q14" s="9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25" t="s">
        <v>115</v>
      </c>
      <c r="F15" s="6" t="s">
        <v>119</v>
      </c>
      <c r="G15" s="79" t="s">
        <v>115</v>
      </c>
      <c r="H15" s="6"/>
      <c r="I15" s="79"/>
      <c r="J15" s="7"/>
      <c r="K15" s="7"/>
      <c r="L15" s="21"/>
      <c r="M15" s="15"/>
      <c r="N15" s="21"/>
      <c r="O15" s="15"/>
      <c r="Q15" s="93" t="s">
        <v>120</v>
      </c>
    </row>
    <row r="16" spans="1:21" ht="18" customHeight="1">
      <c r="B16" s="6" t="s">
        <v>121</v>
      </c>
      <c r="C16" s="25" t="s">
        <v>115</v>
      </c>
      <c r="D16" s="6"/>
      <c r="E16" s="7"/>
      <c r="F16" s="6"/>
      <c r="G16" s="79"/>
      <c r="H16" s="6"/>
      <c r="I16" s="80"/>
      <c r="J16" s="7"/>
      <c r="K16" s="7"/>
      <c r="L16" s="21"/>
      <c r="M16" s="15"/>
      <c r="N16" s="21"/>
      <c r="O16" s="15"/>
      <c r="Q16" s="95" t="s">
        <v>122</v>
      </c>
    </row>
    <row r="17" spans="2:15" ht="18" customHeight="1">
      <c r="B17" s="6" t="s">
        <v>123</v>
      </c>
      <c r="C17" s="18" t="s">
        <v>82</v>
      </c>
      <c r="D17" s="6"/>
      <c r="E17" s="7"/>
      <c r="F17" s="6"/>
      <c r="G17" s="80"/>
      <c r="H17" s="6"/>
      <c r="I17" s="79"/>
      <c r="J17" s="7"/>
      <c r="K17" s="7"/>
      <c r="L17" s="21"/>
      <c r="M17" s="15"/>
      <c r="N17" s="21"/>
      <c r="O17" s="15"/>
    </row>
    <row r="18" spans="2:15" ht="18" customHeight="1">
      <c r="B18" s="6" t="s">
        <v>124</v>
      </c>
      <c r="C18" s="18" t="s">
        <v>89</v>
      </c>
      <c r="D18" s="6"/>
      <c r="E18" s="7"/>
      <c r="F18" s="6"/>
      <c r="G18" s="80"/>
      <c r="H18" s="6"/>
      <c r="I18" s="7"/>
      <c r="J18" s="7"/>
      <c r="K18" s="7"/>
      <c r="L18" s="21"/>
      <c r="M18" s="15"/>
      <c r="N18" s="21"/>
      <c r="O18" s="15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79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80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9DD83-DB88-44D8-984F-F20D530DAB00}">
  <sheetPr>
    <tabColor rgb="FF4472C4"/>
  </sheetPr>
  <dimension ref="A1:AY800"/>
  <sheetViews>
    <sheetView tabSelected="1" zoomScale="85" zoomScaleNormal="85" workbookViewId="0" xr3:uid="{7AF9BAB8-AFD6-5324-81AB-9B184AE63046}">
      <pane xSplit="14" ySplit="4" topLeftCell="O5" activePane="bottomRight" state="frozen"/>
      <selection pane="bottomRight" activeCell="X6" sqref="X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28" customWidth="1"/>
    <col min="2" max="2" width="8.125" style="28" customWidth="1"/>
    <col min="3" max="3" width="11.625" style="28" customWidth="1"/>
    <col min="4" max="4" width="20" style="28" customWidth="1"/>
    <col min="5" max="5" width="6.625" style="110" customWidth="1"/>
    <col min="6" max="6" width="4.625" style="28" customWidth="1"/>
    <col min="7" max="7" width="6.125" style="28" customWidth="1"/>
    <col min="8" max="8" width="5.625" style="28" customWidth="1"/>
    <col min="9" max="9" width="20.625" style="28" customWidth="1"/>
    <col min="10" max="10" width="16.125" style="166" customWidth="1"/>
    <col min="11" max="11" width="8.125" style="28" hidden="1" customWidth="1"/>
    <col min="12" max="12" width="20.625" style="28" customWidth="1"/>
    <col min="13" max="13" width="6.125" style="28" customWidth="1"/>
    <col min="14" max="14" width="6.125" style="167" customWidth="1"/>
    <col min="15" max="15" width="16.625" style="168" bestFit="1" customWidth="1"/>
    <col min="16" max="16" width="20.625" style="28" customWidth="1"/>
    <col min="17" max="17" width="6.125" style="28" customWidth="1"/>
    <col min="18" max="18" width="5.625" style="28" customWidth="1"/>
    <col min="19" max="19" width="19.625" style="167" customWidth="1"/>
    <col min="20" max="21" width="9.625" style="110" customWidth="1"/>
    <col min="22" max="22" width="25.625" style="28" customWidth="1"/>
    <col min="23" max="23" width="19.125" style="169" customWidth="1"/>
    <col min="24" max="24" width="16.125" style="28" customWidth="1"/>
    <col min="25" max="26" width="9.625" style="110" customWidth="1"/>
    <col min="27" max="27" width="21.125" style="28" customWidth="1"/>
    <col min="28" max="29" width="18.625" style="28" customWidth="1"/>
    <col min="30" max="30" width="8.125" style="28" customWidth="1"/>
    <col min="31" max="31" width="6.125" style="28" hidden="1" customWidth="1"/>
    <col min="32" max="32" width="7.625" style="171" customWidth="1"/>
    <col min="33" max="33" width="7.125" style="28" customWidth="1"/>
    <col min="34" max="34" width="5.5" style="28" customWidth="1"/>
    <col min="35" max="35" width="19.5" style="28" customWidth="1"/>
    <col min="36" max="36" width="13.125" style="167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28" customWidth="1"/>
    <col min="48" max="48" width="12.125" style="28" customWidth="1"/>
    <col min="49" max="49" width="13.625" style="28" customWidth="1"/>
    <col min="50" max="50" width="8.625" style="28"/>
    <col min="51" max="51" width="14.5" style="28" customWidth="1"/>
    <col min="52" max="16384" width="8.625" style="28"/>
  </cols>
  <sheetData>
    <row r="1" spans="1:51" ht="41.1" customHeight="1" thickBot="1">
      <c r="A1" s="118" t="s">
        <v>129</v>
      </c>
      <c r="B1" s="119" t="s">
        <v>130</v>
      </c>
      <c r="C1" s="118" t="s">
        <v>131</v>
      </c>
      <c r="D1" s="118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18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20" t="s">
        <v>135</v>
      </c>
      <c r="U1" s="121" t="s">
        <v>136</v>
      </c>
      <c r="V1" s="122" t="s">
        <v>137</v>
      </c>
      <c r="W1" s="201" t="s">
        <v>138</v>
      </c>
      <c r="X1" s="201"/>
      <c r="Y1" s="202"/>
      <c r="Z1" s="121" t="s">
        <v>139</v>
      </c>
      <c r="AA1" s="119" t="s">
        <v>140</v>
      </c>
      <c r="AB1" s="119" t="s">
        <v>141</v>
      </c>
      <c r="AC1" s="123"/>
      <c r="AD1" s="124"/>
      <c r="AE1" s="124"/>
      <c r="AF1" s="124"/>
      <c r="AG1" s="124"/>
      <c r="AH1" s="124"/>
      <c r="AI1" s="125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126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5">
        <f>COUNTIFS(I5:I800,"&lt;&gt;",O5:O800,"")+COUNTIFS(I5:I800,"&lt;&gt;",O5:O800,"確認中")</f>
        <v>0</v>
      </c>
      <c r="P2" s="199"/>
      <c r="Q2" s="200"/>
      <c r="R2" s="200"/>
      <c r="S2" s="200"/>
      <c r="T2" s="175">
        <f>COUNTIFS(T5:T800,"",O5:O800,"RP")-COUNTIFS(O5:O800,"Rescuer変更完了",T5:T800,"")</f>
        <v>0</v>
      </c>
      <c r="U2" s="127">
        <f>COUNTIF(T5:T800,"&lt;&gt;")-COUNTIFS(T5:T800,"&lt;&gt;",V5:V800,"&lt;&gt;Chat中",V5:V800,"&lt;&gt;")-COUNTIFS(T5:T800,"&lt;&gt;",O5:O800,"DS完了",V5:V800,"")</f>
        <v>0</v>
      </c>
      <c r="V2" s="127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27">
        <f>COUNTIF(Y5:Y800,"&lt;&gt;")-COUNTIFS(Y5:Y800,"&lt;&gt;",AA5:AA800,"&lt;&gt;Chat中",AA5:AA800,"&lt;&gt;")-COUNTIFS(Y5:Y800,"&lt;&gt;",O5:O800,"DS完了",AA5:AA800,"")</f>
        <v>0</v>
      </c>
      <c r="AA2" s="127">
        <f>COUNTIF(AA5:AA800,"電話不通 x1")-COUNTIFS(O5:O800,"DS完了",AH5:AH800,"",AA5:AA800,"電話不通 x1")-COUNTIFS(AH5:AH800,"&lt;&gt;",AA5:AA800,"電話不通 x1")</f>
        <v>0</v>
      </c>
      <c r="AB2" s="127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23"/>
      <c r="AD2" s="124"/>
      <c r="AE2" s="124"/>
      <c r="AF2" s="124"/>
      <c r="AG2" s="124"/>
      <c r="AH2" s="124"/>
      <c r="AI2" s="128">
        <f>COUNTIFS(O5:O800,"DS完了",AH5:AH800,"")+COUNTIFS(AF5:AF800,"&lt;&gt;",AH5:AH800,"")-COUNTIFS(O5:O800,"DS完了",D5:D800,"トラブル報告")</f>
        <v>0</v>
      </c>
      <c r="AJ2" s="203"/>
      <c r="AK2" s="129" t="s">
        <v>145</v>
      </c>
      <c r="AS2" s="130" t="s">
        <v>146</v>
      </c>
      <c r="AT2" s="131" t="s">
        <v>147</v>
      </c>
      <c r="AU2" s="132" t="s">
        <v>148</v>
      </c>
      <c r="AV2" s="133" t="s">
        <v>149</v>
      </c>
      <c r="AW2" s="134" t="s">
        <v>150</v>
      </c>
      <c r="AY2" s="135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36"/>
      <c r="P3" s="137"/>
      <c r="Q3" s="137"/>
      <c r="R3" s="137"/>
      <c r="S3" s="138"/>
      <c r="T3" s="187" t="s">
        <v>152</v>
      </c>
      <c r="U3" s="187"/>
      <c r="V3" s="187"/>
      <c r="W3" s="139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0"/>
      <c r="AH3" s="140"/>
      <c r="AI3" s="141"/>
      <c r="AJ3" s="142"/>
      <c r="AK3" s="143" t="s">
        <v>154</v>
      </c>
      <c r="AL3" s="144" t="str">
        <f ca="1">"L"&amp;MATCH(TODAY(),A:A,0)&amp;":L1000"</f>
        <v>L5:L1000</v>
      </c>
      <c r="AM3" s="144" t="str">
        <f ca="1">"P"&amp;MATCH(TODAY(),A:A,0)&amp;":P1000"</f>
        <v>P5:P1000</v>
      </c>
      <c r="AN3" s="144" t="str">
        <f ca="1">"X"&amp;MATCH(TODAY(),A:A,0)&amp;":X1000"</f>
        <v>X5:X1000</v>
      </c>
      <c r="AO3" s="144" t="str">
        <f ca="1">"I"&amp;MATCH(TODAY(),A:A,0)&amp;":I1000"</f>
        <v>I5:I1000</v>
      </c>
      <c r="AP3" s="144" t="str">
        <f ca="1">"J"&amp;MATCH(TODAY(),A:A,0)&amp;":J1000"</f>
        <v>J5:J1000</v>
      </c>
      <c r="AQ3" s="144" t="str">
        <f ca="1">"C"&amp;MATCH(TODAY(),A:A,0)&amp;":C1000"</f>
        <v>C5:C1000</v>
      </c>
    </row>
    <row r="4" spans="1:51" ht="32.1" customHeight="1" thickBot="1">
      <c r="A4" s="145" t="s">
        <v>155</v>
      </c>
      <c r="B4" s="146" t="s">
        <v>156</v>
      </c>
      <c r="C4" s="147" t="s">
        <v>157</v>
      </c>
      <c r="D4" s="147" t="s">
        <v>158</v>
      </c>
      <c r="E4" s="148" t="s">
        <v>159</v>
      </c>
      <c r="F4" s="149" t="s">
        <v>160</v>
      </c>
      <c r="G4" s="149" t="s">
        <v>161</v>
      </c>
      <c r="H4" s="150" t="s">
        <v>162</v>
      </c>
      <c r="I4" s="151" t="s">
        <v>152</v>
      </c>
      <c r="J4" s="152" t="s">
        <v>163</v>
      </c>
      <c r="K4" s="152" t="s">
        <v>164</v>
      </c>
      <c r="L4" s="153" t="s">
        <v>165</v>
      </c>
      <c r="M4" s="152" t="s">
        <v>166</v>
      </c>
      <c r="N4" s="154" t="s">
        <v>167</v>
      </c>
      <c r="O4" s="155" t="s">
        <v>168</v>
      </c>
      <c r="P4" s="147" t="s">
        <v>169</v>
      </c>
      <c r="Q4" s="147" t="s">
        <v>170</v>
      </c>
      <c r="R4" s="155" t="s">
        <v>171</v>
      </c>
      <c r="S4" s="156" t="s">
        <v>172</v>
      </c>
      <c r="T4" s="157" t="s">
        <v>173</v>
      </c>
      <c r="U4" s="158" t="s">
        <v>174</v>
      </c>
      <c r="V4" s="155" t="s">
        <v>175</v>
      </c>
      <c r="W4" s="159" t="s">
        <v>176</v>
      </c>
      <c r="X4" s="160" t="s">
        <v>177</v>
      </c>
      <c r="Y4" s="157" t="s">
        <v>173</v>
      </c>
      <c r="Z4" s="158" t="s">
        <v>174</v>
      </c>
      <c r="AA4" s="152" t="s">
        <v>178</v>
      </c>
      <c r="AB4" s="160" t="s">
        <v>179</v>
      </c>
      <c r="AC4" s="161" t="s">
        <v>172</v>
      </c>
      <c r="AD4" s="160" t="s">
        <v>180</v>
      </c>
      <c r="AE4" s="147" t="s">
        <v>164</v>
      </c>
      <c r="AF4" s="162" t="s">
        <v>181</v>
      </c>
      <c r="AG4" s="163" t="s">
        <v>182</v>
      </c>
      <c r="AH4" s="152" t="s">
        <v>183</v>
      </c>
      <c r="AI4" s="152" t="s">
        <v>172</v>
      </c>
      <c r="AJ4" s="154" t="s">
        <v>184</v>
      </c>
      <c r="AK4" s="129" t="s">
        <v>185</v>
      </c>
      <c r="AL4" s="15"/>
      <c r="AM4" s="164"/>
      <c r="AN4" s="164"/>
      <c r="AO4" s="15"/>
      <c r="AP4" s="164"/>
    </row>
    <row r="5" spans="1:51" ht="20.100000000000001" customHeight="1" thickTop="1">
      <c r="A5" s="165">
        <v>45802</v>
      </c>
      <c r="B5" s="28" t="s">
        <v>186</v>
      </c>
      <c r="C5" s="34" t="s">
        <v>187</v>
      </c>
      <c r="D5" s="28" t="s">
        <v>188</v>
      </c>
      <c r="E5" s="110">
        <v>0.72986111111111107</v>
      </c>
      <c r="F5" s="28">
        <v>129</v>
      </c>
      <c r="G5" s="28">
        <v>109</v>
      </c>
      <c r="H5" s="28">
        <v>85</v>
      </c>
      <c r="I5" s="28" t="s">
        <v>189</v>
      </c>
      <c r="J5" s="166" t="s">
        <v>190</v>
      </c>
      <c r="K5" s="28">
        <v>14</v>
      </c>
      <c r="L5" s="34"/>
      <c r="M5" s="28">
        <v>54</v>
      </c>
      <c r="N5" s="167" t="s">
        <v>191</v>
      </c>
      <c r="O5" s="168" t="s">
        <v>192</v>
      </c>
      <c r="P5" s="28" t="str">
        <f ca="1">INDIRECT(ADDRESS(ROW(),COLUMN()+26))</f>
        <v/>
      </c>
      <c r="S5" s="167" t="s">
        <v>193</v>
      </c>
      <c r="U5" s="110" t="str">
        <f ca="1">IF(INDIRECT(ADDRESS(ROW(),COLUMN()-1))="","",INDIRECT(ADDRESS(ROW(),COLUMN()-1))+TIME(0,5,0))</f>
        <v/>
      </c>
      <c r="Z5" s="110" t="str">
        <f>IF(Y5="","",$Y5+TIME(0,5,0))</f>
        <v/>
      </c>
      <c r="AE5" s="170">
        <f t="shared" ref="AE5:AE68" si="0">TIME(0,$K5+5,0)</f>
        <v>1.3194444444444444E-2</v>
      </c>
      <c r="AG5" s="110" t="str">
        <f>IF(AF5="","",IF(OR(D5="トラブル報告",D5=""),AF5+TIME(0,45,0),SUM(AE5,AF5)))</f>
        <v/>
      </c>
      <c r="AK5">
        <f ca="1">VLOOKUP($B5,INDIRECT($AK$4&amp;"!$Z$3:$AB$17"),3,FALSE)</f>
        <v>0.76041666666666663</v>
      </c>
      <c r="AL5">
        <f ca="1">IFERROR(AK5,"")</f>
        <v>0.76041666666666663</v>
      </c>
      <c r="AM5" t="str">
        <f>IF(L5&lt;&gt;"",L5&amp;A5,"")</f>
        <v/>
      </c>
      <c r="AN5" s="170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28" t="str" cm="1">
        <f t="array" aca="1" ref="AR5" ca="1">IF(A5=INDIRECT($AK$4&amp;"!$A$3"),IF(I5&lt;&gt;"",I5&amp;A5,""),"")</f>
        <v>悠二郎 英賀谷45802</v>
      </c>
    </row>
    <row r="6" spans="1:51" ht="20.100000000000001" customHeight="1">
      <c r="A6" s="165">
        <f t="shared" ref="A6:A69" si="1">A5</f>
        <v>45802</v>
      </c>
      <c r="B6" s="28" t="s">
        <v>194</v>
      </c>
      <c r="C6" s="34" t="s">
        <v>195</v>
      </c>
      <c r="D6" s="28" t="s">
        <v>196</v>
      </c>
      <c r="E6" s="110">
        <v>0.73263888888888884</v>
      </c>
      <c r="F6" s="28">
        <v>115</v>
      </c>
      <c r="G6" s="28">
        <v>97</v>
      </c>
      <c r="H6" s="28">
        <v>85</v>
      </c>
      <c r="I6" s="28" t="s">
        <v>197</v>
      </c>
      <c r="J6" s="166" t="s">
        <v>198</v>
      </c>
      <c r="K6" s="28">
        <v>30</v>
      </c>
      <c r="L6" s="34"/>
      <c r="M6" s="28">
        <v>52</v>
      </c>
      <c r="N6" s="167" t="s">
        <v>199</v>
      </c>
      <c r="O6" s="168" t="s">
        <v>192</v>
      </c>
      <c r="P6" s="28" t="str">
        <f ca="1">INDIRECT(ADDRESS(ROW(),COLUMN()+26))</f>
        <v/>
      </c>
      <c r="S6" s="167" t="s">
        <v>193</v>
      </c>
      <c r="U6" s="110" t="str">
        <f ca="1">IF(INDIRECT(ADDRESS(ROW(),COLUMN()-1))="","",INDIRECT(ADDRESS(ROW(),COLUMN()-1))+TIME(0,5,0))</f>
        <v/>
      </c>
      <c r="Z6" s="110" t="str">
        <f t="shared" ref="Z6:Z69" si="2">IF(Y6="","",$Y6+TIME(0,5,0))</f>
        <v/>
      </c>
      <c r="AE6" s="170">
        <f t="shared" si="0"/>
        <v>2.4305555555555556E-2</v>
      </c>
      <c r="AG6" s="110" t="str">
        <f t="shared" ref="AG6:AG69" si="3">IF(AF6="","",IF(OR(D6="トラブル報告",D6=""),AF6+TIME(0,45,0),SUM(AE6,AF6)))</f>
        <v/>
      </c>
      <c r="AK6">
        <f t="shared" ref="AK6:AK69" ca="1" si="4">VLOOKUP($B6,INDIRECT($AK$4&amp;"!$Z$3:$AB$17"),3,FALSE)</f>
        <v>0.76041666666666663</v>
      </c>
      <c r="AL6">
        <f t="shared" ref="AL6:AL69" ca="1" si="5">IFERROR(AK6,"")</f>
        <v>0.76041666666666663</v>
      </c>
      <c r="AM6" t="str">
        <f t="shared" ref="AM6:AM69" si="6">IF(L6&lt;&gt;"",L6&amp;A6,"")</f>
        <v/>
      </c>
      <c r="AN6" s="170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28" t="str" cm="1">
        <f t="array" aca="1" ref="AR6" ca="1">IF(A6=INDIRECT($AK$4&amp;"!$A$3"),IF(I6&lt;&gt;"",I6&amp;A6,""),"")</f>
        <v>正幹 本池45802</v>
      </c>
    </row>
    <row r="7" spans="1:51" ht="20.100000000000001" customHeight="1">
      <c r="A7" s="165">
        <f t="shared" si="1"/>
        <v>45802</v>
      </c>
      <c r="C7" s="34"/>
      <c r="L7" s="34"/>
      <c r="Z7" s="110" t="str">
        <f t="shared" si="2"/>
        <v/>
      </c>
      <c r="AE7" s="170">
        <f t="shared" si="0"/>
        <v>3.472222222222222E-3</v>
      </c>
      <c r="AG7" s="110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0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28" t="str" cm="1">
        <f t="array" aca="1" ref="AR7" ca="1">IF(A7=INDIRECT($AK$4&amp;"!$A$3"),IF(I7&lt;&gt;"",I7&amp;A7,""),"")</f>
        <v/>
      </c>
    </row>
    <row r="8" spans="1:51" ht="20.100000000000001" customHeight="1">
      <c r="A8" s="165">
        <f t="shared" si="1"/>
        <v>45802</v>
      </c>
      <c r="C8" s="34"/>
      <c r="L8" s="34"/>
      <c r="Z8" s="110" t="str">
        <f t="shared" si="2"/>
        <v/>
      </c>
      <c r="AE8" s="170">
        <f t="shared" si="0"/>
        <v>3.472222222222222E-3</v>
      </c>
      <c r="AG8" s="110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0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28" t="str" cm="1">
        <f t="array" aca="1" ref="AR8" ca="1">IF(A8=INDIRECT($AK$4&amp;"!$A$3"),IF(I8&lt;&gt;"",I8&amp;A8,""),"")</f>
        <v/>
      </c>
    </row>
    <row r="9" spans="1:51" ht="20.100000000000001" customHeight="1">
      <c r="A9" s="165">
        <f t="shared" si="1"/>
        <v>45802</v>
      </c>
      <c r="C9" s="34"/>
      <c r="L9" s="34"/>
      <c r="Z9" s="110" t="str">
        <f t="shared" si="2"/>
        <v/>
      </c>
      <c r="AE9" s="170">
        <f t="shared" si="0"/>
        <v>3.472222222222222E-3</v>
      </c>
      <c r="AG9" s="110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0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28" t="str" cm="1">
        <f t="array" aca="1" ref="AR9" ca="1">IF(A9=INDIRECT($AK$4&amp;"!$A$3"),IF(I9&lt;&gt;"",I9&amp;A9,""),"")</f>
        <v/>
      </c>
    </row>
    <row r="10" spans="1:51" ht="20.100000000000001" customHeight="1">
      <c r="A10" s="165">
        <f t="shared" si="1"/>
        <v>45802</v>
      </c>
      <c r="C10" s="34"/>
      <c r="L10" s="34"/>
      <c r="Z10" s="110" t="str">
        <f t="shared" si="2"/>
        <v/>
      </c>
      <c r="AE10" s="170">
        <f t="shared" si="0"/>
        <v>3.472222222222222E-3</v>
      </c>
      <c r="AG10" s="110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0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28" t="str" cm="1">
        <f t="array" aca="1" ref="AR10" ca="1">IF(A10=INDIRECT($AK$4&amp;"!$A$3"),IF(I10&lt;&gt;"",I10&amp;A10,""),"")</f>
        <v/>
      </c>
    </row>
    <row r="11" spans="1:51" ht="20.100000000000001" customHeight="1">
      <c r="A11" s="165">
        <f t="shared" si="1"/>
        <v>45802</v>
      </c>
      <c r="C11" s="34"/>
      <c r="L11" s="34"/>
      <c r="Z11" s="110" t="str">
        <f t="shared" si="2"/>
        <v/>
      </c>
      <c r="AE11" s="170">
        <f t="shared" si="0"/>
        <v>3.472222222222222E-3</v>
      </c>
      <c r="AG11" s="110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0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28" t="str" cm="1">
        <f t="array" aca="1" ref="AR11" ca="1">IF(A11=INDIRECT($AK$4&amp;"!$A$3"),IF(I11&lt;&gt;"",I11&amp;A11,""),"")</f>
        <v/>
      </c>
    </row>
    <row r="12" spans="1:51" ht="20.100000000000001" customHeight="1">
      <c r="A12" s="165">
        <f t="shared" si="1"/>
        <v>45802</v>
      </c>
      <c r="C12" s="34"/>
      <c r="L12" s="34"/>
      <c r="Z12" s="110" t="str">
        <f t="shared" si="2"/>
        <v/>
      </c>
      <c r="AE12" s="170">
        <f t="shared" si="0"/>
        <v>3.472222222222222E-3</v>
      </c>
      <c r="AG12" s="110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0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28" t="str" cm="1">
        <f t="array" aca="1" ref="AR12" ca="1">IF(A12=INDIRECT($AK$4&amp;"!$A$3"),IF(I12&lt;&gt;"",I12&amp;A12,""),"")</f>
        <v/>
      </c>
    </row>
    <row r="13" spans="1:51" ht="20.100000000000001" customHeight="1">
      <c r="A13" s="165">
        <f t="shared" si="1"/>
        <v>45802</v>
      </c>
      <c r="C13" s="34"/>
      <c r="L13" s="34"/>
      <c r="Z13" s="110" t="str">
        <f t="shared" si="2"/>
        <v/>
      </c>
      <c r="AE13" s="170">
        <f t="shared" si="0"/>
        <v>3.472222222222222E-3</v>
      </c>
      <c r="AG13" s="110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0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28" t="str" cm="1">
        <f t="array" aca="1" ref="AR13" ca="1">IF(A13=INDIRECT($AK$4&amp;"!$A$3"),IF(I13&lt;&gt;"",I13&amp;A13,""),"")</f>
        <v/>
      </c>
    </row>
    <row r="14" spans="1:51" ht="20.100000000000001" customHeight="1">
      <c r="A14" s="165">
        <f t="shared" si="1"/>
        <v>45802</v>
      </c>
      <c r="C14" s="34"/>
      <c r="L14" s="34"/>
      <c r="Z14" s="110" t="str">
        <f t="shared" si="2"/>
        <v/>
      </c>
      <c r="AE14" s="170">
        <f t="shared" si="0"/>
        <v>3.472222222222222E-3</v>
      </c>
      <c r="AG14" s="110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0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28" t="str" cm="1">
        <f t="array" aca="1" ref="AR14" ca="1">IF(A14=INDIRECT($AK$4&amp;"!$A$3"),IF(I14&lt;&gt;"",I14&amp;A14,""),"")</f>
        <v/>
      </c>
    </row>
    <row r="15" spans="1:51" ht="20.100000000000001" customHeight="1">
      <c r="A15" s="165">
        <f t="shared" si="1"/>
        <v>45802</v>
      </c>
      <c r="C15" s="34"/>
      <c r="L15" s="34"/>
      <c r="Z15" s="110" t="str">
        <f t="shared" si="2"/>
        <v/>
      </c>
      <c r="AE15" s="170">
        <f t="shared" si="0"/>
        <v>3.472222222222222E-3</v>
      </c>
      <c r="AG15" s="110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0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28" t="str" cm="1">
        <f t="array" aca="1" ref="AR15" ca="1">IF(A15=INDIRECT($AK$4&amp;"!$A$3"),IF(I15&lt;&gt;"",I15&amp;A15,""),"")</f>
        <v/>
      </c>
    </row>
    <row r="16" spans="1:51" ht="20.100000000000001" customHeight="1">
      <c r="A16" s="165">
        <f t="shared" si="1"/>
        <v>45802</v>
      </c>
      <c r="C16" s="34"/>
      <c r="L16" s="34"/>
      <c r="Z16" s="110" t="str">
        <f t="shared" si="2"/>
        <v/>
      </c>
      <c r="AE16" s="170">
        <f t="shared" si="0"/>
        <v>3.472222222222222E-3</v>
      </c>
      <c r="AG16" s="110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0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28" t="str" cm="1">
        <f t="array" aca="1" ref="AR16" ca="1">IF(A16=INDIRECT($AK$4&amp;"!$A$3"),IF(I16&lt;&gt;"",I16&amp;A16,""),"")</f>
        <v/>
      </c>
    </row>
    <row r="17" spans="1:44" ht="20.100000000000001" customHeight="1">
      <c r="A17" s="165">
        <f t="shared" si="1"/>
        <v>45802</v>
      </c>
      <c r="C17" s="34"/>
      <c r="Z17" s="110" t="str">
        <f t="shared" si="2"/>
        <v/>
      </c>
      <c r="AE17" s="170">
        <f t="shared" si="0"/>
        <v>3.472222222222222E-3</v>
      </c>
      <c r="AG17" s="110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0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28" t="str" cm="1">
        <f t="array" aca="1" ref="AR17" ca="1">IF(A17=INDIRECT($AK$4&amp;"!$A$3"),IF(I17&lt;&gt;"",I17&amp;A17,""),"")</f>
        <v/>
      </c>
    </row>
    <row r="18" spans="1:44" ht="20.100000000000001" customHeight="1">
      <c r="A18" s="165">
        <f t="shared" si="1"/>
        <v>45802</v>
      </c>
      <c r="C18" s="34"/>
      <c r="Z18" s="110" t="str">
        <f t="shared" si="2"/>
        <v/>
      </c>
      <c r="AE18" s="170">
        <f t="shared" si="0"/>
        <v>3.472222222222222E-3</v>
      </c>
      <c r="AG18" s="110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0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28" t="str" cm="1">
        <f t="array" aca="1" ref="AR18" ca="1">IF(A18=INDIRECT($AK$4&amp;"!$A$3"),IF(I18&lt;&gt;"",I18&amp;A18,""),"")</f>
        <v/>
      </c>
    </row>
    <row r="19" spans="1:44" ht="20.100000000000001" customHeight="1">
      <c r="A19" s="165">
        <f t="shared" si="1"/>
        <v>45802</v>
      </c>
      <c r="C19" s="34"/>
      <c r="Z19" s="110" t="str">
        <f t="shared" si="2"/>
        <v/>
      </c>
      <c r="AE19" s="170">
        <f t="shared" si="0"/>
        <v>3.472222222222222E-3</v>
      </c>
      <c r="AG19" s="110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0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28" t="str" cm="1">
        <f t="array" aca="1" ref="AR19" ca="1">IF(A19=INDIRECT($AK$4&amp;"!$A$3"),IF(I19&lt;&gt;"",I19&amp;A19,""),"")</f>
        <v/>
      </c>
    </row>
    <row r="20" spans="1:44" ht="20.100000000000001" customHeight="1">
      <c r="A20" s="165">
        <f t="shared" si="1"/>
        <v>45802</v>
      </c>
      <c r="C20" s="34"/>
      <c r="Z20" s="110" t="str">
        <f t="shared" si="2"/>
        <v/>
      </c>
      <c r="AE20" s="170">
        <f t="shared" si="0"/>
        <v>3.472222222222222E-3</v>
      </c>
      <c r="AG20" s="110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0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28" t="str" cm="1">
        <f t="array" aca="1" ref="AR20" ca="1">IF(A20=INDIRECT($AK$4&amp;"!$A$3"),IF(I20&lt;&gt;"",I20&amp;A20,""),"")</f>
        <v/>
      </c>
    </row>
    <row r="21" spans="1:44" ht="20.100000000000001" customHeight="1">
      <c r="A21" s="165">
        <f t="shared" si="1"/>
        <v>45802</v>
      </c>
      <c r="C21" s="34"/>
      <c r="Z21" s="110" t="str">
        <f t="shared" si="2"/>
        <v/>
      </c>
      <c r="AE21" s="170">
        <f t="shared" si="0"/>
        <v>3.472222222222222E-3</v>
      </c>
      <c r="AG21" s="110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0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28" t="str" cm="1">
        <f t="array" aca="1" ref="AR21" ca="1">IF(A21=INDIRECT($AK$4&amp;"!$A$3"),IF(I21&lt;&gt;"",I21&amp;A21,""),"")</f>
        <v/>
      </c>
    </row>
    <row r="22" spans="1:44" ht="20.100000000000001" customHeight="1">
      <c r="A22" s="165">
        <f t="shared" si="1"/>
        <v>45802</v>
      </c>
      <c r="C22" s="34"/>
      <c r="Z22" s="110" t="str">
        <f t="shared" si="2"/>
        <v/>
      </c>
      <c r="AE22" s="170">
        <f t="shared" si="0"/>
        <v>3.472222222222222E-3</v>
      </c>
      <c r="AG22" s="110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0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28" t="str" cm="1">
        <f t="array" aca="1" ref="AR22" ca="1">IF(A22=INDIRECT($AK$4&amp;"!$A$3"),IF(I22&lt;&gt;"",I22&amp;A22,""),"")</f>
        <v/>
      </c>
    </row>
    <row r="23" spans="1:44" ht="20.100000000000001" customHeight="1">
      <c r="A23" s="165">
        <f t="shared" si="1"/>
        <v>45802</v>
      </c>
      <c r="C23" s="34"/>
      <c r="Z23" s="110" t="str">
        <f t="shared" si="2"/>
        <v/>
      </c>
      <c r="AE23" s="170">
        <f t="shared" si="0"/>
        <v>3.472222222222222E-3</v>
      </c>
      <c r="AG23" s="110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0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28" t="str" cm="1">
        <f t="array" aca="1" ref="AR23" ca="1">IF(A23=INDIRECT($AK$4&amp;"!$A$3"),IF(I23&lt;&gt;"",I23&amp;A23,""),"")</f>
        <v/>
      </c>
    </row>
    <row r="24" spans="1:44" ht="20.100000000000001" customHeight="1">
      <c r="A24" s="165">
        <f t="shared" si="1"/>
        <v>45802</v>
      </c>
      <c r="C24" s="34"/>
      <c r="Z24" s="110" t="str">
        <f t="shared" si="2"/>
        <v/>
      </c>
      <c r="AE24" s="170">
        <f t="shared" si="0"/>
        <v>3.472222222222222E-3</v>
      </c>
      <c r="AG24" s="110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0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28" t="str" cm="1">
        <f t="array" aca="1" ref="AR24" ca="1">IF(A24=INDIRECT($AK$4&amp;"!$A$3"),IF(I24&lt;&gt;"",I24&amp;A24,""),"")</f>
        <v/>
      </c>
    </row>
    <row r="25" spans="1:44" ht="20.100000000000001" customHeight="1">
      <c r="A25" s="165">
        <f t="shared" si="1"/>
        <v>45802</v>
      </c>
      <c r="C25" s="34"/>
      <c r="Z25" s="110" t="str">
        <f t="shared" si="2"/>
        <v/>
      </c>
      <c r="AE25" s="170">
        <f t="shared" si="0"/>
        <v>3.472222222222222E-3</v>
      </c>
      <c r="AG25" s="110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0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28" t="str" cm="1">
        <f t="array" aca="1" ref="AR25" ca="1">IF(A25=INDIRECT($AK$4&amp;"!$A$3"),IF(I25&lt;&gt;"",I25&amp;A25,""),"")</f>
        <v/>
      </c>
    </row>
    <row r="26" spans="1:44" ht="20.100000000000001" customHeight="1">
      <c r="A26" s="165">
        <f t="shared" si="1"/>
        <v>45802</v>
      </c>
      <c r="C26" s="34"/>
      <c r="Z26" s="110" t="str">
        <f t="shared" si="2"/>
        <v/>
      </c>
      <c r="AE26" s="170">
        <f t="shared" si="0"/>
        <v>3.472222222222222E-3</v>
      </c>
      <c r="AG26" s="110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0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28" t="str" cm="1">
        <f t="array" aca="1" ref="AR26" ca="1">IF(A26=INDIRECT($AK$4&amp;"!$A$3"),IF(I26&lt;&gt;"",I26&amp;A26,""),"")</f>
        <v/>
      </c>
    </row>
    <row r="27" spans="1:44" ht="20.100000000000001" customHeight="1">
      <c r="A27" s="165">
        <f t="shared" si="1"/>
        <v>45802</v>
      </c>
      <c r="C27" s="34"/>
      <c r="Z27" s="110" t="str">
        <f t="shared" si="2"/>
        <v/>
      </c>
      <c r="AE27" s="170">
        <f t="shared" si="0"/>
        <v>3.472222222222222E-3</v>
      </c>
      <c r="AG27" s="110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0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28" t="str" cm="1">
        <f t="array" aca="1" ref="AR27" ca="1">IF(A27=INDIRECT($AK$4&amp;"!$A$3"),IF(I27&lt;&gt;"",I27&amp;A27,""),"")</f>
        <v/>
      </c>
    </row>
    <row r="28" spans="1:44" ht="20.100000000000001" customHeight="1">
      <c r="A28" s="165">
        <f t="shared" si="1"/>
        <v>45802</v>
      </c>
      <c r="C28" s="34"/>
      <c r="Z28" s="110" t="str">
        <f t="shared" si="2"/>
        <v/>
      </c>
      <c r="AE28" s="170">
        <f t="shared" si="0"/>
        <v>3.472222222222222E-3</v>
      </c>
      <c r="AG28" s="110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0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28" t="str" cm="1">
        <f t="array" aca="1" ref="AR28" ca="1">IF(A28=INDIRECT($AK$4&amp;"!$A$3"),IF(I28&lt;&gt;"",I28&amp;A28,""),"")</f>
        <v/>
      </c>
    </row>
    <row r="29" spans="1:44" ht="20.100000000000001" customHeight="1">
      <c r="A29" s="165">
        <f t="shared" si="1"/>
        <v>45802</v>
      </c>
      <c r="C29" s="34"/>
      <c r="Z29" s="110" t="str">
        <f t="shared" si="2"/>
        <v/>
      </c>
      <c r="AE29" s="170">
        <f t="shared" si="0"/>
        <v>3.472222222222222E-3</v>
      </c>
      <c r="AG29" s="110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0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28" t="str" cm="1">
        <f t="array" aca="1" ref="AR29" ca="1">IF(A29=INDIRECT($AK$4&amp;"!$A$3"),IF(I29&lt;&gt;"",I29&amp;A29,""),"")</f>
        <v/>
      </c>
    </row>
    <row r="30" spans="1:44" ht="20.100000000000001" customHeight="1">
      <c r="A30" s="165">
        <f t="shared" si="1"/>
        <v>45802</v>
      </c>
      <c r="C30" s="34"/>
      <c r="Z30" s="110" t="str">
        <f t="shared" si="2"/>
        <v/>
      </c>
      <c r="AE30" s="170">
        <f t="shared" si="0"/>
        <v>3.472222222222222E-3</v>
      </c>
      <c r="AG30" s="110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0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28" t="str" cm="1">
        <f t="array" aca="1" ref="AR30" ca="1">IF(A30=INDIRECT($AK$4&amp;"!$A$3"),IF(I30&lt;&gt;"",I30&amp;A30,""),"")</f>
        <v/>
      </c>
    </row>
    <row r="31" spans="1:44" ht="20.100000000000001" customHeight="1">
      <c r="A31" s="165">
        <f t="shared" si="1"/>
        <v>45802</v>
      </c>
      <c r="C31" s="34"/>
      <c r="Z31" s="110" t="str">
        <f t="shared" si="2"/>
        <v/>
      </c>
      <c r="AE31" s="170">
        <f t="shared" si="0"/>
        <v>3.472222222222222E-3</v>
      </c>
      <c r="AG31" s="110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0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28" t="str" cm="1">
        <f t="array" aca="1" ref="AR31" ca="1">IF(A31=INDIRECT($AK$4&amp;"!$A$3"),IF(I31&lt;&gt;"",I31&amp;A31,""),"")</f>
        <v/>
      </c>
    </row>
    <row r="32" spans="1:44" ht="20.100000000000001" customHeight="1">
      <c r="A32" s="165">
        <f t="shared" si="1"/>
        <v>45802</v>
      </c>
      <c r="C32" s="34"/>
      <c r="Z32" s="110" t="str">
        <f t="shared" si="2"/>
        <v/>
      </c>
      <c r="AE32" s="170">
        <f t="shared" si="0"/>
        <v>3.472222222222222E-3</v>
      </c>
      <c r="AG32" s="110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0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28" t="str" cm="1">
        <f t="array" aca="1" ref="AR32" ca="1">IF(A32=INDIRECT($AK$4&amp;"!$A$3"),IF(I32&lt;&gt;"",I32&amp;A32,""),"")</f>
        <v/>
      </c>
    </row>
    <row r="33" spans="1:44" ht="20.100000000000001" customHeight="1">
      <c r="A33" s="165">
        <f t="shared" si="1"/>
        <v>45802</v>
      </c>
      <c r="C33" s="34"/>
      <c r="Z33" s="110" t="str">
        <f t="shared" si="2"/>
        <v/>
      </c>
      <c r="AE33" s="170">
        <f t="shared" si="0"/>
        <v>3.472222222222222E-3</v>
      </c>
      <c r="AG33" s="110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0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28" t="str" cm="1">
        <f t="array" aca="1" ref="AR33" ca="1">IF(A33=INDIRECT($AK$4&amp;"!$A$3"),IF(I33&lt;&gt;"",I33&amp;A33,""),"")</f>
        <v/>
      </c>
    </row>
    <row r="34" spans="1:44" ht="20.100000000000001" customHeight="1">
      <c r="A34" s="165">
        <f t="shared" si="1"/>
        <v>45802</v>
      </c>
      <c r="C34" s="34"/>
      <c r="Z34" s="110" t="str">
        <f t="shared" si="2"/>
        <v/>
      </c>
      <c r="AE34" s="170">
        <f t="shared" si="0"/>
        <v>3.472222222222222E-3</v>
      </c>
      <c r="AG34" s="110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0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28" t="str" cm="1">
        <f t="array" aca="1" ref="AR34" ca="1">IF(A34=INDIRECT($AK$4&amp;"!$A$3"),IF(I34&lt;&gt;"",I34&amp;A34,""),"")</f>
        <v/>
      </c>
    </row>
    <row r="35" spans="1:44" ht="20.100000000000001" customHeight="1">
      <c r="A35" s="165">
        <f t="shared" si="1"/>
        <v>45802</v>
      </c>
      <c r="C35" s="34"/>
      <c r="Z35" s="110" t="str">
        <f t="shared" si="2"/>
        <v/>
      </c>
      <c r="AE35" s="170">
        <f t="shared" si="0"/>
        <v>3.472222222222222E-3</v>
      </c>
      <c r="AG35" s="110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0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28" t="str" cm="1">
        <f t="array" aca="1" ref="AR35" ca="1">IF(A35=INDIRECT($AK$4&amp;"!$A$3"),IF(I35&lt;&gt;"",I35&amp;A35,""),"")</f>
        <v/>
      </c>
    </row>
    <row r="36" spans="1:44" ht="20.100000000000001" customHeight="1">
      <c r="A36" s="165">
        <f t="shared" si="1"/>
        <v>45802</v>
      </c>
      <c r="C36" s="34"/>
      <c r="Z36" s="110" t="str">
        <f t="shared" si="2"/>
        <v/>
      </c>
      <c r="AE36" s="170">
        <f t="shared" si="0"/>
        <v>3.472222222222222E-3</v>
      </c>
      <c r="AG36" s="110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0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28" t="str" cm="1">
        <f t="array" aca="1" ref="AR36" ca="1">IF(A36=INDIRECT($AK$4&amp;"!$A$3"),IF(I36&lt;&gt;"",I36&amp;A36,""),"")</f>
        <v/>
      </c>
    </row>
    <row r="37" spans="1:44" ht="20.100000000000001" customHeight="1">
      <c r="A37" s="165">
        <f t="shared" si="1"/>
        <v>45802</v>
      </c>
      <c r="C37" s="34"/>
      <c r="Z37" s="110" t="str">
        <f t="shared" si="2"/>
        <v/>
      </c>
      <c r="AE37" s="170">
        <f t="shared" si="0"/>
        <v>3.472222222222222E-3</v>
      </c>
      <c r="AG37" s="110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0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28" t="str" cm="1">
        <f t="array" aca="1" ref="AR37" ca="1">IF(A37=INDIRECT($AK$4&amp;"!$A$3"),IF(I37&lt;&gt;"",I37&amp;A37,""),"")</f>
        <v/>
      </c>
    </row>
    <row r="38" spans="1:44" ht="20.100000000000001" customHeight="1">
      <c r="A38" s="165">
        <f t="shared" si="1"/>
        <v>45802</v>
      </c>
      <c r="C38" s="34"/>
      <c r="Z38" s="110" t="str">
        <f t="shared" si="2"/>
        <v/>
      </c>
      <c r="AE38" s="170">
        <f t="shared" si="0"/>
        <v>3.472222222222222E-3</v>
      </c>
      <c r="AG38" s="110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0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28" t="str" cm="1">
        <f t="array" aca="1" ref="AR38" ca="1">IF(A38=INDIRECT($AK$4&amp;"!$A$3"),IF(I38&lt;&gt;"",I38&amp;A38,""),"")</f>
        <v/>
      </c>
    </row>
    <row r="39" spans="1:44" ht="20.100000000000001" customHeight="1">
      <c r="A39" s="165">
        <f t="shared" si="1"/>
        <v>45802</v>
      </c>
      <c r="C39" s="34"/>
      <c r="Z39" s="110" t="str">
        <f t="shared" si="2"/>
        <v/>
      </c>
      <c r="AE39" s="170">
        <f t="shared" si="0"/>
        <v>3.472222222222222E-3</v>
      </c>
      <c r="AG39" s="110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0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28" t="str" cm="1">
        <f t="array" aca="1" ref="AR39" ca="1">IF(A39=INDIRECT($AK$4&amp;"!$A$3"),IF(I39&lt;&gt;"",I39&amp;A39,""),"")</f>
        <v/>
      </c>
    </row>
    <row r="40" spans="1:44" ht="20.100000000000001" customHeight="1">
      <c r="A40" s="165">
        <f t="shared" si="1"/>
        <v>45802</v>
      </c>
      <c r="C40" s="34"/>
      <c r="Z40" s="110" t="str">
        <f t="shared" si="2"/>
        <v/>
      </c>
      <c r="AE40" s="170">
        <f t="shared" si="0"/>
        <v>3.472222222222222E-3</v>
      </c>
      <c r="AG40" s="110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0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28" t="str" cm="1">
        <f t="array" aca="1" ref="AR40" ca="1">IF(A40=INDIRECT($AK$4&amp;"!$A$3"),IF(I40&lt;&gt;"",I40&amp;A40,""),"")</f>
        <v/>
      </c>
    </row>
    <row r="41" spans="1:44" ht="20.100000000000001" customHeight="1">
      <c r="A41" s="165">
        <f t="shared" si="1"/>
        <v>45802</v>
      </c>
      <c r="C41" s="34"/>
      <c r="Z41" s="110" t="str">
        <f t="shared" si="2"/>
        <v/>
      </c>
      <c r="AE41" s="170">
        <f t="shared" si="0"/>
        <v>3.472222222222222E-3</v>
      </c>
      <c r="AG41" s="110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0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28" t="str" cm="1">
        <f t="array" aca="1" ref="AR41" ca="1">IF(A41=INDIRECT($AK$4&amp;"!$A$3"),IF(I41&lt;&gt;"",I41&amp;A41,""),"")</f>
        <v/>
      </c>
    </row>
    <row r="42" spans="1:44" ht="20.100000000000001" customHeight="1">
      <c r="A42" s="165">
        <f t="shared" si="1"/>
        <v>45802</v>
      </c>
      <c r="C42" s="34"/>
      <c r="Z42" s="110" t="str">
        <f t="shared" si="2"/>
        <v/>
      </c>
      <c r="AE42" s="170">
        <f t="shared" si="0"/>
        <v>3.472222222222222E-3</v>
      </c>
      <c r="AG42" s="110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0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28" t="str" cm="1">
        <f t="array" aca="1" ref="AR42" ca="1">IF(A42=INDIRECT($AK$4&amp;"!$A$3"),IF(I42&lt;&gt;"",I42&amp;A42,""),"")</f>
        <v/>
      </c>
    </row>
    <row r="43" spans="1:44" ht="20.100000000000001" customHeight="1">
      <c r="A43" s="165">
        <f t="shared" si="1"/>
        <v>45802</v>
      </c>
      <c r="C43" s="34"/>
      <c r="Z43" s="110" t="str">
        <f t="shared" si="2"/>
        <v/>
      </c>
      <c r="AE43" s="170">
        <f t="shared" si="0"/>
        <v>3.472222222222222E-3</v>
      </c>
      <c r="AG43" s="110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0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28" t="str" cm="1">
        <f t="array" aca="1" ref="AR43" ca="1">IF(A43=INDIRECT($AK$4&amp;"!$A$3"),IF(I43&lt;&gt;"",I43&amp;A43,""),"")</f>
        <v/>
      </c>
    </row>
    <row r="44" spans="1:44" ht="20.100000000000001" customHeight="1">
      <c r="A44" s="165">
        <f t="shared" si="1"/>
        <v>45802</v>
      </c>
      <c r="C44" s="34"/>
      <c r="Z44" s="110" t="str">
        <f t="shared" si="2"/>
        <v/>
      </c>
      <c r="AE44" s="170">
        <f t="shared" si="0"/>
        <v>3.472222222222222E-3</v>
      </c>
      <c r="AG44" s="110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0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28" t="str" cm="1">
        <f t="array" aca="1" ref="AR44" ca="1">IF(A44=INDIRECT($AK$4&amp;"!$A$3"),IF(I44&lt;&gt;"",I44&amp;A44,""),"")</f>
        <v/>
      </c>
    </row>
    <row r="45" spans="1:44" ht="20.100000000000001" customHeight="1">
      <c r="A45" s="165">
        <f t="shared" si="1"/>
        <v>45802</v>
      </c>
      <c r="C45" s="34"/>
      <c r="Z45" s="110" t="str">
        <f t="shared" si="2"/>
        <v/>
      </c>
      <c r="AE45" s="170">
        <f t="shared" si="0"/>
        <v>3.472222222222222E-3</v>
      </c>
      <c r="AG45" s="110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0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28" t="str" cm="1">
        <f t="array" aca="1" ref="AR45" ca="1">IF(A45=INDIRECT($AK$4&amp;"!$A$3"),IF(I45&lt;&gt;"",I45&amp;A45,""),"")</f>
        <v/>
      </c>
    </row>
    <row r="46" spans="1:44" ht="20.100000000000001" customHeight="1">
      <c r="A46" s="165">
        <f t="shared" si="1"/>
        <v>45802</v>
      </c>
      <c r="C46" s="34"/>
      <c r="Z46" s="110" t="str">
        <f t="shared" si="2"/>
        <v/>
      </c>
      <c r="AE46" s="170">
        <f t="shared" si="0"/>
        <v>3.472222222222222E-3</v>
      </c>
      <c r="AG46" s="110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0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28" t="str" cm="1">
        <f t="array" aca="1" ref="AR46" ca="1">IF(A46=INDIRECT($AK$4&amp;"!$A$3"),IF(I46&lt;&gt;"",I46&amp;A46,""),"")</f>
        <v/>
      </c>
    </row>
    <row r="47" spans="1:44" ht="20.100000000000001" customHeight="1">
      <c r="A47" s="165">
        <f t="shared" si="1"/>
        <v>45802</v>
      </c>
      <c r="C47" s="34"/>
      <c r="Z47" s="110" t="str">
        <f t="shared" si="2"/>
        <v/>
      </c>
      <c r="AE47" s="170">
        <f t="shared" si="0"/>
        <v>3.472222222222222E-3</v>
      </c>
      <c r="AG47" s="110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0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28" t="str" cm="1">
        <f t="array" aca="1" ref="AR47" ca="1">IF(A47=INDIRECT($AK$4&amp;"!$A$3"),IF(I47&lt;&gt;"",I47&amp;A47,""),"")</f>
        <v/>
      </c>
    </row>
    <row r="48" spans="1:44" ht="20.100000000000001" customHeight="1">
      <c r="A48" s="165">
        <f t="shared" si="1"/>
        <v>45802</v>
      </c>
      <c r="C48" s="34"/>
      <c r="Z48" s="110" t="str">
        <f t="shared" si="2"/>
        <v/>
      </c>
      <c r="AE48" s="170">
        <f t="shared" si="0"/>
        <v>3.472222222222222E-3</v>
      </c>
      <c r="AG48" s="110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0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28" t="str" cm="1">
        <f t="array" aca="1" ref="AR48" ca="1">IF(A48=INDIRECT($AK$4&amp;"!$A$3"),IF(I48&lt;&gt;"",I48&amp;A48,""),"")</f>
        <v/>
      </c>
    </row>
    <row r="49" spans="1:44" ht="20.100000000000001" customHeight="1">
      <c r="A49" s="165">
        <f t="shared" si="1"/>
        <v>45802</v>
      </c>
      <c r="C49" s="34"/>
      <c r="Z49" s="110" t="str">
        <f t="shared" si="2"/>
        <v/>
      </c>
      <c r="AE49" s="170">
        <f t="shared" si="0"/>
        <v>3.472222222222222E-3</v>
      </c>
      <c r="AG49" s="110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0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28" t="str" cm="1">
        <f t="array" aca="1" ref="AR49" ca="1">IF(A49=INDIRECT($AK$4&amp;"!$A$3"),IF(I49&lt;&gt;"",I49&amp;A49,""),"")</f>
        <v/>
      </c>
    </row>
    <row r="50" spans="1:44" ht="20.100000000000001" customHeight="1">
      <c r="A50" s="165">
        <f t="shared" si="1"/>
        <v>45802</v>
      </c>
      <c r="C50" s="34"/>
      <c r="Z50" s="110" t="str">
        <f t="shared" si="2"/>
        <v/>
      </c>
      <c r="AE50" s="170">
        <f t="shared" si="0"/>
        <v>3.472222222222222E-3</v>
      </c>
      <c r="AG50" s="110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0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28" t="str" cm="1">
        <f t="array" aca="1" ref="AR50" ca="1">IF(A50=INDIRECT($AK$4&amp;"!$A$3"),IF(I50&lt;&gt;"",I50&amp;A50,""),"")</f>
        <v/>
      </c>
    </row>
    <row r="51" spans="1:44" ht="20.100000000000001" customHeight="1">
      <c r="A51" s="165">
        <f t="shared" si="1"/>
        <v>45802</v>
      </c>
      <c r="C51" s="34"/>
      <c r="Z51" s="110" t="str">
        <f t="shared" si="2"/>
        <v/>
      </c>
      <c r="AE51" s="170">
        <f t="shared" si="0"/>
        <v>3.472222222222222E-3</v>
      </c>
      <c r="AG51" s="110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0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28" t="str" cm="1">
        <f t="array" aca="1" ref="AR51" ca="1">IF(A51=INDIRECT($AK$4&amp;"!$A$3"),IF(I51&lt;&gt;"",I51&amp;A51,""),"")</f>
        <v/>
      </c>
    </row>
    <row r="52" spans="1:44" ht="20.100000000000001" customHeight="1">
      <c r="A52" s="165">
        <f t="shared" si="1"/>
        <v>45802</v>
      </c>
      <c r="C52" s="34"/>
      <c r="Z52" s="110" t="str">
        <f t="shared" si="2"/>
        <v/>
      </c>
      <c r="AE52" s="170">
        <f t="shared" si="0"/>
        <v>3.472222222222222E-3</v>
      </c>
      <c r="AG52" s="110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0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28" t="str" cm="1">
        <f t="array" aca="1" ref="AR52" ca="1">IF(A52=INDIRECT($AK$4&amp;"!$A$3"),IF(I52&lt;&gt;"",I52&amp;A52,""),"")</f>
        <v/>
      </c>
    </row>
    <row r="53" spans="1:44" ht="20.100000000000001" customHeight="1">
      <c r="A53" s="165">
        <f t="shared" si="1"/>
        <v>45802</v>
      </c>
      <c r="C53" s="34"/>
      <c r="Z53" s="110" t="str">
        <f t="shared" si="2"/>
        <v/>
      </c>
      <c r="AE53" s="170">
        <f t="shared" si="0"/>
        <v>3.472222222222222E-3</v>
      </c>
      <c r="AG53" s="110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0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28" t="str" cm="1">
        <f t="array" aca="1" ref="AR53" ca="1">IF(A53=INDIRECT($AK$4&amp;"!$A$3"),IF(I53&lt;&gt;"",I53&amp;A53,""),"")</f>
        <v/>
      </c>
    </row>
    <row r="54" spans="1:44" ht="20.100000000000001" customHeight="1">
      <c r="A54" s="165">
        <f t="shared" si="1"/>
        <v>45802</v>
      </c>
      <c r="C54" s="34"/>
      <c r="Z54" s="110" t="str">
        <f t="shared" si="2"/>
        <v/>
      </c>
      <c r="AE54" s="170">
        <f t="shared" si="0"/>
        <v>3.472222222222222E-3</v>
      </c>
      <c r="AG54" s="110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0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28" t="str" cm="1">
        <f t="array" aca="1" ref="AR54" ca="1">IF(A54=INDIRECT($AK$4&amp;"!$A$3"),IF(I54&lt;&gt;"",I54&amp;A54,""),"")</f>
        <v/>
      </c>
    </row>
    <row r="55" spans="1:44" ht="20.100000000000001" customHeight="1">
      <c r="A55" s="165">
        <f t="shared" si="1"/>
        <v>45802</v>
      </c>
      <c r="C55" s="34"/>
      <c r="Z55" s="110" t="str">
        <f t="shared" si="2"/>
        <v/>
      </c>
      <c r="AE55" s="170">
        <f t="shared" si="0"/>
        <v>3.472222222222222E-3</v>
      </c>
      <c r="AG55" s="110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0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28" t="str" cm="1">
        <f t="array" aca="1" ref="AR55" ca="1">IF(A55=INDIRECT($AK$4&amp;"!$A$3"),IF(I55&lt;&gt;"",I55&amp;A55,""),"")</f>
        <v/>
      </c>
    </row>
    <row r="56" spans="1:44" ht="20.100000000000001" customHeight="1">
      <c r="A56" s="165">
        <f t="shared" si="1"/>
        <v>45802</v>
      </c>
      <c r="C56" s="34"/>
      <c r="Z56" s="110" t="str">
        <f t="shared" si="2"/>
        <v/>
      </c>
      <c r="AE56" s="170">
        <f t="shared" si="0"/>
        <v>3.472222222222222E-3</v>
      </c>
      <c r="AG56" s="110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0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28" t="str" cm="1">
        <f t="array" aca="1" ref="AR56" ca="1">IF(A56=INDIRECT($AK$4&amp;"!$A$3"),IF(I56&lt;&gt;"",I56&amp;A56,""),"")</f>
        <v/>
      </c>
    </row>
    <row r="57" spans="1:44" ht="20.100000000000001" customHeight="1">
      <c r="A57" s="165">
        <f t="shared" si="1"/>
        <v>45802</v>
      </c>
      <c r="C57" s="34"/>
      <c r="Z57" s="110" t="str">
        <f t="shared" si="2"/>
        <v/>
      </c>
      <c r="AE57" s="170">
        <f t="shared" si="0"/>
        <v>3.472222222222222E-3</v>
      </c>
      <c r="AG57" s="110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0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28" t="str" cm="1">
        <f t="array" aca="1" ref="AR57" ca="1">IF(A57=INDIRECT($AK$4&amp;"!$A$3"),IF(I57&lt;&gt;"",I57&amp;A57,""),"")</f>
        <v/>
      </c>
    </row>
    <row r="58" spans="1:44" ht="20.100000000000001" customHeight="1">
      <c r="A58" s="165">
        <f t="shared" si="1"/>
        <v>45802</v>
      </c>
      <c r="C58" s="34"/>
      <c r="Z58" s="110" t="str">
        <f t="shared" si="2"/>
        <v/>
      </c>
      <c r="AE58" s="170">
        <f t="shared" si="0"/>
        <v>3.472222222222222E-3</v>
      </c>
      <c r="AG58" s="110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0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28" t="str" cm="1">
        <f t="array" aca="1" ref="AR58" ca="1">IF(A58=INDIRECT($AK$4&amp;"!$A$3"),IF(I58&lt;&gt;"",I58&amp;A58,""),"")</f>
        <v/>
      </c>
    </row>
    <row r="59" spans="1:44" ht="20.100000000000001" customHeight="1">
      <c r="A59" s="165">
        <f t="shared" si="1"/>
        <v>45802</v>
      </c>
      <c r="C59" s="34"/>
      <c r="Z59" s="110" t="str">
        <f t="shared" si="2"/>
        <v/>
      </c>
      <c r="AE59" s="170">
        <f t="shared" si="0"/>
        <v>3.472222222222222E-3</v>
      </c>
      <c r="AG59" s="110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0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28" t="str" cm="1">
        <f t="array" aca="1" ref="AR59" ca="1">IF(A59=INDIRECT($AK$4&amp;"!$A$3"),IF(I59&lt;&gt;"",I59&amp;A59,""),"")</f>
        <v/>
      </c>
    </row>
    <row r="60" spans="1:44" ht="20.100000000000001" customHeight="1">
      <c r="A60" s="165">
        <f t="shared" si="1"/>
        <v>45802</v>
      </c>
      <c r="C60" s="34"/>
      <c r="Z60" s="110" t="str">
        <f t="shared" si="2"/>
        <v/>
      </c>
      <c r="AE60" s="170">
        <f t="shared" si="0"/>
        <v>3.472222222222222E-3</v>
      </c>
      <c r="AG60" s="110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0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28" t="str" cm="1">
        <f t="array" aca="1" ref="AR60" ca="1">IF(A60=INDIRECT($AK$4&amp;"!$A$3"),IF(I60&lt;&gt;"",I60&amp;A60,""),"")</f>
        <v/>
      </c>
    </row>
    <row r="61" spans="1:44" ht="20.100000000000001" customHeight="1">
      <c r="A61" s="165">
        <f t="shared" si="1"/>
        <v>45802</v>
      </c>
      <c r="C61" s="34"/>
      <c r="Z61" s="110" t="str">
        <f t="shared" si="2"/>
        <v/>
      </c>
      <c r="AE61" s="170">
        <f t="shared" si="0"/>
        <v>3.472222222222222E-3</v>
      </c>
      <c r="AG61" s="110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0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28" t="str" cm="1">
        <f t="array" aca="1" ref="AR61" ca="1">IF(A61=INDIRECT($AK$4&amp;"!$A$3"),IF(I61&lt;&gt;"",I61&amp;A61,""),"")</f>
        <v/>
      </c>
    </row>
    <row r="62" spans="1:44" ht="20.100000000000001" customHeight="1">
      <c r="A62" s="165">
        <f t="shared" si="1"/>
        <v>45802</v>
      </c>
      <c r="C62" s="34"/>
      <c r="Z62" s="110" t="str">
        <f t="shared" si="2"/>
        <v/>
      </c>
      <c r="AE62" s="170">
        <f t="shared" si="0"/>
        <v>3.472222222222222E-3</v>
      </c>
      <c r="AG62" s="110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0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28" t="str" cm="1">
        <f t="array" aca="1" ref="AR62" ca="1">IF(A62=INDIRECT($AK$4&amp;"!$A$3"),IF(I62&lt;&gt;"",I62&amp;A62,""),"")</f>
        <v/>
      </c>
    </row>
    <row r="63" spans="1:44" ht="20.100000000000001" customHeight="1">
      <c r="A63" s="165">
        <f t="shared" si="1"/>
        <v>45802</v>
      </c>
      <c r="C63" s="34"/>
      <c r="Z63" s="110" t="str">
        <f t="shared" si="2"/>
        <v/>
      </c>
      <c r="AE63" s="170">
        <f t="shared" si="0"/>
        <v>3.472222222222222E-3</v>
      </c>
      <c r="AG63" s="110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0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28" t="str" cm="1">
        <f t="array" aca="1" ref="AR63" ca="1">IF(A63=INDIRECT($AK$4&amp;"!$A$3"),IF(I63&lt;&gt;"",I63&amp;A63,""),"")</f>
        <v/>
      </c>
    </row>
    <row r="64" spans="1:44" ht="20.100000000000001" customHeight="1">
      <c r="A64" s="165">
        <f t="shared" si="1"/>
        <v>45802</v>
      </c>
      <c r="C64" s="34"/>
      <c r="Z64" s="110" t="str">
        <f t="shared" si="2"/>
        <v/>
      </c>
      <c r="AE64" s="170">
        <f t="shared" si="0"/>
        <v>3.472222222222222E-3</v>
      </c>
      <c r="AG64" s="110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0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28" t="str" cm="1">
        <f t="array" aca="1" ref="AR64" ca="1">IF(A64=INDIRECT($AK$4&amp;"!$A$3"),IF(I64&lt;&gt;"",I64&amp;A64,""),"")</f>
        <v/>
      </c>
    </row>
    <row r="65" spans="1:44" ht="20.100000000000001" customHeight="1">
      <c r="A65" s="165">
        <f t="shared" si="1"/>
        <v>45802</v>
      </c>
      <c r="C65" s="34"/>
      <c r="Z65" s="110" t="str">
        <f t="shared" si="2"/>
        <v/>
      </c>
      <c r="AE65" s="170">
        <f t="shared" si="0"/>
        <v>3.472222222222222E-3</v>
      </c>
      <c r="AG65" s="110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0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28" t="str" cm="1">
        <f t="array" aca="1" ref="AR65" ca="1">IF(A65=INDIRECT($AK$4&amp;"!$A$3"),IF(I65&lt;&gt;"",I65&amp;A65,""),"")</f>
        <v/>
      </c>
    </row>
    <row r="66" spans="1:44" ht="20.100000000000001" customHeight="1">
      <c r="A66" s="165">
        <f t="shared" si="1"/>
        <v>45802</v>
      </c>
      <c r="C66" s="34"/>
      <c r="Z66" s="110" t="str">
        <f t="shared" si="2"/>
        <v/>
      </c>
      <c r="AE66" s="170">
        <f t="shared" si="0"/>
        <v>3.472222222222222E-3</v>
      </c>
      <c r="AG66" s="110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0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28" t="str" cm="1">
        <f t="array" aca="1" ref="AR66" ca="1">IF(A66=INDIRECT($AK$4&amp;"!$A$3"),IF(I66&lt;&gt;"",I66&amp;A66,""),"")</f>
        <v/>
      </c>
    </row>
    <row r="67" spans="1:44" ht="20.100000000000001" customHeight="1">
      <c r="A67" s="165">
        <f t="shared" si="1"/>
        <v>45802</v>
      </c>
      <c r="C67" s="34"/>
      <c r="Z67" s="110" t="str">
        <f t="shared" si="2"/>
        <v/>
      </c>
      <c r="AE67" s="170">
        <f t="shared" si="0"/>
        <v>3.472222222222222E-3</v>
      </c>
      <c r="AG67" s="110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0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28" t="str" cm="1">
        <f t="array" aca="1" ref="AR67" ca="1">IF(A67=INDIRECT($AK$4&amp;"!$A$3"),IF(I67&lt;&gt;"",I67&amp;A67,""),"")</f>
        <v/>
      </c>
    </row>
    <row r="68" spans="1:44" ht="20.100000000000001" customHeight="1">
      <c r="A68" s="165">
        <f t="shared" si="1"/>
        <v>45802</v>
      </c>
      <c r="C68" s="34"/>
      <c r="Z68" s="110" t="str">
        <f t="shared" si="2"/>
        <v/>
      </c>
      <c r="AE68" s="170">
        <f t="shared" si="0"/>
        <v>3.472222222222222E-3</v>
      </c>
      <c r="AG68" s="110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0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28" t="str" cm="1">
        <f t="array" aca="1" ref="AR68" ca="1">IF(A68=INDIRECT($AK$4&amp;"!$A$3"),IF(I68&lt;&gt;"",I68&amp;A68,""),"")</f>
        <v/>
      </c>
    </row>
    <row r="69" spans="1:44" ht="20.100000000000001" customHeight="1">
      <c r="A69" s="165">
        <f t="shared" si="1"/>
        <v>45802</v>
      </c>
      <c r="C69" s="34"/>
      <c r="Z69" s="110" t="str">
        <f t="shared" si="2"/>
        <v/>
      </c>
      <c r="AE69" s="170">
        <f t="shared" ref="AE69:AE132" si="11">TIME(0,$K69+5,0)</f>
        <v>3.472222222222222E-3</v>
      </c>
      <c r="AG69" s="110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0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28" t="str" cm="1">
        <f t="array" aca="1" ref="AR69" ca="1">IF(A69=INDIRECT($AK$4&amp;"!$A$3"),IF(I69&lt;&gt;"",I69&amp;A69,""),"")</f>
        <v/>
      </c>
    </row>
    <row r="70" spans="1:44" ht="20.100000000000001" customHeight="1">
      <c r="A70" s="165">
        <f t="shared" ref="A70:A133" si="12">A69</f>
        <v>45802</v>
      </c>
      <c r="C70" s="34"/>
      <c r="Z70" s="110" t="str">
        <f t="shared" ref="Z70:Z133" si="13">IF(Y70="","",$Y70+TIME(0,5,0))</f>
        <v/>
      </c>
      <c r="AE70" s="170">
        <f t="shared" si="11"/>
        <v>3.472222222222222E-3</v>
      </c>
      <c r="AG70" s="110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28" t="str" cm="1">
        <f t="array" aca="1" ref="AR70" ca="1">IF(A70=INDIRECT($AK$4&amp;"!$A$3"),IF(I70&lt;&gt;"",I70&amp;A70,""),"")</f>
        <v/>
      </c>
    </row>
    <row r="71" spans="1:44" ht="20.100000000000001" customHeight="1">
      <c r="A71" s="165">
        <f t="shared" si="12"/>
        <v>45802</v>
      </c>
      <c r="C71" s="34"/>
      <c r="Z71" s="110" t="str">
        <f t="shared" si="13"/>
        <v/>
      </c>
      <c r="AE71" s="170">
        <f t="shared" si="11"/>
        <v>3.472222222222222E-3</v>
      </c>
      <c r="AG71" s="110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28" t="str" cm="1">
        <f t="array" aca="1" ref="AR71" ca="1">IF(A71=INDIRECT($AK$4&amp;"!$A$3"),IF(I71&lt;&gt;"",I71&amp;A71,""),"")</f>
        <v/>
      </c>
    </row>
    <row r="72" spans="1:44" ht="20.100000000000001" customHeight="1">
      <c r="A72" s="165">
        <f t="shared" si="12"/>
        <v>45802</v>
      </c>
      <c r="C72" s="34"/>
      <c r="Z72" s="110" t="str">
        <f t="shared" si="13"/>
        <v/>
      </c>
      <c r="AE72" s="170">
        <f t="shared" si="11"/>
        <v>3.472222222222222E-3</v>
      </c>
      <c r="AG72" s="110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28" t="str" cm="1">
        <f t="array" aca="1" ref="AR72" ca="1">IF(A72=INDIRECT($AK$4&amp;"!$A$3"),IF(I72&lt;&gt;"",I72&amp;A72,""),"")</f>
        <v/>
      </c>
    </row>
    <row r="73" spans="1:44" ht="20.100000000000001" customHeight="1">
      <c r="A73" s="165">
        <f t="shared" si="12"/>
        <v>45802</v>
      </c>
      <c r="C73" s="34"/>
      <c r="Z73" s="110" t="str">
        <f t="shared" si="13"/>
        <v/>
      </c>
      <c r="AE73" s="170">
        <f t="shared" si="11"/>
        <v>3.472222222222222E-3</v>
      </c>
      <c r="AG73" s="110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28" t="str" cm="1">
        <f t="array" aca="1" ref="AR73" ca="1">IF(A73=INDIRECT($AK$4&amp;"!$A$3"),IF(I73&lt;&gt;"",I73&amp;A73,""),"")</f>
        <v/>
      </c>
    </row>
    <row r="74" spans="1:44" ht="20.100000000000001" customHeight="1">
      <c r="A74" s="165">
        <f t="shared" si="12"/>
        <v>45802</v>
      </c>
      <c r="C74" s="34"/>
      <c r="Z74" s="110" t="str">
        <f t="shared" si="13"/>
        <v/>
      </c>
      <c r="AE74" s="170">
        <f t="shared" si="11"/>
        <v>3.472222222222222E-3</v>
      </c>
      <c r="AG74" s="110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28" t="str" cm="1">
        <f t="array" aca="1" ref="AR74" ca="1">IF(A74=INDIRECT($AK$4&amp;"!$A$3"),IF(I74&lt;&gt;"",I74&amp;A74,""),"")</f>
        <v/>
      </c>
    </row>
    <row r="75" spans="1:44" ht="20.100000000000001" customHeight="1">
      <c r="A75" s="165">
        <f t="shared" si="12"/>
        <v>45802</v>
      </c>
      <c r="C75" s="34"/>
      <c r="Z75" s="110" t="str">
        <f t="shared" si="13"/>
        <v/>
      </c>
      <c r="AE75" s="170">
        <f t="shared" si="11"/>
        <v>3.472222222222222E-3</v>
      </c>
      <c r="AG75" s="110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28" t="str" cm="1">
        <f t="array" aca="1" ref="AR75" ca="1">IF(A75=INDIRECT($AK$4&amp;"!$A$3"),IF(I75&lt;&gt;"",I75&amp;A75,""),"")</f>
        <v/>
      </c>
    </row>
    <row r="76" spans="1:44" ht="20.100000000000001" customHeight="1">
      <c r="A76" s="165">
        <f t="shared" si="12"/>
        <v>45802</v>
      </c>
      <c r="C76" s="34"/>
      <c r="Z76" s="110" t="str">
        <f t="shared" si="13"/>
        <v/>
      </c>
      <c r="AE76" s="170">
        <f t="shared" si="11"/>
        <v>3.472222222222222E-3</v>
      </c>
      <c r="AG76" s="110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28" t="str" cm="1">
        <f t="array" aca="1" ref="AR76" ca="1">IF(A76=INDIRECT($AK$4&amp;"!$A$3"),IF(I76&lt;&gt;"",I76&amp;A76,""),"")</f>
        <v/>
      </c>
    </row>
    <row r="77" spans="1:44" ht="20.100000000000001" customHeight="1">
      <c r="A77" s="165">
        <f t="shared" si="12"/>
        <v>45802</v>
      </c>
      <c r="C77" s="34"/>
      <c r="Z77" s="110" t="str">
        <f t="shared" si="13"/>
        <v/>
      </c>
      <c r="AE77" s="170">
        <f t="shared" si="11"/>
        <v>3.472222222222222E-3</v>
      </c>
      <c r="AG77" s="110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28" t="str" cm="1">
        <f t="array" aca="1" ref="AR77" ca="1">IF(A77=INDIRECT($AK$4&amp;"!$A$3"),IF(I77&lt;&gt;"",I77&amp;A77,""),"")</f>
        <v/>
      </c>
    </row>
    <row r="78" spans="1:44" ht="20.100000000000001" customHeight="1">
      <c r="A78" s="165">
        <f t="shared" si="12"/>
        <v>45802</v>
      </c>
      <c r="C78" s="34"/>
      <c r="Z78" s="110" t="str">
        <f t="shared" si="13"/>
        <v/>
      </c>
      <c r="AE78" s="170">
        <f t="shared" si="11"/>
        <v>3.472222222222222E-3</v>
      </c>
      <c r="AG78" s="110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28" t="str" cm="1">
        <f t="array" aca="1" ref="AR78" ca="1">IF(A78=INDIRECT($AK$4&amp;"!$A$3"),IF(I78&lt;&gt;"",I78&amp;A78,""),"")</f>
        <v/>
      </c>
    </row>
    <row r="79" spans="1:44" ht="20.100000000000001" customHeight="1">
      <c r="A79" s="165">
        <f t="shared" si="12"/>
        <v>45802</v>
      </c>
      <c r="C79" s="34"/>
      <c r="Z79" s="110" t="str">
        <f t="shared" si="13"/>
        <v/>
      </c>
      <c r="AE79" s="170">
        <f t="shared" si="11"/>
        <v>3.472222222222222E-3</v>
      </c>
      <c r="AG79" s="110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28" t="str" cm="1">
        <f t="array" aca="1" ref="AR79" ca="1">IF(A79=INDIRECT($AK$4&amp;"!$A$3"),IF(I79&lt;&gt;"",I79&amp;A79,""),"")</f>
        <v/>
      </c>
    </row>
    <row r="80" spans="1:44" ht="20.100000000000001" customHeight="1">
      <c r="A80" s="165">
        <f t="shared" si="12"/>
        <v>45802</v>
      </c>
      <c r="C80" s="34"/>
      <c r="Z80" s="110" t="str">
        <f t="shared" si="13"/>
        <v/>
      </c>
      <c r="AE80" s="170">
        <f t="shared" si="11"/>
        <v>3.472222222222222E-3</v>
      </c>
      <c r="AG80" s="110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28" t="str" cm="1">
        <f t="array" aca="1" ref="AR80" ca="1">IF(A80=INDIRECT($AK$4&amp;"!$A$3"),IF(I80&lt;&gt;"",I80&amp;A80,""),"")</f>
        <v/>
      </c>
    </row>
    <row r="81" spans="1:44" ht="20.100000000000001" customHeight="1">
      <c r="A81" s="165">
        <f t="shared" si="12"/>
        <v>45802</v>
      </c>
      <c r="C81" s="34"/>
      <c r="Z81" s="110" t="str">
        <f t="shared" si="13"/>
        <v/>
      </c>
      <c r="AE81" s="170">
        <f t="shared" si="11"/>
        <v>3.472222222222222E-3</v>
      </c>
      <c r="AG81" s="110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28" t="str" cm="1">
        <f t="array" aca="1" ref="AR81" ca="1">IF(A81=INDIRECT($AK$4&amp;"!$A$3"),IF(I81&lt;&gt;"",I81&amp;A81,""),"")</f>
        <v/>
      </c>
    </row>
    <row r="82" spans="1:44" ht="20.100000000000001" customHeight="1">
      <c r="A82" s="165">
        <f t="shared" si="12"/>
        <v>45802</v>
      </c>
      <c r="C82" s="34"/>
      <c r="Z82" s="110" t="str">
        <f t="shared" si="13"/>
        <v/>
      </c>
      <c r="AE82" s="170">
        <f t="shared" si="11"/>
        <v>3.472222222222222E-3</v>
      </c>
      <c r="AG82" s="110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28" t="str" cm="1">
        <f t="array" aca="1" ref="AR82" ca="1">IF(A82=INDIRECT($AK$4&amp;"!$A$3"),IF(I82&lt;&gt;"",I82&amp;A82,""),"")</f>
        <v/>
      </c>
    </row>
    <row r="83" spans="1:44" ht="20.100000000000001" customHeight="1">
      <c r="A83" s="165">
        <f t="shared" si="12"/>
        <v>45802</v>
      </c>
      <c r="C83" s="34"/>
      <c r="Z83" s="110" t="str">
        <f t="shared" si="13"/>
        <v/>
      </c>
      <c r="AE83" s="170">
        <f t="shared" si="11"/>
        <v>3.472222222222222E-3</v>
      </c>
      <c r="AG83" s="110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28" t="str" cm="1">
        <f t="array" aca="1" ref="AR83" ca="1">IF(A83=INDIRECT($AK$4&amp;"!$A$3"),IF(I83&lt;&gt;"",I83&amp;A83,""),"")</f>
        <v/>
      </c>
    </row>
    <row r="84" spans="1:44" ht="20.100000000000001" customHeight="1">
      <c r="A84" s="165">
        <f t="shared" si="12"/>
        <v>45802</v>
      </c>
      <c r="C84" s="34"/>
      <c r="Z84" s="110" t="str">
        <f t="shared" si="13"/>
        <v/>
      </c>
      <c r="AE84" s="170">
        <f t="shared" si="11"/>
        <v>3.472222222222222E-3</v>
      </c>
      <c r="AG84" s="110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28" t="str" cm="1">
        <f t="array" aca="1" ref="AR84" ca="1">IF(A84=INDIRECT($AK$4&amp;"!$A$3"),IF(I84&lt;&gt;"",I84&amp;A84,""),"")</f>
        <v/>
      </c>
    </row>
    <row r="85" spans="1:44" ht="20.100000000000001" customHeight="1">
      <c r="A85" s="165">
        <f t="shared" si="12"/>
        <v>45802</v>
      </c>
      <c r="C85" s="34"/>
      <c r="Z85" s="110" t="str">
        <f t="shared" si="13"/>
        <v/>
      </c>
      <c r="AE85" s="170">
        <f t="shared" si="11"/>
        <v>3.472222222222222E-3</v>
      </c>
      <c r="AG85" s="110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28" t="str" cm="1">
        <f t="array" aca="1" ref="AR85" ca="1">IF(A85=INDIRECT($AK$4&amp;"!$A$3"),IF(I85&lt;&gt;"",I85&amp;A85,""),"")</f>
        <v/>
      </c>
    </row>
    <row r="86" spans="1:44" ht="20.100000000000001" customHeight="1">
      <c r="A86" s="165">
        <f t="shared" si="12"/>
        <v>45802</v>
      </c>
      <c r="C86" s="34"/>
      <c r="Z86" s="110" t="str">
        <f t="shared" si="13"/>
        <v/>
      </c>
      <c r="AE86" s="170">
        <f t="shared" si="11"/>
        <v>3.472222222222222E-3</v>
      </c>
      <c r="AG86" s="110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28" t="str" cm="1">
        <f t="array" aca="1" ref="AR86" ca="1">IF(A86=INDIRECT($AK$4&amp;"!$A$3"),IF(I86&lt;&gt;"",I86&amp;A86,""),"")</f>
        <v/>
      </c>
    </row>
    <row r="87" spans="1:44" ht="20.100000000000001" customHeight="1">
      <c r="A87" s="165">
        <f t="shared" si="12"/>
        <v>45802</v>
      </c>
      <c r="C87" s="34"/>
      <c r="Z87" s="110" t="str">
        <f t="shared" si="13"/>
        <v/>
      </c>
      <c r="AE87" s="170">
        <f t="shared" si="11"/>
        <v>3.472222222222222E-3</v>
      </c>
      <c r="AG87" s="110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28" t="str" cm="1">
        <f t="array" aca="1" ref="AR87" ca="1">IF(A87=INDIRECT($AK$4&amp;"!$A$3"),IF(I87&lt;&gt;"",I87&amp;A87,""),"")</f>
        <v/>
      </c>
    </row>
    <row r="88" spans="1:44" ht="20.100000000000001" customHeight="1">
      <c r="A88" s="165">
        <f t="shared" si="12"/>
        <v>45802</v>
      </c>
      <c r="C88" s="34"/>
      <c r="Z88" s="110" t="str">
        <f t="shared" si="13"/>
        <v/>
      </c>
      <c r="AE88" s="170">
        <f t="shared" si="11"/>
        <v>3.472222222222222E-3</v>
      </c>
      <c r="AG88" s="110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28" t="str" cm="1">
        <f t="array" aca="1" ref="AR88" ca="1">IF(A88=INDIRECT($AK$4&amp;"!$A$3"),IF(I88&lt;&gt;"",I88&amp;A88,""),"")</f>
        <v/>
      </c>
    </row>
    <row r="89" spans="1:44" ht="20.100000000000001" customHeight="1">
      <c r="A89" s="165">
        <f t="shared" si="12"/>
        <v>45802</v>
      </c>
      <c r="C89" s="34"/>
      <c r="Z89" s="110" t="str">
        <f t="shared" si="13"/>
        <v/>
      </c>
      <c r="AE89" s="170">
        <f t="shared" si="11"/>
        <v>3.472222222222222E-3</v>
      </c>
      <c r="AG89" s="110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28" t="str" cm="1">
        <f t="array" aca="1" ref="AR89" ca="1">IF(A89=INDIRECT($AK$4&amp;"!$A$3"),IF(I89&lt;&gt;"",I89&amp;A89,""),"")</f>
        <v/>
      </c>
    </row>
    <row r="90" spans="1:44" ht="20.100000000000001" customHeight="1">
      <c r="A90" s="165">
        <f t="shared" si="12"/>
        <v>45802</v>
      </c>
      <c r="C90" s="34"/>
      <c r="Z90" s="110" t="str">
        <f t="shared" si="13"/>
        <v/>
      </c>
      <c r="AE90" s="170">
        <f t="shared" si="11"/>
        <v>3.472222222222222E-3</v>
      </c>
      <c r="AG90" s="110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28" t="str" cm="1">
        <f t="array" aca="1" ref="AR90" ca="1">IF(A90=INDIRECT($AK$4&amp;"!$A$3"),IF(I90&lt;&gt;"",I90&amp;A90,""),"")</f>
        <v/>
      </c>
    </row>
    <row r="91" spans="1:44" ht="20.100000000000001" customHeight="1">
      <c r="A91" s="165">
        <f t="shared" si="12"/>
        <v>45802</v>
      </c>
      <c r="C91" s="34"/>
      <c r="Z91" s="110" t="str">
        <f t="shared" si="13"/>
        <v/>
      </c>
      <c r="AE91" s="170">
        <f t="shared" si="11"/>
        <v>3.472222222222222E-3</v>
      </c>
      <c r="AG91" s="110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28" t="str" cm="1">
        <f t="array" aca="1" ref="AR91" ca="1">IF(A91=INDIRECT($AK$4&amp;"!$A$3"),IF(I91&lt;&gt;"",I91&amp;A91,""),"")</f>
        <v/>
      </c>
    </row>
    <row r="92" spans="1:44" ht="20.100000000000001" customHeight="1">
      <c r="A92" s="165">
        <f t="shared" si="12"/>
        <v>45802</v>
      </c>
      <c r="C92" s="34"/>
      <c r="Z92" s="110" t="str">
        <f t="shared" si="13"/>
        <v/>
      </c>
      <c r="AE92" s="170">
        <f t="shared" si="11"/>
        <v>3.472222222222222E-3</v>
      </c>
      <c r="AG92" s="110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28" t="str" cm="1">
        <f t="array" aca="1" ref="AR92" ca="1">IF(A92=INDIRECT($AK$4&amp;"!$A$3"),IF(I92&lt;&gt;"",I92&amp;A92,""),"")</f>
        <v/>
      </c>
    </row>
    <row r="93" spans="1:44" ht="20.100000000000001" customHeight="1">
      <c r="A93" s="165">
        <f t="shared" si="12"/>
        <v>45802</v>
      </c>
      <c r="C93" s="34"/>
      <c r="Z93" s="110" t="str">
        <f t="shared" si="13"/>
        <v/>
      </c>
      <c r="AE93" s="170">
        <f t="shared" si="11"/>
        <v>3.472222222222222E-3</v>
      </c>
      <c r="AG93" s="110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28" t="str" cm="1">
        <f t="array" aca="1" ref="AR93" ca="1">IF(A93=INDIRECT($AK$4&amp;"!$A$3"),IF(I93&lt;&gt;"",I93&amp;A93,""),"")</f>
        <v/>
      </c>
    </row>
    <row r="94" spans="1:44" ht="20.100000000000001" customHeight="1">
      <c r="A94" s="165">
        <f t="shared" si="12"/>
        <v>45802</v>
      </c>
      <c r="C94" s="34"/>
      <c r="Z94" s="110" t="str">
        <f t="shared" si="13"/>
        <v/>
      </c>
      <c r="AE94" s="170">
        <f t="shared" si="11"/>
        <v>3.472222222222222E-3</v>
      </c>
      <c r="AG94" s="110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28" t="str" cm="1">
        <f t="array" aca="1" ref="AR94" ca="1">IF(A94=INDIRECT($AK$4&amp;"!$A$3"),IF(I94&lt;&gt;"",I94&amp;A94,""),"")</f>
        <v/>
      </c>
    </row>
    <row r="95" spans="1:44" ht="20.100000000000001" customHeight="1">
      <c r="A95" s="165">
        <f t="shared" si="12"/>
        <v>45802</v>
      </c>
      <c r="C95" s="34"/>
      <c r="Z95" s="110" t="str">
        <f t="shared" si="13"/>
        <v/>
      </c>
      <c r="AE95" s="170">
        <f t="shared" si="11"/>
        <v>3.472222222222222E-3</v>
      </c>
      <c r="AG95" s="110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28" t="str" cm="1">
        <f t="array" aca="1" ref="AR95" ca="1">IF(A95=INDIRECT($AK$4&amp;"!$A$3"),IF(I95&lt;&gt;"",I95&amp;A95,""),"")</f>
        <v/>
      </c>
    </row>
    <row r="96" spans="1:44" ht="20.100000000000001" customHeight="1">
      <c r="A96" s="165">
        <f t="shared" si="12"/>
        <v>45802</v>
      </c>
      <c r="C96" s="34"/>
      <c r="Z96" s="110" t="str">
        <f t="shared" si="13"/>
        <v/>
      </c>
      <c r="AE96" s="170">
        <f t="shared" si="11"/>
        <v>3.472222222222222E-3</v>
      </c>
      <c r="AG96" s="110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28" t="str" cm="1">
        <f t="array" aca="1" ref="AR96" ca="1">IF(A96=INDIRECT($AK$4&amp;"!$A$3"),IF(I96&lt;&gt;"",I96&amp;A96,""),"")</f>
        <v/>
      </c>
    </row>
    <row r="97" spans="1:44" ht="20.100000000000001" customHeight="1">
      <c r="A97" s="165">
        <f t="shared" si="12"/>
        <v>45802</v>
      </c>
      <c r="C97" s="34"/>
      <c r="Z97" s="110" t="str">
        <f t="shared" si="13"/>
        <v/>
      </c>
      <c r="AE97" s="170">
        <f t="shared" si="11"/>
        <v>3.472222222222222E-3</v>
      </c>
      <c r="AG97" s="110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28" t="str" cm="1">
        <f t="array" aca="1" ref="AR97" ca="1">IF(A97=INDIRECT($AK$4&amp;"!$A$3"),IF(I97&lt;&gt;"",I97&amp;A97,""),"")</f>
        <v/>
      </c>
    </row>
    <row r="98" spans="1:44" ht="20.100000000000001" customHeight="1">
      <c r="A98" s="165">
        <f t="shared" si="12"/>
        <v>45802</v>
      </c>
      <c r="C98" s="34"/>
      <c r="Z98" s="110" t="str">
        <f t="shared" si="13"/>
        <v/>
      </c>
      <c r="AE98" s="170">
        <f t="shared" si="11"/>
        <v>3.472222222222222E-3</v>
      </c>
      <c r="AG98" s="110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28" t="str" cm="1">
        <f t="array" aca="1" ref="AR98" ca="1">IF(A98=INDIRECT($AK$4&amp;"!$A$3"),IF(I98&lt;&gt;"",I98&amp;A98,""),"")</f>
        <v/>
      </c>
    </row>
    <row r="99" spans="1:44" ht="20.100000000000001" customHeight="1">
      <c r="A99" s="165">
        <f t="shared" si="12"/>
        <v>45802</v>
      </c>
      <c r="C99" s="34"/>
      <c r="Z99" s="110" t="str">
        <f t="shared" si="13"/>
        <v/>
      </c>
      <c r="AE99" s="170">
        <f t="shared" si="11"/>
        <v>3.472222222222222E-3</v>
      </c>
      <c r="AG99" s="110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28" t="str" cm="1">
        <f t="array" aca="1" ref="AR99" ca="1">IF(A99=INDIRECT($AK$4&amp;"!$A$3"),IF(I99&lt;&gt;"",I99&amp;A99,""),"")</f>
        <v/>
      </c>
    </row>
    <row r="100" spans="1:44" ht="20.100000000000001" customHeight="1">
      <c r="A100" s="165">
        <f t="shared" si="12"/>
        <v>45802</v>
      </c>
      <c r="C100" s="34"/>
      <c r="Z100" s="110" t="str">
        <f t="shared" si="13"/>
        <v/>
      </c>
      <c r="AE100" s="170">
        <f t="shared" si="11"/>
        <v>3.472222222222222E-3</v>
      </c>
      <c r="AG100" s="110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28" t="str" cm="1">
        <f t="array" aca="1" ref="AR100" ca="1">IF(A100=INDIRECT($AK$4&amp;"!$A$3"),IF(I100&lt;&gt;"",I100&amp;A100,""),"")</f>
        <v/>
      </c>
    </row>
    <row r="101" spans="1:44" ht="20.100000000000001" customHeight="1">
      <c r="A101" s="165">
        <f t="shared" si="12"/>
        <v>45802</v>
      </c>
      <c r="C101" s="34"/>
      <c r="Z101" s="110" t="str">
        <f t="shared" si="13"/>
        <v/>
      </c>
      <c r="AE101" s="170">
        <f t="shared" si="11"/>
        <v>3.472222222222222E-3</v>
      </c>
      <c r="AG101" s="110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28" t="str" cm="1">
        <f t="array" aca="1" ref="AR101" ca="1">IF(A101=INDIRECT($AK$4&amp;"!$A$3"),IF(I101&lt;&gt;"",I101&amp;A101,""),"")</f>
        <v/>
      </c>
    </row>
    <row r="102" spans="1:44" ht="20.100000000000001" customHeight="1">
      <c r="A102" s="165">
        <f t="shared" si="12"/>
        <v>45802</v>
      </c>
      <c r="C102" s="34"/>
      <c r="Z102" s="110" t="str">
        <f t="shared" si="13"/>
        <v/>
      </c>
      <c r="AE102" s="170">
        <f t="shared" si="11"/>
        <v>3.472222222222222E-3</v>
      </c>
      <c r="AG102" s="110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28" t="str" cm="1">
        <f t="array" aca="1" ref="AR102" ca="1">IF(A102=INDIRECT($AK$4&amp;"!$A$3"),IF(I102&lt;&gt;"",I102&amp;A102,""),"")</f>
        <v/>
      </c>
    </row>
    <row r="103" spans="1:44" ht="20.100000000000001" customHeight="1">
      <c r="A103" s="165">
        <f t="shared" si="12"/>
        <v>45802</v>
      </c>
      <c r="C103" s="34"/>
      <c r="Z103" s="110" t="str">
        <f t="shared" si="13"/>
        <v/>
      </c>
      <c r="AE103" s="170">
        <f t="shared" si="11"/>
        <v>3.472222222222222E-3</v>
      </c>
      <c r="AG103" s="110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28" t="str" cm="1">
        <f t="array" aca="1" ref="AR103" ca="1">IF(A103=INDIRECT($AK$4&amp;"!$A$3"),IF(I103&lt;&gt;"",I103&amp;A103,""),"")</f>
        <v/>
      </c>
    </row>
    <row r="104" spans="1:44" ht="20.100000000000001" customHeight="1">
      <c r="A104" s="165">
        <f t="shared" si="12"/>
        <v>45802</v>
      </c>
      <c r="C104" s="34"/>
      <c r="Z104" s="110" t="str">
        <f t="shared" si="13"/>
        <v/>
      </c>
      <c r="AE104" s="170">
        <f t="shared" si="11"/>
        <v>3.472222222222222E-3</v>
      </c>
      <c r="AG104" s="110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28" t="str" cm="1">
        <f t="array" aca="1" ref="AR104" ca="1">IF(A104=INDIRECT($AK$4&amp;"!$A$3"),IF(I104&lt;&gt;"",I104&amp;A104,""),"")</f>
        <v/>
      </c>
    </row>
    <row r="105" spans="1:44" ht="20.100000000000001" customHeight="1">
      <c r="A105" s="165">
        <f t="shared" si="12"/>
        <v>45802</v>
      </c>
      <c r="C105" s="34"/>
      <c r="Z105" s="110" t="str">
        <f t="shared" si="13"/>
        <v/>
      </c>
      <c r="AE105" s="170">
        <f t="shared" si="11"/>
        <v>3.472222222222222E-3</v>
      </c>
      <c r="AG105" s="110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28" t="str" cm="1">
        <f t="array" aca="1" ref="AR105" ca="1">IF(A105=INDIRECT($AK$4&amp;"!$A$3"),IF(I105&lt;&gt;"",I105&amp;A105,""),"")</f>
        <v/>
      </c>
    </row>
    <row r="106" spans="1:44" ht="20.100000000000001" customHeight="1">
      <c r="A106" s="165">
        <f t="shared" si="12"/>
        <v>45802</v>
      </c>
      <c r="C106" s="34"/>
      <c r="Z106" s="110" t="str">
        <f t="shared" si="13"/>
        <v/>
      </c>
      <c r="AE106" s="170">
        <f t="shared" si="11"/>
        <v>3.472222222222222E-3</v>
      </c>
      <c r="AG106" s="110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28" t="str" cm="1">
        <f t="array" aca="1" ref="AR106" ca="1">IF(A106=INDIRECT($AK$4&amp;"!$A$3"),IF(I106&lt;&gt;"",I106&amp;A106,""),"")</f>
        <v/>
      </c>
    </row>
    <row r="107" spans="1:44" ht="20.100000000000001" customHeight="1">
      <c r="A107" s="165">
        <f t="shared" si="12"/>
        <v>45802</v>
      </c>
      <c r="C107" s="34"/>
      <c r="Z107" s="110" t="str">
        <f t="shared" si="13"/>
        <v/>
      </c>
      <c r="AE107" s="170">
        <f t="shared" si="11"/>
        <v>3.472222222222222E-3</v>
      </c>
      <c r="AG107" s="110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28" t="str" cm="1">
        <f t="array" aca="1" ref="AR107" ca="1">IF(A107=INDIRECT($AK$4&amp;"!$A$3"),IF(I107&lt;&gt;"",I107&amp;A107,""),"")</f>
        <v/>
      </c>
    </row>
    <row r="108" spans="1:44" ht="20.100000000000001" customHeight="1">
      <c r="A108" s="165">
        <f t="shared" si="12"/>
        <v>45802</v>
      </c>
      <c r="C108" s="34"/>
      <c r="Z108" s="110" t="str">
        <f t="shared" si="13"/>
        <v/>
      </c>
      <c r="AE108" s="170">
        <f t="shared" si="11"/>
        <v>3.472222222222222E-3</v>
      </c>
      <c r="AG108" s="110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28" t="str" cm="1">
        <f t="array" aca="1" ref="AR108" ca="1">IF(A108=INDIRECT($AK$4&amp;"!$A$3"),IF(I108&lt;&gt;"",I108&amp;A108,""),"")</f>
        <v/>
      </c>
    </row>
    <row r="109" spans="1:44" ht="20.100000000000001" customHeight="1">
      <c r="A109" s="165">
        <f t="shared" si="12"/>
        <v>45802</v>
      </c>
      <c r="C109" s="34"/>
      <c r="Z109" s="110" t="str">
        <f t="shared" si="13"/>
        <v/>
      </c>
      <c r="AE109" s="170">
        <f t="shared" si="11"/>
        <v>3.472222222222222E-3</v>
      </c>
      <c r="AG109" s="110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28" t="str" cm="1">
        <f t="array" aca="1" ref="AR109" ca="1">IF(A109=INDIRECT($AK$4&amp;"!$A$3"),IF(I109&lt;&gt;"",I109&amp;A109,""),"")</f>
        <v/>
      </c>
    </row>
    <row r="110" spans="1:44" ht="20.100000000000001" customHeight="1">
      <c r="A110" s="165">
        <f t="shared" si="12"/>
        <v>45802</v>
      </c>
      <c r="C110" s="34"/>
      <c r="Z110" s="110" t="str">
        <f t="shared" si="13"/>
        <v/>
      </c>
      <c r="AE110" s="170">
        <f t="shared" si="11"/>
        <v>3.472222222222222E-3</v>
      </c>
      <c r="AG110" s="110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28" t="str" cm="1">
        <f t="array" aca="1" ref="AR110" ca="1">IF(A110=INDIRECT($AK$4&amp;"!$A$3"),IF(I110&lt;&gt;"",I110&amp;A110,""),"")</f>
        <v/>
      </c>
    </row>
    <row r="111" spans="1:44" ht="20.100000000000001" customHeight="1">
      <c r="A111" s="165">
        <f t="shared" si="12"/>
        <v>45802</v>
      </c>
      <c r="C111" s="34"/>
      <c r="Z111" s="110" t="str">
        <f t="shared" si="13"/>
        <v/>
      </c>
      <c r="AE111" s="170">
        <f t="shared" si="11"/>
        <v>3.472222222222222E-3</v>
      </c>
      <c r="AG111" s="110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28" t="str" cm="1">
        <f t="array" aca="1" ref="AR111" ca="1">IF(A111=INDIRECT($AK$4&amp;"!$A$3"),IF(I111&lt;&gt;"",I111&amp;A111,""),"")</f>
        <v/>
      </c>
    </row>
    <row r="112" spans="1:44" ht="20.100000000000001" customHeight="1">
      <c r="A112" s="165">
        <f t="shared" si="12"/>
        <v>45802</v>
      </c>
      <c r="C112" s="34"/>
      <c r="Z112" s="110" t="str">
        <f t="shared" si="13"/>
        <v/>
      </c>
      <c r="AE112" s="170">
        <f t="shared" si="11"/>
        <v>3.472222222222222E-3</v>
      </c>
      <c r="AG112" s="110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28" t="str" cm="1">
        <f t="array" aca="1" ref="AR112" ca="1">IF(A112=INDIRECT($AK$4&amp;"!$A$3"),IF(I112&lt;&gt;"",I112&amp;A112,""),"")</f>
        <v/>
      </c>
    </row>
    <row r="113" spans="1:44" ht="20.100000000000001" customHeight="1">
      <c r="A113" s="165">
        <f t="shared" si="12"/>
        <v>45802</v>
      </c>
      <c r="C113" s="34"/>
      <c r="Z113" s="110" t="str">
        <f t="shared" si="13"/>
        <v/>
      </c>
      <c r="AE113" s="170">
        <f t="shared" si="11"/>
        <v>3.472222222222222E-3</v>
      </c>
      <c r="AG113" s="110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28" t="str" cm="1">
        <f t="array" aca="1" ref="AR113" ca="1">IF(A113=INDIRECT($AK$4&amp;"!$A$3"),IF(I113&lt;&gt;"",I113&amp;A113,""),"")</f>
        <v/>
      </c>
    </row>
    <row r="114" spans="1:44" ht="20.100000000000001" customHeight="1">
      <c r="A114" s="165">
        <f t="shared" si="12"/>
        <v>45802</v>
      </c>
      <c r="C114" s="34"/>
      <c r="Z114" s="110" t="str">
        <f t="shared" si="13"/>
        <v/>
      </c>
      <c r="AE114" s="170">
        <f t="shared" si="11"/>
        <v>3.472222222222222E-3</v>
      </c>
      <c r="AG114" s="110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28" t="str" cm="1">
        <f t="array" aca="1" ref="AR114" ca="1">IF(A114=INDIRECT($AK$4&amp;"!$A$3"),IF(I114&lt;&gt;"",I114&amp;A114,""),"")</f>
        <v/>
      </c>
    </row>
    <row r="115" spans="1:44" ht="20.100000000000001" customHeight="1">
      <c r="A115" s="165">
        <f t="shared" si="12"/>
        <v>45802</v>
      </c>
      <c r="C115" s="34"/>
      <c r="Z115" s="110" t="str">
        <f t="shared" si="13"/>
        <v/>
      </c>
      <c r="AE115" s="170">
        <f t="shared" si="11"/>
        <v>3.472222222222222E-3</v>
      </c>
      <c r="AG115" s="110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28" t="str" cm="1">
        <f t="array" aca="1" ref="AR115" ca="1">IF(A115=INDIRECT($AK$4&amp;"!$A$3"),IF(I115&lt;&gt;"",I115&amp;A115,""),"")</f>
        <v/>
      </c>
    </row>
    <row r="116" spans="1:44" ht="20.100000000000001" customHeight="1">
      <c r="A116" s="165">
        <f t="shared" si="12"/>
        <v>45802</v>
      </c>
      <c r="C116" s="34"/>
      <c r="Z116" s="110" t="str">
        <f t="shared" si="13"/>
        <v/>
      </c>
      <c r="AE116" s="170">
        <f t="shared" si="11"/>
        <v>3.472222222222222E-3</v>
      </c>
      <c r="AG116" s="110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28" t="str" cm="1">
        <f t="array" aca="1" ref="AR116" ca="1">IF(A116=INDIRECT($AK$4&amp;"!$A$3"),IF(I116&lt;&gt;"",I116&amp;A116,""),"")</f>
        <v/>
      </c>
    </row>
    <row r="117" spans="1:44" ht="20.100000000000001" customHeight="1">
      <c r="A117" s="165">
        <f t="shared" si="12"/>
        <v>45802</v>
      </c>
      <c r="C117" s="34"/>
      <c r="Z117" s="110" t="str">
        <f t="shared" si="13"/>
        <v/>
      </c>
      <c r="AE117" s="170">
        <f t="shared" si="11"/>
        <v>3.472222222222222E-3</v>
      </c>
      <c r="AG117" s="110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28" t="str" cm="1">
        <f t="array" aca="1" ref="AR117" ca="1">IF(A117=INDIRECT($AK$4&amp;"!$A$3"),IF(I117&lt;&gt;"",I117&amp;A117,""),"")</f>
        <v/>
      </c>
    </row>
    <row r="118" spans="1:44" ht="20.100000000000001" customHeight="1">
      <c r="A118" s="165">
        <f t="shared" si="12"/>
        <v>45802</v>
      </c>
      <c r="C118" s="34"/>
      <c r="Z118" s="110" t="str">
        <f t="shared" si="13"/>
        <v/>
      </c>
      <c r="AE118" s="170">
        <f t="shared" si="11"/>
        <v>3.472222222222222E-3</v>
      </c>
      <c r="AG118" s="110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28" t="str" cm="1">
        <f t="array" aca="1" ref="AR118" ca="1">IF(A118=INDIRECT($AK$4&amp;"!$A$3"),IF(I118&lt;&gt;"",I118&amp;A118,""),"")</f>
        <v/>
      </c>
    </row>
    <row r="119" spans="1:44" ht="20.100000000000001" customHeight="1">
      <c r="A119" s="165">
        <f t="shared" si="12"/>
        <v>45802</v>
      </c>
      <c r="C119" s="34"/>
      <c r="Z119" s="110" t="str">
        <f t="shared" si="13"/>
        <v/>
      </c>
      <c r="AE119" s="170">
        <f t="shared" si="11"/>
        <v>3.472222222222222E-3</v>
      </c>
      <c r="AG119" s="110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28" t="str" cm="1">
        <f t="array" aca="1" ref="AR119" ca="1">IF(A119=INDIRECT($AK$4&amp;"!$A$3"),IF(I119&lt;&gt;"",I119&amp;A119,""),"")</f>
        <v/>
      </c>
    </row>
    <row r="120" spans="1:44" ht="20.100000000000001" customHeight="1">
      <c r="A120" s="165">
        <f t="shared" si="12"/>
        <v>45802</v>
      </c>
      <c r="C120" s="34"/>
      <c r="Z120" s="110" t="str">
        <f t="shared" si="13"/>
        <v/>
      </c>
      <c r="AE120" s="170">
        <f t="shared" si="11"/>
        <v>3.472222222222222E-3</v>
      </c>
      <c r="AG120" s="110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28" t="str" cm="1">
        <f t="array" aca="1" ref="AR120" ca="1">IF(A120=INDIRECT($AK$4&amp;"!$A$3"),IF(I120&lt;&gt;"",I120&amp;A120,""),"")</f>
        <v/>
      </c>
    </row>
    <row r="121" spans="1:44" ht="20.100000000000001" customHeight="1">
      <c r="A121" s="165">
        <f t="shared" si="12"/>
        <v>45802</v>
      </c>
      <c r="C121" s="34"/>
      <c r="Z121" s="110" t="str">
        <f t="shared" si="13"/>
        <v/>
      </c>
      <c r="AE121" s="170">
        <f t="shared" si="11"/>
        <v>3.472222222222222E-3</v>
      </c>
      <c r="AG121" s="110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28" t="str" cm="1">
        <f t="array" aca="1" ref="AR121" ca="1">IF(A121=INDIRECT($AK$4&amp;"!$A$3"),IF(I121&lt;&gt;"",I121&amp;A121,""),"")</f>
        <v/>
      </c>
    </row>
    <row r="122" spans="1:44" ht="20.100000000000001" customHeight="1">
      <c r="A122" s="165">
        <f t="shared" si="12"/>
        <v>45802</v>
      </c>
      <c r="C122" s="34"/>
      <c r="Z122" s="110" t="str">
        <f t="shared" si="13"/>
        <v/>
      </c>
      <c r="AE122" s="170">
        <f t="shared" si="11"/>
        <v>3.472222222222222E-3</v>
      </c>
      <c r="AG122" s="110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28" t="str" cm="1">
        <f t="array" aca="1" ref="AR122" ca="1">IF(A122=INDIRECT($AK$4&amp;"!$A$3"),IF(I122&lt;&gt;"",I122&amp;A122,""),"")</f>
        <v/>
      </c>
    </row>
    <row r="123" spans="1:44" ht="20.100000000000001" customHeight="1">
      <c r="A123" s="165">
        <f t="shared" si="12"/>
        <v>45802</v>
      </c>
      <c r="C123" s="34"/>
      <c r="Z123" s="110" t="str">
        <f t="shared" si="13"/>
        <v/>
      </c>
      <c r="AE123" s="170">
        <f t="shared" si="11"/>
        <v>3.472222222222222E-3</v>
      </c>
      <c r="AG123" s="110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28" t="str" cm="1">
        <f t="array" aca="1" ref="AR123" ca="1">IF(A123=INDIRECT($AK$4&amp;"!$A$3"),IF(I123&lt;&gt;"",I123&amp;A123,""),"")</f>
        <v/>
      </c>
    </row>
    <row r="124" spans="1:44" ht="20.100000000000001" customHeight="1">
      <c r="A124" s="165">
        <f t="shared" si="12"/>
        <v>45802</v>
      </c>
      <c r="C124" s="34"/>
      <c r="Z124" s="110" t="str">
        <f t="shared" si="13"/>
        <v/>
      </c>
      <c r="AE124" s="170">
        <f t="shared" si="11"/>
        <v>3.472222222222222E-3</v>
      </c>
      <c r="AG124" s="110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28" t="str" cm="1">
        <f t="array" aca="1" ref="AR124" ca="1">IF(A124=INDIRECT($AK$4&amp;"!$A$3"),IF(I124&lt;&gt;"",I124&amp;A124,""),"")</f>
        <v/>
      </c>
    </row>
    <row r="125" spans="1:44" ht="20.100000000000001" customHeight="1">
      <c r="A125" s="165">
        <f t="shared" si="12"/>
        <v>45802</v>
      </c>
      <c r="C125" s="34"/>
      <c r="Z125" s="110" t="str">
        <f t="shared" si="13"/>
        <v/>
      </c>
      <c r="AE125" s="170">
        <f t="shared" si="11"/>
        <v>3.472222222222222E-3</v>
      </c>
      <c r="AG125" s="110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28" t="str" cm="1">
        <f t="array" aca="1" ref="AR125" ca="1">IF(A125=INDIRECT($AK$4&amp;"!$A$3"),IF(I125&lt;&gt;"",I125&amp;A125,""),"")</f>
        <v/>
      </c>
    </row>
    <row r="126" spans="1:44" ht="20.100000000000001" customHeight="1">
      <c r="A126" s="165">
        <f t="shared" si="12"/>
        <v>45802</v>
      </c>
      <c r="C126" s="34"/>
      <c r="Z126" s="110" t="str">
        <f t="shared" si="13"/>
        <v/>
      </c>
      <c r="AE126" s="170">
        <f t="shared" si="11"/>
        <v>3.472222222222222E-3</v>
      </c>
      <c r="AG126" s="110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28" t="str" cm="1">
        <f t="array" aca="1" ref="AR126" ca="1">IF(A126=INDIRECT($AK$4&amp;"!$A$3"),IF(I126&lt;&gt;"",I126&amp;A126,""),"")</f>
        <v/>
      </c>
    </row>
    <row r="127" spans="1:44" ht="20.100000000000001" customHeight="1">
      <c r="A127" s="165">
        <f t="shared" si="12"/>
        <v>45802</v>
      </c>
      <c r="C127" s="34"/>
      <c r="Z127" s="110" t="str">
        <f t="shared" si="13"/>
        <v/>
      </c>
      <c r="AE127" s="170">
        <f t="shared" si="11"/>
        <v>3.472222222222222E-3</v>
      </c>
      <c r="AG127" s="110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28" t="str" cm="1">
        <f t="array" aca="1" ref="AR127" ca="1">IF(A127=INDIRECT($AK$4&amp;"!$A$3"),IF(I127&lt;&gt;"",I127&amp;A127,""),"")</f>
        <v/>
      </c>
    </row>
    <row r="128" spans="1:44" ht="20.100000000000001" customHeight="1">
      <c r="A128" s="165">
        <f t="shared" si="12"/>
        <v>45802</v>
      </c>
      <c r="C128" s="34"/>
      <c r="Z128" s="110" t="str">
        <f t="shared" si="13"/>
        <v/>
      </c>
      <c r="AE128" s="170">
        <f t="shared" si="11"/>
        <v>3.472222222222222E-3</v>
      </c>
      <c r="AG128" s="110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28" t="str" cm="1">
        <f t="array" aca="1" ref="AR128" ca="1">IF(A128=INDIRECT($AK$4&amp;"!$A$3"),IF(I128&lt;&gt;"",I128&amp;A128,""),"")</f>
        <v/>
      </c>
    </row>
    <row r="129" spans="1:44" ht="20.100000000000001" customHeight="1">
      <c r="A129" s="165">
        <f t="shared" si="12"/>
        <v>45802</v>
      </c>
      <c r="C129" s="34"/>
      <c r="Z129" s="110" t="str">
        <f t="shared" si="13"/>
        <v/>
      </c>
      <c r="AE129" s="170">
        <f t="shared" si="11"/>
        <v>3.472222222222222E-3</v>
      </c>
      <c r="AG129" s="110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28" t="str" cm="1">
        <f t="array" aca="1" ref="AR129" ca="1">IF(A129=INDIRECT($AK$4&amp;"!$A$3"),IF(I129&lt;&gt;"",I129&amp;A129,""),"")</f>
        <v/>
      </c>
    </row>
    <row r="130" spans="1:44" ht="20.100000000000001" customHeight="1">
      <c r="A130" s="165">
        <f t="shared" si="12"/>
        <v>45802</v>
      </c>
      <c r="C130" s="34"/>
      <c r="Z130" s="110" t="str">
        <f t="shared" si="13"/>
        <v/>
      </c>
      <c r="AE130" s="170">
        <f t="shared" si="11"/>
        <v>3.472222222222222E-3</v>
      </c>
      <c r="AG130" s="110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28" t="str" cm="1">
        <f t="array" aca="1" ref="AR130" ca="1">IF(A130=INDIRECT($AK$4&amp;"!$A$3"),IF(I130&lt;&gt;"",I130&amp;A130,""),"")</f>
        <v/>
      </c>
    </row>
    <row r="131" spans="1:44" ht="20.100000000000001" customHeight="1">
      <c r="A131" s="165">
        <f t="shared" si="12"/>
        <v>45802</v>
      </c>
      <c r="C131" s="34"/>
      <c r="Z131" s="110" t="str">
        <f t="shared" si="13"/>
        <v/>
      </c>
      <c r="AE131" s="170">
        <f t="shared" si="11"/>
        <v>3.472222222222222E-3</v>
      </c>
      <c r="AG131" s="110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28" t="str" cm="1">
        <f t="array" aca="1" ref="AR131" ca="1">IF(A131=INDIRECT($AK$4&amp;"!$A$3"),IF(I131&lt;&gt;"",I131&amp;A131,""),"")</f>
        <v/>
      </c>
    </row>
    <row r="132" spans="1:44" ht="20.100000000000001" customHeight="1">
      <c r="A132" s="165">
        <f t="shared" si="12"/>
        <v>45802</v>
      </c>
      <c r="C132" s="34"/>
      <c r="Z132" s="110" t="str">
        <f t="shared" si="13"/>
        <v/>
      </c>
      <c r="AE132" s="170">
        <f t="shared" si="11"/>
        <v>3.472222222222222E-3</v>
      </c>
      <c r="AG132" s="110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28" t="str" cm="1">
        <f t="array" aca="1" ref="AR132" ca="1">IF(A132=INDIRECT($AK$4&amp;"!$A$3"),IF(I132&lt;&gt;"",I132&amp;A132,""),"")</f>
        <v/>
      </c>
    </row>
    <row r="133" spans="1:44" ht="20.100000000000001" customHeight="1">
      <c r="A133" s="165">
        <f t="shared" si="12"/>
        <v>45802</v>
      </c>
      <c r="C133" s="34"/>
      <c r="Z133" s="110" t="str">
        <f t="shared" si="13"/>
        <v/>
      </c>
      <c r="AE133" s="170">
        <f t="shared" ref="AE133:AE196" si="22">TIME(0,$K133+5,0)</f>
        <v>3.472222222222222E-3</v>
      </c>
      <c r="AG133" s="110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28" t="str" cm="1">
        <f t="array" aca="1" ref="AR133" ca="1">IF(A133=INDIRECT($AK$4&amp;"!$A$3"),IF(I133&lt;&gt;"",I133&amp;A133,""),"")</f>
        <v/>
      </c>
    </row>
    <row r="134" spans="1:44" ht="20.100000000000001" customHeight="1">
      <c r="A134" s="165">
        <f t="shared" ref="A134:A197" si="23">A133</f>
        <v>45802</v>
      </c>
      <c r="C134" s="34"/>
      <c r="Z134" s="110" t="str">
        <f t="shared" ref="Z134:Z197" si="24">IF(Y134="","",$Y134+TIME(0,5,0))</f>
        <v/>
      </c>
      <c r="AE134" s="170">
        <f t="shared" si="22"/>
        <v>3.472222222222222E-3</v>
      </c>
      <c r="AG134" s="110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28" t="str" cm="1">
        <f t="array" aca="1" ref="AR134" ca="1">IF(A134=INDIRECT($AK$4&amp;"!$A$3"),IF(I134&lt;&gt;"",I134&amp;A134,""),"")</f>
        <v/>
      </c>
    </row>
    <row r="135" spans="1:44" ht="20.100000000000001" customHeight="1">
      <c r="A135" s="165">
        <f t="shared" si="23"/>
        <v>45802</v>
      </c>
      <c r="C135" s="34"/>
      <c r="Z135" s="110" t="str">
        <f t="shared" si="24"/>
        <v/>
      </c>
      <c r="AE135" s="170">
        <f t="shared" si="22"/>
        <v>3.472222222222222E-3</v>
      </c>
      <c r="AG135" s="110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28" t="str" cm="1">
        <f t="array" aca="1" ref="AR135" ca="1">IF(A135=INDIRECT($AK$4&amp;"!$A$3"),IF(I135&lt;&gt;"",I135&amp;A135,""),"")</f>
        <v/>
      </c>
    </row>
    <row r="136" spans="1:44" ht="20.100000000000001" customHeight="1">
      <c r="A136" s="165">
        <f t="shared" si="23"/>
        <v>45802</v>
      </c>
      <c r="C136" s="34"/>
      <c r="Z136" s="110" t="str">
        <f t="shared" si="24"/>
        <v/>
      </c>
      <c r="AE136" s="170">
        <f t="shared" si="22"/>
        <v>3.472222222222222E-3</v>
      </c>
      <c r="AG136" s="110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28" t="str" cm="1">
        <f t="array" aca="1" ref="AR136" ca="1">IF(A136=INDIRECT($AK$4&amp;"!$A$3"),IF(I136&lt;&gt;"",I136&amp;A136,""),"")</f>
        <v/>
      </c>
    </row>
    <row r="137" spans="1:44" ht="20.100000000000001" customHeight="1">
      <c r="A137" s="165">
        <f t="shared" si="23"/>
        <v>45802</v>
      </c>
      <c r="C137" s="34"/>
      <c r="Z137" s="110" t="str">
        <f t="shared" si="24"/>
        <v/>
      </c>
      <c r="AE137" s="170">
        <f t="shared" si="22"/>
        <v>3.472222222222222E-3</v>
      </c>
      <c r="AG137" s="110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28" t="str" cm="1">
        <f t="array" aca="1" ref="AR137" ca="1">IF(A137=INDIRECT($AK$4&amp;"!$A$3"),IF(I137&lt;&gt;"",I137&amp;A137,""),"")</f>
        <v/>
      </c>
    </row>
    <row r="138" spans="1:44" ht="20.100000000000001" customHeight="1">
      <c r="A138" s="165">
        <f t="shared" si="23"/>
        <v>45802</v>
      </c>
      <c r="C138" s="34"/>
      <c r="Z138" s="110" t="str">
        <f t="shared" si="24"/>
        <v/>
      </c>
      <c r="AE138" s="170">
        <f t="shared" si="22"/>
        <v>3.472222222222222E-3</v>
      </c>
      <c r="AG138" s="110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28" t="str" cm="1">
        <f t="array" aca="1" ref="AR138" ca="1">IF(A138=INDIRECT($AK$4&amp;"!$A$3"),IF(I138&lt;&gt;"",I138&amp;A138,""),"")</f>
        <v/>
      </c>
    </row>
    <row r="139" spans="1:44" ht="20.100000000000001" customHeight="1">
      <c r="A139" s="165">
        <f t="shared" si="23"/>
        <v>45802</v>
      </c>
      <c r="C139" s="34"/>
      <c r="Z139" s="110" t="str">
        <f t="shared" si="24"/>
        <v/>
      </c>
      <c r="AE139" s="170">
        <f t="shared" si="22"/>
        <v>3.472222222222222E-3</v>
      </c>
      <c r="AG139" s="110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28" t="str" cm="1">
        <f t="array" aca="1" ref="AR139" ca="1">IF(A139=INDIRECT($AK$4&amp;"!$A$3"),IF(I139&lt;&gt;"",I139&amp;A139,""),"")</f>
        <v/>
      </c>
    </row>
    <row r="140" spans="1:44" ht="20.100000000000001" customHeight="1">
      <c r="A140" s="165">
        <f t="shared" si="23"/>
        <v>45802</v>
      </c>
      <c r="C140" s="34"/>
      <c r="Z140" s="110" t="str">
        <f t="shared" si="24"/>
        <v/>
      </c>
      <c r="AE140" s="170">
        <f t="shared" si="22"/>
        <v>3.472222222222222E-3</v>
      </c>
      <c r="AG140" s="110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28" t="str" cm="1">
        <f t="array" aca="1" ref="AR140" ca="1">IF(A140=INDIRECT($AK$4&amp;"!$A$3"),IF(I140&lt;&gt;"",I140&amp;A140,""),"")</f>
        <v/>
      </c>
    </row>
    <row r="141" spans="1:44" ht="20.100000000000001" customHeight="1">
      <c r="A141" s="165">
        <f t="shared" si="23"/>
        <v>45802</v>
      </c>
      <c r="C141" s="34"/>
      <c r="Z141" s="110" t="str">
        <f t="shared" si="24"/>
        <v/>
      </c>
      <c r="AE141" s="170">
        <f t="shared" si="22"/>
        <v>3.472222222222222E-3</v>
      </c>
      <c r="AG141" s="110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28" t="str" cm="1">
        <f t="array" aca="1" ref="AR141" ca="1">IF(A141=INDIRECT($AK$4&amp;"!$A$3"),IF(I141&lt;&gt;"",I141&amp;A141,""),"")</f>
        <v/>
      </c>
    </row>
    <row r="142" spans="1:44" ht="20.100000000000001" customHeight="1">
      <c r="A142" s="165">
        <f t="shared" si="23"/>
        <v>45802</v>
      </c>
      <c r="C142" s="34"/>
      <c r="Z142" s="110" t="str">
        <f t="shared" si="24"/>
        <v/>
      </c>
      <c r="AE142" s="170">
        <f t="shared" si="22"/>
        <v>3.472222222222222E-3</v>
      </c>
      <c r="AG142" s="110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28" t="str" cm="1">
        <f t="array" aca="1" ref="AR142" ca="1">IF(A142=INDIRECT($AK$4&amp;"!$A$3"),IF(I142&lt;&gt;"",I142&amp;A142,""),"")</f>
        <v/>
      </c>
    </row>
    <row r="143" spans="1:44" ht="20.100000000000001" customHeight="1">
      <c r="A143" s="165">
        <f t="shared" si="23"/>
        <v>45802</v>
      </c>
      <c r="C143" s="34"/>
      <c r="Z143" s="110" t="str">
        <f t="shared" si="24"/>
        <v/>
      </c>
      <c r="AE143" s="170">
        <f t="shared" si="22"/>
        <v>3.472222222222222E-3</v>
      </c>
      <c r="AG143" s="110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28" t="str" cm="1">
        <f t="array" aca="1" ref="AR143" ca="1">IF(A143=INDIRECT($AK$4&amp;"!$A$3"),IF(I143&lt;&gt;"",I143&amp;A143,""),"")</f>
        <v/>
      </c>
    </row>
    <row r="144" spans="1:44" ht="20.100000000000001" customHeight="1">
      <c r="A144" s="165">
        <f t="shared" si="23"/>
        <v>45802</v>
      </c>
      <c r="C144" s="34"/>
      <c r="Z144" s="110" t="str">
        <f t="shared" si="24"/>
        <v/>
      </c>
      <c r="AE144" s="170">
        <f t="shared" si="22"/>
        <v>3.472222222222222E-3</v>
      </c>
      <c r="AG144" s="110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28" t="str" cm="1">
        <f t="array" aca="1" ref="AR144" ca="1">IF(A144=INDIRECT($AK$4&amp;"!$A$3"),IF(I144&lt;&gt;"",I144&amp;A144,""),"")</f>
        <v/>
      </c>
    </row>
    <row r="145" spans="1:44" ht="20.100000000000001" customHeight="1">
      <c r="A145" s="165">
        <f t="shared" si="23"/>
        <v>45802</v>
      </c>
      <c r="C145" s="34"/>
      <c r="Z145" s="110" t="str">
        <f t="shared" si="24"/>
        <v/>
      </c>
      <c r="AE145" s="170">
        <f t="shared" si="22"/>
        <v>3.472222222222222E-3</v>
      </c>
      <c r="AG145" s="110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28" t="str" cm="1">
        <f t="array" aca="1" ref="AR145" ca="1">IF(A145=INDIRECT($AK$4&amp;"!$A$3"),IF(I145&lt;&gt;"",I145&amp;A145,""),"")</f>
        <v/>
      </c>
    </row>
    <row r="146" spans="1:44" ht="20.100000000000001" customHeight="1">
      <c r="A146" s="165">
        <f t="shared" si="23"/>
        <v>45802</v>
      </c>
      <c r="C146" s="34"/>
      <c r="Z146" s="110" t="str">
        <f t="shared" si="24"/>
        <v/>
      </c>
      <c r="AE146" s="170">
        <f t="shared" si="22"/>
        <v>3.472222222222222E-3</v>
      </c>
      <c r="AG146" s="110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28" t="str" cm="1">
        <f t="array" aca="1" ref="AR146" ca="1">IF(A146=INDIRECT($AK$4&amp;"!$A$3"),IF(I146&lt;&gt;"",I146&amp;A146,""),"")</f>
        <v/>
      </c>
    </row>
    <row r="147" spans="1:44" ht="20.100000000000001" customHeight="1">
      <c r="A147" s="165">
        <f t="shared" si="23"/>
        <v>45802</v>
      </c>
      <c r="C147" s="34"/>
      <c r="Z147" s="110" t="str">
        <f t="shared" si="24"/>
        <v/>
      </c>
      <c r="AE147" s="170">
        <f t="shared" si="22"/>
        <v>3.472222222222222E-3</v>
      </c>
      <c r="AG147" s="110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28" t="str" cm="1">
        <f t="array" aca="1" ref="AR147" ca="1">IF(A147=INDIRECT($AK$4&amp;"!$A$3"),IF(I147&lt;&gt;"",I147&amp;A147,""),"")</f>
        <v/>
      </c>
    </row>
    <row r="148" spans="1:44" ht="20.100000000000001" customHeight="1">
      <c r="A148" s="165">
        <f t="shared" si="23"/>
        <v>45802</v>
      </c>
      <c r="C148" s="34"/>
      <c r="Z148" s="110" t="str">
        <f t="shared" si="24"/>
        <v/>
      </c>
      <c r="AE148" s="170">
        <f t="shared" si="22"/>
        <v>3.472222222222222E-3</v>
      </c>
      <c r="AG148" s="110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28" t="str" cm="1">
        <f t="array" aca="1" ref="AR148" ca="1">IF(A148=INDIRECT($AK$4&amp;"!$A$3"),IF(I148&lt;&gt;"",I148&amp;A148,""),"")</f>
        <v/>
      </c>
    </row>
    <row r="149" spans="1:44" ht="20.100000000000001" customHeight="1">
      <c r="A149" s="165">
        <f t="shared" si="23"/>
        <v>45802</v>
      </c>
      <c r="C149" s="34"/>
      <c r="Z149" s="110" t="str">
        <f t="shared" si="24"/>
        <v/>
      </c>
      <c r="AE149" s="170">
        <f t="shared" si="22"/>
        <v>3.472222222222222E-3</v>
      </c>
      <c r="AG149" s="110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28" t="str" cm="1">
        <f t="array" aca="1" ref="AR149" ca="1">IF(A149=INDIRECT($AK$4&amp;"!$A$3"),IF(I149&lt;&gt;"",I149&amp;A149,""),"")</f>
        <v/>
      </c>
    </row>
    <row r="150" spans="1:44" ht="20.100000000000001" customHeight="1">
      <c r="A150" s="165">
        <f t="shared" si="23"/>
        <v>45802</v>
      </c>
      <c r="C150" s="34"/>
      <c r="Z150" s="110" t="str">
        <f t="shared" si="24"/>
        <v/>
      </c>
      <c r="AE150" s="170">
        <f t="shared" si="22"/>
        <v>3.472222222222222E-3</v>
      </c>
      <c r="AG150" s="110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28" t="str" cm="1">
        <f t="array" aca="1" ref="AR150" ca="1">IF(A150=INDIRECT($AK$4&amp;"!$A$3"),IF(I150&lt;&gt;"",I150&amp;A150,""),"")</f>
        <v/>
      </c>
    </row>
    <row r="151" spans="1:44" ht="20.100000000000001" customHeight="1">
      <c r="A151" s="165">
        <f t="shared" si="23"/>
        <v>45802</v>
      </c>
      <c r="C151" s="34"/>
      <c r="Z151" s="110" t="str">
        <f t="shared" si="24"/>
        <v/>
      </c>
      <c r="AE151" s="170">
        <f t="shared" si="22"/>
        <v>3.472222222222222E-3</v>
      </c>
      <c r="AG151" s="110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28" t="str" cm="1">
        <f t="array" aca="1" ref="AR151" ca="1">IF(A151=INDIRECT($AK$4&amp;"!$A$3"),IF(I151&lt;&gt;"",I151&amp;A151,""),"")</f>
        <v/>
      </c>
    </row>
    <row r="152" spans="1:44" ht="20.100000000000001" customHeight="1">
      <c r="A152" s="165">
        <f t="shared" si="23"/>
        <v>45802</v>
      </c>
      <c r="C152" s="34"/>
      <c r="Z152" s="110" t="str">
        <f t="shared" si="24"/>
        <v/>
      </c>
      <c r="AE152" s="170">
        <f t="shared" si="22"/>
        <v>3.472222222222222E-3</v>
      </c>
      <c r="AG152" s="110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28" t="str" cm="1">
        <f t="array" aca="1" ref="AR152" ca="1">IF(A152=INDIRECT($AK$4&amp;"!$A$3"),IF(I152&lt;&gt;"",I152&amp;A152,""),"")</f>
        <v/>
      </c>
    </row>
    <row r="153" spans="1:44" ht="20.100000000000001" customHeight="1">
      <c r="A153" s="165">
        <f t="shared" si="23"/>
        <v>45802</v>
      </c>
      <c r="C153" s="34"/>
      <c r="Z153" s="110" t="str">
        <f t="shared" si="24"/>
        <v/>
      </c>
      <c r="AE153" s="170">
        <f t="shared" si="22"/>
        <v>3.472222222222222E-3</v>
      </c>
      <c r="AG153" s="110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28" t="str" cm="1">
        <f t="array" aca="1" ref="AR153" ca="1">IF(A153=INDIRECT($AK$4&amp;"!$A$3"),IF(I153&lt;&gt;"",I153&amp;A153,""),"")</f>
        <v/>
      </c>
    </row>
    <row r="154" spans="1:44" ht="20.100000000000001" customHeight="1">
      <c r="A154" s="165">
        <f t="shared" si="23"/>
        <v>45802</v>
      </c>
      <c r="C154" s="34"/>
      <c r="Z154" s="110" t="str">
        <f t="shared" si="24"/>
        <v/>
      </c>
      <c r="AE154" s="170">
        <f t="shared" si="22"/>
        <v>3.472222222222222E-3</v>
      </c>
      <c r="AG154" s="110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28" t="str" cm="1">
        <f t="array" aca="1" ref="AR154" ca="1">IF(A154=INDIRECT($AK$4&amp;"!$A$3"),IF(I154&lt;&gt;"",I154&amp;A154,""),"")</f>
        <v/>
      </c>
    </row>
    <row r="155" spans="1:44" ht="20.100000000000001" customHeight="1">
      <c r="A155" s="165">
        <f t="shared" si="23"/>
        <v>45802</v>
      </c>
      <c r="C155" s="34"/>
      <c r="Z155" s="110" t="str">
        <f t="shared" si="24"/>
        <v/>
      </c>
      <c r="AE155" s="170">
        <f t="shared" si="22"/>
        <v>3.472222222222222E-3</v>
      </c>
      <c r="AG155" s="110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28" t="str" cm="1">
        <f t="array" aca="1" ref="AR155" ca="1">IF(A155=INDIRECT($AK$4&amp;"!$A$3"),IF(I155&lt;&gt;"",I155&amp;A155,""),"")</f>
        <v/>
      </c>
    </row>
    <row r="156" spans="1:44" ht="20.100000000000001" customHeight="1">
      <c r="A156" s="165">
        <f t="shared" si="23"/>
        <v>45802</v>
      </c>
      <c r="C156" s="34"/>
      <c r="Z156" s="110" t="str">
        <f t="shared" si="24"/>
        <v/>
      </c>
      <c r="AE156" s="170">
        <f t="shared" si="22"/>
        <v>3.472222222222222E-3</v>
      </c>
      <c r="AG156" s="110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28" t="str" cm="1">
        <f t="array" aca="1" ref="AR156" ca="1">IF(A156=INDIRECT($AK$4&amp;"!$A$3"),IF(I156&lt;&gt;"",I156&amp;A156,""),"")</f>
        <v/>
      </c>
    </row>
    <row r="157" spans="1:44" ht="20.100000000000001" customHeight="1">
      <c r="A157" s="165">
        <f t="shared" si="23"/>
        <v>45802</v>
      </c>
      <c r="C157" s="34"/>
      <c r="Z157" s="110" t="str">
        <f t="shared" si="24"/>
        <v/>
      </c>
      <c r="AE157" s="170">
        <f t="shared" si="22"/>
        <v>3.472222222222222E-3</v>
      </c>
      <c r="AG157" s="110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28" t="str" cm="1">
        <f t="array" aca="1" ref="AR157" ca="1">IF(A157=INDIRECT($AK$4&amp;"!$A$3"),IF(I157&lt;&gt;"",I157&amp;A157,""),"")</f>
        <v/>
      </c>
    </row>
    <row r="158" spans="1:44" ht="20.100000000000001" customHeight="1">
      <c r="A158" s="165">
        <f t="shared" si="23"/>
        <v>45802</v>
      </c>
      <c r="C158" s="34"/>
      <c r="Z158" s="110" t="str">
        <f t="shared" si="24"/>
        <v/>
      </c>
      <c r="AE158" s="170">
        <f t="shared" si="22"/>
        <v>3.472222222222222E-3</v>
      </c>
      <c r="AG158" s="110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28" t="str" cm="1">
        <f t="array" aca="1" ref="AR158" ca="1">IF(A158=INDIRECT($AK$4&amp;"!$A$3"),IF(I158&lt;&gt;"",I158&amp;A158,""),"")</f>
        <v/>
      </c>
    </row>
    <row r="159" spans="1:44" ht="20.100000000000001" customHeight="1">
      <c r="A159" s="165">
        <f t="shared" si="23"/>
        <v>45802</v>
      </c>
      <c r="C159" s="34"/>
      <c r="Z159" s="110" t="str">
        <f t="shared" si="24"/>
        <v/>
      </c>
      <c r="AE159" s="170">
        <f t="shared" si="22"/>
        <v>3.472222222222222E-3</v>
      </c>
      <c r="AG159" s="110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28" t="str" cm="1">
        <f t="array" aca="1" ref="AR159" ca="1">IF(A159=INDIRECT($AK$4&amp;"!$A$3"),IF(I159&lt;&gt;"",I159&amp;A159,""),"")</f>
        <v/>
      </c>
    </row>
    <row r="160" spans="1:44" ht="20.100000000000001" customHeight="1">
      <c r="A160" s="165">
        <f t="shared" si="23"/>
        <v>45802</v>
      </c>
      <c r="C160" s="34"/>
      <c r="Z160" s="110" t="str">
        <f t="shared" si="24"/>
        <v/>
      </c>
      <c r="AE160" s="170">
        <f t="shared" si="22"/>
        <v>3.472222222222222E-3</v>
      </c>
      <c r="AG160" s="110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28" t="str" cm="1">
        <f t="array" aca="1" ref="AR160" ca="1">IF(A160=INDIRECT($AK$4&amp;"!$A$3"),IF(I160&lt;&gt;"",I160&amp;A160,""),"")</f>
        <v/>
      </c>
    </row>
    <row r="161" spans="1:44" ht="20.100000000000001" customHeight="1">
      <c r="A161" s="165">
        <f t="shared" si="23"/>
        <v>45802</v>
      </c>
      <c r="C161" s="34"/>
      <c r="Z161" s="110" t="str">
        <f t="shared" si="24"/>
        <v/>
      </c>
      <c r="AE161" s="170">
        <f t="shared" si="22"/>
        <v>3.472222222222222E-3</v>
      </c>
      <c r="AG161" s="110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28" t="str" cm="1">
        <f t="array" aca="1" ref="AR161" ca="1">IF(A161=INDIRECT($AK$4&amp;"!$A$3"),IF(I161&lt;&gt;"",I161&amp;A161,""),"")</f>
        <v/>
      </c>
    </row>
    <row r="162" spans="1:44" ht="20.100000000000001" customHeight="1">
      <c r="A162" s="165">
        <f t="shared" si="23"/>
        <v>45802</v>
      </c>
      <c r="C162" s="34"/>
      <c r="Z162" s="110" t="str">
        <f t="shared" si="24"/>
        <v/>
      </c>
      <c r="AE162" s="170">
        <f t="shared" si="22"/>
        <v>3.472222222222222E-3</v>
      </c>
      <c r="AG162" s="110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28" t="str" cm="1">
        <f t="array" aca="1" ref="AR162" ca="1">IF(A162=INDIRECT($AK$4&amp;"!$A$3"),IF(I162&lt;&gt;"",I162&amp;A162,""),"")</f>
        <v/>
      </c>
    </row>
    <row r="163" spans="1:44" ht="20.100000000000001" customHeight="1">
      <c r="A163" s="165">
        <f t="shared" si="23"/>
        <v>45802</v>
      </c>
      <c r="C163" s="34"/>
      <c r="Z163" s="110" t="str">
        <f t="shared" si="24"/>
        <v/>
      </c>
      <c r="AE163" s="170">
        <f t="shared" si="22"/>
        <v>3.472222222222222E-3</v>
      </c>
      <c r="AG163" s="110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28" t="str" cm="1">
        <f t="array" aca="1" ref="AR163" ca="1">IF(A163=INDIRECT($AK$4&amp;"!$A$3"),IF(I163&lt;&gt;"",I163&amp;A163,""),"")</f>
        <v/>
      </c>
    </row>
    <row r="164" spans="1:44" ht="20.100000000000001" customHeight="1">
      <c r="A164" s="165">
        <f t="shared" si="23"/>
        <v>45802</v>
      </c>
      <c r="C164" s="34"/>
      <c r="Z164" s="110" t="str">
        <f t="shared" si="24"/>
        <v/>
      </c>
      <c r="AE164" s="170">
        <f t="shared" si="22"/>
        <v>3.472222222222222E-3</v>
      </c>
      <c r="AG164" s="110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28" t="str" cm="1">
        <f t="array" aca="1" ref="AR164" ca="1">IF(A164=INDIRECT($AK$4&amp;"!$A$3"),IF(I164&lt;&gt;"",I164&amp;A164,""),"")</f>
        <v/>
      </c>
    </row>
    <row r="165" spans="1:44" ht="20.100000000000001" customHeight="1">
      <c r="A165" s="165">
        <f t="shared" si="23"/>
        <v>45802</v>
      </c>
      <c r="C165" s="34"/>
      <c r="Z165" s="110" t="str">
        <f t="shared" si="24"/>
        <v/>
      </c>
      <c r="AE165" s="170">
        <f t="shared" si="22"/>
        <v>3.472222222222222E-3</v>
      </c>
      <c r="AG165" s="110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28" t="str" cm="1">
        <f t="array" aca="1" ref="AR165" ca="1">IF(A165=INDIRECT($AK$4&amp;"!$A$3"),IF(I165&lt;&gt;"",I165&amp;A165,""),"")</f>
        <v/>
      </c>
    </row>
    <row r="166" spans="1:44" ht="20.100000000000001" customHeight="1">
      <c r="A166" s="165">
        <f t="shared" si="23"/>
        <v>45802</v>
      </c>
      <c r="C166" s="34"/>
      <c r="Z166" s="110" t="str">
        <f t="shared" si="24"/>
        <v/>
      </c>
      <c r="AE166" s="170">
        <f t="shared" si="22"/>
        <v>3.472222222222222E-3</v>
      </c>
      <c r="AG166" s="110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28" t="str" cm="1">
        <f t="array" aca="1" ref="AR166" ca="1">IF(A166=INDIRECT($AK$4&amp;"!$A$3"),IF(I166&lt;&gt;"",I166&amp;A166,""),"")</f>
        <v/>
      </c>
    </row>
    <row r="167" spans="1:44" ht="20.100000000000001" customHeight="1">
      <c r="A167" s="165">
        <f t="shared" si="23"/>
        <v>45802</v>
      </c>
      <c r="C167" s="34"/>
      <c r="Z167" s="110" t="str">
        <f t="shared" si="24"/>
        <v/>
      </c>
      <c r="AE167" s="170">
        <f t="shared" si="22"/>
        <v>3.472222222222222E-3</v>
      </c>
      <c r="AG167" s="110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28" t="str" cm="1">
        <f t="array" aca="1" ref="AR167" ca="1">IF(A167=INDIRECT($AK$4&amp;"!$A$3"),IF(I167&lt;&gt;"",I167&amp;A167,""),"")</f>
        <v/>
      </c>
    </row>
    <row r="168" spans="1:44" ht="20.100000000000001" customHeight="1">
      <c r="A168" s="165">
        <f t="shared" si="23"/>
        <v>45802</v>
      </c>
      <c r="C168" s="34"/>
      <c r="Z168" s="110" t="str">
        <f t="shared" si="24"/>
        <v/>
      </c>
      <c r="AE168" s="170">
        <f t="shared" si="22"/>
        <v>3.472222222222222E-3</v>
      </c>
      <c r="AG168" s="110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28" t="str" cm="1">
        <f t="array" aca="1" ref="AR168" ca="1">IF(A168=INDIRECT($AK$4&amp;"!$A$3"),IF(I168&lt;&gt;"",I168&amp;A168,""),"")</f>
        <v/>
      </c>
    </row>
    <row r="169" spans="1:44" ht="20.100000000000001" customHeight="1">
      <c r="A169" s="165">
        <f t="shared" si="23"/>
        <v>45802</v>
      </c>
      <c r="C169" s="34"/>
      <c r="Z169" s="110" t="str">
        <f t="shared" si="24"/>
        <v/>
      </c>
      <c r="AE169" s="170">
        <f t="shared" si="22"/>
        <v>3.472222222222222E-3</v>
      </c>
      <c r="AG169" s="110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28" t="str" cm="1">
        <f t="array" aca="1" ref="AR169" ca="1">IF(A169=INDIRECT($AK$4&amp;"!$A$3"),IF(I169&lt;&gt;"",I169&amp;A169,""),"")</f>
        <v/>
      </c>
    </row>
    <row r="170" spans="1:44" ht="20.100000000000001" customHeight="1">
      <c r="A170" s="165">
        <f t="shared" si="23"/>
        <v>45802</v>
      </c>
      <c r="C170" s="34"/>
      <c r="Z170" s="110" t="str">
        <f t="shared" si="24"/>
        <v/>
      </c>
      <c r="AE170" s="170">
        <f t="shared" si="22"/>
        <v>3.472222222222222E-3</v>
      </c>
      <c r="AG170" s="110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28" t="str" cm="1">
        <f t="array" aca="1" ref="AR170" ca="1">IF(A170=INDIRECT($AK$4&amp;"!$A$3"),IF(I170&lt;&gt;"",I170&amp;A170,""),"")</f>
        <v/>
      </c>
    </row>
    <row r="171" spans="1:44" ht="20.100000000000001" customHeight="1">
      <c r="A171" s="165">
        <f t="shared" si="23"/>
        <v>45802</v>
      </c>
      <c r="C171" s="34"/>
      <c r="Z171" s="110" t="str">
        <f t="shared" si="24"/>
        <v/>
      </c>
      <c r="AE171" s="170">
        <f t="shared" si="22"/>
        <v>3.472222222222222E-3</v>
      </c>
      <c r="AG171" s="110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28" t="str" cm="1">
        <f t="array" aca="1" ref="AR171" ca="1">IF(A171=INDIRECT($AK$4&amp;"!$A$3"),IF(I171&lt;&gt;"",I171&amp;A171,""),"")</f>
        <v/>
      </c>
    </row>
    <row r="172" spans="1:44" ht="20.100000000000001" customHeight="1">
      <c r="A172" s="165">
        <f t="shared" si="23"/>
        <v>45802</v>
      </c>
      <c r="C172" s="34"/>
      <c r="Z172" s="110" t="str">
        <f t="shared" si="24"/>
        <v/>
      </c>
      <c r="AE172" s="170">
        <f t="shared" si="22"/>
        <v>3.472222222222222E-3</v>
      </c>
      <c r="AG172" s="110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28" t="str" cm="1">
        <f t="array" aca="1" ref="AR172" ca="1">IF(A172=INDIRECT($AK$4&amp;"!$A$3"),IF(I172&lt;&gt;"",I172&amp;A172,""),"")</f>
        <v/>
      </c>
    </row>
    <row r="173" spans="1:44" ht="20.100000000000001" customHeight="1">
      <c r="A173" s="165">
        <f t="shared" si="23"/>
        <v>45802</v>
      </c>
      <c r="C173" s="34"/>
      <c r="Z173" s="110" t="str">
        <f t="shared" si="24"/>
        <v/>
      </c>
      <c r="AE173" s="170">
        <f t="shared" si="22"/>
        <v>3.472222222222222E-3</v>
      </c>
      <c r="AG173" s="110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28" t="str" cm="1">
        <f t="array" aca="1" ref="AR173" ca="1">IF(A173=INDIRECT($AK$4&amp;"!$A$3"),IF(I173&lt;&gt;"",I173&amp;A173,""),"")</f>
        <v/>
      </c>
    </row>
    <row r="174" spans="1:44" ht="20.100000000000001" customHeight="1">
      <c r="A174" s="165">
        <f t="shared" si="23"/>
        <v>45802</v>
      </c>
      <c r="C174" s="34"/>
      <c r="Z174" s="110" t="str">
        <f t="shared" si="24"/>
        <v/>
      </c>
      <c r="AE174" s="170">
        <f t="shared" si="22"/>
        <v>3.472222222222222E-3</v>
      </c>
      <c r="AG174" s="110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28" t="str" cm="1">
        <f t="array" aca="1" ref="AR174" ca="1">IF(A174=INDIRECT($AK$4&amp;"!$A$3"),IF(I174&lt;&gt;"",I174&amp;A174,""),"")</f>
        <v/>
      </c>
    </row>
    <row r="175" spans="1:44" ht="20.100000000000001" customHeight="1">
      <c r="A175" s="165">
        <f t="shared" si="23"/>
        <v>45802</v>
      </c>
      <c r="C175" s="34"/>
      <c r="Z175" s="110" t="str">
        <f t="shared" si="24"/>
        <v/>
      </c>
      <c r="AE175" s="170">
        <f t="shared" si="22"/>
        <v>3.472222222222222E-3</v>
      </c>
      <c r="AG175" s="110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28" t="str" cm="1">
        <f t="array" aca="1" ref="AR175" ca="1">IF(A175=INDIRECT($AK$4&amp;"!$A$3"),IF(I175&lt;&gt;"",I175&amp;A175,""),"")</f>
        <v/>
      </c>
    </row>
    <row r="176" spans="1:44" ht="20.100000000000001" customHeight="1">
      <c r="A176" s="165">
        <f t="shared" si="23"/>
        <v>45802</v>
      </c>
      <c r="C176" s="34"/>
      <c r="Z176" s="110" t="str">
        <f t="shared" si="24"/>
        <v/>
      </c>
      <c r="AE176" s="170">
        <f t="shared" si="22"/>
        <v>3.472222222222222E-3</v>
      </c>
      <c r="AG176" s="110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28" t="str" cm="1">
        <f t="array" aca="1" ref="AR176" ca="1">IF(A176=INDIRECT($AK$4&amp;"!$A$3"),IF(I176&lt;&gt;"",I176&amp;A176,""),"")</f>
        <v/>
      </c>
    </row>
    <row r="177" spans="1:44" ht="20.100000000000001" customHeight="1">
      <c r="A177" s="165">
        <f t="shared" si="23"/>
        <v>45802</v>
      </c>
      <c r="C177" s="34"/>
      <c r="Z177" s="110" t="str">
        <f t="shared" si="24"/>
        <v/>
      </c>
      <c r="AE177" s="170">
        <f t="shared" si="22"/>
        <v>3.472222222222222E-3</v>
      </c>
      <c r="AG177" s="110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28" t="str" cm="1">
        <f t="array" aca="1" ref="AR177" ca="1">IF(A177=INDIRECT($AK$4&amp;"!$A$3"),IF(I177&lt;&gt;"",I177&amp;A177,""),"")</f>
        <v/>
      </c>
    </row>
    <row r="178" spans="1:44" ht="20.100000000000001" customHeight="1">
      <c r="A178" s="165">
        <f t="shared" si="23"/>
        <v>45802</v>
      </c>
      <c r="C178" s="34"/>
      <c r="Z178" s="110" t="str">
        <f t="shared" si="24"/>
        <v/>
      </c>
      <c r="AE178" s="170">
        <f t="shared" si="22"/>
        <v>3.472222222222222E-3</v>
      </c>
      <c r="AG178" s="110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28" t="str" cm="1">
        <f t="array" aca="1" ref="AR178" ca="1">IF(A178=INDIRECT($AK$4&amp;"!$A$3"),IF(I178&lt;&gt;"",I178&amp;A178,""),"")</f>
        <v/>
      </c>
    </row>
    <row r="179" spans="1:44" ht="20.100000000000001" customHeight="1">
      <c r="A179" s="165">
        <f t="shared" si="23"/>
        <v>45802</v>
      </c>
      <c r="C179" s="34"/>
      <c r="Z179" s="110" t="str">
        <f t="shared" si="24"/>
        <v/>
      </c>
      <c r="AE179" s="170">
        <f t="shared" si="22"/>
        <v>3.472222222222222E-3</v>
      </c>
      <c r="AG179" s="110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28" t="str" cm="1">
        <f t="array" aca="1" ref="AR179" ca="1">IF(A179=INDIRECT($AK$4&amp;"!$A$3"),IF(I179&lt;&gt;"",I179&amp;A179,""),"")</f>
        <v/>
      </c>
    </row>
    <row r="180" spans="1:44" ht="20.100000000000001" customHeight="1">
      <c r="A180" s="165">
        <f t="shared" si="23"/>
        <v>45802</v>
      </c>
      <c r="C180" s="34"/>
      <c r="Z180" s="110" t="str">
        <f t="shared" si="24"/>
        <v/>
      </c>
      <c r="AE180" s="170">
        <f t="shared" si="22"/>
        <v>3.472222222222222E-3</v>
      </c>
      <c r="AG180" s="110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28" t="str" cm="1">
        <f t="array" aca="1" ref="AR180" ca="1">IF(A180=INDIRECT($AK$4&amp;"!$A$3"),IF(I180&lt;&gt;"",I180&amp;A180,""),"")</f>
        <v/>
      </c>
    </row>
    <row r="181" spans="1:44" ht="20.100000000000001" customHeight="1">
      <c r="A181" s="165">
        <f t="shared" si="23"/>
        <v>45802</v>
      </c>
      <c r="C181" s="34"/>
      <c r="Z181" s="110" t="str">
        <f t="shared" si="24"/>
        <v/>
      </c>
      <c r="AE181" s="170">
        <f t="shared" si="22"/>
        <v>3.472222222222222E-3</v>
      </c>
      <c r="AG181" s="110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28" t="str" cm="1">
        <f t="array" aca="1" ref="AR181" ca="1">IF(A181=INDIRECT($AK$4&amp;"!$A$3"),IF(I181&lt;&gt;"",I181&amp;A181,""),"")</f>
        <v/>
      </c>
    </row>
    <row r="182" spans="1:44" ht="20.100000000000001" customHeight="1">
      <c r="A182" s="165">
        <f t="shared" si="23"/>
        <v>45802</v>
      </c>
      <c r="C182" s="34"/>
      <c r="Z182" s="110" t="str">
        <f t="shared" si="24"/>
        <v/>
      </c>
      <c r="AE182" s="170">
        <f t="shared" si="22"/>
        <v>3.472222222222222E-3</v>
      </c>
      <c r="AG182" s="110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28" t="str" cm="1">
        <f t="array" aca="1" ref="AR182" ca="1">IF(A182=INDIRECT($AK$4&amp;"!$A$3"),IF(I182&lt;&gt;"",I182&amp;A182,""),"")</f>
        <v/>
      </c>
    </row>
    <row r="183" spans="1:44" ht="20.100000000000001" customHeight="1">
      <c r="A183" s="165">
        <f t="shared" si="23"/>
        <v>45802</v>
      </c>
      <c r="C183" s="34"/>
      <c r="Z183" s="110" t="str">
        <f t="shared" si="24"/>
        <v/>
      </c>
      <c r="AE183" s="170">
        <f t="shared" si="22"/>
        <v>3.472222222222222E-3</v>
      </c>
      <c r="AG183" s="110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28" t="str" cm="1">
        <f t="array" aca="1" ref="AR183" ca="1">IF(A183=INDIRECT($AK$4&amp;"!$A$3"),IF(I183&lt;&gt;"",I183&amp;A183,""),"")</f>
        <v/>
      </c>
    </row>
    <row r="184" spans="1:44" ht="20.100000000000001" customHeight="1">
      <c r="A184" s="165">
        <f t="shared" si="23"/>
        <v>45802</v>
      </c>
      <c r="C184" s="34"/>
      <c r="Z184" s="110" t="str">
        <f t="shared" si="24"/>
        <v/>
      </c>
      <c r="AE184" s="170">
        <f t="shared" si="22"/>
        <v>3.472222222222222E-3</v>
      </c>
      <c r="AG184" s="110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28" t="str" cm="1">
        <f t="array" aca="1" ref="AR184" ca="1">IF(A184=INDIRECT($AK$4&amp;"!$A$3"),IF(I184&lt;&gt;"",I184&amp;A184,""),"")</f>
        <v/>
      </c>
    </row>
    <row r="185" spans="1:44" ht="20.100000000000001" customHeight="1">
      <c r="A185" s="165">
        <f t="shared" si="23"/>
        <v>45802</v>
      </c>
      <c r="C185" s="34"/>
      <c r="Z185" s="110" t="str">
        <f t="shared" si="24"/>
        <v/>
      </c>
      <c r="AE185" s="170">
        <f t="shared" si="22"/>
        <v>3.472222222222222E-3</v>
      </c>
      <c r="AG185" s="110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28" t="str" cm="1">
        <f t="array" aca="1" ref="AR185" ca="1">IF(A185=INDIRECT($AK$4&amp;"!$A$3"),IF(I185&lt;&gt;"",I185&amp;A185,""),"")</f>
        <v/>
      </c>
    </row>
    <row r="186" spans="1:44" ht="20.100000000000001" customHeight="1">
      <c r="A186" s="165">
        <f t="shared" si="23"/>
        <v>45802</v>
      </c>
      <c r="C186" s="34"/>
      <c r="Z186" s="110" t="str">
        <f t="shared" si="24"/>
        <v/>
      </c>
      <c r="AE186" s="170">
        <f t="shared" si="22"/>
        <v>3.472222222222222E-3</v>
      </c>
      <c r="AG186" s="110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28" t="str" cm="1">
        <f t="array" aca="1" ref="AR186" ca="1">IF(A186=INDIRECT($AK$4&amp;"!$A$3"),IF(I186&lt;&gt;"",I186&amp;A186,""),"")</f>
        <v/>
      </c>
    </row>
    <row r="187" spans="1:44" ht="20.100000000000001" customHeight="1">
      <c r="A187" s="165">
        <f t="shared" si="23"/>
        <v>45802</v>
      </c>
      <c r="C187" s="34"/>
      <c r="Z187" s="110" t="str">
        <f t="shared" si="24"/>
        <v/>
      </c>
      <c r="AE187" s="170">
        <f t="shared" si="22"/>
        <v>3.472222222222222E-3</v>
      </c>
      <c r="AG187" s="110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28" t="str" cm="1">
        <f t="array" aca="1" ref="AR187" ca="1">IF(A187=INDIRECT($AK$4&amp;"!$A$3"),IF(I187&lt;&gt;"",I187&amp;A187,""),"")</f>
        <v/>
      </c>
    </row>
    <row r="188" spans="1:44" ht="20.100000000000001" customHeight="1">
      <c r="A188" s="165">
        <f t="shared" si="23"/>
        <v>45802</v>
      </c>
      <c r="C188" s="34"/>
      <c r="Z188" s="110" t="str">
        <f t="shared" si="24"/>
        <v/>
      </c>
      <c r="AE188" s="170">
        <f t="shared" si="22"/>
        <v>3.472222222222222E-3</v>
      </c>
      <c r="AG188" s="110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28" t="str" cm="1">
        <f t="array" aca="1" ref="AR188" ca="1">IF(A188=INDIRECT($AK$4&amp;"!$A$3"),IF(I188&lt;&gt;"",I188&amp;A188,""),"")</f>
        <v/>
      </c>
    </row>
    <row r="189" spans="1:44" ht="20.100000000000001" customHeight="1">
      <c r="A189" s="165">
        <f t="shared" si="23"/>
        <v>45802</v>
      </c>
      <c r="C189" s="34"/>
      <c r="Z189" s="110" t="str">
        <f t="shared" si="24"/>
        <v/>
      </c>
      <c r="AE189" s="170">
        <f t="shared" si="22"/>
        <v>3.472222222222222E-3</v>
      </c>
      <c r="AG189" s="110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28" t="str" cm="1">
        <f t="array" aca="1" ref="AR189" ca="1">IF(A189=INDIRECT($AK$4&amp;"!$A$3"),IF(I189&lt;&gt;"",I189&amp;A189,""),"")</f>
        <v/>
      </c>
    </row>
    <row r="190" spans="1:44" ht="20.100000000000001" customHeight="1">
      <c r="A190" s="165">
        <f t="shared" si="23"/>
        <v>45802</v>
      </c>
      <c r="C190" s="34"/>
      <c r="Z190" s="110" t="str">
        <f t="shared" si="24"/>
        <v/>
      </c>
      <c r="AE190" s="170">
        <f t="shared" si="22"/>
        <v>3.472222222222222E-3</v>
      </c>
      <c r="AG190" s="110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28" t="str" cm="1">
        <f t="array" aca="1" ref="AR190" ca="1">IF(A190=INDIRECT($AK$4&amp;"!$A$3"),IF(I190&lt;&gt;"",I190&amp;A190,""),"")</f>
        <v/>
      </c>
    </row>
    <row r="191" spans="1:44" ht="20.100000000000001" customHeight="1">
      <c r="A191" s="165">
        <f t="shared" si="23"/>
        <v>45802</v>
      </c>
      <c r="C191" s="34"/>
      <c r="Z191" s="110" t="str">
        <f t="shared" si="24"/>
        <v/>
      </c>
      <c r="AE191" s="170">
        <f t="shared" si="22"/>
        <v>3.472222222222222E-3</v>
      </c>
      <c r="AG191" s="110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28" t="str" cm="1">
        <f t="array" aca="1" ref="AR191" ca="1">IF(A191=INDIRECT($AK$4&amp;"!$A$3"),IF(I191&lt;&gt;"",I191&amp;A191,""),"")</f>
        <v/>
      </c>
    </row>
    <row r="192" spans="1:44" ht="20.100000000000001" customHeight="1">
      <c r="A192" s="165">
        <f t="shared" si="23"/>
        <v>45802</v>
      </c>
      <c r="C192" s="34"/>
      <c r="Z192" s="110" t="str">
        <f t="shared" si="24"/>
        <v/>
      </c>
      <c r="AE192" s="170">
        <f t="shared" si="22"/>
        <v>3.472222222222222E-3</v>
      </c>
      <c r="AG192" s="110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28" t="str" cm="1">
        <f t="array" aca="1" ref="AR192" ca="1">IF(A192=INDIRECT($AK$4&amp;"!$A$3"),IF(I192&lt;&gt;"",I192&amp;A192,""),"")</f>
        <v/>
      </c>
    </row>
    <row r="193" spans="1:44" ht="20.100000000000001" customHeight="1">
      <c r="A193" s="165">
        <f t="shared" si="23"/>
        <v>45802</v>
      </c>
      <c r="C193" s="34"/>
      <c r="Z193" s="110" t="str">
        <f t="shared" si="24"/>
        <v/>
      </c>
      <c r="AE193" s="170">
        <f t="shared" si="22"/>
        <v>3.472222222222222E-3</v>
      </c>
      <c r="AG193" s="110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28" t="str" cm="1">
        <f t="array" aca="1" ref="AR193" ca="1">IF(A193=INDIRECT($AK$4&amp;"!$A$3"),IF(I193&lt;&gt;"",I193&amp;A193,""),"")</f>
        <v/>
      </c>
    </row>
    <row r="194" spans="1:44" ht="20.100000000000001" customHeight="1">
      <c r="A194" s="165">
        <f t="shared" si="23"/>
        <v>45802</v>
      </c>
      <c r="C194" s="34"/>
      <c r="Z194" s="110" t="str">
        <f t="shared" si="24"/>
        <v/>
      </c>
      <c r="AE194" s="170">
        <f t="shared" si="22"/>
        <v>3.472222222222222E-3</v>
      </c>
      <c r="AG194" s="110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28" t="str" cm="1">
        <f t="array" aca="1" ref="AR194" ca="1">IF(A194=INDIRECT($AK$4&amp;"!$A$3"),IF(I194&lt;&gt;"",I194&amp;A194,""),"")</f>
        <v/>
      </c>
    </row>
    <row r="195" spans="1:44" ht="20.100000000000001" customHeight="1">
      <c r="A195" s="165">
        <f t="shared" si="23"/>
        <v>45802</v>
      </c>
      <c r="C195" s="34"/>
      <c r="Z195" s="110" t="str">
        <f t="shared" si="24"/>
        <v/>
      </c>
      <c r="AE195" s="170">
        <f t="shared" si="22"/>
        <v>3.472222222222222E-3</v>
      </c>
      <c r="AG195" s="110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28" t="str" cm="1">
        <f t="array" aca="1" ref="AR195" ca="1">IF(A195=INDIRECT($AK$4&amp;"!$A$3"),IF(I195&lt;&gt;"",I195&amp;A195,""),"")</f>
        <v/>
      </c>
    </row>
    <row r="196" spans="1:44" ht="20.100000000000001" customHeight="1">
      <c r="A196" s="165">
        <f t="shared" si="23"/>
        <v>45802</v>
      </c>
      <c r="C196" s="34"/>
      <c r="Z196" s="110" t="str">
        <f t="shared" si="24"/>
        <v/>
      </c>
      <c r="AE196" s="170">
        <f t="shared" si="22"/>
        <v>3.472222222222222E-3</v>
      </c>
      <c r="AG196" s="110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28" t="str" cm="1">
        <f t="array" aca="1" ref="AR196" ca="1">IF(A196=INDIRECT($AK$4&amp;"!$A$3"),IF(I196&lt;&gt;"",I196&amp;A196,""),"")</f>
        <v/>
      </c>
    </row>
    <row r="197" spans="1:44" ht="20.100000000000001" customHeight="1">
      <c r="A197" s="165">
        <f t="shared" si="23"/>
        <v>45802</v>
      </c>
      <c r="C197" s="34"/>
      <c r="Z197" s="110" t="str">
        <f t="shared" si="24"/>
        <v/>
      </c>
      <c r="AE197" s="170">
        <f t="shared" ref="AE197:AE260" si="33">TIME(0,$K197+5,0)</f>
        <v>3.472222222222222E-3</v>
      </c>
      <c r="AG197" s="110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28" t="str" cm="1">
        <f t="array" aca="1" ref="AR197" ca="1">IF(A197=INDIRECT($AK$4&amp;"!$A$3"),IF(I197&lt;&gt;"",I197&amp;A197,""),"")</f>
        <v/>
      </c>
    </row>
    <row r="198" spans="1:44" ht="20.100000000000001" customHeight="1">
      <c r="A198" s="165">
        <f t="shared" ref="A198:A261" si="34">A197</f>
        <v>45802</v>
      </c>
      <c r="C198" s="34"/>
      <c r="Z198" s="110" t="str">
        <f t="shared" ref="Z198:Z261" si="35">IF(Y198="","",$Y198+TIME(0,5,0))</f>
        <v/>
      </c>
      <c r="AE198" s="170">
        <f t="shared" si="33"/>
        <v>3.472222222222222E-3</v>
      </c>
      <c r="AG198" s="110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28" t="str" cm="1">
        <f t="array" aca="1" ref="AR198" ca="1">IF(A198=INDIRECT($AK$4&amp;"!$A$3"),IF(I198&lt;&gt;"",I198&amp;A198,""),"")</f>
        <v/>
      </c>
    </row>
    <row r="199" spans="1:44" ht="20.100000000000001" customHeight="1">
      <c r="A199" s="165">
        <f t="shared" si="34"/>
        <v>45802</v>
      </c>
      <c r="C199" s="34"/>
      <c r="Z199" s="110" t="str">
        <f t="shared" si="35"/>
        <v/>
      </c>
      <c r="AE199" s="170">
        <f t="shared" si="33"/>
        <v>3.472222222222222E-3</v>
      </c>
      <c r="AG199" s="110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28" t="str" cm="1">
        <f t="array" aca="1" ref="AR199" ca="1">IF(A199=INDIRECT($AK$4&amp;"!$A$3"),IF(I199&lt;&gt;"",I199&amp;A199,""),"")</f>
        <v/>
      </c>
    </row>
    <row r="200" spans="1:44" ht="20.100000000000001" customHeight="1">
      <c r="A200" s="165">
        <f t="shared" si="34"/>
        <v>45802</v>
      </c>
      <c r="C200" s="34"/>
      <c r="Z200" s="110" t="str">
        <f t="shared" si="35"/>
        <v/>
      </c>
      <c r="AE200" s="170">
        <f t="shared" si="33"/>
        <v>3.472222222222222E-3</v>
      </c>
      <c r="AG200" s="110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28" t="str" cm="1">
        <f t="array" aca="1" ref="AR200" ca="1">IF(A200=INDIRECT($AK$4&amp;"!$A$3"),IF(I200&lt;&gt;"",I200&amp;A200,""),"")</f>
        <v/>
      </c>
    </row>
    <row r="201" spans="1:44" ht="20.100000000000001" customHeight="1">
      <c r="A201" s="165">
        <f t="shared" si="34"/>
        <v>45802</v>
      </c>
      <c r="C201" s="34"/>
      <c r="Z201" s="110" t="str">
        <f t="shared" si="35"/>
        <v/>
      </c>
      <c r="AE201" s="170">
        <f t="shared" si="33"/>
        <v>3.472222222222222E-3</v>
      </c>
      <c r="AG201" s="110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28" t="str" cm="1">
        <f t="array" aca="1" ref="AR201" ca="1">IF(A201=INDIRECT($AK$4&amp;"!$A$3"),IF(I201&lt;&gt;"",I201&amp;A201,""),"")</f>
        <v/>
      </c>
    </row>
    <row r="202" spans="1:44" ht="20.100000000000001" customHeight="1">
      <c r="A202" s="165">
        <f t="shared" si="34"/>
        <v>45802</v>
      </c>
      <c r="C202" s="34"/>
      <c r="Z202" s="110" t="str">
        <f t="shared" si="35"/>
        <v/>
      </c>
      <c r="AE202" s="170">
        <f t="shared" si="33"/>
        <v>3.472222222222222E-3</v>
      </c>
      <c r="AG202" s="110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28" t="str" cm="1">
        <f t="array" aca="1" ref="AR202" ca="1">IF(A202=INDIRECT($AK$4&amp;"!$A$3"),IF(I202&lt;&gt;"",I202&amp;A202,""),"")</f>
        <v/>
      </c>
    </row>
    <row r="203" spans="1:44" ht="20.100000000000001" customHeight="1">
      <c r="A203" s="165">
        <f t="shared" si="34"/>
        <v>45802</v>
      </c>
      <c r="C203" s="34"/>
      <c r="Z203" s="110" t="str">
        <f t="shared" si="35"/>
        <v/>
      </c>
      <c r="AE203" s="170">
        <f t="shared" si="33"/>
        <v>3.472222222222222E-3</v>
      </c>
      <c r="AG203" s="110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28" t="str" cm="1">
        <f t="array" aca="1" ref="AR203" ca="1">IF(A203=INDIRECT($AK$4&amp;"!$A$3"),IF(I203&lt;&gt;"",I203&amp;A203,""),"")</f>
        <v/>
      </c>
    </row>
    <row r="204" spans="1:44" ht="20.100000000000001" customHeight="1">
      <c r="A204" s="165">
        <f t="shared" si="34"/>
        <v>45802</v>
      </c>
      <c r="C204" s="34"/>
      <c r="Z204" s="110" t="str">
        <f t="shared" si="35"/>
        <v/>
      </c>
      <c r="AE204" s="170">
        <f t="shared" si="33"/>
        <v>3.472222222222222E-3</v>
      </c>
      <c r="AG204" s="110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28" t="str" cm="1">
        <f t="array" aca="1" ref="AR204" ca="1">IF(A204=INDIRECT($AK$4&amp;"!$A$3"),IF(I204&lt;&gt;"",I204&amp;A204,""),"")</f>
        <v/>
      </c>
    </row>
    <row r="205" spans="1:44" ht="20.100000000000001" customHeight="1">
      <c r="A205" s="165">
        <f t="shared" si="34"/>
        <v>45802</v>
      </c>
      <c r="C205" s="34"/>
      <c r="Z205" s="110" t="str">
        <f t="shared" si="35"/>
        <v/>
      </c>
      <c r="AE205" s="170">
        <f t="shared" si="33"/>
        <v>3.472222222222222E-3</v>
      </c>
      <c r="AG205" s="110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28" t="str" cm="1">
        <f t="array" aca="1" ref="AR205" ca="1">IF(A205=INDIRECT($AK$4&amp;"!$A$3"),IF(I205&lt;&gt;"",I205&amp;A205,""),"")</f>
        <v/>
      </c>
    </row>
    <row r="206" spans="1:44" ht="20.100000000000001" customHeight="1">
      <c r="A206" s="165">
        <f t="shared" si="34"/>
        <v>45802</v>
      </c>
      <c r="C206" s="34"/>
      <c r="Z206" s="110" t="str">
        <f t="shared" si="35"/>
        <v/>
      </c>
      <c r="AE206" s="170">
        <f t="shared" si="33"/>
        <v>3.472222222222222E-3</v>
      </c>
      <c r="AG206" s="110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28" t="str" cm="1">
        <f t="array" aca="1" ref="AR206" ca="1">IF(A206=INDIRECT($AK$4&amp;"!$A$3"),IF(I206&lt;&gt;"",I206&amp;A206,""),"")</f>
        <v/>
      </c>
    </row>
    <row r="207" spans="1:44" ht="20.100000000000001" customHeight="1">
      <c r="A207" s="165">
        <f t="shared" si="34"/>
        <v>45802</v>
      </c>
      <c r="C207" s="34"/>
      <c r="Z207" s="110" t="str">
        <f t="shared" si="35"/>
        <v/>
      </c>
      <c r="AE207" s="170">
        <f t="shared" si="33"/>
        <v>3.472222222222222E-3</v>
      </c>
      <c r="AG207" s="110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28" t="str" cm="1">
        <f t="array" aca="1" ref="AR207" ca="1">IF(A207=INDIRECT($AK$4&amp;"!$A$3"),IF(I207&lt;&gt;"",I207&amp;A207,""),"")</f>
        <v/>
      </c>
    </row>
    <row r="208" spans="1:44" ht="20.100000000000001" customHeight="1">
      <c r="A208" s="165">
        <f t="shared" si="34"/>
        <v>45802</v>
      </c>
      <c r="C208" s="34"/>
      <c r="Z208" s="110" t="str">
        <f t="shared" si="35"/>
        <v/>
      </c>
      <c r="AE208" s="170">
        <f t="shared" si="33"/>
        <v>3.472222222222222E-3</v>
      </c>
      <c r="AG208" s="110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28" t="str" cm="1">
        <f t="array" aca="1" ref="AR208" ca="1">IF(A208=INDIRECT($AK$4&amp;"!$A$3"),IF(I208&lt;&gt;"",I208&amp;A208,""),"")</f>
        <v/>
      </c>
    </row>
    <row r="209" spans="1:44" ht="20.100000000000001" customHeight="1">
      <c r="A209" s="165">
        <f t="shared" si="34"/>
        <v>45802</v>
      </c>
      <c r="C209" s="34"/>
      <c r="Z209" s="110" t="str">
        <f t="shared" si="35"/>
        <v/>
      </c>
      <c r="AE209" s="170">
        <f t="shared" si="33"/>
        <v>3.472222222222222E-3</v>
      </c>
      <c r="AG209" s="110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28" t="str" cm="1">
        <f t="array" aca="1" ref="AR209" ca="1">IF(A209=INDIRECT($AK$4&amp;"!$A$3"),IF(I209&lt;&gt;"",I209&amp;A209,""),"")</f>
        <v/>
      </c>
    </row>
    <row r="210" spans="1:44" ht="20.100000000000001" customHeight="1">
      <c r="A210" s="165">
        <f t="shared" si="34"/>
        <v>45802</v>
      </c>
      <c r="C210" s="34"/>
      <c r="Z210" s="110" t="str">
        <f t="shared" si="35"/>
        <v/>
      </c>
      <c r="AE210" s="170">
        <f t="shared" si="33"/>
        <v>3.472222222222222E-3</v>
      </c>
      <c r="AG210" s="110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28" t="str" cm="1">
        <f t="array" aca="1" ref="AR210" ca="1">IF(A210=INDIRECT($AK$4&amp;"!$A$3"),IF(I210&lt;&gt;"",I210&amp;A210,""),"")</f>
        <v/>
      </c>
    </row>
    <row r="211" spans="1:44" ht="20.100000000000001" customHeight="1">
      <c r="A211" s="165">
        <f t="shared" si="34"/>
        <v>45802</v>
      </c>
      <c r="C211" s="34"/>
      <c r="Z211" s="110" t="str">
        <f t="shared" si="35"/>
        <v/>
      </c>
      <c r="AE211" s="170">
        <f t="shared" si="33"/>
        <v>3.472222222222222E-3</v>
      </c>
      <c r="AG211" s="110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28" t="str" cm="1">
        <f t="array" aca="1" ref="AR211" ca="1">IF(A211=INDIRECT($AK$4&amp;"!$A$3"),IF(I211&lt;&gt;"",I211&amp;A211,""),"")</f>
        <v/>
      </c>
    </row>
    <row r="212" spans="1:44" ht="20.100000000000001" customHeight="1">
      <c r="A212" s="165">
        <f t="shared" si="34"/>
        <v>45802</v>
      </c>
      <c r="C212" s="34"/>
      <c r="Z212" s="110" t="str">
        <f t="shared" si="35"/>
        <v/>
      </c>
      <c r="AE212" s="170">
        <f t="shared" si="33"/>
        <v>3.472222222222222E-3</v>
      </c>
      <c r="AG212" s="110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28" t="str" cm="1">
        <f t="array" aca="1" ref="AR212" ca="1">IF(A212=INDIRECT($AK$4&amp;"!$A$3"),IF(I212&lt;&gt;"",I212&amp;A212,""),"")</f>
        <v/>
      </c>
    </row>
    <row r="213" spans="1:44" ht="20.100000000000001" customHeight="1">
      <c r="A213" s="165">
        <f t="shared" si="34"/>
        <v>45802</v>
      </c>
      <c r="C213" s="34"/>
      <c r="Z213" s="110" t="str">
        <f t="shared" si="35"/>
        <v/>
      </c>
      <c r="AE213" s="170">
        <f t="shared" si="33"/>
        <v>3.472222222222222E-3</v>
      </c>
      <c r="AG213" s="110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28" t="str" cm="1">
        <f t="array" aca="1" ref="AR213" ca="1">IF(A213=INDIRECT($AK$4&amp;"!$A$3"),IF(I213&lt;&gt;"",I213&amp;A213,""),"")</f>
        <v/>
      </c>
    </row>
    <row r="214" spans="1:44" ht="20.100000000000001" customHeight="1">
      <c r="A214" s="165">
        <f t="shared" si="34"/>
        <v>45802</v>
      </c>
      <c r="C214" s="34"/>
      <c r="Z214" s="110" t="str">
        <f t="shared" si="35"/>
        <v/>
      </c>
      <c r="AE214" s="170">
        <f t="shared" si="33"/>
        <v>3.472222222222222E-3</v>
      </c>
      <c r="AG214" s="110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28" t="str" cm="1">
        <f t="array" aca="1" ref="AR214" ca="1">IF(A214=INDIRECT($AK$4&amp;"!$A$3"),IF(I214&lt;&gt;"",I214&amp;A214,""),"")</f>
        <v/>
      </c>
    </row>
    <row r="215" spans="1:44" ht="20.100000000000001" customHeight="1">
      <c r="A215" s="165">
        <f t="shared" si="34"/>
        <v>45802</v>
      </c>
      <c r="C215" s="34"/>
      <c r="Z215" s="110" t="str">
        <f t="shared" si="35"/>
        <v/>
      </c>
      <c r="AE215" s="170">
        <f t="shared" si="33"/>
        <v>3.472222222222222E-3</v>
      </c>
      <c r="AG215" s="110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28" t="str" cm="1">
        <f t="array" aca="1" ref="AR215" ca="1">IF(A215=INDIRECT($AK$4&amp;"!$A$3"),IF(I215&lt;&gt;"",I215&amp;A215,""),"")</f>
        <v/>
      </c>
    </row>
    <row r="216" spans="1:44" ht="20.100000000000001" customHeight="1">
      <c r="A216" s="165">
        <f t="shared" si="34"/>
        <v>45802</v>
      </c>
      <c r="C216" s="34"/>
      <c r="Z216" s="110" t="str">
        <f t="shared" si="35"/>
        <v/>
      </c>
      <c r="AE216" s="170">
        <f t="shared" si="33"/>
        <v>3.472222222222222E-3</v>
      </c>
      <c r="AG216" s="110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28" t="str" cm="1">
        <f t="array" aca="1" ref="AR216" ca="1">IF(A216=INDIRECT($AK$4&amp;"!$A$3"),IF(I216&lt;&gt;"",I216&amp;A216,""),"")</f>
        <v/>
      </c>
    </row>
    <row r="217" spans="1:44" ht="20.100000000000001" customHeight="1">
      <c r="A217" s="165">
        <f t="shared" si="34"/>
        <v>45802</v>
      </c>
      <c r="C217" s="34"/>
      <c r="Z217" s="110" t="str">
        <f t="shared" si="35"/>
        <v/>
      </c>
      <c r="AE217" s="170">
        <f t="shared" si="33"/>
        <v>3.472222222222222E-3</v>
      </c>
      <c r="AG217" s="110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28" t="str" cm="1">
        <f t="array" aca="1" ref="AR217" ca="1">IF(A217=INDIRECT($AK$4&amp;"!$A$3"),IF(I217&lt;&gt;"",I217&amp;A217,""),"")</f>
        <v/>
      </c>
    </row>
    <row r="218" spans="1:44" ht="20.100000000000001" customHeight="1">
      <c r="A218" s="165">
        <f t="shared" si="34"/>
        <v>45802</v>
      </c>
      <c r="C218" s="34"/>
      <c r="Z218" s="110" t="str">
        <f t="shared" si="35"/>
        <v/>
      </c>
      <c r="AE218" s="170">
        <f t="shared" si="33"/>
        <v>3.472222222222222E-3</v>
      </c>
      <c r="AG218" s="110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28" t="str" cm="1">
        <f t="array" aca="1" ref="AR218" ca="1">IF(A218=INDIRECT($AK$4&amp;"!$A$3"),IF(I218&lt;&gt;"",I218&amp;A218,""),"")</f>
        <v/>
      </c>
    </row>
    <row r="219" spans="1:44" ht="20.100000000000001" customHeight="1">
      <c r="A219" s="165">
        <f t="shared" si="34"/>
        <v>45802</v>
      </c>
      <c r="C219" s="34"/>
      <c r="Z219" s="110" t="str">
        <f t="shared" si="35"/>
        <v/>
      </c>
      <c r="AE219" s="170">
        <f t="shared" si="33"/>
        <v>3.472222222222222E-3</v>
      </c>
      <c r="AG219" s="110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28" t="str" cm="1">
        <f t="array" aca="1" ref="AR219" ca="1">IF(A219=INDIRECT($AK$4&amp;"!$A$3"),IF(I219&lt;&gt;"",I219&amp;A219,""),"")</f>
        <v/>
      </c>
    </row>
    <row r="220" spans="1:44" ht="20.100000000000001" customHeight="1">
      <c r="A220" s="165">
        <f t="shared" si="34"/>
        <v>45802</v>
      </c>
      <c r="C220" s="34"/>
      <c r="Z220" s="110" t="str">
        <f t="shared" si="35"/>
        <v/>
      </c>
      <c r="AE220" s="170">
        <f t="shared" si="33"/>
        <v>3.472222222222222E-3</v>
      </c>
      <c r="AG220" s="110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28" t="str" cm="1">
        <f t="array" aca="1" ref="AR220" ca="1">IF(A220=INDIRECT($AK$4&amp;"!$A$3"),IF(I220&lt;&gt;"",I220&amp;A220,""),"")</f>
        <v/>
      </c>
    </row>
    <row r="221" spans="1:44" ht="20.100000000000001" customHeight="1">
      <c r="A221" s="165">
        <f t="shared" si="34"/>
        <v>45802</v>
      </c>
      <c r="C221" s="34"/>
      <c r="Z221" s="110" t="str">
        <f t="shared" si="35"/>
        <v/>
      </c>
      <c r="AE221" s="170">
        <f t="shared" si="33"/>
        <v>3.472222222222222E-3</v>
      </c>
      <c r="AG221" s="110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28" t="str" cm="1">
        <f t="array" aca="1" ref="AR221" ca="1">IF(A221=INDIRECT($AK$4&amp;"!$A$3"),IF(I221&lt;&gt;"",I221&amp;A221,""),"")</f>
        <v/>
      </c>
    </row>
    <row r="222" spans="1:44" ht="20.100000000000001" customHeight="1">
      <c r="A222" s="165">
        <f t="shared" si="34"/>
        <v>45802</v>
      </c>
      <c r="C222" s="34"/>
      <c r="Z222" s="110" t="str">
        <f t="shared" si="35"/>
        <v/>
      </c>
      <c r="AE222" s="170">
        <f t="shared" si="33"/>
        <v>3.472222222222222E-3</v>
      </c>
      <c r="AG222" s="110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28" t="str" cm="1">
        <f t="array" aca="1" ref="AR222" ca="1">IF(A222=INDIRECT($AK$4&amp;"!$A$3"),IF(I222&lt;&gt;"",I222&amp;A222,""),"")</f>
        <v/>
      </c>
    </row>
    <row r="223" spans="1:44" ht="20.100000000000001" customHeight="1">
      <c r="A223" s="165">
        <f t="shared" si="34"/>
        <v>45802</v>
      </c>
      <c r="C223" s="34"/>
      <c r="Z223" s="110" t="str">
        <f t="shared" si="35"/>
        <v/>
      </c>
      <c r="AE223" s="170">
        <f t="shared" si="33"/>
        <v>3.472222222222222E-3</v>
      </c>
      <c r="AG223" s="110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28" t="str" cm="1">
        <f t="array" aca="1" ref="AR223" ca="1">IF(A223=INDIRECT($AK$4&amp;"!$A$3"),IF(I223&lt;&gt;"",I223&amp;A223,""),"")</f>
        <v/>
      </c>
    </row>
    <row r="224" spans="1:44" ht="20.100000000000001" customHeight="1">
      <c r="A224" s="165">
        <f t="shared" si="34"/>
        <v>45802</v>
      </c>
      <c r="C224" s="34"/>
      <c r="Z224" s="110" t="str">
        <f t="shared" si="35"/>
        <v/>
      </c>
      <c r="AE224" s="170">
        <f t="shared" si="33"/>
        <v>3.472222222222222E-3</v>
      </c>
      <c r="AG224" s="110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28" t="str" cm="1">
        <f t="array" aca="1" ref="AR224" ca="1">IF(A224=INDIRECT($AK$4&amp;"!$A$3"),IF(I224&lt;&gt;"",I224&amp;A224,""),"")</f>
        <v/>
      </c>
    </row>
    <row r="225" spans="1:44" ht="20.100000000000001" customHeight="1">
      <c r="A225" s="165">
        <f t="shared" si="34"/>
        <v>45802</v>
      </c>
      <c r="C225" s="34"/>
      <c r="Z225" s="110" t="str">
        <f t="shared" si="35"/>
        <v/>
      </c>
      <c r="AE225" s="170">
        <f t="shared" si="33"/>
        <v>3.472222222222222E-3</v>
      </c>
      <c r="AG225" s="110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28" t="str" cm="1">
        <f t="array" aca="1" ref="AR225" ca="1">IF(A225=INDIRECT($AK$4&amp;"!$A$3"),IF(I225&lt;&gt;"",I225&amp;A225,""),"")</f>
        <v/>
      </c>
    </row>
    <row r="226" spans="1:44" ht="20.100000000000001" customHeight="1">
      <c r="A226" s="165">
        <f t="shared" si="34"/>
        <v>45802</v>
      </c>
      <c r="B226" s="172"/>
      <c r="C226" s="34"/>
      <c r="Z226" s="110" t="str">
        <f t="shared" si="35"/>
        <v/>
      </c>
      <c r="AE226" s="170">
        <f t="shared" si="33"/>
        <v>3.472222222222222E-3</v>
      </c>
      <c r="AG226" s="110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28" t="str" cm="1">
        <f t="array" aca="1" ref="AR226" ca="1">IF(A226=INDIRECT($AK$4&amp;"!$A$3"),IF(I226&lt;&gt;"",I226&amp;A226,""),"")</f>
        <v/>
      </c>
    </row>
    <row r="227" spans="1:44" ht="20.100000000000001" customHeight="1">
      <c r="A227" s="165">
        <f t="shared" si="34"/>
        <v>45802</v>
      </c>
      <c r="C227" s="34"/>
      <c r="Z227" s="110" t="str">
        <f t="shared" si="35"/>
        <v/>
      </c>
      <c r="AE227" s="170">
        <f t="shared" si="33"/>
        <v>3.472222222222222E-3</v>
      </c>
      <c r="AG227" s="110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28" t="str" cm="1">
        <f t="array" aca="1" ref="AR227" ca="1">IF(A227=INDIRECT($AK$4&amp;"!$A$3"),IF(I227&lt;&gt;"",I227&amp;A227,""),"")</f>
        <v/>
      </c>
    </row>
    <row r="228" spans="1:44" ht="20.100000000000001" customHeight="1">
      <c r="A228" s="165">
        <f t="shared" si="34"/>
        <v>45802</v>
      </c>
      <c r="C228" s="34"/>
      <c r="Z228" s="110" t="str">
        <f t="shared" si="35"/>
        <v/>
      </c>
      <c r="AE228" s="170">
        <f t="shared" si="33"/>
        <v>3.472222222222222E-3</v>
      </c>
      <c r="AG228" s="110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28" t="str" cm="1">
        <f t="array" aca="1" ref="AR228" ca="1">IF(A228=INDIRECT($AK$4&amp;"!$A$3"),IF(I228&lt;&gt;"",I228&amp;A228,""),"")</f>
        <v/>
      </c>
    </row>
    <row r="229" spans="1:44" ht="20.100000000000001" customHeight="1">
      <c r="A229" s="165">
        <f t="shared" si="34"/>
        <v>45802</v>
      </c>
      <c r="C229" s="34"/>
      <c r="Z229" s="110" t="str">
        <f t="shared" si="35"/>
        <v/>
      </c>
      <c r="AE229" s="170">
        <f t="shared" si="33"/>
        <v>3.472222222222222E-3</v>
      </c>
      <c r="AG229" s="110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28" t="str" cm="1">
        <f t="array" aca="1" ref="AR229" ca="1">IF(A229=INDIRECT($AK$4&amp;"!$A$3"),IF(I229&lt;&gt;"",I229&amp;A229,""),"")</f>
        <v/>
      </c>
    </row>
    <row r="230" spans="1:44" ht="20.100000000000001" customHeight="1">
      <c r="A230" s="165">
        <f t="shared" si="34"/>
        <v>45802</v>
      </c>
      <c r="C230" s="34"/>
      <c r="Z230" s="110" t="str">
        <f t="shared" si="35"/>
        <v/>
      </c>
      <c r="AE230" s="170">
        <f t="shared" si="33"/>
        <v>3.472222222222222E-3</v>
      </c>
      <c r="AG230" s="110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28" t="str" cm="1">
        <f t="array" aca="1" ref="AR230" ca="1">IF(A230=INDIRECT($AK$4&amp;"!$A$3"),IF(I230&lt;&gt;"",I230&amp;A230,""),"")</f>
        <v/>
      </c>
    </row>
    <row r="231" spans="1:44" ht="20.100000000000001" customHeight="1">
      <c r="A231" s="165">
        <f t="shared" si="34"/>
        <v>45802</v>
      </c>
      <c r="C231" s="34"/>
      <c r="Z231" s="110" t="str">
        <f t="shared" si="35"/>
        <v/>
      </c>
      <c r="AE231" s="170">
        <f t="shared" si="33"/>
        <v>3.472222222222222E-3</v>
      </c>
      <c r="AG231" s="110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28" t="str" cm="1">
        <f t="array" aca="1" ref="AR231" ca="1">IF(A231=INDIRECT($AK$4&amp;"!$A$3"),IF(I231&lt;&gt;"",I231&amp;A231,""),"")</f>
        <v/>
      </c>
    </row>
    <row r="232" spans="1:44" ht="20.100000000000001" customHeight="1">
      <c r="A232" s="165">
        <f t="shared" si="34"/>
        <v>45802</v>
      </c>
      <c r="C232" s="34"/>
      <c r="Z232" s="110" t="str">
        <f t="shared" si="35"/>
        <v/>
      </c>
      <c r="AE232" s="170">
        <f t="shared" si="33"/>
        <v>3.472222222222222E-3</v>
      </c>
      <c r="AG232" s="110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28" t="str" cm="1">
        <f t="array" aca="1" ref="AR232" ca="1">IF(A232=INDIRECT($AK$4&amp;"!$A$3"),IF(I232&lt;&gt;"",I232&amp;A232,""),"")</f>
        <v/>
      </c>
    </row>
    <row r="233" spans="1:44" ht="20.100000000000001" customHeight="1">
      <c r="A233" s="165">
        <f t="shared" si="34"/>
        <v>45802</v>
      </c>
      <c r="C233" s="34"/>
      <c r="Z233" s="110" t="str">
        <f t="shared" si="35"/>
        <v/>
      </c>
      <c r="AE233" s="170">
        <f t="shared" si="33"/>
        <v>3.472222222222222E-3</v>
      </c>
      <c r="AG233" s="110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28" t="str" cm="1">
        <f t="array" aca="1" ref="AR233" ca="1">IF(A233=INDIRECT($AK$4&amp;"!$A$3"),IF(I233&lt;&gt;"",I233&amp;A233,""),"")</f>
        <v/>
      </c>
    </row>
    <row r="234" spans="1:44" ht="20.100000000000001" customHeight="1">
      <c r="A234" s="165">
        <f t="shared" si="34"/>
        <v>45802</v>
      </c>
      <c r="C234" s="34"/>
      <c r="Z234" s="110" t="str">
        <f t="shared" si="35"/>
        <v/>
      </c>
      <c r="AE234" s="170">
        <f t="shared" si="33"/>
        <v>3.472222222222222E-3</v>
      </c>
      <c r="AG234" s="110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28" t="str" cm="1">
        <f t="array" aca="1" ref="AR234" ca="1">IF(A234=INDIRECT($AK$4&amp;"!$A$3"),IF(I234&lt;&gt;"",I234&amp;A234,""),"")</f>
        <v/>
      </c>
    </row>
    <row r="235" spans="1:44" ht="20.100000000000001" customHeight="1">
      <c r="A235" s="165">
        <f t="shared" si="34"/>
        <v>45802</v>
      </c>
      <c r="C235" s="34"/>
      <c r="Z235" s="110" t="str">
        <f t="shared" si="35"/>
        <v/>
      </c>
      <c r="AE235" s="170">
        <f t="shared" si="33"/>
        <v>3.472222222222222E-3</v>
      </c>
      <c r="AG235" s="110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28" t="str" cm="1">
        <f t="array" aca="1" ref="AR235" ca="1">IF(A235=INDIRECT($AK$4&amp;"!$A$3"),IF(I235&lt;&gt;"",I235&amp;A235,""),"")</f>
        <v/>
      </c>
    </row>
    <row r="236" spans="1:44" ht="20.100000000000001" customHeight="1">
      <c r="A236" s="165">
        <f t="shared" si="34"/>
        <v>45802</v>
      </c>
      <c r="C236" s="34"/>
      <c r="Z236" s="110" t="str">
        <f t="shared" si="35"/>
        <v/>
      </c>
      <c r="AE236" s="170">
        <f t="shared" si="33"/>
        <v>3.472222222222222E-3</v>
      </c>
      <c r="AG236" s="110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28" t="str" cm="1">
        <f t="array" aca="1" ref="AR236" ca="1">IF(A236=INDIRECT($AK$4&amp;"!$A$3"),IF(I236&lt;&gt;"",I236&amp;A236,""),"")</f>
        <v/>
      </c>
    </row>
    <row r="237" spans="1:44" ht="20.100000000000001" customHeight="1">
      <c r="A237" s="165">
        <f t="shared" si="34"/>
        <v>45802</v>
      </c>
      <c r="C237" s="34"/>
      <c r="Z237" s="110" t="str">
        <f t="shared" si="35"/>
        <v/>
      </c>
      <c r="AE237" s="170">
        <f t="shared" si="33"/>
        <v>3.472222222222222E-3</v>
      </c>
      <c r="AG237" s="110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28" t="str" cm="1">
        <f t="array" aca="1" ref="AR237" ca="1">IF(A237=INDIRECT($AK$4&amp;"!$A$3"),IF(I237&lt;&gt;"",I237&amp;A237,""),"")</f>
        <v/>
      </c>
    </row>
    <row r="238" spans="1:44" ht="20.100000000000001" customHeight="1">
      <c r="A238" s="165">
        <f t="shared" si="34"/>
        <v>45802</v>
      </c>
      <c r="C238" s="34"/>
      <c r="Z238" s="110" t="str">
        <f t="shared" si="35"/>
        <v/>
      </c>
      <c r="AE238" s="170">
        <f t="shared" si="33"/>
        <v>3.472222222222222E-3</v>
      </c>
      <c r="AG238" s="110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28" t="str" cm="1">
        <f t="array" aca="1" ref="AR238" ca="1">IF(A238=INDIRECT($AK$4&amp;"!$A$3"),IF(I238&lt;&gt;"",I238&amp;A238,""),"")</f>
        <v/>
      </c>
    </row>
    <row r="239" spans="1:44" ht="20.100000000000001" customHeight="1">
      <c r="A239" s="165">
        <f t="shared" si="34"/>
        <v>45802</v>
      </c>
      <c r="C239" s="34"/>
      <c r="Z239" s="110" t="str">
        <f t="shared" si="35"/>
        <v/>
      </c>
      <c r="AE239" s="170">
        <f t="shared" si="33"/>
        <v>3.472222222222222E-3</v>
      </c>
      <c r="AG239" s="110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28" t="str" cm="1">
        <f t="array" aca="1" ref="AR239" ca="1">IF(A239=INDIRECT($AK$4&amp;"!$A$3"),IF(I239&lt;&gt;"",I239&amp;A239,""),"")</f>
        <v/>
      </c>
    </row>
    <row r="240" spans="1:44" ht="20.100000000000001" customHeight="1">
      <c r="A240" s="165">
        <f t="shared" si="34"/>
        <v>45802</v>
      </c>
      <c r="C240" s="34"/>
      <c r="Z240" s="110" t="str">
        <f t="shared" si="35"/>
        <v/>
      </c>
      <c r="AE240" s="170">
        <f t="shared" si="33"/>
        <v>3.472222222222222E-3</v>
      </c>
      <c r="AG240" s="110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28" t="str" cm="1">
        <f t="array" aca="1" ref="AR240" ca="1">IF(A240=INDIRECT($AK$4&amp;"!$A$3"),IF(I240&lt;&gt;"",I240&amp;A240,""),"")</f>
        <v/>
      </c>
    </row>
    <row r="241" spans="1:44" ht="20.100000000000001" customHeight="1">
      <c r="A241" s="165">
        <f t="shared" si="34"/>
        <v>45802</v>
      </c>
      <c r="C241" s="34"/>
      <c r="Z241" s="110" t="str">
        <f t="shared" si="35"/>
        <v/>
      </c>
      <c r="AE241" s="170">
        <f t="shared" si="33"/>
        <v>3.472222222222222E-3</v>
      </c>
      <c r="AG241" s="110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28" t="str" cm="1">
        <f t="array" aca="1" ref="AR241" ca="1">IF(A241=INDIRECT($AK$4&amp;"!$A$3"),IF(I241&lt;&gt;"",I241&amp;A241,""),"")</f>
        <v/>
      </c>
    </row>
    <row r="242" spans="1:44" ht="20.100000000000001" customHeight="1">
      <c r="A242" s="165">
        <f t="shared" si="34"/>
        <v>45802</v>
      </c>
      <c r="C242" s="34"/>
      <c r="Z242" s="110" t="str">
        <f t="shared" si="35"/>
        <v/>
      </c>
      <c r="AE242" s="170">
        <f t="shared" si="33"/>
        <v>3.472222222222222E-3</v>
      </c>
      <c r="AG242" s="110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28" t="str" cm="1">
        <f t="array" aca="1" ref="AR242" ca="1">IF(A242=INDIRECT($AK$4&amp;"!$A$3"),IF(I242&lt;&gt;"",I242&amp;A242,""),"")</f>
        <v/>
      </c>
    </row>
    <row r="243" spans="1:44" ht="20.100000000000001" customHeight="1">
      <c r="A243" s="165">
        <f t="shared" si="34"/>
        <v>45802</v>
      </c>
      <c r="C243" s="34"/>
      <c r="Z243" s="110" t="str">
        <f t="shared" si="35"/>
        <v/>
      </c>
      <c r="AE243" s="170">
        <f t="shared" si="33"/>
        <v>3.472222222222222E-3</v>
      </c>
      <c r="AG243" s="110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28" t="str" cm="1">
        <f t="array" aca="1" ref="AR243" ca="1">IF(A243=INDIRECT($AK$4&amp;"!$A$3"),IF(I243&lt;&gt;"",I243&amp;A243,""),"")</f>
        <v/>
      </c>
    </row>
    <row r="244" spans="1:44" ht="20.100000000000001" customHeight="1">
      <c r="A244" s="165">
        <f t="shared" si="34"/>
        <v>45802</v>
      </c>
      <c r="C244" s="34"/>
      <c r="Z244" s="110" t="str">
        <f t="shared" si="35"/>
        <v/>
      </c>
      <c r="AE244" s="170">
        <f t="shared" si="33"/>
        <v>3.472222222222222E-3</v>
      </c>
      <c r="AG244" s="110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28" t="str" cm="1">
        <f t="array" aca="1" ref="AR244" ca="1">IF(A244=INDIRECT($AK$4&amp;"!$A$3"),IF(I244&lt;&gt;"",I244&amp;A244,""),"")</f>
        <v/>
      </c>
    </row>
    <row r="245" spans="1:44" ht="20.100000000000001" customHeight="1">
      <c r="A245" s="165">
        <f t="shared" si="34"/>
        <v>45802</v>
      </c>
      <c r="C245" s="34"/>
      <c r="Z245" s="110" t="str">
        <f t="shared" si="35"/>
        <v/>
      </c>
      <c r="AE245" s="170">
        <f t="shared" si="33"/>
        <v>3.472222222222222E-3</v>
      </c>
      <c r="AG245" s="110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28" t="str" cm="1">
        <f t="array" aca="1" ref="AR245" ca="1">IF(A245=INDIRECT($AK$4&amp;"!$A$3"),IF(I245&lt;&gt;"",I245&amp;A245,""),"")</f>
        <v/>
      </c>
    </row>
    <row r="246" spans="1:44" ht="20.100000000000001" customHeight="1">
      <c r="A246" s="165">
        <f t="shared" si="34"/>
        <v>45802</v>
      </c>
      <c r="C246" s="34"/>
      <c r="Z246" s="110" t="str">
        <f t="shared" si="35"/>
        <v/>
      </c>
      <c r="AE246" s="170">
        <f t="shared" si="33"/>
        <v>3.472222222222222E-3</v>
      </c>
      <c r="AG246" s="110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28" t="str" cm="1">
        <f t="array" aca="1" ref="AR246" ca="1">IF(A246=INDIRECT($AK$4&amp;"!$A$3"),IF(I246&lt;&gt;"",I246&amp;A246,""),"")</f>
        <v/>
      </c>
    </row>
    <row r="247" spans="1:44" ht="20.100000000000001" customHeight="1">
      <c r="A247" s="165">
        <f t="shared" si="34"/>
        <v>45802</v>
      </c>
      <c r="C247" s="34"/>
      <c r="Z247" s="110" t="str">
        <f t="shared" si="35"/>
        <v/>
      </c>
      <c r="AE247" s="170">
        <f t="shared" si="33"/>
        <v>3.472222222222222E-3</v>
      </c>
      <c r="AG247" s="110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28" t="str" cm="1">
        <f t="array" aca="1" ref="AR247" ca="1">IF(A247=INDIRECT($AK$4&amp;"!$A$3"),IF(I247&lt;&gt;"",I247&amp;A247,""),"")</f>
        <v/>
      </c>
    </row>
    <row r="248" spans="1:44" ht="20.100000000000001" customHeight="1">
      <c r="A248" s="165">
        <f t="shared" si="34"/>
        <v>45802</v>
      </c>
      <c r="C248" s="34"/>
      <c r="Z248" s="110" t="str">
        <f t="shared" si="35"/>
        <v/>
      </c>
      <c r="AE248" s="170">
        <f t="shared" si="33"/>
        <v>3.472222222222222E-3</v>
      </c>
      <c r="AG248" s="110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28" t="str" cm="1">
        <f t="array" aca="1" ref="AR248" ca="1">IF(A248=INDIRECT($AK$4&amp;"!$A$3"),IF(I248&lt;&gt;"",I248&amp;A248,""),"")</f>
        <v/>
      </c>
    </row>
    <row r="249" spans="1:44" ht="20.100000000000001" customHeight="1">
      <c r="A249" s="165">
        <f t="shared" si="34"/>
        <v>45802</v>
      </c>
      <c r="C249" s="34"/>
      <c r="Z249" s="110" t="str">
        <f t="shared" si="35"/>
        <v/>
      </c>
      <c r="AE249" s="170">
        <f t="shared" si="33"/>
        <v>3.472222222222222E-3</v>
      </c>
      <c r="AG249" s="110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28" t="str" cm="1">
        <f t="array" aca="1" ref="AR249" ca="1">IF(A249=INDIRECT($AK$4&amp;"!$A$3"),IF(I249&lt;&gt;"",I249&amp;A249,""),"")</f>
        <v/>
      </c>
    </row>
    <row r="250" spans="1:44" ht="20.100000000000001" customHeight="1">
      <c r="A250" s="165">
        <f t="shared" si="34"/>
        <v>45802</v>
      </c>
      <c r="C250" s="34"/>
      <c r="Z250" s="110" t="str">
        <f t="shared" si="35"/>
        <v/>
      </c>
      <c r="AE250" s="170">
        <f t="shared" si="33"/>
        <v>3.472222222222222E-3</v>
      </c>
      <c r="AG250" s="110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28" t="str" cm="1">
        <f t="array" aca="1" ref="AR250" ca="1">IF(A250=INDIRECT($AK$4&amp;"!$A$3"),IF(I250&lt;&gt;"",I250&amp;A250,""),"")</f>
        <v/>
      </c>
    </row>
    <row r="251" spans="1:44" ht="20.100000000000001" customHeight="1">
      <c r="A251" s="165">
        <f t="shared" si="34"/>
        <v>45802</v>
      </c>
      <c r="C251" s="34"/>
      <c r="Z251" s="110" t="str">
        <f t="shared" si="35"/>
        <v/>
      </c>
      <c r="AE251" s="170">
        <f t="shared" si="33"/>
        <v>3.472222222222222E-3</v>
      </c>
      <c r="AG251" s="110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28" t="str" cm="1">
        <f t="array" aca="1" ref="AR251" ca="1">IF(A251=INDIRECT($AK$4&amp;"!$A$3"),IF(I251&lt;&gt;"",I251&amp;A251,""),"")</f>
        <v/>
      </c>
    </row>
    <row r="252" spans="1:44" ht="20.100000000000001" customHeight="1">
      <c r="A252" s="165">
        <f t="shared" si="34"/>
        <v>45802</v>
      </c>
      <c r="C252" s="34"/>
      <c r="Z252" s="110" t="str">
        <f t="shared" si="35"/>
        <v/>
      </c>
      <c r="AE252" s="170">
        <f t="shared" si="33"/>
        <v>3.472222222222222E-3</v>
      </c>
      <c r="AG252" s="110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28" t="str" cm="1">
        <f t="array" aca="1" ref="AR252" ca="1">IF(A252=INDIRECT($AK$4&amp;"!$A$3"),IF(I252&lt;&gt;"",I252&amp;A252,""),"")</f>
        <v/>
      </c>
    </row>
    <row r="253" spans="1:44" ht="20.100000000000001" customHeight="1">
      <c r="A253" s="165">
        <f t="shared" si="34"/>
        <v>45802</v>
      </c>
      <c r="C253" s="34"/>
      <c r="Z253" s="110" t="str">
        <f t="shared" si="35"/>
        <v/>
      </c>
      <c r="AE253" s="170">
        <f t="shared" si="33"/>
        <v>3.472222222222222E-3</v>
      </c>
      <c r="AG253" s="110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28" t="str" cm="1">
        <f t="array" aca="1" ref="AR253" ca="1">IF(A253=INDIRECT($AK$4&amp;"!$A$3"),IF(I253&lt;&gt;"",I253&amp;A253,""),"")</f>
        <v/>
      </c>
    </row>
    <row r="254" spans="1:44" ht="20.100000000000001" customHeight="1">
      <c r="A254" s="165">
        <f t="shared" si="34"/>
        <v>45802</v>
      </c>
      <c r="C254" s="34"/>
      <c r="Z254" s="110" t="str">
        <f t="shared" si="35"/>
        <v/>
      </c>
      <c r="AE254" s="170">
        <f t="shared" si="33"/>
        <v>3.472222222222222E-3</v>
      </c>
      <c r="AG254" s="110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28" t="str" cm="1">
        <f t="array" aca="1" ref="AR254" ca="1">IF(A254=INDIRECT($AK$4&amp;"!$A$3"),IF(I254&lt;&gt;"",I254&amp;A254,""),"")</f>
        <v/>
      </c>
    </row>
    <row r="255" spans="1:44" ht="20.100000000000001" customHeight="1">
      <c r="A255" s="165">
        <f t="shared" si="34"/>
        <v>45802</v>
      </c>
      <c r="C255" s="34"/>
      <c r="Z255" s="110" t="str">
        <f t="shared" si="35"/>
        <v/>
      </c>
      <c r="AE255" s="170">
        <f t="shared" si="33"/>
        <v>3.472222222222222E-3</v>
      </c>
      <c r="AG255" s="110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28" t="str" cm="1">
        <f t="array" aca="1" ref="AR255" ca="1">IF(A255=INDIRECT($AK$4&amp;"!$A$3"),IF(I255&lt;&gt;"",I255&amp;A255,""),"")</f>
        <v/>
      </c>
    </row>
    <row r="256" spans="1:44" ht="20.100000000000001" customHeight="1">
      <c r="A256" s="165">
        <f t="shared" si="34"/>
        <v>45802</v>
      </c>
      <c r="C256" s="34"/>
      <c r="Z256" s="110" t="str">
        <f t="shared" si="35"/>
        <v/>
      </c>
      <c r="AE256" s="170">
        <f t="shared" si="33"/>
        <v>3.472222222222222E-3</v>
      </c>
      <c r="AG256" s="110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28" t="str" cm="1">
        <f t="array" aca="1" ref="AR256" ca="1">IF(A256=INDIRECT($AK$4&amp;"!$A$3"),IF(I256&lt;&gt;"",I256&amp;A256,""),"")</f>
        <v/>
      </c>
    </row>
    <row r="257" spans="1:44" ht="20.100000000000001" customHeight="1">
      <c r="A257" s="165">
        <f t="shared" si="34"/>
        <v>45802</v>
      </c>
      <c r="C257" s="34"/>
      <c r="Z257" s="110" t="str">
        <f t="shared" si="35"/>
        <v/>
      </c>
      <c r="AE257" s="170">
        <f t="shared" si="33"/>
        <v>3.472222222222222E-3</v>
      </c>
      <c r="AG257" s="110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28" t="str" cm="1">
        <f t="array" aca="1" ref="AR257" ca="1">IF(A257=INDIRECT($AK$4&amp;"!$A$3"),IF(I257&lt;&gt;"",I257&amp;A257,""),"")</f>
        <v/>
      </c>
    </row>
    <row r="258" spans="1:44" ht="20.100000000000001" customHeight="1">
      <c r="A258" s="165">
        <f t="shared" si="34"/>
        <v>45802</v>
      </c>
      <c r="C258" s="34"/>
      <c r="Z258" s="110" t="str">
        <f t="shared" si="35"/>
        <v/>
      </c>
      <c r="AE258" s="170">
        <f t="shared" si="33"/>
        <v>3.472222222222222E-3</v>
      </c>
      <c r="AG258" s="110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28" t="str" cm="1">
        <f t="array" aca="1" ref="AR258" ca="1">IF(A258=INDIRECT($AK$4&amp;"!$A$3"),IF(I258&lt;&gt;"",I258&amp;A258,""),"")</f>
        <v/>
      </c>
    </row>
    <row r="259" spans="1:44" ht="20.100000000000001" customHeight="1">
      <c r="A259" s="165">
        <f t="shared" si="34"/>
        <v>45802</v>
      </c>
      <c r="C259" s="34"/>
      <c r="Z259" s="110" t="str">
        <f t="shared" si="35"/>
        <v/>
      </c>
      <c r="AE259" s="170">
        <f t="shared" si="33"/>
        <v>3.472222222222222E-3</v>
      </c>
      <c r="AG259" s="110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28" t="str" cm="1">
        <f t="array" aca="1" ref="AR259" ca="1">IF(A259=INDIRECT($AK$4&amp;"!$A$3"),IF(I259&lt;&gt;"",I259&amp;A259,""),"")</f>
        <v/>
      </c>
    </row>
    <row r="260" spans="1:44" ht="20.100000000000001" customHeight="1">
      <c r="A260" s="165">
        <f t="shared" si="34"/>
        <v>45802</v>
      </c>
      <c r="C260" s="34"/>
      <c r="Z260" s="110" t="str">
        <f t="shared" si="35"/>
        <v/>
      </c>
      <c r="AE260" s="170">
        <f t="shared" si="33"/>
        <v>3.472222222222222E-3</v>
      </c>
      <c r="AG260" s="110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28" t="str" cm="1">
        <f t="array" aca="1" ref="AR260" ca="1">IF(A260=INDIRECT($AK$4&amp;"!$A$3"),IF(I260&lt;&gt;"",I260&amp;A260,""),"")</f>
        <v/>
      </c>
    </row>
    <row r="261" spans="1:44" ht="20.100000000000001" customHeight="1">
      <c r="A261" s="165">
        <f t="shared" si="34"/>
        <v>45802</v>
      </c>
      <c r="C261" s="34"/>
      <c r="Z261" s="110" t="str">
        <f t="shared" si="35"/>
        <v/>
      </c>
      <c r="AE261" s="170">
        <f t="shared" ref="AE261:AE324" si="44">TIME(0,$K261+5,0)</f>
        <v>3.472222222222222E-3</v>
      </c>
      <c r="AG261" s="110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28" t="str" cm="1">
        <f t="array" aca="1" ref="AR261" ca="1">IF(A261=INDIRECT($AK$4&amp;"!$A$3"),IF(I261&lt;&gt;"",I261&amp;A261,""),"")</f>
        <v/>
      </c>
    </row>
    <row r="262" spans="1:44" ht="20.100000000000001" customHeight="1">
      <c r="A262" s="165">
        <f t="shared" ref="A262:A325" si="45">A261</f>
        <v>45802</v>
      </c>
      <c r="C262" s="34"/>
      <c r="Z262" s="110" t="str">
        <f t="shared" ref="Z262:Z325" si="46">IF(Y262="","",$Y262+TIME(0,5,0))</f>
        <v/>
      </c>
      <c r="AE262" s="170">
        <f t="shared" si="44"/>
        <v>3.472222222222222E-3</v>
      </c>
      <c r="AG262" s="110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28" t="str" cm="1">
        <f t="array" aca="1" ref="AR262" ca="1">IF(A262=INDIRECT($AK$4&amp;"!$A$3"),IF(I262&lt;&gt;"",I262&amp;A262,""),"")</f>
        <v/>
      </c>
    </row>
    <row r="263" spans="1:44" ht="20.100000000000001" customHeight="1">
      <c r="A263" s="165">
        <f t="shared" si="45"/>
        <v>45802</v>
      </c>
      <c r="C263" s="34"/>
      <c r="Z263" s="110" t="str">
        <f t="shared" si="46"/>
        <v/>
      </c>
      <c r="AE263" s="170">
        <f t="shared" si="44"/>
        <v>3.472222222222222E-3</v>
      </c>
      <c r="AG263" s="110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28" t="str" cm="1">
        <f t="array" aca="1" ref="AR263" ca="1">IF(A263=INDIRECT($AK$4&amp;"!$A$3"),IF(I263&lt;&gt;"",I263&amp;A263,""),"")</f>
        <v/>
      </c>
    </row>
    <row r="264" spans="1:44" ht="20.100000000000001" customHeight="1">
      <c r="A264" s="165">
        <f t="shared" si="45"/>
        <v>45802</v>
      </c>
      <c r="C264" s="34"/>
      <c r="Z264" s="110" t="str">
        <f t="shared" si="46"/>
        <v/>
      </c>
      <c r="AE264" s="170">
        <f t="shared" si="44"/>
        <v>3.472222222222222E-3</v>
      </c>
      <c r="AG264" s="110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28" t="str" cm="1">
        <f t="array" aca="1" ref="AR264" ca="1">IF(A264=INDIRECT($AK$4&amp;"!$A$3"),IF(I264&lt;&gt;"",I264&amp;A264,""),"")</f>
        <v/>
      </c>
    </row>
    <row r="265" spans="1:44" ht="20.100000000000001" customHeight="1">
      <c r="A265" s="165">
        <f t="shared" si="45"/>
        <v>45802</v>
      </c>
      <c r="C265" s="34"/>
      <c r="Z265" s="110" t="str">
        <f t="shared" si="46"/>
        <v/>
      </c>
      <c r="AE265" s="170">
        <f t="shared" si="44"/>
        <v>3.472222222222222E-3</v>
      </c>
      <c r="AG265" s="110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28" t="str" cm="1">
        <f t="array" aca="1" ref="AR265" ca="1">IF(A265=INDIRECT($AK$4&amp;"!$A$3"),IF(I265&lt;&gt;"",I265&amp;A265,""),"")</f>
        <v/>
      </c>
    </row>
    <row r="266" spans="1:44" ht="20.100000000000001" customHeight="1">
      <c r="A266" s="165">
        <f t="shared" si="45"/>
        <v>45802</v>
      </c>
      <c r="C266" s="34"/>
      <c r="Z266" s="110" t="str">
        <f t="shared" si="46"/>
        <v/>
      </c>
      <c r="AE266" s="170">
        <f t="shared" si="44"/>
        <v>3.472222222222222E-3</v>
      </c>
      <c r="AG266" s="110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28" t="str" cm="1">
        <f t="array" aca="1" ref="AR266" ca="1">IF(A266=INDIRECT($AK$4&amp;"!$A$3"),IF(I266&lt;&gt;"",I266&amp;A266,""),"")</f>
        <v/>
      </c>
    </row>
    <row r="267" spans="1:44" ht="20.100000000000001" customHeight="1">
      <c r="A267" s="165">
        <f t="shared" si="45"/>
        <v>45802</v>
      </c>
      <c r="C267" s="34"/>
      <c r="Z267" s="110" t="str">
        <f t="shared" si="46"/>
        <v/>
      </c>
      <c r="AE267" s="170">
        <f t="shared" si="44"/>
        <v>3.472222222222222E-3</v>
      </c>
      <c r="AG267" s="110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28" t="str" cm="1">
        <f t="array" aca="1" ref="AR267" ca="1">IF(A267=INDIRECT($AK$4&amp;"!$A$3"),IF(I267&lt;&gt;"",I267&amp;A267,""),"")</f>
        <v/>
      </c>
    </row>
    <row r="268" spans="1:44" ht="20.100000000000001" customHeight="1">
      <c r="A268" s="165">
        <f t="shared" si="45"/>
        <v>45802</v>
      </c>
      <c r="C268" s="34"/>
      <c r="Z268" s="110" t="str">
        <f t="shared" si="46"/>
        <v/>
      </c>
      <c r="AE268" s="170">
        <f t="shared" si="44"/>
        <v>3.472222222222222E-3</v>
      </c>
      <c r="AG268" s="110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28" t="str" cm="1">
        <f t="array" aca="1" ref="AR268" ca="1">IF(A268=INDIRECT($AK$4&amp;"!$A$3"),IF(I268&lt;&gt;"",I268&amp;A268,""),"")</f>
        <v/>
      </c>
    </row>
    <row r="269" spans="1:44" ht="20.100000000000001" customHeight="1">
      <c r="A269" s="165">
        <f t="shared" si="45"/>
        <v>45802</v>
      </c>
      <c r="C269" s="34"/>
      <c r="Z269" s="110" t="str">
        <f t="shared" si="46"/>
        <v/>
      </c>
      <c r="AE269" s="170">
        <f t="shared" si="44"/>
        <v>3.472222222222222E-3</v>
      </c>
      <c r="AG269" s="110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28" t="str" cm="1">
        <f t="array" aca="1" ref="AR269" ca="1">IF(A269=INDIRECT($AK$4&amp;"!$A$3"),IF(I269&lt;&gt;"",I269&amp;A269,""),"")</f>
        <v/>
      </c>
    </row>
    <row r="270" spans="1:44" ht="20.100000000000001" customHeight="1">
      <c r="A270" s="165">
        <f t="shared" si="45"/>
        <v>45802</v>
      </c>
      <c r="C270" s="34"/>
      <c r="Z270" s="110" t="str">
        <f t="shared" si="46"/>
        <v/>
      </c>
      <c r="AE270" s="170">
        <f t="shared" si="44"/>
        <v>3.472222222222222E-3</v>
      </c>
      <c r="AG270" s="110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28" t="str" cm="1">
        <f t="array" aca="1" ref="AR270" ca="1">IF(A270=INDIRECT($AK$4&amp;"!$A$3"),IF(I270&lt;&gt;"",I270&amp;A270,""),"")</f>
        <v/>
      </c>
    </row>
    <row r="271" spans="1:44" ht="20.100000000000001" customHeight="1">
      <c r="A271" s="165">
        <f t="shared" si="45"/>
        <v>45802</v>
      </c>
      <c r="C271" s="34"/>
      <c r="Z271" s="110" t="str">
        <f t="shared" si="46"/>
        <v/>
      </c>
      <c r="AE271" s="170">
        <f t="shared" si="44"/>
        <v>3.472222222222222E-3</v>
      </c>
      <c r="AG271" s="110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28" t="str" cm="1">
        <f t="array" aca="1" ref="AR271" ca="1">IF(A271=INDIRECT($AK$4&amp;"!$A$3"),IF(I271&lt;&gt;"",I271&amp;A271,""),"")</f>
        <v/>
      </c>
    </row>
    <row r="272" spans="1:44" ht="20.100000000000001" customHeight="1">
      <c r="A272" s="165">
        <f t="shared" si="45"/>
        <v>45802</v>
      </c>
      <c r="C272" s="34"/>
      <c r="Z272" s="110" t="str">
        <f t="shared" si="46"/>
        <v/>
      </c>
      <c r="AE272" s="170">
        <f t="shared" si="44"/>
        <v>3.472222222222222E-3</v>
      </c>
      <c r="AG272" s="110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28" t="str" cm="1">
        <f t="array" aca="1" ref="AR272" ca="1">IF(A272=INDIRECT($AK$4&amp;"!$A$3"),IF(I272&lt;&gt;"",I272&amp;A272,""),"")</f>
        <v/>
      </c>
    </row>
    <row r="273" spans="1:44" ht="20.100000000000001" customHeight="1">
      <c r="A273" s="165">
        <f t="shared" si="45"/>
        <v>45802</v>
      </c>
      <c r="C273" s="34"/>
      <c r="Z273" s="110" t="str">
        <f t="shared" si="46"/>
        <v/>
      </c>
      <c r="AE273" s="170">
        <f t="shared" si="44"/>
        <v>3.472222222222222E-3</v>
      </c>
      <c r="AG273" s="110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28" t="str" cm="1">
        <f t="array" aca="1" ref="AR273" ca="1">IF(A273=INDIRECT($AK$4&amp;"!$A$3"),IF(I273&lt;&gt;"",I273&amp;A273,""),"")</f>
        <v/>
      </c>
    </row>
    <row r="274" spans="1:44" ht="20.100000000000001" customHeight="1">
      <c r="A274" s="165">
        <f t="shared" si="45"/>
        <v>45802</v>
      </c>
      <c r="C274" s="34"/>
      <c r="Z274" s="110" t="str">
        <f t="shared" si="46"/>
        <v/>
      </c>
      <c r="AE274" s="170">
        <f t="shared" si="44"/>
        <v>3.472222222222222E-3</v>
      </c>
      <c r="AG274" s="110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28" t="str" cm="1">
        <f t="array" aca="1" ref="AR274" ca="1">IF(A274=INDIRECT($AK$4&amp;"!$A$3"),IF(I274&lt;&gt;"",I274&amp;A274,""),"")</f>
        <v/>
      </c>
    </row>
    <row r="275" spans="1:44" ht="20.100000000000001" customHeight="1">
      <c r="A275" s="165">
        <f t="shared" si="45"/>
        <v>45802</v>
      </c>
      <c r="C275" s="34"/>
      <c r="Z275" s="110" t="str">
        <f t="shared" si="46"/>
        <v/>
      </c>
      <c r="AE275" s="170">
        <f t="shared" si="44"/>
        <v>3.472222222222222E-3</v>
      </c>
      <c r="AG275" s="110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28" t="str" cm="1">
        <f t="array" aca="1" ref="AR275" ca="1">IF(A275=INDIRECT($AK$4&amp;"!$A$3"),IF(I275&lt;&gt;"",I275&amp;A275,""),"")</f>
        <v/>
      </c>
    </row>
    <row r="276" spans="1:44" ht="20.100000000000001" customHeight="1">
      <c r="A276" s="165">
        <f t="shared" si="45"/>
        <v>45802</v>
      </c>
      <c r="C276" s="34"/>
      <c r="Z276" s="110" t="str">
        <f t="shared" si="46"/>
        <v/>
      </c>
      <c r="AE276" s="170">
        <f t="shared" si="44"/>
        <v>3.472222222222222E-3</v>
      </c>
      <c r="AG276" s="110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28" t="str" cm="1">
        <f t="array" aca="1" ref="AR276" ca="1">IF(A276=INDIRECT($AK$4&amp;"!$A$3"),IF(I276&lt;&gt;"",I276&amp;A276,""),"")</f>
        <v/>
      </c>
    </row>
    <row r="277" spans="1:44" ht="20.100000000000001" customHeight="1">
      <c r="A277" s="165">
        <f t="shared" si="45"/>
        <v>45802</v>
      </c>
      <c r="C277" s="34"/>
      <c r="Z277" s="110" t="str">
        <f t="shared" si="46"/>
        <v/>
      </c>
      <c r="AE277" s="170">
        <f t="shared" si="44"/>
        <v>3.472222222222222E-3</v>
      </c>
      <c r="AG277" s="110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28" t="str" cm="1">
        <f t="array" aca="1" ref="AR277" ca="1">IF(A277=INDIRECT($AK$4&amp;"!$A$3"),IF(I277&lt;&gt;"",I277&amp;A277,""),"")</f>
        <v/>
      </c>
    </row>
    <row r="278" spans="1:44" ht="20.100000000000001" customHeight="1">
      <c r="A278" s="165">
        <f t="shared" si="45"/>
        <v>45802</v>
      </c>
      <c r="C278" s="34"/>
      <c r="Z278" s="110" t="str">
        <f t="shared" si="46"/>
        <v/>
      </c>
      <c r="AE278" s="170">
        <f t="shared" si="44"/>
        <v>3.472222222222222E-3</v>
      </c>
      <c r="AG278" s="110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28" t="str" cm="1">
        <f t="array" aca="1" ref="AR278" ca="1">IF(A278=INDIRECT($AK$4&amp;"!$A$3"),IF(I278&lt;&gt;"",I278&amp;A278,""),"")</f>
        <v/>
      </c>
    </row>
    <row r="279" spans="1:44" ht="20.100000000000001" customHeight="1">
      <c r="A279" s="165">
        <f t="shared" si="45"/>
        <v>45802</v>
      </c>
      <c r="C279" s="34"/>
      <c r="Z279" s="110" t="str">
        <f t="shared" si="46"/>
        <v/>
      </c>
      <c r="AE279" s="170">
        <f t="shared" si="44"/>
        <v>3.472222222222222E-3</v>
      </c>
      <c r="AG279" s="110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28" t="str" cm="1">
        <f t="array" aca="1" ref="AR279" ca="1">IF(A279=INDIRECT($AK$4&amp;"!$A$3"),IF(I279&lt;&gt;"",I279&amp;A279,""),"")</f>
        <v/>
      </c>
    </row>
    <row r="280" spans="1:44" ht="20.100000000000001" customHeight="1">
      <c r="A280" s="165">
        <f t="shared" si="45"/>
        <v>45802</v>
      </c>
      <c r="C280" s="34"/>
      <c r="Z280" s="110" t="str">
        <f t="shared" si="46"/>
        <v/>
      </c>
      <c r="AE280" s="170">
        <f t="shared" si="44"/>
        <v>3.472222222222222E-3</v>
      </c>
      <c r="AG280" s="110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28" t="str" cm="1">
        <f t="array" aca="1" ref="AR280" ca="1">IF(A280=INDIRECT($AK$4&amp;"!$A$3"),IF(I280&lt;&gt;"",I280&amp;A280,""),"")</f>
        <v/>
      </c>
    </row>
    <row r="281" spans="1:44" ht="20.100000000000001" customHeight="1">
      <c r="A281" s="165">
        <f t="shared" si="45"/>
        <v>45802</v>
      </c>
      <c r="C281" s="34"/>
      <c r="Z281" s="110" t="str">
        <f t="shared" si="46"/>
        <v/>
      </c>
      <c r="AE281" s="170">
        <f t="shared" si="44"/>
        <v>3.472222222222222E-3</v>
      </c>
      <c r="AG281" s="110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28" t="str" cm="1">
        <f t="array" aca="1" ref="AR281" ca="1">IF(A281=INDIRECT($AK$4&amp;"!$A$3"),IF(I281&lt;&gt;"",I281&amp;A281,""),"")</f>
        <v/>
      </c>
    </row>
    <row r="282" spans="1:44" ht="20.100000000000001" customHeight="1">
      <c r="A282" s="165">
        <f t="shared" si="45"/>
        <v>45802</v>
      </c>
      <c r="C282" s="34"/>
      <c r="Z282" s="110" t="str">
        <f t="shared" si="46"/>
        <v/>
      </c>
      <c r="AE282" s="170">
        <f t="shared" si="44"/>
        <v>3.472222222222222E-3</v>
      </c>
      <c r="AG282" s="110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28" t="str" cm="1">
        <f t="array" aca="1" ref="AR282" ca="1">IF(A282=INDIRECT($AK$4&amp;"!$A$3"),IF(I282&lt;&gt;"",I282&amp;A282,""),"")</f>
        <v/>
      </c>
    </row>
    <row r="283" spans="1:44" ht="20.100000000000001" customHeight="1">
      <c r="A283" s="165">
        <f t="shared" si="45"/>
        <v>45802</v>
      </c>
      <c r="C283" s="34"/>
      <c r="Z283" s="110" t="str">
        <f t="shared" si="46"/>
        <v/>
      </c>
      <c r="AE283" s="170">
        <f t="shared" si="44"/>
        <v>3.472222222222222E-3</v>
      </c>
      <c r="AG283" s="110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28" t="str" cm="1">
        <f t="array" aca="1" ref="AR283" ca="1">IF(A283=INDIRECT($AK$4&amp;"!$A$3"),IF(I283&lt;&gt;"",I283&amp;A283,""),"")</f>
        <v/>
      </c>
    </row>
    <row r="284" spans="1:44" ht="20.100000000000001" customHeight="1">
      <c r="A284" s="165">
        <f t="shared" si="45"/>
        <v>45802</v>
      </c>
      <c r="C284" s="34"/>
      <c r="Z284" s="110" t="str">
        <f t="shared" si="46"/>
        <v/>
      </c>
      <c r="AE284" s="170">
        <f t="shared" si="44"/>
        <v>3.472222222222222E-3</v>
      </c>
      <c r="AG284" s="110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28" t="str" cm="1">
        <f t="array" aca="1" ref="AR284" ca="1">IF(A284=INDIRECT($AK$4&amp;"!$A$3"),IF(I284&lt;&gt;"",I284&amp;A284,""),"")</f>
        <v/>
      </c>
    </row>
    <row r="285" spans="1:44" ht="20.100000000000001" customHeight="1">
      <c r="A285" s="165">
        <f t="shared" si="45"/>
        <v>45802</v>
      </c>
      <c r="C285" s="34"/>
      <c r="Z285" s="110" t="str">
        <f t="shared" si="46"/>
        <v/>
      </c>
      <c r="AE285" s="170">
        <f t="shared" si="44"/>
        <v>3.472222222222222E-3</v>
      </c>
      <c r="AG285" s="110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28" t="str" cm="1">
        <f t="array" aca="1" ref="AR285" ca="1">IF(A285=INDIRECT($AK$4&amp;"!$A$3"),IF(I285&lt;&gt;"",I285&amp;A285,""),"")</f>
        <v/>
      </c>
    </row>
    <row r="286" spans="1:44" ht="20.100000000000001" customHeight="1">
      <c r="A286" s="165">
        <f t="shared" si="45"/>
        <v>45802</v>
      </c>
      <c r="C286" s="34"/>
      <c r="Z286" s="110" t="str">
        <f t="shared" si="46"/>
        <v/>
      </c>
      <c r="AE286" s="170">
        <f t="shared" si="44"/>
        <v>3.472222222222222E-3</v>
      </c>
      <c r="AG286" s="110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28" t="str" cm="1">
        <f t="array" aca="1" ref="AR286" ca="1">IF(A286=INDIRECT($AK$4&amp;"!$A$3"),IF(I286&lt;&gt;"",I286&amp;A286,""),"")</f>
        <v/>
      </c>
    </row>
    <row r="287" spans="1:44" ht="20.100000000000001" customHeight="1">
      <c r="A287" s="165">
        <f t="shared" si="45"/>
        <v>45802</v>
      </c>
      <c r="C287" s="34"/>
      <c r="Z287" s="110" t="str">
        <f t="shared" si="46"/>
        <v/>
      </c>
      <c r="AE287" s="170">
        <f t="shared" si="44"/>
        <v>3.472222222222222E-3</v>
      </c>
      <c r="AG287" s="110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28" t="str" cm="1">
        <f t="array" aca="1" ref="AR287" ca="1">IF(A287=INDIRECT($AK$4&amp;"!$A$3"),IF(I287&lt;&gt;"",I287&amp;A287,""),"")</f>
        <v/>
      </c>
    </row>
    <row r="288" spans="1:44" ht="20.100000000000001" customHeight="1">
      <c r="A288" s="165">
        <f t="shared" si="45"/>
        <v>45802</v>
      </c>
      <c r="C288" s="34"/>
      <c r="Z288" s="110" t="str">
        <f t="shared" si="46"/>
        <v/>
      </c>
      <c r="AE288" s="170">
        <f t="shared" si="44"/>
        <v>3.472222222222222E-3</v>
      </c>
      <c r="AG288" s="110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28" t="str" cm="1">
        <f t="array" aca="1" ref="AR288" ca="1">IF(A288=INDIRECT($AK$4&amp;"!$A$3"),IF(I288&lt;&gt;"",I288&amp;A288,""),"")</f>
        <v/>
      </c>
    </row>
    <row r="289" spans="1:44" ht="20.100000000000001" customHeight="1">
      <c r="A289" s="165">
        <f t="shared" si="45"/>
        <v>45802</v>
      </c>
      <c r="C289" s="34"/>
      <c r="Z289" s="110" t="str">
        <f t="shared" si="46"/>
        <v/>
      </c>
      <c r="AE289" s="170">
        <f t="shared" si="44"/>
        <v>3.472222222222222E-3</v>
      </c>
      <c r="AG289" s="110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28" t="str" cm="1">
        <f t="array" aca="1" ref="AR289" ca="1">IF(A289=INDIRECT($AK$4&amp;"!$A$3"),IF(I289&lt;&gt;"",I289&amp;A289,""),"")</f>
        <v/>
      </c>
    </row>
    <row r="290" spans="1:44" ht="20.100000000000001" customHeight="1">
      <c r="A290" s="165">
        <f t="shared" si="45"/>
        <v>45802</v>
      </c>
      <c r="C290" s="34"/>
      <c r="Z290" s="110" t="str">
        <f t="shared" si="46"/>
        <v/>
      </c>
      <c r="AE290" s="170">
        <f t="shared" si="44"/>
        <v>3.472222222222222E-3</v>
      </c>
      <c r="AG290" s="110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28" t="str" cm="1">
        <f t="array" aca="1" ref="AR290" ca="1">IF(A290=INDIRECT($AK$4&amp;"!$A$3"),IF(I290&lt;&gt;"",I290&amp;A290,""),"")</f>
        <v/>
      </c>
    </row>
    <row r="291" spans="1:44" ht="20.100000000000001" customHeight="1">
      <c r="A291" s="165">
        <f t="shared" si="45"/>
        <v>45802</v>
      </c>
      <c r="C291" s="34"/>
      <c r="Z291" s="110" t="str">
        <f t="shared" si="46"/>
        <v/>
      </c>
      <c r="AE291" s="170">
        <f t="shared" si="44"/>
        <v>3.472222222222222E-3</v>
      </c>
      <c r="AG291" s="110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28" t="str" cm="1">
        <f t="array" aca="1" ref="AR291" ca="1">IF(A291=INDIRECT($AK$4&amp;"!$A$3"),IF(I291&lt;&gt;"",I291&amp;A291,""),"")</f>
        <v/>
      </c>
    </row>
    <row r="292" spans="1:44" ht="20.100000000000001" customHeight="1">
      <c r="A292" s="165">
        <f t="shared" si="45"/>
        <v>45802</v>
      </c>
      <c r="C292" s="34"/>
      <c r="Z292" s="110" t="str">
        <f t="shared" si="46"/>
        <v/>
      </c>
      <c r="AE292" s="170">
        <f t="shared" si="44"/>
        <v>3.472222222222222E-3</v>
      </c>
      <c r="AG292" s="110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28" t="str" cm="1">
        <f t="array" aca="1" ref="AR292" ca="1">IF(A292=INDIRECT($AK$4&amp;"!$A$3"),IF(I292&lt;&gt;"",I292&amp;A292,""),"")</f>
        <v/>
      </c>
    </row>
    <row r="293" spans="1:44" ht="20.100000000000001" customHeight="1">
      <c r="A293" s="165">
        <f t="shared" si="45"/>
        <v>45802</v>
      </c>
      <c r="C293" s="34"/>
      <c r="Z293" s="110" t="str">
        <f t="shared" si="46"/>
        <v/>
      </c>
      <c r="AE293" s="170">
        <f t="shared" si="44"/>
        <v>3.472222222222222E-3</v>
      </c>
      <c r="AG293" s="110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28" t="str" cm="1">
        <f t="array" aca="1" ref="AR293" ca="1">IF(A293=INDIRECT($AK$4&amp;"!$A$3"),IF(I293&lt;&gt;"",I293&amp;A293,""),"")</f>
        <v/>
      </c>
    </row>
    <row r="294" spans="1:44" ht="20.100000000000001" customHeight="1">
      <c r="A294" s="165">
        <f t="shared" si="45"/>
        <v>45802</v>
      </c>
      <c r="C294" s="34"/>
      <c r="Z294" s="110" t="str">
        <f t="shared" si="46"/>
        <v/>
      </c>
      <c r="AE294" s="170">
        <f t="shared" si="44"/>
        <v>3.472222222222222E-3</v>
      </c>
      <c r="AG294" s="110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28" t="str" cm="1">
        <f t="array" aca="1" ref="AR294" ca="1">IF(A294=INDIRECT($AK$4&amp;"!$A$3"),IF(I294&lt;&gt;"",I294&amp;A294,""),"")</f>
        <v/>
      </c>
    </row>
    <row r="295" spans="1:44" ht="20.100000000000001" customHeight="1">
      <c r="A295" s="165">
        <f t="shared" si="45"/>
        <v>45802</v>
      </c>
      <c r="C295" s="34"/>
      <c r="Z295" s="110" t="str">
        <f t="shared" si="46"/>
        <v/>
      </c>
      <c r="AE295" s="170">
        <f t="shared" si="44"/>
        <v>3.472222222222222E-3</v>
      </c>
      <c r="AG295" s="110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28" t="str" cm="1">
        <f t="array" aca="1" ref="AR295" ca="1">IF(A295=INDIRECT($AK$4&amp;"!$A$3"),IF(I295&lt;&gt;"",I295&amp;A295,""),"")</f>
        <v/>
      </c>
    </row>
    <row r="296" spans="1:44" ht="20.100000000000001" customHeight="1">
      <c r="A296" s="165">
        <f t="shared" si="45"/>
        <v>45802</v>
      </c>
      <c r="C296" s="34"/>
      <c r="Z296" s="110" t="str">
        <f t="shared" si="46"/>
        <v/>
      </c>
      <c r="AE296" s="170">
        <f t="shared" si="44"/>
        <v>3.472222222222222E-3</v>
      </c>
      <c r="AG296" s="110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28" t="str" cm="1">
        <f t="array" aca="1" ref="AR296" ca="1">IF(A296=INDIRECT($AK$4&amp;"!$A$3"),IF(I296&lt;&gt;"",I296&amp;A296,""),"")</f>
        <v/>
      </c>
    </row>
    <row r="297" spans="1:44" ht="20.100000000000001" customHeight="1">
      <c r="A297" s="165">
        <f t="shared" si="45"/>
        <v>45802</v>
      </c>
      <c r="C297" s="34"/>
      <c r="Z297" s="110" t="str">
        <f t="shared" si="46"/>
        <v/>
      </c>
      <c r="AE297" s="170">
        <f t="shared" si="44"/>
        <v>3.472222222222222E-3</v>
      </c>
      <c r="AG297" s="110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28" t="str" cm="1">
        <f t="array" aca="1" ref="AR297" ca="1">IF(A297=INDIRECT($AK$4&amp;"!$A$3"),IF(I297&lt;&gt;"",I297&amp;A297,""),"")</f>
        <v/>
      </c>
    </row>
    <row r="298" spans="1:44" ht="20.100000000000001" customHeight="1">
      <c r="A298" s="165">
        <f t="shared" si="45"/>
        <v>45802</v>
      </c>
      <c r="C298" s="34"/>
      <c r="Z298" s="110" t="str">
        <f t="shared" si="46"/>
        <v/>
      </c>
      <c r="AE298" s="170">
        <f t="shared" si="44"/>
        <v>3.472222222222222E-3</v>
      </c>
      <c r="AG298" s="110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28" t="str" cm="1">
        <f t="array" aca="1" ref="AR298" ca="1">IF(A298=INDIRECT($AK$4&amp;"!$A$3"),IF(I298&lt;&gt;"",I298&amp;A298,""),"")</f>
        <v/>
      </c>
    </row>
    <row r="299" spans="1:44" ht="20.100000000000001" customHeight="1">
      <c r="A299" s="165">
        <f t="shared" si="45"/>
        <v>45802</v>
      </c>
      <c r="C299" s="34"/>
      <c r="Z299" s="110" t="str">
        <f t="shared" si="46"/>
        <v/>
      </c>
      <c r="AE299" s="170">
        <f t="shared" si="44"/>
        <v>3.472222222222222E-3</v>
      </c>
      <c r="AG299" s="110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28" t="str" cm="1">
        <f t="array" aca="1" ref="AR299" ca="1">IF(A299=INDIRECT($AK$4&amp;"!$A$3"),IF(I299&lt;&gt;"",I299&amp;A299,""),"")</f>
        <v/>
      </c>
    </row>
    <row r="300" spans="1:44" ht="20.100000000000001" customHeight="1">
      <c r="A300" s="165">
        <f t="shared" si="45"/>
        <v>45802</v>
      </c>
      <c r="C300" s="34"/>
      <c r="Z300" s="110" t="str">
        <f t="shared" si="46"/>
        <v/>
      </c>
      <c r="AE300" s="170">
        <f t="shared" si="44"/>
        <v>3.472222222222222E-3</v>
      </c>
      <c r="AG300" s="110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28" t="str" cm="1">
        <f t="array" aca="1" ref="AR300" ca="1">IF(A300=INDIRECT($AK$4&amp;"!$A$3"),IF(I300&lt;&gt;"",I300&amp;A300,""),"")</f>
        <v/>
      </c>
    </row>
    <row r="301" spans="1:44" ht="20.100000000000001" customHeight="1">
      <c r="A301" s="165">
        <f t="shared" si="45"/>
        <v>45802</v>
      </c>
      <c r="C301" s="34"/>
      <c r="Z301" s="110" t="str">
        <f t="shared" si="46"/>
        <v/>
      </c>
      <c r="AE301" s="170">
        <f t="shared" si="44"/>
        <v>3.472222222222222E-3</v>
      </c>
      <c r="AG301" s="110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28" t="str" cm="1">
        <f t="array" aca="1" ref="AR301" ca="1">IF(A301=INDIRECT($AK$4&amp;"!$A$3"),IF(I301&lt;&gt;"",I301&amp;A301,""),"")</f>
        <v/>
      </c>
    </row>
    <row r="302" spans="1:44" ht="20.100000000000001" customHeight="1">
      <c r="A302" s="165">
        <f t="shared" si="45"/>
        <v>45802</v>
      </c>
      <c r="C302" s="34"/>
      <c r="Z302" s="110" t="str">
        <f t="shared" si="46"/>
        <v/>
      </c>
      <c r="AE302" s="170">
        <f t="shared" si="44"/>
        <v>3.472222222222222E-3</v>
      </c>
      <c r="AG302" s="110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28" t="str" cm="1">
        <f t="array" aca="1" ref="AR302" ca="1">IF(A302=INDIRECT($AK$4&amp;"!$A$3"),IF(I302&lt;&gt;"",I302&amp;A302,""),"")</f>
        <v/>
      </c>
    </row>
    <row r="303" spans="1:44" ht="20.100000000000001" customHeight="1">
      <c r="A303" s="165">
        <f t="shared" si="45"/>
        <v>45802</v>
      </c>
      <c r="C303" s="34"/>
      <c r="Z303" s="110" t="str">
        <f t="shared" si="46"/>
        <v/>
      </c>
      <c r="AE303" s="170">
        <f t="shared" si="44"/>
        <v>3.472222222222222E-3</v>
      </c>
      <c r="AG303" s="110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28" t="str" cm="1">
        <f t="array" aca="1" ref="AR303" ca="1">IF(A303=INDIRECT($AK$4&amp;"!$A$3"),IF(I303&lt;&gt;"",I303&amp;A303,""),"")</f>
        <v/>
      </c>
    </row>
    <row r="304" spans="1:44" ht="20.100000000000001" customHeight="1">
      <c r="A304" s="165">
        <f t="shared" si="45"/>
        <v>45802</v>
      </c>
      <c r="C304" s="34"/>
      <c r="Z304" s="110" t="str">
        <f t="shared" si="46"/>
        <v/>
      </c>
      <c r="AE304" s="170">
        <f t="shared" si="44"/>
        <v>3.472222222222222E-3</v>
      </c>
      <c r="AG304" s="110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28" t="str" cm="1">
        <f t="array" aca="1" ref="AR304" ca="1">IF(A304=INDIRECT($AK$4&amp;"!$A$3"),IF(I304&lt;&gt;"",I304&amp;A304,""),"")</f>
        <v/>
      </c>
    </row>
    <row r="305" spans="1:44" ht="20.100000000000001" customHeight="1">
      <c r="A305" s="165">
        <f t="shared" si="45"/>
        <v>45802</v>
      </c>
      <c r="C305" s="34"/>
      <c r="Z305" s="110" t="str">
        <f t="shared" si="46"/>
        <v/>
      </c>
      <c r="AE305" s="170">
        <f t="shared" si="44"/>
        <v>3.472222222222222E-3</v>
      </c>
      <c r="AG305" s="110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28" t="str" cm="1">
        <f t="array" aca="1" ref="AR305" ca="1">IF(A305=INDIRECT($AK$4&amp;"!$A$3"),IF(I305&lt;&gt;"",I305&amp;A305,""),"")</f>
        <v/>
      </c>
    </row>
    <row r="306" spans="1:44" ht="20.100000000000001" customHeight="1">
      <c r="A306" s="165">
        <f t="shared" si="45"/>
        <v>45802</v>
      </c>
      <c r="C306" s="34"/>
      <c r="Z306" s="110" t="str">
        <f t="shared" si="46"/>
        <v/>
      </c>
      <c r="AE306" s="170">
        <f t="shared" si="44"/>
        <v>3.472222222222222E-3</v>
      </c>
      <c r="AG306" s="110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28" t="str" cm="1">
        <f t="array" aca="1" ref="AR306" ca="1">IF(A306=INDIRECT($AK$4&amp;"!$A$3"),IF(I306&lt;&gt;"",I306&amp;A306,""),"")</f>
        <v/>
      </c>
    </row>
    <row r="307" spans="1:44" ht="20.100000000000001" customHeight="1">
      <c r="A307" s="165">
        <f t="shared" si="45"/>
        <v>45802</v>
      </c>
      <c r="C307" s="34"/>
      <c r="Z307" s="110" t="str">
        <f t="shared" si="46"/>
        <v/>
      </c>
      <c r="AE307" s="170">
        <f t="shared" si="44"/>
        <v>3.472222222222222E-3</v>
      </c>
      <c r="AG307" s="110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28" t="str" cm="1">
        <f t="array" aca="1" ref="AR307" ca="1">IF(A307=INDIRECT($AK$4&amp;"!$A$3"),IF(I307&lt;&gt;"",I307&amp;A307,""),"")</f>
        <v/>
      </c>
    </row>
    <row r="308" spans="1:44" ht="20.100000000000001" customHeight="1">
      <c r="A308" s="165">
        <f t="shared" si="45"/>
        <v>45802</v>
      </c>
      <c r="C308" s="34"/>
      <c r="Z308" s="110" t="str">
        <f t="shared" si="46"/>
        <v/>
      </c>
      <c r="AE308" s="170">
        <f t="shared" si="44"/>
        <v>3.472222222222222E-3</v>
      </c>
      <c r="AG308" s="110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28" t="str" cm="1">
        <f t="array" aca="1" ref="AR308" ca="1">IF(A308=INDIRECT($AK$4&amp;"!$A$3"),IF(I308&lt;&gt;"",I308&amp;A308,""),"")</f>
        <v/>
      </c>
    </row>
    <row r="309" spans="1:44" ht="20.100000000000001" customHeight="1">
      <c r="A309" s="165">
        <f t="shared" si="45"/>
        <v>45802</v>
      </c>
      <c r="C309" s="34"/>
      <c r="Z309" s="110" t="str">
        <f t="shared" si="46"/>
        <v/>
      </c>
      <c r="AE309" s="170">
        <f t="shared" si="44"/>
        <v>3.472222222222222E-3</v>
      </c>
      <c r="AG309" s="110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28" t="str" cm="1">
        <f t="array" aca="1" ref="AR309" ca="1">IF(A309=INDIRECT($AK$4&amp;"!$A$3"),IF(I309&lt;&gt;"",I309&amp;A309,""),"")</f>
        <v/>
      </c>
    </row>
    <row r="310" spans="1:44" ht="20.100000000000001" customHeight="1">
      <c r="A310" s="165">
        <f t="shared" si="45"/>
        <v>45802</v>
      </c>
      <c r="C310" s="34"/>
      <c r="Z310" s="110" t="str">
        <f t="shared" si="46"/>
        <v/>
      </c>
      <c r="AE310" s="170">
        <f t="shared" si="44"/>
        <v>3.472222222222222E-3</v>
      </c>
      <c r="AG310" s="110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28" t="str" cm="1">
        <f t="array" aca="1" ref="AR310" ca="1">IF(A310=INDIRECT($AK$4&amp;"!$A$3"),IF(I310&lt;&gt;"",I310&amp;A310,""),"")</f>
        <v/>
      </c>
    </row>
    <row r="311" spans="1:44" ht="20.100000000000001" customHeight="1">
      <c r="A311" s="165">
        <f t="shared" si="45"/>
        <v>45802</v>
      </c>
      <c r="C311" s="34"/>
      <c r="Z311" s="110" t="str">
        <f t="shared" si="46"/>
        <v/>
      </c>
      <c r="AE311" s="170">
        <f t="shared" si="44"/>
        <v>3.472222222222222E-3</v>
      </c>
      <c r="AG311" s="110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28" t="str" cm="1">
        <f t="array" aca="1" ref="AR311" ca="1">IF(A311=INDIRECT($AK$4&amp;"!$A$3"),IF(I311&lt;&gt;"",I311&amp;A311,""),"")</f>
        <v/>
      </c>
    </row>
    <row r="312" spans="1:44" ht="20.100000000000001" customHeight="1">
      <c r="A312" s="165">
        <f t="shared" si="45"/>
        <v>45802</v>
      </c>
      <c r="C312" s="34"/>
      <c r="Z312" s="110" t="str">
        <f t="shared" si="46"/>
        <v/>
      </c>
      <c r="AE312" s="170">
        <f t="shared" si="44"/>
        <v>3.472222222222222E-3</v>
      </c>
      <c r="AG312" s="110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28" t="str" cm="1">
        <f t="array" aca="1" ref="AR312" ca="1">IF(A312=INDIRECT($AK$4&amp;"!$A$3"),IF(I312&lt;&gt;"",I312&amp;A312,""),"")</f>
        <v/>
      </c>
    </row>
    <row r="313" spans="1:44" ht="20.100000000000001" customHeight="1">
      <c r="A313" s="165">
        <f t="shared" si="45"/>
        <v>45802</v>
      </c>
      <c r="C313" s="34"/>
      <c r="Z313" s="110" t="str">
        <f t="shared" si="46"/>
        <v/>
      </c>
      <c r="AE313" s="170">
        <f t="shared" si="44"/>
        <v>3.472222222222222E-3</v>
      </c>
      <c r="AG313" s="110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28" t="str" cm="1">
        <f t="array" aca="1" ref="AR313" ca="1">IF(A313=INDIRECT($AK$4&amp;"!$A$3"),IF(I313&lt;&gt;"",I313&amp;A313,""),"")</f>
        <v/>
      </c>
    </row>
    <row r="314" spans="1:44" ht="20.100000000000001" customHeight="1">
      <c r="A314" s="165">
        <f t="shared" si="45"/>
        <v>45802</v>
      </c>
      <c r="C314" s="34"/>
      <c r="Z314" s="110" t="str">
        <f t="shared" si="46"/>
        <v/>
      </c>
      <c r="AE314" s="170">
        <f t="shared" si="44"/>
        <v>3.472222222222222E-3</v>
      </c>
      <c r="AG314" s="110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28" t="str" cm="1">
        <f t="array" aca="1" ref="AR314" ca="1">IF(A314=INDIRECT($AK$4&amp;"!$A$3"),IF(I314&lt;&gt;"",I314&amp;A314,""),"")</f>
        <v/>
      </c>
    </row>
    <row r="315" spans="1:44" ht="20.100000000000001" customHeight="1">
      <c r="A315" s="165">
        <f t="shared" si="45"/>
        <v>45802</v>
      </c>
      <c r="C315" s="34"/>
      <c r="Z315" s="110" t="str">
        <f t="shared" si="46"/>
        <v/>
      </c>
      <c r="AE315" s="170">
        <f t="shared" si="44"/>
        <v>3.472222222222222E-3</v>
      </c>
      <c r="AG315" s="110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28" t="str" cm="1">
        <f t="array" aca="1" ref="AR315" ca="1">IF(A315=INDIRECT($AK$4&amp;"!$A$3"),IF(I315&lt;&gt;"",I315&amp;A315,""),"")</f>
        <v/>
      </c>
    </row>
    <row r="316" spans="1:44" ht="20.100000000000001" customHeight="1">
      <c r="A316" s="165">
        <f t="shared" si="45"/>
        <v>45802</v>
      </c>
      <c r="C316" s="34"/>
      <c r="Z316" s="110" t="str">
        <f t="shared" si="46"/>
        <v/>
      </c>
      <c r="AE316" s="170">
        <f t="shared" si="44"/>
        <v>3.472222222222222E-3</v>
      </c>
      <c r="AG316" s="110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28" t="str" cm="1">
        <f t="array" aca="1" ref="AR316" ca="1">IF(A316=INDIRECT($AK$4&amp;"!$A$3"),IF(I316&lt;&gt;"",I316&amp;A316,""),"")</f>
        <v/>
      </c>
    </row>
    <row r="317" spans="1:44" ht="20.100000000000001" customHeight="1">
      <c r="A317" s="165">
        <f t="shared" si="45"/>
        <v>45802</v>
      </c>
      <c r="C317" s="34"/>
      <c r="Z317" s="110" t="str">
        <f t="shared" si="46"/>
        <v/>
      </c>
      <c r="AE317" s="170">
        <f t="shared" si="44"/>
        <v>3.472222222222222E-3</v>
      </c>
      <c r="AG317" s="110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28" t="str" cm="1">
        <f t="array" aca="1" ref="AR317" ca="1">IF(A317=INDIRECT($AK$4&amp;"!$A$3"),IF(I317&lt;&gt;"",I317&amp;A317,""),"")</f>
        <v/>
      </c>
    </row>
    <row r="318" spans="1:44" ht="20.100000000000001" customHeight="1">
      <c r="A318" s="165">
        <f t="shared" si="45"/>
        <v>45802</v>
      </c>
      <c r="C318" s="34"/>
      <c r="Z318" s="110" t="str">
        <f t="shared" si="46"/>
        <v/>
      </c>
      <c r="AE318" s="170">
        <f t="shared" si="44"/>
        <v>3.472222222222222E-3</v>
      </c>
      <c r="AG318" s="110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28" t="str" cm="1">
        <f t="array" aca="1" ref="AR318" ca="1">IF(A318=INDIRECT($AK$4&amp;"!$A$3"),IF(I318&lt;&gt;"",I318&amp;A318,""),"")</f>
        <v/>
      </c>
    </row>
    <row r="319" spans="1:44" ht="20.100000000000001" customHeight="1">
      <c r="A319" s="165">
        <f t="shared" si="45"/>
        <v>45802</v>
      </c>
      <c r="C319" s="34"/>
      <c r="Z319" s="110" t="str">
        <f t="shared" si="46"/>
        <v/>
      </c>
      <c r="AE319" s="170">
        <f t="shared" si="44"/>
        <v>3.472222222222222E-3</v>
      </c>
      <c r="AG319" s="110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28" t="str" cm="1">
        <f t="array" aca="1" ref="AR319" ca="1">IF(A319=INDIRECT($AK$4&amp;"!$A$3"),IF(I319&lt;&gt;"",I319&amp;A319,""),"")</f>
        <v/>
      </c>
    </row>
    <row r="320" spans="1:44" ht="20.100000000000001" customHeight="1">
      <c r="A320" s="165">
        <f t="shared" si="45"/>
        <v>45802</v>
      </c>
      <c r="C320" s="34"/>
      <c r="Z320" s="110" t="str">
        <f t="shared" si="46"/>
        <v/>
      </c>
      <c r="AE320" s="170">
        <f t="shared" si="44"/>
        <v>3.472222222222222E-3</v>
      </c>
      <c r="AG320" s="110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28" t="str" cm="1">
        <f t="array" aca="1" ref="AR320" ca="1">IF(A320=INDIRECT($AK$4&amp;"!$A$3"),IF(I320&lt;&gt;"",I320&amp;A320,""),"")</f>
        <v/>
      </c>
    </row>
    <row r="321" spans="1:44" ht="20.100000000000001" customHeight="1">
      <c r="A321" s="165">
        <f t="shared" si="45"/>
        <v>45802</v>
      </c>
      <c r="C321" s="34"/>
      <c r="Z321" s="110" t="str">
        <f t="shared" si="46"/>
        <v/>
      </c>
      <c r="AE321" s="170">
        <f t="shared" si="44"/>
        <v>3.472222222222222E-3</v>
      </c>
      <c r="AG321" s="110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28" t="str" cm="1">
        <f t="array" aca="1" ref="AR321" ca="1">IF(A321=INDIRECT($AK$4&amp;"!$A$3"),IF(I321&lt;&gt;"",I321&amp;A321,""),"")</f>
        <v/>
      </c>
    </row>
    <row r="322" spans="1:44" ht="20.100000000000001" customHeight="1">
      <c r="A322" s="165">
        <f t="shared" si="45"/>
        <v>45802</v>
      </c>
      <c r="C322" s="34"/>
      <c r="Z322" s="110" t="str">
        <f t="shared" si="46"/>
        <v/>
      </c>
      <c r="AE322" s="170">
        <f t="shared" si="44"/>
        <v>3.472222222222222E-3</v>
      </c>
      <c r="AG322" s="110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28" t="str" cm="1">
        <f t="array" aca="1" ref="AR322" ca="1">IF(A322=INDIRECT($AK$4&amp;"!$A$3"),IF(I322&lt;&gt;"",I322&amp;A322,""),"")</f>
        <v/>
      </c>
    </row>
    <row r="323" spans="1:44" ht="20.100000000000001" customHeight="1">
      <c r="A323" s="165">
        <f t="shared" si="45"/>
        <v>45802</v>
      </c>
      <c r="C323" s="34"/>
      <c r="Z323" s="110" t="str">
        <f t="shared" si="46"/>
        <v/>
      </c>
      <c r="AE323" s="170">
        <f t="shared" si="44"/>
        <v>3.472222222222222E-3</v>
      </c>
      <c r="AG323" s="110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28" t="str" cm="1">
        <f t="array" aca="1" ref="AR323" ca="1">IF(A323=INDIRECT($AK$4&amp;"!$A$3"),IF(I323&lt;&gt;"",I323&amp;A323,""),"")</f>
        <v/>
      </c>
    </row>
    <row r="324" spans="1:44" ht="20.100000000000001" customHeight="1">
      <c r="A324" s="165">
        <f t="shared" si="45"/>
        <v>45802</v>
      </c>
      <c r="C324" s="34"/>
      <c r="Z324" s="110" t="str">
        <f t="shared" si="46"/>
        <v/>
      </c>
      <c r="AE324" s="170">
        <f t="shared" si="44"/>
        <v>3.472222222222222E-3</v>
      </c>
      <c r="AG324" s="110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28" t="str" cm="1">
        <f t="array" aca="1" ref="AR324" ca="1">IF(A324=INDIRECT($AK$4&amp;"!$A$3"),IF(I324&lt;&gt;"",I324&amp;A324,""),"")</f>
        <v/>
      </c>
    </row>
    <row r="325" spans="1:44" ht="20.100000000000001" customHeight="1">
      <c r="A325" s="165">
        <f t="shared" si="45"/>
        <v>45802</v>
      </c>
      <c r="C325" s="34"/>
      <c r="Z325" s="110" t="str">
        <f t="shared" si="46"/>
        <v/>
      </c>
      <c r="AE325" s="170">
        <f t="shared" ref="AE325:AE388" si="55">TIME(0,$K325+5,0)</f>
        <v>3.472222222222222E-3</v>
      </c>
      <c r="AG325" s="110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28" t="str" cm="1">
        <f t="array" aca="1" ref="AR325" ca="1">IF(A325=INDIRECT($AK$4&amp;"!$A$3"),IF(I325&lt;&gt;"",I325&amp;A325,""),"")</f>
        <v/>
      </c>
    </row>
    <row r="326" spans="1:44" ht="20.100000000000001" customHeight="1">
      <c r="A326" s="165">
        <f t="shared" ref="A326:A389" si="56">A325</f>
        <v>45802</v>
      </c>
      <c r="C326" s="34"/>
      <c r="Z326" s="110" t="str">
        <f t="shared" ref="Z326:Z389" si="57">IF(Y326="","",$Y326+TIME(0,5,0))</f>
        <v/>
      </c>
      <c r="AE326" s="170">
        <f t="shared" si="55"/>
        <v>3.472222222222222E-3</v>
      </c>
      <c r="AG326" s="110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28" t="str" cm="1">
        <f t="array" aca="1" ref="AR326" ca="1">IF(A326=INDIRECT($AK$4&amp;"!$A$3"),IF(I326&lt;&gt;"",I326&amp;A326,""),"")</f>
        <v/>
      </c>
    </row>
    <row r="327" spans="1:44" ht="20.100000000000001" customHeight="1">
      <c r="A327" s="165">
        <f t="shared" si="56"/>
        <v>45802</v>
      </c>
      <c r="C327" s="34"/>
      <c r="Z327" s="110" t="str">
        <f t="shared" si="57"/>
        <v/>
      </c>
      <c r="AE327" s="170">
        <f t="shared" si="55"/>
        <v>3.472222222222222E-3</v>
      </c>
      <c r="AG327" s="110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28" t="str" cm="1">
        <f t="array" aca="1" ref="AR327" ca="1">IF(A327=INDIRECT($AK$4&amp;"!$A$3"),IF(I327&lt;&gt;"",I327&amp;A327,""),"")</f>
        <v/>
      </c>
    </row>
    <row r="328" spans="1:44" ht="20.100000000000001" customHeight="1">
      <c r="A328" s="165">
        <f t="shared" si="56"/>
        <v>45802</v>
      </c>
      <c r="C328" s="34"/>
      <c r="Z328" s="110" t="str">
        <f t="shared" si="57"/>
        <v/>
      </c>
      <c r="AE328" s="170">
        <f t="shared" si="55"/>
        <v>3.472222222222222E-3</v>
      </c>
      <c r="AG328" s="110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28" t="str" cm="1">
        <f t="array" aca="1" ref="AR328" ca="1">IF(A328=INDIRECT($AK$4&amp;"!$A$3"),IF(I328&lt;&gt;"",I328&amp;A328,""),"")</f>
        <v/>
      </c>
    </row>
    <row r="329" spans="1:44" ht="20.100000000000001" customHeight="1">
      <c r="A329" s="165">
        <f t="shared" si="56"/>
        <v>45802</v>
      </c>
      <c r="C329" s="34"/>
      <c r="Z329" s="110" t="str">
        <f t="shared" si="57"/>
        <v/>
      </c>
      <c r="AE329" s="170">
        <f t="shared" si="55"/>
        <v>3.472222222222222E-3</v>
      </c>
      <c r="AG329" s="110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28" t="str" cm="1">
        <f t="array" aca="1" ref="AR329" ca="1">IF(A329=INDIRECT($AK$4&amp;"!$A$3"),IF(I329&lt;&gt;"",I329&amp;A329,""),"")</f>
        <v/>
      </c>
    </row>
    <row r="330" spans="1:44" ht="20.100000000000001" customHeight="1">
      <c r="A330" s="165">
        <f t="shared" si="56"/>
        <v>45802</v>
      </c>
      <c r="C330" s="34"/>
      <c r="Z330" s="110" t="str">
        <f t="shared" si="57"/>
        <v/>
      </c>
      <c r="AE330" s="170">
        <f t="shared" si="55"/>
        <v>3.472222222222222E-3</v>
      </c>
      <c r="AG330" s="110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28" t="str" cm="1">
        <f t="array" aca="1" ref="AR330" ca="1">IF(A330=INDIRECT($AK$4&amp;"!$A$3"),IF(I330&lt;&gt;"",I330&amp;A330,""),"")</f>
        <v/>
      </c>
    </row>
    <row r="331" spans="1:44" ht="20.100000000000001" customHeight="1">
      <c r="A331" s="165">
        <f t="shared" si="56"/>
        <v>45802</v>
      </c>
      <c r="C331" s="34"/>
      <c r="Z331" s="110" t="str">
        <f t="shared" si="57"/>
        <v/>
      </c>
      <c r="AE331" s="170">
        <f t="shared" si="55"/>
        <v>3.472222222222222E-3</v>
      </c>
      <c r="AG331" s="110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28" t="str" cm="1">
        <f t="array" aca="1" ref="AR331" ca="1">IF(A331=INDIRECT($AK$4&amp;"!$A$3"),IF(I331&lt;&gt;"",I331&amp;A331,""),"")</f>
        <v/>
      </c>
    </row>
    <row r="332" spans="1:44" ht="20.100000000000001" customHeight="1">
      <c r="A332" s="165">
        <f t="shared" si="56"/>
        <v>45802</v>
      </c>
      <c r="C332" s="34"/>
      <c r="Z332" s="110" t="str">
        <f t="shared" si="57"/>
        <v/>
      </c>
      <c r="AE332" s="170">
        <f t="shared" si="55"/>
        <v>3.472222222222222E-3</v>
      </c>
      <c r="AG332" s="110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28" t="str" cm="1">
        <f t="array" aca="1" ref="AR332" ca="1">IF(A332=INDIRECT($AK$4&amp;"!$A$3"),IF(I332&lt;&gt;"",I332&amp;A332,""),"")</f>
        <v/>
      </c>
    </row>
    <row r="333" spans="1:44" ht="20.100000000000001" customHeight="1">
      <c r="A333" s="165">
        <f t="shared" si="56"/>
        <v>45802</v>
      </c>
      <c r="C333" s="34"/>
      <c r="Z333" s="110" t="str">
        <f t="shared" si="57"/>
        <v/>
      </c>
      <c r="AE333" s="170">
        <f t="shared" si="55"/>
        <v>3.472222222222222E-3</v>
      </c>
      <c r="AG333" s="110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28" t="str" cm="1">
        <f t="array" aca="1" ref="AR333" ca="1">IF(A333=INDIRECT($AK$4&amp;"!$A$3"),IF(I333&lt;&gt;"",I333&amp;A333,""),"")</f>
        <v/>
      </c>
    </row>
    <row r="334" spans="1:44" ht="20.100000000000001" customHeight="1">
      <c r="A334" s="165">
        <f t="shared" si="56"/>
        <v>45802</v>
      </c>
      <c r="C334" s="34"/>
      <c r="Z334" s="110" t="str">
        <f t="shared" si="57"/>
        <v/>
      </c>
      <c r="AE334" s="170">
        <f t="shared" si="55"/>
        <v>3.472222222222222E-3</v>
      </c>
      <c r="AG334" s="110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28" t="str" cm="1">
        <f t="array" aca="1" ref="AR334" ca="1">IF(A334=INDIRECT($AK$4&amp;"!$A$3"),IF(I334&lt;&gt;"",I334&amp;A334,""),"")</f>
        <v/>
      </c>
    </row>
    <row r="335" spans="1:44" ht="20.100000000000001" customHeight="1">
      <c r="A335" s="165">
        <f t="shared" si="56"/>
        <v>45802</v>
      </c>
      <c r="C335" s="34"/>
      <c r="Z335" s="110" t="str">
        <f t="shared" si="57"/>
        <v/>
      </c>
      <c r="AE335" s="170">
        <f t="shared" si="55"/>
        <v>3.472222222222222E-3</v>
      </c>
      <c r="AG335" s="110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28" t="str" cm="1">
        <f t="array" aca="1" ref="AR335" ca="1">IF(A335=INDIRECT($AK$4&amp;"!$A$3"),IF(I335&lt;&gt;"",I335&amp;A335,""),"")</f>
        <v/>
      </c>
    </row>
    <row r="336" spans="1:44" ht="20.100000000000001" customHeight="1">
      <c r="A336" s="165">
        <f t="shared" si="56"/>
        <v>45802</v>
      </c>
      <c r="C336" s="34"/>
      <c r="Z336" s="110" t="str">
        <f t="shared" si="57"/>
        <v/>
      </c>
      <c r="AE336" s="170">
        <f t="shared" si="55"/>
        <v>3.472222222222222E-3</v>
      </c>
      <c r="AG336" s="110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28" t="str" cm="1">
        <f t="array" aca="1" ref="AR336" ca="1">IF(A336=INDIRECT($AK$4&amp;"!$A$3"),IF(I336&lt;&gt;"",I336&amp;A336,""),"")</f>
        <v/>
      </c>
    </row>
    <row r="337" spans="1:44" ht="20.100000000000001" customHeight="1">
      <c r="A337" s="165">
        <f t="shared" si="56"/>
        <v>45802</v>
      </c>
      <c r="C337" s="34"/>
      <c r="Z337" s="110" t="str">
        <f t="shared" si="57"/>
        <v/>
      </c>
      <c r="AE337" s="170">
        <f t="shared" si="55"/>
        <v>3.472222222222222E-3</v>
      </c>
      <c r="AG337" s="110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28" t="str" cm="1">
        <f t="array" aca="1" ref="AR337" ca="1">IF(A337=INDIRECT($AK$4&amp;"!$A$3"),IF(I337&lt;&gt;"",I337&amp;A337,""),"")</f>
        <v/>
      </c>
    </row>
    <row r="338" spans="1:44" ht="20.100000000000001" customHeight="1">
      <c r="A338" s="165">
        <f t="shared" si="56"/>
        <v>45802</v>
      </c>
      <c r="C338" s="34"/>
      <c r="Z338" s="110" t="str">
        <f t="shared" si="57"/>
        <v/>
      </c>
      <c r="AE338" s="170">
        <f t="shared" si="55"/>
        <v>3.472222222222222E-3</v>
      </c>
      <c r="AG338" s="110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28" t="str" cm="1">
        <f t="array" aca="1" ref="AR338" ca="1">IF(A338=INDIRECT($AK$4&amp;"!$A$3"),IF(I338&lt;&gt;"",I338&amp;A338,""),"")</f>
        <v/>
      </c>
    </row>
    <row r="339" spans="1:44" ht="20.100000000000001" customHeight="1">
      <c r="A339" s="165">
        <f t="shared" si="56"/>
        <v>45802</v>
      </c>
      <c r="C339" s="34"/>
      <c r="Z339" s="110" t="str">
        <f t="shared" si="57"/>
        <v/>
      </c>
      <c r="AE339" s="170">
        <f t="shared" si="55"/>
        <v>3.472222222222222E-3</v>
      </c>
      <c r="AG339" s="110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28" t="str" cm="1">
        <f t="array" aca="1" ref="AR339" ca="1">IF(A339=INDIRECT($AK$4&amp;"!$A$3"),IF(I339&lt;&gt;"",I339&amp;A339,""),"")</f>
        <v/>
      </c>
    </row>
    <row r="340" spans="1:44" ht="20.100000000000001" customHeight="1">
      <c r="A340" s="165">
        <f t="shared" si="56"/>
        <v>45802</v>
      </c>
      <c r="C340" s="34"/>
      <c r="Z340" s="110" t="str">
        <f t="shared" si="57"/>
        <v/>
      </c>
      <c r="AE340" s="170">
        <f t="shared" si="55"/>
        <v>3.472222222222222E-3</v>
      </c>
      <c r="AG340" s="110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28" t="str" cm="1">
        <f t="array" aca="1" ref="AR340" ca="1">IF(A340=INDIRECT($AK$4&amp;"!$A$3"),IF(I340&lt;&gt;"",I340&amp;A340,""),"")</f>
        <v/>
      </c>
    </row>
    <row r="341" spans="1:44" ht="20.100000000000001" customHeight="1">
      <c r="A341" s="165">
        <f t="shared" si="56"/>
        <v>45802</v>
      </c>
      <c r="C341" s="34"/>
      <c r="Z341" s="110" t="str">
        <f t="shared" si="57"/>
        <v/>
      </c>
      <c r="AE341" s="170">
        <f t="shared" si="55"/>
        <v>3.472222222222222E-3</v>
      </c>
      <c r="AG341" s="110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28" t="str" cm="1">
        <f t="array" aca="1" ref="AR341" ca="1">IF(A341=INDIRECT($AK$4&amp;"!$A$3"),IF(I341&lt;&gt;"",I341&amp;A341,""),"")</f>
        <v/>
      </c>
    </row>
    <row r="342" spans="1:44" ht="20.100000000000001" customHeight="1">
      <c r="A342" s="165">
        <f t="shared" si="56"/>
        <v>45802</v>
      </c>
      <c r="C342" s="34"/>
      <c r="Z342" s="110" t="str">
        <f t="shared" si="57"/>
        <v/>
      </c>
      <c r="AE342" s="170">
        <f t="shared" si="55"/>
        <v>3.472222222222222E-3</v>
      </c>
      <c r="AG342" s="110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28" t="str" cm="1">
        <f t="array" aca="1" ref="AR342" ca="1">IF(A342=INDIRECT($AK$4&amp;"!$A$3"),IF(I342&lt;&gt;"",I342&amp;A342,""),"")</f>
        <v/>
      </c>
    </row>
    <row r="343" spans="1:44" ht="20.100000000000001" customHeight="1">
      <c r="A343" s="165">
        <f t="shared" si="56"/>
        <v>45802</v>
      </c>
      <c r="C343" s="34"/>
      <c r="Z343" s="110" t="str">
        <f t="shared" si="57"/>
        <v/>
      </c>
      <c r="AE343" s="170">
        <f t="shared" si="55"/>
        <v>3.472222222222222E-3</v>
      </c>
      <c r="AG343" s="110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28" t="str" cm="1">
        <f t="array" aca="1" ref="AR343" ca="1">IF(A343=INDIRECT($AK$4&amp;"!$A$3"),IF(I343&lt;&gt;"",I343&amp;A343,""),"")</f>
        <v/>
      </c>
    </row>
    <row r="344" spans="1:44" ht="20.100000000000001" customHeight="1">
      <c r="A344" s="165">
        <f t="shared" si="56"/>
        <v>45802</v>
      </c>
      <c r="C344" s="34"/>
      <c r="Z344" s="110" t="str">
        <f t="shared" si="57"/>
        <v/>
      </c>
      <c r="AE344" s="170">
        <f t="shared" si="55"/>
        <v>3.472222222222222E-3</v>
      </c>
      <c r="AG344" s="110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28" t="str" cm="1">
        <f t="array" aca="1" ref="AR344" ca="1">IF(A344=INDIRECT($AK$4&amp;"!$A$3"),IF(I344&lt;&gt;"",I344&amp;A344,""),"")</f>
        <v/>
      </c>
    </row>
    <row r="345" spans="1:44" ht="20.100000000000001" customHeight="1">
      <c r="A345" s="165">
        <f t="shared" si="56"/>
        <v>45802</v>
      </c>
      <c r="C345" s="34"/>
      <c r="Z345" s="110" t="str">
        <f t="shared" si="57"/>
        <v/>
      </c>
      <c r="AE345" s="170">
        <f t="shared" si="55"/>
        <v>3.472222222222222E-3</v>
      </c>
      <c r="AG345" s="110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28" t="str" cm="1">
        <f t="array" aca="1" ref="AR345" ca="1">IF(A345=INDIRECT($AK$4&amp;"!$A$3"),IF(I345&lt;&gt;"",I345&amp;A345,""),"")</f>
        <v/>
      </c>
    </row>
    <row r="346" spans="1:44" ht="20.100000000000001" customHeight="1">
      <c r="A346" s="165">
        <f t="shared" si="56"/>
        <v>45802</v>
      </c>
      <c r="C346" s="34"/>
      <c r="Z346" s="110" t="str">
        <f t="shared" si="57"/>
        <v/>
      </c>
      <c r="AE346" s="170">
        <f t="shared" si="55"/>
        <v>3.472222222222222E-3</v>
      </c>
      <c r="AG346" s="110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28" t="str" cm="1">
        <f t="array" aca="1" ref="AR346" ca="1">IF(A346=INDIRECT($AK$4&amp;"!$A$3"),IF(I346&lt;&gt;"",I346&amp;A346,""),"")</f>
        <v/>
      </c>
    </row>
    <row r="347" spans="1:44" ht="20.100000000000001" customHeight="1">
      <c r="A347" s="165">
        <f t="shared" si="56"/>
        <v>45802</v>
      </c>
      <c r="C347" s="34"/>
      <c r="Z347" s="110" t="str">
        <f t="shared" si="57"/>
        <v/>
      </c>
      <c r="AE347" s="170">
        <f t="shared" si="55"/>
        <v>3.472222222222222E-3</v>
      </c>
      <c r="AG347" s="110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28" t="str" cm="1">
        <f t="array" aca="1" ref="AR347" ca="1">IF(A347=INDIRECT($AK$4&amp;"!$A$3"),IF(I347&lt;&gt;"",I347&amp;A347,""),"")</f>
        <v/>
      </c>
    </row>
    <row r="348" spans="1:44" ht="20.100000000000001" customHeight="1">
      <c r="A348" s="165">
        <f t="shared" si="56"/>
        <v>45802</v>
      </c>
      <c r="C348" s="34"/>
      <c r="Z348" s="110" t="str">
        <f t="shared" si="57"/>
        <v/>
      </c>
      <c r="AE348" s="170">
        <f t="shared" si="55"/>
        <v>3.472222222222222E-3</v>
      </c>
      <c r="AG348" s="110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28" t="str" cm="1">
        <f t="array" aca="1" ref="AR348" ca="1">IF(A348=INDIRECT($AK$4&amp;"!$A$3"),IF(I348&lt;&gt;"",I348&amp;A348,""),"")</f>
        <v/>
      </c>
    </row>
    <row r="349" spans="1:44" ht="20.100000000000001" customHeight="1">
      <c r="A349" s="165">
        <f t="shared" si="56"/>
        <v>45802</v>
      </c>
      <c r="C349" s="34"/>
      <c r="Z349" s="110" t="str">
        <f t="shared" si="57"/>
        <v/>
      </c>
      <c r="AE349" s="170">
        <f t="shared" si="55"/>
        <v>3.472222222222222E-3</v>
      </c>
      <c r="AG349" s="110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28" t="str" cm="1">
        <f t="array" aca="1" ref="AR349" ca="1">IF(A349=INDIRECT($AK$4&amp;"!$A$3"),IF(I349&lt;&gt;"",I349&amp;A349,""),"")</f>
        <v/>
      </c>
    </row>
    <row r="350" spans="1:44" ht="20.100000000000001" customHeight="1">
      <c r="A350" s="165">
        <f t="shared" si="56"/>
        <v>45802</v>
      </c>
      <c r="C350" s="34"/>
      <c r="Z350" s="110" t="str">
        <f t="shared" si="57"/>
        <v/>
      </c>
      <c r="AE350" s="170">
        <f t="shared" si="55"/>
        <v>3.472222222222222E-3</v>
      </c>
      <c r="AG350" s="110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28" t="str" cm="1">
        <f t="array" aca="1" ref="AR350" ca="1">IF(A350=INDIRECT($AK$4&amp;"!$A$3"),IF(I350&lt;&gt;"",I350&amp;A350,""),"")</f>
        <v/>
      </c>
    </row>
    <row r="351" spans="1:44" ht="20.100000000000001" customHeight="1">
      <c r="A351" s="165">
        <f t="shared" si="56"/>
        <v>45802</v>
      </c>
      <c r="C351" s="34"/>
      <c r="Z351" s="110" t="str">
        <f t="shared" si="57"/>
        <v/>
      </c>
      <c r="AE351" s="170">
        <f t="shared" si="55"/>
        <v>3.472222222222222E-3</v>
      </c>
      <c r="AG351" s="110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28" t="str" cm="1">
        <f t="array" aca="1" ref="AR351" ca="1">IF(A351=INDIRECT($AK$4&amp;"!$A$3"),IF(I351&lt;&gt;"",I351&amp;A351,""),"")</f>
        <v/>
      </c>
    </row>
    <row r="352" spans="1:44" ht="20.100000000000001" customHeight="1">
      <c r="A352" s="165">
        <f t="shared" si="56"/>
        <v>45802</v>
      </c>
      <c r="C352" s="34"/>
      <c r="Z352" s="110" t="str">
        <f t="shared" si="57"/>
        <v/>
      </c>
      <c r="AE352" s="170">
        <f t="shared" si="55"/>
        <v>3.472222222222222E-3</v>
      </c>
      <c r="AG352" s="110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28" t="str" cm="1">
        <f t="array" aca="1" ref="AR352" ca="1">IF(A352=INDIRECT($AK$4&amp;"!$A$3"),IF(I352&lt;&gt;"",I352&amp;A352,""),"")</f>
        <v/>
      </c>
    </row>
    <row r="353" spans="1:44" ht="20.100000000000001" customHeight="1">
      <c r="A353" s="165">
        <f t="shared" si="56"/>
        <v>45802</v>
      </c>
      <c r="C353" s="34"/>
      <c r="Z353" s="110" t="str">
        <f t="shared" si="57"/>
        <v/>
      </c>
      <c r="AE353" s="170">
        <f t="shared" si="55"/>
        <v>3.472222222222222E-3</v>
      </c>
      <c r="AG353" s="110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28" t="str" cm="1">
        <f t="array" aca="1" ref="AR353" ca="1">IF(A353=INDIRECT($AK$4&amp;"!$A$3"),IF(I353&lt;&gt;"",I353&amp;A353,""),"")</f>
        <v/>
      </c>
    </row>
    <row r="354" spans="1:44" ht="20.100000000000001" customHeight="1">
      <c r="A354" s="165">
        <f t="shared" si="56"/>
        <v>45802</v>
      </c>
      <c r="C354" s="34"/>
      <c r="Z354" s="110" t="str">
        <f t="shared" si="57"/>
        <v/>
      </c>
      <c r="AE354" s="170">
        <f t="shared" si="55"/>
        <v>3.472222222222222E-3</v>
      </c>
      <c r="AG354" s="110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28" t="str" cm="1">
        <f t="array" aca="1" ref="AR354" ca="1">IF(A354=INDIRECT($AK$4&amp;"!$A$3"),IF(I354&lt;&gt;"",I354&amp;A354,""),"")</f>
        <v/>
      </c>
    </row>
    <row r="355" spans="1:44" ht="20.100000000000001" customHeight="1">
      <c r="A355" s="165">
        <f t="shared" si="56"/>
        <v>45802</v>
      </c>
      <c r="C355" s="34"/>
      <c r="Z355" s="110" t="str">
        <f t="shared" si="57"/>
        <v/>
      </c>
      <c r="AE355" s="170">
        <f t="shared" si="55"/>
        <v>3.472222222222222E-3</v>
      </c>
      <c r="AG355" s="110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28" t="str" cm="1">
        <f t="array" aca="1" ref="AR355" ca="1">IF(A355=INDIRECT($AK$4&amp;"!$A$3"),IF(I355&lt;&gt;"",I355&amp;A355,""),"")</f>
        <v/>
      </c>
    </row>
    <row r="356" spans="1:44" ht="20.100000000000001" customHeight="1">
      <c r="A356" s="165">
        <f t="shared" si="56"/>
        <v>45802</v>
      </c>
      <c r="C356" s="34"/>
      <c r="Z356" s="110" t="str">
        <f t="shared" si="57"/>
        <v/>
      </c>
      <c r="AE356" s="170">
        <f t="shared" si="55"/>
        <v>3.472222222222222E-3</v>
      </c>
      <c r="AG356" s="110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28" t="str" cm="1">
        <f t="array" aca="1" ref="AR356" ca="1">IF(A356=INDIRECT($AK$4&amp;"!$A$3"),IF(I356&lt;&gt;"",I356&amp;A356,""),"")</f>
        <v/>
      </c>
    </row>
    <row r="357" spans="1:44" ht="20.100000000000001" customHeight="1">
      <c r="A357" s="165">
        <f t="shared" si="56"/>
        <v>45802</v>
      </c>
      <c r="C357" s="34"/>
      <c r="Z357" s="110" t="str">
        <f t="shared" si="57"/>
        <v/>
      </c>
      <c r="AE357" s="170">
        <f t="shared" si="55"/>
        <v>3.472222222222222E-3</v>
      </c>
      <c r="AG357" s="110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28" t="str" cm="1">
        <f t="array" aca="1" ref="AR357" ca="1">IF(A357=INDIRECT($AK$4&amp;"!$A$3"),IF(I357&lt;&gt;"",I357&amp;A357,""),"")</f>
        <v/>
      </c>
    </row>
    <row r="358" spans="1:44" ht="20.100000000000001" customHeight="1">
      <c r="A358" s="165">
        <f t="shared" si="56"/>
        <v>45802</v>
      </c>
      <c r="C358" s="34"/>
      <c r="Z358" s="110" t="str">
        <f t="shared" si="57"/>
        <v/>
      </c>
      <c r="AE358" s="170">
        <f t="shared" si="55"/>
        <v>3.472222222222222E-3</v>
      </c>
      <c r="AG358" s="110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28" t="str" cm="1">
        <f t="array" aca="1" ref="AR358" ca="1">IF(A358=INDIRECT($AK$4&amp;"!$A$3"),IF(I358&lt;&gt;"",I358&amp;A358,""),"")</f>
        <v/>
      </c>
    </row>
    <row r="359" spans="1:44" ht="20.100000000000001" customHeight="1">
      <c r="A359" s="165">
        <f t="shared" si="56"/>
        <v>45802</v>
      </c>
      <c r="C359" s="34"/>
      <c r="Z359" s="110" t="str">
        <f t="shared" si="57"/>
        <v/>
      </c>
      <c r="AE359" s="170">
        <f t="shared" si="55"/>
        <v>3.472222222222222E-3</v>
      </c>
      <c r="AG359" s="110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28" t="str" cm="1">
        <f t="array" aca="1" ref="AR359" ca="1">IF(A359=INDIRECT($AK$4&amp;"!$A$3"),IF(I359&lt;&gt;"",I359&amp;A359,""),"")</f>
        <v/>
      </c>
    </row>
    <row r="360" spans="1:44" ht="20.100000000000001" customHeight="1">
      <c r="A360" s="165">
        <f t="shared" si="56"/>
        <v>45802</v>
      </c>
      <c r="C360" s="34"/>
      <c r="Z360" s="110" t="str">
        <f t="shared" si="57"/>
        <v/>
      </c>
      <c r="AE360" s="170">
        <f t="shared" si="55"/>
        <v>3.472222222222222E-3</v>
      </c>
      <c r="AG360" s="110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28" t="str" cm="1">
        <f t="array" aca="1" ref="AR360" ca="1">IF(A360=INDIRECT($AK$4&amp;"!$A$3"),IF(I360&lt;&gt;"",I360&amp;A360,""),"")</f>
        <v/>
      </c>
    </row>
    <row r="361" spans="1:44" ht="20.100000000000001" customHeight="1">
      <c r="A361" s="165">
        <f t="shared" si="56"/>
        <v>45802</v>
      </c>
      <c r="C361" s="34"/>
      <c r="Z361" s="110" t="str">
        <f t="shared" si="57"/>
        <v/>
      </c>
      <c r="AE361" s="170">
        <f t="shared" si="55"/>
        <v>3.472222222222222E-3</v>
      </c>
      <c r="AG361" s="110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28" t="str" cm="1">
        <f t="array" aca="1" ref="AR361" ca="1">IF(A361=INDIRECT($AK$4&amp;"!$A$3"),IF(I361&lt;&gt;"",I361&amp;A361,""),"")</f>
        <v/>
      </c>
    </row>
    <row r="362" spans="1:44" ht="20.100000000000001" customHeight="1">
      <c r="A362" s="165">
        <f t="shared" si="56"/>
        <v>45802</v>
      </c>
      <c r="C362" s="34"/>
      <c r="Z362" s="110" t="str">
        <f t="shared" si="57"/>
        <v/>
      </c>
      <c r="AE362" s="170">
        <f t="shared" si="55"/>
        <v>3.472222222222222E-3</v>
      </c>
      <c r="AG362" s="110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28" t="str" cm="1">
        <f t="array" aca="1" ref="AR362" ca="1">IF(A362=INDIRECT($AK$4&amp;"!$A$3"),IF(I362&lt;&gt;"",I362&amp;A362,""),"")</f>
        <v/>
      </c>
    </row>
    <row r="363" spans="1:44" ht="20.100000000000001" customHeight="1">
      <c r="A363" s="165">
        <f t="shared" si="56"/>
        <v>45802</v>
      </c>
      <c r="C363" s="34"/>
      <c r="Z363" s="110" t="str">
        <f t="shared" si="57"/>
        <v/>
      </c>
      <c r="AE363" s="170">
        <f t="shared" si="55"/>
        <v>3.472222222222222E-3</v>
      </c>
      <c r="AG363" s="110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28" t="str" cm="1">
        <f t="array" aca="1" ref="AR363" ca="1">IF(A363=INDIRECT($AK$4&amp;"!$A$3"),IF(I363&lt;&gt;"",I363&amp;A363,""),"")</f>
        <v/>
      </c>
    </row>
    <row r="364" spans="1:44" ht="20.100000000000001" customHeight="1">
      <c r="A364" s="165">
        <f t="shared" si="56"/>
        <v>45802</v>
      </c>
      <c r="C364" s="34"/>
      <c r="Z364" s="110" t="str">
        <f t="shared" si="57"/>
        <v/>
      </c>
      <c r="AE364" s="170">
        <f t="shared" si="55"/>
        <v>3.472222222222222E-3</v>
      </c>
      <c r="AG364" s="110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28" t="str" cm="1">
        <f t="array" aca="1" ref="AR364" ca="1">IF(A364=INDIRECT($AK$4&amp;"!$A$3"),IF(I364&lt;&gt;"",I364&amp;A364,""),"")</f>
        <v/>
      </c>
    </row>
    <row r="365" spans="1:44" ht="20.100000000000001" customHeight="1">
      <c r="A365" s="165">
        <f t="shared" si="56"/>
        <v>45802</v>
      </c>
      <c r="C365" s="34"/>
      <c r="Z365" s="110" t="str">
        <f t="shared" si="57"/>
        <v/>
      </c>
      <c r="AE365" s="170">
        <f t="shared" si="55"/>
        <v>3.472222222222222E-3</v>
      </c>
      <c r="AG365" s="110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28" t="str" cm="1">
        <f t="array" aca="1" ref="AR365" ca="1">IF(A365=INDIRECT($AK$4&amp;"!$A$3"),IF(I365&lt;&gt;"",I365&amp;A365,""),"")</f>
        <v/>
      </c>
    </row>
    <row r="366" spans="1:44" ht="20.100000000000001" customHeight="1">
      <c r="A366" s="165">
        <f t="shared" si="56"/>
        <v>45802</v>
      </c>
      <c r="C366" s="34"/>
      <c r="Z366" s="110" t="str">
        <f t="shared" si="57"/>
        <v/>
      </c>
      <c r="AE366" s="170">
        <f t="shared" si="55"/>
        <v>3.472222222222222E-3</v>
      </c>
      <c r="AG366" s="110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28" t="str" cm="1">
        <f t="array" aca="1" ref="AR366" ca="1">IF(A366=INDIRECT($AK$4&amp;"!$A$3"),IF(I366&lt;&gt;"",I366&amp;A366,""),"")</f>
        <v/>
      </c>
    </row>
    <row r="367" spans="1:44" ht="20.100000000000001" customHeight="1">
      <c r="A367" s="165">
        <f t="shared" si="56"/>
        <v>45802</v>
      </c>
      <c r="C367" s="34"/>
      <c r="Z367" s="110" t="str">
        <f t="shared" si="57"/>
        <v/>
      </c>
      <c r="AE367" s="170">
        <f t="shared" si="55"/>
        <v>3.472222222222222E-3</v>
      </c>
      <c r="AG367" s="110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28" t="str" cm="1">
        <f t="array" aca="1" ref="AR367" ca="1">IF(A367=INDIRECT($AK$4&amp;"!$A$3"),IF(I367&lt;&gt;"",I367&amp;A367,""),"")</f>
        <v/>
      </c>
    </row>
    <row r="368" spans="1:44" ht="20.100000000000001" customHeight="1">
      <c r="A368" s="165">
        <f t="shared" si="56"/>
        <v>45802</v>
      </c>
      <c r="C368" s="34"/>
      <c r="Z368" s="110" t="str">
        <f t="shared" si="57"/>
        <v/>
      </c>
      <c r="AE368" s="170">
        <f t="shared" si="55"/>
        <v>3.472222222222222E-3</v>
      </c>
      <c r="AG368" s="110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28" t="str" cm="1">
        <f t="array" aca="1" ref="AR368" ca="1">IF(A368=INDIRECT($AK$4&amp;"!$A$3"),IF(I368&lt;&gt;"",I368&amp;A368,""),"")</f>
        <v/>
      </c>
    </row>
    <row r="369" spans="1:44" ht="20.100000000000001" customHeight="1">
      <c r="A369" s="165">
        <f t="shared" si="56"/>
        <v>45802</v>
      </c>
      <c r="C369" s="34"/>
      <c r="Z369" s="110" t="str">
        <f t="shared" si="57"/>
        <v/>
      </c>
      <c r="AE369" s="170">
        <f t="shared" si="55"/>
        <v>3.472222222222222E-3</v>
      </c>
      <c r="AG369" s="110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28" t="str" cm="1">
        <f t="array" aca="1" ref="AR369" ca="1">IF(A369=INDIRECT($AK$4&amp;"!$A$3"),IF(I369&lt;&gt;"",I369&amp;A369,""),"")</f>
        <v/>
      </c>
    </row>
    <row r="370" spans="1:44" ht="20.100000000000001" customHeight="1">
      <c r="A370" s="165">
        <f t="shared" si="56"/>
        <v>45802</v>
      </c>
      <c r="C370" s="34"/>
      <c r="Z370" s="110" t="str">
        <f t="shared" si="57"/>
        <v/>
      </c>
      <c r="AE370" s="170">
        <f t="shared" si="55"/>
        <v>3.472222222222222E-3</v>
      </c>
      <c r="AG370" s="110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28" t="str" cm="1">
        <f t="array" aca="1" ref="AR370" ca="1">IF(A370=INDIRECT($AK$4&amp;"!$A$3"),IF(I370&lt;&gt;"",I370&amp;A370,""),"")</f>
        <v/>
      </c>
    </row>
    <row r="371" spans="1:44" ht="20.100000000000001" customHeight="1">
      <c r="A371" s="165">
        <f t="shared" si="56"/>
        <v>45802</v>
      </c>
      <c r="C371" s="34"/>
      <c r="Z371" s="110" t="str">
        <f t="shared" si="57"/>
        <v/>
      </c>
      <c r="AE371" s="170">
        <f t="shared" si="55"/>
        <v>3.472222222222222E-3</v>
      </c>
      <c r="AG371" s="110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28" t="str" cm="1">
        <f t="array" aca="1" ref="AR371" ca="1">IF(A371=INDIRECT($AK$4&amp;"!$A$3"),IF(I371&lt;&gt;"",I371&amp;A371,""),"")</f>
        <v/>
      </c>
    </row>
    <row r="372" spans="1:44" ht="20.100000000000001" customHeight="1">
      <c r="A372" s="165">
        <f t="shared" si="56"/>
        <v>45802</v>
      </c>
      <c r="C372" s="34"/>
      <c r="Z372" s="110" t="str">
        <f t="shared" si="57"/>
        <v/>
      </c>
      <c r="AE372" s="170">
        <f t="shared" si="55"/>
        <v>3.472222222222222E-3</v>
      </c>
      <c r="AG372" s="110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28" t="str" cm="1">
        <f t="array" aca="1" ref="AR372" ca="1">IF(A372=INDIRECT($AK$4&amp;"!$A$3"),IF(I372&lt;&gt;"",I372&amp;A372,""),"")</f>
        <v/>
      </c>
    </row>
    <row r="373" spans="1:44" ht="20.100000000000001" customHeight="1">
      <c r="A373" s="165">
        <f t="shared" si="56"/>
        <v>45802</v>
      </c>
      <c r="C373" s="34"/>
      <c r="Z373" s="110" t="str">
        <f t="shared" si="57"/>
        <v/>
      </c>
      <c r="AE373" s="170">
        <f t="shared" si="55"/>
        <v>3.472222222222222E-3</v>
      </c>
      <c r="AG373" s="110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28" t="str" cm="1">
        <f t="array" aca="1" ref="AR373" ca="1">IF(A373=INDIRECT($AK$4&amp;"!$A$3"),IF(I373&lt;&gt;"",I373&amp;A373,""),"")</f>
        <v/>
      </c>
    </row>
    <row r="374" spans="1:44" ht="20.100000000000001" customHeight="1">
      <c r="A374" s="165">
        <f t="shared" si="56"/>
        <v>45802</v>
      </c>
      <c r="C374" s="34"/>
      <c r="Z374" s="110" t="str">
        <f t="shared" si="57"/>
        <v/>
      </c>
      <c r="AE374" s="170">
        <f t="shared" si="55"/>
        <v>3.472222222222222E-3</v>
      </c>
      <c r="AG374" s="110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28" t="str" cm="1">
        <f t="array" aca="1" ref="AR374" ca="1">IF(A374=INDIRECT($AK$4&amp;"!$A$3"),IF(I374&lt;&gt;"",I374&amp;A374,""),"")</f>
        <v/>
      </c>
    </row>
    <row r="375" spans="1:44" ht="20.100000000000001" customHeight="1">
      <c r="A375" s="165">
        <f t="shared" si="56"/>
        <v>45802</v>
      </c>
      <c r="C375" s="34"/>
      <c r="Z375" s="110" t="str">
        <f t="shared" si="57"/>
        <v/>
      </c>
      <c r="AE375" s="170">
        <f t="shared" si="55"/>
        <v>3.472222222222222E-3</v>
      </c>
      <c r="AG375" s="110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28" t="str" cm="1">
        <f t="array" aca="1" ref="AR375" ca="1">IF(A375=INDIRECT($AK$4&amp;"!$A$3"),IF(I375&lt;&gt;"",I375&amp;A375,""),"")</f>
        <v/>
      </c>
    </row>
    <row r="376" spans="1:44" ht="20.100000000000001" customHeight="1">
      <c r="A376" s="165">
        <f t="shared" si="56"/>
        <v>45802</v>
      </c>
      <c r="C376" s="34"/>
      <c r="Z376" s="110" t="str">
        <f t="shared" si="57"/>
        <v/>
      </c>
      <c r="AE376" s="170">
        <f t="shared" si="55"/>
        <v>3.472222222222222E-3</v>
      </c>
      <c r="AG376" s="110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28" t="str" cm="1">
        <f t="array" aca="1" ref="AR376" ca="1">IF(A376=INDIRECT($AK$4&amp;"!$A$3"),IF(I376&lt;&gt;"",I376&amp;A376,""),"")</f>
        <v/>
      </c>
    </row>
    <row r="377" spans="1:44" ht="20.100000000000001" customHeight="1">
      <c r="A377" s="165">
        <f t="shared" si="56"/>
        <v>45802</v>
      </c>
      <c r="C377" s="34"/>
      <c r="Z377" s="110" t="str">
        <f t="shared" si="57"/>
        <v/>
      </c>
      <c r="AE377" s="170">
        <f t="shared" si="55"/>
        <v>3.472222222222222E-3</v>
      </c>
      <c r="AG377" s="110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28" t="str" cm="1">
        <f t="array" aca="1" ref="AR377" ca="1">IF(A377=INDIRECT($AK$4&amp;"!$A$3"),IF(I377&lt;&gt;"",I377&amp;A377,""),"")</f>
        <v/>
      </c>
    </row>
    <row r="378" spans="1:44" ht="20.100000000000001" customHeight="1">
      <c r="A378" s="165">
        <f t="shared" si="56"/>
        <v>45802</v>
      </c>
      <c r="C378" s="34"/>
      <c r="Z378" s="110" t="str">
        <f t="shared" si="57"/>
        <v/>
      </c>
      <c r="AE378" s="170">
        <f t="shared" si="55"/>
        <v>3.472222222222222E-3</v>
      </c>
      <c r="AG378" s="110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28" t="str" cm="1">
        <f t="array" aca="1" ref="AR378" ca="1">IF(A378=INDIRECT($AK$4&amp;"!$A$3"),IF(I378&lt;&gt;"",I378&amp;A378,""),"")</f>
        <v/>
      </c>
    </row>
    <row r="379" spans="1:44" ht="20.100000000000001" customHeight="1">
      <c r="A379" s="165">
        <f t="shared" si="56"/>
        <v>45802</v>
      </c>
      <c r="C379" s="34"/>
      <c r="Z379" s="110" t="str">
        <f t="shared" si="57"/>
        <v/>
      </c>
      <c r="AE379" s="170">
        <f t="shared" si="55"/>
        <v>3.472222222222222E-3</v>
      </c>
      <c r="AG379" s="110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28" t="str" cm="1">
        <f t="array" aca="1" ref="AR379" ca="1">IF(A379=INDIRECT($AK$4&amp;"!$A$3"),IF(I379&lt;&gt;"",I379&amp;A379,""),"")</f>
        <v/>
      </c>
    </row>
    <row r="380" spans="1:44" ht="20.100000000000001" customHeight="1">
      <c r="A380" s="165">
        <f t="shared" si="56"/>
        <v>45802</v>
      </c>
      <c r="C380" s="34"/>
      <c r="Z380" s="110" t="str">
        <f t="shared" si="57"/>
        <v/>
      </c>
      <c r="AE380" s="170">
        <f t="shared" si="55"/>
        <v>3.472222222222222E-3</v>
      </c>
      <c r="AG380" s="110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28" t="str" cm="1">
        <f t="array" aca="1" ref="AR380" ca="1">IF(A380=INDIRECT($AK$4&amp;"!$A$3"),IF(I380&lt;&gt;"",I380&amp;A380,""),"")</f>
        <v/>
      </c>
    </row>
    <row r="381" spans="1:44" ht="20.100000000000001" customHeight="1">
      <c r="A381" s="165">
        <f t="shared" si="56"/>
        <v>45802</v>
      </c>
      <c r="C381" s="34"/>
      <c r="Z381" s="110" t="str">
        <f t="shared" si="57"/>
        <v/>
      </c>
      <c r="AE381" s="170">
        <f t="shared" si="55"/>
        <v>3.472222222222222E-3</v>
      </c>
      <c r="AG381" s="110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28" t="str" cm="1">
        <f t="array" aca="1" ref="AR381" ca="1">IF(A381=INDIRECT($AK$4&amp;"!$A$3"),IF(I381&lt;&gt;"",I381&amp;A381,""),"")</f>
        <v/>
      </c>
    </row>
    <row r="382" spans="1:44" ht="20.100000000000001" customHeight="1">
      <c r="A382" s="165">
        <f t="shared" si="56"/>
        <v>45802</v>
      </c>
      <c r="C382" s="34"/>
      <c r="Z382" s="110" t="str">
        <f t="shared" si="57"/>
        <v/>
      </c>
      <c r="AE382" s="170">
        <f t="shared" si="55"/>
        <v>3.472222222222222E-3</v>
      </c>
      <c r="AG382" s="110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28" t="str" cm="1">
        <f t="array" aca="1" ref="AR382" ca="1">IF(A382=INDIRECT($AK$4&amp;"!$A$3"),IF(I382&lt;&gt;"",I382&amp;A382,""),"")</f>
        <v/>
      </c>
    </row>
    <row r="383" spans="1:44" ht="20.100000000000001" customHeight="1">
      <c r="A383" s="165">
        <f t="shared" si="56"/>
        <v>45802</v>
      </c>
      <c r="C383" s="34"/>
      <c r="Z383" s="110" t="str">
        <f t="shared" si="57"/>
        <v/>
      </c>
      <c r="AE383" s="170">
        <f t="shared" si="55"/>
        <v>3.472222222222222E-3</v>
      </c>
      <c r="AG383" s="110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28" t="str" cm="1">
        <f t="array" aca="1" ref="AR383" ca="1">IF(A383=INDIRECT($AK$4&amp;"!$A$3"),IF(I383&lt;&gt;"",I383&amp;A383,""),"")</f>
        <v/>
      </c>
    </row>
    <row r="384" spans="1:44" ht="20.100000000000001" customHeight="1">
      <c r="A384" s="165">
        <f t="shared" si="56"/>
        <v>45802</v>
      </c>
      <c r="C384" s="34"/>
      <c r="Z384" s="110" t="str">
        <f t="shared" si="57"/>
        <v/>
      </c>
      <c r="AE384" s="170">
        <f t="shared" si="55"/>
        <v>3.472222222222222E-3</v>
      </c>
      <c r="AG384" s="110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28" t="str" cm="1">
        <f t="array" aca="1" ref="AR384" ca="1">IF(A384=INDIRECT($AK$4&amp;"!$A$3"),IF(I384&lt;&gt;"",I384&amp;A384,""),"")</f>
        <v/>
      </c>
    </row>
    <row r="385" spans="1:44" ht="20.100000000000001" customHeight="1">
      <c r="A385" s="165">
        <f t="shared" si="56"/>
        <v>45802</v>
      </c>
      <c r="C385" s="34"/>
      <c r="Z385" s="110" t="str">
        <f t="shared" si="57"/>
        <v/>
      </c>
      <c r="AE385" s="170">
        <f t="shared" si="55"/>
        <v>3.472222222222222E-3</v>
      </c>
      <c r="AG385" s="110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28" t="str" cm="1">
        <f t="array" aca="1" ref="AR385" ca="1">IF(A385=INDIRECT($AK$4&amp;"!$A$3"),IF(I385&lt;&gt;"",I385&amp;A385,""),"")</f>
        <v/>
      </c>
    </row>
    <row r="386" spans="1:44" ht="20.100000000000001" customHeight="1">
      <c r="A386" s="165">
        <f t="shared" si="56"/>
        <v>45802</v>
      </c>
      <c r="C386" s="34"/>
      <c r="Z386" s="110" t="str">
        <f t="shared" si="57"/>
        <v/>
      </c>
      <c r="AE386" s="170">
        <f t="shared" si="55"/>
        <v>3.472222222222222E-3</v>
      </c>
      <c r="AG386" s="110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28" t="str" cm="1">
        <f t="array" aca="1" ref="AR386" ca="1">IF(A386=INDIRECT($AK$4&amp;"!$A$3"),IF(I386&lt;&gt;"",I386&amp;A386,""),"")</f>
        <v/>
      </c>
    </row>
    <row r="387" spans="1:44" ht="20.100000000000001" customHeight="1">
      <c r="A387" s="165">
        <f t="shared" si="56"/>
        <v>45802</v>
      </c>
      <c r="C387" s="34"/>
      <c r="Z387" s="110" t="str">
        <f t="shared" si="57"/>
        <v/>
      </c>
      <c r="AE387" s="170">
        <f t="shared" si="55"/>
        <v>3.472222222222222E-3</v>
      </c>
      <c r="AG387" s="110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28" t="str" cm="1">
        <f t="array" aca="1" ref="AR387" ca="1">IF(A387=INDIRECT($AK$4&amp;"!$A$3"),IF(I387&lt;&gt;"",I387&amp;A387,""),"")</f>
        <v/>
      </c>
    </row>
    <row r="388" spans="1:44" ht="20.100000000000001" customHeight="1">
      <c r="A388" s="165">
        <f t="shared" si="56"/>
        <v>45802</v>
      </c>
      <c r="C388" s="34"/>
      <c r="Z388" s="110" t="str">
        <f t="shared" si="57"/>
        <v/>
      </c>
      <c r="AE388" s="170">
        <f t="shared" si="55"/>
        <v>3.472222222222222E-3</v>
      </c>
      <c r="AG388" s="110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28" t="str" cm="1">
        <f t="array" aca="1" ref="AR388" ca="1">IF(A388=INDIRECT($AK$4&amp;"!$A$3"),IF(I388&lt;&gt;"",I388&amp;A388,""),"")</f>
        <v/>
      </c>
    </row>
    <row r="389" spans="1:44" ht="20.100000000000001" customHeight="1">
      <c r="A389" s="165">
        <f t="shared" si="56"/>
        <v>45802</v>
      </c>
      <c r="C389" s="34"/>
      <c r="Z389" s="110" t="str">
        <f t="shared" si="57"/>
        <v/>
      </c>
      <c r="AE389" s="170">
        <f t="shared" ref="AE389:AE452" si="66">TIME(0,$K389+5,0)</f>
        <v>3.472222222222222E-3</v>
      </c>
      <c r="AG389" s="110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28" t="str" cm="1">
        <f t="array" aca="1" ref="AR389" ca="1">IF(A389=INDIRECT($AK$4&amp;"!$A$3"),IF(I389&lt;&gt;"",I389&amp;A389,""),"")</f>
        <v/>
      </c>
    </row>
    <row r="390" spans="1:44" ht="20.100000000000001" customHeight="1">
      <c r="A390" s="165">
        <f t="shared" ref="A390:A400" si="67">A389</f>
        <v>45802</v>
      </c>
      <c r="C390" s="34"/>
      <c r="Z390" s="110" t="str">
        <f t="shared" ref="Z390:Z400" si="68">IF(Y390="","",$Y390+TIME(0,5,0))</f>
        <v/>
      </c>
      <c r="AE390" s="170">
        <f t="shared" si="66"/>
        <v>3.472222222222222E-3</v>
      </c>
      <c r="AG390" s="110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28" t="str" cm="1">
        <f t="array" aca="1" ref="AR390" ca="1">IF(A390=INDIRECT($AK$4&amp;"!$A$3"),IF(I390&lt;&gt;"",I390&amp;A390,""),"")</f>
        <v/>
      </c>
    </row>
    <row r="391" spans="1:44" ht="20.100000000000001" customHeight="1">
      <c r="A391" s="165">
        <f t="shared" si="67"/>
        <v>45802</v>
      </c>
      <c r="C391" s="34"/>
      <c r="Z391" s="110" t="str">
        <f t="shared" si="68"/>
        <v/>
      </c>
      <c r="AE391" s="170">
        <f t="shared" si="66"/>
        <v>3.472222222222222E-3</v>
      </c>
      <c r="AG391" s="110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28" t="str" cm="1">
        <f t="array" aca="1" ref="AR391" ca="1">IF(A391=INDIRECT($AK$4&amp;"!$A$3"),IF(I391&lt;&gt;"",I391&amp;A391,""),"")</f>
        <v/>
      </c>
    </row>
    <row r="392" spans="1:44" ht="20.100000000000001" customHeight="1">
      <c r="A392" s="165">
        <f t="shared" si="67"/>
        <v>45802</v>
      </c>
      <c r="C392" s="34"/>
      <c r="Z392" s="110" t="str">
        <f t="shared" si="68"/>
        <v/>
      </c>
      <c r="AE392" s="170">
        <f t="shared" si="66"/>
        <v>3.472222222222222E-3</v>
      </c>
      <c r="AG392" s="110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28" t="str" cm="1">
        <f t="array" aca="1" ref="AR392" ca="1">IF(A392=INDIRECT($AK$4&amp;"!$A$3"),IF(I392&lt;&gt;"",I392&amp;A392,""),"")</f>
        <v/>
      </c>
    </row>
    <row r="393" spans="1:44" ht="20.100000000000001" customHeight="1">
      <c r="A393" s="165">
        <f t="shared" si="67"/>
        <v>45802</v>
      </c>
      <c r="C393" s="34"/>
      <c r="Z393" s="110" t="str">
        <f t="shared" si="68"/>
        <v/>
      </c>
      <c r="AE393" s="170">
        <f t="shared" si="66"/>
        <v>3.472222222222222E-3</v>
      </c>
      <c r="AG393" s="110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28" t="str" cm="1">
        <f t="array" aca="1" ref="AR393" ca="1">IF(A393=INDIRECT($AK$4&amp;"!$A$3"),IF(I393&lt;&gt;"",I393&amp;A393,""),"")</f>
        <v/>
      </c>
    </row>
    <row r="394" spans="1:44" ht="20.100000000000001" customHeight="1">
      <c r="A394" s="165">
        <f t="shared" si="67"/>
        <v>45802</v>
      </c>
      <c r="C394" s="34"/>
      <c r="Z394" s="110" t="str">
        <f t="shared" si="68"/>
        <v/>
      </c>
      <c r="AE394" s="170">
        <f t="shared" si="66"/>
        <v>3.472222222222222E-3</v>
      </c>
      <c r="AG394" s="110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28" t="str" cm="1">
        <f t="array" aca="1" ref="AR394" ca="1">IF(A394=INDIRECT($AK$4&amp;"!$A$3"),IF(I394&lt;&gt;"",I394&amp;A394,""),"")</f>
        <v/>
      </c>
    </row>
    <row r="395" spans="1:44" ht="20.100000000000001" customHeight="1">
      <c r="A395" s="165">
        <f t="shared" si="67"/>
        <v>45802</v>
      </c>
      <c r="C395" s="34"/>
      <c r="Z395" s="110" t="str">
        <f t="shared" si="68"/>
        <v/>
      </c>
      <c r="AE395" s="170">
        <f t="shared" si="66"/>
        <v>3.472222222222222E-3</v>
      </c>
      <c r="AG395" s="110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28" t="str" cm="1">
        <f t="array" aca="1" ref="AR395" ca="1">IF(A395=INDIRECT($AK$4&amp;"!$A$3"),IF(I395&lt;&gt;"",I395&amp;A395,""),"")</f>
        <v/>
      </c>
    </row>
    <row r="396" spans="1:44" ht="20.100000000000001" customHeight="1">
      <c r="A396" s="165">
        <f t="shared" si="67"/>
        <v>45802</v>
      </c>
      <c r="C396" s="34"/>
      <c r="Z396" s="110" t="str">
        <f t="shared" si="68"/>
        <v/>
      </c>
      <c r="AE396" s="170">
        <f t="shared" si="66"/>
        <v>3.472222222222222E-3</v>
      </c>
      <c r="AG396" s="110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28" t="str" cm="1">
        <f t="array" aca="1" ref="AR396" ca="1">IF(A396=INDIRECT($AK$4&amp;"!$A$3"),IF(I396&lt;&gt;"",I396&amp;A396,""),"")</f>
        <v/>
      </c>
    </row>
    <row r="397" spans="1:44" ht="20.100000000000001" customHeight="1">
      <c r="A397" s="165">
        <f t="shared" si="67"/>
        <v>45802</v>
      </c>
      <c r="C397" s="34"/>
      <c r="Z397" s="110" t="str">
        <f t="shared" si="68"/>
        <v/>
      </c>
      <c r="AE397" s="170">
        <f t="shared" si="66"/>
        <v>3.472222222222222E-3</v>
      </c>
      <c r="AG397" s="110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28" t="str" cm="1">
        <f t="array" aca="1" ref="AR397" ca="1">IF(A397=INDIRECT($AK$4&amp;"!$A$3"),IF(I397&lt;&gt;"",I397&amp;A397,""),"")</f>
        <v/>
      </c>
    </row>
    <row r="398" spans="1:44" ht="20.100000000000001" customHeight="1">
      <c r="A398" s="165">
        <f t="shared" si="67"/>
        <v>45802</v>
      </c>
      <c r="C398" s="34"/>
      <c r="Z398" s="110" t="str">
        <f t="shared" si="68"/>
        <v/>
      </c>
      <c r="AE398" s="170">
        <f t="shared" si="66"/>
        <v>3.472222222222222E-3</v>
      </c>
      <c r="AG398" s="110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28" t="str" cm="1">
        <f t="array" aca="1" ref="AR398" ca="1">IF(A398=INDIRECT($AK$4&amp;"!$A$3"),IF(I398&lt;&gt;"",I398&amp;A398,""),"")</f>
        <v/>
      </c>
    </row>
    <row r="399" spans="1:44" ht="20.100000000000001" customHeight="1">
      <c r="A399" s="165">
        <f t="shared" si="67"/>
        <v>45802</v>
      </c>
      <c r="C399" s="34"/>
      <c r="Z399" s="110" t="str">
        <f t="shared" si="68"/>
        <v/>
      </c>
      <c r="AE399" s="170">
        <f t="shared" si="66"/>
        <v>3.472222222222222E-3</v>
      </c>
      <c r="AG399" s="110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28" t="str" cm="1">
        <f t="array" aca="1" ref="AR399" ca="1">IF(A399=INDIRECT($AK$4&amp;"!$A$3"),IF(I399&lt;&gt;"",I399&amp;A399,""),"")</f>
        <v/>
      </c>
    </row>
    <row r="400" spans="1:44" ht="20.100000000000001" customHeight="1">
      <c r="A400" s="165">
        <f t="shared" si="67"/>
        <v>45802</v>
      </c>
      <c r="C400" s="34"/>
      <c r="Z400" s="110" t="str">
        <f t="shared" si="68"/>
        <v/>
      </c>
      <c r="AE400" s="170">
        <f t="shared" si="66"/>
        <v>3.472222222222222E-3</v>
      </c>
      <c r="AG400" s="110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28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69EEF3A3-5013-44B1-9138-652036406E70}">
      <formula1>INDIRECT($AK$3&amp;"!$I$3:$I$14")</formula1>
    </dataValidation>
    <dataValidation type="list" allowBlank="1" showInputMessage="1" showErrorMessage="1" sqref="AA5:AA400" xr:uid="{9CF13C8D-92BC-43CA-8412-1DAAB5CB8A76}">
      <formula1>INDIRECT($AK$3&amp;"!$G$2:$G$15")</formula1>
    </dataValidation>
    <dataValidation type="list" allowBlank="1" showInputMessage="1" showErrorMessage="1" sqref="O5:O400" xr:uid="{1198CA0C-0BB8-4179-B8FA-852D2A3DB080}">
      <formula1>INDIRECT($AK$3&amp;"!$Q$3:$Q$16")</formula1>
    </dataValidation>
    <dataValidation type="list" allowBlank="1" showInputMessage="1" sqref="AC5:AC400" xr:uid="{D6876583-7638-4948-B29C-FAF6C2E1B7DC}">
      <formula1>INDIRECT($AK$3&amp;"!$O$3")</formula1>
    </dataValidation>
    <dataValidation type="list" allowBlank="1" showInputMessage="1" sqref="W5:W400" xr:uid="{98A36BF1-D2E8-4B3E-AF67-0F372DF4F275}">
      <formula1>INDIRECT($AK$3&amp;"!$M$3")</formula1>
    </dataValidation>
    <dataValidation type="list" allowBlank="1" showInputMessage="1" showErrorMessage="1" sqref="V5:V400" xr:uid="{F11395D1-FBB2-4892-9ABE-C3FD48C90AED}">
      <formula1>INDIRECT($AK$3&amp;"!$E$2:$E$15")</formula1>
    </dataValidation>
    <dataValidation type="list" allowBlank="1" showInputMessage="1" showErrorMessage="1" sqref="O801:O1048576" xr:uid="{48297885-6246-41D0-AB7A-48936CE9FABF}">
      <formula1>INDIRECT($AK$3&amp;"!$C$3:$C$11")</formula1>
    </dataValidation>
    <dataValidation type="list" allowBlank="1" showInputMessage="1" sqref="AI5:AI400" xr:uid="{ACBBCC00-E986-421F-847A-41C82728266C}">
      <formula1>INDIRECT($AK$3&amp;"!$K$3:$K$4")</formula1>
    </dataValidation>
    <dataValidation type="list" allowBlank="1" showDropDown="1" showInputMessage="1" sqref="AA4 V4:W4" xr:uid="{4030846F-C570-438D-AD54-851EBF261ABC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ABA5-45E6-4233-B4D6-09E6BA9BCC65}">
  <dimension ref="A1:AP501"/>
  <sheetViews>
    <sheetView topLeftCell="D1" zoomScale="70" zoomScaleNormal="70" workbookViewId="0" xr3:uid="{ABCC041C-96DB-5EF5-9E83-8C0ACDA8476B}">
      <selection activeCell="Q10" sqref="Q10"/>
    </sheetView>
  </sheetViews>
  <sheetFormatPr defaultColWidth="8.625" defaultRowHeight="18"/>
  <cols>
    <col min="1" max="1" width="15.625" style="28" bestFit="1" customWidth="1"/>
    <col min="2" max="2" width="8.625" style="28"/>
    <col min="3" max="3" width="13.125" style="28" customWidth="1"/>
    <col min="4" max="4" width="17.125" style="28" customWidth="1"/>
    <col min="5" max="5" width="10.125" style="28" customWidth="1"/>
    <col min="6" max="8" width="8.625" style="28"/>
    <col min="9" max="9" width="8.625" style="34"/>
    <col min="10" max="10" width="16.625" style="44" customWidth="1"/>
    <col min="11" max="11" width="19.5" style="44" customWidth="1"/>
    <col min="12" max="12" width="17.125" style="44" customWidth="1"/>
    <col min="13" max="13" width="23" style="44" customWidth="1"/>
    <col min="14" max="15" width="17.125" style="44" hidden="1" customWidth="1"/>
    <col min="16" max="16" width="11.5" style="28" hidden="1" customWidth="1"/>
    <col min="17" max="17" width="12.625" style="28" customWidth="1"/>
    <col min="18" max="18" width="3.625" style="28" customWidth="1"/>
    <col min="19" max="19" width="8.625" style="28" hidden="1" customWidth="1"/>
    <col min="20" max="21" width="9.125" style="28" hidden="1" customWidth="1"/>
    <col min="22" max="22" width="5.5" style="28" hidden="1" customWidth="1"/>
    <col min="23" max="23" width="9.625" style="28" hidden="1" customWidth="1"/>
    <col min="24" max="24" width="3.125" style="28" customWidth="1"/>
    <col min="25" max="25" width="8.625" style="110"/>
    <col min="26" max="26" width="8.625" style="28"/>
    <col min="27" max="27" width="15.125" style="28" bestFit="1" customWidth="1"/>
    <col min="28" max="28" width="11.5" style="28" customWidth="1"/>
    <col min="29" max="29" width="4" style="28" customWidth="1"/>
    <col min="30" max="30" width="8.625" style="28"/>
    <col min="31" max="31" width="0" style="28" hidden="1" customWidth="1"/>
    <col min="32" max="33" width="8.625" style="28"/>
    <col min="34" max="34" width="11.625" style="28" bestFit="1" customWidth="1"/>
    <col min="35" max="35" width="32.625" style="28" customWidth="1"/>
    <col min="36" max="36" width="8.625" style="28"/>
    <col min="37" max="37" width="8.625" style="28" hidden="1" customWidth="1"/>
    <col min="38" max="38" width="9.625" style="28" hidden="1" customWidth="1"/>
    <col min="39" max="42" width="8.625" style="28" hidden="1" customWidth="1"/>
    <col min="43" max="16384" width="8.625" style="28"/>
  </cols>
  <sheetData>
    <row r="1" spans="1:42" s="27" customFormat="1" ht="23.85" customHeight="1" thickBot="1">
      <c r="A1" s="208" t="s">
        <v>200</v>
      </c>
      <c r="B1" s="209" t="s">
        <v>201</v>
      </c>
      <c r="C1" s="210"/>
      <c r="D1" s="210"/>
      <c r="E1" s="210"/>
      <c r="F1" s="210"/>
      <c r="G1" s="210"/>
      <c r="H1" s="210"/>
      <c r="I1" s="210"/>
      <c r="J1" s="211"/>
      <c r="K1" s="81" t="s">
        <v>202</v>
      </c>
      <c r="L1" s="82"/>
      <c r="M1" s="213" t="s">
        <v>203</v>
      </c>
      <c r="N1" s="52">
        <v>2</v>
      </c>
      <c r="O1" s="55" t="s">
        <v>204</v>
      </c>
      <c r="P1" s="50"/>
      <c r="Q1" s="74">
        <v>45802</v>
      </c>
      <c r="S1" s="28"/>
      <c r="T1" s="28"/>
      <c r="U1" s="28"/>
      <c r="V1" s="28"/>
      <c r="W1" s="28"/>
      <c r="Y1" s="215" t="s">
        <v>205</v>
      </c>
      <c r="Z1" s="216"/>
      <c r="AA1" s="216"/>
      <c r="AB1" s="217"/>
      <c r="AD1" s="218" t="s">
        <v>206</v>
      </c>
      <c r="AE1" s="219"/>
      <c r="AF1" s="219"/>
      <c r="AG1" s="219"/>
      <c r="AH1" s="219"/>
      <c r="AI1" s="220"/>
      <c r="AK1" s="108" t="s">
        <v>207</v>
      </c>
      <c r="AL1" s="109" t="s">
        <v>208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49" t="s">
        <v>209</v>
      </c>
      <c r="L2" s="47" t="s">
        <v>210</v>
      </c>
      <c r="M2" s="214"/>
      <c r="N2" s="46" t="s">
        <v>8</v>
      </c>
      <c r="O2" s="56" t="s">
        <v>211</v>
      </c>
      <c r="P2" s="50"/>
      <c r="Q2" s="77" t="s">
        <v>212</v>
      </c>
      <c r="Y2" s="111" t="s">
        <v>213</v>
      </c>
      <c r="Z2" s="96" t="s">
        <v>156</v>
      </c>
      <c r="AA2" s="96" t="s">
        <v>214</v>
      </c>
      <c r="AB2" s="96" t="s">
        <v>215</v>
      </c>
      <c r="AC2" s="29"/>
      <c r="AD2" s="70" t="s">
        <v>216</v>
      </c>
      <c r="AE2" s="71" t="s">
        <v>217</v>
      </c>
      <c r="AF2" s="70" t="s">
        <v>218</v>
      </c>
      <c r="AG2" s="70" t="s">
        <v>219</v>
      </c>
      <c r="AH2" s="70" t="s">
        <v>220</v>
      </c>
      <c r="AI2" s="70" t="s">
        <v>221</v>
      </c>
    </row>
    <row r="3" spans="1:42" ht="23.1" customHeight="1">
      <c r="A3" s="204">
        <v>45802</v>
      </c>
      <c r="B3" s="205" t="s">
        <v>222</v>
      </c>
      <c r="C3" s="206"/>
      <c r="D3" s="206"/>
      <c r="E3" s="206"/>
      <c r="F3" s="206"/>
      <c r="G3" s="206"/>
      <c r="H3" s="206"/>
      <c r="I3" s="206"/>
      <c r="J3" s="207"/>
      <c r="K3" s="45">
        <f>COUNTIFS(A8:A500,"未定",B8:B500,"&lt;&gt;")</f>
        <v>0</v>
      </c>
      <c r="L3" s="45">
        <f>COUNTIFS(A8:A500,"使用可",B8:B500,"&lt;&gt;")+COUNTIFS(A8:A500,"UXへのみ可",B8:B500,"&lt;&gt;")</f>
        <v>0</v>
      </c>
      <c r="M3" s="48" t="str">
        <f>IF(COUNTA(B8:I500,N8:N500), "入力有", "入力無")</f>
        <v>入力無</v>
      </c>
      <c r="N3" s="57">
        <v>45389</v>
      </c>
      <c r="O3" s="58"/>
      <c r="P3" s="51"/>
      <c r="Q3" s="88"/>
      <c r="Y3" s="112">
        <v>0.75</v>
      </c>
      <c r="Z3" s="97" t="s">
        <v>223</v>
      </c>
      <c r="AA3" s="99"/>
      <c r="AB3" s="176">
        <v>0.76041666666666663</v>
      </c>
      <c r="AD3" s="69" t="s">
        <v>224</v>
      </c>
      <c r="AE3" s="61" t="s">
        <v>223</v>
      </c>
      <c r="AF3" s="72" t="s">
        <v>223</v>
      </c>
      <c r="AG3" s="72" t="s">
        <v>225</v>
      </c>
      <c r="AH3" s="177">
        <v>45601</v>
      </c>
      <c r="AI3" s="73"/>
    </row>
    <row r="4" spans="1:42" ht="23.8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2"/>
      <c r="L4" s="43"/>
      <c r="M4" s="43"/>
      <c r="N4" s="43"/>
      <c r="O4" s="43"/>
      <c r="Q4" s="59"/>
      <c r="Y4" s="113">
        <v>0.75</v>
      </c>
      <c r="Z4" s="98" t="s">
        <v>186</v>
      </c>
      <c r="AA4" s="99"/>
      <c r="AB4" s="178">
        <v>0.76041666666666663</v>
      </c>
      <c r="AD4" s="60" t="s">
        <v>224</v>
      </c>
      <c r="AE4" s="61" t="s">
        <v>223</v>
      </c>
      <c r="AF4" s="61" t="s">
        <v>186</v>
      </c>
      <c r="AG4" s="61" t="s">
        <v>225</v>
      </c>
      <c r="AH4" s="179">
        <v>45601</v>
      </c>
      <c r="AI4" s="66"/>
    </row>
    <row r="5" spans="1:42" ht="23.85" customHeight="1">
      <c r="A5" s="30"/>
      <c r="B5" s="26"/>
      <c r="C5" s="26"/>
      <c r="D5" s="26"/>
      <c r="E5" s="26"/>
      <c r="F5" s="26"/>
      <c r="G5" s="26"/>
      <c r="H5" s="26"/>
      <c r="I5" s="26"/>
      <c r="J5" s="43"/>
      <c r="K5" s="43"/>
      <c r="L5" s="43"/>
      <c r="M5" s="43"/>
      <c r="N5" s="43"/>
      <c r="O5" s="43"/>
      <c r="Q5" s="59"/>
      <c r="Y5" s="114">
        <v>0.75</v>
      </c>
      <c r="Z5" s="98" t="s">
        <v>226</v>
      </c>
      <c r="AA5" s="99"/>
      <c r="AB5" s="178">
        <v>0.76041666666666663</v>
      </c>
      <c r="AC5" s="31"/>
      <c r="AD5" s="60" t="s">
        <v>224</v>
      </c>
      <c r="AE5" s="61" t="s">
        <v>223</v>
      </c>
      <c r="AF5" s="61" t="s">
        <v>226</v>
      </c>
      <c r="AG5" s="61" t="s">
        <v>225</v>
      </c>
      <c r="AH5" s="179">
        <v>45601</v>
      </c>
      <c r="AI5" s="66"/>
    </row>
    <row r="6" spans="1:42" ht="23.85" customHeight="1">
      <c r="A6" s="224" t="s">
        <v>227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3"/>
      <c r="M6" s="43"/>
      <c r="N6" s="43"/>
      <c r="O6" s="43"/>
      <c r="Q6" s="59"/>
      <c r="Y6" s="114">
        <v>0.75</v>
      </c>
      <c r="Z6" s="98" t="s">
        <v>228</v>
      </c>
      <c r="AA6" s="99"/>
      <c r="AB6" s="178">
        <v>0.76041666666666663</v>
      </c>
      <c r="AC6" s="31"/>
      <c r="AD6" s="60" t="s">
        <v>224</v>
      </c>
      <c r="AE6" s="61" t="s">
        <v>223</v>
      </c>
      <c r="AF6" s="61" t="s">
        <v>228</v>
      </c>
      <c r="AG6" s="61" t="s">
        <v>225</v>
      </c>
      <c r="AH6" s="179">
        <v>45601</v>
      </c>
      <c r="AI6" s="66"/>
      <c r="AL6" s="89">
        <f>A3</f>
        <v>45802</v>
      </c>
    </row>
    <row r="7" spans="1:42" s="27" customFormat="1" ht="18.75">
      <c r="A7" s="38" t="s">
        <v>229</v>
      </c>
      <c r="B7" s="38" t="s">
        <v>218</v>
      </c>
      <c r="C7" s="38" t="s">
        <v>230</v>
      </c>
      <c r="D7" s="38" t="s">
        <v>231</v>
      </c>
      <c r="E7" s="38" t="s">
        <v>232</v>
      </c>
      <c r="F7" s="38" t="s">
        <v>233</v>
      </c>
      <c r="G7" s="38" t="s">
        <v>234</v>
      </c>
      <c r="H7" s="38" t="s">
        <v>235</v>
      </c>
      <c r="I7" s="39" t="s">
        <v>236</v>
      </c>
      <c r="J7" s="32" t="s">
        <v>237</v>
      </c>
      <c r="K7" s="32" t="s">
        <v>238</v>
      </c>
      <c r="L7" s="28"/>
      <c r="M7" s="28"/>
      <c r="N7" s="28"/>
      <c r="O7" s="28"/>
      <c r="Q7" s="59"/>
      <c r="R7" s="28"/>
      <c r="S7" s="28"/>
      <c r="T7" s="28"/>
      <c r="U7" s="28"/>
      <c r="V7" s="28"/>
      <c r="W7" s="28"/>
      <c r="X7" s="28"/>
      <c r="Y7" s="114">
        <v>0.75</v>
      </c>
      <c r="Z7" s="98" t="s">
        <v>239</v>
      </c>
      <c r="AA7" s="99"/>
      <c r="AB7" s="178">
        <v>0.76041666666666663</v>
      </c>
      <c r="AC7" s="28"/>
      <c r="AD7" s="62" t="s">
        <v>224</v>
      </c>
      <c r="AE7" s="61" t="s">
        <v>223</v>
      </c>
      <c r="AF7" s="61" t="s">
        <v>239</v>
      </c>
      <c r="AG7" s="61" t="s">
        <v>225</v>
      </c>
      <c r="AH7" s="179">
        <v>45601</v>
      </c>
      <c r="AI7" s="66"/>
      <c r="AL7" s="27" t="str">
        <f>TEXT(AM7,"mmdd")</f>
        <v>0525</v>
      </c>
      <c r="AM7" s="90">
        <f>AL6-(WEEKDAY(AL6,1)-1)</f>
        <v>45802</v>
      </c>
    </row>
    <row r="8" spans="1:42" ht="18.75">
      <c r="A8" s="28" t="str">
        <f t="shared" ref="A8:A71" si="0">IF(ISBLANK($I8), "", _xlfn.IFS($I8&gt;10, "DS", $I8&lt;=10, "未定"))</f>
        <v/>
      </c>
      <c r="E8" s="33"/>
      <c r="F8" s="33"/>
      <c r="G8" s="33"/>
      <c r="H8" s="33"/>
      <c r="I8" s="28"/>
      <c r="J8" s="173" t="str" cm="1">
        <f t="array" aca="1" ref="J8" ca="1">IFERROR(_xlfn.IFS(OR(AL8&lt;&gt;"",AP8&lt;&gt;""),"STCOアサイン済",OR(AN8&lt;&gt;"",AO8&lt;&gt;""),"CHAT中"),"")</f>
        <v/>
      </c>
      <c r="K8" s="28"/>
      <c r="L8" s="28"/>
      <c r="M8" s="28"/>
      <c r="N8" s="28"/>
      <c r="O8" s="28"/>
      <c r="Q8" s="59"/>
      <c r="Y8" s="114">
        <v>0.75</v>
      </c>
      <c r="Z8" s="98" t="s">
        <v>240</v>
      </c>
      <c r="AA8" s="99"/>
      <c r="AB8" s="178">
        <v>0.76041666666666663</v>
      </c>
      <c r="AD8" s="60" t="s">
        <v>224</v>
      </c>
      <c r="AE8" s="61" t="s">
        <v>223</v>
      </c>
      <c r="AF8" s="61" t="s">
        <v>240</v>
      </c>
      <c r="AG8" s="61" t="s">
        <v>225</v>
      </c>
      <c r="AH8" s="179">
        <v>45601</v>
      </c>
      <c r="AI8" s="66"/>
      <c r="AK8" s="28">
        <f>C8</f>
        <v>0</v>
      </c>
      <c r="AL8" s="28" t="str">
        <f ca="1">IF(SUMIF(INDIRECT($AL$7&amp;"!$AM$5:$AM$800"),C8&amp;$AL$6,INDIRECT($AL$7&amp;"!$AN$5:$AN$800"))&lt;=0,"")</f>
        <v/>
      </c>
      <c r="AM8" s="28" t="str">
        <f>IF(A8="","",A8)</f>
        <v/>
      </c>
      <c r="AN8" s="28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 ht="18.75">
      <c r="A9" s="28" t="str">
        <f t="shared" si="0"/>
        <v/>
      </c>
      <c r="E9" s="33"/>
      <c r="F9" s="33"/>
      <c r="G9" s="33"/>
      <c r="H9" s="33"/>
      <c r="I9" s="28"/>
      <c r="J9" s="173" t="str" cm="1">
        <f t="array" aca="1" ref="J9" ca="1">IFERROR(_xlfn.IFS(OR(AL9&lt;&gt;"",AP9&lt;&gt;""),"STCOアサイン済",OR(AN9&lt;&gt;"",AO9&lt;&gt;""),"CHAT中"),"")</f>
        <v/>
      </c>
      <c r="K9" s="28"/>
      <c r="L9" s="28"/>
      <c r="M9" s="28"/>
      <c r="N9" s="28"/>
      <c r="O9" s="28"/>
      <c r="Q9" s="59"/>
      <c r="Y9" s="114">
        <v>0.75</v>
      </c>
      <c r="Z9" s="98" t="s">
        <v>194</v>
      </c>
      <c r="AA9" s="99"/>
      <c r="AB9" s="178">
        <v>0.76041666666666663</v>
      </c>
      <c r="AD9" s="60" t="s">
        <v>224</v>
      </c>
      <c r="AE9" s="61" t="s">
        <v>223</v>
      </c>
      <c r="AF9" s="61" t="s">
        <v>194</v>
      </c>
      <c r="AG9" s="61" t="s">
        <v>225</v>
      </c>
      <c r="AH9" s="179">
        <v>45601</v>
      </c>
      <c r="AI9" s="66"/>
      <c r="AK9" s="28">
        <f t="shared" ref="AK9:AK72" si="1">C9</f>
        <v>0</v>
      </c>
      <c r="AL9" s="28" t="str">
        <f t="shared" ref="AL9:AL72" ca="1" si="2">IF(SUMIF(INDIRECT($AL$7&amp;"!$AM$5:$AM$800"),C9&amp;$AL$6,INDIRECT($AL$7&amp;"!$AN$5:$AN$800"))&lt;=0,"")</f>
        <v/>
      </c>
      <c r="AM9" s="28" t="str">
        <f t="shared" ref="AM9:AM72" si="3">IF(A9="","",A9)</f>
        <v/>
      </c>
      <c r="AN9" s="28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28" t="str">
        <f t="shared" si="0"/>
        <v/>
      </c>
      <c r="E10" s="33"/>
      <c r="F10" s="33"/>
      <c r="G10" s="33"/>
      <c r="H10" s="33"/>
      <c r="I10" s="28"/>
      <c r="J10" s="173" t="str" cm="1">
        <f t="array" aca="1" ref="J10" ca="1">IFERROR(_xlfn.IFS(OR(AL10&lt;&gt;"",AP10&lt;&gt;""),"STCOアサイン済",OR(AN10&lt;&gt;"",AO10&lt;&gt;""),"CHAT中"),"")</f>
        <v/>
      </c>
      <c r="K10" s="28"/>
      <c r="L10" s="28"/>
      <c r="M10" s="28"/>
      <c r="N10" s="28"/>
      <c r="O10" s="28"/>
      <c r="Q10" s="59"/>
      <c r="Y10" s="114"/>
      <c r="Z10" s="98"/>
      <c r="AA10" s="99"/>
      <c r="AB10" s="53"/>
      <c r="AD10" s="60"/>
      <c r="AE10" s="61"/>
      <c r="AF10" s="61"/>
      <c r="AG10" s="61"/>
      <c r="AH10" s="65"/>
      <c r="AI10" s="66"/>
      <c r="AK10" s="28">
        <f t="shared" si="1"/>
        <v>0</v>
      </c>
      <c r="AL10" s="28" t="str">
        <f t="shared" ca="1" si="2"/>
        <v/>
      </c>
      <c r="AM10" s="28" t="str">
        <f t="shared" si="3"/>
        <v/>
      </c>
      <c r="AN10" s="28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28" t="str">
        <f t="shared" si="0"/>
        <v/>
      </c>
      <c r="E11" s="33"/>
      <c r="F11" s="33"/>
      <c r="G11" s="33"/>
      <c r="H11" s="33"/>
      <c r="I11" s="28"/>
      <c r="J11" s="173" t="str" cm="1">
        <f t="array" aca="1" ref="J11" ca="1">IFERROR(_xlfn.IFS(OR(AL11&lt;&gt;"",AP11&lt;&gt;""),"STCOアサイン済",OR(AN11&lt;&gt;"",AO11&lt;&gt;""),"CHAT中"),"")</f>
        <v/>
      </c>
      <c r="K11" s="28"/>
      <c r="L11" s="28"/>
      <c r="M11" s="28"/>
      <c r="N11" s="28"/>
      <c r="O11" s="28"/>
      <c r="Q11" s="59"/>
      <c r="Y11" s="114"/>
      <c r="Z11" s="98"/>
      <c r="AA11" s="99"/>
      <c r="AB11" s="53"/>
      <c r="AC11" s="100"/>
      <c r="AD11" s="60"/>
      <c r="AE11" s="61"/>
      <c r="AF11" s="61"/>
      <c r="AG11" s="61"/>
      <c r="AH11" s="65"/>
      <c r="AI11" s="66"/>
      <c r="AK11" s="28">
        <f t="shared" si="1"/>
        <v>0</v>
      </c>
      <c r="AL11" s="28" t="str">
        <f t="shared" ca="1" si="2"/>
        <v/>
      </c>
      <c r="AM11" s="28" t="str">
        <f t="shared" si="3"/>
        <v/>
      </c>
      <c r="AN11" s="28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28" t="str">
        <f t="shared" si="0"/>
        <v/>
      </c>
      <c r="E12" s="33"/>
      <c r="F12" s="33"/>
      <c r="G12" s="33"/>
      <c r="H12" s="33"/>
      <c r="I12" s="28"/>
      <c r="J12" s="173" t="str" cm="1">
        <f t="array" aca="1" ref="J12" ca="1">IFERROR(_xlfn.IFS(OR(AL12&lt;&gt;"",AP12&lt;&gt;""),"STCOアサイン済",OR(AN12&lt;&gt;"",AO12&lt;&gt;""),"CHAT中"),"")</f>
        <v/>
      </c>
      <c r="K12" s="28"/>
      <c r="L12" s="28"/>
      <c r="M12" s="28"/>
      <c r="N12" s="28"/>
      <c r="O12" s="28"/>
      <c r="Q12" s="59"/>
      <c r="Y12" s="114"/>
      <c r="Z12" s="98"/>
      <c r="AA12" s="99"/>
      <c r="AB12" s="53"/>
      <c r="AD12" s="60"/>
      <c r="AE12" s="61"/>
      <c r="AF12" s="61"/>
      <c r="AG12" s="61"/>
      <c r="AH12" s="65"/>
      <c r="AI12" s="66"/>
      <c r="AK12" s="28">
        <f t="shared" si="1"/>
        <v>0</v>
      </c>
      <c r="AL12" s="28" t="str">
        <f t="shared" ca="1" si="2"/>
        <v/>
      </c>
      <c r="AM12" s="28" t="str">
        <f t="shared" si="3"/>
        <v/>
      </c>
      <c r="AN12" s="28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28" t="str">
        <f t="shared" si="0"/>
        <v/>
      </c>
      <c r="E13" s="33"/>
      <c r="F13" s="33"/>
      <c r="G13" s="33"/>
      <c r="H13" s="33"/>
      <c r="I13" s="28"/>
      <c r="J13" s="173" t="str" cm="1">
        <f t="array" aca="1" ref="J13" ca="1">IFERROR(_xlfn.IFS(OR(AL13&lt;&gt;"",AP13&lt;&gt;""),"STCOアサイン済",OR(AN13&lt;&gt;"",AO13&lt;&gt;""),"CHAT中"),"")</f>
        <v/>
      </c>
      <c r="K13" s="28"/>
      <c r="L13" s="28"/>
      <c r="M13" s="28"/>
      <c r="N13" s="28"/>
      <c r="O13" s="28"/>
      <c r="Q13" s="59"/>
      <c r="Y13" s="114"/>
      <c r="Z13" s="98"/>
      <c r="AA13" s="99"/>
      <c r="AB13" s="53"/>
      <c r="AD13" s="60"/>
      <c r="AE13" s="61"/>
      <c r="AF13" s="61"/>
      <c r="AG13" s="61"/>
      <c r="AH13" s="65"/>
      <c r="AI13" s="66"/>
      <c r="AK13" s="28">
        <f t="shared" si="1"/>
        <v>0</v>
      </c>
      <c r="AL13" s="28" t="str">
        <f t="shared" ca="1" si="2"/>
        <v/>
      </c>
      <c r="AM13" s="28" t="str">
        <f t="shared" si="3"/>
        <v/>
      </c>
      <c r="AN13" s="28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28" t="str">
        <f t="shared" si="0"/>
        <v/>
      </c>
      <c r="E14" s="33"/>
      <c r="F14" s="33"/>
      <c r="G14" s="33"/>
      <c r="H14" s="33"/>
      <c r="I14" s="28"/>
      <c r="J14" s="173" t="str" cm="1">
        <f t="array" aca="1" ref="J14" ca="1">IFERROR(_xlfn.IFS(OR(AL14&lt;&gt;"",AP14&lt;&gt;""),"STCOアサイン済",OR(AN14&lt;&gt;"",AO14&lt;&gt;""),"CHAT中"),"")</f>
        <v/>
      </c>
      <c r="K14" s="28"/>
      <c r="L14" s="28"/>
      <c r="M14" s="28"/>
      <c r="N14" s="28"/>
      <c r="O14" s="28"/>
      <c r="Q14" s="59"/>
      <c r="Y14" s="114"/>
      <c r="Z14" s="98"/>
      <c r="AA14" s="99"/>
      <c r="AB14" s="53"/>
      <c r="AD14" s="60"/>
      <c r="AE14" s="61"/>
      <c r="AF14" s="61"/>
      <c r="AG14" s="61"/>
      <c r="AH14" s="65"/>
      <c r="AI14" s="66"/>
      <c r="AK14" s="28">
        <f t="shared" si="1"/>
        <v>0</v>
      </c>
      <c r="AL14" s="28" t="str">
        <f t="shared" ca="1" si="2"/>
        <v/>
      </c>
      <c r="AM14" s="28" t="str">
        <f t="shared" si="3"/>
        <v/>
      </c>
      <c r="AN14" s="28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28" t="str">
        <f t="shared" si="0"/>
        <v/>
      </c>
      <c r="E15" s="33"/>
      <c r="F15" s="33"/>
      <c r="G15" s="33"/>
      <c r="H15" s="33"/>
      <c r="I15" s="28"/>
      <c r="J15" s="173" t="str" cm="1">
        <f t="array" aca="1" ref="J15" ca="1">IFERROR(_xlfn.IFS(OR(AL15&lt;&gt;"",AP15&lt;&gt;""),"STCOアサイン済",OR(AN15&lt;&gt;"",AO15&lt;&gt;""),"CHAT中"),"")</f>
        <v/>
      </c>
      <c r="K15" s="28"/>
      <c r="L15" s="28"/>
      <c r="M15" s="28"/>
      <c r="N15" s="28"/>
      <c r="O15" s="28"/>
      <c r="Q15" s="59"/>
      <c r="Y15" s="114"/>
      <c r="Z15" s="98"/>
      <c r="AA15" s="99"/>
      <c r="AB15" s="53"/>
      <c r="AD15" s="63"/>
      <c r="AE15" s="64"/>
      <c r="AF15" s="64"/>
      <c r="AG15" s="64"/>
      <c r="AH15" s="67"/>
      <c r="AI15" s="68"/>
      <c r="AK15" s="28">
        <f t="shared" si="1"/>
        <v>0</v>
      </c>
      <c r="AL15" s="28" t="str">
        <f t="shared" ca="1" si="2"/>
        <v/>
      </c>
      <c r="AM15" s="28" t="str">
        <f t="shared" si="3"/>
        <v/>
      </c>
      <c r="AN15" s="28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28" t="str">
        <f t="shared" si="0"/>
        <v/>
      </c>
      <c r="E16" s="33"/>
      <c r="F16" s="33"/>
      <c r="G16" s="33"/>
      <c r="H16" s="33"/>
      <c r="I16" s="28"/>
      <c r="J16" s="173" t="str" cm="1">
        <f t="array" aca="1" ref="J16" ca="1">IFERROR(_xlfn.IFS(OR(AL16&lt;&gt;"",AP16&lt;&gt;""),"STCOアサイン済",OR(AN16&lt;&gt;"",AO16&lt;&gt;""),"CHAT中"),"")</f>
        <v/>
      </c>
      <c r="K16" s="28"/>
      <c r="L16" s="225" t="s">
        <v>241</v>
      </c>
      <c r="M16" s="226" t="s">
        <v>242</v>
      </c>
      <c r="N16" s="28"/>
      <c r="O16" s="28"/>
      <c r="Q16" s="59"/>
      <c r="Y16" s="114"/>
      <c r="Z16" s="98"/>
      <c r="AA16" s="99"/>
      <c r="AB16" s="53"/>
      <c r="AD16" s="63"/>
      <c r="AE16" s="64"/>
      <c r="AF16" s="64"/>
      <c r="AG16" s="64"/>
      <c r="AH16" s="67"/>
      <c r="AI16" s="68"/>
      <c r="AK16" s="28">
        <f t="shared" si="1"/>
        <v>0</v>
      </c>
      <c r="AL16" s="28" t="str">
        <f t="shared" ca="1" si="2"/>
        <v/>
      </c>
      <c r="AM16" s="28" t="str">
        <f t="shared" si="3"/>
        <v/>
      </c>
      <c r="AN16" s="28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8.600000000000001" thickBot="1">
      <c r="A17" s="28" t="str">
        <f t="shared" si="0"/>
        <v/>
      </c>
      <c r="E17" s="33"/>
      <c r="F17" s="33"/>
      <c r="G17" s="33"/>
      <c r="H17" s="33"/>
      <c r="I17" s="28"/>
      <c r="J17" s="173" t="str" cm="1">
        <f t="array" aca="1" ref="J17" ca="1">IFERROR(_xlfn.IFS(OR(AL17&lt;&gt;"",AP17&lt;&gt;""),"STCOアサイン済",OR(AN17&lt;&gt;"",AO17&lt;&gt;""),"CHAT中"),"")</f>
        <v/>
      </c>
      <c r="K17" s="28"/>
      <c r="L17" s="225"/>
      <c r="M17" s="226"/>
      <c r="N17" s="28"/>
      <c r="O17" s="28"/>
      <c r="Q17" s="36"/>
      <c r="Y17" s="115"/>
      <c r="Z17" s="101"/>
      <c r="AA17" s="101"/>
      <c r="AB17" s="54"/>
      <c r="AD17" s="75"/>
      <c r="AE17" s="76"/>
      <c r="AF17" s="76"/>
      <c r="AG17" s="76"/>
      <c r="AH17" s="76"/>
      <c r="AI17" s="54"/>
      <c r="AK17" s="28">
        <f t="shared" si="1"/>
        <v>0</v>
      </c>
      <c r="AL17" s="28" t="str">
        <f t="shared" ca="1" si="2"/>
        <v/>
      </c>
      <c r="AM17" s="28" t="str">
        <f t="shared" si="3"/>
        <v/>
      </c>
      <c r="AN17" s="28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28" t="str">
        <f t="shared" si="0"/>
        <v/>
      </c>
      <c r="E18" s="33"/>
      <c r="F18" s="33"/>
      <c r="G18" s="33"/>
      <c r="H18" s="33"/>
      <c r="I18" s="28"/>
      <c r="J18" s="173" t="str" cm="1">
        <f t="array" aca="1" ref="J18" ca="1">IFERROR(_xlfn.IFS(OR(AL18&lt;&gt;"",AP18&lt;&gt;""),"STCOアサイン済",OR(AN18&lt;&gt;"",AO18&lt;&gt;""),"CHAT中"),"")</f>
        <v/>
      </c>
      <c r="K18" s="28"/>
      <c r="L18" s="225"/>
      <c r="M18" s="226"/>
      <c r="N18" s="28"/>
      <c r="O18" s="28"/>
      <c r="P18" s="35"/>
      <c r="AK18" s="28">
        <f t="shared" si="1"/>
        <v>0</v>
      </c>
      <c r="AL18" s="28" t="str">
        <f t="shared" ca="1" si="2"/>
        <v/>
      </c>
      <c r="AM18" s="28" t="str">
        <f t="shared" si="3"/>
        <v/>
      </c>
      <c r="AN18" s="28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28" t="str">
        <f t="shared" si="0"/>
        <v/>
      </c>
      <c r="B19" s="35"/>
      <c r="E19" s="33"/>
      <c r="F19" s="33"/>
      <c r="G19" s="33"/>
      <c r="H19" s="33"/>
      <c r="I19" s="28"/>
      <c r="J19" s="173" t="str" cm="1">
        <f t="array" aca="1" ref="J19" ca="1">IFERROR(_xlfn.IFS(OR(AL19&lt;&gt;"",AP19&lt;&gt;""),"STCOアサイン済",OR(AN19&lt;&gt;"",AO19&lt;&gt;""),"CHAT中"),"")</f>
        <v/>
      </c>
      <c r="K19" s="28"/>
      <c r="L19" s="225"/>
      <c r="M19" s="226"/>
      <c r="N19" s="28"/>
      <c r="O19" s="28"/>
      <c r="P19" s="35"/>
      <c r="S19" s="37"/>
      <c r="T19" s="34"/>
      <c r="U19" s="34"/>
      <c r="AK19" s="28">
        <f t="shared" si="1"/>
        <v>0</v>
      </c>
      <c r="AL19" s="28" t="str">
        <f t="shared" ca="1" si="2"/>
        <v/>
      </c>
      <c r="AM19" s="28" t="str">
        <f t="shared" si="3"/>
        <v/>
      </c>
      <c r="AN19" s="28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28" t="str">
        <f t="shared" si="0"/>
        <v/>
      </c>
      <c r="B20" s="35"/>
      <c r="E20" s="33"/>
      <c r="F20" s="33"/>
      <c r="G20" s="33"/>
      <c r="H20" s="33"/>
      <c r="I20" s="28"/>
      <c r="J20" s="173" t="str" cm="1">
        <f t="array" aca="1" ref="J20" ca="1">IFERROR(_xlfn.IFS(OR(AL20&lt;&gt;"",AP20&lt;&gt;""),"STCOアサイン済",OR(AN20&lt;&gt;"",AO20&lt;&gt;""),"CHAT中"),"")</f>
        <v/>
      </c>
      <c r="K20" s="28"/>
      <c r="L20" s="225"/>
      <c r="M20" s="226"/>
      <c r="N20" s="28"/>
      <c r="O20" s="28"/>
      <c r="Q20" s="227" t="s">
        <v>243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28">
        <f t="shared" si="1"/>
        <v>0</v>
      </c>
      <c r="AL20" s="28" t="str">
        <f t="shared" ca="1" si="2"/>
        <v/>
      </c>
      <c r="AM20" s="28" t="str">
        <f t="shared" si="3"/>
        <v/>
      </c>
      <c r="AN20" s="28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20.100000000000001">
      <c r="A21" s="28" t="str">
        <f t="shared" si="0"/>
        <v/>
      </c>
      <c r="B21" s="35"/>
      <c r="E21" s="33"/>
      <c r="F21" s="33"/>
      <c r="G21" s="33"/>
      <c r="H21" s="33"/>
      <c r="I21" s="28"/>
      <c r="J21" s="173" t="str" cm="1">
        <f t="array" aca="1" ref="J21" ca="1">IFERROR(_xlfn.IFS(OR(AL21&lt;&gt;"",AP21&lt;&gt;""),"STCOアサイン済",OR(AN21&lt;&gt;"",AO21&lt;&gt;""),"CHAT中"),"")</f>
        <v/>
      </c>
      <c r="K21" s="28"/>
      <c r="L21" s="225"/>
      <c r="M21" s="226"/>
      <c r="N21" s="28"/>
      <c r="O21" s="28"/>
      <c r="Q21" s="228" t="s">
        <v>244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245</v>
      </c>
      <c r="AE21" s="229"/>
      <c r="AF21" s="229"/>
      <c r="AG21" s="229"/>
      <c r="AH21" s="229"/>
      <c r="AI21" s="229"/>
      <c r="AK21" s="28">
        <f t="shared" si="1"/>
        <v>0</v>
      </c>
      <c r="AL21" s="28" t="str">
        <f t="shared" ca="1" si="2"/>
        <v/>
      </c>
      <c r="AM21" s="28" t="str">
        <f t="shared" si="3"/>
        <v/>
      </c>
      <c r="AN21" s="28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20.100000000000001" customHeight="1">
      <c r="A22" s="28" t="str">
        <f t="shared" si="0"/>
        <v/>
      </c>
      <c r="E22" s="33"/>
      <c r="F22" s="33"/>
      <c r="G22" s="33"/>
      <c r="H22" s="33"/>
      <c r="I22" s="28"/>
      <c r="J22" s="173" t="str" cm="1">
        <f t="array" aca="1" ref="J22" ca="1">IFERROR(_xlfn.IFS(OR(AL22&lt;&gt;"",AP22&lt;&gt;""),"STCOアサイン済",OR(AN22&lt;&gt;"",AO22&lt;&gt;""),"CHAT中"),"")</f>
        <v/>
      </c>
      <c r="K22" s="28"/>
      <c r="L22" s="225"/>
      <c r="M22" s="226"/>
      <c r="N22" s="28"/>
      <c r="O22" s="28"/>
      <c r="Q22" s="102"/>
      <c r="R22" s="78"/>
      <c r="S22" s="78"/>
      <c r="T22" s="78"/>
      <c r="U22" s="78"/>
      <c r="V22" s="78"/>
      <c r="W22" s="78"/>
      <c r="X22" s="78"/>
      <c r="Y22" s="116"/>
      <c r="Z22" s="78"/>
      <c r="AA22" s="78"/>
      <c r="AB22" s="78"/>
      <c r="AC22" s="78"/>
      <c r="AD22" s="103" t="s">
        <v>246</v>
      </c>
      <c r="AE22" s="87"/>
      <c r="AF22" s="87"/>
      <c r="AG22" s="87"/>
      <c r="AH22" s="87"/>
      <c r="AI22" s="87"/>
      <c r="AK22" s="28">
        <f t="shared" si="1"/>
        <v>0</v>
      </c>
      <c r="AL22" s="28" t="str">
        <f t="shared" ca="1" si="2"/>
        <v/>
      </c>
      <c r="AM22" s="28" t="str">
        <f t="shared" si="3"/>
        <v/>
      </c>
      <c r="AN22" s="28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28" t="str">
        <f t="shared" si="0"/>
        <v/>
      </c>
      <c r="E23" s="33"/>
      <c r="F23" s="33"/>
      <c r="G23" s="33"/>
      <c r="H23" s="33"/>
      <c r="I23" s="28"/>
      <c r="J23" s="173" t="str" cm="1">
        <f t="array" aca="1" ref="J23" ca="1">IFERROR(_xlfn.IFS(OR(AL23&lt;&gt;"",AP23&lt;&gt;""),"STCOアサイン済",OR(AN23&lt;&gt;"",AO23&lt;&gt;""),"CHAT中"),"")</f>
        <v/>
      </c>
      <c r="K23" s="28"/>
      <c r="L23" s="225"/>
      <c r="M23" s="226"/>
      <c r="N23" s="28"/>
      <c r="O23" s="28"/>
      <c r="Q23" s="102" t="s">
        <v>247</v>
      </c>
      <c r="R23" s="78"/>
      <c r="S23" s="78"/>
      <c r="T23" s="78"/>
      <c r="U23" s="78"/>
      <c r="V23" s="78"/>
      <c r="W23" s="78"/>
      <c r="X23" s="78"/>
      <c r="Y23" s="116"/>
      <c r="Z23" s="78"/>
      <c r="AA23" s="78"/>
      <c r="AB23" s="78"/>
      <c r="AC23" s="78"/>
      <c r="AD23" s="103" t="s">
        <v>248</v>
      </c>
      <c r="AE23" s="87"/>
      <c r="AF23" s="87"/>
      <c r="AG23" s="87"/>
      <c r="AH23" s="87"/>
      <c r="AI23" s="87"/>
      <c r="AK23" s="28">
        <f t="shared" si="1"/>
        <v>0</v>
      </c>
      <c r="AL23" s="28" t="str">
        <f t="shared" ca="1" si="2"/>
        <v/>
      </c>
      <c r="AM23" s="28" t="str">
        <f t="shared" si="3"/>
        <v/>
      </c>
      <c r="AN23" s="28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28" t="str">
        <f t="shared" si="0"/>
        <v/>
      </c>
      <c r="E24" s="33"/>
      <c r="F24" s="33"/>
      <c r="G24" s="33"/>
      <c r="H24" s="33"/>
      <c r="I24" s="28"/>
      <c r="J24" s="173" t="str" cm="1">
        <f t="array" aca="1" ref="J24" ca="1">IFERROR(_xlfn.IFS(OR(AL24&lt;&gt;"",AP24&lt;&gt;""),"STCOアサイン済",OR(AN24&lt;&gt;"",AO24&lt;&gt;""),"CHAT中"),"")</f>
        <v/>
      </c>
      <c r="K24" s="28"/>
      <c r="L24" s="225"/>
      <c r="M24" s="226"/>
      <c r="N24" s="28"/>
      <c r="O24" s="28"/>
      <c r="Q24" s="104" t="s">
        <v>249</v>
      </c>
      <c r="R24" s="78"/>
      <c r="S24" s="78"/>
      <c r="T24" s="78"/>
      <c r="U24" s="78"/>
      <c r="V24" s="78"/>
      <c r="W24" s="78"/>
      <c r="X24" s="78"/>
      <c r="Y24" s="116"/>
      <c r="Z24" s="78"/>
      <c r="AA24" s="78"/>
      <c r="AB24" s="78"/>
      <c r="AC24" s="78"/>
      <c r="AD24" s="105"/>
      <c r="AE24" s="87"/>
      <c r="AF24" s="87"/>
      <c r="AG24" s="87"/>
      <c r="AH24" s="87"/>
      <c r="AI24" s="87"/>
      <c r="AK24" s="28">
        <f t="shared" si="1"/>
        <v>0</v>
      </c>
      <c r="AL24" s="28" t="str">
        <f t="shared" ca="1" si="2"/>
        <v/>
      </c>
      <c r="AM24" s="28" t="str">
        <f t="shared" si="3"/>
        <v/>
      </c>
      <c r="AN24" s="28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28" t="str">
        <f t="shared" si="0"/>
        <v/>
      </c>
      <c r="E25" s="33"/>
      <c r="F25" s="33"/>
      <c r="G25" s="33"/>
      <c r="H25" s="33"/>
      <c r="I25" s="28"/>
      <c r="J25" s="173" t="str" cm="1">
        <f t="array" aca="1" ref="J25" ca="1">IFERROR(_xlfn.IFS(OR(AL25&lt;&gt;"",AP25&lt;&gt;""),"STCOアサイン済",OR(AN25&lt;&gt;"",AO25&lt;&gt;""),"CHAT中"),"")</f>
        <v/>
      </c>
      <c r="K25" s="28"/>
      <c r="L25" s="225"/>
      <c r="M25" s="226"/>
      <c r="N25" s="28"/>
      <c r="O25" s="28"/>
      <c r="Q25" s="104" t="s">
        <v>250</v>
      </c>
      <c r="R25" s="78"/>
      <c r="S25" s="78"/>
      <c r="T25" s="78"/>
      <c r="U25" s="78"/>
      <c r="V25" s="78"/>
      <c r="W25" s="78"/>
      <c r="X25" s="78"/>
      <c r="Y25" s="116"/>
      <c r="Z25" s="78"/>
      <c r="AA25" s="78"/>
      <c r="AB25" s="78"/>
      <c r="AC25" s="78"/>
      <c r="AD25" s="105"/>
      <c r="AE25" s="87"/>
      <c r="AF25" s="87"/>
      <c r="AG25" s="87"/>
      <c r="AH25" s="87"/>
      <c r="AI25" s="87"/>
      <c r="AK25" s="28">
        <f t="shared" si="1"/>
        <v>0</v>
      </c>
      <c r="AL25" s="28" t="str">
        <f t="shared" ca="1" si="2"/>
        <v/>
      </c>
      <c r="AM25" s="28" t="str">
        <f t="shared" si="3"/>
        <v/>
      </c>
      <c r="AN25" s="28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28" t="str">
        <f t="shared" si="0"/>
        <v/>
      </c>
      <c r="E26" s="33"/>
      <c r="F26" s="33"/>
      <c r="G26" s="33"/>
      <c r="H26" s="33"/>
      <c r="I26" s="28"/>
      <c r="J26" s="173" t="str" cm="1">
        <f t="array" aca="1" ref="J26" ca="1">IFERROR(_xlfn.IFS(OR(AL26&lt;&gt;"",AP26&lt;&gt;""),"STCOアサイン済",OR(AN26&lt;&gt;"",AO26&lt;&gt;""),"CHAT中"),"")</f>
        <v/>
      </c>
      <c r="K26" s="28"/>
      <c r="L26" s="225"/>
      <c r="M26" s="226"/>
      <c r="N26" s="28"/>
      <c r="O26" s="28"/>
      <c r="Q26" s="104" t="s">
        <v>251</v>
      </c>
      <c r="R26" s="78"/>
      <c r="S26" s="78"/>
      <c r="T26" s="78"/>
      <c r="U26" s="78"/>
      <c r="V26" s="78"/>
      <c r="W26" s="78"/>
      <c r="X26" s="78"/>
      <c r="Y26" s="116"/>
      <c r="Z26" s="78"/>
      <c r="AA26" s="78"/>
      <c r="AB26" s="78"/>
      <c r="AC26" s="78"/>
      <c r="AD26" s="105"/>
      <c r="AE26" s="87"/>
      <c r="AF26" s="87"/>
      <c r="AG26" s="87"/>
      <c r="AH26" s="87"/>
      <c r="AI26" s="87"/>
      <c r="AK26" s="28">
        <f t="shared" si="1"/>
        <v>0</v>
      </c>
      <c r="AL26" s="28" t="str">
        <f t="shared" ca="1" si="2"/>
        <v/>
      </c>
      <c r="AM26" s="28" t="str">
        <f t="shared" si="3"/>
        <v/>
      </c>
      <c r="AN26" s="28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28" t="str">
        <f t="shared" si="0"/>
        <v/>
      </c>
      <c r="E27" s="33"/>
      <c r="F27" s="33"/>
      <c r="G27" s="33"/>
      <c r="H27" s="33"/>
      <c r="I27" s="28"/>
      <c r="J27" s="173" t="str" cm="1">
        <f t="array" aca="1" ref="J27" ca="1">IFERROR(_xlfn.IFS(OR(AL27&lt;&gt;"",AP27&lt;&gt;""),"STCOアサイン済",OR(AN27&lt;&gt;"",AO27&lt;&gt;""),"CHAT中"),"")</f>
        <v/>
      </c>
      <c r="K27" s="28"/>
      <c r="L27" s="225"/>
      <c r="M27" s="226"/>
      <c r="N27" s="28"/>
      <c r="O27" s="28"/>
      <c r="Q27" s="104" t="s">
        <v>252</v>
      </c>
      <c r="R27" s="78"/>
      <c r="S27" s="78"/>
      <c r="T27" s="78"/>
      <c r="U27" s="78"/>
      <c r="V27" s="78"/>
      <c r="W27" s="78"/>
      <c r="X27" s="78"/>
      <c r="Y27" s="116"/>
      <c r="Z27" s="78"/>
      <c r="AA27" s="78"/>
      <c r="AB27" s="78"/>
      <c r="AC27" s="78"/>
      <c r="AD27" s="105"/>
      <c r="AE27" s="87"/>
      <c r="AF27" s="87"/>
      <c r="AG27" s="87"/>
      <c r="AH27" s="87"/>
      <c r="AI27" s="87"/>
      <c r="AK27" s="28">
        <f t="shared" si="1"/>
        <v>0</v>
      </c>
      <c r="AL27" s="28" t="str">
        <f t="shared" ca="1" si="2"/>
        <v/>
      </c>
      <c r="AM27" s="28" t="str">
        <f t="shared" si="3"/>
        <v/>
      </c>
      <c r="AN27" s="28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28" t="str">
        <f t="shared" si="0"/>
        <v/>
      </c>
      <c r="E28" s="33"/>
      <c r="F28" s="33"/>
      <c r="G28" s="33"/>
      <c r="H28" s="33"/>
      <c r="I28" s="28"/>
      <c r="J28" s="173" t="str" cm="1">
        <f t="array" aca="1" ref="J28" ca="1">IFERROR(_xlfn.IFS(OR(AL28&lt;&gt;"",AP28&lt;&gt;""),"STCOアサイン済",OR(AN28&lt;&gt;"",AO28&lt;&gt;""),"CHAT中"),"")</f>
        <v/>
      </c>
      <c r="K28" s="28"/>
      <c r="L28" s="225"/>
      <c r="M28" s="226"/>
      <c r="N28" s="28"/>
      <c r="O28" s="28"/>
      <c r="Q28" s="104" t="s">
        <v>253</v>
      </c>
      <c r="R28" s="78"/>
      <c r="S28" s="78"/>
      <c r="T28" s="78"/>
      <c r="U28" s="78"/>
      <c r="V28" s="78"/>
      <c r="W28" s="78"/>
      <c r="X28" s="78"/>
      <c r="Y28" s="116"/>
      <c r="Z28" s="78"/>
      <c r="AA28" s="78"/>
      <c r="AB28" s="78"/>
      <c r="AC28" s="78"/>
      <c r="AD28" s="105"/>
      <c r="AE28" s="87"/>
      <c r="AF28" s="87"/>
      <c r="AG28" s="87"/>
      <c r="AH28" s="87"/>
      <c r="AI28" s="87"/>
      <c r="AK28" s="28">
        <f t="shared" si="1"/>
        <v>0</v>
      </c>
      <c r="AL28" s="28" t="str">
        <f t="shared" ca="1" si="2"/>
        <v/>
      </c>
      <c r="AM28" s="28" t="str">
        <f t="shared" si="3"/>
        <v/>
      </c>
      <c r="AN28" s="28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8.600000000000001" thickBot="1">
      <c r="A29" s="28" t="str">
        <f t="shared" si="0"/>
        <v/>
      </c>
      <c r="E29" s="33"/>
      <c r="F29" s="33"/>
      <c r="G29" s="33"/>
      <c r="H29" s="33"/>
      <c r="I29" s="28"/>
      <c r="J29" s="173" t="str" cm="1">
        <f t="array" aca="1" ref="J29" ca="1">IFERROR(_xlfn.IFS(OR(AL29&lt;&gt;"",AP29&lt;&gt;""),"STCOアサイン済",OR(AN29&lt;&gt;"",AO29&lt;&gt;""),"CHAT中"),"")</f>
        <v/>
      </c>
      <c r="K29" s="28"/>
      <c r="L29" s="225"/>
      <c r="M29" s="223" t="s">
        <v>254</v>
      </c>
      <c r="N29" s="28"/>
      <c r="O29" s="28"/>
      <c r="Q29" s="104" t="s">
        <v>255</v>
      </c>
      <c r="R29" s="78"/>
      <c r="S29" s="78"/>
      <c r="T29" s="78"/>
      <c r="U29" s="78"/>
      <c r="V29" s="78"/>
      <c r="W29" s="78"/>
      <c r="X29" s="78"/>
      <c r="Y29" s="116"/>
      <c r="Z29" s="78"/>
      <c r="AA29" s="78"/>
      <c r="AB29" s="78"/>
      <c r="AC29" s="78"/>
      <c r="AD29" s="105"/>
      <c r="AE29" s="87"/>
      <c r="AF29" s="87"/>
      <c r="AG29" s="87"/>
      <c r="AH29" s="87"/>
      <c r="AI29" s="87"/>
      <c r="AK29" s="28">
        <f t="shared" si="1"/>
        <v>0</v>
      </c>
      <c r="AL29" s="28" t="str">
        <f t="shared" ca="1" si="2"/>
        <v/>
      </c>
      <c r="AM29" s="28" t="str">
        <f t="shared" si="3"/>
        <v/>
      </c>
      <c r="AN29" s="28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18.95" thickTop="1" thickBot="1">
      <c r="A30" s="28" t="str">
        <f t="shared" si="0"/>
        <v/>
      </c>
      <c r="F30" s="33"/>
      <c r="G30" s="33"/>
      <c r="H30" s="33"/>
      <c r="I30" s="28"/>
      <c r="J30" s="173" t="str" cm="1">
        <f t="array" aca="1" ref="J30" ca="1">IFERROR(_xlfn.IFS(OR(AL30&lt;&gt;"",AP30&lt;&gt;""),"STCOアサイン済",OR(AN30&lt;&gt;"",AO30&lt;&gt;""),"CHAT中"),"")</f>
        <v/>
      </c>
      <c r="K30" s="28"/>
      <c r="L30" s="225"/>
      <c r="M30" s="223"/>
      <c r="N30" s="28"/>
      <c r="O30" s="28"/>
      <c r="Q30" s="104" t="s">
        <v>256</v>
      </c>
      <c r="R30" s="78"/>
      <c r="S30" s="78"/>
      <c r="T30" s="78"/>
      <c r="U30" s="78"/>
      <c r="V30" s="78"/>
      <c r="W30" s="78"/>
      <c r="X30" s="78"/>
      <c r="Y30" s="116"/>
      <c r="Z30" s="78"/>
      <c r="AA30" s="78"/>
      <c r="AB30" s="78"/>
      <c r="AC30" s="78"/>
      <c r="AD30" s="105"/>
      <c r="AE30" s="87"/>
      <c r="AF30" s="87"/>
      <c r="AG30" s="87"/>
      <c r="AH30" s="87"/>
      <c r="AI30" s="87"/>
      <c r="AK30" s="28">
        <f t="shared" si="1"/>
        <v>0</v>
      </c>
      <c r="AL30" s="28" t="str">
        <f t="shared" ca="1" si="2"/>
        <v/>
      </c>
      <c r="AM30" s="28" t="str">
        <f t="shared" si="3"/>
        <v/>
      </c>
      <c r="AN30" s="28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18.95" thickTop="1" thickBot="1">
      <c r="A31" s="28" t="str">
        <f t="shared" si="0"/>
        <v/>
      </c>
      <c r="F31" s="33"/>
      <c r="G31" s="33"/>
      <c r="H31" s="33"/>
      <c r="I31" s="28"/>
      <c r="J31" s="173" t="str" cm="1">
        <f t="array" aca="1" ref="J31" ca="1">IFERROR(_xlfn.IFS(OR(AL31&lt;&gt;"",AP31&lt;&gt;""),"STCOアサイン済",OR(AN31&lt;&gt;"",AO31&lt;&gt;""),"CHAT中"),"")</f>
        <v/>
      </c>
      <c r="K31" s="28"/>
      <c r="L31" s="225"/>
      <c r="M31" s="223"/>
      <c r="N31" s="28"/>
      <c r="O31" s="28"/>
      <c r="Q31" s="230" t="s">
        <v>257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28">
        <f t="shared" si="1"/>
        <v>0</v>
      </c>
      <c r="AL31" s="28" t="str">
        <f t="shared" ca="1" si="2"/>
        <v/>
      </c>
      <c r="AM31" s="28" t="str">
        <f t="shared" si="3"/>
        <v/>
      </c>
      <c r="AN31" s="28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8.600000000000001" thickTop="1">
      <c r="A32" s="28" t="str">
        <f t="shared" si="0"/>
        <v/>
      </c>
      <c r="F32" s="33"/>
      <c r="G32" s="33"/>
      <c r="H32" s="33"/>
      <c r="I32" s="28"/>
      <c r="J32" s="173" t="str" cm="1">
        <f t="array" aca="1" ref="J32" ca="1">IFERROR(_xlfn.IFS(OR(AL32&lt;&gt;"",AP32&lt;&gt;""),"STCOアサイン済",OR(AN32&lt;&gt;"",AO32&lt;&gt;""),"CHAT中"),"")</f>
        <v/>
      </c>
      <c r="K32" s="28"/>
      <c r="L32" s="225"/>
      <c r="M32" s="231" t="s">
        <v>258</v>
      </c>
      <c r="N32" s="28"/>
      <c r="O32" s="28"/>
      <c r="Q32" s="233" t="s">
        <v>259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28">
        <f t="shared" si="1"/>
        <v>0</v>
      </c>
      <c r="AL32" s="28" t="str">
        <f t="shared" ca="1" si="2"/>
        <v/>
      </c>
      <c r="AM32" s="28" t="str">
        <f t="shared" si="3"/>
        <v/>
      </c>
      <c r="AN32" s="28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28" t="str">
        <f t="shared" si="0"/>
        <v/>
      </c>
      <c r="F33" s="33"/>
      <c r="G33" s="33"/>
      <c r="H33" s="33"/>
      <c r="I33" s="28"/>
      <c r="J33" s="173" t="str" cm="1">
        <f t="array" aca="1" ref="J33" ca="1">IFERROR(_xlfn.IFS(OR(AL33&lt;&gt;"",AP33&lt;&gt;""),"STCOアサイン済",OR(AN33&lt;&gt;"",AO33&lt;&gt;""),"CHAT中"),"")</f>
        <v/>
      </c>
      <c r="K33" s="28"/>
      <c r="L33" s="225"/>
      <c r="M33" s="232"/>
      <c r="N33" s="28"/>
      <c r="O33" s="28"/>
      <c r="Q33" s="102" t="s">
        <v>260</v>
      </c>
      <c r="R33" s="78"/>
      <c r="S33" s="78"/>
      <c r="T33" s="78"/>
      <c r="U33" s="78"/>
      <c r="V33" s="78"/>
      <c r="W33" s="78"/>
      <c r="X33" s="78"/>
      <c r="Y33" s="116"/>
      <c r="Z33" s="78"/>
      <c r="AA33" s="78"/>
      <c r="AB33" s="78"/>
      <c r="AC33" s="78"/>
      <c r="AD33" s="105" t="s">
        <v>261</v>
      </c>
      <c r="AF33" s="87"/>
      <c r="AG33" s="87"/>
      <c r="AH33" s="87"/>
      <c r="AI33" s="87"/>
      <c r="AK33" s="28">
        <f t="shared" si="1"/>
        <v>0</v>
      </c>
      <c r="AL33" s="28" t="str">
        <f t="shared" ca="1" si="2"/>
        <v/>
      </c>
      <c r="AM33" s="28" t="str">
        <f t="shared" si="3"/>
        <v/>
      </c>
      <c r="AN33" s="28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28" t="str">
        <f t="shared" si="0"/>
        <v/>
      </c>
      <c r="F34" s="33"/>
      <c r="G34" s="33"/>
      <c r="I34" s="28"/>
      <c r="J34" s="173" t="str" cm="1">
        <f t="array" aca="1" ref="J34" ca="1">IFERROR(_xlfn.IFS(OR(AL34&lt;&gt;"",AP34&lt;&gt;""),"STCOアサイン済",OR(AN34&lt;&gt;"",AO34&lt;&gt;""),"CHAT中"),"")</f>
        <v/>
      </c>
      <c r="K34" s="28"/>
      <c r="L34" s="225"/>
      <c r="M34" s="232"/>
      <c r="N34" s="28"/>
      <c r="O34" s="28"/>
      <c r="Q34" s="102" t="s">
        <v>262</v>
      </c>
      <c r="R34" s="78"/>
      <c r="S34" s="78"/>
      <c r="T34" s="78"/>
      <c r="U34" s="78"/>
      <c r="V34" s="78"/>
      <c r="W34" s="78"/>
      <c r="X34" s="78"/>
      <c r="Y34" s="116"/>
      <c r="Z34" s="78"/>
      <c r="AA34" s="78"/>
      <c r="AB34" s="78"/>
      <c r="AC34" s="78"/>
      <c r="AD34" s="103" t="s">
        <v>263</v>
      </c>
      <c r="AF34" s="87"/>
      <c r="AG34" s="87"/>
      <c r="AH34" s="87"/>
      <c r="AI34" s="87"/>
      <c r="AK34" s="28">
        <f t="shared" si="1"/>
        <v>0</v>
      </c>
      <c r="AL34" s="28" t="str">
        <f t="shared" ca="1" si="2"/>
        <v/>
      </c>
      <c r="AM34" s="28" t="str">
        <f t="shared" si="3"/>
        <v/>
      </c>
      <c r="AN34" s="28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28" t="str">
        <f t="shared" si="0"/>
        <v/>
      </c>
      <c r="C35" s="40"/>
      <c r="F35" s="33"/>
      <c r="G35" s="33"/>
      <c r="I35" s="28"/>
      <c r="J35" s="173" t="str" cm="1">
        <f t="array" aca="1" ref="J35" ca="1">IFERROR(_xlfn.IFS(OR(AL35&lt;&gt;"",AP35&lt;&gt;""),"STCOアサイン済",OR(AN35&lt;&gt;"",AO35&lt;&gt;""),"CHAT中"),"")</f>
        <v/>
      </c>
      <c r="K35" s="28"/>
      <c r="L35" s="225"/>
      <c r="M35" s="232"/>
      <c r="N35" s="28"/>
      <c r="O35" s="28"/>
      <c r="Q35" s="102" t="s">
        <v>264</v>
      </c>
      <c r="R35" s="78"/>
      <c r="S35" s="78"/>
      <c r="T35" s="78"/>
      <c r="U35" s="78"/>
      <c r="V35" s="78"/>
      <c r="W35" s="78"/>
      <c r="X35" s="78"/>
      <c r="Y35" s="116"/>
      <c r="Z35" s="78"/>
      <c r="AA35" s="78"/>
      <c r="AB35" s="78"/>
      <c r="AC35" s="78"/>
      <c r="AD35" s="103" t="s">
        <v>265</v>
      </c>
      <c r="AF35" s="87"/>
      <c r="AG35" s="87"/>
      <c r="AH35" s="87"/>
      <c r="AI35" s="87"/>
      <c r="AK35" s="28">
        <f t="shared" si="1"/>
        <v>0</v>
      </c>
      <c r="AL35" s="28" t="str">
        <f t="shared" ca="1" si="2"/>
        <v/>
      </c>
      <c r="AM35" s="28" t="str">
        <f t="shared" si="3"/>
        <v/>
      </c>
      <c r="AN35" s="28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28" t="str">
        <f t="shared" si="0"/>
        <v/>
      </c>
      <c r="F36" s="33"/>
      <c r="G36" s="33"/>
      <c r="I36" s="28"/>
      <c r="J36" s="173" t="str" cm="1">
        <f t="array" aca="1" ref="J36" ca="1">IFERROR(_xlfn.IFS(OR(AL36&lt;&gt;"",AP36&lt;&gt;""),"STCOアサイン済",OR(AN36&lt;&gt;"",AO36&lt;&gt;""),"CHAT中"),"")</f>
        <v/>
      </c>
      <c r="K36" s="28"/>
      <c r="L36" s="225"/>
      <c r="M36" s="232"/>
      <c r="N36" s="28"/>
      <c r="O36" s="28"/>
      <c r="Q36" s="84" t="s">
        <v>266</v>
      </c>
      <c r="R36" s="78"/>
      <c r="S36" s="78"/>
      <c r="T36" s="78"/>
      <c r="U36" s="78"/>
      <c r="V36" s="78"/>
      <c r="W36" s="78"/>
      <c r="X36" s="78"/>
      <c r="Y36" s="116"/>
      <c r="Z36" s="78"/>
      <c r="AA36" s="78"/>
      <c r="AB36" s="78"/>
      <c r="AC36" s="78"/>
      <c r="AD36" s="103" t="s">
        <v>267</v>
      </c>
      <c r="AF36" s="87"/>
      <c r="AG36" s="87"/>
      <c r="AH36" s="87"/>
      <c r="AI36" s="87"/>
      <c r="AK36" s="28">
        <f t="shared" si="1"/>
        <v>0</v>
      </c>
      <c r="AL36" s="28" t="str">
        <f t="shared" ca="1" si="2"/>
        <v/>
      </c>
      <c r="AM36" s="28" t="str">
        <f t="shared" si="3"/>
        <v/>
      </c>
      <c r="AN36" s="28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28" t="str">
        <f t="shared" si="0"/>
        <v/>
      </c>
      <c r="F37" s="33"/>
      <c r="G37" s="33"/>
      <c r="I37" s="28"/>
      <c r="J37" s="173" t="str" cm="1">
        <f t="array" aca="1" ref="J37" ca="1">IFERROR(_xlfn.IFS(OR(AL37&lt;&gt;"",AP37&lt;&gt;""),"STCOアサイン済",OR(AN37&lt;&gt;"",AO37&lt;&gt;""),"CHAT中"),"")</f>
        <v/>
      </c>
      <c r="K37" s="28"/>
      <c r="L37" s="225"/>
      <c r="M37" s="232"/>
      <c r="N37" s="28"/>
      <c r="O37" s="28"/>
      <c r="Q37" s="106" t="s">
        <v>268</v>
      </c>
      <c r="R37" s="78"/>
      <c r="S37" s="78"/>
      <c r="T37" s="78"/>
      <c r="U37" s="78"/>
      <c r="V37" s="78"/>
      <c r="W37" s="78"/>
      <c r="X37" s="78"/>
      <c r="Y37" s="116"/>
      <c r="Z37" s="78"/>
      <c r="AA37" s="78"/>
      <c r="AB37" s="78"/>
      <c r="AC37" s="78"/>
      <c r="AD37" s="103" t="s">
        <v>269</v>
      </c>
      <c r="AF37" s="87"/>
      <c r="AG37" s="87"/>
      <c r="AH37" s="87"/>
      <c r="AI37" s="87"/>
      <c r="AK37" s="28">
        <f t="shared" si="1"/>
        <v>0</v>
      </c>
      <c r="AL37" s="28" t="str">
        <f t="shared" ca="1" si="2"/>
        <v/>
      </c>
      <c r="AM37" s="28" t="str">
        <f t="shared" si="3"/>
        <v/>
      </c>
      <c r="AN37" s="28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28" t="str">
        <f t="shared" si="0"/>
        <v/>
      </c>
      <c r="F38" s="33"/>
      <c r="G38" s="33"/>
      <c r="I38" s="28"/>
      <c r="J38" s="173" t="str" cm="1">
        <f t="array" aca="1" ref="J38" ca="1">IFERROR(_xlfn.IFS(OR(AL38&lt;&gt;"",AP38&lt;&gt;""),"STCOアサイン済",OR(AN38&lt;&gt;"",AO38&lt;&gt;""),"CHAT中"),"")</f>
        <v/>
      </c>
      <c r="K38" s="28"/>
      <c r="L38" s="225"/>
      <c r="M38" s="232"/>
      <c r="N38" s="28"/>
      <c r="O38" s="28"/>
      <c r="Q38" s="106"/>
      <c r="R38" s="78"/>
      <c r="S38" s="78"/>
      <c r="T38" s="78"/>
      <c r="U38" s="78"/>
      <c r="V38" s="78"/>
      <c r="W38" s="78"/>
      <c r="X38" s="78"/>
      <c r="Y38" s="116"/>
      <c r="Z38" s="78"/>
      <c r="AA38" s="78"/>
      <c r="AB38" s="78"/>
      <c r="AC38" s="78"/>
      <c r="AD38" s="107" t="s">
        <v>270</v>
      </c>
      <c r="AF38" s="87"/>
      <c r="AG38" s="87"/>
      <c r="AH38" s="87"/>
      <c r="AI38" s="87"/>
      <c r="AK38" s="28">
        <f t="shared" si="1"/>
        <v>0</v>
      </c>
      <c r="AL38" s="28" t="str">
        <f t="shared" ca="1" si="2"/>
        <v/>
      </c>
      <c r="AM38" s="28" t="str">
        <f t="shared" si="3"/>
        <v/>
      </c>
      <c r="AN38" s="28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28" t="str">
        <f t="shared" si="0"/>
        <v/>
      </c>
      <c r="F39" s="33"/>
      <c r="G39" s="33"/>
      <c r="I39" s="28"/>
      <c r="J39" s="173" t="str" cm="1">
        <f t="array" aca="1" ref="J39" ca="1">IFERROR(_xlfn.IFS(OR(AL39&lt;&gt;"",AP39&lt;&gt;""),"STCOアサイン済",OR(AN39&lt;&gt;"",AO39&lt;&gt;""),"CHAT中"),"")</f>
        <v/>
      </c>
      <c r="K39" s="28"/>
      <c r="L39" s="225"/>
      <c r="M39" s="232"/>
      <c r="N39" s="28"/>
      <c r="O39" s="28"/>
      <c r="Q39" s="106"/>
      <c r="R39" s="78"/>
      <c r="S39" s="78"/>
      <c r="T39" s="78"/>
      <c r="U39" s="78"/>
      <c r="V39" s="78"/>
      <c r="W39" s="78"/>
      <c r="X39" s="78"/>
      <c r="Y39" s="116"/>
      <c r="Z39" s="78"/>
      <c r="AA39" s="78"/>
      <c r="AB39" s="78"/>
      <c r="AC39" s="78"/>
      <c r="AD39" s="107" t="s">
        <v>271</v>
      </c>
      <c r="AF39" s="87"/>
      <c r="AG39" s="87"/>
      <c r="AH39" s="87"/>
      <c r="AI39" s="87"/>
      <c r="AK39" s="28">
        <f t="shared" si="1"/>
        <v>0</v>
      </c>
      <c r="AL39" s="28" t="str">
        <f t="shared" ca="1" si="2"/>
        <v/>
      </c>
      <c r="AM39" s="28" t="str">
        <f t="shared" si="3"/>
        <v/>
      </c>
      <c r="AN39" s="28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28" t="str">
        <f t="shared" si="0"/>
        <v/>
      </c>
      <c r="F40" s="33"/>
      <c r="G40" s="33"/>
      <c r="I40" s="28"/>
      <c r="J40" s="173" t="str" cm="1">
        <f t="array" aca="1" ref="J40" ca="1">IFERROR(_xlfn.IFS(OR(AL40&lt;&gt;"",AP40&lt;&gt;""),"STCOアサイン済",OR(AN40&lt;&gt;"",AO40&lt;&gt;""),"CHAT中"),"")</f>
        <v/>
      </c>
      <c r="K40" s="28"/>
      <c r="L40" s="225"/>
      <c r="M40" s="232"/>
      <c r="N40" s="28"/>
      <c r="O40" s="28"/>
      <c r="AK40" s="28">
        <f t="shared" si="1"/>
        <v>0</v>
      </c>
      <c r="AL40" s="28" t="str">
        <f t="shared" ca="1" si="2"/>
        <v/>
      </c>
      <c r="AM40" s="28" t="str">
        <f t="shared" si="3"/>
        <v/>
      </c>
      <c r="AN40" s="28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28" t="str">
        <f t="shared" si="0"/>
        <v/>
      </c>
      <c r="F41" s="33"/>
      <c r="G41" s="33"/>
      <c r="I41" s="28"/>
      <c r="J41" s="173" t="str" cm="1">
        <f t="array" aca="1" ref="J41" ca="1">IFERROR(_xlfn.IFS(OR(AL41&lt;&gt;"",AP41&lt;&gt;""),"STCOアサイン済",OR(AN41&lt;&gt;"",AO41&lt;&gt;""),"CHAT中"),"")</f>
        <v/>
      </c>
      <c r="K41" s="28"/>
      <c r="L41" s="225"/>
      <c r="M41" s="232"/>
      <c r="N41" s="28"/>
      <c r="O41" s="28"/>
      <c r="AK41" s="28">
        <f t="shared" si="1"/>
        <v>0</v>
      </c>
      <c r="AL41" s="28" t="str">
        <f t="shared" ca="1" si="2"/>
        <v/>
      </c>
      <c r="AM41" s="28" t="str">
        <f t="shared" si="3"/>
        <v/>
      </c>
      <c r="AN41" s="28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28" t="str">
        <f t="shared" si="0"/>
        <v/>
      </c>
      <c r="F42" s="33"/>
      <c r="G42" s="33"/>
      <c r="I42" s="28"/>
      <c r="J42" s="173" t="str" cm="1">
        <f t="array" aca="1" ref="J42" ca="1">IFERROR(_xlfn.IFS(OR(AL42&lt;&gt;"",AP42&lt;&gt;""),"STCOアサイン済",OR(AN42&lt;&gt;"",AO42&lt;&gt;""),"CHAT中"),"")</f>
        <v/>
      </c>
      <c r="K42" s="28"/>
      <c r="L42" s="225"/>
      <c r="M42" s="232"/>
      <c r="N42" s="28"/>
      <c r="O42" s="28"/>
      <c r="Q42" s="221" t="s">
        <v>272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28">
        <f t="shared" si="1"/>
        <v>0</v>
      </c>
      <c r="AL42" s="28" t="str">
        <f t="shared" ca="1" si="2"/>
        <v/>
      </c>
      <c r="AM42" s="28" t="str">
        <f t="shared" si="3"/>
        <v/>
      </c>
      <c r="AN42" s="28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28" t="str">
        <f t="shared" si="0"/>
        <v/>
      </c>
      <c r="F43" s="33"/>
      <c r="G43" s="33"/>
      <c r="I43" s="28"/>
      <c r="J43" s="173" t="str" cm="1">
        <f t="array" aca="1" ref="J43" ca="1">IFERROR(_xlfn.IFS(OR(AL43&lt;&gt;"",AP43&lt;&gt;""),"STCOアサイン済",OR(AN43&lt;&gt;"",AO43&lt;&gt;""),"CHAT中"),"")</f>
        <v/>
      </c>
      <c r="K43" s="28"/>
      <c r="L43" s="225"/>
      <c r="M43" s="232"/>
      <c r="N43" s="28"/>
      <c r="O43" s="28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28">
        <f t="shared" si="1"/>
        <v>0</v>
      </c>
      <c r="AL43" s="28" t="str">
        <f t="shared" ca="1" si="2"/>
        <v/>
      </c>
      <c r="AM43" s="28" t="str">
        <f t="shared" si="3"/>
        <v/>
      </c>
      <c r="AN43" s="28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28" t="str">
        <f t="shared" si="0"/>
        <v/>
      </c>
      <c r="F44" s="33"/>
      <c r="G44" s="33"/>
      <c r="I44" s="28"/>
      <c r="J44" s="173" t="str" cm="1">
        <f t="array" aca="1" ref="J44" ca="1">IFERROR(_xlfn.IFS(OR(AL44&lt;&gt;"",AP44&lt;&gt;""),"STCOアサイン済",OR(AN44&lt;&gt;"",AO44&lt;&gt;""),"CHAT中"),"")</f>
        <v/>
      </c>
      <c r="K44" s="28"/>
      <c r="L44" s="225"/>
      <c r="M44" s="232"/>
      <c r="N44" s="28"/>
      <c r="O44" s="28"/>
      <c r="Q44" s="85" t="s">
        <v>273</v>
      </c>
      <c r="R44" s="222" t="s">
        <v>274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28">
        <f t="shared" si="1"/>
        <v>0</v>
      </c>
      <c r="AL44" s="28" t="str">
        <f t="shared" ca="1" si="2"/>
        <v/>
      </c>
      <c r="AM44" s="28" t="str">
        <f t="shared" si="3"/>
        <v/>
      </c>
      <c r="AN44" s="28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28" t="str">
        <f t="shared" si="0"/>
        <v/>
      </c>
      <c r="F45" s="33"/>
      <c r="G45" s="33"/>
      <c r="I45" s="28"/>
      <c r="J45" s="173" t="str" cm="1">
        <f t="array" aca="1" ref="J45" ca="1">IFERROR(_xlfn.IFS(OR(AL45&lt;&gt;"",AP45&lt;&gt;""),"STCOアサイン済",OR(AN45&lt;&gt;"",AO45&lt;&gt;""),"CHAT中"),"")</f>
        <v/>
      </c>
      <c r="K45" s="28"/>
      <c r="L45" s="225"/>
      <c r="M45" s="232"/>
      <c r="N45" s="28"/>
      <c r="O45" s="28"/>
      <c r="Q45" s="83" t="s">
        <v>209</v>
      </c>
      <c r="R45" s="86" t="s">
        <v>275</v>
      </c>
      <c r="S45" s="87"/>
      <c r="T45" s="87"/>
      <c r="U45" s="87"/>
      <c r="V45" s="87"/>
      <c r="W45" s="87"/>
      <c r="X45" s="87"/>
      <c r="Y45" s="11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K45" s="28">
        <f t="shared" si="1"/>
        <v>0</v>
      </c>
      <c r="AL45" s="28" t="str">
        <f t="shared" ca="1" si="2"/>
        <v/>
      </c>
      <c r="AM45" s="28" t="str">
        <f t="shared" si="3"/>
        <v/>
      </c>
      <c r="AN45" s="28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28" t="str">
        <f t="shared" si="0"/>
        <v/>
      </c>
      <c r="F46" s="33"/>
      <c r="G46" s="33"/>
      <c r="I46" s="28"/>
      <c r="J46" s="173" t="str" cm="1">
        <f t="array" aca="1" ref="J46" ca="1">IFERROR(_xlfn.IFS(OR(AL46&lt;&gt;"",AP46&lt;&gt;""),"STCOアサイン済",OR(AN46&lt;&gt;"",AO46&lt;&gt;""),"CHAT中"),"")</f>
        <v/>
      </c>
      <c r="K46" s="28"/>
      <c r="L46" s="225"/>
      <c r="M46" s="232"/>
      <c r="N46" s="28"/>
      <c r="O46" s="28"/>
      <c r="Q46" s="83" t="s">
        <v>29</v>
      </c>
      <c r="R46" s="86" t="s">
        <v>276</v>
      </c>
      <c r="S46" s="87"/>
      <c r="T46" s="87"/>
      <c r="U46" s="87"/>
      <c r="V46" s="87"/>
      <c r="W46" s="87"/>
      <c r="X46" s="87"/>
      <c r="Y46" s="11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K46" s="28">
        <f t="shared" si="1"/>
        <v>0</v>
      </c>
      <c r="AL46" s="28" t="str">
        <f t="shared" ca="1" si="2"/>
        <v/>
      </c>
      <c r="AM46" s="28" t="str">
        <f t="shared" si="3"/>
        <v/>
      </c>
      <c r="AN46" s="28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8.600000000000001" thickBot="1">
      <c r="A47" s="28" t="str">
        <f t="shared" si="0"/>
        <v/>
      </c>
      <c r="F47" s="33"/>
      <c r="G47" s="33"/>
      <c r="I47" s="28"/>
      <c r="J47" s="173" t="str" cm="1">
        <f t="array" aca="1" ref="J47" ca="1">IFERROR(_xlfn.IFS(OR(AL47&lt;&gt;"",AP47&lt;&gt;""),"STCOアサイン済",OR(AN47&lt;&gt;"",AO47&lt;&gt;""),"CHAT中"),"")</f>
        <v/>
      </c>
      <c r="K47" s="28"/>
      <c r="L47" s="225"/>
      <c r="M47" s="223" t="s">
        <v>277</v>
      </c>
      <c r="N47" s="28"/>
      <c r="O47" s="28"/>
      <c r="Q47" s="83" t="s">
        <v>278</v>
      </c>
      <c r="R47" s="86" t="s">
        <v>279</v>
      </c>
      <c r="S47" s="87"/>
      <c r="T47" s="87"/>
      <c r="U47" s="87"/>
      <c r="V47" s="87"/>
      <c r="W47" s="87"/>
      <c r="X47" s="87"/>
      <c r="Y47" s="11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K47" s="28">
        <f t="shared" si="1"/>
        <v>0</v>
      </c>
      <c r="AL47" s="28" t="str">
        <f t="shared" ca="1" si="2"/>
        <v/>
      </c>
      <c r="AM47" s="28" t="str">
        <f t="shared" si="3"/>
        <v/>
      </c>
      <c r="AN47" s="28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18.95" thickTop="1" thickBot="1">
      <c r="A48" s="28" t="str">
        <f t="shared" si="0"/>
        <v/>
      </c>
      <c r="F48" s="33"/>
      <c r="G48" s="33"/>
      <c r="I48" s="28"/>
      <c r="J48" s="173" t="str" cm="1">
        <f t="array" aca="1" ref="J48" ca="1">IFERROR(_xlfn.IFS(OR(AL48&lt;&gt;"",AP48&lt;&gt;""),"STCOアサイン済",OR(AN48&lt;&gt;"",AO48&lt;&gt;""),"CHAT中"),"")</f>
        <v/>
      </c>
      <c r="K48" s="28"/>
      <c r="L48" s="225"/>
      <c r="M48" s="223"/>
      <c r="N48" s="28"/>
      <c r="O48" s="28"/>
      <c r="Q48" s="83" t="s">
        <v>280</v>
      </c>
      <c r="R48" s="86" t="s">
        <v>281</v>
      </c>
      <c r="S48" s="87"/>
      <c r="T48" s="87"/>
      <c r="U48" s="87"/>
      <c r="V48" s="87"/>
      <c r="W48" s="87"/>
      <c r="X48" s="87"/>
      <c r="Y48" s="11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K48" s="28">
        <f t="shared" si="1"/>
        <v>0</v>
      </c>
      <c r="AL48" s="28" t="str">
        <f t="shared" ca="1" si="2"/>
        <v/>
      </c>
      <c r="AM48" s="28" t="str">
        <f t="shared" si="3"/>
        <v/>
      </c>
      <c r="AN48" s="28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18.95" thickTop="1" thickBot="1">
      <c r="A49" s="28" t="str">
        <f t="shared" si="0"/>
        <v/>
      </c>
      <c r="F49" s="33"/>
      <c r="G49" s="33"/>
      <c r="I49" s="28"/>
      <c r="J49" s="173" t="str" cm="1">
        <f t="array" aca="1" ref="J49" ca="1">IFERROR(_xlfn.IFS(OR(AL49&lt;&gt;"",AP49&lt;&gt;""),"STCOアサイン済",OR(AN49&lt;&gt;"",AO49&lt;&gt;""),"CHAT中"),"")</f>
        <v/>
      </c>
      <c r="K49" s="28"/>
      <c r="L49" s="225"/>
      <c r="M49" s="223"/>
      <c r="N49" s="28"/>
      <c r="O49" s="28"/>
      <c r="Q49" s="84" t="s">
        <v>282</v>
      </c>
      <c r="R49" s="86" t="s">
        <v>283</v>
      </c>
      <c r="S49" s="87"/>
      <c r="T49" s="87"/>
      <c r="U49" s="87"/>
      <c r="V49" s="87"/>
      <c r="W49" s="87"/>
      <c r="X49" s="87"/>
      <c r="Y49" s="11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K49" s="28">
        <f t="shared" si="1"/>
        <v>0</v>
      </c>
      <c r="AL49" s="28" t="str">
        <f t="shared" ca="1" si="2"/>
        <v/>
      </c>
      <c r="AM49" s="28" t="str">
        <f t="shared" si="3"/>
        <v/>
      </c>
      <c r="AN49" s="28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18.95" thickTop="1" thickBot="1">
      <c r="A50" s="28" t="str">
        <f t="shared" si="0"/>
        <v/>
      </c>
      <c r="F50" s="33"/>
      <c r="G50" s="33"/>
      <c r="I50" s="28"/>
      <c r="J50" s="173" t="str" cm="1">
        <f t="array" aca="1" ref="J50" ca="1">IFERROR(_xlfn.IFS(OR(AL50&lt;&gt;"",AP50&lt;&gt;""),"STCOアサイン済",OR(AN50&lt;&gt;"",AO50&lt;&gt;""),"CHAT中"),"")</f>
        <v/>
      </c>
      <c r="K50" s="28"/>
      <c r="L50" s="225"/>
      <c r="M50" s="223"/>
      <c r="N50" s="28"/>
      <c r="O50" s="28"/>
      <c r="AK50" s="28">
        <f t="shared" si="1"/>
        <v>0</v>
      </c>
      <c r="AL50" s="28" t="str">
        <f t="shared" ca="1" si="2"/>
        <v/>
      </c>
      <c r="AM50" s="28" t="str">
        <f t="shared" si="3"/>
        <v/>
      </c>
      <c r="AN50" s="28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8.600000000000001" thickTop="1">
      <c r="A51" s="28" t="str">
        <f t="shared" si="0"/>
        <v/>
      </c>
      <c r="F51" s="33"/>
      <c r="G51" s="33"/>
      <c r="I51" s="28"/>
      <c r="J51" s="173" t="str" cm="1">
        <f t="array" aca="1" ref="J51" ca="1">IFERROR(_xlfn.IFS(OR(AL51&lt;&gt;"",AP51&lt;&gt;""),"STCOアサイン済",OR(AN51&lt;&gt;"",AO51&lt;&gt;""),"CHAT中"),"")</f>
        <v/>
      </c>
      <c r="K51" s="28"/>
      <c r="L51" s="28"/>
      <c r="M51" s="28"/>
      <c r="N51" s="28"/>
      <c r="O51" s="28"/>
      <c r="AK51" s="28">
        <f t="shared" si="1"/>
        <v>0</v>
      </c>
      <c r="AL51" s="28" t="str">
        <f t="shared" ca="1" si="2"/>
        <v/>
      </c>
      <c r="AM51" s="28" t="str">
        <f t="shared" si="3"/>
        <v/>
      </c>
      <c r="AN51" s="28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28" t="str">
        <f t="shared" si="0"/>
        <v/>
      </c>
      <c r="F52" s="33"/>
      <c r="G52" s="33"/>
      <c r="I52" s="28"/>
      <c r="J52" s="173" t="str" cm="1">
        <f t="array" aca="1" ref="J52" ca="1">IFERROR(_xlfn.IFS(OR(AL52&lt;&gt;"",AP52&lt;&gt;""),"STCOアサイン済",OR(AN52&lt;&gt;"",AO52&lt;&gt;""),"CHAT中"),"")</f>
        <v/>
      </c>
      <c r="K52" s="28"/>
      <c r="L52" s="28"/>
      <c r="M52" s="28"/>
      <c r="N52" s="28"/>
      <c r="O52" s="28"/>
      <c r="AK52" s="28">
        <f t="shared" si="1"/>
        <v>0</v>
      </c>
      <c r="AL52" s="28" t="str">
        <f t="shared" ca="1" si="2"/>
        <v/>
      </c>
      <c r="AM52" s="28" t="str">
        <f t="shared" si="3"/>
        <v/>
      </c>
      <c r="AN52" s="28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28" t="str">
        <f t="shared" si="0"/>
        <v/>
      </c>
      <c r="F53" s="33"/>
      <c r="G53" s="33"/>
      <c r="I53" s="28"/>
      <c r="J53" s="173" t="str" cm="1">
        <f t="array" aca="1" ref="J53" ca="1">IFERROR(_xlfn.IFS(OR(AL53&lt;&gt;"",AP53&lt;&gt;""),"STCOアサイン済",OR(AN53&lt;&gt;"",AO53&lt;&gt;""),"CHAT中"),"")</f>
        <v/>
      </c>
      <c r="K53" s="28"/>
      <c r="L53" s="28"/>
      <c r="M53" s="28"/>
      <c r="N53" s="28"/>
      <c r="O53" s="28"/>
      <c r="AK53" s="28">
        <f t="shared" si="1"/>
        <v>0</v>
      </c>
      <c r="AL53" s="28" t="str">
        <f t="shared" ca="1" si="2"/>
        <v/>
      </c>
      <c r="AM53" s="28" t="str">
        <f t="shared" si="3"/>
        <v/>
      </c>
      <c r="AN53" s="28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28" t="str">
        <f t="shared" si="0"/>
        <v/>
      </c>
      <c r="F54" s="33"/>
      <c r="G54" s="33"/>
      <c r="I54" s="28"/>
      <c r="J54" s="173" t="str" cm="1">
        <f t="array" aca="1" ref="J54" ca="1">IFERROR(_xlfn.IFS(OR(AL54&lt;&gt;"",AP54&lt;&gt;""),"STCOアサイン済",OR(AN54&lt;&gt;"",AO54&lt;&gt;""),"CHAT中"),"")</f>
        <v/>
      </c>
      <c r="K54" s="28"/>
      <c r="L54" s="28"/>
      <c r="M54" s="28"/>
      <c r="N54" s="28"/>
      <c r="O54" s="28"/>
      <c r="AK54" s="28">
        <f t="shared" si="1"/>
        <v>0</v>
      </c>
      <c r="AL54" s="28" t="str">
        <f t="shared" ca="1" si="2"/>
        <v/>
      </c>
      <c r="AM54" s="28" t="str">
        <f t="shared" si="3"/>
        <v/>
      </c>
      <c r="AN54" s="28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28" t="str">
        <f t="shared" si="0"/>
        <v/>
      </c>
      <c r="F55" s="33"/>
      <c r="G55" s="33"/>
      <c r="I55" s="28"/>
      <c r="J55" s="173" t="str" cm="1">
        <f t="array" aca="1" ref="J55" ca="1">IFERROR(_xlfn.IFS(OR(AL55&lt;&gt;"",AP55&lt;&gt;""),"STCOアサイン済",OR(AN55&lt;&gt;"",AO55&lt;&gt;""),"CHAT中"),"")</f>
        <v/>
      </c>
      <c r="K55" s="28"/>
      <c r="L55" s="28"/>
      <c r="M55" s="28"/>
      <c r="N55" s="28"/>
      <c r="O55" s="28"/>
      <c r="AK55" s="28">
        <f t="shared" si="1"/>
        <v>0</v>
      </c>
      <c r="AL55" s="28" t="str">
        <f t="shared" ca="1" si="2"/>
        <v/>
      </c>
      <c r="AM55" s="28" t="str">
        <f t="shared" si="3"/>
        <v/>
      </c>
      <c r="AN55" s="28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28" t="str">
        <f t="shared" si="0"/>
        <v/>
      </c>
      <c r="F56" s="33"/>
      <c r="G56" s="33"/>
      <c r="I56" s="28"/>
      <c r="J56" s="173" t="str" cm="1">
        <f t="array" aca="1" ref="J56" ca="1">IFERROR(_xlfn.IFS(OR(AL56&lt;&gt;"",AP56&lt;&gt;""),"STCOアサイン済",OR(AN56&lt;&gt;"",AO56&lt;&gt;""),"CHAT中"),"")</f>
        <v/>
      </c>
      <c r="K56" s="28"/>
      <c r="L56" s="28"/>
      <c r="M56" s="28"/>
      <c r="N56" s="28"/>
      <c r="O56" s="28"/>
      <c r="AK56" s="28">
        <f t="shared" si="1"/>
        <v>0</v>
      </c>
      <c r="AL56" s="28" t="str">
        <f t="shared" ca="1" si="2"/>
        <v/>
      </c>
      <c r="AM56" s="28" t="str">
        <f t="shared" si="3"/>
        <v/>
      </c>
      <c r="AN56" s="28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28" t="str">
        <f t="shared" si="0"/>
        <v/>
      </c>
      <c r="F57" s="33"/>
      <c r="G57" s="33"/>
      <c r="I57" s="28"/>
      <c r="J57" s="173" t="str" cm="1">
        <f t="array" aca="1" ref="J57" ca="1">IFERROR(_xlfn.IFS(OR(AL57&lt;&gt;"",AP57&lt;&gt;""),"STCOアサイン済",OR(AN57&lt;&gt;"",AO57&lt;&gt;""),"CHAT中"),"")</f>
        <v/>
      </c>
      <c r="K57" s="28"/>
      <c r="L57" s="28"/>
      <c r="M57" s="28"/>
      <c r="N57" s="28"/>
      <c r="O57" s="28"/>
      <c r="AK57" s="28">
        <f t="shared" si="1"/>
        <v>0</v>
      </c>
      <c r="AL57" s="28" t="str">
        <f t="shared" ca="1" si="2"/>
        <v/>
      </c>
      <c r="AM57" s="28" t="str">
        <f t="shared" si="3"/>
        <v/>
      </c>
      <c r="AN57" s="28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28" t="str">
        <f t="shared" si="0"/>
        <v/>
      </c>
      <c r="F58" s="33"/>
      <c r="G58" s="33"/>
      <c r="I58" s="28"/>
      <c r="J58" s="173" t="str" cm="1">
        <f t="array" aca="1" ref="J58" ca="1">IFERROR(_xlfn.IFS(OR(AL58&lt;&gt;"",AP58&lt;&gt;""),"STCOアサイン済",OR(AN58&lt;&gt;"",AO58&lt;&gt;""),"CHAT中"),"")</f>
        <v/>
      </c>
      <c r="K58" s="28"/>
      <c r="L58" s="28"/>
      <c r="M58" s="28"/>
      <c r="N58" s="28"/>
      <c r="O58" s="28"/>
      <c r="AK58" s="28">
        <f t="shared" si="1"/>
        <v>0</v>
      </c>
      <c r="AL58" s="28" t="str">
        <f t="shared" ca="1" si="2"/>
        <v/>
      </c>
      <c r="AM58" s="28" t="str">
        <f t="shared" si="3"/>
        <v/>
      </c>
      <c r="AN58" s="28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28" t="str">
        <f t="shared" si="0"/>
        <v/>
      </c>
      <c r="F59" s="33"/>
      <c r="G59" s="33"/>
      <c r="I59" s="28"/>
      <c r="J59" s="173" t="str" cm="1">
        <f t="array" aca="1" ref="J59" ca="1">IFERROR(_xlfn.IFS(OR(AL59&lt;&gt;"",AP59&lt;&gt;""),"STCOアサイン済",OR(AN59&lt;&gt;"",AO59&lt;&gt;""),"CHAT中"),"")</f>
        <v/>
      </c>
      <c r="K59" s="28"/>
      <c r="L59" s="28"/>
      <c r="M59" s="28"/>
      <c r="N59" s="28"/>
      <c r="O59" s="28"/>
      <c r="AK59" s="28">
        <f t="shared" si="1"/>
        <v>0</v>
      </c>
      <c r="AL59" s="28" t="str">
        <f t="shared" ca="1" si="2"/>
        <v/>
      </c>
      <c r="AM59" s="28" t="str">
        <f t="shared" si="3"/>
        <v/>
      </c>
      <c r="AN59" s="28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28" t="str">
        <f t="shared" si="0"/>
        <v/>
      </c>
      <c r="F60" s="33"/>
      <c r="G60" s="33"/>
      <c r="I60" s="28"/>
      <c r="J60" s="173" t="str" cm="1">
        <f t="array" aca="1" ref="J60" ca="1">IFERROR(_xlfn.IFS(OR(AL60&lt;&gt;"",AP60&lt;&gt;""),"STCOアサイン済",OR(AN60&lt;&gt;"",AO60&lt;&gt;""),"CHAT中"),"")</f>
        <v/>
      </c>
      <c r="K60" s="28"/>
      <c r="L60" s="28"/>
      <c r="M60" s="28"/>
      <c r="N60" s="28"/>
      <c r="O60" s="28"/>
      <c r="AK60" s="28">
        <f t="shared" si="1"/>
        <v>0</v>
      </c>
      <c r="AL60" s="28" t="str">
        <f t="shared" ca="1" si="2"/>
        <v/>
      </c>
      <c r="AM60" s="28" t="str">
        <f t="shared" si="3"/>
        <v/>
      </c>
      <c r="AN60" s="28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28" t="str">
        <f t="shared" si="0"/>
        <v/>
      </c>
      <c r="F61" s="33"/>
      <c r="G61" s="33"/>
      <c r="I61" s="28"/>
      <c r="J61" s="173" t="str" cm="1">
        <f t="array" aca="1" ref="J61" ca="1">IFERROR(_xlfn.IFS(OR(AL61&lt;&gt;"",AP61&lt;&gt;""),"STCOアサイン済",OR(AN61&lt;&gt;"",AO61&lt;&gt;""),"CHAT中"),"")</f>
        <v/>
      </c>
      <c r="K61" s="28"/>
      <c r="L61" s="28"/>
      <c r="M61" s="28"/>
      <c r="N61" s="28"/>
      <c r="O61" s="28"/>
      <c r="AK61" s="28">
        <f t="shared" si="1"/>
        <v>0</v>
      </c>
      <c r="AL61" s="28" t="str">
        <f t="shared" ca="1" si="2"/>
        <v/>
      </c>
      <c r="AM61" s="28" t="str">
        <f t="shared" si="3"/>
        <v/>
      </c>
      <c r="AN61" s="28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28" t="str">
        <f t="shared" si="0"/>
        <v/>
      </c>
      <c r="F62" s="33"/>
      <c r="G62" s="33"/>
      <c r="I62" s="28"/>
      <c r="J62" s="173" t="str" cm="1">
        <f t="array" aca="1" ref="J62" ca="1">IFERROR(_xlfn.IFS(OR(AL62&lt;&gt;"",AP62&lt;&gt;""),"STCOアサイン済",OR(AN62&lt;&gt;"",AO62&lt;&gt;""),"CHAT中"),"")</f>
        <v/>
      </c>
      <c r="K62" s="28"/>
      <c r="L62" s="28"/>
      <c r="M62" s="28"/>
      <c r="N62" s="28"/>
      <c r="O62" s="28"/>
      <c r="AK62" s="28">
        <f t="shared" si="1"/>
        <v>0</v>
      </c>
      <c r="AL62" s="28" t="str">
        <f t="shared" ca="1" si="2"/>
        <v/>
      </c>
      <c r="AM62" s="28" t="str">
        <f t="shared" si="3"/>
        <v/>
      </c>
      <c r="AN62" s="28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28" t="str">
        <f t="shared" si="0"/>
        <v/>
      </c>
      <c r="F63" s="33"/>
      <c r="G63" s="33"/>
      <c r="I63" s="28"/>
      <c r="J63" s="173" t="str" cm="1">
        <f t="array" aca="1" ref="J63" ca="1">IFERROR(_xlfn.IFS(OR(AL63&lt;&gt;"",AP63&lt;&gt;""),"STCOアサイン済",OR(AN63&lt;&gt;"",AO63&lt;&gt;""),"CHAT中"),"")</f>
        <v/>
      </c>
      <c r="K63" s="28"/>
      <c r="L63" s="28"/>
      <c r="M63" s="28"/>
      <c r="N63" s="28"/>
      <c r="O63" s="28"/>
      <c r="AK63" s="28">
        <f t="shared" si="1"/>
        <v>0</v>
      </c>
      <c r="AL63" s="28" t="str">
        <f t="shared" ca="1" si="2"/>
        <v/>
      </c>
      <c r="AM63" s="28" t="str">
        <f t="shared" si="3"/>
        <v/>
      </c>
      <c r="AN63" s="28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28" t="str">
        <f t="shared" si="0"/>
        <v/>
      </c>
      <c r="F64" s="33"/>
      <c r="G64" s="33"/>
      <c r="I64" s="28"/>
      <c r="J64" s="173" t="str" cm="1">
        <f t="array" aca="1" ref="J64" ca="1">IFERROR(_xlfn.IFS(OR(AL64&lt;&gt;"",AP64&lt;&gt;""),"STCOアサイン済",OR(AN64&lt;&gt;"",AO64&lt;&gt;""),"CHAT中"),"")</f>
        <v/>
      </c>
      <c r="K64" s="28"/>
      <c r="L64" s="28"/>
      <c r="M64" s="28"/>
      <c r="N64" s="28"/>
      <c r="O64" s="28"/>
      <c r="AK64" s="28">
        <f t="shared" si="1"/>
        <v>0</v>
      </c>
      <c r="AL64" s="28" t="str">
        <f t="shared" ca="1" si="2"/>
        <v/>
      </c>
      <c r="AM64" s="28" t="str">
        <f t="shared" si="3"/>
        <v/>
      </c>
      <c r="AN64" s="28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28" t="str">
        <f t="shared" si="0"/>
        <v/>
      </c>
      <c r="F65" s="33"/>
      <c r="G65" s="33"/>
      <c r="I65" s="28"/>
      <c r="J65" s="173" t="str" cm="1">
        <f t="array" aca="1" ref="J65" ca="1">IFERROR(_xlfn.IFS(OR(AL65&lt;&gt;"",AP65&lt;&gt;""),"STCOアサイン済",OR(AN65&lt;&gt;"",AO65&lt;&gt;""),"CHAT中"),"")</f>
        <v/>
      </c>
      <c r="K65" s="28"/>
      <c r="L65" s="28"/>
      <c r="M65" s="28"/>
      <c r="N65" s="28"/>
      <c r="O65" s="28"/>
      <c r="AK65" s="28">
        <f t="shared" si="1"/>
        <v>0</v>
      </c>
      <c r="AL65" s="28" t="str">
        <f t="shared" ca="1" si="2"/>
        <v/>
      </c>
      <c r="AM65" s="28" t="str">
        <f t="shared" si="3"/>
        <v/>
      </c>
      <c r="AN65" s="28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28" t="str">
        <f t="shared" si="0"/>
        <v/>
      </c>
      <c r="F66" s="33"/>
      <c r="G66" s="33"/>
      <c r="I66" s="28"/>
      <c r="J66" s="173" t="str" cm="1">
        <f t="array" aca="1" ref="J66" ca="1">IFERROR(_xlfn.IFS(OR(AL66&lt;&gt;"",AP66&lt;&gt;""),"STCOアサイン済",OR(AN66&lt;&gt;"",AO66&lt;&gt;""),"CHAT中"),"")</f>
        <v/>
      </c>
      <c r="K66" s="28"/>
      <c r="L66" s="28"/>
      <c r="M66" s="28"/>
      <c r="N66" s="28"/>
      <c r="O66" s="28"/>
      <c r="AK66" s="28">
        <f t="shared" si="1"/>
        <v>0</v>
      </c>
      <c r="AL66" s="28" t="str">
        <f t="shared" ca="1" si="2"/>
        <v/>
      </c>
      <c r="AM66" s="28" t="str">
        <f t="shared" si="3"/>
        <v/>
      </c>
      <c r="AN66" s="28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28" t="str">
        <f t="shared" si="0"/>
        <v/>
      </c>
      <c r="F67" s="33"/>
      <c r="G67" s="33"/>
      <c r="I67" s="28"/>
      <c r="J67" s="173" t="str" cm="1">
        <f t="array" aca="1" ref="J67" ca="1">IFERROR(_xlfn.IFS(OR(AL67&lt;&gt;"",AP67&lt;&gt;""),"STCOアサイン済",OR(AN67&lt;&gt;"",AO67&lt;&gt;""),"CHAT中"),"")</f>
        <v/>
      </c>
      <c r="K67" s="28"/>
      <c r="L67" s="28"/>
      <c r="M67" s="28"/>
      <c r="N67" s="28"/>
      <c r="O67" s="28"/>
      <c r="AK67" s="28">
        <f t="shared" si="1"/>
        <v>0</v>
      </c>
      <c r="AL67" s="28" t="str">
        <f t="shared" ca="1" si="2"/>
        <v/>
      </c>
      <c r="AM67" s="28" t="str">
        <f t="shared" si="3"/>
        <v/>
      </c>
      <c r="AN67" s="28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28" t="str">
        <f t="shared" si="0"/>
        <v/>
      </c>
      <c r="F68" s="33"/>
      <c r="G68" s="33"/>
      <c r="I68" s="28"/>
      <c r="J68" s="173" t="str" cm="1">
        <f t="array" aca="1" ref="J68" ca="1">IFERROR(_xlfn.IFS(OR(AL68&lt;&gt;"",AP68&lt;&gt;""),"STCOアサイン済",OR(AN68&lt;&gt;"",AO68&lt;&gt;""),"CHAT中"),"")</f>
        <v/>
      </c>
      <c r="K68" s="28"/>
      <c r="L68" s="28"/>
      <c r="M68" s="28"/>
      <c r="N68" s="28"/>
      <c r="O68" s="28"/>
      <c r="AK68" s="28">
        <f t="shared" si="1"/>
        <v>0</v>
      </c>
      <c r="AL68" s="28" t="str">
        <f t="shared" ca="1" si="2"/>
        <v/>
      </c>
      <c r="AM68" s="28" t="str">
        <f t="shared" si="3"/>
        <v/>
      </c>
      <c r="AN68" s="28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28" t="str">
        <f t="shared" si="0"/>
        <v/>
      </c>
      <c r="F69" s="33"/>
      <c r="G69" s="33"/>
      <c r="I69" s="28"/>
      <c r="J69" s="173" t="str" cm="1">
        <f t="array" aca="1" ref="J69" ca="1">IFERROR(_xlfn.IFS(OR(AL69&lt;&gt;"",AP69&lt;&gt;""),"STCOアサイン済",OR(AN69&lt;&gt;"",AO69&lt;&gt;""),"CHAT中"),"")</f>
        <v/>
      </c>
      <c r="K69" s="28"/>
      <c r="L69" s="28"/>
      <c r="M69" s="28"/>
      <c r="N69" s="28"/>
      <c r="O69" s="28"/>
      <c r="AK69" s="28">
        <f t="shared" si="1"/>
        <v>0</v>
      </c>
      <c r="AL69" s="28" t="str">
        <f t="shared" ca="1" si="2"/>
        <v/>
      </c>
      <c r="AM69" s="28" t="str">
        <f t="shared" si="3"/>
        <v/>
      </c>
      <c r="AN69" s="28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28" t="str">
        <f t="shared" si="0"/>
        <v/>
      </c>
      <c r="F70" s="33"/>
      <c r="G70" s="33"/>
      <c r="I70" s="28"/>
      <c r="J70" s="173" t="str" cm="1">
        <f t="array" aca="1" ref="J70" ca="1">IFERROR(_xlfn.IFS(OR(AL70&lt;&gt;"",AP70&lt;&gt;""),"STCOアサイン済",OR(AN70&lt;&gt;"",AO70&lt;&gt;""),"CHAT中"),"")</f>
        <v/>
      </c>
      <c r="K70" s="28"/>
      <c r="L70" s="28"/>
      <c r="M70" s="28"/>
      <c r="N70" s="28"/>
      <c r="O70" s="28"/>
      <c r="AK70" s="28">
        <f t="shared" si="1"/>
        <v>0</v>
      </c>
      <c r="AL70" s="28" t="str">
        <f t="shared" ca="1" si="2"/>
        <v/>
      </c>
      <c r="AM70" s="28" t="str">
        <f t="shared" si="3"/>
        <v/>
      </c>
      <c r="AN70" s="28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28" t="str">
        <f t="shared" si="0"/>
        <v/>
      </c>
      <c r="F71" s="33"/>
      <c r="G71" s="33"/>
      <c r="I71" s="28"/>
      <c r="J71" s="173" t="str" cm="1">
        <f t="array" aca="1" ref="J71" ca="1">IFERROR(_xlfn.IFS(OR(AL71&lt;&gt;"",AP71&lt;&gt;""),"STCOアサイン済",OR(AN71&lt;&gt;"",AO71&lt;&gt;""),"CHAT中"),"")</f>
        <v/>
      </c>
      <c r="K71" s="28"/>
      <c r="L71" s="28"/>
      <c r="M71" s="28"/>
      <c r="N71" s="28"/>
      <c r="O71" s="28"/>
      <c r="AK71" s="28">
        <f t="shared" si="1"/>
        <v>0</v>
      </c>
      <c r="AL71" s="28" t="str">
        <f t="shared" ca="1" si="2"/>
        <v/>
      </c>
      <c r="AM71" s="28" t="str">
        <f t="shared" si="3"/>
        <v/>
      </c>
      <c r="AN71" s="28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28" t="str">
        <f t="shared" ref="A72:A135" si="7">IF(ISBLANK($I72), "", _xlfn.IFS($I72&gt;10, "DS", $I72&lt;=10, "未定"))</f>
        <v/>
      </c>
      <c r="F72" s="33"/>
      <c r="G72" s="33"/>
      <c r="I72" s="28"/>
      <c r="J72" s="173" t="str" cm="1">
        <f t="array" aca="1" ref="J72" ca="1">IFERROR(_xlfn.IFS(OR(AL72&lt;&gt;"",AP72&lt;&gt;""),"STCOアサイン済",OR(AN72&lt;&gt;"",AO72&lt;&gt;""),"CHAT中"),"")</f>
        <v/>
      </c>
      <c r="K72" s="28"/>
      <c r="L72" s="28"/>
      <c r="M72" s="28"/>
      <c r="N72" s="28"/>
      <c r="O72" s="28"/>
      <c r="AK72" s="28">
        <f t="shared" si="1"/>
        <v>0</v>
      </c>
      <c r="AL72" s="28" t="str">
        <f t="shared" ca="1" si="2"/>
        <v/>
      </c>
      <c r="AM72" s="28" t="str">
        <f t="shared" si="3"/>
        <v/>
      </c>
      <c r="AN72" s="28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28" t="str">
        <f t="shared" si="7"/>
        <v/>
      </c>
      <c r="F73" s="33"/>
      <c r="G73" s="33"/>
      <c r="I73" s="28"/>
      <c r="J73" s="173" t="str" cm="1">
        <f t="array" aca="1" ref="J73" ca="1">IFERROR(_xlfn.IFS(OR(AL73&lt;&gt;"",AP73&lt;&gt;""),"STCOアサイン済",OR(AN73&lt;&gt;"",AO73&lt;&gt;""),"CHAT中"),"")</f>
        <v/>
      </c>
      <c r="K73" s="28"/>
      <c r="L73" s="28"/>
      <c r="M73" s="28"/>
      <c r="N73" s="28"/>
      <c r="O73" s="28"/>
      <c r="AK73" s="28">
        <f t="shared" ref="AK73:AK136" si="8">C73</f>
        <v>0</v>
      </c>
      <c r="AL73" s="28" t="str">
        <f t="shared" ref="AL73:AL136" ca="1" si="9">IF(SUMIF(INDIRECT($AL$7&amp;"!$AM$5:$AM$800"),C73&amp;$AL$6,INDIRECT($AL$7&amp;"!$AN$5:$AN$800"))&lt;=0,"")</f>
        <v/>
      </c>
      <c r="AM73" s="28" t="str">
        <f t="shared" ref="AM73:AM136" si="10">IF(A73="","",A73)</f>
        <v/>
      </c>
      <c r="AN73" s="28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28" t="str">
        <f t="shared" si="7"/>
        <v/>
      </c>
      <c r="F74" s="33"/>
      <c r="G74" s="33"/>
      <c r="I74" s="28"/>
      <c r="J74" s="173" t="str" cm="1">
        <f t="array" aca="1" ref="J74" ca="1">IFERROR(_xlfn.IFS(OR(AL74&lt;&gt;"",AP74&lt;&gt;""),"STCOアサイン済",OR(AN74&lt;&gt;"",AO74&lt;&gt;""),"CHAT中"),"")</f>
        <v/>
      </c>
      <c r="K74" s="28"/>
      <c r="L74" s="28"/>
      <c r="M74" s="28"/>
      <c r="N74" s="28"/>
      <c r="O74" s="28"/>
      <c r="AK74" s="28">
        <f t="shared" si="8"/>
        <v>0</v>
      </c>
      <c r="AL74" s="28" t="str">
        <f t="shared" ca="1" si="9"/>
        <v/>
      </c>
      <c r="AM74" s="28" t="str">
        <f t="shared" si="10"/>
        <v/>
      </c>
      <c r="AN74" s="28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28" t="str">
        <f t="shared" si="7"/>
        <v/>
      </c>
      <c r="F75" s="33"/>
      <c r="G75" s="33"/>
      <c r="I75" s="28"/>
      <c r="J75" s="173" t="str" cm="1">
        <f t="array" aca="1" ref="J75" ca="1">IFERROR(_xlfn.IFS(OR(AL75&lt;&gt;"",AP75&lt;&gt;""),"STCOアサイン済",OR(AN75&lt;&gt;"",AO75&lt;&gt;""),"CHAT中"),"")</f>
        <v/>
      </c>
      <c r="K75" s="28"/>
      <c r="L75" s="28"/>
      <c r="M75" s="28"/>
      <c r="N75" s="28"/>
      <c r="O75" s="28"/>
      <c r="AK75" s="28">
        <f t="shared" si="8"/>
        <v>0</v>
      </c>
      <c r="AL75" s="28" t="str">
        <f t="shared" ca="1" si="9"/>
        <v/>
      </c>
      <c r="AM75" s="28" t="str">
        <f t="shared" si="10"/>
        <v/>
      </c>
      <c r="AN75" s="28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28" t="str">
        <f t="shared" si="7"/>
        <v/>
      </c>
      <c r="F76" s="33"/>
      <c r="G76" s="33"/>
      <c r="I76" s="28"/>
      <c r="J76" s="173" t="str" cm="1">
        <f t="array" aca="1" ref="J76" ca="1">IFERROR(_xlfn.IFS(OR(AL76&lt;&gt;"",AP76&lt;&gt;""),"STCOアサイン済",OR(AN76&lt;&gt;"",AO76&lt;&gt;""),"CHAT中"),"")</f>
        <v/>
      </c>
      <c r="K76" s="28"/>
      <c r="L76" s="28"/>
      <c r="M76" s="28"/>
      <c r="N76" s="28"/>
      <c r="O76" s="28"/>
      <c r="AK76" s="28">
        <f t="shared" si="8"/>
        <v>0</v>
      </c>
      <c r="AL76" s="28" t="str">
        <f t="shared" ca="1" si="9"/>
        <v/>
      </c>
      <c r="AM76" s="28" t="str">
        <f t="shared" si="10"/>
        <v/>
      </c>
      <c r="AN76" s="28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28" t="str">
        <f t="shared" si="7"/>
        <v/>
      </c>
      <c r="F77" s="33"/>
      <c r="G77" s="33"/>
      <c r="I77" s="28"/>
      <c r="J77" s="173" t="str" cm="1">
        <f t="array" aca="1" ref="J77" ca="1">IFERROR(_xlfn.IFS(OR(AL77&lt;&gt;"",AP77&lt;&gt;""),"STCOアサイン済",OR(AN77&lt;&gt;"",AO77&lt;&gt;""),"CHAT中"),"")</f>
        <v/>
      </c>
      <c r="K77" s="28"/>
      <c r="L77" s="28"/>
      <c r="M77" s="28"/>
      <c r="N77" s="28"/>
      <c r="O77" s="28"/>
      <c r="AK77" s="28">
        <f t="shared" si="8"/>
        <v>0</v>
      </c>
      <c r="AL77" s="28" t="str">
        <f t="shared" ca="1" si="9"/>
        <v/>
      </c>
      <c r="AM77" s="28" t="str">
        <f t="shared" si="10"/>
        <v/>
      </c>
      <c r="AN77" s="28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28" t="str">
        <f t="shared" si="7"/>
        <v/>
      </c>
      <c r="F78" s="33"/>
      <c r="G78" s="33"/>
      <c r="I78" s="28"/>
      <c r="J78" s="173" t="str" cm="1">
        <f t="array" aca="1" ref="J78" ca="1">IFERROR(_xlfn.IFS(OR(AL78&lt;&gt;"",AP78&lt;&gt;""),"STCOアサイン済",OR(AN78&lt;&gt;"",AO78&lt;&gt;""),"CHAT中"),"")</f>
        <v/>
      </c>
      <c r="K78" s="28"/>
      <c r="L78" s="28"/>
      <c r="M78" s="28"/>
      <c r="N78" s="28"/>
      <c r="O78" s="28"/>
      <c r="AK78" s="28">
        <f t="shared" si="8"/>
        <v>0</v>
      </c>
      <c r="AL78" s="28" t="str">
        <f t="shared" ca="1" si="9"/>
        <v/>
      </c>
      <c r="AM78" s="28" t="str">
        <f t="shared" si="10"/>
        <v/>
      </c>
      <c r="AN78" s="28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28" t="str">
        <f t="shared" si="7"/>
        <v/>
      </c>
      <c r="F79" s="33"/>
      <c r="G79" s="33"/>
      <c r="I79" s="28"/>
      <c r="J79" s="173" t="str" cm="1">
        <f t="array" aca="1" ref="J79" ca="1">IFERROR(_xlfn.IFS(OR(AL79&lt;&gt;"",AP79&lt;&gt;""),"STCOアサイン済",OR(AN79&lt;&gt;"",AO79&lt;&gt;""),"CHAT中"),"")</f>
        <v/>
      </c>
      <c r="K79" s="28"/>
      <c r="L79" s="28"/>
      <c r="M79" s="28"/>
      <c r="N79" s="28"/>
      <c r="O79" s="28"/>
      <c r="AK79" s="28">
        <f t="shared" si="8"/>
        <v>0</v>
      </c>
      <c r="AL79" s="28" t="str">
        <f t="shared" ca="1" si="9"/>
        <v/>
      </c>
      <c r="AM79" s="28" t="str">
        <f t="shared" si="10"/>
        <v/>
      </c>
      <c r="AN79" s="28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28" t="str">
        <f t="shared" si="7"/>
        <v/>
      </c>
      <c r="F80" s="33"/>
      <c r="G80" s="33"/>
      <c r="I80" s="28"/>
      <c r="J80" s="173" t="str" cm="1">
        <f t="array" aca="1" ref="J80" ca="1">IFERROR(_xlfn.IFS(OR(AL80&lt;&gt;"",AP80&lt;&gt;""),"STCOアサイン済",OR(AN80&lt;&gt;"",AO80&lt;&gt;""),"CHAT中"),"")</f>
        <v/>
      </c>
      <c r="K80" s="28"/>
      <c r="L80" s="28"/>
      <c r="M80" s="28"/>
      <c r="N80" s="28"/>
      <c r="O80" s="28"/>
      <c r="AK80" s="28">
        <f t="shared" si="8"/>
        <v>0</v>
      </c>
      <c r="AL80" s="28" t="str">
        <f t="shared" ca="1" si="9"/>
        <v/>
      </c>
      <c r="AM80" s="28" t="str">
        <f t="shared" si="10"/>
        <v/>
      </c>
      <c r="AN80" s="28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28" t="str">
        <f t="shared" si="7"/>
        <v/>
      </c>
      <c r="F81" s="33"/>
      <c r="G81" s="33"/>
      <c r="I81" s="28"/>
      <c r="J81" s="173" t="str" cm="1">
        <f t="array" aca="1" ref="J81" ca="1">IFERROR(_xlfn.IFS(OR(AL81&lt;&gt;"",AP81&lt;&gt;""),"STCOアサイン済",OR(AN81&lt;&gt;"",AO81&lt;&gt;""),"CHAT中"),"")</f>
        <v/>
      </c>
      <c r="K81" s="28"/>
      <c r="L81" s="28"/>
      <c r="M81" s="28"/>
      <c r="N81" s="28"/>
      <c r="O81" s="28"/>
      <c r="AK81" s="28">
        <f t="shared" si="8"/>
        <v>0</v>
      </c>
      <c r="AL81" s="28" t="str">
        <f t="shared" ca="1" si="9"/>
        <v/>
      </c>
      <c r="AM81" s="28" t="str">
        <f t="shared" si="10"/>
        <v/>
      </c>
      <c r="AN81" s="28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28" t="str">
        <f t="shared" si="7"/>
        <v/>
      </c>
      <c r="F82" s="33"/>
      <c r="G82" s="33"/>
      <c r="I82" s="28"/>
      <c r="J82" s="173" t="str" cm="1">
        <f t="array" aca="1" ref="J82" ca="1">IFERROR(_xlfn.IFS(OR(AL82&lt;&gt;"",AP82&lt;&gt;""),"STCOアサイン済",OR(AN82&lt;&gt;"",AO82&lt;&gt;""),"CHAT中"),"")</f>
        <v/>
      </c>
      <c r="K82" s="28"/>
      <c r="L82" s="28"/>
      <c r="M82" s="28"/>
      <c r="N82" s="28"/>
      <c r="O82" s="28"/>
      <c r="AK82" s="28">
        <f t="shared" si="8"/>
        <v>0</v>
      </c>
      <c r="AL82" s="28" t="str">
        <f t="shared" ca="1" si="9"/>
        <v/>
      </c>
      <c r="AM82" s="28" t="str">
        <f t="shared" si="10"/>
        <v/>
      </c>
      <c r="AN82" s="28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28" t="str">
        <f t="shared" si="7"/>
        <v/>
      </c>
      <c r="F83" s="33"/>
      <c r="G83" s="33"/>
      <c r="I83" s="28"/>
      <c r="J83" s="173" t="str" cm="1">
        <f t="array" aca="1" ref="J83" ca="1">IFERROR(_xlfn.IFS(OR(AL83&lt;&gt;"",AP83&lt;&gt;""),"STCOアサイン済",OR(AN83&lt;&gt;"",AO83&lt;&gt;""),"CHAT中"),"")</f>
        <v/>
      </c>
      <c r="K83" s="28"/>
      <c r="L83" s="28"/>
      <c r="M83" s="28"/>
      <c r="N83" s="28"/>
      <c r="O83" s="28"/>
      <c r="AK83" s="28">
        <f t="shared" si="8"/>
        <v>0</v>
      </c>
      <c r="AL83" s="28" t="str">
        <f t="shared" ca="1" si="9"/>
        <v/>
      </c>
      <c r="AM83" s="28" t="str">
        <f t="shared" si="10"/>
        <v/>
      </c>
      <c r="AN83" s="28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28" t="str">
        <f t="shared" si="7"/>
        <v/>
      </c>
      <c r="F84" s="33"/>
      <c r="G84" s="33"/>
      <c r="I84" s="28"/>
      <c r="J84" s="173" t="str" cm="1">
        <f t="array" aca="1" ref="J84" ca="1">IFERROR(_xlfn.IFS(OR(AL84&lt;&gt;"",AP84&lt;&gt;""),"STCOアサイン済",OR(AN84&lt;&gt;"",AO84&lt;&gt;""),"CHAT中"),"")</f>
        <v/>
      </c>
      <c r="K84" s="28"/>
      <c r="L84" s="28"/>
      <c r="M84" s="28"/>
      <c r="N84" s="28"/>
      <c r="O84" s="28"/>
      <c r="AK84" s="28">
        <f t="shared" si="8"/>
        <v>0</v>
      </c>
      <c r="AL84" s="28" t="str">
        <f t="shared" ca="1" si="9"/>
        <v/>
      </c>
      <c r="AM84" s="28" t="str">
        <f t="shared" si="10"/>
        <v/>
      </c>
      <c r="AN84" s="28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28" t="str">
        <f t="shared" si="7"/>
        <v/>
      </c>
      <c r="F85" s="33"/>
      <c r="G85" s="33"/>
      <c r="I85" s="28"/>
      <c r="J85" s="173" t="str" cm="1">
        <f t="array" aca="1" ref="J85" ca="1">IFERROR(_xlfn.IFS(OR(AL85&lt;&gt;"",AP85&lt;&gt;""),"STCOアサイン済",OR(AN85&lt;&gt;"",AO85&lt;&gt;""),"CHAT中"),"")</f>
        <v/>
      </c>
      <c r="K85" s="28"/>
      <c r="L85" s="28"/>
      <c r="M85" s="28"/>
      <c r="N85" s="28"/>
      <c r="O85" s="28"/>
      <c r="AK85" s="28">
        <f t="shared" si="8"/>
        <v>0</v>
      </c>
      <c r="AL85" s="28" t="str">
        <f t="shared" ca="1" si="9"/>
        <v/>
      </c>
      <c r="AM85" s="28" t="str">
        <f t="shared" si="10"/>
        <v/>
      </c>
      <c r="AN85" s="28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28" t="str">
        <f t="shared" si="7"/>
        <v/>
      </c>
      <c r="F86" s="33"/>
      <c r="G86" s="33"/>
      <c r="I86" s="28"/>
      <c r="J86" s="173" t="str" cm="1">
        <f t="array" aca="1" ref="J86" ca="1">IFERROR(_xlfn.IFS(OR(AL86&lt;&gt;"",AP86&lt;&gt;""),"STCOアサイン済",OR(AN86&lt;&gt;"",AO86&lt;&gt;""),"CHAT中"),"")</f>
        <v/>
      </c>
      <c r="K86" s="28"/>
      <c r="L86" s="28"/>
      <c r="M86" s="28"/>
      <c r="N86" s="28"/>
      <c r="O86" s="28"/>
      <c r="AK86" s="28">
        <f t="shared" si="8"/>
        <v>0</v>
      </c>
      <c r="AL86" s="28" t="str">
        <f t="shared" ca="1" si="9"/>
        <v/>
      </c>
      <c r="AM86" s="28" t="str">
        <f t="shared" si="10"/>
        <v/>
      </c>
      <c r="AN86" s="28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28" t="str">
        <f t="shared" si="7"/>
        <v/>
      </c>
      <c r="F87" s="33"/>
      <c r="G87" s="33"/>
      <c r="I87" s="28"/>
      <c r="J87" s="173" t="str" cm="1">
        <f t="array" aca="1" ref="J87" ca="1">IFERROR(_xlfn.IFS(OR(AL87&lt;&gt;"",AP87&lt;&gt;""),"STCOアサイン済",OR(AN87&lt;&gt;"",AO87&lt;&gt;""),"CHAT中"),"")</f>
        <v/>
      </c>
      <c r="K87" s="28"/>
      <c r="L87" s="28"/>
      <c r="M87" s="28"/>
      <c r="N87" s="28"/>
      <c r="O87" s="28"/>
      <c r="AK87" s="28">
        <f t="shared" si="8"/>
        <v>0</v>
      </c>
      <c r="AL87" s="28" t="str">
        <f t="shared" ca="1" si="9"/>
        <v/>
      </c>
      <c r="AM87" s="28" t="str">
        <f t="shared" si="10"/>
        <v/>
      </c>
      <c r="AN87" s="28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28" t="str">
        <f t="shared" si="7"/>
        <v/>
      </c>
      <c r="F88" s="33"/>
      <c r="G88" s="33"/>
      <c r="I88" s="28"/>
      <c r="J88" s="173" t="str" cm="1">
        <f t="array" aca="1" ref="J88" ca="1">IFERROR(_xlfn.IFS(OR(AL88&lt;&gt;"",AP88&lt;&gt;""),"STCOアサイン済",OR(AN88&lt;&gt;"",AO88&lt;&gt;""),"CHAT中"),"")</f>
        <v/>
      </c>
      <c r="K88" s="28"/>
      <c r="L88" s="28"/>
      <c r="M88" s="28"/>
      <c r="N88" s="28"/>
      <c r="O88" s="28"/>
      <c r="AK88" s="28">
        <f t="shared" si="8"/>
        <v>0</v>
      </c>
      <c r="AL88" s="28" t="str">
        <f t="shared" ca="1" si="9"/>
        <v/>
      </c>
      <c r="AM88" s="28" t="str">
        <f t="shared" si="10"/>
        <v/>
      </c>
      <c r="AN88" s="28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28" t="str">
        <f t="shared" si="7"/>
        <v/>
      </c>
      <c r="F89" s="33"/>
      <c r="G89" s="33"/>
      <c r="I89" s="28"/>
      <c r="J89" s="173" t="str" cm="1">
        <f t="array" aca="1" ref="J89" ca="1">IFERROR(_xlfn.IFS(OR(AL89&lt;&gt;"",AP89&lt;&gt;""),"STCOアサイン済",OR(AN89&lt;&gt;"",AO89&lt;&gt;""),"CHAT中"),"")</f>
        <v/>
      </c>
      <c r="K89" s="28"/>
      <c r="L89" s="28"/>
      <c r="M89" s="28"/>
      <c r="N89" s="28"/>
      <c r="O89" s="28"/>
      <c r="AK89" s="28">
        <f t="shared" si="8"/>
        <v>0</v>
      </c>
      <c r="AL89" s="28" t="str">
        <f t="shared" ca="1" si="9"/>
        <v/>
      </c>
      <c r="AM89" s="28" t="str">
        <f t="shared" si="10"/>
        <v/>
      </c>
      <c r="AN89" s="28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28" t="str">
        <f t="shared" si="7"/>
        <v/>
      </c>
      <c r="F90" s="33"/>
      <c r="G90" s="33"/>
      <c r="I90" s="28"/>
      <c r="J90" s="173" t="str" cm="1">
        <f t="array" aca="1" ref="J90" ca="1">IFERROR(_xlfn.IFS(OR(AL90&lt;&gt;"",AP90&lt;&gt;""),"STCOアサイン済",OR(AN90&lt;&gt;"",AO90&lt;&gt;""),"CHAT中"),"")</f>
        <v/>
      </c>
      <c r="K90" s="28"/>
      <c r="L90" s="28"/>
      <c r="M90" s="28"/>
      <c r="N90" s="28"/>
      <c r="O90" s="28"/>
      <c r="AK90" s="28">
        <f t="shared" si="8"/>
        <v>0</v>
      </c>
      <c r="AL90" s="28" t="str">
        <f t="shared" ca="1" si="9"/>
        <v/>
      </c>
      <c r="AM90" s="28" t="str">
        <f t="shared" si="10"/>
        <v/>
      </c>
      <c r="AN90" s="28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28" t="str">
        <f t="shared" si="7"/>
        <v/>
      </c>
      <c r="F91" s="33"/>
      <c r="G91" s="33"/>
      <c r="I91" s="28"/>
      <c r="J91" s="173" t="str" cm="1">
        <f t="array" aca="1" ref="J91" ca="1">IFERROR(_xlfn.IFS(OR(AL91&lt;&gt;"",AP91&lt;&gt;""),"STCOアサイン済",OR(AN91&lt;&gt;"",AO91&lt;&gt;""),"CHAT中"),"")</f>
        <v/>
      </c>
      <c r="K91" s="28"/>
      <c r="L91" s="28"/>
      <c r="M91" s="28"/>
      <c r="N91" s="28"/>
      <c r="O91" s="28"/>
      <c r="AK91" s="28">
        <f t="shared" si="8"/>
        <v>0</v>
      </c>
      <c r="AL91" s="28" t="str">
        <f t="shared" ca="1" si="9"/>
        <v/>
      </c>
      <c r="AM91" s="28" t="str">
        <f t="shared" si="10"/>
        <v/>
      </c>
      <c r="AN91" s="28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28" t="str">
        <f t="shared" si="7"/>
        <v/>
      </c>
      <c r="F92" s="33"/>
      <c r="G92" s="33"/>
      <c r="I92" s="28"/>
      <c r="J92" s="173" t="str" cm="1">
        <f t="array" aca="1" ref="J92" ca="1">IFERROR(_xlfn.IFS(OR(AL92&lt;&gt;"",AP92&lt;&gt;""),"STCOアサイン済",OR(AN92&lt;&gt;"",AO92&lt;&gt;""),"CHAT中"),"")</f>
        <v/>
      </c>
      <c r="K92" s="28"/>
      <c r="L92" s="28"/>
      <c r="M92" s="28"/>
      <c r="N92" s="28"/>
      <c r="O92" s="28"/>
      <c r="AK92" s="28">
        <f t="shared" si="8"/>
        <v>0</v>
      </c>
      <c r="AL92" s="28" t="str">
        <f t="shared" ca="1" si="9"/>
        <v/>
      </c>
      <c r="AM92" s="28" t="str">
        <f t="shared" si="10"/>
        <v/>
      </c>
      <c r="AN92" s="28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28" t="str">
        <f t="shared" si="7"/>
        <v/>
      </c>
      <c r="F93" s="33"/>
      <c r="G93" s="33"/>
      <c r="I93" s="28"/>
      <c r="J93" s="173" t="str" cm="1">
        <f t="array" aca="1" ref="J93" ca="1">IFERROR(_xlfn.IFS(OR(AL93&lt;&gt;"",AP93&lt;&gt;""),"STCOアサイン済",OR(AN93&lt;&gt;"",AO93&lt;&gt;""),"CHAT中"),"")</f>
        <v/>
      </c>
      <c r="K93" s="28"/>
      <c r="L93" s="28"/>
      <c r="M93" s="28"/>
      <c r="N93" s="28"/>
      <c r="O93" s="28"/>
      <c r="AK93" s="28">
        <f t="shared" si="8"/>
        <v>0</v>
      </c>
      <c r="AL93" s="28" t="str">
        <f t="shared" ca="1" si="9"/>
        <v/>
      </c>
      <c r="AM93" s="28" t="str">
        <f t="shared" si="10"/>
        <v/>
      </c>
      <c r="AN93" s="28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28" t="str">
        <f t="shared" si="7"/>
        <v/>
      </c>
      <c r="F94" s="33"/>
      <c r="G94" s="33"/>
      <c r="I94" s="28"/>
      <c r="J94" s="173" t="str" cm="1">
        <f t="array" aca="1" ref="J94" ca="1">IFERROR(_xlfn.IFS(OR(AL94&lt;&gt;"",AP94&lt;&gt;""),"STCOアサイン済",OR(AN94&lt;&gt;"",AO94&lt;&gt;""),"CHAT中"),"")</f>
        <v/>
      </c>
      <c r="K94" s="28"/>
      <c r="L94" s="28"/>
      <c r="M94" s="28"/>
      <c r="N94" s="28"/>
      <c r="O94" s="28"/>
      <c r="AK94" s="28">
        <f t="shared" si="8"/>
        <v>0</v>
      </c>
      <c r="AL94" s="28" t="str">
        <f t="shared" ca="1" si="9"/>
        <v/>
      </c>
      <c r="AM94" s="28" t="str">
        <f t="shared" si="10"/>
        <v/>
      </c>
      <c r="AN94" s="28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28" t="str">
        <f t="shared" si="7"/>
        <v/>
      </c>
      <c r="F95" s="33"/>
      <c r="G95" s="33"/>
      <c r="I95" s="28"/>
      <c r="J95" s="173" t="str" cm="1">
        <f t="array" aca="1" ref="J95" ca="1">IFERROR(_xlfn.IFS(OR(AL95&lt;&gt;"",AP95&lt;&gt;""),"STCOアサイン済",OR(AN95&lt;&gt;"",AO95&lt;&gt;""),"CHAT中"),"")</f>
        <v/>
      </c>
      <c r="K95" s="28"/>
      <c r="L95" s="28"/>
      <c r="M95" s="28"/>
      <c r="N95" s="28"/>
      <c r="O95" s="28"/>
      <c r="AK95" s="28">
        <f t="shared" si="8"/>
        <v>0</v>
      </c>
      <c r="AL95" s="28" t="str">
        <f t="shared" ca="1" si="9"/>
        <v/>
      </c>
      <c r="AM95" s="28" t="str">
        <f t="shared" si="10"/>
        <v/>
      </c>
      <c r="AN95" s="28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28" t="str">
        <f t="shared" si="7"/>
        <v/>
      </c>
      <c r="F96" s="33"/>
      <c r="G96" s="33"/>
      <c r="I96" s="28"/>
      <c r="J96" s="173" t="str" cm="1">
        <f t="array" aca="1" ref="J96" ca="1">IFERROR(_xlfn.IFS(OR(AL96&lt;&gt;"",AP96&lt;&gt;""),"STCOアサイン済",OR(AN96&lt;&gt;"",AO96&lt;&gt;""),"CHAT中"),"")</f>
        <v/>
      </c>
      <c r="K96" s="28"/>
      <c r="L96" s="28"/>
      <c r="M96" s="28"/>
      <c r="N96" s="28"/>
      <c r="O96" s="28"/>
      <c r="AK96" s="28">
        <f t="shared" si="8"/>
        <v>0</v>
      </c>
      <c r="AL96" s="28" t="str">
        <f t="shared" ca="1" si="9"/>
        <v/>
      </c>
      <c r="AM96" s="28" t="str">
        <f t="shared" si="10"/>
        <v/>
      </c>
      <c r="AN96" s="28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28" t="str">
        <f t="shared" si="7"/>
        <v/>
      </c>
      <c r="F97" s="33"/>
      <c r="G97" s="41"/>
      <c r="I97" s="28"/>
      <c r="J97" s="173" t="str" cm="1">
        <f t="array" aca="1" ref="J97" ca="1">IFERROR(_xlfn.IFS(OR(AL97&lt;&gt;"",AP97&lt;&gt;""),"STCOアサイン済",OR(AN97&lt;&gt;"",AO97&lt;&gt;""),"CHAT中"),"")</f>
        <v/>
      </c>
      <c r="K97" s="28"/>
      <c r="L97" s="28"/>
      <c r="M97" s="28"/>
      <c r="N97" s="28"/>
      <c r="O97" s="28"/>
      <c r="AK97" s="28">
        <f t="shared" si="8"/>
        <v>0</v>
      </c>
      <c r="AL97" s="28" t="str">
        <f t="shared" ca="1" si="9"/>
        <v/>
      </c>
      <c r="AM97" s="28" t="str">
        <f t="shared" si="10"/>
        <v/>
      </c>
      <c r="AN97" s="28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28" t="str">
        <f t="shared" si="7"/>
        <v/>
      </c>
      <c r="F98" s="33"/>
      <c r="G98" s="41"/>
      <c r="I98" s="28"/>
      <c r="J98" s="173" t="str" cm="1">
        <f t="array" aca="1" ref="J98" ca="1">IFERROR(_xlfn.IFS(OR(AL98&lt;&gt;"",AP98&lt;&gt;""),"STCOアサイン済",OR(AN98&lt;&gt;"",AO98&lt;&gt;""),"CHAT中"),"")</f>
        <v/>
      </c>
      <c r="K98" s="28"/>
      <c r="L98" s="28"/>
      <c r="M98" s="28"/>
      <c r="N98" s="28"/>
      <c r="O98" s="28"/>
      <c r="AK98" s="28">
        <f t="shared" si="8"/>
        <v>0</v>
      </c>
      <c r="AL98" s="28" t="str">
        <f t="shared" ca="1" si="9"/>
        <v/>
      </c>
      <c r="AM98" s="28" t="str">
        <f t="shared" si="10"/>
        <v/>
      </c>
      <c r="AN98" s="28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28" t="str">
        <f t="shared" si="7"/>
        <v/>
      </c>
      <c r="F99" s="33"/>
      <c r="G99" s="41"/>
      <c r="I99" s="28"/>
      <c r="J99" s="173" t="str" cm="1">
        <f t="array" aca="1" ref="J99" ca="1">IFERROR(_xlfn.IFS(OR(AL99&lt;&gt;"",AP99&lt;&gt;""),"STCOアサイン済",OR(AN99&lt;&gt;"",AO99&lt;&gt;""),"CHAT中"),"")</f>
        <v/>
      </c>
      <c r="K99" s="28"/>
      <c r="L99" s="28"/>
      <c r="M99" s="28"/>
      <c r="N99" s="28"/>
      <c r="O99" s="28"/>
      <c r="AK99" s="28">
        <f t="shared" si="8"/>
        <v>0</v>
      </c>
      <c r="AL99" s="28" t="str">
        <f t="shared" ca="1" si="9"/>
        <v/>
      </c>
      <c r="AM99" s="28" t="str">
        <f t="shared" si="10"/>
        <v/>
      </c>
      <c r="AN99" s="28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28" t="str">
        <f t="shared" si="7"/>
        <v/>
      </c>
      <c r="F100" s="33"/>
      <c r="G100" s="41"/>
      <c r="I100" s="28"/>
      <c r="J100" s="173" t="str" cm="1">
        <f t="array" aca="1" ref="J100" ca="1">IFERROR(_xlfn.IFS(OR(AL100&lt;&gt;"",AP100&lt;&gt;""),"STCOアサイン済",OR(AN100&lt;&gt;"",AO100&lt;&gt;""),"CHAT中"),"")</f>
        <v/>
      </c>
      <c r="K100" s="28"/>
      <c r="L100" s="28"/>
      <c r="M100" s="28"/>
      <c r="N100" s="28"/>
      <c r="O100" s="28"/>
      <c r="AK100" s="28">
        <f t="shared" si="8"/>
        <v>0</v>
      </c>
      <c r="AL100" s="28" t="str">
        <f t="shared" ca="1" si="9"/>
        <v/>
      </c>
      <c r="AM100" s="28" t="str">
        <f t="shared" si="10"/>
        <v/>
      </c>
      <c r="AN100" s="28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28" t="str">
        <f t="shared" si="7"/>
        <v/>
      </c>
      <c r="F101" s="33"/>
      <c r="G101" s="41"/>
      <c r="I101" s="28"/>
      <c r="J101" s="173" t="str" cm="1">
        <f t="array" aca="1" ref="J101" ca="1">IFERROR(_xlfn.IFS(OR(AL101&lt;&gt;"",AP101&lt;&gt;""),"STCOアサイン済",OR(AN101&lt;&gt;"",AO101&lt;&gt;""),"CHAT中"),"")</f>
        <v/>
      </c>
      <c r="K101" s="28"/>
      <c r="L101" s="28"/>
      <c r="M101" s="28"/>
      <c r="N101" s="28"/>
      <c r="O101" s="28"/>
      <c r="AK101" s="28">
        <f t="shared" si="8"/>
        <v>0</v>
      </c>
      <c r="AL101" s="28" t="str">
        <f t="shared" ca="1" si="9"/>
        <v/>
      </c>
      <c r="AM101" s="28" t="str">
        <f t="shared" si="10"/>
        <v/>
      </c>
      <c r="AN101" s="28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28" t="str">
        <f t="shared" si="7"/>
        <v/>
      </c>
      <c r="F102" s="33"/>
      <c r="G102" s="41"/>
      <c r="I102" s="28"/>
      <c r="J102" s="173" t="str" cm="1">
        <f t="array" aca="1" ref="J102" ca="1">IFERROR(_xlfn.IFS(OR(AL102&lt;&gt;"",AP102&lt;&gt;""),"STCOアサイン済",OR(AN102&lt;&gt;"",AO102&lt;&gt;""),"CHAT中"),"")</f>
        <v/>
      </c>
      <c r="K102" s="28"/>
      <c r="L102" s="28"/>
      <c r="M102" s="28"/>
      <c r="N102" s="28"/>
      <c r="O102" s="28"/>
      <c r="AK102" s="28">
        <f t="shared" si="8"/>
        <v>0</v>
      </c>
      <c r="AL102" s="28" t="str">
        <f t="shared" ca="1" si="9"/>
        <v/>
      </c>
      <c r="AM102" s="28" t="str">
        <f t="shared" si="10"/>
        <v/>
      </c>
      <c r="AN102" s="28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28" t="str">
        <f t="shared" si="7"/>
        <v/>
      </c>
      <c r="F103" s="33"/>
      <c r="G103" s="41"/>
      <c r="I103" s="28"/>
      <c r="J103" s="173" t="str" cm="1">
        <f t="array" aca="1" ref="J103" ca="1">IFERROR(_xlfn.IFS(OR(AL103&lt;&gt;"",AP103&lt;&gt;""),"STCOアサイン済",OR(AN103&lt;&gt;"",AO103&lt;&gt;""),"CHAT中"),"")</f>
        <v/>
      </c>
      <c r="K103" s="28"/>
      <c r="L103" s="28"/>
      <c r="M103" s="28"/>
      <c r="N103" s="28"/>
      <c r="O103" s="28"/>
      <c r="AK103" s="28">
        <f t="shared" si="8"/>
        <v>0</v>
      </c>
      <c r="AL103" s="28" t="str">
        <f t="shared" ca="1" si="9"/>
        <v/>
      </c>
      <c r="AM103" s="28" t="str">
        <f t="shared" si="10"/>
        <v/>
      </c>
      <c r="AN103" s="28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28" t="str">
        <f t="shared" si="7"/>
        <v/>
      </c>
      <c r="F104" s="33"/>
      <c r="G104" s="41"/>
      <c r="I104" s="28"/>
      <c r="J104" s="173" t="str" cm="1">
        <f t="array" aca="1" ref="J104" ca="1">IFERROR(_xlfn.IFS(OR(AL104&lt;&gt;"",AP104&lt;&gt;""),"STCOアサイン済",OR(AN104&lt;&gt;"",AO104&lt;&gt;""),"CHAT中"),"")</f>
        <v/>
      </c>
      <c r="K104" s="28"/>
      <c r="L104" s="28"/>
      <c r="M104" s="28"/>
      <c r="N104" s="28"/>
      <c r="O104" s="28"/>
      <c r="AK104" s="28">
        <f t="shared" si="8"/>
        <v>0</v>
      </c>
      <c r="AL104" s="28" t="str">
        <f t="shared" ca="1" si="9"/>
        <v/>
      </c>
      <c r="AM104" s="28" t="str">
        <f t="shared" si="10"/>
        <v/>
      </c>
      <c r="AN104" s="28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28" t="str">
        <f t="shared" si="7"/>
        <v/>
      </c>
      <c r="F105" s="33"/>
      <c r="G105" s="41"/>
      <c r="I105" s="28"/>
      <c r="J105" s="173" t="str" cm="1">
        <f t="array" aca="1" ref="J105" ca="1">IFERROR(_xlfn.IFS(OR(AL105&lt;&gt;"",AP105&lt;&gt;""),"STCOアサイン済",OR(AN105&lt;&gt;"",AO105&lt;&gt;""),"CHAT中"),"")</f>
        <v/>
      </c>
      <c r="K105" s="28"/>
      <c r="L105" s="28"/>
      <c r="M105" s="28"/>
      <c r="N105" s="28"/>
      <c r="O105" s="28"/>
      <c r="AK105" s="28">
        <f t="shared" si="8"/>
        <v>0</v>
      </c>
      <c r="AL105" s="28" t="str">
        <f t="shared" ca="1" si="9"/>
        <v/>
      </c>
      <c r="AM105" s="28" t="str">
        <f t="shared" si="10"/>
        <v/>
      </c>
      <c r="AN105" s="28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28" t="str">
        <f t="shared" si="7"/>
        <v/>
      </c>
      <c r="F106" s="33"/>
      <c r="G106" s="41"/>
      <c r="I106" s="28"/>
      <c r="J106" s="173" t="str" cm="1">
        <f t="array" aca="1" ref="J106" ca="1">IFERROR(_xlfn.IFS(OR(AL106&lt;&gt;"",AP106&lt;&gt;""),"STCOアサイン済",OR(AN106&lt;&gt;"",AO106&lt;&gt;""),"CHAT中"),"")</f>
        <v/>
      </c>
      <c r="K106" s="28"/>
      <c r="L106" s="28"/>
      <c r="M106" s="28"/>
      <c r="N106" s="28"/>
      <c r="O106" s="28"/>
      <c r="AK106" s="28">
        <f t="shared" si="8"/>
        <v>0</v>
      </c>
      <c r="AL106" s="28" t="str">
        <f t="shared" ca="1" si="9"/>
        <v/>
      </c>
      <c r="AM106" s="28" t="str">
        <f t="shared" si="10"/>
        <v/>
      </c>
      <c r="AN106" s="28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28" t="str">
        <f t="shared" si="7"/>
        <v/>
      </c>
      <c r="F107" s="33"/>
      <c r="G107" s="41"/>
      <c r="I107" s="28"/>
      <c r="J107" s="173" t="str" cm="1">
        <f t="array" aca="1" ref="J107" ca="1">IFERROR(_xlfn.IFS(OR(AL107&lt;&gt;"",AP107&lt;&gt;""),"STCOアサイン済",OR(AN107&lt;&gt;"",AO107&lt;&gt;""),"CHAT中"),"")</f>
        <v/>
      </c>
      <c r="K107" s="28"/>
      <c r="L107" s="28"/>
      <c r="M107" s="28"/>
      <c r="N107" s="28"/>
      <c r="O107" s="28"/>
      <c r="AK107" s="28">
        <f t="shared" si="8"/>
        <v>0</v>
      </c>
      <c r="AL107" s="28" t="str">
        <f t="shared" ca="1" si="9"/>
        <v/>
      </c>
      <c r="AM107" s="28" t="str">
        <f t="shared" si="10"/>
        <v/>
      </c>
      <c r="AN107" s="28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28" t="str">
        <f t="shared" si="7"/>
        <v/>
      </c>
      <c r="I108" s="28"/>
      <c r="J108" s="173" t="str" cm="1">
        <f t="array" aca="1" ref="J108" ca="1">IFERROR(_xlfn.IFS(OR(AL108&lt;&gt;"",AP108&lt;&gt;""),"STCOアサイン済",OR(AN108&lt;&gt;"",AO108&lt;&gt;""),"CHAT中"),"")</f>
        <v/>
      </c>
      <c r="K108" s="28"/>
      <c r="L108" s="28"/>
      <c r="M108" s="28"/>
      <c r="N108" s="28"/>
      <c r="O108" s="28"/>
      <c r="AK108" s="28">
        <f t="shared" si="8"/>
        <v>0</v>
      </c>
      <c r="AL108" s="28" t="str">
        <f t="shared" ca="1" si="9"/>
        <v/>
      </c>
      <c r="AM108" s="28" t="str">
        <f t="shared" si="10"/>
        <v/>
      </c>
      <c r="AN108" s="28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28" t="str">
        <f t="shared" si="7"/>
        <v/>
      </c>
      <c r="I109" s="28"/>
      <c r="J109" s="173" t="str" cm="1">
        <f t="array" aca="1" ref="J109" ca="1">IFERROR(_xlfn.IFS(OR(AL109&lt;&gt;"",AP109&lt;&gt;""),"STCOアサイン済",OR(AN109&lt;&gt;"",AO109&lt;&gt;""),"CHAT中"),"")</f>
        <v/>
      </c>
      <c r="K109" s="28"/>
      <c r="L109" s="28"/>
      <c r="M109" s="28"/>
      <c r="N109" s="28"/>
      <c r="O109" s="28"/>
      <c r="AK109" s="28">
        <f t="shared" si="8"/>
        <v>0</v>
      </c>
      <c r="AL109" s="28" t="str">
        <f t="shared" ca="1" si="9"/>
        <v/>
      </c>
      <c r="AM109" s="28" t="str">
        <f t="shared" si="10"/>
        <v/>
      </c>
      <c r="AN109" s="28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28" t="str">
        <f t="shared" si="7"/>
        <v/>
      </c>
      <c r="I110" s="28"/>
      <c r="J110" s="173" t="str" cm="1">
        <f t="array" aca="1" ref="J110" ca="1">IFERROR(_xlfn.IFS(OR(AL110&lt;&gt;"",AP110&lt;&gt;""),"STCOアサイン済",OR(AN110&lt;&gt;"",AO110&lt;&gt;""),"CHAT中"),"")</f>
        <v/>
      </c>
      <c r="K110" s="28"/>
      <c r="L110" s="28"/>
      <c r="M110" s="28"/>
      <c r="N110" s="28"/>
      <c r="O110" s="28"/>
      <c r="AK110" s="28">
        <f t="shared" si="8"/>
        <v>0</v>
      </c>
      <c r="AL110" s="28" t="str">
        <f t="shared" ca="1" si="9"/>
        <v/>
      </c>
      <c r="AM110" s="28" t="str">
        <f t="shared" si="10"/>
        <v/>
      </c>
      <c r="AN110" s="28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28" t="str">
        <f t="shared" si="7"/>
        <v/>
      </c>
      <c r="I111" s="28"/>
      <c r="J111" s="173" t="str" cm="1">
        <f t="array" aca="1" ref="J111" ca="1">IFERROR(_xlfn.IFS(OR(AL111&lt;&gt;"",AP111&lt;&gt;""),"STCOアサイン済",OR(AN111&lt;&gt;"",AO111&lt;&gt;""),"CHAT中"),"")</f>
        <v/>
      </c>
      <c r="K111" s="28"/>
      <c r="L111" s="28"/>
      <c r="M111" s="28"/>
      <c r="N111" s="28"/>
      <c r="O111" s="28"/>
      <c r="AK111" s="28">
        <f t="shared" si="8"/>
        <v>0</v>
      </c>
      <c r="AL111" s="28" t="str">
        <f t="shared" ca="1" si="9"/>
        <v/>
      </c>
      <c r="AM111" s="28" t="str">
        <f t="shared" si="10"/>
        <v/>
      </c>
      <c r="AN111" s="28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28" t="str">
        <f t="shared" si="7"/>
        <v/>
      </c>
      <c r="I112" s="28"/>
      <c r="J112" s="173" t="str" cm="1">
        <f t="array" aca="1" ref="J112" ca="1">IFERROR(_xlfn.IFS(OR(AL112&lt;&gt;"",AP112&lt;&gt;""),"STCOアサイン済",OR(AN112&lt;&gt;"",AO112&lt;&gt;""),"CHAT中"),"")</f>
        <v/>
      </c>
      <c r="K112" s="28"/>
      <c r="L112" s="28"/>
      <c r="M112" s="28"/>
      <c r="N112" s="28"/>
      <c r="O112" s="28"/>
      <c r="AK112" s="28">
        <f t="shared" si="8"/>
        <v>0</v>
      </c>
      <c r="AL112" s="28" t="str">
        <f t="shared" ca="1" si="9"/>
        <v/>
      </c>
      <c r="AM112" s="28" t="str">
        <f t="shared" si="10"/>
        <v/>
      </c>
      <c r="AN112" s="28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28" t="str">
        <f t="shared" si="7"/>
        <v/>
      </c>
      <c r="I113" s="28"/>
      <c r="J113" s="173" t="str" cm="1">
        <f t="array" aca="1" ref="J113" ca="1">IFERROR(_xlfn.IFS(OR(AL113&lt;&gt;"",AP113&lt;&gt;""),"STCOアサイン済",OR(AN113&lt;&gt;"",AO113&lt;&gt;""),"CHAT中"),"")</f>
        <v/>
      </c>
      <c r="K113" s="28"/>
      <c r="L113" s="28"/>
      <c r="M113" s="28"/>
      <c r="N113" s="28"/>
      <c r="O113" s="28"/>
      <c r="AK113" s="28">
        <f t="shared" si="8"/>
        <v>0</v>
      </c>
      <c r="AL113" s="28" t="str">
        <f t="shared" ca="1" si="9"/>
        <v/>
      </c>
      <c r="AM113" s="28" t="str">
        <f t="shared" si="10"/>
        <v/>
      </c>
      <c r="AN113" s="28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28" t="str">
        <f t="shared" si="7"/>
        <v/>
      </c>
      <c r="I114" s="28"/>
      <c r="J114" s="173" t="str" cm="1">
        <f t="array" aca="1" ref="J114" ca="1">IFERROR(_xlfn.IFS(OR(AL114&lt;&gt;"",AP114&lt;&gt;""),"STCOアサイン済",OR(AN114&lt;&gt;"",AO114&lt;&gt;""),"CHAT中"),"")</f>
        <v/>
      </c>
      <c r="K114" s="28"/>
      <c r="L114" s="28"/>
      <c r="M114" s="28"/>
      <c r="N114" s="28"/>
      <c r="O114" s="28"/>
      <c r="AK114" s="28">
        <f t="shared" si="8"/>
        <v>0</v>
      </c>
      <c r="AL114" s="28" t="str">
        <f t="shared" ca="1" si="9"/>
        <v/>
      </c>
      <c r="AM114" s="28" t="str">
        <f t="shared" si="10"/>
        <v/>
      </c>
      <c r="AN114" s="28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28" t="str">
        <f t="shared" si="7"/>
        <v/>
      </c>
      <c r="I115" s="28"/>
      <c r="J115" s="173" t="str" cm="1">
        <f t="array" aca="1" ref="J115" ca="1">IFERROR(_xlfn.IFS(OR(AL115&lt;&gt;"",AP115&lt;&gt;""),"STCOアサイン済",OR(AN115&lt;&gt;"",AO115&lt;&gt;""),"CHAT中"),"")</f>
        <v/>
      </c>
      <c r="K115" s="28"/>
      <c r="L115" s="28"/>
      <c r="M115" s="28"/>
      <c r="N115" s="28"/>
      <c r="O115" s="28"/>
      <c r="AK115" s="28">
        <f t="shared" si="8"/>
        <v>0</v>
      </c>
      <c r="AL115" s="28" t="str">
        <f t="shared" ca="1" si="9"/>
        <v/>
      </c>
      <c r="AM115" s="28" t="str">
        <f t="shared" si="10"/>
        <v/>
      </c>
      <c r="AN115" s="28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28" t="str">
        <f t="shared" si="7"/>
        <v/>
      </c>
      <c r="I116" s="28"/>
      <c r="J116" s="173" t="str" cm="1">
        <f t="array" aca="1" ref="J116" ca="1">IFERROR(_xlfn.IFS(OR(AL116&lt;&gt;"",AP116&lt;&gt;""),"STCOアサイン済",OR(AN116&lt;&gt;"",AO116&lt;&gt;""),"CHAT中"),"")</f>
        <v/>
      </c>
      <c r="K116" s="28"/>
      <c r="L116" s="28"/>
      <c r="M116" s="28"/>
      <c r="N116" s="28"/>
      <c r="O116" s="28"/>
      <c r="AK116" s="28">
        <f t="shared" si="8"/>
        <v>0</v>
      </c>
      <c r="AL116" s="28" t="str">
        <f t="shared" ca="1" si="9"/>
        <v/>
      </c>
      <c r="AM116" s="28" t="str">
        <f t="shared" si="10"/>
        <v/>
      </c>
      <c r="AN116" s="28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28" t="str">
        <f t="shared" si="7"/>
        <v/>
      </c>
      <c r="I117" s="28"/>
      <c r="J117" s="173" t="str" cm="1">
        <f t="array" aca="1" ref="J117" ca="1">IFERROR(_xlfn.IFS(OR(AL117&lt;&gt;"",AP117&lt;&gt;""),"STCOアサイン済",OR(AN117&lt;&gt;"",AO117&lt;&gt;""),"CHAT中"),"")</f>
        <v/>
      </c>
      <c r="K117" s="28"/>
      <c r="L117" s="28"/>
      <c r="M117" s="28"/>
      <c r="N117" s="28"/>
      <c r="O117" s="28"/>
      <c r="AK117" s="28">
        <f t="shared" si="8"/>
        <v>0</v>
      </c>
      <c r="AL117" s="28" t="str">
        <f t="shared" ca="1" si="9"/>
        <v/>
      </c>
      <c r="AM117" s="28" t="str">
        <f t="shared" si="10"/>
        <v/>
      </c>
      <c r="AN117" s="28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28" t="str">
        <f t="shared" si="7"/>
        <v/>
      </c>
      <c r="I118" s="28"/>
      <c r="J118" s="173" t="str" cm="1">
        <f t="array" aca="1" ref="J118" ca="1">IFERROR(_xlfn.IFS(OR(AL118&lt;&gt;"",AP118&lt;&gt;""),"STCOアサイン済",OR(AN118&lt;&gt;"",AO118&lt;&gt;""),"CHAT中"),"")</f>
        <v/>
      </c>
      <c r="K118" s="28"/>
      <c r="L118" s="28"/>
      <c r="M118" s="28"/>
      <c r="N118" s="28"/>
      <c r="O118" s="28"/>
      <c r="AK118" s="28">
        <f t="shared" si="8"/>
        <v>0</v>
      </c>
      <c r="AL118" s="28" t="str">
        <f t="shared" ca="1" si="9"/>
        <v/>
      </c>
      <c r="AM118" s="28" t="str">
        <f t="shared" si="10"/>
        <v/>
      </c>
      <c r="AN118" s="28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28" t="str">
        <f t="shared" si="7"/>
        <v/>
      </c>
      <c r="I119" s="28"/>
      <c r="J119" s="173" t="str" cm="1">
        <f t="array" aca="1" ref="J119" ca="1">IFERROR(_xlfn.IFS(OR(AL119&lt;&gt;"",AP119&lt;&gt;""),"STCOアサイン済",OR(AN119&lt;&gt;"",AO119&lt;&gt;""),"CHAT中"),"")</f>
        <v/>
      </c>
      <c r="K119" s="28"/>
      <c r="L119" s="28"/>
      <c r="M119" s="28"/>
      <c r="N119" s="28"/>
      <c r="O119" s="28"/>
      <c r="AK119" s="28">
        <f t="shared" si="8"/>
        <v>0</v>
      </c>
      <c r="AL119" s="28" t="str">
        <f t="shared" ca="1" si="9"/>
        <v/>
      </c>
      <c r="AM119" s="28" t="str">
        <f t="shared" si="10"/>
        <v/>
      </c>
      <c r="AN119" s="28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28" t="str">
        <f t="shared" si="7"/>
        <v/>
      </c>
      <c r="I120" s="28"/>
      <c r="J120" s="173" t="str" cm="1">
        <f t="array" aca="1" ref="J120" ca="1">IFERROR(_xlfn.IFS(OR(AL120&lt;&gt;"",AP120&lt;&gt;""),"STCOアサイン済",OR(AN120&lt;&gt;"",AO120&lt;&gt;""),"CHAT中"),"")</f>
        <v/>
      </c>
      <c r="K120" s="28"/>
      <c r="L120" s="28"/>
      <c r="M120" s="28"/>
      <c r="N120" s="28"/>
      <c r="O120" s="28"/>
      <c r="AK120" s="28">
        <f t="shared" si="8"/>
        <v>0</v>
      </c>
      <c r="AL120" s="28" t="str">
        <f t="shared" ca="1" si="9"/>
        <v/>
      </c>
      <c r="AM120" s="28" t="str">
        <f t="shared" si="10"/>
        <v/>
      </c>
      <c r="AN120" s="28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28" t="str">
        <f t="shared" si="7"/>
        <v/>
      </c>
      <c r="I121" s="28"/>
      <c r="J121" s="173" t="str" cm="1">
        <f t="array" aca="1" ref="J121" ca="1">IFERROR(_xlfn.IFS(OR(AL121&lt;&gt;"",AP121&lt;&gt;""),"STCOアサイン済",OR(AN121&lt;&gt;"",AO121&lt;&gt;""),"CHAT中"),"")</f>
        <v/>
      </c>
      <c r="K121" s="28"/>
      <c r="L121" s="28"/>
      <c r="M121" s="28"/>
      <c r="N121" s="28"/>
      <c r="O121" s="28"/>
      <c r="AK121" s="28">
        <f t="shared" si="8"/>
        <v>0</v>
      </c>
      <c r="AL121" s="28" t="str">
        <f t="shared" ca="1" si="9"/>
        <v/>
      </c>
      <c r="AM121" s="28" t="str">
        <f t="shared" si="10"/>
        <v/>
      </c>
      <c r="AN121" s="28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28" t="str">
        <f t="shared" si="7"/>
        <v/>
      </c>
      <c r="I122" s="28"/>
      <c r="J122" s="173" t="str" cm="1">
        <f t="array" aca="1" ref="J122" ca="1">IFERROR(_xlfn.IFS(OR(AL122&lt;&gt;"",AP122&lt;&gt;""),"STCOアサイン済",OR(AN122&lt;&gt;"",AO122&lt;&gt;""),"CHAT中"),"")</f>
        <v/>
      </c>
      <c r="K122" s="28"/>
      <c r="L122" s="28"/>
      <c r="M122" s="28"/>
      <c r="N122" s="28"/>
      <c r="O122" s="28"/>
      <c r="AK122" s="28">
        <f t="shared" si="8"/>
        <v>0</v>
      </c>
      <c r="AL122" s="28" t="str">
        <f t="shared" ca="1" si="9"/>
        <v/>
      </c>
      <c r="AM122" s="28" t="str">
        <f t="shared" si="10"/>
        <v/>
      </c>
      <c r="AN122" s="28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28" t="str">
        <f t="shared" si="7"/>
        <v/>
      </c>
      <c r="I123" s="28"/>
      <c r="J123" s="173" t="str" cm="1">
        <f t="array" aca="1" ref="J123" ca="1">IFERROR(_xlfn.IFS(OR(AL123&lt;&gt;"",AP123&lt;&gt;""),"STCOアサイン済",OR(AN123&lt;&gt;"",AO123&lt;&gt;""),"CHAT中"),"")</f>
        <v/>
      </c>
      <c r="K123" s="28"/>
      <c r="L123" s="28"/>
      <c r="M123" s="28"/>
      <c r="N123" s="28"/>
      <c r="O123" s="28"/>
      <c r="AK123" s="28">
        <f t="shared" si="8"/>
        <v>0</v>
      </c>
      <c r="AL123" s="28" t="str">
        <f t="shared" ca="1" si="9"/>
        <v/>
      </c>
      <c r="AM123" s="28" t="str">
        <f t="shared" si="10"/>
        <v/>
      </c>
      <c r="AN123" s="28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28" t="str">
        <f t="shared" si="7"/>
        <v/>
      </c>
      <c r="I124" s="28"/>
      <c r="J124" s="173" t="str" cm="1">
        <f t="array" aca="1" ref="J124" ca="1">IFERROR(_xlfn.IFS(OR(AL124&lt;&gt;"",AP124&lt;&gt;""),"STCOアサイン済",OR(AN124&lt;&gt;"",AO124&lt;&gt;""),"CHAT中"),"")</f>
        <v/>
      </c>
      <c r="K124" s="28"/>
      <c r="L124" s="28"/>
      <c r="M124" s="28"/>
      <c r="N124" s="28"/>
      <c r="O124" s="28"/>
      <c r="AK124" s="28">
        <f t="shared" si="8"/>
        <v>0</v>
      </c>
      <c r="AL124" s="28" t="str">
        <f t="shared" ca="1" si="9"/>
        <v/>
      </c>
      <c r="AM124" s="28" t="str">
        <f t="shared" si="10"/>
        <v/>
      </c>
      <c r="AN124" s="28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28" t="str">
        <f t="shared" si="7"/>
        <v/>
      </c>
      <c r="I125" s="28"/>
      <c r="J125" s="173" t="str" cm="1">
        <f t="array" aca="1" ref="J125" ca="1">IFERROR(_xlfn.IFS(OR(AL125&lt;&gt;"",AP125&lt;&gt;""),"STCOアサイン済",OR(AN125&lt;&gt;"",AO125&lt;&gt;""),"CHAT中"),"")</f>
        <v/>
      </c>
      <c r="K125" s="28"/>
      <c r="L125" s="28"/>
      <c r="M125" s="28"/>
      <c r="N125" s="28"/>
      <c r="O125" s="28"/>
      <c r="AK125" s="28">
        <f t="shared" si="8"/>
        <v>0</v>
      </c>
      <c r="AL125" s="28" t="str">
        <f t="shared" ca="1" si="9"/>
        <v/>
      </c>
      <c r="AM125" s="28" t="str">
        <f t="shared" si="10"/>
        <v/>
      </c>
      <c r="AN125" s="28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28" t="str">
        <f t="shared" si="7"/>
        <v/>
      </c>
      <c r="I126" s="28"/>
      <c r="J126" s="173" t="str" cm="1">
        <f t="array" aca="1" ref="J126" ca="1">IFERROR(_xlfn.IFS(OR(AL126&lt;&gt;"",AP126&lt;&gt;""),"STCOアサイン済",OR(AN126&lt;&gt;"",AO126&lt;&gt;""),"CHAT中"),"")</f>
        <v/>
      </c>
      <c r="K126" s="28"/>
      <c r="L126" s="28"/>
      <c r="M126" s="28"/>
      <c r="N126" s="28"/>
      <c r="O126" s="28"/>
      <c r="AK126" s="28">
        <f t="shared" si="8"/>
        <v>0</v>
      </c>
      <c r="AL126" s="28" t="str">
        <f t="shared" ca="1" si="9"/>
        <v/>
      </c>
      <c r="AM126" s="28" t="str">
        <f t="shared" si="10"/>
        <v/>
      </c>
      <c r="AN126" s="28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28" t="str">
        <f t="shared" si="7"/>
        <v/>
      </c>
      <c r="I127" s="28"/>
      <c r="J127" s="173" t="str" cm="1">
        <f t="array" aca="1" ref="J127" ca="1">IFERROR(_xlfn.IFS(OR(AL127&lt;&gt;"",AP127&lt;&gt;""),"STCOアサイン済",OR(AN127&lt;&gt;"",AO127&lt;&gt;""),"CHAT中"),"")</f>
        <v/>
      </c>
      <c r="K127" s="28"/>
      <c r="L127" s="28"/>
      <c r="M127" s="28"/>
      <c r="N127" s="28"/>
      <c r="O127" s="28"/>
      <c r="AK127" s="28">
        <f t="shared" si="8"/>
        <v>0</v>
      </c>
      <c r="AL127" s="28" t="str">
        <f t="shared" ca="1" si="9"/>
        <v/>
      </c>
      <c r="AM127" s="28" t="str">
        <f t="shared" si="10"/>
        <v/>
      </c>
      <c r="AN127" s="28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28" t="str">
        <f t="shared" si="7"/>
        <v/>
      </c>
      <c r="I128" s="28"/>
      <c r="J128" s="173" t="str" cm="1">
        <f t="array" aca="1" ref="J128" ca="1">IFERROR(_xlfn.IFS(OR(AL128&lt;&gt;"",AP128&lt;&gt;""),"STCOアサイン済",OR(AN128&lt;&gt;"",AO128&lt;&gt;""),"CHAT中"),"")</f>
        <v/>
      </c>
      <c r="K128" s="28"/>
      <c r="L128" s="28"/>
      <c r="M128" s="28"/>
      <c r="N128" s="28"/>
      <c r="O128" s="28"/>
      <c r="AK128" s="28">
        <f t="shared" si="8"/>
        <v>0</v>
      </c>
      <c r="AL128" s="28" t="str">
        <f t="shared" ca="1" si="9"/>
        <v/>
      </c>
      <c r="AM128" s="28" t="str">
        <f t="shared" si="10"/>
        <v/>
      </c>
      <c r="AN128" s="28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28" t="str">
        <f t="shared" si="7"/>
        <v/>
      </c>
      <c r="I129" s="28"/>
      <c r="J129" s="173" t="str" cm="1">
        <f t="array" aca="1" ref="J129" ca="1">IFERROR(_xlfn.IFS(OR(AL129&lt;&gt;"",AP129&lt;&gt;""),"STCOアサイン済",OR(AN129&lt;&gt;"",AO129&lt;&gt;""),"CHAT中"),"")</f>
        <v/>
      </c>
      <c r="K129" s="28"/>
      <c r="L129" s="28"/>
      <c r="M129" s="28"/>
      <c r="N129" s="28"/>
      <c r="O129" s="28"/>
      <c r="AK129" s="28">
        <f t="shared" si="8"/>
        <v>0</v>
      </c>
      <c r="AL129" s="28" t="str">
        <f t="shared" ca="1" si="9"/>
        <v/>
      </c>
      <c r="AM129" s="28" t="str">
        <f t="shared" si="10"/>
        <v/>
      </c>
      <c r="AN129" s="28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28" t="str">
        <f t="shared" si="7"/>
        <v/>
      </c>
      <c r="I130" s="28"/>
      <c r="J130" s="173" t="str" cm="1">
        <f t="array" aca="1" ref="J130" ca="1">IFERROR(_xlfn.IFS(OR(AL130&lt;&gt;"",AP130&lt;&gt;""),"STCOアサイン済",OR(AN130&lt;&gt;"",AO130&lt;&gt;""),"CHAT中"),"")</f>
        <v/>
      </c>
      <c r="K130" s="28"/>
      <c r="L130" s="28"/>
      <c r="M130" s="28"/>
      <c r="N130" s="28"/>
      <c r="O130" s="28"/>
      <c r="AK130" s="28">
        <f t="shared" si="8"/>
        <v>0</v>
      </c>
      <c r="AL130" s="28" t="str">
        <f t="shared" ca="1" si="9"/>
        <v/>
      </c>
      <c r="AM130" s="28" t="str">
        <f t="shared" si="10"/>
        <v/>
      </c>
      <c r="AN130" s="28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28" t="str">
        <f t="shared" si="7"/>
        <v/>
      </c>
      <c r="I131" s="28"/>
      <c r="J131" s="173" t="str" cm="1">
        <f t="array" aca="1" ref="J131" ca="1">IFERROR(_xlfn.IFS(OR(AL131&lt;&gt;"",AP131&lt;&gt;""),"STCOアサイン済",OR(AN131&lt;&gt;"",AO131&lt;&gt;""),"CHAT中"),"")</f>
        <v/>
      </c>
      <c r="K131" s="28"/>
      <c r="L131" s="28"/>
      <c r="M131" s="28"/>
      <c r="N131" s="28"/>
      <c r="O131" s="28"/>
      <c r="AK131" s="28">
        <f t="shared" si="8"/>
        <v>0</v>
      </c>
      <c r="AL131" s="28" t="str">
        <f t="shared" ca="1" si="9"/>
        <v/>
      </c>
      <c r="AM131" s="28" t="str">
        <f t="shared" si="10"/>
        <v/>
      </c>
      <c r="AN131" s="28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28" t="str">
        <f t="shared" si="7"/>
        <v/>
      </c>
      <c r="I132" s="28"/>
      <c r="J132" s="173" t="str" cm="1">
        <f t="array" aca="1" ref="J132" ca="1">IFERROR(_xlfn.IFS(OR(AL132&lt;&gt;"",AP132&lt;&gt;""),"STCOアサイン済",OR(AN132&lt;&gt;"",AO132&lt;&gt;""),"CHAT中"),"")</f>
        <v/>
      </c>
      <c r="K132" s="28"/>
      <c r="L132" s="28"/>
      <c r="M132" s="28"/>
      <c r="N132" s="28"/>
      <c r="O132" s="28"/>
      <c r="AK132" s="28">
        <f t="shared" si="8"/>
        <v>0</v>
      </c>
      <c r="AL132" s="28" t="str">
        <f t="shared" ca="1" si="9"/>
        <v/>
      </c>
      <c r="AM132" s="28" t="str">
        <f t="shared" si="10"/>
        <v/>
      </c>
      <c r="AN132" s="28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28" t="str">
        <f t="shared" si="7"/>
        <v/>
      </c>
      <c r="I133" s="28"/>
      <c r="J133" s="173" t="str" cm="1">
        <f t="array" aca="1" ref="J133" ca="1">IFERROR(_xlfn.IFS(OR(AL133&lt;&gt;"",AP133&lt;&gt;""),"STCOアサイン済",OR(AN133&lt;&gt;"",AO133&lt;&gt;""),"CHAT中"),"")</f>
        <v/>
      </c>
      <c r="K133" s="28"/>
      <c r="L133" s="28"/>
      <c r="M133" s="28"/>
      <c r="N133" s="28"/>
      <c r="O133" s="28"/>
      <c r="AK133" s="28">
        <f t="shared" si="8"/>
        <v>0</v>
      </c>
      <c r="AL133" s="28" t="str">
        <f t="shared" ca="1" si="9"/>
        <v/>
      </c>
      <c r="AM133" s="28" t="str">
        <f t="shared" si="10"/>
        <v/>
      </c>
      <c r="AN133" s="28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28" t="str">
        <f t="shared" si="7"/>
        <v/>
      </c>
      <c r="I134" s="28"/>
      <c r="J134" s="173" t="str" cm="1">
        <f t="array" aca="1" ref="J134" ca="1">IFERROR(_xlfn.IFS(OR(AL134&lt;&gt;"",AP134&lt;&gt;""),"STCOアサイン済",OR(AN134&lt;&gt;"",AO134&lt;&gt;""),"CHAT中"),"")</f>
        <v/>
      </c>
      <c r="K134" s="28"/>
      <c r="L134" s="28"/>
      <c r="M134" s="28"/>
      <c r="N134" s="28"/>
      <c r="O134" s="28"/>
      <c r="AK134" s="28">
        <f t="shared" si="8"/>
        <v>0</v>
      </c>
      <c r="AL134" s="28" t="str">
        <f t="shared" ca="1" si="9"/>
        <v/>
      </c>
      <c r="AM134" s="28" t="str">
        <f t="shared" si="10"/>
        <v/>
      </c>
      <c r="AN134" s="28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28" t="str">
        <f t="shared" si="7"/>
        <v/>
      </c>
      <c r="I135" s="28"/>
      <c r="J135" s="173" t="str" cm="1">
        <f t="array" aca="1" ref="J135" ca="1">IFERROR(_xlfn.IFS(OR(AL135&lt;&gt;"",AP135&lt;&gt;""),"STCOアサイン済",OR(AN135&lt;&gt;"",AO135&lt;&gt;""),"CHAT中"),"")</f>
        <v/>
      </c>
      <c r="K135" s="28"/>
      <c r="L135" s="28"/>
      <c r="M135" s="28"/>
      <c r="N135" s="28"/>
      <c r="O135" s="28"/>
      <c r="AK135" s="28">
        <f t="shared" si="8"/>
        <v>0</v>
      </c>
      <c r="AL135" s="28" t="str">
        <f t="shared" ca="1" si="9"/>
        <v/>
      </c>
      <c r="AM135" s="28" t="str">
        <f t="shared" si="10"/>
        <v/>
      </c>
      <c r="AN135" s="28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28" t="str">
        <f t="shared" ref="A136:A199" si="14">IF(ISBLANK($I136), "", _xlfn.IFS($I136&gt;10, "DS", $I136&lt;=10, "未定"))</f>
        <v/>
      </c>
      <c r="I136" s="28"/>
      <c r="J136" s="173" t="str" cm="1">
        <f t="array" aca="1" ref="J136" ca="1">IFERROR(_xlfn.IFS(OR(AL136&lt;&gt;"",AP136&lt;&gt;""),"STCOアサイン済",OR(AN136&lt;&gt;"",AO136&lt;&gt;""),"CHAT中"),"")</f>
        <v/>
      </c>
      <c r="K136" s="28"/>
      <c r="L136" s="28"/>
      <c r="M136" s="28"/>
      <c r="N136" s="28"/>
      <c r="O136" s="28"/>
      <c r="AK136" s="28">
        <f t="shared" si="8"/>
        <v>0</v>
      </c>
      <c r="AL136" s="28" t="str">
        <f t="shared" ca="1" si="9"/>
        <v/>
      </c>
      <c r="AM136" s="28" t="str">
        <f t="shared" si="10"/>
        <v/>
      </c>
      <c r="AN136" s="28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28" t="str">
        <f t="shared" si="14"/>
        <v/>
      </c>
      <c r="I137" s="28"/>
      <c r="J137" s="173" t="str" cm="1">
        <f t="array" aca="1" ref="J137" ca="1">IFERROR(_xlfn.IFS(OR(AL137&lt;&gt;"",AP137&lt;&gt;""),"STCOアサイン済",OR(AN137&lt;&gt;"",AO137&lt;&gt;""),"CHAT中"),"")</f>
        <v/>
      </c>
      <c r="K137" s="28"/>
      <c r="L137" s="28"/>
      <c r="M137" s="28"/>
      <c r="N137" s="28"/>
      <c r="O137" s="28"/>
      <c r="AK137" s="28">
        <f t="shared" ref="AK137:AK200" si="15">C137</f>
        <v>0</v>
      </c>
      <c r="AL137" s="28" t="str">
        <f t="shared" ref="AL137:AL200" ca="1" si="16">IF(SUMIF(INDIRECT($AL$7&amp;"!$AM$5:$AM$800"),C137&amp;$AL$6,INDIRECT($AL$7&amp;"!$AN$5:$AN$800"))&lt;=0,"")</f>
        <v/>
      </c>
      <c r="AM137" s="28" t="str">
        <f t="shared" ref="AM137:AM200" si="17">IF(A137="","",A137)</f>
        <v/>
      </c>
      <c r="AN137" s="28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28" t="str">
        <f t="shared" si="14"/>
        <v/>
      </c>
      <c r="I138" s="28"/>
      <c r="J138" s="173" t="str" cm="1">
        <f t="array" aca="1" ref="J138" ca="1">IFERROR(_xlfn.IFS(OR(AL138&lt;&gt;"",AP138&lt;&gt;""),"STCOアサイン済",OR(AN138&lt;&gt;"",AO138&lt;&gt;""),"CHAT中"),"")</f>
        <v/>
      </c>
      <c r="K138" s="28"/>
      <c r="L138" s="28"/>
      <c r="M138" s="28"/>
      <c r="N138" s="28"/>
      <c r="O138" s="28"/>
      <c r="AK138" s="28">
        <f t="shared" si="15"/>
        <v>0</v>
      </c>
      <c r="AL138" s="28" t="str">
        <f t="shared" ca="1" si="16"/>
        <v/>
      </c>
      <c r="AM138" s="28" t="str">
        <f t="shared" si="17"/>
        <v/>
      </c>
      <c r="AN138" s="28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28" t="str">
        <f t="shared" si="14"/>
        <v/>
      </c>
      <c r="I139" s="28"/>
      <c r="J139" s="173" t="str" cm="1">
        <f t="array" aca="1" ref="J139" ca="1">IFERROR(_xlfn.IFS(OR(AL139&lt;&gt;"",AP139&lt;&gt;""),"STCOアサイン済",OR(AN139&lt;&gt;"",AO139&lt;&gt;""),"CHAT中"),"")</f>
        <v/>
      </c>
      <c r="K139" s="28"/>
      <c r="L139" s="28"/>
      <c r="M139" s="28"/>
      <c r="N139" s="28"/>
      <c r="O139" s="28"/>
      <c r="AK139" s="28">
        <f t="shared" si="15"/>
        <v>0</v>
      </c>
      <c r="AL139" s="28" t="str">
        <f t="shared" ca="1" si="16"/>
        <v/>
      </c>
      <c r="AM139" s="28" t="str">
        <f t="shared" si="17"/>
        <v/>
      </c>
      <c r="AN139" s="28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28" t="str">
        <f t="shared" si="14"/>
        <v/>
      </c>
      <c r="I140" s="28"/>
      <c r="J140" s="173" t="str" cm="1">
        <f t="array" aca="1" ref="J140" ca="1">IFERROR(_xlfn.IFS(OR(AL140&lt;&gt;"",AP140&lt;&gt;""),"STCOアサイン済",OR(AN140&lt;&gt;"",AO140&lt;&gt;""),"CHAT中"),"")</f>
        <v/>
      </c>
      <c r="K140" s="28"/>
      <c r="L140" s="28"/>
      <c r="M140" s="28"/>
      <c r="N140" s="28"/>
      <c r="O140" s="28"/>
      <c r="AK140" s="28">
        <f t="shared" si="15"/>
        <v>0</v>
      </c>
      <c r="AL140" s="28" t="str">
        <f t="shared" ca="1" si="16"/>
        <v/>
      </c>
      <c r="AM140" s="28" t="str">
        <f t="shared" si="17"/>
        <v/>
      </c>
      <c r="AN140" s="28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28" t="str">
        <f t="shared" si="14"/>
        <v/>
      </c>
      <c r="I141" s="28"/>
      <c r="J141" s="173" t="str" cm="1">
        <f t="array" aca="1" ref="J141" ca="1">IFERROR(_xlfn.IFS(OR(AL141&lt;&gt;"",AP141&lt;&gt;""),"STCOアサイン済",OR(AN141&lt;&gt;"",AO141&lt;&gt;""),"CHAT中"),"")</f>
        <v/>
      </c>
      <c r="K141" s="28"/>
      <c r="L141" s="28"/>
      <c r="M141" s="28"/>
      <c r="N141" s="28"/>
      <c r="O141" s="28"/>
      <c r="AK141" s="28">
        <f t="shared" si="15"/>
        <v>0</v>
      </c>
      <c r="AL141" s="28" t="str">
        <f t="shared" ca="1" si="16"/>
        <v/>
      </c>
      <c r="AM141" s="28" t="str">
        <f t="shared" si="17"/>
        <v/>
      </c>
      <c r="AN141" s="28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28" t="str">
        <f t="shared" si="14"/>
        <v/>
      </c>
      <c r="I142" s="28"/>
      <c r="J142" s="173" t="str" cm="1">
        <f t="array" aca="1" ref="J142" ca="1">IFERROR(_xlfn.IFS(OR(AL142&lt;&gt;"",AP142&lt;&gt;""),"STCOアサイン済",OR(AN142&lt;&gt;"",AO142&lt;&gt;""),"CHAT中"),"")</f>
        <v/>
      </c>
      <c r="K142" s="28"/>
      <c r="L142" s="28"/>
      <c r="M142" s="28"/>
      <c r="N142" s="28"/>
      <c r="O142" s="28"/>
      <c r="AK142" s="28">
        <f t="shared" si="15"/>
        <v>0</v>
      </c>
      <c r="AL142" s="28" t="str">
        <f t="shared" ca="1" si="16"/>
        <v/>
      </c>
      <c r="AM142" s="28" t="str">
        <f t="shared" si="17"/>
        <v/>
      </c>
      <c r="AN142" s="28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28" t="str">
        <f t="shared" si="14"/>
        <v/>
      </c>
      <c r="I143" s="28"/>
      <c r="J143" s="173" t="str" cm="1">
        <f t="array" aca="1" ref="J143" ca="1">IFERROR(_xlfn.IFS(OR(AL143&lt;&gt;"",AP143&lt;&gt;""),"STCOアサイン済",OR(AN143&lt;&gt;"",AO143&lt;&gt;""),"CHAT中"),"")</f>
        <v/>
      </c>
      <c r="K143" s="28"/>
      <c r="L143" s="28"/>
      <c r="M143" s="28"/>
      <c r="N143" s="28"/>
      <c r="O143" s="28"/>
      <c r="AK143" s="28">
        <f t="shared" si="15"/>
        <v>0</v>
      </c>
      <c r="AL143" s="28" t="str">
        <f t="shared" ca="1" si="16"/>
        <v/>
      </c>
      <c r="AM143" s="28" t="str">
        <f t="shared" si="17"/>
        <v/>
      </c>
      <c r="AN143" s="28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28" t="str">
        <f t="shared" si="14"/>
        <v/>
      </c>
      <c r="I144" s="28"/>
      <c r="J144" s="173" t="str" cm="1">
        <f t="array" aca="1" ref="J144" ca="1">IFERROR(_xlfn.IFS(OR(AL144&lt;&gt;"",AP144&lt;&gt;""),"STCOアサイン済",OR(AN144&lt;&gt;"",AO144&lt;&gt;""),"CHAT中"),"")</f>
        <v/>
      </c>
      <c r="K144" s="28"/>
      <c r="L144" s="28"/>
      <c r="M144" s="28"/>
      <c r="N144" s="28"/>
      <c r="O144" s="28"/>
      <c r="AK144" s="28">
        <f t="shared" si="15"/>
        <v>0</v>
      </c>
      <c r="AL144" s="28" t="str">
        <f t="shared" ca="1" si="16"/>
        <v/>
      </c>
      <c r="AM144" s="28" t="str">
        <f t="shared" si="17"/>
        <v/>
      </c>
      <c r="AN144" s="28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28" t="str">
        <f t="shared" si="14"/>
        <v/>
      </c>
      <c r="I145" s="28"/>
      <c r="J145" s="173" t="str" cm="1">
        <f t="array" aca="1" ref="J145" ca="1">IFERROR(_xlfn.IFS(OR(AL145&lt;&gt;"",AP145&lt;&gt;""),"STCOアサイン済",OR(AN145&lt;&gt;"",AO145&lt;&gt;""),"CHAT中"),"")</f>
        <v/>
      </c>
      <c r="K145" s="28"/>
      <c r="L145" s="28"/>
      <c r="M145" s="28"/>
      <c r="N145" s="28"/>
      <c r="O145" s="28"/>
      <c r="AK145" s="28">
        <f t="shared" si="15"/>
        <v>0</v>
      </c>
      <c r="AL145" s="28" t="str">
        <f t="shared" ca="1" si="16"/>
        <v/>
      </c>
      <c r="AM145" s="28" t="str">
        <f t="shared" si="17"/>
        <v/>
      </c>
      <c r="AN145" s="28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28" t="str">
        <f t="shared" si="14"/>
        <v/>
      </c>
      <c r="I146" s="28"/>
      <c r="J146" s="173" t="str" cm="1">
        <f t="array" aca="1" ref="J146" ca="1">IFERROR(_xlfn.IFS(OR(AL146&lt;&gt;"",AP146&lt;&gt;""),"STCOアサイン済",OR(AN146&lt;&gt;"",AO146&lt;&gt;""),"CHAT中"),"")</f>
        <v/>
      </c>
      <c r="K146" s="28"/>
      <c r="L146" s="28"/>
      <c r="M146" s="28"/>
      <c r="N146" s="28"/>
      <c r="O146" s="28"/>
      <c r="AK146" s="28">
        <f t="shared" si="15"/>
        <v>0</v>
      </c>
      <c r="AL146" s="28" t="str">
        <f t="shared" ca="1" si="16"/>
        <v/>
      </c>
      <c r="AM146" s="28" t="str">
        <f t="shared" si="17"/>
        <v/>
      </c>
      <c r="AN146" s="28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28" t="str">
        <f t="shared" si="14"/>
        <v/>
      </c>
      <c r="I147" s="28"/>
      <c r="J147" s="173" t="str" cm="1">
        <f t="array" aca="1" ref="J147" ca="1">IFERROR(_xlfn.IFS(OR(AL147&lt;&gt;"",AP147&lt;&gt;""),"STCOアサイン済",OR(AN147&lt;&gt;"",AO147&lt;&gt;""),"CHAT中"),"")</f>
        <v/>
      </c>
      <c r="K147" s="28"/>
      <c r="L147" s="28"/>
      <c r="M147" s="28"/>
      <c r="N147" s="28"/>
      <c r="O147" s="28"/>
      <c r="AK147" s="28">
        <f t="shared" si="15"/>
        <v>0</v>
      </c>
      <c r="AL147" s="28" t="str">
        <f t="shared" ca="1" si="16"/>
        <v/>
      </c>
      <c r="AM147" s="28" t="str">
        <f t="shared" si="17"/>
        <v/>
      </c>
      <c r="AN147" s="28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28" t="str">
        <f t="shared" si="14"/>
        <v/>
      </c>
      <c r="I148" s="28"/>
      <c r="J148" s="173" t="str" cm="1">
        <f t="array" aca="1" ref="J148" ca="1">IFERROR(_xlfn.IFS(OR(AL148&lt;&gt;"",AP148&lt;&gt;""),"STCOアサイン済",OR(AN148&lt;&gt;"",AO148&lt;&gt;""),"CHAT中"),"")</f>
        <v/>
      </c>
      <c r="K148" s="28"/>
      <c r="L148" s="28"/>
      <c r="M148" s="28"/>
      <c r="N148" s="28"/>
      <c r="O148" s="28"/>
      <c r="AK148" s="28">
        <f t="shared" si="15"/>
        <v>0</v>
      </c>
      <c r="AL148" s="28" t="str">
        <f t="shared" ca="1" si="16"/>
        <v/>
      </c>
      <c r="AM148" s="28" t="str">
        <f t="shared" si="17"/>
        <v/>
      </c>
      <c r="AN148" s="28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28" t="str">
        <f t="shared" si="14"/>
        <v/>
      </c>
      <c r="I149" s="28"/>
      <c r="J149" s="173" t="str" cm="1">
        <f t="array" aca="1" ref="J149" ca="1">IFERROR(_xlfn.IFS(OR(AL149&lt;&gt;"",AP149&lt;&gt;""),"STCOアサイン済",OR(AN149&lt;&gt;"",AO149&lt;&gt;""),"CHAT中"),"")</f>
        <v/>
      </c>
      <c r="K149" s="28"/>
      <c r="L149" s="28"/>
      <c r="M149" s="28"/>
      <c r="N149" s="28"/>
      <c r="O149" s="28"/>
      <c r="AK149" s="28">
        <f t="shared" si="15"/>
        <v>0</v>
      </c>
      <c r="AL149" s="28" t="str">
        <f t="shared" ca="1" si="16"/>
        <v/>
      </c>
      <c r="AM149" s="28" t="str">
        <f t="shared" si="17"/>
        <v/>
      </c>
      <c r="AN149" s="28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28" t="str">
        <f t="shared" si="14"/>
        <v/>
      </c>
      <c r="I150" s="28"/>
      <c r="J150" s="173" t="str" cm="1">
        <f t="array" aca="1" ref="J150" ca="1">IFERROR(_xlfn.IFS(OR(AL150&lt;&gt;"",AP150&lt;&gt;""),"STCOアサイン済",OR(AN150&lt;&gt;"",AO150&lt;&gt;""),"CHAT中"),"")</f>
        <v/>
      </c>
      <c r="K150" s="28"/>
      <c r="L150" s="28"/>
      <c r="M150" s="28"/>
      <c r="N150" s="28"/>
      <c r="O150" s="28"/>
      <c r="AK150" s="28">
        <f t="shared" si="15"/>
        <v>0</v>
      </c>
      <c r="AL150" s="28" t="str">
        <f t="shared" ca="1" si="16"/>
        <v/>
      </c>
      <c r="AM150" s="28" t="str">
        <f t="shared" si="17"/>
        <v/>
      </c>
      <c r="AN150" s="28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28" t="str">
        <f t="shared" si="14"/>
        <v/>
      </c>
      <c r="I151" s="28"/>
      <c r="J151" s="173" t="str" cm="1">
        <f t="array" aca="1" ref="J151" ca="1">IFERROR(_xlfn.IFS(OR(AL151&lt;&gt;"",AP151&lt;&gt;""),"STCOアサイン済",OR(AN151&lt;&gt;"",AO151&lt;&gt;""),"CHAT中"),"")</f>
        <v/>
      </c>
      <c r="K151" s="28"/>
      <c r="L151" s="28"/>
      <c r="M151" s="28"/>
      <c r="N151" s="28"/>
      <c r="O151" s="28"/>
      <c r="AK151" s="28">
        <f t="shared" si="15"/>
        <v>0</v>
      </c>
      <c r="AL151" s="28" t="str">
        <f t="shared" ca="1" si="16"/>
        <v/>
      </c>
      <c r="AM151" s="28" t="str">
        <f t="shared" si="17"/>
        <v/>
      </c>
      <c r="AN151" s="28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28" t="str">
        <f t="shared" si="14"/>
        <v/>
      </c>
      <c r="I152" s="28"/>
      <c r="J152" s="173" t="str" cm="1">
        <f t="array" aca="1" ref="J152" ca="1">IFERROR(_xlfn.IFS(OR(AL152&lt;&gt;"",AP152&lt;&gt;""),"STCOアサイン済",OR(AN152&lt;&gt;"",AO152&lt;&gt;""),"CHAT中"),"")</f>
        <v/>
      </c>
      <c r="K152" s="28"/>
      <c r="L152" s="28"/>
      <c r="M152" s="28"/>
      <c r="N152" s="28"/>
      <c r="O152" s="28"/>
      <c r="AK152" s="28">
        <f t="shared" si="15"/>
        <v>0</v>
      </c>
      <c r="AL152" s="28" t="str">
        <f t="shared" ca="1" si="16"/>
        <v/>
      </c>
      <c r="AM152" s="28" t="str">
        <f t="shared" si="17"/>
        <v/>
      </c>
      <c r="AN152" s="28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28" t="str">
        <f t="shared" si="14"/>
        <v/>
      </c>
      <c r="I153" s="28"/>
      <c r="J153" s="173" t="str" cm="1">
        <f t="array" aca="1" ref="J153" ca="1">IFERROR(_xlfn.IFS(OR(AL153&lt;&gt;"",AP153&lt;&gt;""),"STCOアサイン済",OR(AN153&lt;&gt;"",AO153&lt;&gt;""),"CHAT中"),"")</f>
        <v/>
      </c>
      <c r="K153" s="28"/>
      <c r="L153" s="28"/>
      <c r="M153" s="28"/>
      <c r="N153" s="28"/>
      <c r="O153" s="28"/>
      <c r="AK153" s="28">
        <f t="shared" si="15"/>
        <v>0</v>
      </c>
      <c r="AL153" s="28" t="str">
        <f t="shared" ca="1" si="16"/>
        <v/>
      </c>
      <c r="AM153" s="28" t="str">
        <f t="shared" si="17"/>
        <v/>
      </c>
      <c r="AN153" s="28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28" t="str">
        <f t="shared" si="14"/>
        <v/>
      </c>
      <c r="I154" s="28"/>
      <c r="J154" s="173" t="str" cm="1">
        <f t="array" aca="1" ref="J154" ca="1">IFERROR(_xlfn.IFS(OR(AL154&lt;&gt;"",AP154&lt;&gt;""),"STCOアサイン済",OR(AN154&lt;&gt;"",AO154&lt;&gt;""),"CHAT中"),"")</f>
        <v/>
      </c>
      <c r="K154" s="28"/>
      <c r="L154" s="28"/>
      <c r="M154" s="28"/>
      <c r="N154" s="28"/>
      <c r="O154" s="28"/>
      <c r="AK154" s="28">
        <f t="shared" si="15"/>
        <v>0</v>
      </c>
      <c r="AL154" s="28" t="str">
        <f t="shared" ca="1" si="16"/>
        <v/>
      </c>
      <c r="AM154" s="28" t="str">
        <f t="shared" si="17"/>
        <v/>
      </c>
      <c r="AN154" s="28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28" t="str">
        <f t="shared" si="14"/>
        <v/>
      </c>
      <c r="I155" s="28"/>
      <c r="J155" s="173" t="str" cm="1">
        <f t="array" aca="1" ref="J155" ca="1">IFERROR(_xlfn.IFS(OR(AL155&lt;&gt;"",AP155&lt;&gt;""),"STCOアサイン済",OR(AN155&lt;&gt;"",AO155&lt;&gt;""),"CHAT中"),"")</f>
        <v/>
      </c>
      <c r="K155" s="28"/>
      <c r="L155" s="28"/>
      <c r="M155" s="28"/>
      <c r="N155" s="28"/>
      <c r="O155" s="28"/>
      <c r="AK155" s="28">
        <f t="shared" si="15"/>
        <v>0</v>
      </c>
      <c r="AL155" s="28" t="str">
        <f t="shared" ca="1" si="16"/>
        <v/>
      </c>
      <c r="AM155" s="28" t="str">
        <f t="shared" si="17"/>
        <v/>
      </c>
      <c r="AN155" s="28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28" t="str">
        <f t="shared" si="14"/>
        <v/>
      </c>
      <c r="I156" s="28"/>
      <c r="J156" s="173" t="str" cm="1">
        <f t="array" aca="1" ref="J156" ca="1">IFERROR(_xlfn.IFS(OR(AL156&lt;&gt;"",AP156&lt;&gt;""),"STCOアサイン済",OR(AN156&lt;&gt;"",AO156&lt;&gt;""),"CHAT中"),"")</f>
        <v/>
      </c>
      <c r="K156" s="28"/>
      <c r="L156" s="28"/>
      <c r="M156" s="28"/>
      <c r="N156" s="28"/>
      <c r="O156" s="28"/>
      <c r="AK156" s="28">
        <f t="shared" si="15"/>
        <v>0</v>
      </c>
      <c r="AL156" s="28" t="str">
        <f t="shared" ca="1" si="16"/>
        <v/>
      </c>
      <c r="AM156" s="28" t="str">
        <f t="shared" si="17"/>
        <v/>
      </c>
      <c r="AN156" s="28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28" t="str">
        <f t="shared" si="14"/>
        <v/>
      </c>
      <c r="I157" s="28"/>
      <c r="J157" s="173" t="str" cm="1">
        <f t="array" aca="1" ref="J157" ca="1">IFERROR(_xlfn.IFS(OR(AL157&lt;&gt;"",AP157&lt;&gt;""),"STCOアサイン済",OR(AN157&lt;&gt;"",AO157&lt;&gt;""),"CHAT中"),"")</f>
        <v/>
      </c>
      <c r="K157" s="28"/>
      <c r="L157" s="28"/>
      <c r="M157" s="28"/>
      <c r="N157" s="28"/>
      <c r="O157" s="28"/>
      <c r="AK157" s="28">
        <f t="shared" si="15"/>
        <v>0</v>
      </c>
      <c r="AL157" s="28" t="str">
        <f t="shared" ca="1" si="16"/>
        <v/>
      </c>
      <c r="AM157" s="28" t="str">
        <f t="shared" si="17"/>
        <v/>
      </c>
      <c r="AN157" s="28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28" t="str">
        <f t="shared" si="14"/>
        <v/>
      </c>
      <c r="I158" s="28"/>
      <c r="J158" s="173" t="str" cm="1">
        <f t="array" aca="1" ref="J158" ca="1">IFERROR(_xlfn.IFS(OR(AL158&lt;&gt;"",AP158&lt;&gt;""),"STCOアサイン済",OR(AN158&lt;&gt;"",AO158&lt;&gt;""),"CHAT中"),"")</f>
        <v/>
      </c>
      <c r="K158" s="28"/>
      <c r="L158" s="28"/>
      <c r="M158" s="28"/>
      <c r="N158" s="28"/>
      <c r="O158" s="28"/>
      <c r="AK158" s="28">
        <f t="shared" si="15"/>
        <v>0</v>
      </c>
      <c r="AL158" s="28" t="str">
        <f t="shared" ca="1" si="16"/>
        <v/>
      </c>
      <c r="AM158" s="28" t="str">
        <f t="shared" si="17"/>
        <v/>
      </c>
      <c r="AN158" s="28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28" t="str">
        <f t="shared" si="14"/>
        <v/>
      </c>
      <c r="I159" s="28"/>
      <c r="J159" s="173" t="str" cm="1">
        <f t="array" aca="1" ref="J159" ca="1">IFERROR(_xlfn.IFS(OR(AL159&lt;&gt;"",AP159&lt;&gt;""),"STCOアサイン済",OR(AN159&lt;&gt;"",AO159&lt;&gt;""),"CHAT中"),"")</f>
        <v/>
      </c>
      <c r="K159" s="28"/>
      <c r="L159" s="28"/>
      <c r="M159" s="28"/>
      <c r="N159" s="28"/>
      <c r="O159" s="28"/>
      <c r="AK159" s="28">
        <f t="shared" si="15"/>
        <v>0</v>
      </c>
      <c r="AL159" s="28" t="str">
        <f t="shared" ca="1" si="16"/>
        <v/>
      </c>
      <c r="AM159" s="28" t="str">
        <f t="shared" si="17"/>
        <v/>
      </c>
      <c r="AN159" s="28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28" t="str">
        <f t="shared" si="14"/>
        <v/>
      </c>
      <c r="I160" s="28"/>
      <c r="J160" s="173" t="str" cm="1">
        <f t="array" aca="1" ref="J160" ca="1">IFERROR(_xlfn.IFS(OR(AL160&lt;&gt;"",AP160&lt;&gt;""),"STCOアサイン済",OR(AN160&lt;&gt;"",AO160&lt;&gt;""),"CHAT中"),"")</f>
        <v/>
      </c>
      <c r="K160" s="28"/>
      <c r="L160" s="28"/>
      <c r="M160" s="28"/>
      <c r="N160" s="28"/>
      <c r="O160" s="28"/>
      <c r="AK160" s="28">
        <f t="shared" si="15"/>
        <v>0</v>
      </c>
      <c r="AL160" s="28" t="str">
        <f t="shared" ca="1" si="16"/>
        <v/>
      </c>
      <c r="AM160" s="28" t="str">
        <f t="shared" si="17"/>
        <v/>
      </c>
      <c r="AN160" s="28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28" t="str">
        <f t="shared" si="14"/>
        <v/>
      </c>
      <c r="I161" s="28"/>
      <c r="J161" s="173" t="str" cm="1">
        <f t="array" aca="1" ref="J161" ca="1">IFERROR(_xlfn.IFS(OR(AL161&lt;&gt;"",AP161&lt;&gt;""),"STCOアサイン済",OR(AN161&lt;&gt;"",AO161&lt;&gt;""),"CHAT中"),"")</f>
        <v/>
      </c>
      <c r="K161" s="28"/>
      <c r="L161" s="28"/>
      <c r="M161" s="28"/>
      <c r="N161" s="28"/>
      <c r="O161" s="28"/>
      <c r="AK161" s="28">
        <f t="shared" si="15"/>
        <v>0</v>
      </c>
      <c r="AL161" s="28" t="str">
        <f t="shared" ca="1" si="16"/>
        <v/>
      </c>
      <c r="AM161" s="28" t="str">
        <f t="shared" si="17"/>
        <v/>
      </c>
      <c r="AN161" s="28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28" t="str">
        <f t="shared" si="14"/>
        <v/>
      </c>
      <c r="I162" s="28"/>
      <c r="J162" s="173" t="str" cm="1">
        <f t="array" aca="1" ref="J162" ca="1">IFERROR(_xlfn.IFS(OR(AL162&lt;&gt;"",AP162&lt;&gt;""),"STCOアサイン済",OR(AN162&lt;&gt;"",AO162&lt;&gt;""),"CHAT中"),"")</f>
        <v/>
      </c>
      <c r="K162" s="28"/>
      <c r="L162" s="28"/>
      <c r="M162" s="28"/>
      <c r="N162" s="28"/>
      <c r="O162" s="28"/>
      <c r="AK162" s="28">
        <f t="shared" si="15"/>
        <v>0</v>
      </c>
      <c r="AL162" s="28" t="str">
        <f t="shared" ca="1" si="16"/>
        <v/>
      </c>
      <c r="AM162" s="28" t="str">
        <f t="shared" si="17"/>
        <v/>
      </c>
      <c r="AN162" s="28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28" t="str">
        <f t="shared" si="14"/>
        <v/>
      </c>
      <c r="I163" s="28"/>
      <c r="J163" s="173" t="str" cm="1">
        <f t="array" aca="1" ref="J163" ca="1">IFERROR(_xlfn.IFS(OR(AL163&lt;&gt;"",AP163&lt;&gt;""),"STCOアサイン済",OR(AN163&lt;&gt;"",AO163&lt;&gt;""),"CHAT中"),"")</f>
        <v/>
      </c>
      <c r="K163" s="28"/>
      <c r="L163" s="28"/>
      <c r="M163" s="28"/>
      <c r="N163" s="28"/>
      <c r="O163" s="28"/>
      <c r="AK163" s="28">
        <f t="shared" si="15"/>
        <v>0</v>
      </c>
      <c r="AL163" s="28" t="str">
        <f t="shared" ca="1" si="16"/>
        <v/>
      </c>
      <c r="AM163" s="28" t="str">
        <f t="shared" si="17"/>
        <v/>
      </c>
      <c r="AN163" s="28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28" t="str">
        <f t="shared" si="14"/>
        <v/>
      </c>
      <c r="I164" s="28"/>
      <c r="J164" s="173" t="str" cm="1">
        <f t="array" aca="1" ref="J164" ca="1">IFERROR(_xlfn.IFS(OR(AL164&lt;&gt;"",AP164&lt;&gt;""),"STCOアサイン済",OR(AN164&lt;&gt;"",AO164&lt;&gt;""),"CHAT中"),"")</f>
        <v/>
      </c>
      <c r="K164" s="28"/>
      <c r="L164" s="28"/>
      <c r="M164" s="28"/>
      <c r="N164" s="28"/>
      <c r="O164" s="28"/>
      <c r="AK164" s="28">
        <f t="shared" si="15"/>
        <v>0</v>
      </c>
      <c r="AL164" s="28" t="str">
        <f t="shared" ca="1" si="16"/>
        <v/>
      </c>
      <c r="AM164" s="28" t="str">
        <f t="shared" si="17"/>
        <v/>
      </c>
      <c r="AN164" s="28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28" t="str">
        <f t="shared" si="14"/>
        <v/>
      </c>
      <c r="I165" s="28"/>
      <c r="J165" s="173" t="str" cm="1">
        <f t="array" aca="1" ref="J165" ca="1">IFERROR(_xlfn.IFS(OR(AL165&lt;&gt;"",AP165&lt;&gt;""),"STCOアサイン済",OR(AN165&lt;&gt;"",AO165&lt;&gt;""),"CHAT中"),"")</f>
        <v/>
      </c>
      <c r="K165" s="28"/>
      <c r="L165" s="28"/>
      <c r="M165" s="28"/>
      <c r="N165" s="28"/>
      <c r="O165" s="28"/>
      <c r="AK165" s="28">
        <f t="shared" si="15"/>
        <v>0</v>
      </c>
      <c r="AL165" s="28" t="str">
        <f t="shared" ca="1" si="16"/>
        <v/>
      </c>
      <c r="AM165" s="28" t="str">
        <f t="shared" si="17"/>
        <v/>
      </c>
      <c r="AN165" s="28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28" t="str">
        <f t="shared" si="14"/>
        <v/>
      </c>
      <c r="I166" s="28"/>
      <c r="J166" s="173" t="str" cm="1">
        <f t="array" aca="1" ref="J166" ca="1">IFERROR(_xlfn.IFS(OR(AL166&lt;&gt;"",AP166&lt;&gt;""),"STCOアサイン済",OR(AN166&lt;&gt;"",AO166&lt;&gt;""),"CHAT中"),"")</f>
        <v/>
      </c>
      <c r="K166" s="28"/>
      <c r="L166" s="28"/>
      <c r="M166" s="28"/>
      <c r="N166" s="28"/>
      <c r="O166" s="28"/>
      <c r="AK166" s="28">
        <f t="shared" si="15"/>
        <v>0</v>
      </c>
      <c r="AL166" s="28" t="str">
        <f t="shared" ca="1" si="16"/>
        <v/>
      </c>
      <c r="AM166" s="28" t="str">
        <f t="shared" si="17"/>
        <v/>
      </c>
      <c r="AN166" s="28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28" t="str">
        <f t="shared" si="14"/>
        <v/>
      </c>
      <c r="I167" s="28"/>
      <c r="J167" s="173" t="str" cm="1">
        <f t="array" aca="1" ref="J167" ca="1">IFERROR(_xlfn.IFS(OR(AL167&lt;&gt;"",AP167&lt;&gt;""),"STCOアサイン済",OR(AN167&lt;&gt;"",AO167&lt;&gt;""),"CHAT中"),"")</f>
        <v/>
      </c>
      <c r="K167" s="28"/>
      <c r="L167" s="28"/>
      <c r="M167" s="28"/>
      <c r="N167" s="28"/>
      <c r="O167" s="28"/>
      <c r="AK167" s="28">
        <f t="shared" si="15"/>
        <v>0</v>
      </c>
      <c r="AL167" s="28" t="str">
        <f t="shared" ca="1" si="16"/>
        <v/>
      </c>
      <c r="AM167" s="28" t="str">
        <f t="shared" si="17"/>
        <v/>
      </c>
      <c r="AN167" s="28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28" t="str">
        <f t="shared" si="14"/>
        <v/>
      </c>
      <c r="I168" s="28"/>
      <c r="J168" s="173" t="str" cm="1">
        <f t="array" aca="1" ref="J168" ca="1">IFERROR(_xlfn.IFS(OR(AL168&lt;&gt;"",AP168&lt;&gt;""),"STCOアサイン済",OR(AN168&lt;&gt;"",AO168&lt;&gt;""),"CHAT中"),"")</f>
        <v/>
      </c>
      <c r="K168" s="28"/>
      <c r="L168" s="28"/>
      <c r="M168" s="28"/>
      <c r="N168" s="28"/>
      <c r="O168" s="28"/>
      <c r="AK168" s="28">
        <f t="shared" si="15"/>
        <v>0</v>
      </c>
      <c r="AL168" s="28" t="str">
        <f t="shared" ca="1" si="16"/>
        <v/>
      </c>
      <c r="AM168" s="28" t="str">
        <f t="shared" si="17"/>
        <v/>
      </c>
      <c r="AN168" s="28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28" t="str">
        <f t="shared" si="14"/>
        <v/>
      </c>
      <c r="I169" s="28"/>
      <c r="J169" s="173" t="str" cm="1">
        <f t="array" aca="1" ref="J169" ca="1">IFERROR(_xlfn.IFS(OR(AL169&lt;&gt;"",AP169&lt;&gt;""),"STCOアサイン済",OR(AN169&lt;&gt;"",AO169&lt;&gt;""),"CHAT中"),"")</f>
        <v/>
      </c>
      <c r="K169" s="28"/>
      <c r="L169" s="28"/>
      <c r="M169" s="28"/>
      <c r="N169" s="28"/>
      <c r="O169" s="28"/>
      <c r="AK169" s="28">
        <f t="shared" si="15"/>
        <v>0</v>
      </c>
      <c r="AL169" s="28" t="str">
        <f t="shared" ca="1" si="16"/>
        <v/>
      </c>
      <c r="AM169" s="28" t="str">
        <f t="shared" si="17"/>
        <v/>
      </c>
      <c r="AN169" s="28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28" t="str">
        <f t="shared" si="14"/>
        <v/>
      </c>
      <c r="I170" s="28"/>
      <c r="J170" s="173" t="str" cm="1">
        <f t="array" aca="1" ref="J170" ca="1">IFERROR(_xlfn.IFS(OR(AL170&lt;&gt;"",AP170&lt;&gt;""),"STCOアサイン済",OR(AN170&lt;&gt;"",AO170&lt;&gt;""),"CHAT中"),"")</f>
        <v/>
      </c>
      <c r="K170" s="28"/>
      <c r="L170" s="28"/>
      <c r="M170" s="28"/>
      <c r="N170" s="28"/>
      <c r="O170" s="28"/>
      <c r="AK170" s="28">
        <f t="shared" si="15"/>
        <v>0</v>
      </c>
      <c r="AL170" s="28" t="str">
        <f t="shared" ca="1" si="16"/>
        <v/>
      </c>
      <c r="AM170" s="28" t="str">
        <f t="shared" si="17"/>
        <v/>
      </c>
      <c r="AN170" s="28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28" t="str">
        <f t="shared" si="14"/>
        <v/>
      </c>
      <c r="I171" s="28"/>
      <c r="J171" s="173" t="str" cm="1">
        <f t="array" aca="1" ref="J171" ca="1">IFERROR(_xlfn.IFS(OR(AL171&lt;&gt;"",AP171&lt;&gt;""),"STCOアサイン済",OR(AN171&lt;&gt;"",AO171&lt;&gt;""),"CHAT中"),"")</f>
        <v/>
      </c>
      <c r="K171" s="28"/>
      <c r="L171" s="28"/>
      <c r="M171" s="28"/>
      <c r="N171" s="28"/>
      <c r="O171" s="28"/>
      <c r="AK171" s="28">
        <f t="shared" si="15"/>
        <v>0</v>
      </c>
      <c r="AL171" s="28" t="str">
        <f t="shared" ca="1" si="16"/>
        <v/>
      </c>
      <c r="AM171" s="28" t="str">
        <f t="shared" si="17"/>
        <v/>
      </c>
      <c r="AN171" s="28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28" t="str">
        <f t="shared" si="14"/>
        <v/>
      </c>
      <c r="I172" s="28"/>
      <c r="J172" s="173" t="str" cm="1">
        <f t="array" aca="1" ref="J172" ca="1">IFERROR(_xlfn.IFS(OR(AL172&lt;&gt;"",AP172&lt;&gt;""),"STCOアサイン済",OR(AN172&lt;&gt;"",AO172&lt;&gt;""),"CHAT中"),"")</f>
        <v/>
      </c>
      <c r="K172" s="28"/>
      <c r="L172" s="28"/>
      <c r="M172" s="28"/>
      <c r="N172" s="28"/>
      <c r="O172" s="28"/>
      <c r="AK172" s="28">
        <f t="shared" si="15"/>
        <v>0</v>
      </c>
      <c r="AL172" s="28" t="str">
        <f t="shared" ca="1" si="16"/>
        <v/>
      </c>
      <c r="AM172" s="28" t="str">
        <f t="shared" si="17"/>
        <v/>
      </c>
      <c r="AN172" s="28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28" t="str">
        <f t="shared" si="14"/>
        <v/>
      </c>
      <c r="I173" s="28"/>
      <c r="J173" s="173" t="str" cm="1">
        <f t="array" aca="1" ref="J173" ca="1">IFERROR(_xlfn.IFS(OR(AL173&lt;&gt;"",AP173&lt;&gt;""),"STCOアサイン済",OR(AN173&lt;&gt;"",AO173&lt;&gt;""),"CHAT中"),"")</f>
        <v/>
      </c>
      <c r="K173" s="28"/>
      <c r="L173" s="28"/>
      <c r="M173" s="28"/>
      <c r="N173" s="28"/>
      <c r="O173" s="28"/>
      <c r="AK173" s="28">
        <f t="shared" si="15"/>
        <v>0</v>
      </c>
      <c r="AL173" s="28" t="str">
        <f t="shared" ca="1" si="16"/>
        <v/>
      </c>
      <c r="AM173" s="28" t="str">
        <f t="shared" si="17"/>
        <v/>
      </c>
      <c r="AN173" s="28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28" t="str">
        <f t="shared" si="14"/>
        <v/>
      </c>
      <c r="I174" s="28"/>
      <c r="J174" s="173" t="str" cm="1">
        <f t="array" aca="1" ref="J174" ca="1">IFERROR(_xlfn.IFS(OR(AL174&lt;&gt;"",AP174&lt;&gt;""),"STCOアサイン済",OR(AN174&lt;&gt;"",AO174&lt;&gt;""),"CHAT中"),"")</f>
        <v/>
      </c>
      <c r="K174" s="28"/>
      <c r="L174" s="28"/>
      <c r="M174" s="28"/>
      <c r="N174" s="28"/>
      <c r="O174" s="28"/>
      <c r="AK174" s="28">
        <f t="shared" si="15"/>
        <v>0</v>
      </c>
      <c r="AL174" s="28" t="str">
        <f t="shared" ca="1" si="16"/>
        <v/>
      </c>
      <c r="AM174" s="28" t="str">
        <f t="shared" si="17"/>
        <v/>
      </c>
      <c r="AN174" s="28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28" t="str">
        <f t="shared" si="14"/>
        <v/>
      </c>
      <c r="I175" s="28"/>
      <c r="J175" s="173" t="str" cm="1">
        <f t="array" aca="1" ref="J175" ca="1">IFERROR(_xlfn.IFS(OR(AL175&lt;&gt;"",AP175&lt;&gt;""),"STCOアサイン済",OR(AN175&lt;&gt;"",AO175&lt;&gt;""),"CHAT中"),"")</f>
        <v/>
      </c>
      <c r="K175" s="28"/>
      <c r="L175" s="28"/>
      <c r="M175" s="28"/>
      <c r="N175" s="28"/>
      <c r="O175" s="28"/>
      <c r="AK175" s="28">
        <f t="shared" si="15"/>
        <v>0</v>
      </c>
      <c r="AL175" s="28" t="str">
        <f t="shared" ca="1" si="16"/>
        <v/>
      </c>
      <c r="AM175" s="28" t="str">
        <f t="shared" si="17"/>
        <v/>
      </c>
      <c r="AN175" s="28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28" t="str">
        <f t="shared" si="14"/>
        <v/>
      </c>
      <c r="I176" s="28"/>
      <c r="J176" s="173" t="str" cm="1">
        <f t="array" aca="1" ref="J176" ca="1">IFERROR(_xlfn.IFS(OR(AL176&lt;&gt;"",AP176&lt;&gt;""),"STCOアサイン済",OR(AN176&lt;&gt;"",AO176&lt;&gt;""),"CHAT中"),"")</f>
        <v/>
      </c>
      <c r="K176" s="28"/>
      <c r="L176" s="28"/>
      <c r="M176" s="28"/>
      <c r="N176" s="28"/>
      <c r="O176" s="28"/>
      <c r="AK176" s="28">
        <f t="shared" si="15"/>
        <v>0</v>
      </c>
      <c r="AL176" s="28" t="str">
        <f t="shared" ca="1" si="16"/>
        <v/>
      </c>
      <c r="AM176" s="28" t="str">
        <f t="shared" si="17"/>
        <v/>
      </c>
      <c r="AN176" s="28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28" t="str">
        <f t="shared" si="14"/>
        <v/>
      </c>
      <c r="I177" s="28"/>
      <c r="J177" s="173" t="str" cm="1">
        <f t="array" aca="1" ref="J177" ca="1">IFERROR(_xlfn.IFS(OR(AL177&lt;&gt;"",AP177&lt;&gt;""),"STCOアサイン済",OR(AN177&lt;&gt;"",AO177&lt;&gt;""),"CHAT中"),"")</f>
        <v/>
      </c>
      <c r="K177" s="28"/>
      <c r="L177" s="28"/>
      <c r="M177" s="28"/>
      <c r="N177" s="28"/>
      <c r="O177" s="28"/>
      <c r="AK177" s="28">
        <f t="shared" si="15"/>
        <v>0</v>
      </c>
      <c r="AL177" s="28" t="str">
        <f t="shared" ca="1" si="16"/>
        <v/>
      </c>
      <c r="AM177" s="28" t="str">
        <f t="shared" si="17"/>
        <v/>
      </c>
      <c r="AN177" s="28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28" t="str">
        <f t="shared" si="14"/>
        <v/>
      </c>
      <c r="I178" s="28"/>
      <c r="J178" s="173" t="str" cm="1">
        <f t="array" aca="1" ref="J178" ca="1">IFERROR(_xlfn.IFS(OR(AL178&lt;&gt;"",AP178&lt;&gt;""),"STCOアサイン済",OR(AN178&lt;&gt;"",AO178&lt;&gt;""),"CHAT中"),"")</f>
        <v/>
      </c>
      <c r="K178" s="28"/>
      <c r="L178" s="28"/>
      <c r="M178" s="28"/>
      <c r="N178" s="28"/>
      <c r="O178" s="28"/>
      <c r="AK178" s="28">
        <f t="shared" si="15"/>
        <v>0</v>
      </c>
      <c r="AL178" s="28" t="str">
        <f t="shared" ca="1" si="16"/>
        <v/>
      </c>
      <c r="AM178" s="28" t="str">
        <f t="shared" si="17"/>
        <v/>
      </c>
      <c r="AN178" s="28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28" t="str">
        <f t="shared" si="14"/>
        <v/>
      </c>
      <c r="I179" s="28"/>
      <c r="J179" s="173" t="str" cm="1">
        <f t="array" aca="1" ref="J179" ca="1">IFERROR(_xlfn.IFS(OR(AL179&lt;&gt;"",AP179&lt;&gt;""),"STCOアサイン済",OR(AN179&lt;&gt;"",AO179&lt;&gt;""),"CHAT中"),"")</f>
        <v/>
      </c>
      <c r="K179" s="28"/>
      <c r="L179" s="28"/>
      <c r="M179" s="28"/>
      <c r="N179" s="28"/>
      <c r="O179" s="28"/>
      <c r="AK179" s="28">
        <f t="shared" si="15"/>
        <v>0</v>
      </c>
      <c r="AL179" s="28" t="str">
        <f t="shared" ca="1" si="16"/>
        <v/>
      </c>
      <c r="AM179" s="28" t="str">
        <f t="shared" si="17"/>
        <v/>
      </c>
      <c r="AN179" s="28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28" t="str">
        <f t="shared" si="14"/>
        <v/>
      </c>
      <c r="I180" s="28"/>
      <c r="J180" s="173" t="str" cm="1">
        <f t="array" aca="1" ref="J180" ca="1">IFERROR(_xlfn.IFS(OR(AL180&lt;&gt;"",AP180&lt;&gt;""),"STCOアサイン済",OR(AN180&lt;&gt;"",AO180&lt;&gt;""),"CHAT中"),"")</f>
        <v/>
      </c>
      <c r="K180" s="28"/>
      <c r="L180" s="28"/>
      <c r="M180" s="28"/>
      <c r="N180" s="28"/>
      <c r="O180" s="28"/>
      <c r="AK180" s="28">
        <f t="shared" si="15"/>
        <v>0</v>
      </c>
      <c r="AL180" s="28" t="str">
        <f t="shared" ca="1" si="16"/>
        <v/>
      </c>
      <c r="AM180" s="28" t="str">
        <f t="shared" si="17"/>
        <v/>
      </c>
      <c r="AN180" s="28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28" t="str">
        <f t="shared" si="14"/>
        <v/>
      </c>
      <c r="I181" s="28"/>
      <c r="J181" s="173" t="str" cm="1">
        <f t="array" aca="1" ref="J181" ca="1">IFERROR(_xlfn.IFS(OR(AL181&lt;&gt;"",AP181&lt;&gt;""),"STCOアサイン済",OR(AN181&lt;&gt;"",AO181&lt;&gt;""),"CHAT中"),"")</f>
        <v/>
      </c>
      <c r="K181" s="28"/>
      <c r="L181" s="28"/>
      <c r="M181" s="28"/>
      <c r="N181" s="28"/>
      <c r="O181" s="28"/>
      <c r="AK181" s="28">
        <f t="shared" si="15"/>
        <v>0</v>
      </c>
      <c r="AL181" s="28" t="str">
        <f t="shared" ca="1" si="16"/>
        <v/>
      </c>
      <c r="AM181" s="28" t="str">
        <f t="shared" si="17"/>
        <v/>
      </c>
      <c r="AN181" s="28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28" t="str">
        <f t="shared" si="14"/>
        <v/>
      </c>
      <c r="I182" s="28"/>
      <c r="J182" s="173" t="str" cm="1">
        <f t="array" aca="1" ref="J182" ca="1">IFERROR(_xlfn.IFS(OR(AL182&lt;&gt;"",AP182&lt;&gt;""),"STCOアサイン済",OR(AN182&lt;&gt;"",AO182&lt;&gt;""),"CHAT中"),"")</f>
        <v/>
      </c>
      <c r="K182" s="28"/>
      <c r="L182" s="28"/>
      <c r="M182" s="28"/>
      <c r="N182" s="28"/>
      <c r="O182" s="28"/>
      <c r="AK182" s="28">
        <f t="shared" si="15"/>
        <v>0</v>
      </c>
      <c r="AL182" s="28" t="str">
        <f t="shared" ca="1" si="16"/>
        <v/>
      </c>
      <c r="AM182" s="28" t="str">
        <f t="shared" si="17"/>
        <v/>
      </c>
      <c r="AN182" s="28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28" t="str">
        <f t="shared" si="14"/>
        <v/>
      </c>
      <c r="I183" s="28"/>
      <c r="J183" s="173" t="str" cm="1">
        <f t="array" aca="1" ref="J183" ca="1">IFERROR(_xlfn.IFS(OR(AL183&lt;&gt;"",AP183&lt;&gt;""),"STCOアサイン済",OR(AN183&lt;&gt;"",AO183&lt;&gt;""),"CHAT中"),"")</f>
        <v/>
      </c>
      <c r="K183" s="28"/>
      <c r="L183" s="28"/>
      <c r="M183" s="28"/>
      <c r="N183" s="28"/>
      <c r="O183" s="28"/>
      <c r="AK183" s="28">
        <f t="shared" si="15"/>
        <v>0</v>
      </c>
      <c r="AL183" s="28" t="str">
        <f t="shared" ca="1" si="16"/>
        <v/>
      </c>
      <c r="AM183" s="28" t="str">
        <f t="shared" si="17"/>
        <v/>
      </c>
      <c r="AN183" s="28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28" t="str">
        <f t="shared" si="14"/>
        <v/>
      </c>
      <c r="I184" s="28"/>
      <c r="J184" s="173" t="str" cm="1">
        <f t="array" aca="1" ref="J184" ca="1">IFERROR(_xlfn.IFS(OR(AL184&lt;&gt;"",AP184&lt;&gt;""),"STCOアサイン済",OR(AN184&lt;&gt;"",AO184&lt;&gt;""),"CHAT中"),"")</f>
        <v/>
      </c>
      <c r="K184" s="28"/>
      <c r="L184" s="28"/>
      <c r="M184" s="28"/>
      <c r="N184" s="28"/>
      <c r="O184" s="28"/>
      <c r="AK184" s="28">
        <f t="shared" si="15"/>
        <v>0</v>
      </c>
      <c r="AL184" s="28" t="str">
        <f t="shared" ca="1" si="16"/>
        <v/>
      </c>
      <c r="AM184" s="28" t="str">
        <f t="shared" si="17"/>
        <v/>
      </c>
      <c r="AN184" s="28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28" t="str">
        <f t="shared" si="14"/>
        <v/>
      </c>
      <c r="I185" s="28"/>
      <c r="J185" s="173" t="str" cm="1">
        <f t="array" aca="1" ref="J185" ca="1">IFERROR(_xlfn.IFS(OR(AL185&lt;&gt;"",AP185&lt;&gt;""),"STCOアサイン済",OR(AN185&lt;&gt;"",AO185&lt;&gt;""),"CHAT中"),"")</f>
        <v/>
      </c>
      <c r="K185" s="28"/>
      <c r="L185" s="28"/>
      <c r="M185" s="28"/>
      <c r="N185" s="28"/>
      <c r="O185" s="28"/>
      <c r="AK185" s="28">
        <f t="shared" si="15"/>
        <v>0</v>
      </c>
      <c r="AL185" s="28" t="str">
        <f t="shared" ca="1" si="16"/>
        <v/>
      </c>
      <c r="AM185" s="28" t="str">
        <f t="shared" si="17"/>
        <v/>
      </c>
      <c r="AN185" s="28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28" t="str">
        <f t="shared" si="14"/>
        <v/>
      </c>
      <c r="I186" s="28"/>
      <c r="J186" s="173" t="str" cm="1">
        <f t="array" aca="1" ref="J186" ca="1">IFERROR(_xlfn.IFS(OR(AL186&lt;&gt;"",AP186&lt;&gt;""),"STCOアサイン済",OR(AN186&lt;&gt;"",AO186&lt;&gt;""),"CHAT中"),"")</f>
        <v/>
      </c>
      <c r="K186" s="28"/>
      <c r="L186" s="28"/>
      <c r="M186" s="28"/>
      <c r="N186" s="28"/>
      <c r="O186" s="28"/>
      <c r="AK186" s="28">
        <f t="shared" si="15"/>
        <v>0</v>
      </c>
      <c r="AL186" s="28" t="str">
        <f t="shared" ca="1" si="16"/>
        <v/>
      </c>
      <c r="AM186" s="28" t="str">
        <f t="shared" si="17"/>
        <v/>
      </c>
      <c r="AN186" s="28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28" t="str">
        <f t="shared" si="14"/>
        <v/>
      </c>
      <c r="I187" s="28"/>
      <c r="J187" s="173" t="str" cm="1">
        <f t="array" aca="1" ref="J187" ca="1">IFERROR(_xlfn.IFS(OR(AL187&lt;&gt;"",AP187&lt;&gt;""),"STCOアサイン済",OR(AN187&lt;&gt;"",AO187&lt;&gt;""),"CHAT中"),"")</f>
        <v/>
      </c>
      <c r="K187" s="28"/>
      <c r="L187" s="28"/>
      <c r="M187" s="28"/>
      <c r="N187" s="28"/>
      <c r="O187" s="28"/>
      <c r="AK187" s="28">
        <f t="shared" si="15"/>
        <v>0</v>
      </c>
      <c r="AL187" s="28" t="str">
        <f t="shared" ca="1" si="16"/>
        <v/>
      </c>
      <c r="AM187" s="28" t="str">
        <f t="shared" si="17"/>
        <v/>
      </c>
      <c r="AN187" s="28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28" t="str">
        <f t="shared" si="14"/>
        <v/>
      </c>
      <c r="I188" s="28"/>
      <c r="J188" s="173" t="str" cm="1">
        <f t="array" aca="1" ref="J188" ca="1">IFERROR(_xlfn.IFS(OR(AL188&lt;&gt;"",AP188&lt;&gt;""),"STCOアサイン済",OR(AN188&lt;&gt;"",AO188&lt;&gt;""),"CHAT中"),"")</f>
        <v/>
      </c>
      <c r="K188" s="28"/>
      <c r="L188" s="28"/>
      <c r="M188" s="28"/>
      <c r="N188" s="28"/>
      <c r="O188" s="28"/>
      <c r="AK188" s="28">
        <f t="shared" si="15"/>
        <v>0</v>
      </c>
      <c r="AL188" s="28" t="str">
        <f t="shared" ca="1" si="16"/>
        <v/>
      </c>
      <c r="AM188" s="28" t="str">
        <f t="shared" si="17"/>
        <v/>
      </c>
      <c r="AN188" s="28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28" t="str">
        <f t="shared" si="14"/>
        <v/>
      </c>
      <c r="I189" s="28"/>
      <c r="J189" s="173" t="str" cm="1">
        <f t="array" aca="1" ref="J189" ca="1">IFERROR(_xlfn.IFS(OR(AL189&lt;&gt;"",AP189&lt;&gt;""),"STCOアサイン済",OR(AN189&lt;&gt;"",AO189&lt;&gt;""),"CHAT中"),"")</f>
        <v/>
      </c>
      <c r="K189" s="28"/>
      <c r="L189" s="28"/>
      <c r="M189" s="28"/>
      <c r="N189" s="28"/>
      <c r="O189" s="28"/>
      <c r="AK189" s="28">
        <f t="shared" si="15"/>
        <v>0</v>
      </c>
      <c r="AL189" s="28" t="str">
        <f t="shared" ca="1" si="16"/>
        <v/>
      </c>
      <c r="AM189" s="28" t="str">
        <f t="shared" si="17"/>
        <v/>
      </c>
      <c r="AN189" s="28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28" t="str">
        <f t="shared" si="14"/>
        <v/>
      </c>
      <c r="I190" s="28"/>
      <c r="J190" s="173" t="str" cm="1">
        <f t="array" aca="1" ref="J190" ca="1">IFERROR(_xlfn.IFS(OR(AL190&lt;&gt;"",AP190&lt;&gt;""),"STCOアサイン済",OR(AN190&lt;&gt;"",AO190&lt;&gt;""),"CHAT中"),"")</f>
        <v/>
      </c>
      <c r="K190" s="28"/>
      <c r="L190" s="28"/>
      <c r="M190" s="28"/>
      <c r="N190" s="28"/>
      <c r="O190" s="28"/>
      <c r="AK190" s="28">
        <f t="shared" si="15"/>
        <v>0</v>
      </c>
      <c r="AL190" s="28" t="str">
        <f t="shared" ca="1" si="16"/>
        <v/>
      </c>
      <c r="AM190" s="28" t="str">
        <f t="shared" si="17"/>
        <v/>
      </c>
      <c r="AN190" s="28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28" t="str">
        <f t="shared" si="14"/>
        <v/>
      </c>
      <c r="I191" s="28"/>
      <c r="J191" s="173" t="str" cm="1">
        <f t="array" aca="1" ref="J191" ca="1">IFERROR(_xlfn.IFS(OR(AL191&lt;&gt;"",AP191&lt;&gt;""),"STCOアサイン済",OR(AN191&lt;&gt;"",AO191&lt;&gt;""),"CHAT中"),"")</f>
        <v/>
      </c>
      <c r="K191" s="28"/>
      <c r="L191" s="28"/>
      <c r="M191" s="28"/>
      <c r="N191" s="28"/>
      <c r="O191" s="28"/>
      <c r="AK191" s="28">
        <f t="shared" si="15"/>
        <v>0</v>
      </c>
      <c r="AL191" s="28" t="str">
        <f t="shared" ca="1" si="16"/>
        <v/>
      </c>
      <c r="AM191" s="28" t="str">
        <f t="shared" si="17"/>
        <v/>
      </c>
      <c r="AN191" s="28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28" t="str">
        <f t="shared" si="14"/>
        <v/>
      </c>
      <c r="I192" s="28"/>
      <c r="J192" s="173" t="str" cm="1">
        <f t="array" aca="1" ref="J192" ca="1">IFERROR(_xlfn.IFS(OR(AL192&lt;&gt;"",AP192&lt;&gt;""),"STCOアサイン済",OR(AN192&lt;&gt;"",AO192&lt;&gt;""),"CHAT中"),"")</f>
        <v/>
      </c>
      <c r="K192" s="28"/>
      <c r="L192" s="28"/>
      <c r="M192" s="28"/>
      <c r="N192" s="28"/>
      <c r="O192" s="28"/>
      <c r="AK192" s="28">
        <f t="shared" si="15"/>
        <v>0</v>
      </c>
      <c r="AL192" s="28" t="str">
        <f t="shared" ca="1" si="16"/>
        <v/>
      </c>
      <c r="AM192" s="28" t="str">
        <f t="shared" si="17"/>
        <v/>
      </c>
      <c r="AN192" s="28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28" t="str">
        <f t="shared" si="14"/>
        <v/>
      </c>
      <c r="I193" s="28"/>
      <c r="J193" s="173" t="str" cm="1">
        <f t="array" aca="1" ref="J193" ca="1">IFERROR(_xlfn.IFS(OR(AL193&lt;&gt;"",AP193&lt;&gt;""),"STCOアサイン済",OR(AN193&lt;&gt;"",AO193&lt;&gt;""),"CHAT中"),"")</f>
        <v/>
      </c>
      <c r="K193" s="28"/>
      <c r="L193" s="28"/>
      <c r="M193" s="28"/>
      <c r="N193" s="28"/>
      <c r="O193" s="28"/>
      <c r="AK193" s="28">
        <f t="shared" si="15"/>
        <v>0</v>
      </c>
      <c r="AL193" s="28" t="str">
        <f t="shared" ca="1" si="16"/>
        <v/>
      </c>
      <c r="AM193" s="28" t="str">
        <f t="shared" si="17"/>
        <v/>
      </c>
      <c r="AN193" s="28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28" t="str">
        <f t="shared" si="14"/>
        <v/>
      </c>
      <c r="I194" s="28"/>
      <c r="J194" s="173" t="str" cm="1">
        <f t="array" aca="1" ref="J194" ca="1">IFERROR(_xlfn.IFS(OR(AL194&lt;&gt;"",AP194&lt;&gt;""),"STCOアサイン済",OR(AN194&lt;&gt;"",AO194&lt;&gt;""),"CHAT中"),"")</f>
        <v/>
      </c>
      <c r="K194" s="28"/>
      <c r="L194" s="28"/>
      <c r="M194" s="28"/>
      <c r="N194" s="28"/>
      <c r="O194" s="28"/>
      <c r="AK194" s="28">
        <f t="shared" si="15"/>
        <v>0</v>
      </c>
      <c r="AL194" s="28" t="str">
        <f t="shared" ca="1" si="16"/>
        <v/>
      </c>
      <c r="AM194" s="28" t="str">
        <f t="shared" si="17"/>
        <v/>
      </c>
      <c r="AN194" s="28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28" t="str">
        <f t="shared" si="14"/>
        <v/>
      </c>
      <c r="I195" s="28"/>
      <c r="J195" s="173" t="str" cm="1">
        <f t="array" aca="1" ref="J195" ca="1">IFERROR(_xlfn.IFS(OR(AL195&lt;&gt;"",AP195&lt;&gt;""),"STCOアサイン済",OR(AN195&lt;&gt;"",AO195&lt;&gt;""),"CHAT中"),"")</f>
        <v/>
      </c>
      <c r="K195" s="28"/>
      <c r="L195" s="28"/>
      <c r="M195" s="28"/>
      <c r="N195" s="28"/>
      <c r="O195" s="28"/>
      <c r="AK195" s="28">
        <f t="shared" si="15"/>
        <v>0</v>
      </c>
      <c r="AL195" s="28" t="str">
        <f t="shared" ca="1" si="16"/>
        <v/>
      </c>
      <c r="AM195" s="28" t="str">
        <f t="shared" si="17"/>
        <v/>
      </c>
      <c r="AN195" s="28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28" t="str">
        <f t="shared" si="14"/>
        <v/>
      </c>
      <c r="I196" s="28"/>
      <c r="J196" s="173" t="str" cm="1">
        <f t="array" aca="1" ref="J196" ca="1">IFERROR(_xlfn.IFS(OR(AL196&lt;&gt;"",AP196&lt;&gt;""),"STCOアサイン済",OR(AN196&lt;&gt;"",AO196&lt;&gt;""),"CHAT中"),"")</f>
        <v/>
      </c>
      <c r="K196" s="28"/>
      <c r="L196" s="28"/>
      <c r="M196" s="28"/>
      <c r="N196" s="28"/>
      <c r="O196" s="28"/>
      <c r="AK196" s="28">
        <f t="shared" si="15"/>
        <v>0</v>
      </c>
      <c r="AL196" s="28" t="str">
        <f t="shared" ca="1" si="16"/>
        <v/>
      </c>
      <c r="AM196" s="28" t="str">
        <f t="shared" si="17"/>
        <v/>
      </c>
      <c r="AN196" s="28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28" t="str">
        <f t="shared" si="14"/>
        <v/>
      </c>
      <c r="I197" s="28"/>
      <c r="J197" s="173" t="str" cm="1">
        <f t="array" aca="1" ref="J197" ca="1">IFERROR(_xlfn.IFS(OR(AL197&lt;&gt;"",AP197&lt;&gt;""),"STCOアサイン済",OR(AN197&lt;&gt;"",AO197&lt;&gt;""),"CHAT中"),"")</f>
        <v/>
      </c>
      <c r="K197" s="28"/>
      <c r="L197" s="28"/>
      <c r="M197" s="28"/>
      <c r="N197" s="28"/>
      <c r="O197" s="28"/>
      <c r="AK197" s="28">
        <f t="shared" si="15"/>
        <v>0</v>
      </c>
      <c r="AL197" s="28" t="str">
        <f t="shared" ca="1" si="16"/>
        <v/>
      </c>
      <c r="AM197" s="28" t="str">
        <f t="shared" si="17"/>
        <v/>
      </c>
      <c r="AN197" s="28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28" t="str">
        <f t="shared" si="14"/>
        <v/>
      </c>
      <c r="I198" s="28"/>
      <c r="J198" s="173" t="str" cm="1">
        <f t="array" aca="1" ref="J198" ca="1">IFERROR(_xlfn.IFS(OR(AL198&lt;&gt;"",AP198&lt;&gt;""),"STCOアサイン済",OR(AN198&lt;&gt;"",AO198&lt;&gt;""),"CHAT中"),"")</f>
        <v/>
      </c>
      <c r="K198" s="28"/>
      <c r="L198" s="28"/>
      <c r="M198" s="28"/>
      <c r="N198" s="28"/>
      <c r="O198" s="28"/>
      <c r="AK198" s="28">
        <f t="shared" si="15"/>
        <v>0</v>
      </c>
      <c r="AL198" s="28" t="str">
        <f t="shared" ca="1" si="16"/>
        <v/>
      </c>
      <c r="AM198" s="28" t="str">
        <f t="shared" si="17"/>
        <v/>
      </c>
      <c r="AN198" s="28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28" t="str">
        <f t="shared" si="14"/>
        <v/>
      </c>
      <c r="I199" s="28"/>
      <c r="J199" s="173" t="str" cm="1">
        <f t="array" aca="1" ref="J199" ca="1">IFERROR(_xlfn.IFS(OR(AL199&lt;&gt;"",AP199&lt;&gt;""),"STCOアサイン済",OR(AN199&lt;&gt;"",AO199&lt;&gt;""),"CHAT中"),"")</f>
        <v/>
      </c>
      <c r="K199" s="28"/>
      <c r="L199" s="28"/>
      <c r="M199" s="28"/>
      <c r="N199" s="28"/>
      <c r="O199" s="28"/>
      <c r="AK199" s="28">
        <f t="shared" si="15"/>
        <v>0</v>
      </c>
      <c r="AL199" s="28" t="str">
        <f t="shared" ca="1" si="16"/>
        <v/>
      </c>
      <c r="AM199" s="28" t="str">
        <f t="shared" si="17"/>
        <v/>
      </c>
      <c r="AN199" s="28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28" t="str">
        <f t="shared" ref="A200:A263" si="21">IF(ISBLANK($I200), "", _xlfn.IFS($I200&gt;10, "DS", $I200&lt;=10, "未定"))</f>
        <v/>
      </c>
      <c r="I200" s="28"/>
      <c r="J200" s="173" t="str" cm="1">
        <f t="array" aca="1" ref="J200" ca="1">IFERROR(_xlfn.IFS(OR(AL200&lt;&gt;"",AP200&lt;&gt;""),"STCOアサイン済",OR(AN200&lt;&gt;"",AO200&lt;&gt;""),"CHAT中"),"")</f>
        <v/>
      </c>
      <c r="K200" s="28"/>
      <c r="L200" s="28"/>
      <c r="M200" s="28"/>
      <c r="N200" s="28"/>
      <c r="O200" s="28"/>
      <c r="AK200" s="28">
        <f t="shared" si="15"/>
        <v>0</v>
      </c>
      <c r="AL200" s="28" t="str">
        <f t="shared" ca="1" si="16"/>
        <v/>
      </c>
      <c r="AM200" s="28" t="str">
        <f t="shared" si="17"/>
        <v/>
      </c>
      <c r="AN200" s="28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28" t="str">
        <f t="shared" si="21"/>
        <v/>
      </c>
      <c r="I201" s="28"/>
      <c r="J201" s="173" t="str" cm="1">
        <f t="array" aca="1" ref="J201" ca="1">IFERROR(_xlfn.IFS(OR(AL201&lt;&gt;"",AP201&lt;&gt;""),"STCOアサイン済",OR(AN201&lt;&gt;"",AO201&lt;&gt;""),"CHAT中"),"")</f>
        <v/>
      </c>
      <c r="K201" s="28"/>
      <c r="L201" s="28"/>
      <c r="M201" s="28"/>
      <c r="N201" s="28"/>
      <c r="O201" s="28"/>
      <c r="AK201" s="28">
        <f t="shared" ref="AK201:AK264" si="22">C201</f>
        <v>0</v>
      </c>
      <c r="AL201" s="28" t="str">
        <f t="shared" ref="AL201:AL264" ca="1" si="23">IF(SUMIF(INDIRECT($AL$7&amp;"!$AM$5:$AM$800"),C201&amp;$AL$6,INDIRECT($AL$7&amp;"!$AN$5:$AN$800"))&lt;=0,"")</f>
        <v/>
      </c>
      <c r="AM201" s="28" t="str">
        <f t="shared" ref="AM201:AM264" si="24">IF(A201="","",A201)</f>
        <v/>
      </c>
      <c r="AN201" s="28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28" t="str">
        <f t="shared" si="21"/>
        <v/>
      </c>
      <c r="I202" s="28"/>
      <c r="J202" s="173" t="str" cm="1">
        <f t="array" aca="1" ref="J202" ca="1">IFERROR(_xlfn.IFS(OR(AL202&lt;&gt;"",AP202&lt;&gt;""),"STCOアサイン済",OR(AN202&lt;&gt;"",AO202&lt;&gt;""),"CHAT中"),"")</f>
        <v/>
      </c>
      <c r="K202" s="28"/>
      <c r="L202" s="28"/>
      <c r="M202" s="28"/>
      <c r="N202" s="28"/>
      <c r="O202" s="28"/>
      <c r="AK202" s="28">
        <f t="shared" si="22"/>
        <v>0</v>
      </c>
      <c r="AL202" s="28" t="str">
        <f t="shared" ca="1" si="23"/>
        <v/>
      </c>
      <c r="AM202" s="28" t="str">
        <f t="shared" si="24"/>
        <v/>
      </c>
      <c r="AN202" s="28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28" t="str">
        <f t="shared" si="21"/>
        <v/>
      </c>
      <c r="I203" s="28"/>
      <c r="J203" s="173" t="str" cm="1">
        <f t="array" aca="1" ref="J203" ca="1">IFERROR(_xlfn.IFS(OR(AL203&lt;&gt;"",AP203&lt;&gt;""),"STCOアサイン済",OR(AN203&lt;&gt;"",AO203&lt;&gt;""),"CHAT中"),"")</f>
        <v/>
      </c>
      <c r="K203" s="28"/>
      <c r="L203" s="28"/>
      <c r="M203" s="28"/>
      <c r="N203" s="28"/>
      <c r="O203" s="28"/>
      <c r="AK203" s="28">
        <f t="shared" si="22"/>
        <v>0</v>
      </c>
      <c r="AL203" s="28" t="str">
        <f t="shared" ca="1" si="23"/>
        <v/>
      </c>
      <c r="AM203" s="28" t="str">
        <f t="shared" si="24"/>
        <v/>
      </c>
      <c r="AN203" s="28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28" t="str">
        <f t="shared" si="21"/>
        <v/>
      </c>
      <c r="I204" s="28"/>
      <c r="J204" s="173" t="str" cm="1">
        <f t="array" aca="1" ref="J204" ca="1">IFERROR(_xlfn.IFS(OR(AL204&lt;&gt;"",AP204&lt;&gt;""),"STCOアサイン済",OR(AN204&lt;&gt;"",AO204&lt;&gt;""),"CHAT中"),"")</f>
        <v/>
      </c>
      <c r="K204" s="28"/>
      <c r="L204" s="28"/>
      <c r="M204" s="28"/>
      <c r="N204" s="28"/>
      <c r="O204" s="28"/>
      <c r="AK204" s="28">
        <f t="shared" si="22"/>
        <v>0</v>
      </c>
      <c r="AL204" s="28" t="str">
        <f t="shared" ca="1" si="23"/>
        <v/>
      </c>
      <c r="AM204" s="28" t="str">
        <f t="shared" si="24"/>
        <v/>
      </c>
      <c r="AN204" s="28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28" t="str">
        <f t="shared" si="21"/>
        <v/>
      </c>
      <c r="I205" s="28"/>
      <c r="J205" s="173" t="str" cm="1">
        <f t="array" aca="1" ref="J205" ca="1">IFERROR(_xlfn.IFS(OR(AL205&lt;&gt;"",AP205&lt;&gt;""),"STCOアサイン済",OR(AN205&lt;&gt;"",AO205&lt;&gt;""),"CHAT中"),"")</f>
        <v/>
      </c>
      <c r="K205" s="28"/>
      <c r="L205" s="28"/>
      <c r="M205" s="28"/>
      <c r="N205" s="28"/>
      <c r="O205" s="28"/>
      <c r="AK205" s="28">
        <f t="shared" si="22"/>
        <v>0</v>
      </c>
      <c r="AL205" s="28" t="str">
        <f t="shared" ca="1" si="23"/>
        <v/>
      </c>
      <c r="AM205" s="28" t="str">
        <f t="shared" si="24"/>
        <v/>
      </c>
      <c r="AN205" s="28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28" t="str">
        <f t="shared" si="21"/>
        <v/>
      </c>
      <c r="I206" s="28"/>
      <c r="J206" s="173" t="str" cm="1">
        <f t="array" aca="1" ref="J206" ca="1">IFERROR(_xlfn.IFS(OR(AL206&lt;&gt;"",AP206&lt;&gt;""),"STCOアサイン済",OR(AN206&lt;&gt;"",AO206&lt;&gt;""),"CHAT中"),"")</f>
        <v/>
      </c>
      <c r="K206" s="28"/>
      <c r="L206" s="28"/>
      <c r="M206" s="28"/>
      <c r="N206" s="28"/>
      <c r="O206" s="28"/>
      <c r="AK206" s="28">
        <f t="shared" si="22"/>
        <v>0</v>
      </c>
      <c r="AL206" s="28" t="str">
        <f t="shared" ca="1" si="23"/>
        <v/>
      </c>
      <c r="AM206" s="28" t="str">
        <f t="shared" si="24"/>
        <v/>
      </c>
      <c r="AN206" s="28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28" t="str">
        <f t="shared" si="21"/>
        <v/>
      </c>
      <c r="I207" s="28"/>
      <c r="J207" s="173" t="str" cm="1">
        <f t="array" aca="1" ref="J207" ca="1">IFERROR(_xlfn.IFS(OR(AL207&lt;&gt;"",AP207&lt;&gt;""),"STCOアサイン済",OR(AN207&lt;&gt;"",AO207&lt;&gt;""),"CHAT中"),"")</f>
        <v/>
      </c>
      <c r="K207" s="28"/>
      <c r="L207" s="28"/>
      <c r="M207" s="28"/>
      <c r="N207" s="28"/>
      <c r="O207" s="28"/>
      <c r="AK207" s="28">
        <f t="shared" si="22"/>
        <v>0</v>
      </c>
      <c r="AL207" s="28" t="str">
        <f t="shared" ca="1" si="23"/>
        <v/>
      </c>
      <c r="AM207" s="28" t="str">
        <f t="shared" si="24"/>
        <v/>
      </c>
      <c r="AN207" s="28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28" t="str">
        <f t="shared" si="21"/>
        <v/>
      </c>
      <c r="I208" s="28"/>
      <c r="J208" s="173" t="str" cm="1">
        <f t="array" aca="1" ref="J208" ca="1">IFERROR(_xlfn.IFS(OR(AL208&lt;&gt;"",AP208&lt;&gt;""),"STCOアサイン済",OR(AN208&lt;&gt;"",AO208&lt;&gt;""),"CHAT中"),"")</f>
        <v/>
      </c>
      <c r="K208" s="28"/>
      <c r="L208" s="28"/>
      <c r="M208" s="28"/>
      <c r="N208" s="28"/>
      <c r="O208" s="28"/>
      <c r="AK208" s="28">
        <f t="shared" si="22"/>
        <v>0</v>
      </c>
      <c r="AL208" s="28" t="str">
        <f t="shared" ca="1" si="23"/>
        <v/>
      </c>
      <c r="AM208" s="28" t="str">
        <f t="shared" si="24"/>
        <v/>
      </c>
      <c r="AN208" s="28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28" t="str">
        <f t="shared" si="21"/>
        <v/>
      </c>
      <c r="I209" s="28"/>
      <c r="J209" s="173" t="str" cm="1">
        <f t="array" aca="1" ref="J209" ca="1">IFERROR(_xlfn.IFS(OR(AL209&lt;&gt;"",AP209&lt;&gt;""),"STCOアサイン済",OR(AN209&lt;&gt;"",AO209&lt;&gt;""),"CHAT中"),"")</f>
        <v/>
      </c>
      <c r="K209" s="28"/>
      <c r="L209" s="28"/>
      <c r="M209" s="28"/>
      <c r="N209" s="28"/>
      <c r="O209" s="28"/>
      <c r="AK209" s="28">
        <f t="shared" si="22"/>
        <v>0</v>
      </c>
      <c r="AL209" s="28" t="str">
        <f t="shared" ca="1" si="23"/>
        <v/>
      </c>
      <c r="AM209" s="28" t="str">
        <f t="shared" si="24"/>
        <v/>
      </c>
      <c r="AN209" s="28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28" t="str">
        <f t="shared" si="21"/>
        <v/>
      </c>
      <c r="I210" s="28"/>
      <c r="J210" s="173" t="str" cm="1">
        <f t="array" aca="1" ref="J210" ca="1">IFERROR(_xlfn.IFS(OR(AL210&lt;&gt;"",AP210&lt;&gt;""),"STCOアサイン済",OR(AN210&lt;&gt;"",AO210&lt;&gt;""),"CHAT中"),"")</f>
        <v/>
      </c>
      <c r="K210" s="28"/>
      <c r="L210" s="28"/>
      <c r="M210" s="28"/>
      <c r="N210" s="28"/>
      <c r="O210" s="28"/>
      <c r="AK210" s="28">
        <f t="shared" si="22"/>
        <v>0</v>
      </c>
      <c r="AL210" s="28" t="str">
        <f t="shared" ca="1" si="23"/>
        <v/>
      </c>
      <c r="AM210" s="28" t="str">
        <f t="shared" si="24"/>
        <v/>
      </c>
      <c r="AN210" s="28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28" t="str">
        <f t="shared" si="21"/>
        <v/>
      </c>
      <c r="I211" s="28"/>
      <c r="J211" s="173" t="str" cm="1">
        <f t="array" aca="1" ref="J211" ca="1">IFERROR(_xlfn.IFS(OR(AL211&lt;&gt;"",AP211&lt;&gt;""),"STCOアサイン済",OR(AN211&lt;&gt;"",AO211&lt;&gt;""),"CHAT中"),"")</f>
        <v/>
      </c>
      <c r="K211" s="28"/>
      <c r="L211" s="28"/>
      <c r="M211" s="28"/>
      <c r="N211" s="28"/>
      <c r="O211" s="28"/>
      <c r="AK211" s="28">
        <f t="shared" si="22"/>
        <v>0</v>
      </c>
      <c r="AL211" s="28" t="str">
        <f t="shared" ca="1" si="23"/>
        <v/>
      </c>
      <c r="AM211" s="28" t="str">
        <f t="shared" si="24"/>
        <v/>
      </c>
      <c r="AN211" s="28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28" t="str">
        <f t="shared" si="21"/>
        <v/>
      </c>
      <c r="I212" s="28"/>
      <c r="J212" s="173" t="str" cm="1">
        <f t="array" aca="1" ref="J212" ca="1">IFERROR(_xlfn.IFS(OR(AL212&lt;&gt;"",AP212&lt;&gt;""),"STCOアサイン済",OR(AN212&lt;&gt;"",AO212&lt;&gt;""),"CHAT中"),"")</f>
        <v/>
      </c>
      <c r="K212" s="28"/>
      <c r="L212" s="28"/>
      <c r="M212" s="28"/>
      <c r="N212" s="28"/>
      <c r="O212" s="28"/>
      <c r="AK212" s="28">
        <f t="shared" si="22"/>
        <v>0</v>
      </c>
      <c r="AL212" s="28" t="str">
        <f t="shared" ca="1" si="23"/>
        <v/>
      </c>
      <c r="AM212" s="28" t="str">
        <f t="shared" si="24"/>
        <v/>
      </c>
      <c r="AN212" s="28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28" t="str">
        <f t="shared" si="21"/>
        <v/>
      </c>
      <c r="I213" s="28"/>
      <c r="J213" s="173" t="str" cm="1">
        <f t="array" aca="1" ref="J213" ca="1">IFERROR(_xlfn.IFS(OR(AL213&lt;&gt;"",AP213&lt;&gt;""),"STCOアサイン済",OR(AN213&lt;&gt;"",AO213&lt;&gt;""),"CHAT中"),"")</f>
        <v/>
      </c>
      <c r="K213" s="28"/>
      <c r="L213" s="28"/>
      <c r="M213" s="28"/>
      <c r="N213" s="28"/>
      <c r="O213" s="28"/>
      <c r="AK213" s="28">
        <f t="shared" si="22"/>
        <v>0</v>
      </c>
      <c r="AL213" s="28" t="str">
        <f t="shared" ca="1" si="23"/>
        <v/>
      </c>
      <c r="AM213" s="28" t="str">
        <f t="shared" si="24"/>
        <v/>
      </c>
      <c r="AN213" s="28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28" t="str">
        <f t="shared" si="21"/>
        <v/>
      </c>
      <c r="I214" s="28"/>
      <c r="J214" s="173" t="str" cm="1">
        <f t="array" aca="1" ref="J214" ca="1">IFERROR(_xlfn.IFS(OR(AL214&lt;&gt;"",AP214&lt;&gt;""),"STCOアサイン済",OR(AN214&lt;&gt;"",AO214&lt;&gt;""),"CHAT中"),"")</f>
        <v/>
      </c>
      <c r="K214" s="28"/>
      <c r="L214" s="28"/>
      <c r="M214" s="28"/>
      <c r="N214" s="28"/>
      <c r="O214" s="28"/>
      <c r="AK214" s="28">
        <f t="shared" si="22"/>
        <v>0</v>
      </c>
      <c r="AL214" s="28" t="str">
        <f t="shared" ca="1" si="23"/>
        <v/>
      </c>
      <c r="AM214" s="28" t="str">
        <f t="shared" si="24"/>
        <v/>
      </c>
      <c r="AN214" s="28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28" t="str">
        <f t="shared" si="21"/>
        <v/>
      </c>
      <c r="I215" s="28"/>
      <c r="J215" s="173" t="str" cm="1">
        <f t="array" aca="1" ref="J215" ca="1">IFERROR(_xlfn.IFS(OR(AL215&lt;&gt;"",AP215&lt;&gt;""),"STCOアサイン済",OR(AN215&lt;&gt;"",AO215&lt;&gt;""),"CHAT中"),"")</f>
        <v/>
      </c>
      <c r="K215" s="28"/>
      <c r="L215" s="28"/>
      <c r="M215" s="28"/>
      <c r="N215" s="28"/>
      <c r="O215" s="28"/>
      <c r="AK215" s="28">
        <f t="shared" si="22"/>
        <v>0</v>
      </c>
      <c r="AL215" s="28" t="str">
        <f t="shared" ca="1" si="23"/>
        <v/>
      </c>
      <c r="AM215" s="28" t="str">
        <f t="shared" si="24"/>
        <v/>
      </c>
      <c r="AN215" s="28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28" t="str">
        <f t="shared" si="21"/>
        <v/>
      </c>
      <c r="I216" s="28"/>
      <c r="J216" s="173" t="str" cm="1">
        <f t="array" aca="1" ref="J216" ca="1">IFERROR(_xlfn.IFS(OR(AL216&lt;&gt;"",AP216&lt;&gt;""),"STCOアサイン済",OR(AN216&lt;&gt;"",AO216&lt;&gt;""),"CHAT中"),"")</f>
        <v/>
      </c>
      <c r="K216" s="28"/>
      <c r="L216" s="28"/>
      <c r="M216" s="28"/>
      <c r="N216" s="28"/>
      <c r="O216" s="28"/>
      <c r="AK216" s="28">
        <f t="shared" si="22"/>
        <v>0</v>
      </c>
      <c r="AL216" s="28" t="str">
        <f t="shared" ca="1" si="23"/>
        <v/>
      </c>
      <c r="AM216" s="28" t="str">
        <f t="shared" si="24"/>
        <v/>
      </c>
      <c r="AN216" s="28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28" t="str">
        <f t="shared" si="21"/>
        <v/>
      </c>
      <c r="I217" s="28"/>
      <c r="J217" s="173" t="str" cm="1">
        <f t="array" aca="1" ref="J217" ca="1">IFERROR(_xlfn.IFS(OR(AL217&lt;&gt;"",AP217&lt;&gt;""),"STCOアサイン済",OR(AN217&lt;&gt;"",AO217&lt;&gt;""),"CHAT中"),"")</f>
        <v/>
      </c>
      <c r="K217" s="28"/>
      <c r="L217" s="28"/>
      <c r="M217" s="28"/>
      <c r="N217" s="28"/>
      <c r="O217" s="28"/>
      <c r="AK217" s="28">
        <f t="shared" si="22"/>
        <v>0</v>
      </c>
      <c r="AL217" s="28" t="str">
        <f t="shared" ca="1" si="23"/>
        <v/>
      </c>
      <c r="AM217" s="28" t="str">
        <f t="shared" si="24"/>
        <v/>
      </c>
      <c r="AN217" s="28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28" t="str">
        <f t="shared" si="21"/>
        <v/>
      </c>
      <c r="I218" s="28"/>
      <c r="J218" s="173" t="str" cm="1">
        <f t="array" aca="1" ref="J218" ca="1">IFERROR(_xlfn.IFS(OR(AL218&lt;&gt;"",AP218&lt;&gt;""),"STCOアサイン済",OR(AN218&lt;&gt;"",AO218&lt;&gt;""),"CHAT中"),"")</f>
        <v/>
      </c>
      <c r="K218" s="28"/>
      <c r="L218" s="28"/>
      <c r="M218" s="28"/>
      <c r="N218" s="28"/>
      <c r="O218" s="28"/>
      <c r="AK218" s="28">
        <f t="shared" si="22"/>
        <v>0</v>
      </c>
      <c r="AL218" s="28" t="str">
        <f t="shared" ca="1" si="23"/>
        <v/>
      </c>
      <c r="AM218" s="28" t="str">
        <f t="shared" si="24"/>
        <v/>
      </c>
      <c r="AN218" s="28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28" t="str">
        <f t="shared" si="21"/>
        <v/>
      </c>
      <c r="I219" s="28"/>
      <c r="J219" s="173" t="str" cm="1">
        <f t="array" aca="1" ref="J219" ca="1">IFERROR(_xlfn.IFS(OR(AL219&lt;&gt;"",AP219&lt;&gt;""),"STCOアサイン済",OR(AN219&lt;&gt;"",AO219&lt;&gt;""),"CHAT中"),"")</f>
        <v/>
      </c>
      <c r="K219" s="28"/>
      <c r="L219" s="28"/>
      <c r="M219" s="28"/>
      <c r="N219" s="28"/>
      <c r="O219" s="28"/>
      <c r="AK219" s="28">
        <f t="shared" si="22"/>
        <v>0</v>
      </c>
      <c r="AL219" s="28" t="str">
        <f t="shared" ca="1" si="23"/>
        <v/>
      </c>
      <c r="AM219" s="28" t="str">
        <f t="shared" si="24"/>
        <v/>
      </c>
      <c r="AN219" s="28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28" t="str">
        <f t="shared" si="21"/>
        <v/>
      </c>
      <c r="I220" s="28"/>
      <c r="J220" s="173" t="str" cm="1">
        <f t="array" aca="1" ref="J220" ca="1">IFERROR(_xlfn.IFS(OR(AL220&lt;&gt;"",AP220&lt;&gt;""),"STCOアサイン済",OR(AN220&lt;&gt;"",AO220&lt;&gt;""),"CHAT中"),"")</f>
        <v/>
      </c>
      <c r="K220" s="28"/>
      <c r="L220" s="28"/>
      <c r="M220" s="28"/>
      <c r="N220" s="28"/>
      <c r="O220" s="28"/>
      <c r="AK220" s="28">
        <f t="shared" si="22"/>
        <v>0</v>
      </c>
      <c r="AL220" s="28" t="str">
        <f t="shared" ca="1" si="23"/>
        <v/>
      </c>
      <c r="AM220" s="28" t="str">
        <f t="shared" si="24"/>
        <v/>
      </c>
      <c r="AN220" s="28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28" t="str">
        <f t="shared" si="21"/>
        <v/>
      </c>
      <c r="I221" s="28"/>
      <c r="J221" s="173" t="str" cm="1">
        <f t="array" aca="1" ref="J221" ca="1">IFERROR(_xlfn.IFS(OR(AL221&lt;&gt;"",AP221&lt;&gt;""),"STCOアサイン済",OR(AN221&lt;&gt;"",AO221&lt;&gt;""),"CHAT中"),"")</f>
        <v/>
      </c>
      <c r="K221" s="28"/>
      <c r="L221" s="28"/>
      <c r="M221" s="28"/>
      <c r="N221" s="28"/>
      <c r="O221" s="28"/>
      <c r="AK221" s="28">
        <f t="shared" si="22"/>
        <v>0</v>
      </c>
      <c r="AL221" s="28" t="str">
        <f t="shared" ca="1" si="23"/>
        <v/>
      </c>
      <c r="AM221" s="28" t="str">
        <f t="shared" si="24"/>
        <v/>
      </c>
      <c r="AN221" s="28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28" t="str">
        <f t="shared" si="21"/>
        <v/>
      </c>
      <c r="I222" s="28"/>
      <c r="J222" s="173" t="str" cm="1">
        <f t="array" aca="1" ref="J222" ca="1">IFERROR(_xlfn.IFS(OR(AL222&lt;&gt;"",AP222&lt;&gt;""),"STCOアサイン済",OR(AN222&lt;&gt;"",AO222&lt;&gt;""),"CHAT中"),"")</f>
        <v/>
      </c>
      <c r="K222" s="28"/>
      <c r="L222" s="28"/>
      <c r="M222" s="28"/>
      <c r="N222" s="28"/>
      <c r="O222" s="28"/>
      <c r="AK222" s="28">
        <f t="shared" si="22"/>
        <v>0</v>
      </c>
      <c r="AL222" s="28" t="str">
        <f t="shared" ca="1" si="23"/>
        <v/>
      </c>
      <c r="AM222" s="28" t="str">
        <f t="shared" si="24"/>
        <v/>
      </c>
      <c r="AN222" s="28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28" t="str">
        <f t="shared" si="21"/>
        <v/>
      </c>
      <c r="I223" s="28"/>
      <c r="J223" s="173" t="str" cm="1">
        <f t="array" aca="1" ref="J223" ca="1">IFERROR(_xlfn.IFS(OR(AL223&lt;&gt;"",AP223&lt;&gt;""),"STCOアサイン済",OR(AN223&lt;&gt;"",AO223&lt;&gt;""),"CHAT中"),"")</f>
        <v/>
      </c>
      <c r="K223" s="28"/>
      <c r="L223" s="28"/>
      <c r="M223" s="28"/>
      <c r="N223" s="28"/>
      <c r="O223" s="28"/>
      <c r="AK223" s="28">
        <f t="shared" si="22"/>
        <v>0</v>
      </c>
      <c r="AL223" s="28" t="str">
        <f t="shared" ca="1" si="23"/>
        <v/>
      </c>
      <c r="AM223" s="28" t="str">
        <f t="shared" si="24"/>
        <v/>
      </c>
      <c r="AN223" s="28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28" t="str">
        <f t="shared" si="21"/>
        <v/>
      </c>
      <c r="I224" s="28"/>
      <c r="J224" s="173" t="str" cm="1">
        <f t="array" aca="1" ref="J224" ca="1">IFERROR(_xlfn.IFS(OR(AL224&lt;&gt;"",AP224&lt;&gt;""),"STCOアサイン済",OR(AN224&lt;&gt;"",AO224&lt;&gt;""),"CHAT中"),"")</f>
        <v/>
      </c>
      <c r="K224" s="28"/>
      <c r="L224" s="28"/>
      <c r="M224" s="28"/>
      <c r="N224" s="28"/>
      <c r="O224" s="28"/>
      <c r="AK224" s="28">
        <f t="shared" si="22"/>
        <v>0</v>
      </c>
      <c r="AL224" s="28" t="str">
        <f t="shared" ca="1" si="23"/>
        <v/>
      </c>
      <c r="AM224" s="28" t="str">
        <f t="shared" si="24"/>
        <v/>
      </c>
      <c r="AN224" s="28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28" t="str">
        <f t="shared" si="21"/>
        <v/>
      </c>
      <c r="I225" s="28"/>
      <c r="J225" s="173" t="str" cm="1">
        <f t="array" aca="1" ref="J225" ca="1">IFERROR(_xlfn.IFS(OR(AL225&lt;&gt;"",AP225&lt;&gt;""),"STCOアサイン済",OR(AN225&lt;&gt;"",AO225&lt;&gt;""),"CHAT中"),"")</f>
        <v/>
      </c>
      <c r="K225" s="28"/>
      <c r="L225" s="28"/>
      <c r="M225" s="28"/>
      <c r="N225" s="28"/>
      <c r="O225" s="28"/>
      <c r="AK225" s="28">
        <f t="shared" si="22"/>
        <v>0</v>
      </c>
      <c r="AL225" s="28" t="str">
        <f t="shared" ca="1" si="23"/>
        <v/>
      </c>
      <c r="AM225" s="28" t="str">
        <f t="shared" si="24"/>
        <v/>
      </c>
      <c r="AN225" s="28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28" t="str">
        <f t="shared" si="21"/>
        <v/>
      </c>
      <c r="I226" s="28"/>
      <c r="J226" s="173" t="str" cm="1">
        <f t="array" aca="1" ref="J226" ca="1">IFERROR(_xlfn.IFS(OR(AL226&lt;&gt;"",AP226&lt;&gt;""),"STCOアサイン済",OR(AN226&lt;&gt;"",AO226&lt;&gt;""),"CHAT中"),"")</f>
        <v/>
      </c>
      <c r="K226" s="28"/>
      <c r="L226" s="28"/>
      <c r="M226" s="28"/>
      <c r="N226" s="28"/>
      <c r="O226" s="28"/>
      <c r="AK226" s="28">
        <f t="shared" si="22"/>
        <v>0</v>
      </c>
      <c r="AL226" s="28" t="str">
        <f t="shared" ca="1" si="23"/>
        <v/>
      </c>
      <c r="AM226" s="28" t="str">
        <f t="shared" si="24"/>
        <v/>
      </c>
      <c r="AN226" s="28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28" t="str">
        <f t="shared" si="21"/>
        <v/>
      </c>
      <c r="I227" s="28"/>
      <c r="J227" s="173" t="str" cm="1">
        <f t="array" aca="1" ref="J227" ca="1">IFERROR(_xlfn.IFS(OR(AL227&lt;&gt;"",AP227&lt;&gt;""),"STCOアサイン済",OR(AN227&lt;&gt;"",AO227&lt;&gt;""),"CHAT中"),"")</f>
        <v/>
      </c>
      <c r="K227" s="28"/>
      <c r="L227" s="28"/>
      <c r="M227" s="28"/>
      <c r="N227" s="28"/>
      <c r="O227" s="28"/>
      <c r="AK227" s="28">
        <f t="shared" si="22"/>
        <v>0</v>
      </c>
      <c r="AL227" s="28" t="str">
        <f t="shared" ca="1" si="23"/>
        <v/>
      </c>
      <c r="AM227" s="28" t="str">
        <f t="shared" si="24"/>
        <v/>
      </c>
      <c r="AN227" s="28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28" t="str">
        <f t="shared" si="21"/>
        <v/>
      </c>
      <c r="I228" s="28"/>
      <c r="J228" s="173" t="str" cm="1">
        <f t="array" aca="1" ref="J228" ca="1">IFERROR(_xlfn.IFS(OR(AL228&lt;&gt;"",AP228&lt;&gt;""),"STCOアサイン済",OR(AN228&lt;&gt;"",AO228&lt;&gt;""),"CHAT中"),"")</f>
        <v/>
      </c>
      <c r="K228" s="28"/>
      <c r="L228" s="28"/>
      <c r="M228" s="28"/>
      <c r="N228" s="28"/>
      <c r="O228" s="28"/>
      <c r="AK228" s="28">
        <f t="shared" si="22"/>
        <v>0</v>
      </c>
      <c r="AL228" s="28" t="str">
        <f t="shared" ca="1" si="23"/>
        <v/>
      </c>
      <c r="AM228" s="28" t="str">
        <f t="shared" si="24"/>
        <v/>
      </c>
      <c r="AN228" s="28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28" t="str">
        <f t="shared" si="21"/>
        <v/>
      </c>
      <c r="I229" s="28"/>
      <c r="J229" s="173" t="str" cm="1">
        <f t="array" aca="1" ref="J229" ca="1">IFERROR(_xlfn.IFS(OR(AL229&lt;&gt;"",AP229&lt;&gt;""),"STCOアサイン済",OR(AN229&lt;&gt;"",AO229&lt;&gt;""),"CHAT中"),"")</f>
        <v/>
      </c>
      <c r="K229" s="28"/>
      <c r="L229" s="28"/>
      <c r="M229" s="28"/>
      <c r="N229" s="28"/>
      <c r="O229" s="28"/>
      <c r="AK229" s="28">
        <f t="shared" si="22"/>
        <v>0</v>
      </c>
      <c r="AL229" s="28" t="str">
        <f t="shared" ca="1" si="23"/>
        <v/>
      </c>
      <c r="AM229" s="28" t="str">
        <f t="shared" si="24"/>
        <v/>
      </c>
      <c r="AN229" s="28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28" t="str">
        <f t="shared" si="21"/>
        <v/>
      </c>
      <c r="I230" s="28"/>
      <c r="J230" s="173" t="str" cm="1">
        <f t="array" aca="1" ref="J230" ca="1">IFERROR(_xlfn.IFS(OR(AL230&lt;&gt;"",AP230&lt;&gt;""),"STCOアサイン済",OR(AN230&lt;&gt;"",AO230&lt;&gt;""),"CHAT中"),"")</f>
        <v/>
      </c>
      <c r="K230" s="28"/>
      <c r="L230" s="28"/>
      <c r="M230" s="28"/>
      <c r="N230" s="28"/>
      <c r="O230" s="28"/>
      <c r="AK230" s="28">
        <f t="shared" si="22"/>
        <v>0</v>
      </c>
      <c r="AL230" s="28" t="str">
        <f t="shared" ca="1" si="23"/>
        <v/>
      </c>
      <c r="AM230" s="28" t="str">
        <f t="shared" si="24"/>
        <v/>
      </c>
      <c r="AN230" s="28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28" t="str">
        <f t="shared" si="21"/>
        <v/>
      </c>
      <c r="I231" s="28"/>
      <c r="J231" s="173" t="str" cm="1">
        <f t="array" aca="1" ref="J231" ca="1">IFERROR(_xlfn.IFS(OR(AL231&lt;&gt;"",AP231&lt;&gt;""),"STCOアサイン済",OR(AN231&lt;&gt;"",AO231&lt;&gt;""),"CHAT中"),"")</f>
        <v/>
      </c>
      <c r="K231" s="28"/>
      <c r="L231" s="28"/>
      <c r="M231" s="28"/>
      <c r="N231" s="28"/>
      <c r="O231" s="28"/>
      <c r="AK231" s="28">
        <f t="shared" si="22"/>
        <v>0</v>
      </c>
      <c r="AL231" s="28" t="str">
        <f t="shared" ca="1" si="23"/>
        <v/>
      </c>
      <c r="AM231" s="28" t="str">
        <f t="shared" si="24"/>
        <v/>
      </c>
      <c r="AN231" s="28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28" t="str">
        <f t="shared" si="21"/>
        <v/>
      </c>
      <c r="I232" s="28"/>
      <c r="J232" s="173" t="str" cm="1">
        <f t="array" aca="1" ref="J232" ca="1">IFERROR(_xlfn.IFS(OR(AL232&lt;&gt;"",AP232&lt;&gt;""),"STCOアサイン済",OR(AN232&lt;&gt;"",AO232&lt;&gt;""),"CHAT中"),"")</f>
        <v/>
      </c>
      <c r="K232" s="28"/>
      <c r="L232" s="28"/>
      <c r="M232" s="28"/>
      <c r="N232" s="28"/>
      <c r="O232" s="28"/>
      <c r="AK232" s="28">
        <f t="shared" si="22"/>
        <v>0</v>
      </c>
      <c r="AL232" s="28" t="str">
        <f t="shared" ca="1" si="23"/>
        <v/>
      </c>
      <c r="AM232" s="28" t="str">
        <f t="shared" si="24"/>
        <v/>
      </c>
      <c r="AN232" s="28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28" t="str">
        <f t="shared" si="21"/>
        <v/>
      </c>
      <c r="I233" s="28"/>
      <c r="J233" s="173" t="str" cm="1">
        <f t="array" aca="1" ref="J233" ca="1">IFERROR(_xlfn.IFS(OR(AL233&lt;&gt;"",AP233&lt;&gt;""),"STCOアサイン済",OR(AN233&lt;&gt;"",AO233&lt;&gt;""),"CHAT中"),"")</f>
        <v/>
      </c>
      <c r="K233" s="28"/>
      <c r="L233" s="28"/>
      <c r="M233" s="28"/>
      <c r="N233" s="28"/>
      <c r="O233" s="28"/>
      <c r="AK233" s="28">
        <f t="shared" si="22"/>
        <v>0</v>
      </c>
      <c r="AL233" s="28" t="str">
        <f t="shared" ca="1" si="23"/>
        <v/>
      </c>
      <c r="AM233" s="28" t="str">
        <f t="shared" si="24"/>
        <v/>
      </c>
      <c r="AN233" s="28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28" t="str">
        <f t="shared" si="21"/>
        <v/>
      </c>
      <c r="I234" s="28"/>
      <c r="J234" s="173" t="str" cm="1">
        <f t="array" aca="1" ref="J234" ca="1">IFERROR(_xlfn.IFS(OR(AL234&lt;&gt;"",AP234&lt;&gt;""),"STCOアサイン済",OR(AN234&lt;&gt;"",AO234&lt;&gt;""),"CHAT中"),"")</f>
        <v/>
      </c>
      <c r="K234" s="28"/>
      <c r="L234" s="28"/>
      <c r="M234" s="28"/>
      <c r="N234" s="28"/>
      <c r="O234" s="28"/>
      <c r="AK234" s="28">
        <f t="shared" si="22"/>
        <v>0</v>
      </c>
      <c r="AL234" s="28" t="str">
        <f t="shared" ca="1" si="23"/>
        <v/>
      </c>
      <c r="AM234" s="28" t="str">
        <f t="shared" si="24"/>
        <v/>
      </c>
      <c r="AN234" s="28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28" t="str">
        <f t="shared" si="21"/>
        <v/>
      </c>
      <c r="I235" s="28"/>
      <c r="J235" s="173" t="str" cm="1">
        <f t="array" aca="1" ref="J235" ca="1">IFERROR(_xlfn.IFS(OR(AL235&lt;&gt;"",AP235&lt;&gt;""),"STCOアサイン済",OR(AN235&lt;&gt;"",AO235&lt;&gt;""),"CHAT中"),"")</f>
        <v/>
      </c>
      <c r="K235" s="28"/>
      <c r="L235" s="28"/>
      <c r="M235" s="28"/>
      <c r="N235" s="28"/>
      <c r="O235" s="28"/>
      <c r="AK235" s="28">
        <f t="shared" si="22"/>
        <v>0</v>
      </c>
      <c r="AL235" s="28" t="str">
        <f t="shared" ca="1" si="23"/>
        <v/>
      </c>
      <c r="AM235" s="28" t="str">
        <f t="shared" si="24"/>
        <v/>
      </c>
      <c r="AN235" s="28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28" t="str">
        <f t="shared" si="21"/>
        <v/>
      </c>
      <c r="I236" s="28"/>
      <c r="J236" s="173" t="str" cm="1">
        <f t="array" aca="1" ref="J236" ca="1">IFERROR(_xlfn.IFS(OR(AL236&lt;&gt;"",AP236&lt;&gt;""),"STCOアサイン済",OR(AN236&lt;&gt;"",AO236&lt;&gt;""),"CHAT中"),"")</f>
        <v/>
      </c>
      <c r="K236" s="28"/>
      <c r="L236" s="28"/>
      <c r="M236" s="28"/>
      <c r="N236" s="28"/>
      <c r="O236" s="28"/>
      <c r="AK236" s="28">
        <f t="shared" si="22"/>
        <v>0</v>
      </c>
      <c r="AL236" s="28" t="str">
        <f t="shared" ca="1" si="23"/>
        <v/>
      </c>
      <c r="AM236" s="28" t="str">
        <f t="shared" si="24"/>
        <v/>
      </c>
      <c r="AN236" s="28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28" t="str">
        <f t="shared" si="21"/>
        <v/>
      </c>
      <c r="I237" s="28"/>
      <c r="J237" s="173" t="str" cm="1">
        <f t="array" aca="1" ref="J237" ca="1">IFERROR(_xlfn.IFS(OR(AL237&lt;&gt;"",AP237&lt;&gt;""),"STCOアサイン済",OR(AN237&lt;&gt;"",AO237&lt;&gt;""),"CHAT中"),"")</f>
        <v/>
      </c>
      <c r="K237" s="28"/>
      <c r="L237" s="28"/>
      <c r="M237" s="28"/>
      <c r="N237" s="28"/>
      <c r="O237" s="28"/>
      <c r="AK237" s="28">
        <f t="shared" si="22"/>
        <v>0</v>
      </c>
      <c r="AL237" s="28" t="str">
        <f t="shared" ca="1" si="23"/>
        <v/>
      </c>
      <c r="AM237" s="28" t="str">
        <f t="shared" si="24"/>
        <v/>
      </c>
      <c r="AN237" s="28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28" t="str">
        <f t="shared" si="21"/>
        <v/>
      </c>
      <c r="I238" s="28"/>
      <c r="J238" s="173" t="str" cm="1">
        <f t="array" aca="1" ref="J238" ca="1">IFERROR(_xlfn.IFS(OR(AL238&lt;&gt;"",AP238&lt;&gt;""),"STCOアサイン済",OR(AN238&lt;&gt;"",AO238&lt;&gt;""),"CHAT中"),"")</f>
        <v/>
      </c>
      <c r="K238" s="28"/>
      <c r="L238" s="28"/>
      <c r="M238" s="28"/>
      <c r="N238" s="28"/>
      <c r="O238" s="28"/>
      <c r="AK238" s="28">
        <f t="shared" si="22"/>
        <v>0</v>
      </c>
      <c r="AL238" s="28" t="str">
        <f t="shared" ca="1" si="23"/>
        <v/>
      </c>
      <c r="AM238" s="28" t="str">
        <f t="shared" si="24"/>
        <v/>
      </c>
      <c r="AN238" s="28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28" t="str">
        <f t="shared" si="21"/>
        <v/>
      </c>
      <c r="I239" s="28"/>
      <c r="J239" s="173" t="str" cm="1">
        <f t="array" aca="1" ref="J239" ca="1">IFERROR(_xlfn.IFS(OR(AL239&lt;&gt;"",AP239&lt;&gt;""),"STCOアサイン済",OR(AN239&lt;&gt;"",AO239&lt;&gt;""),"CHAT中"),"")</f>
        <v/>
      </c>
      <c r="K239" s="28"/>
      <c r="L239" s="28"/>
      <c r="M239" s="28"/>
      <c r="N239" s="28"/>
      <c r="O239" s="28"/>
      <c r="AK239" s="28">
        <f t="shared" si="22"/>
        <v>0</v>
      </c>
      <c r="AL239" s="28" t="str">
        <f t="shared" ca="1" si="23"/>
        <v/>
      </c>
      <c r="AM239" s="28" t="str">
        <f t="shared" si="24"/>
        <v/>
      </c>
      <c r="AN239" s="28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28" t="str">
        <f t="shared" si="21"/>
        <v/>
      </c>
      <c r="I240" s="28"/>
      <c r="J240" s="173" t="str" cm="1">
        <f t="array" aca="1" ref="J240" ca="1">IFERROR(_xlfn.IFS(OR(AL240&lt;&gt;"",AP240&lt;&gt;""),"STCOアサイン済",OR(AN240&lt;&gt;"",AO240&lt;&gt;""),"CHAT中"),"")</f>
        <v/>
      </c>
      <c r="K240" s="28"/>
      <c r="L240" s="28"/>
      <c r="M240" s="28"/>
      <c r="N240" s="28"/>
      <c r="O240" s="28"/>
      <c r="AK240" s="28">
        <f t="shared" si="22"/>
        <v>0</v>
      </c>
      <c r="AL240" s="28" t="str">
        <f t="shared" ca="1" si="23"/>
        <v/>
      </c>
      <c r="AM240" s="28" t="str">
        <f t="shared" si="24"/>
        <v/>
      </c>
      <c r="AN240" s="28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28" t="str">
        <f t="shared" si="21"/>
        <v/>
      </c>
      <c r="I241" s="28"/>
      <c r="J241" s="173" t="str" cm="1">
        <f t="array" aca="1" ref="J241" ca="1">IFERROR(_xlfn.IFS(OR(AL241&lt;&gt;"",AP241&lt;&gt;""),"STCOアサイン済",OR(AN241&lt;&gt;"",AO241&lt;&gt;""),"CHAT中"),"")</f>
        <v/>
      </c>
      <c r="K241" s="28"/>
      <c r="L241" s="28"/>
      <c r="M241" s="28"/>
      <c r="N241" s="28"/>
      <c r="O241" s="28"/>
      <c r="AK241" s="28">
        <f t="shared" si="22"/>
        <v>0</v>
      </c>
      <c r="AL241" s="28" t="str">
        <f t="shared" ca="1" si="23"/>
        <v/>
      </c>
      <c r="AM241" s="28" t="str">
        <f t="shared" si="24"/>
        <v/>
      </c>
      <c r="AN241" s="28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28" t="str">
        <f t="shared" si="21"/>
        <v/>
      </c>
      <c r="I242" s="28"/>
      <c r="J242" s="173" t="str" cm="1">
        <f t="array" aca="1" ref="J242" ca="1">IFERROR(_xlfn.IFS(OR(AL242&lt;&gt;"",AP242&lt;&gt;""),"STCOアサイン済",OR(AN242&lt;&gt;"",AO242&lt;&gt;""),"CHAT中"),"")</f>
        <v/>
      </c>
      <c r="K242" s="28"/>
      <c r="L242" s="28"/>
      <c r="M242" s="28"/>
      <c r="N242" s="28"/>
      <c r="O242" s="28"/>
      <c r="AK242" s="28">
        <f t="shared" si="22"/>
        <v>0</v>
      </c>
      <c r="AL242" s="28" t="str">
        <f t="shared" ca="1" si="23"/>
        <v/>
      </c>
      <c r="AM242" s="28" t="str">
        <f t="shared" si="24"/>
        <v/>
      </c>
      <c r="AN242" s="28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28" t="str">
        <f t="shared" si="21"/>
        <v/>
      </c>
      <c r="I243" s="28"/>
      <c r="J243" s="173" t="str" cm="1">
        <f t="array" aca="1" ref="J243" ca="1">IFERROR(_xlfn.IFS(OR(AL243&lt;&gt;"",AP243&lt;&gt;""),"STCOアサイン済",OR(AN243&lt;&gt;"",AO243&lt;&gt;""),"CHAT中"),"")</f>
        <v/>
      </c>
      <c r="K243" s="28"/>
      <c r="L243" s="28"/>
      <c r="M243" s="28"/>
      <c r="N243" s="28"/>
      <c r="O243" s="28"/>
      <c r="AK243" s="28">
        <f t="shared" si="22"/>
        <v>0</v>
      </c>
      <c r="AL243" s="28" t="str">
        <f t="shared" ca="1" si="23"/>
        <v/>
      </c>
      <c r="AM243" s="28" t="str">
        <f t="shared" si="24"/>
        <v/>
      </c>
      <c r="AN243" s="28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28" t="str">
        <f t="shared" si="21"/>
        <v/>
      </c>
      <c r="I244" s="28"/>
      <c r="J244" s="173" t="str" cm="1">
        <f t="array" aca="1" ref="J244" ca="1">IFERROR(_xlfn.IFS(OR(AL244&lt;&gt;"",AP244&lt;&gt;""),"STCOアサイン済",OR(AN244&lt;&gt;"",AO244&lt;&gt;""),"CHAT中"),"")</f>
        <v/>
      </c>
      <c r="K244" s="28"/>
      <c r="L244" s="28"/>
      <c r="M244" s="28"/>
      <c r="N244" s="28"/>
      <c r="O244" s="28"/>
      <c r="AK244" s="28">
        <f t="shared" si="22"/>
        <v>0</v>
      </c>
      <c r="AL244" s="28" t="str">
        <f t="shared" ca="1" si="23"/>
        <v/>
      </c>
      <c r="AM244" s="28" t="str">
        <f t="shared" si="24"/>
        <v/>
      </c>
      <c r="AN244" s="28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28" t="str">
        <f t="shared" si="21"/>
        <v/>
      </c>
      <c r="I245" s="28"/>
      <c r="J245" s="173" t="str" cm="1">
        <f t="array" aca="1" ref="J245" ca="1">IFERROR(_xlfn.IFS(OR(AL245&lt;&gt;"",AP245&lt;&gt;""),"STCOアサイン済",OR(AN245&lt;&gt;"",AO245&lt;&gt;""),"CHAT中"),"")</f>
        <v/>
      </c>
      <c r="K245" s="28"/>
      <c r="L245" s="28"/>
      <c r="M245" s="28"/>
      <c r="N245" s="28"/>
      <c r="O245" s="28"/>
      <c r="AK245" s="28">
        <f t="shared" si="22"/>
        <v>0</v>
      </c>
      <c r="AL245" s="28" t="str">
        <f t="shared" ca="1" si="23"/>
        <v/>
      </c>
      <c r="AM245" s="28" t="str">
        <f t="shared" si="24"/>
        <v/>
      </c>
      <c r="AN245" s="28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28" t="str">
        <f t="shared" si="21"/>
        <v/>
      </c>
      <c r="I246" s="28"/>
      <c r="J246" s="173" t="str" cm="1">
        <f t="array" aca="1" ref="J246" ca="1">IFERROR(_xlfn.IFS(OR(AL246&lt;&gt;"",AP246&lt;&gt;""),"STCOアサイン済",OR(AN246&lt;&gt;"",AO246&lt;&gt;""),"CHAT中"),"")</f>
        <v/>
      </c>
      <c r="K246" s="28"/>
      <c r="L246" s="28"/>
      <c r="M246" s="28"/>
      <c r="N246" s="28"/>
      <c r="O246" s="28"/>
      <c r="AK246" s="28">
        <f t="shared" si="22"/>
        <v>0</v>
      </c>
      <c r="AL246" s="28" t="str">
        <f t="shared" ca="1" si="23"/>
        <v/>
      </c>
      <c r="AM246" s="28" t="str">
        <f t="shared" si="24"/>
        <v/>
      </c>
      <c r="AN246" s="28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28" t="str">
        <f t="shared" si="21"/>
        <v/>
      </c>
      <c r="I247" s="28"/>
      <c r="J247" s="173" t="str" cm="1">
        <f t="array" aca="1" ref="J247" ca="1">IFERROR(_xlfn.IFS(OR(AL247&lt;&gt;"",AP247&lt;&gt;""),"STCOアサイン済",OR(AN247&lt;&gt;"",AO247&lt;&gt;""),"CHAT中"),"")</f>
        <v/>
      </c>
      <c r="K247" s="28"/>
      <c r="L247" s="28"/>
      <c r="M247" s="28"/>
      <c r="N247" s="28"/>
      <c r="O247" s="28"/>
      <c r="AK247" s="28">
        <f t="shared" si="22"/>
        <v>0</v>
      </c>
      <c r="AL247" s="28" t="str">
        <f t="shared" ca="1" si="23"/>
        <v/>
      </c>
      <c r="AM247" s="28" t="str">
        <f t="shared" si="24"/>
        <v/>
      </c>
      <c r="AN247" s="28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28" t="str">
        <f t="shared" si="21"/>
        <v/>
      </c>
      <c r="I248" s="28"/>
      <c r="J248" s="173" t="str" cm="1">
        <f t="array" aca="1" ref="J248" ca="1">IFERROR(_xlfn.IFS(OR(AL248&lt;&gt;"",AP248&lt;&gt;""),"STCOアサイン済",OR(AN248&lt;&gt;"",AO248&lt;&gt;""),"CHAT中"),"")</f>
        <v/>
      </c>
      <c r="K248" s="28"/>
      <c r="L248" s="28"/>
      <c r="M248" s="28"/>
      <c r="N248" s="28"/>
      <c r="O248" s="28"/>
      <c r="AK248" s="28">
        <f t="shared" si="22"/>
        <v>0</v>
      </c>
      <c r="AL248" s="28" t="str">
        <f t="shared" ca="1" si="23"/>
        <v/>
      </c>
      <c r="AM248" s="28" t="str">
        <f t="shared" si="24"/>
        <v/>
      </c>
      <c r="AN248" s="28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28" t="str">
        <f t="shared" si="21"/>
        <v/>
      </c>
      <c r="I249" s="28"/>
      <c r="J249" s="173" t="str" cm="1">
        <f t="array" aca="1" ref="J249" ca="1">IFERROR(_xlfn.IFS(OR(AL249&lt;&gt;"",AP249&lt;&gt;""),"STCOアサイン済",OR(AN249&lt;&gt;"",AO249&lt;&gt;""),"CHAT中"),"")</f>
        <v/>
      </c>
      <c r="K249" s="28"/>
      <c r="L249" s="28"/>
      <c r="M249" s="28"/>
      <c r="N249" s="28"/>
      <c r="O249" s="28"/>
      <c r="AK249" s="28">
        <f t="shared" si="22"/>
        <v>0</v>
      </c>
      <c r="AL249" s="28" t="str">
        <f t="shared" ca="1" si="23"/>
        <v/>
      </c>
      <c r="AM249" s="28" t="str">
        <f t="shared" si="24"/>
        <v/>
      </c>
      <c r="AN249" s="28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28" t="str">
        <f t="shared" si="21"/>
        <v/>
      </c>
      <c r="I250" s="28"/>
      <c r="J250" s="173" t="str" cm="1">
        <f t="array" aca="1" ref="J250" ca="1">IFERROR(_xlfn.IFS(OR(AL250&lt;&gt;"",AP250&lt;&gt;""),"STCOアサイン済",OR(AN250&lt;&gt;"",AO250&lt;&gt;""),"CHAT中"),"")</f>
        <v/>
      </c>
      <c r="K250" s="28"/>
      <c r="L250" s="28"/>
      <c r="M250" s="28"/>
      <c r="N250" s="28"/>
      <c r="O250" s="28"/>
      <c r="AK250" s="28">
        <f t="shared" si="22"/>
        <v>0</v>
      </c>
      <c r="AL250" s="28" t="str">
        <f t="shared" ca="1" si="23"/>
        <v/>
      </c>
      <c r="AM250" s="28" t="str">
        <f t="shared" si="24"/>
        <v/>
      </c>
      <c r="AN250" s="28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28" t="str">
        <f t="shared" si="21"/>
        <v/>
      </c>
      <c r="I251" s="28"/>
      <c r="J251" s="173" t="str" cm="1">
        <f t="array" aca="1" ref="J251" ca="1">IFERROR(_xlfn.IFS(OR(AL251&lt;&gt;"",AP251&lt;&gt;""),"STCOアサイン済",OR(AN251&lt;&gt;"",AO251&lt;&gt;""),"CHAT中"),"")</f>
        <v/>
      </c>
      <c r="K251" s="28"/>
      <c r="L251" s="28"/>
      <c r="M251" s="28"/>
      <c r="N251" s="28"/>
      <c r="O251" s="28"/>
      <c r="AK251" s="28">
        <f t="shared" si="22"/>
        <v>0</v>
      </c>
      <c r="AL251" s="28" t="str">
        <f t="shared" ca="1" si="23"/>
        <v/>
      </c>
      <c r="AM251" s="28" t="str">
        <f t="shared" si="24"/>
        <v/>
      </c>
      <c r="AN251" s="28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28" t="str">
        <f t="shared" si="21"/>
        <v/>
      </c>
      <c r="I252" s="28"/>
      <c r="J252" s="173" t="str" cm="1">
        <f t="array" aca="1" ref="J252" ca="1">IFERROR(_xlfn.IFS(OR(AL252&lt;&gt;"",AP252&lt;&gt;""),"STCOアサイン済",OR(AN252&lt;&gt;"",AO252&lt;&gt;""),"CHAT中"),"")</f>
        <v/>
      </c>
      <c r="K252" s="28"/>
      <c r="L252" s="28"/>
      <c r="M252" s="28"/>
      <c r="N252" s="28"/>
      <c r="O252" s="28"/>
      <c r="AK252" s="28">
        <f t="shared" si="22"/>
        <v>0</v>
      </c>
      <c r="AL252" s="28" t="str">
        <f t="shared" ca="1" si="23"/>
        <v/>
      </c>
      <c r="AM252" s="28" t="str">
        <f t="shared" si="24"/>
        <v/>
      </c>
      <c r="AN252" s="28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28" t="str">
        <f t="shared" si="21"/>
        <v/>
      </c>
      <c r="I253" s="28"/>
      <c r="J253" s="173" t="str" cm="1">
        <f t="array" aca="1" ref="J253" ca="1">IFERROR(_xlfn.IFS(OR(AL253&lt;&gt;"",AP253&lt;&gt;""),"STCOアサイン済",OR(AN253&lt;&gt;"",AO253&lt;&gt;""),"CHAT中"),"")</f>
        <v/>
      </c>
      <c r="K253" s="28"/>
      <c r="L253" s="28"/>
      <c r="M253" s="28"/>
      <c r="N253" s="28"/>
      <c r="O253" s="28"/>
      <c r="AK253" s="28">
        <f t="shared" si="22"/>
        <v>0</v>
      </c>
      <c r="AL253" s="28" t="str">
        <f t="shared" ca="1" si="23"/>
        <v/>
      </c>
      <c r="AM253" s="28" t="str">
        <f t="shared" si="24"/>
        <v/>
      </c>
      <c r="AN253" s="28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28" t="str">
        <f t="shared" si="21"/>
        <v/>
      </c>
      <c r="I254" s="28"/>
      <c r="J254" s="173" t="str" cm="1">
        <f t="array" aca="1" ref="J254" ca="1">IFERROR(_xlfn.IFS(OR(AL254&lt;&gt;"",AP254&lt;&gt;""),"STCOアサイン済",OR(AN254&lt;&gt;"",AO254&lt;&gt;""),"CHAT中"),"")</f>
        <v/>
      </c>
      <c r="K254" s="28"/>
      <c r="L254" s="28"/>
      <c r="M254" s="28"/>
      <c r="N254" s="28"/>
      <c r="O254" s="28"/>
      <c r="AK254" s="28">
        <f t="shared" si="22"/>
        <v>0</v>
      </c>
      <c r="AL254" s="28" t="str">
        <f t="shared" ca="1" si="23"/>
        <v/>
      </c>
      <c r="AM254" s="28" t="str">
        <f t="shared" si="24"/>
        <v/>
      </c>
      <c r="AN254" s="28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28" t="str">
        <f t="shared" si="21"/>
        <v/>
      </c>
      <c r="I255" s="28"/>
      <c r="J255" s="173" t="str" cm="1">
        <f t="array" aca="1" ref="J255" ca="1">IFERROR(_xlfn.IFS(OR(AL255&lt;&gt;"",AP255&lt;&gt;""),"STCOアサイン済",OR(AN255&lt;&gt;"",AO255&lt;&gt;""),"CHAT中"),"")</f>
        <v/>
      </c>
      <c r="K255" s="28"/>
      <c r="L255" s="28"/>
      <c r="M255" s="28"/>
      <c r="N255" s="28"/>
      <c r="O255" s="28"/>
      <c r="AK255" s="28">
        <f t="shared" si="22"/>
        <v>0</v>
      </c>
      <c r="AL255" s="28" t="str">
        <f t="shared" ca="1" si="23"/>
        <v/>
      </c>
      <c r="AM255" s="28" t="str">
        <f t="shared" si="24"/>
        <v/>
      </c>
      <c r="AN255" s="28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28" t="str">
        <f t="shared" si="21"/>
        <v/>
      </c>
      <c r="I256" s="28"/>
      <c r="J256" s="173" t="str" cm="1">
        <f t="array" aca="1" ref="J256" ca="1">IFERROR(_xlfn.IFS(OR(AL256&lt;&gt;"",AP256&lt;&gt;""),"STCOアサイン済",OR(AN256&lt;&gt;"",AO256&lt;&gt;""),"CHAT中"),"")</f>
        <v/>
      </c>
      <c r="K256" s="28"/>
      <c r="L256" s="28"/>
      <c r="M256" s="28"/>
      <c r="N256" s="28"/>
      <c r="O256" s="28"/>
      <c r="AK256" s="28">
        <f t="shared" si="22"/>
        <v>0</v>
      </c>
      <c r="AL256" s="28" t="str">
        <f t="shared" ca="1" si="23"/>
        <v/>
      </c>
      <c r="AM256" s="28" t="str">
        <f t="shared" si="24"/>
        <v/>
      </c>
      <c r="AN256" s="28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28" t="str">
        <f t="shared" si="21"/>
        <v/>
      </c>
      <c r="I257" s="28"/>
      <c r="J257" s="173" t="str" cm="1">
        <f t="array" aca="1" ref="J257" ca="1">IFERROR(_xlfn.IFS(OR(AL257&lt;&gt;"",AP257&lt;&gt;""),"STCOアサイン済",OR(AN257&lt;&gt;"",AO257&lt;&gt;""),"CHAT中"),"")</f>
        <v/>
      </c>
      <c r="K257" s="28"/>
      <c r="L257" s="28"/>
      <c r="M257" s="28"/>
      <c r="N257" s="28"/>
      <c r="O257" s="28"/>
      <c r="AK257" s="28">
        <f t="shared" si="22"/>
        <v>0</v>
      </c>
      <c r="AL257" s="28" t="str">
        <f t="shared" ca="1" si="23"/>
        <v/>
      </c>
      <c r="AM257" s="28" t="str">
        <f t="shared" si="24"/>
        <v/>
      </c>
      <c r="AN257" s="28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28" t="str">
        <f t="shared" si="21"/>
        <v/>
      </c>
      <c r="I258" s="28"/>
      <c r="J258" s="173" t="str" cm="1">
        <f t="array" aca="1" ref="J258" ca="1">IFERROR(_xlfn.IFS(OR(AL258&lt;&gt;"",AP258&lt;&gt;""),"STCOアサイン済",OR(AN258&lt;&gt;"",AO258&lt;&gt;""),"CHAT中"),"")</f>
        <v/>
      </c>
      <c r="K258" s="28"/>
      <c r="L258" s="28"/>
      <c r="M258" s="28"/>
      <c r="N258" s="28"/>
      <c r="O258" s="28"/>
      <c r="AK258" s="28">
        <f t="shared" si="22"/>
        <v>0</v>
      </c>
      <c r="AL258" s="28" t="str">
        <f t="shared" ca="1" si="23"/>
        <v/>
      </c>
      <c r="AM258" s="28" t="str">
        <f t="shared" si="24"/>
        <v/>
      </c>
      <c r="AN258" s="28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28" t="str">
        <f t="shared" si="21"/>
        <v/>
      </c>
      <c r="I259" s="28"/>
      <c r="J259" s="173" t="str" cm="1">
        <f t="array" aca="1" ref="J259" ca="1">IFERROR(_xlfn.IFS(OR(AL259&lt;&gt;"",AP259&lt;&gt;""),"STCOアサイン済",OR(AN259&lt;&gt;"",AO259&lt;&gt;""),"CHAT中"),"")</f>
        <v/>
      </c>
      <c r="K259" s="28"/>
      <c r="L259" s="28"/>
      <c r="M259" s="28"/>
      <c r="N259" s="28"/>
      <c r="O259" s="28"/>
      <c r="AK259" s="28">
        <f t="shared" si="22"/>
        <v>0</v>
      </c>
      <c r="AL259" s="28" t="str">
        <f t="shared" ca="1" si="23"/>
        <v/>
      </c>
      <c r="AM259" s="28" t="str">
        <f t="shared" si="24"/>
        <v/>
      </c>
      <c r="AN259" s="28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28" t="str">
        <f t="shared" si="21"/>
        <v/>
      </c>
      <c r="I260" s="28"/>
      <c r="J260" s="173" t="str" cm="1">
        <f t="array" aca="1" ref="J260" ca="1">IFERROR(_xlfn.IFS(OR(AL260&lt;&gt;"",AP260&lt;&gt;""),"STCOアサイン済",OR(AN260&lt;&gt;"",AO260&lt;&gt;""),"CHAT中"),"")</f>
        <v/>
      </c>
      <c r="K260" s="28"/>
      <c r="L260" s="28"/>
      <c r="M260" s="28"/>
      <c r="N260" s="28"/>
      <c r="O260" s="28"/>
      <c r="AK260" s="28">
        <f t="shared" si="22"/>
        <v>0</v>
      </c>
      <c r="AL260" s="28" t="str">
        <f t="shared" ca="1" si="23"/>
        <v/>
      </c>
      <c r="AM260" s="28" t="str">
        <f t="shared" si="24"/>
        <v/>
      </c>
      <c r="AN260" s="28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28" t="str">
        <f t="shared" si="21"/>
        <v/>
      </c>
      <c r="I261" s="28"/>
      <c r="J261" s="173" t="str" cm="1">
        <f t="array" aca="1" ref="J261" ca="1">IFERROR(_xlfn.IFS(OR(AL261&lt;&gt;"",AP261&lt;&gt;""),"STCOアサイン済",OR(AN261&lt;&gt;"",AO261&lt;&gt;""),"CHAT中"),"")</f>
        <v/>
      </c>
      <c r="K261" s="28"/>
      <c r="L261" s="28"/>
      <c r="M261" s="28"/>
      <c r="N261" s="28"/>
      <c r="O261" s="28"/>
      <c r="AK261" s="28">
        <f t="shared" si="22"/>
        <v>0</v>
      </c>
      <c r="AL261" s="28" t="str">
        <f t="shared" ca="1" si="23"/>
        <v/>
      </c>
      <c r="AM261" s="28" t="str">
        <f t="shared" si="24"/>
        <v/>
      </c>
      <c r="AN261" s="28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28" t="str">
        <f t="shared" si="21"/>
        <v/>
      </c>
      <c r="I262" s="28"/>
      <c r="J262" s="173" t="str" cm="1">
        <f t="array" aca="1" ref="J262" ca="1">IFERROR(_xlfn.IFS(OR(AL262&lt;&gt;"",AP262&lt;&gt;""),"STCOアサイン済",OR(AN262&lt;&gt;"",AO262&lt;&gt;""),"CHAT中"),"")</f>
        <v/>
      </c>
      <c r="K262" s="28"/>
      <c r="L262" s="28"/>
      <c r="M262" s="28"/>
      <c r="N262" s="28"/>
      <c r="O262" s="28"/>
      <c r="AK262" s="28">
        <f t="shared" si="22"/>
        <v>0</v>
      </c>
      <c r="AL262" s="28" t="str">
        <f t="shared" ca="1" si="23"/>
        <v/>
      </c>
      <c r="AM262" s="28" t="str">
        <f t="shared" si="24"/>
        <v/>
      </c>
      <c r="AN262" s="28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28" t="str">
        <f t="shared" si="21"/>
        <v/>
      </c>
      <c r="I263" s="28"/>
      <c r="J263" s="173" t="str" cm="1">
        <f t="array" aca="1" ref="J263" ca="1">IFERROR(_xlfn.IFS(OR(AL263&lt;&gt;"",AP263&lt;&gt;""),"STCOアサイン済",OR(AN263&lt;&gt;"",AO263&lt;&gt;""),"CHAT中"),"")</f>
        <v/>
      </c>
      <c r="K263" s="28"/>
      <c r="L263" s="28"/>
      <c r="M263" s="28"/>
      <c r="N263" s="28"/>
      <c r="O263" s="28"/>
      <c r="AK263" s="28">
        <f t="shared" si="22"/>
        <v>0</v>
      </c>
      <c r="AL263" s="28" t="str">
        <f t="shared" ca="1" si="23"/>
        <v/>
      </c>
      <c r="AM263" s="28" t="str">
        <f t="shared" si="24"/>
        <v/>
      </c>
      <c r="AN263" s="28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28" t="str">
        <f t="shared" ref="A264:A327" si="28">IF(ISBLANK($I264), "", _xlfn.IFS($I264&gt;10, "DS", $I264&lt;=10, "未定"))</f>
        <v/>
      </c>
      <c r="I264" s="28"/>
      <c r="J264" s="173" t="str" cm="1">
        <f t="array" aca="1" ref="J264" ca="1">IFERROR(_xlfn.IFS(OR(AL264&lt;&gt;"",AP264&lt;&gt;""),"STCOアサイン済",OR(AN264&lt;&gt;"",AO264&lt;&gt;""),"CHAT中"),"")</f>
        <v/>
      </c>
      <c r="K264" s="28"/>
      <c r="L264" s="28"/>
      <c r="M264" s="28"/>
      <c r="N264" s="28"/>
      <c r="O264" s="28"/>
      <c r="AK264" s="28">
        <f t="shared" si="22"/>
        <v>0</v>
      </c>
      <c r="AL264" s="28" t="str">
        <f t="shared" ca="1" si="23"/>
        <v/>
      </c>
      <c r="AM264" s="28" t="str">
        <f t="shared" si="24"/>
        <v/>
      </c>
      <c r="AN264" s="28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28" t="str">
        <f t="shared" si="28"/>
        <v/>
      </c>
      <c r="I265" s="28"/>
      <c r="J265" s="173" t="str" cm="1">
        <f t="array" aca="1" ref="J265" ca="1">IFERROR(_xlfn.IFS(OR(AL265&lt;&gt;"",AP265&lt;&gt;""),"STCOアサイン済",OR(AN265&lt;&gt;"",AO265&lt;&gt;""),"CHAT中"),"")</f>
        <v/>
      </c>
      <c r="K265" s="28"/>
      <c r="L265" s="28"/>
      <c r="M265" s="28"/>
      <c r="N265" s="28"/>
      <c r="O265" s="28"/>
      <c r="AK265" s="28">
        <f t="shared" ref="AK265:AK328" si="29">C265</f>
        <v>0</v>
      </c>
      <c r="AL265" s="28" t="str">
        <f t="shared" ref="AL265:AL328" ca="1" si="30">IF(SUMIF(INDIRECT($AL$7&amp;"!$AM$5:$AM$800"),C265&amp;$AL$6,INDIRECT($AL$7&amp;"!$AN$5:$AN$800"))&lt;=0,"")</f>
        <v/>
      </c>
      <c r="AM265" s="28" t="str">
        <f t="shared" ref="AM265:AM328" si="31">IF(A265="","",A265)</f>
        <v/>
      </c>
      <c r="AN265" s="28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28" t="str">
        <f t="shared" si="28"/>
        <v/>
      </c>
      <c r="I266" s="28"/>
      <c r="J266" s="173" t="str" cm="1">
        <f t="array" aca="1" ref="J266" ca="1">IFERROR(_xlfn.IFS(OR(AL266&lt;&gt;"",AP266&lt;&gt;""),"STCOアサイン済",OR(AN266&lt;&gt;"",AO266&lt;&gt;""),"CHAT中"),"")</f>
        <v/>
      </c>
      <c r="K266" s="28"/>
      <c r="L266" s="28"/>
      <c r="M266" s="28"/>
      <c r="N266" s="28"/>
      <c r="O266" s="28"/>
      <c r="AK266" s="28">
        <f t="shared" si="29"/>
        <v>0</v>
      </c>
      <c r="AL266" s="28" t="str">
        <f t="shared" ca="1" si="30"/>
        <v/>
      </c>
      <c r="AM266" s="28" t="str">
        <f t="shared" si="31"/>
        <v/>
      </c>
      <c r="AN266" s="28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28" t="str">
        <f t="shared" si="28"/>
        <v/>
      </c>
      <c r="I267" s="28"/>
      <c r="J267" s="173" t="str" cm="1">
        <f t="array" aca="1" ref="J267" ca="1">IFERROR(_xlfn.IFS(OR(AL267&lt;&gt;"",AP267&lt;&gt;""),"STCOアサイン済",OR(AN267&lt;&gt;"",AO267&lt;&gt;""),"CHAT中"),"")</f>
        <v/>
      </c>
      <c r="K267" s="28"/>
      <c r="L267" s="28"/>
      <c r="M267" s="28"/>
      <c r="N267" s="28"/>
      <c r="O267" s="28"/>
      <c r="AK267" s="28">
        <f t="shared" si="29"/>
        <v>0</v>
      </c>
      <c r="AL267" s="28" t="str">
        <f t="shared" ca="1" si="30"/>
        <v/>
      </c>
      <c r="AM267" s="28" t="str">
        <f t="shared" si="31"/>
        <v/>
      </c>
      <c r="AN267" s="28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28" t="str">
        <f t="shared" si="28"/>
        <v/>
      </c>
      <c r="I268" s="28"/>
      <c r="J268" s="173" t="str" cm="1">
        <f t="array" aca="1" ref="J268" ca="1">IFERROR(_xlfn.IFS(OR(AL268&lt;&gt;"",AP268&lt;&gt;""),"STCOアサイン済",OR(AN268&lt;&gt;"",AO268&lt;&gt;""),"CHAT中"),"")</f>
        <v/>
      </c>
      <c r="K268" s="28"/>
      <c r="L268" s="28"/>
      <c r="M268" s="28"/>
      <c r="N268" s="28"/>
      <c r="O268" s="28"/>
      <c r="AK268" s="28">
        <f t="shared" si="29"/>
        <v>0</v>
      </c>
      <c r="AL268" s="28" t="str">
        <f t="shared" ca="1" si="30"/>
        <v/>
      </c>
      <c r="AM268" s="28" t="str">
        <f t="shared" si="31"/>
        <v/>
      </c>
      <c r="AN268" s="28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28" t="str">
        <f t="shared" si="28"/>
        <v/>
      </c>
      <c r="I269" s="28"/>
      <c r="J269" s="173" t="str" cm="1">
        <f t="array" aca="1" ref="J269" ca="1">IFERROR(_xlfn.IFS(OR(AL269&lt;&gt;"",AP269&lt;&gt;""),"STCOアサイン済",OR(AN269&lt;&gt;"",AO269&lt;&gt;""),"CHAT中"),"")</f>
        <v/>
      </c>
      <c r="K269" s="28"/>
      <c r="L269" s="28"/>
      <c r="M269" s="28"/>
      <c r="N269" s="28"/>
      <c r="O269" s="28"/>
      <c r="AK269" s="28">
        <f t="shared" si="29"/>
        <v>0</v>
      </c>
      <c r="AL269" s="28" t="str">
        <f t="shared" ca="1" si="30"/>
        <v/>
      </c>
      <c r="AM269" s="28" t="str">
        <f t="shared" si="31"/>
        <v/>
      </c>
      <c r="AN269" s="28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28" t="str">
        <f t="shared" si="28"/>
        <v/>
      </c>
      <c r="I270" s="28"/>
      <c r="J270" s="173" t="str" cm="1">
        <f t="array" aca="1" ref="J270" ca="1">IFERROR(_xlfn.IFS(OR(AL270&lt;&gt;"",AP270&lt;&gt;""),"STCOアサイン済",OR(AN270&lt;&gt;"",AO270&lt;&gt;""),"CHAT中"),"")</f>
        <v/>
      </c>
      <c r="K270" s="28"/>
      <c r="L270" s="28"/>
      <c r="M270" s="28"/>
      <c r="N270" s="28"/>
      <c r="O270" s="28"/>
      <c r="AK270" s="28">
        <f t="shared" si="29"/>
        <v>0</v>
      </c>
      <c r="AL270" s="28" t="str">
        <f t="shared" ca="1" si="30"/>
        <v/>
      </c>
      <c r="AM270" s="28" t="str">
        <f t="shared" si="31"/>
        <v/>
      </c>
      <c r="AN270" s="28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28" t="str">
        <f t="shared" si="28"/>
        <v/>
      </c>
      <c r="I271" s="28"/>
      <c r="J271" s="173" t="str" cm="1">
        <f t="array" aca="1" ref="J271" ca="1">IFERROR(_xlfn.IFS(OR(AL271&lt;&gt;"",AP271&lt;&gt;""),"STCOアサイン済",OR(AN271&lt;&gt;"",AO271&lt;&gt;""),"CHAT中"),"")</f>
        <v/>
      </c>
      <c r="K271" s="28"/>
      <c r="L271" s="28"/>
      <c r="M271" s="28"/>
      <c r="N271" s="28"/>
      <c r="O271" s="28"/>
      <c r="AK271" s="28">
        <f t="shared" si="29"/>
        <v>0</v>
      </c>
      <c r="AL271" s="28" t="str">
        <f t="shared" ca="1" si="30"/>
        <v/>
      </c>
      <c r="AM271" s="28" t="str">
        <f t="shared" si="31"/>
        <v/>
      </c>
      <c r="AN271" s="28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28" t="str">
        <f t="shared" si="28"/>
        <v/>
      </c>
      <c r="I272" s="28"/>
      <c r="J272" s="173" t="str" cm="1">
        <f t="array" aca="1" ref="J272" ca="1">IFERROR(_xlfn.IFS(OR(AL272&lt;&gt;"",AP272&lt;&gt;""),"STCOアサイン済",OR(AN272&lt;&gt;"",AO272&lt;&gt;""),"CHAT中"),"")</f>
        <v/>
      </c>
      <c r="K272" s="28"/>
      <c r="L272" s="28"/>
      <c r="M272" s="28"/>
      <c r="N272" s="28"/>
      <c r="O272" s="28"/>
      <c r="AK272" s="28">
        <f t="shared" si="29"/>
        <v>0</v>
      </c>
      <c r="AL272" s="28" t="str">
        <f t="shared" ca="1" si="30"/>
        <v/>
      </c>
      <c r="AM272" s="28" t="str">
        <f t="shared" si="31"/>
        <v/>
      </c>
      <c r="AN272" s="28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28" t="str">
        <f t="shared" si="28"/>
        <v/>
      </c>
      <c r="I273" s="28"/>
      <c r="J273" s="173" t="str" cm="1">
        <f t="array" aca="1" ref="J273" ca="1">IFERROR(_xlfn.IFS(OR(AL273&lt;&gt;"",AP273&lt;&gt;""),"STCOアサイン済",OR(AN273&lt;&gt;"",AO273&lt;&gt;""),"CHAT中"),"")</f>
        <v/>
      </c>
      <c r="K273" s="28"/>
      <c r="L273" s="28"/>
      <c r="M273" s="28"/>
      <c r="N273" s="28"/>
      <c r="O273" s="28"/>
      <c r="AK273" s="28">
        <f t="shared" si="29"/>
        <v>0</v>
      </c>
      <c r="AL273" s="28" t="str">
        <f t="shared" ca="1" si="30"/>
        <v/>
      </c>
      <c r="AM273" s="28" t="str">
        <f t="shared" si="31"/>
        <v/>
      </c>
      <c r="AN273" s="28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28" t="str">
        <f t="shared" si="28"/>
        <v/>
      </c>
      <c r="I274" s="28"/>
      <c r="J274" s="173" t="str" cm="1">
        <f t="array" aca="1" ref="J274" ca="1">IFERROR(_xlfn.IFS(OR(AL274&lt;&gt;"",AP274&lt;&gt;""),"STCOアサイン済",OR(AN274&lt;&gt;"",AO274&lt;&gt;""),"CHAT中"),"")</f>
        <v/>
      </c>
      <c r="K274" s="28"/>
      <c r="L274" s="28"/>
      <c r="M274" s="28"/>
      <c r="N274" s="28"/>
      <c r="O274" s="28"/>
      <c r="AK274" s="28">
        <f t="shared" si="29"/>
        <v>0</v>
      </c>
      <c r="AL274" s="28" t="str">
        <f t="shared" ca="1" si="30"/>
        <v/>
      </c>
      <c r="AM274" s="28" t="str">
        <f t="shared" si="31"/>
        <v/>
      </c>
      <c r="AN274" s="28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28" t="str">
        <f t="shared" si="28"/>
        <v/>
      </c>
      <c r="I275" s="28"/>
      <c r="J275" s="173" t="str" cm="1">
        <f t="array" aca="1" ref="J275" ca="1">IFERROR(_xlfn.IFS(OR(AL275&lt;&gt;"",AP275&lt;&gt;""),"STCOアサイン済",OR(AN275&lt;&gt;"",AO275&lt;&gt;""),"CHAT中"),"")</f>
        <v/>
      </c>
      <c r="K275" s="28"/>
      <c r="L275" s="28"/>
      <c r="M275" s="28"/>
      <c r="N275" s="28"/>
      <c r="O275" s="28"/>
      <c r="AK275" s="28">
        <f t="shared" si="29"/>
        <v>0</v>
      </c>
      <c r="AL275" s="28" t="str">
        <f t="shared" ca="1" si="30"/>
        <v/>
      </c>
      <c r="AM275" s="28" t="str">
        <f t="shared" si="31"/>
        <v/>
      </c>
      <c r="AN275" s="28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28" t="str">
        <f t="shared" si="28"/>
        <v/>
      </c>
      <c r="I276" s="28"/>
      <c r="J276" s="173" t="str" cm="1">
        <f t="array" aca="1" ref="J276" ca="1">IFERROR(_xlfn.IFS(OR(AL276&lt;&gt;"",AP276&lt;&gt;""),"STCOアサイン済",OR(AN276&lt;&gt;"",AO276&lt;&gt;""),"CHAT中"),"")</f>
        <v/>
      </c>
      <c r="K276" s="28"/>
      <c r="L276" s="28"/>
      <c r="M276" s="28"/>
      <c r="N276" s="28"/>
      <c r="O276" s="28"/>
      <c r="AK276" s="28">
        <f t="shared" si="29"/>
        <v>0</v>
      </c>
      <c r="AL276" s="28" t="str">
        <f t="shared" ca="1" si="30"/>
        <v/>
      </c>
      <c r="AM276" s="28" t="str">
        <f t="shared" si="31"/>
        <v/>
      </c>
      <c r="AN276" s="28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28" t="str">
        <f t="shared" si="28"/>
        <v/>
      </c>
      <c r="I277" s="28"/>
      <c r="J277" s="173" t="str" cm="1">
        <f t="array" aca="1" ref="J277" ca="1">IFERROR(_xlfn.IFS(OR(AL277&lt;&gt;"",AP277&lt;&gt;""),"STCOアサイン済",OR(AN277&lt;&gt;"",AO277&lt;&gt;""),"CHAT中"),"")</f>
        <v/>
      </c>
      <c r="K277" s="28"/>
      <c r="L277" s="28"/>
      <c r="M277" s="28"/>
      <c r="N277" s="28"/>
      <c r="O277" s="28"/>
      <c r="AK277" s="28">
        <f t="shared" si="29"/>
        <v>0</v>
      </c>
      <c r="AL277" s="28" t="str">
        <f t="shared" ca="1" si="30"/>
        <v/>
      </c>
      <c r="AM277" s="28" t="str">
        <f t="shared" si="31"/>
        <v/>
      </c>
      <c r="AN277" s="28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28" t="str">
        <f t="shared" si="28"/>
        <v/>
      </c>
      <c r="I278" s="28"/>
      <c r="J278" s="173" t="str" cm="1">
        <f t="array" aca="1" ref="J278" ca="1">IFERROR(_xlfn.IFS(OR(AL278&lt;&gt;"",AP278&lt;&gt;""),"STCOアサイン済",OR(AN278&lt;&gt;"",AO278&lt;&gt;""),"CHAT中"),"")</f>
        <v/>
      </c>
      <c r="K278" s="28"/>
      <c r="L278" s="28"/>
      <c r="M278" s="28"/>
      <c r="N278" s="28"/>
      <c r="O278" s="28"/>
      <c r="AK278" s="28">
        <f t="shared" si="29"/>
        <v>0</v>
      </c>
      <c r="AL278" s="28" t="str">
        <f t="shared" ca="1" si="30"/>
        <v/>
      </c>
      <c r="AM278" s="28" t="str">
        <f t="shared" si="31"/>
        <v/>
      </c>
      <c r="AN278" s="28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28" t="str">
        <f t="shared" si="28"/>
        <v/>
      </c>
      <c r="I279" s="28"/>
      <c r="J279" s="173" t="str" cm="1">
        <f t="array" aca="1" ref="J279" ca="1">IFERROR(_xlfn.IFS(OR(AL279&lt;&gt;"",AP279&lt;&gt;""),"STCOアサイン済",OR(AN279&lt;&gt;"",AO279&lt;&gt;""),"CHAT中"),"")</f>
        <v/>
      </c>
      <c r="K279" s="28"/>
      <c r="L279" s="28"/>
      <c r="M279" s="28"/>
      <c r="N279" s="28"/>
      <c r="O279" s="28"/>
      <c r="AK279" s="28">
        <f t="shared" si="29"/>
        <v>0</v>
      </c>
      <c r="AL279" s="28" t="str">
        <f t="shared" ca="1" si="30"/>
        <v/>
      </c>
      <c r="AM279" s="28" t="str">
        <f t="shared" si="31"/>
        <v/>
      </c>
      <c r="AN279" s="28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28" t="str">
        <f t="shared" si="28"/>
        <v/>
      </c>
      <c r="I280" s="28"/>
      <c r="J280" s="173" t="str" cm="1">
        <f t="array" aca="1" ref="J280" ca="1">IFERROR(_xlfn.IFS(OR(AL280&lt;&gt;"",AP280&lt;&gt;""),"STCOアサイン済",OR(AN280&lt;&gt;"",AO280&lt;&gt;""),"CHAT中"),"")</f>
        <v/>
      </c>
      <c r="K280" s="28"/>
      <c r="L280" s="28"/>
      <c r="M280" s="28"/>
      <c r="N280" s="28"/>
      <c r="O280" s="28"/>
      <c r="AK280" s="28">
        <f t="shared" si="29"/>
        <v>0</v>
      </c>
      <c r="AL280" s="28" t="str">
        <f t="shared" ca="1" si="30"/>
        <v/>
      </c>
      <c r="AM280" s="28" t="str">
        <f t="shared" si="31"/>
        <v/>
      </c>
      <c r="AN280" s="28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28" t="str">
        <f t="shared" si="28"/>
        <v/>
      </c>
      <c r="I281" s="28"/>
      <c r="J281" s="173" t="str" cm="1">
        <f t="array" aca="1" ref="J281" ca="1">IFERROR(_xlfn.IFS(OR(AL281&lt;&gt;"",AP281&lt;&gt;""),"STCOアサイン済",OR(AN281&lt;&gt;"",AO281&lt;&gt;""),"CHAT中"),"")</f>
        <v/>
      </c>
      <c r="K281" s="28"/>
      <c r="L281" s="28"/>
      <c r="M281" s="28"/>
      <c r="N281" s="28"/>
      <c r="O281" s="28"/>
      <c r="AK281" s="28">
        <f t="shared" si="29"/>
        <v>0</v>
      </c>
      <c r="AL281" s="28" t="str">
        <f t="shared" ca="1" si="30"/>
        <v/>
      </c>
      <c r="AM281" s="28" t="str">
        <f t="shared" si="31"/>
        <v/>
      </c>
      <c r="AN281" s="28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28" t="str">
        <f t="shared" si="28"/>
        <v/>
      </c>
      <c r="I282" s="28"/>
      <c r="J282" s="173" t="str" cm="1">
        <f t="array" aca="1" ref="J282" ca="1">IFERROR(_xlfn.IFS(OR(AL282&lt;&gt;"",AP282&lt;&gt;""),"STCOアサイン済",OR(AN282&lt;&gt;"",AO282&lt;&gt;""),"CHAT中"),"")</f>
        <v/>
      </c>
      <c r="K282" s="28"/>
      <c r="L282" s="28"/>
      <c r="M282" s="28"/>
      <c r="N282" s="28"/>
      <c r="O282" s="28"/>
      <c r="AK282" s="28">
        <f t="shared" si="29"/>
        <v>0</v>
      </c>
      <c r="AL282" s="28" t="str">
        <f t="shared" ca="1" si="30"/>
        <v/>
      </c>
      <c r="AM282" s="28" t="str">
        <f t="shared" si="31"/>
        <v/>
      </c>
      <c r="AN282" s="28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28" t="str">
        <f t="shared" si="28"/>
        <v/>
      </c>
      <c r="I283" s="28"/>
      <c r="J283" s="173" t="str" cm="1">
        <f t="array" aca="1" ref="J283" ca="1">IFERROR(_xlfn.IFS(OR(AL283&lt;&gt;"",AP283&lt;&gt;""),"STCOアサイン済",OR(AN283&lt;&gt;"",AO283&lt;&gt;""),"CHAT中"),"")</f>
        <v/>
      </c>
      <c r="K283" s="28"/>
      <c r="L283" s="28"/>
      <c r="M283" s="28"/>
      <c r="N283" s="28"/>
      <c r="O283" s="28"/>
      <c r="AK283" s="28">
        <f t="shared" si="29"/>
        <v>0</v>
      </c>
      <c r="AL283" s="28" t="str">
        <f t="shared" ca="1" si="30"/>
        <v/>
      </c>
      <c r="AM283" s="28" t="str">
        <f t="shared" si="31"/>
        <v/>
      </c>
      <c r="AN283" s="28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28" t="str">
        <f t="shared" si="28"/>
        <v/>
      </c>
      <c r="I284" s="28"/>
      <c r="J284" s="173" t="str" cm="1">
        <f t="array" aca="1" ref="J284" ca="1">IFERROR(_xlfn.IFS(OR(AL284&lt;&gt;"",AP284&lt;&gt;""),"STCOアサイン済",OR(AN284&lt;&gt;"",AO284&lt;&gt;""),"CHAT中"),"")</f>
        <v/>
      </c>
      <c r="K284" s="28"/>
      <c r="L284" s="28"/>
      <c r="M284" s="28"/>
      <c r="N284" s="28"/>
      <c r="O284" s="28"/>
      <c r="AK284" s="28">
        <f t="shared" si="29"/>
        <v>0</v>
      </c>
      <c r="AL284" s="28" t="str">
        <f t="shared" ca="1" si="30"/>
        <v/>
      </c>
      <c r="AM284" s="28" t="str">
        <f t="shared" si="31"/>
        <v/>
      </c>
      <c r="AN284" s="28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28" t="str">
        <f t="shared" si="28"/>
        <v/>
      </c>
      <c r="I285" s="28"/>
      <c r="J285" s="173" t="str" cm="1">
        <f t="array" aca="1" ref="J285" ca="1">IFERROR(_xlfn.IFS(OR(AL285&lt;&gt;"",AP285&lt;&gt;""),"STCOアサイン済",OR(AN285&lt;&gt;"",AO285&lt;&gt;""),"CHAT中"),"")</f>
        <v/>
      </c>
      <c r="K285" s="28"/>
      <c r="L285" s="28"/>
      <c r="M285" s="28"/>
      <c r="N285" s="28"/>
      <c r="O285" s="28"/>
      <c r="AK285" s="28">
        <f t="shared" si="29"/>
        <v>0</v>
      </c>
      <c r="AL285" s="28" t="str">
        <f t="shared" ca="1" si="30"/>
        <v/>
      </c>
      <c r="AM285" s="28" t="str">
        <f t="shared" si="31"/>
        <v/>
      </c>
      <c r="AN285" s="28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28" t="str">
        <f t="shared" si="28"/>
        <v/>
      </c>
      <c r="I286" s="28"/>
      <c r="J286" s="173" t="str" cm="1">
        <f t="array" aca="1" ref="J286" ca="1">IFERROR(_xlfn.IFS(OR(AL286&lt;&gt;"",AP286&lt;&gt;""),"STCOアサイン済",OR(AN286&lt;&gt;"",AO286&lt;&gt;""),"CHAT中"),"")</f>
        <v/>
      </c>
      <c r="K286" s="28"/>
      <c r="L286" s="28"/>
      <c r="M286" s="28"/>
      <c r="N286" s="28"/>
      <c r="O286" s="28"/>
      <c r="AK286" s="28">
        <f t="shared" si="29"/>
        <v>0</v>
      </c>
      <c r="AL286" s="28" t="str">
        <f t="shared" ca="1" si="30"/>
        <v/>
      </c>
      <c r="AM286" s="28" t="str">
        <f t="shared" si="31"/>
        <v/>
      </c>
      <c r="AN286" s="28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28" t="str">
        <f t="shared" si="28"/>
        <v/>
      </c>
      <c r="I287" s="28"/>
      <c r="J287" s="173" t="str" cm="1">
        <f t="array" aca="1" ref="J287" ca="1">IFERROR(_xlfn.IFS(OR(AL287&lt;&gt;"",AP287&lt;&gt;""),"STCOアサイン済",OR(AN287&lt;&gt;"",AO287&lt;&gt;""),"CHAT中"),"")</f>
        <v/>
      </c>
      <c r="K287" s="28"/>
      <c r="L287" s="28"/>
      <c r="M287" s="28"/>
      <c r="N287" s="28"/>
      <c r="O287" s="28"/>
      <c r="AK287" s="28">
        <f t="shared" si="29"/>
        <v>0</v>
      </c>
      <c r="AL287" s="28" t="str">
        <f t="shared" ca="1" si="30"/>
        <v/>
      </c>
      <c r="AM287" s="28" t="str">
        <f t="shared" si="31"/>
        <v/>
      </c>
      <c r="AN287" s="28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28" t="str">
        <f t="shared" si="28"/>
        <v/>
      </c>
      <c r="I288" s="28"/>
      <c r="J288" s="173" t="str" cm="1">
        <f t="array" aca="1" ref="J288" ca="1">IFERROR(_xlfn.IFS(OR(AL288&lt;&gt;"",AP288&lt;&gt;""),"STCOアサイン済",OR(AN288&lt;&gt;"",AO288&lt;&gt;""),"CHAT中"),"")</f>
        <v/>
      </c>
      <c r="K288" s="28"/>
      <c r="L288" s="28"/>
      <c r="M288" s="28"/>
      <c r="N288" s="28"/>
      <c r="O288" s="28"/>
      <c r="AK288" s="28">
        <f t="shared" si="29"/>
        <v>0</v>
      </c>
      <c r="AL288" s="28" t="str">
        <f t="shared" ca="1" si="30"/>
        <v/>
      </c>
      <c r="AM288" s="28" t="str">
        <f t="shared" si="31"/>
        <v/>
      </c>
      <c r="AN288" s="28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28" t="str">
        <f t="shared" si="28"/>
        <v/>
      </c>
      <c r="I289" s="28"/>
      <c r="J289" s="173" t="str" cm="1">
        <f t="array" aca="1" ref="J289" ca="1">IFERROR(_xlfn.IFS(OR(AL289&lt;&gt;"",AP289&lt;&gt;""),"STCOアサイン済",OR(AN289&lt;&gt;"",AO289&lt;&gt;""),"CHAT中"),"")</f>
        <v/>
      </c>
      <c r="K289" s="28"/>
      <c r="L289" s="28"/>
      <c r="M289" s="28"/>
      <c r="N289" s="28"/>
      <c r="O289" s="28"/>
      <c r="AK289" s="28">
        <f t="shared" si="29"/>
        <v>0</v>
      </c>
      <c r="AL289" s="28" t="str">
        <f t="shared" ca="1" si="30"/>
        <v/>
      </c>
      <c r="AM289" s="28" t="str">
        <f t="shared" si="31"/>
        <v/>
      </c>
      <c r="AN289" s="28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28" t="str">
        <f t="shared" si="28"/>
        <v/>
      </c>
      <c r="I290" s="28"/>
      <c r="J290" s="173" t="str" cm="1">
        <f t="array" aca="1" ref="J290" ca="1">IFERROR(_xlfn.IFS(OR(AL290&lt;&gt;"",AP290&lt;&gt;""),"STCOアサイン済",OR(AN290&lt;&gt;"",AO290&lt;&gt;""),"CHAT中"),"")</f>
        <v/>
      </c>
      <c r="K290" s="28"/>
      <c r="L290" s="28"/>
      <c r="M290" s="28"/>
      <c r="N290" s="28"/>
      <c r="O290" s="28"/>
      <c r="AK290" s="28">
        <f t="shared" si="29"/>
        <v>0</v>
      </c>
      <c r="AL290" s="28" t="str">
        <f t="shared" ca="1" si="30"/>
        <v/>
      </c>
      <c r="AM290" s="28" t="str">
        <f t="shared" si="31"/>
        <v/>
      </c>
      <c r="AN290" s="28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28" t="str">
        <f t="shared" si="28"/>
        <v/>
      </c>
      <c r="I291" s="28"/>
      <c r="J291" s="173" t="str" cm="1">
        <f t="array" aca="1" ref="J291" ca="1">IFERROR(_xlfn.IFS(OR(AL291&lt;&gt;"",AP291&lt;&gt;""),"STCOアサイン済",OR(AN291&lt;&gt;"",AO291&lt;&gt;""),"CHAT中"),"")</f>
        <v/>
      </c>
      <c r="K291" s="28"/>
      <c r="L291" s="28"/>
      <c r="M291" s="28"/>
      <c r="N291" s="28"/>
      <c r="O291" s="28"/>
      <c r="AK291" s="28">
        <f t="shared" si="29"/>
        <v>0</v>
      </c>
      <c r="AL291" s="28" t="str">
        <f t="shared" ca="1" si="30"/>
        <v/>
      </c>
      <c r="AM291" s="28" t="str">
        <f t="shared" si="31"/>
        <v/>
      </c>
      <c r="AN291" s="28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28" t="str">
        <f t="shared" si="28"/>
        <v/>
      </c>
      <c r="I292" s="28"/>
      <c r="J292" s="173" t="str" cm="1">
        <f t="array" aca="1" ref="J292" ca="1">IFERROR(_xlfn.IFS(OR(AL292&lt;&gt;"",AP292&lt;&gt;""),"STCOアサイン済",OR(AN292&lt;&gt;"",AO292&lt;&gt;""),"CHAT中"),"")</f>
        <v/>
      </c>
      <c r="K292" s="28"/>
      <c r="L292" s="28"/>
      <c r="M292" s="28"/>
      <c r="N292" s="28"/>
      <c r="O292" s="28"/>
      <c r="AK292" s="28">
        <f t="shared" si="29"/>
        <v>0</v>
      </c>
      <c r="AL292" s="28" t="str">
        <f t="shared" ca="1" si="30"/>
        <v/>
      </c>
      <c r="AM292" s="28" t="str">
        <f t="shared" si="31"/>
        <v/>
      </c>
      <c r="AN292" s="28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28" t="str">
        <f t="shared" si="28"/>
        <v/>
      </c>
      <c r="I293" s="28"/>
      <c r="J293" s="173" t="str" cm="1">
        <f t="array" aca="1" ref="J293" ca="1">IFERROR(_xlfn.IFS(OR(AL293&lt;&gt;"",AP293&lt;&gt;""),"STCOアサイン済",OR(AN293&lt;&gt;"",AO293&lt;&gt;""),"CHAT中"),"")</f>
        <v/>
      </c>
      <c r="K293" s="28"/>
      <c r="L293" s="28"/>
      <c r="M293" s="28"/>
      <c r="N293" s="28"/>
      <c r="O293" s="28"/>
      <c r="AK293" s="28">
        <f t="shared" si="29"/>
        <v>0</v>
      </c>
      <c r="AL293" s="28" t="str">
        <f t="shared" ca="1" si="30"/>
        <v/>
      </c>
      <c r="AM293" s="28" t="str">
        <f t="shared" si="31"/>
        <v/>
      </c>
      <c r="AN293" s="28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28" t="str">
        <f t="shared" si="28"/>
        <v/>
      </c>
      <c r="I294" s="28"/>
      <c r="J294" s="173" t="str" cm="1">
        <f t="array" aca="1" ref="J294" ca="1">IFERROR(_xlfn.IFS(OR(AL294&lt;&gt;"",AP294&lt;&gt;""),"STCOアサイン済",OR(AN294&lt;&gt;"",AO294&lt;&gt;""),"CHAT中"),"")</f>
        <v/>
      </c>
      <c r="K294" s="28"/>
      <c r="L294" s="28"/>
      <c r="M294" s="28"/>
      <c r="N294" s="28"/>
      <c r="O294" s="28"/>
      <c r="AK294" s="28">
        <f t="shared" si="29"/>
        <v>0</v>
      </c>
      <c r="AL294" s="28" t="str">
        <f t="shared" ca="1" si="30"/>
        <v/>
      </c>
      <c r="AM294" s="28" t="str">
        <f t="shared" si="31"/>
        <v/>
      </c>
      <c r="AN294" s="28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28" t="str">
        <f t="shared" si="28"/>
        <v/>
      </c>
      <c r="I295" s="28"/>
      <c r="J295" s="173" t="str" cm="1">
        <f t="array" aca="1" ref="J295" ca="1">IFERROR(_xlfn.IFS(OR(AL295&lt;&gt;"",AP295&lt;&gt;""),"STCOアサイン済",OR(AN295&lt;&gt;"",AO295&lt;&gt;""),"CHAT中"),"")</f>
        <v/>
      </c>
      <c r="K295" s="28"/>
      <c r="L295" s="28"/>
      <c r="M295" s="28"/>
      <c r="N295" s="28"/>
      <c r="O295" s="28"/>
      <c r="AK295" s="28">
        <f t="shared" si="29"/>
        <v>0</v>
      </c>
      <c r="AL295" s="28" t="str">
        <f t="shared" ca="1" si="30"/>
        <v/>
      </c>
      <c r="AM295" s="28" t="str">
        <f t="shared" si="31"/>
        <v/>
      </c>
      <c r="AN295" s="28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28" t="str">
        <f t="shared" si="28"/>
        <v/>
      </c>
      <c r="I296" s="28"/>
      <c r="J296" s="173" t="str" cm="1">
        <f t="array" aca="1" ref="J296" ca="1">IFERROR(_xlfn.IFS(OR(AL296&lt;&gt;"",AP296&lt;&gt;""),"STCOアサイン済",OR(AN296&lt;&gt;"",AO296&lt;&gt;""),"CHAT中"),"")</f>
        <v/>
      </c>
      <c r="K296" s="28"/>
      <c r="L296" s="28"/>
      <c r="M296" s="28"/>
      <c r="N296" s="28"/>
      <c r="O296" s="28"/>
      <c r="AK296" s="28">
        <f t="shared" si="29"/>
        <v>0</v>
      </c>
      <c r="AL296" s="28" t="str">
        <f t="shared" ca="1" si="30"/>
        <v/>
      </c>
      <c r="AM296" s="28" t="str">
        <f t="shared" si="31"/>
        <v/>
      </c>
      <c r="AN296" s="28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28" t="str">
        <f t="shared" si="28"/>
        <v/>
      </c>
      <c r="I297" s="28"/>
      <c r="J297" s="173" t="str" cm="1">
        <f t="array" aca="1" ref="J297" ca="1">IFERROR(_xlfn.IFS(OR(AL297&lt;&gt;"",AP297&lt;&gt;""),"STCOアサイン済",OR(AN297&lt;&gt;"",AO297&lt;&gt;""),"CHAT中"),"")</f>
        <v/>
      </c>
      <c r="K297" s="28"/>
      <c r="L297" s="28"/>
      <c r="M297" s="28"/>
      <c r="N297" s="28"/>
      <c r="O297" s="28"/>
      <c r="AK297" s="28">
        <f t="shared" si="29"/>
        <v>0</v>
      </c>
      <c r="AL297" s="28" t="str">
        <f t="shared" ca="1" si="30"/>
        <v/>
      </c>
      <c r="AM297" s="28" t="str">
        <f t="shared" si="31"/>
        <v/>
      </c>
      <c r="AN297" s="28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28" t="str">
        <f t="shared" si="28"/>
        <v/>
      </c>
      <c r="I298" s="28"/>
      <c r="J298" s="173" t="str" cm="1">
        <f t="array" aca="1" ref="J298" ca="1">IFERROR(_xlfn.IFS(OR(AL298&lt;&gt;"",AP298&lt;&gt;""),"STCOアサイン済",OR(AN298&lt;&gt;"",AO298&lt;&gt;""),"CHAT中"),"")</f>
        <v/>
      </c>
      <c r="K298" s="28"/>
      <c r="L298" s="28"/>
      <c r="M298" s="28"/>
      <c r="N298" s="28"/>
      <c r="O298" s="28"/>
      <c r="AK298" s="28">
        <f t="shared" si="29"/>
        <v>0</v>
      </c>
      <c r="AL298" s="28" t="str">
        <f t="shared" ca="1" si="30"/>
        <v/>
      </c>
      <c r="AM298" s="28" t="str">
        <f t="shared" si="31"/>
        <v/>
      </c>
      <c r="AN298" s="28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28" t="str">
        <f t="shared" si="28"/>
        <v/>
      </c>
      <c r="I299" s="28"/>
      <c r="J299" s="173" t="str" cm="1">
        <f t="array" aca="1" ref="J299" ca="1">IFERROR(_xlfn.IFS(OR(AL299&lt;&gt;"",AP299&lt;&gt;""),"STCOアサイン済",OR(AN299&lt;&gt;"",AO299&lt;&gt;""),"CHAT中"),"")</f>
        <v/>
      </c>
      <c r="K299" s="28"/>
      <c r="L299" s="28"/>
      <c r="M299" s="28"/>
      <c r="N299" s="28"/>
      <c r="O299" s="28"/>
      <c r="AK299" s="28">
        <f t="shared" si="29"/>
        <v>0</v>
      </c>
      <c r="AL299" s="28" t="str">
        <f t="shared" ca="1" si="30"/>
        <v/>
      </c>
      <c r="AM299" s="28" t="str">
        <f t="shared" si="31"/>
        <v/>
      </c>
      <c r="AN299" s="28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28" t="str">
        <f t="shared" si="28"/>
        <v/>
      </c>
      <c r="I300" s="28"/>
      <c r="J300" s="173" t="str" cm="1">
        <f t="array" aca="1" ref="J300" ca="1">IFERROR(_xlfn.IFS(OR(AL300&lt;&gt;"",AP300&lt;&gt;""),"STCOアサイン済",OR(AN300&lt;&gt;"",AO300&lt;&gt;""),"CHAT中"),"")</f>
        <v/>
      </c>
      <c r="K300" s="28"/>
      <c r="L300" s="28"/>
      <c r="M300" s="28"/>
      <c r="N300" s="28"/>
      <c r="O300" s="28"/>
      <c r="AK300" s="28">
        <f t="shared" si="29"/>
        <v>0</v>
      </c>
      <c r="AL300" s="28" t="str">
        <f t="shared" ca="1" si="30"/>
        <v/>
      </c>
      <c r="AM300" s="28" t="str">
        <f t="shared" si="31"/>
        <v/>
      </c>
      <c r="AN300" s="28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28" t="str">
        <f t="shared" si="28"/>
        <v/>
      </c>
      <c r="I301" s="28"/>
      <c r="J301" s="173" t="str" cm="1">
        <f t="array" aca="1" ref="J301" ca="1">IFERROR(_xlfn.IFS(OR(AL301&lt;&gt;"",AP301&lt;&gt;""),"STCOアサイン済",OR(AN301&lt;&gt;"",AO301&lt;&gt;""),"CHAT中"),"")</f>
        <v/>
      </c>
      <c r="K301" s="28"/>
      <c r="L301" s="28"/>
      <c r="M301" s="28"/>
      <c r="N301" s="28"/>
      <c r="O301" s="28"/>
      <c r="AK301" s="28">
        <f t="shared" si="29"/>
        <v>0</v>
      </c>
      <c r="AL301" s="28" t="str">
        <f t="shared" ca="1" si="30"/>
        <v/>
      </c>
      <c r="AM301" s="28" t="str">
        <f t="shared" si="31"/>
        <v/>
      </c>
      <c r="AN301" s="28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28" t="str">
        <f t="shared" si="28"/>
        <v/>
      </c>
      <c r="I302" s="28"/>
      <c r="J302" s="173" t="str" cm="1">
        <f t="array" aca="1" ref="J302" ca="1">IFERROR(_xlfn.IFS(OR(AL302&lt;&gt;"",AP302&lt;&gt;""),"STCOアサイン済",OR(AN302&lt;&gt;"",AO302&lt;&gt;""),"CHAT中"),"")</f>
        <v/>
      </c>
      <c r="K302" s="28"/>
      <c r="L302" s="28"/>
      <c r="M302" s="28"/>
      <c r="N302" s="28"/>
      <c r="O302" s="28"/>
      <c r="AK302" s="28">
        <f t="shared" si="29"/>
        <v>0</v>
      </c>
      <c r="AL302" s="28" t="str">
        <f t="shared" ca="1" si="30"/>
        <v/>
      </c>
      <c r="AM302" s="28" t="str">
        <f t="shared" si="31"/>
        <v/>
      </c>
      <c r="AN302" s="28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28" t="str">
        <f t="shared" si="28"/>
        <v/>
      </c>
      <c r="I303" s="28"/>
      <c r="J303" s="173" t="str" cm="1">
        <f t="array" aca="1" ref="J303" ca="1">IFERROR(_xlfn.IFS(OR(AL303&lt;&gt;"",AP303&lt;&gt;""),"STCOアサイン済",OR(AN303&lt;&gt;"",AO303&lt;&gt;""),"CHAT中"),"")</f>
        <v/>
      </c>
      <c r="K303" s="28"/>
      <c r="L303" s="28"/>
      <c r="M303" s="28"/>
      <c r="N303" s="28"/>
      <c r="O303" s="28"/>
      <c r="AK303" s="28">
        <f t="shared" si="29"/>
        <v>0</v>
      </c>
      <c r="AL303" s="28" t="str">
        <f t="shared" ca="1" si="30"/>
        <v/>
      </c>
      <c r="AM303" s="28" t="str">
        <f t="shared" si="31"/>
        <v/>
      </c>
      <c r="AN303" s="28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28" t="str">
        <f t="shared" si="28"/>
        <v/>
      </c>
      <c r="I304" s="28"/>
      <c r="J304" s="173" t="str" cm="1">
        <f t="array" aca="1" ref="J304" ca="1">IFERROR(_xlfn.IFS(OR(AL304&lt;&gt;"",AP304&lt;&gt;""),"STCOアサイン済",OR(AN304&lt;&gt;"",AO304&lt;&gt;""),"CHAT中"),"")</f>
        <v/>
      </c>
      <c r="K304" s="28"/>
      <c r="L304" s="28"/>
      <c r="M304" s="28"/>
      <c r="N304" s="28"/>
      <c r="O304" s="28"/>
      <c r="AK304" s="28">
        <f t="shared" si="29"/>
        <v>0</v>
      </c>
      <c r="AL304" s="28" t="str">
        <f t="shared" ca="1" si="30"/>
        <v/>
      </c>
      <c r="AM304" s="28" t="str">
        <f t="shared" si="31"/>
        <v/>
      </c>
      <c r="AN304" s="28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28" t="str">
        <f t="shared" si="28"/>
        <v/>
      </c>
      <c r="I305" s="28"/>
      <c r="J305" s="173" t="str" cm="1">
        <f t="array" aca="1" ref="J305" ca="1">IFERROR(_xlfn.IFS(OR(AL305&lt;&gt;"",AP305&lt;&gt;""),"STCOアサイン済",OR(AN305&lt;&gt;"",AO305&lt;&gt;""),"CHAT中"),"")</f>
        <v/>
      </c>
      <c r="K305" s="28"/>
      <c r="L305" s="28"/>
      <c r="M305" s="28"/>
      <c r="N305" s="28"/>
      <c r="O305" s="28"/>
      <c r="AK305" s="28">
        <f t="shared" si="29"/>
        <v>0</v>
      </c>
      <c r="AL305" s="28" t="str">
        <f t="shared" ca="1" si="30"/>
        <v/>
      </c>
      <c r="AM305" s="28" t="str">
        <f t="shared" si="31"/>
        <v/>
      </c>
      <c r="AN305" s="28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28" t="str">
        <f t="shared" si="28"/>
        <v/>
      </c>
      <c r="I306" s="28"/>
      <c r="J306" s="173" t="str" cm="1">
        <f t="array" aca="1" ref="J306" ca="1">IFERROR(_xlfn.IFS(OR(AL306&lt;&gt;"",AP306&lt;&gt;""),"STCOアサイン済",OR(AN306&lt;&gt;"",AO306&lt;&gt;""),"CHAT中"),"")</f>
        <v/>
      </c>
      <c r="K306" s="28"/>
      <c r="L306" s="28"/>
      <c r="M306" s="28"/>
      <c r="N306" s="28"/>
      <c r="O306" s="28"/>
      <c r="AK306" s="28">
        <f t="shared" si="29"/>
        <v>0</v>
      </c>
      <c r="AL306" s="28" t="str">
        <f t="shared" ca="1" si="30"/>
        <v/>
      </c>
      <c r="AM306" s="28" t="str">
        <f t="shared" si="31"/>
        <v/>
      </c>
      <c r="AN306" s="28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28" t="str">
        <f t="shared" si="28"/>
        <v/>
      </c>
      <c r="I307" s="28"/>
      <c r="J307" s="173" t="str" cm="1">
        <f t="array" aca="1" ref="J307" ca="1">IFERROR(_xlfn.IFS(OR(AL307&lt;&gt;"",AP307&lt;&gt;""),"STCOアサイン済",OR(AN307&lt;&gt;"",AO307&lt;&gt;""),"CHAT中"),"")</f>
        <v/>
      </c>
      <c r="K307" s="28"/>
      <c r="L307" s="28"/>
      <c r="M307" s="28"/>
      <c r="N307" s="28"/>
      <c r="O307" s="28"/>
      <c r="AK307" s="28">
        <f t="shared" si="29"/>
        <v>0</v>
      </c>
      <c r="AL307" s="28" t="str">
        <f t="shared" ca="1" si="30"/>
        <v/>
      </c>
      <c r="AM307" s="28" t="str">
        <f t="shared" si="31"/>
        <v/>
      </c>
      <c r="AN307" s="28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28" t="str">
        <f t="shared" si="28"/>
        <v/>
      </c>
      <c r="I308" s="28"/>
      <c r="J308" s="173" t="str" cm="1">
        <f t="array" aca="1" ref="J308" ca="1">IFERROR(_xlfn.IFS(OR(AL308&lt;&gt;"",AP308&lt;&gt;""),"STCOアサイン済",OR(AN308&lt;&gt;"",AO308&lt;&gt;""),"CHAT中"),"")</f>
        <v/>
      </c>
      <c r="K308" s="28"/>
      <c r="L308" s="28"/>
      <c r="M308" s="28"/>
      <c r="N308" s="28"/>
      <c r="O308" s="28"/>
      <c r="AK308" s="28">
        <f t="shared" si="29"/>
        <v>0</v>
      </c>
      <c r="AL308" s="28" t="str">
        <f t="shared" ca="1" si="30"/>
        <v/>
      </c>
      <c r="AM308" s="28" t="str">
        <f t="shared" si="31"/>
        <v/>
      </c>
      <c r="AN308" s="28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28" t="str">
        <f t="shared" si="28"/>
        <v/>
      </c>
      <c r="I309" s="28"/>
      <c r="J309" s="173" t="str" cm="1">
        <f t="array" aca="1" ref="J309" ca="1">IFERROR(_xlfn.IFS(OR(AL309&lt;&gt;"",AP309&lt;&gt;""),"STCOアサイン済",OR(AN309&lt;&gt;"",AO309&lt;&gt;""),"CHAT中"),"")</f>
        <v/>
      </c>
      <c r="K309" s="28"/>
      <c r="L309" s="28"/>
      <c r="M309" s="28"/>
      <c r="N309" s="28"/>
      <c r="O309" s="28"/>
      <c r="AK309" s="28">
        <f t="shared" si="29"/>
        <v>0</v>
      </c>
      <c r="AL309" s="28" t="str">
        <f t="shared" ca="1" si="30"/>
        <v/>
      </c>
      <c r="AM309" s="28" t="str">
        <f t="shared" si="31"/>
        <v/>
      </c>
      <c r="AN309" s="28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28" t="str">
        <f t="shared" si="28"/>
        <v/>
      </c>
      <c r="I310" s="28"/>
      <c r="J310" s="173" t="str" cm="1">
        <f t="array" aca="1" ref="J310" ca="1">IFERROR(_xlfn.IFS(OR(AL310&lt;&gt;"",AP310&lt;&gt;""),"STCOアサイン済",OR(AN310&lt;&gt;"",AO310&lt;&gt;""),"CHAT中"),"")</f>
        <v/>
      </c>
      <c r="K310" s="28"/>
      <c r="L310" s="28"/>
      <c r="M310" s="28"/>
      <c r="N310" s="28"/>
      <c r="O310" s="28"/>
      <c r="AK310" s="28">
        <f t="shared" si="29"/>
        <v>0</v>
      </c>
      <c r="AL310" s="28" t="str">
        <f t="shared" ca="1" si="30"/>
        <v/>
      </c>
      <c r="AM310" s="28" t="str">
        <f t="shared" si="31"/>
        <v/>
      </c>
      <c r="AN310" s="28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28" t="str">
        <f t="shared" si="28"/>
        <v/>
      </c>
      <c r="I311" s="28"/>
      <c r="J311" s="173" t="str" cm="1">
        <f t="array" aca="1" ref="J311" ca="1">IFERROR(_xlfn.IFS(OR(AL311&lt;&gt;"",AP311&lt;&gt;""),"STCOアサイン済",OR(AN311&lt;&gt;"",AO311&lt;&gt;""),"CHAT中"),"")</f>
        <v/>
      </c>
      <c r="K311" s="28"/>
      <c r="L311" s="28"/>
      <c r="M311" s="28"/>
      <c r="N311" s="28"/>
      <c r="O311" s="28"/>
      <c r="AK311" s="28">
        <f t="shared" si="29"/>
        <v>0</v>
      </c>
      <c r="AL311" s="28" t="str">
        <f t="shared" ca="1" si="30"/>
        <v/>
      </c>
      <c r="AM311" s="28" t="str">
        <f t="shared" si="31"/>
        <v/>
      </c>
      <c r="AN311" s="28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28" t="str">
        <f t="shared" si="28"/>
        <v/>
      </c>
      <c r="I312" s="28"/>
      <c r="J312" s="173" t="str" cm="1">
        <f t="array" aca="1" ref="J312" ca="1">IFERROR(_xlfn.IFS(OR(AL312&lt;&gt;"",AP312&lt;&gt;""),"STCOアサイン済",OR(AN312&lt;&gt;"",AO312&lt;&gt;""),"CHAT中"),"")</f>
        <v/>
      </c>
      <c r="K312" s="28"/>
      <c r="L312" s="28"/>
      <c r="M312" s="28"/>
      <c r="N312" s="28"/>
      <c r="O312" s="28"/>
      <c r="AK312" s="28">
        <f t="shared" si="29"/>
        <v>0</v>
      </c>
      <c r="AL312" s="28" t="str">
        <f t="shared" ca="1" si="30"/>
        <v/>
      </c>
      <c r="AM312" s="28" t="str">
        <f t="shared" si="31"/>
        <v/>
      </c>
      <c r="AN312" s="28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28" t="str">
        <f t="shared" si="28"/>
        <v/>
      </c>
      <c r="I313" s="28"/>
      <c r="J313" s="173" t="str" cm="1">
        <f t="array" aca="1" ref="J313" ca="1">IFERROR(_xlfn.IFS(OR(AL313&lt;&gt;"",AP313&lt;&gt;""),"STCOアサイン済",OR(AN313&lt;&gt;"",AO313&lt;&gt;""),"CHAT中"),"")</f>
        <v/>
      </c>
      <c r="K313" s="28"/>
      <c r="L313" s="28"/>
      <c r="M313" s="28"/>
      <c r="N313" s="28"/>
      <c r="O313" s="28"/>
      <c r="AK313" s="28">
        <f t="shared" si="29"/>
        <v>0</v>
      </c>
      <c r="AL313" s="28" t="str">
        <f t="shared" ca="1" si="30"/>
        <v/>
      </c>
      <c r="AM313" s="28" t="str">
        <f t="shared" si="31"/>
        <v/>
      </c>
      <c r="AN313" s="28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28" t="str">
        <f t="shared" si="28"/>
        <v/>
      </c>
      <c r="I314" s="28"/>
      <c r="J314" s="173" t="str" cm="1">
        <f t="array" aca="1" ref="J314" ca="1">IFERROR(_xlfn.IFS(OR(AL314&lt;&gt;"",AP314&lt;&gt;""),"STCOアサイン済",OR(AN314&lt;&gt;"",AO314&lt;&gt;""),"CHAT中"),"")</f>
        <v/>
      </c>
      <c r="K314" s="28"/>
      <c r="L314" s="28"/>
      <c r="M314" s="28"/>
      <c r="N314" s="28"/>
      <c r="O314" s="28"/>
      <c r="AK314" s="28">
        <f t="shared" si="29"/>
        <v>0</v>
      </c>
      <c r="AL314" s="28" t="str">
        <f t="shared" ca="1" si="30"/>
        <v/>
      </c>
      <c r="AM314" s="28" t="str">
        <f t="shared" si="31"/>
        <v/>
      </c>
      <c r="AN314" s="28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28" t="str">
        <f t="shared" si="28"/>
        <v/>
      </c>
      <c r="I315" s="28"/>
      <c r="J315" s="173" t="str" cm="1">
        <f t="array" aca="1" ref="J315" ca="1">IFERROR(_xlfn.IFS(OR(AL315&lt;&gt;"",AP315&lt;&gt;""),"STCOアサイン済",OR(AN315&lt;&gt;"",AO315&lt;&gt;""),"CHAT中"),"")</f>
        <v/>
      </c>
      <c r="K315" s="28"/>
      <c r="L315" s="28"/>
      <c r="M315" s="28"/>
      <c r="N315" s="28"/>
      <c r="O315" s="28"/>
      <c r="AK315" s="28">
        <f t="shared" si="29"/>
        <v>0</v>
      </c>
      <c r="AL315" s="28" t="str">
        <f t="shared" ca="1" si="30"/>
        <v/>
      </c>
      <c r="AM315" s="28" t="str">
        <f t="shared" si="31"/>
        <v/>
      </c>
      <c r="AN315" s="28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28" t="str">
        <f t="shared" si="28"/>
        <v/>
      </c>
      <c r="I316" s="28"/>
      <c r="J316" s="173" t="str" cm="1">
        <f t="array" aca="1" ref="J316" ca="1">IFERROR(_xlfn.IFS(OR(AL316&lt;&gt;"",AP316&lt;&gt;""),"STCOアサイン済",OR(AN316&lt;&gt;"",AO316&lt;&gt;""),"CHAT中"),"")</f>
        <v/>
      </c>
      <c r="K316" s="28"/>
      <c r="L316" s="28"/>
      <c r="M316" s="28"/>
      <c r="N316" s="28"/>
      <c r="O316" s="28"/>
      <c r="AK316" s="28">
        <f t="shared" si="29"/>
        <v>0</v>
      </c>
      <c r="AL316" s="28" t="str">
        <f t="shared" ca="1" si="30"/>
        <v/>
      </c>
      <c r="AM316" s="28" t="str">
        <f t="shared" si="31"/>
        <v/>
      </c>
      <c r="AN316" s="28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28" t="str">
        <f t="shared" si="28"/>
        <v/>
      </c>
      <c r="I317" s="28"/>
      <c r="J317" s="173" t="str" cm="1">
        <f t="array" aca="1" ref="J317" ca="1">IFERROR(_xlfn.IFS(OR(AL317&lt;&gt;"",AP317&lt;&gt;""),"STCOアサイン済",OR(AN317&lt;&gt;"",AO317&lt;&gt;""),"CHAT中"),"")</f>
        <v/>
      </c>
      <c r="K317" s="28"/>
      <c r="L317" s="28"/>
      <c r="M317" s="28"/>
      <c r="N317" s="28"/>
      <c r="O317" s="28"/>
      <c r="AK317" s="28">
        <f t="shared" si="29"/>
        <v>0</v>
      </c>
      <c r="AL317" s="28" t="str">
        <f t="shared" ca="1" si="30"/>
        <v/>
      </c>
      <c r="AM317" s="28" t="str">
        <f t="shared" si="31"/>
        <v/>
      </c>
      <c r="AN317" s="28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28" t="str">
        <f t="shared" si="28"/>
        <v/>
      </c>
      <c r="I318" s="28"/>
      <c r="J318" s="173" t="str" cm="1">
        <f t="array" aca="1" ref="J318" ca="1">IFERROR(_xlfn.IFS(OR(AL318&lt;&gt;"",AP318&lt;&gt;""),"STCOアサイン済",OR(AN318&lt;&gt;"",AO318&lt;&gt;""),"CHAT中"),"")</f>
        <v/>
      </c>
      <c r="K318" s="28"/>
      <c r="L318" s="28"/>
      <c r="M318" s="28"/>
      <c r="N318" s="28"/>
      <c r="O318" s="28"/>
      <c r="AK318" s="28">
        <f t="shared" si="29"/>
        <v>0</v>
      </c>
      <c r="AL318" s="28" t="str">
        <f t="shared" ca="1" si="30"/>
        <v/>
      </c>
      <c r="AM318" s="28" t="str">
        <f t="shared" si="31"/>
        <v/>
      </c>
      <c r="AN318" s="28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28" t="str">
        <f t="shared" si="28"/>
        <v/>
      </c>
      <c r="I319" s="28"/>
      <c r="J319" s="173" t="str" cm="1">
        <f t="array" aca="1" ref="J319" ca="1">IFERROR(_xlfn.IFS(OR(AL319&lt;&gt;"",AP319&lt;&gt;""),"STCOアサイン済",OR(AN319&lt;&gt;"",AO319&lt;&gt;""),"CHAT中"),"")</f>
        <v/>
      </c>
      <c r="K319" s="28"/>
      <c r="L319" s="28"/>
      <c r="M319" s="28"/>
      <c r="N319" s="28"/>
      <c r="O319" s="28"/>
      <c r="AK319" s="28">
        <f t="shared" si="29"/>
        <v>0</v>
      </c>
      <c r="AL319" s="28" t="str">
        <f t="shared" ca="1" si="30"/>
        <v/>
      </c>
      <c r="AM319" s="28" t="str">
        <f t="shared" si="31"/>
        <v/>
      </c>
      <c r="AN319" s="28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28" t="str">
        <f t="shared" si="28"/>
        <v/>
      </c>
      <c r="I320" s="28"/>
      <c r="J320" s="173" t="str" cm="1">
        <f t="array" aca="1" ref="J320" ca="1">IFERROR(_xlfn.IFS(OR(AL320&lt;&gt;"",AP320&lt;&gt;""),"STCOアサイン済",OR(AN320&lt;&gt;"",AO320&lt;&gt;""),"CHAT中"),"")</f>
        <v/>
      </c>
      <c r="K320" s="28"/>
      <c r="L320" s="28"/>
      <c r="M320" s="28"/>
      <c r="N320" s="28"/>
      <c r="O320" s="28"/>
      <c r="AK320" s="28">
        <f t="shared" si="29"/>
        <v>0</v>
      </c>
      <c r="AL320" s="28" t="str">
        <f t="shared" ca="1" si="30"/>
        <v/>
      </c>
      <c r="AM320" s="28" t="str">
        <f t="shared" si="31"/>
        <v/>
      </c>
      <c r="AN320" s="28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28" t="str">
        <f t="shared" si="28"/>
        <v/>
      </c>
      <c r="I321" s="28"/>
      <c r="J321" s="173" t="str" cm="1">
        <f t="array" aca="1" ref="J321" ca="1">IFERROR(_xlfn.IFS(OR(AL321&lt;&gt;"",AP321&lt;&gt;""),"STCOアサイン済",OR(AN321&lt;&gt;"",AO321&lt;&gt;""),"CHAT中"),"")</f>
        <v/>
      </c>
      <c r="K321" s="28"/>
      <c r="L321" s="28"/>
      <c r="M321" s="28"/>
      <c r="N321" s="28"/>
      <c r="O321" s="28"/>
      <c r="AK321" s="28">
        <f t="shared" si="29"/>
        <v>0</v>
      </c>
      <c r="AL321" s="28" t="str">
        <f t="shared" ca="1" si="30"/>
        <v/>
      </c>
      <c r="AM321" s="28" t="str">
        <f t="shared" si="31"/>
        <v/>
      </c>
      <c r="AN321" s="28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28" t="str">
        <f t="shared" si="28"/>
        <v/>
      </c>
      <c r="I322" s="28"/>
      <c r="J322" s="173" t="str" cm="1">
        <f t="array" aca="1" ref="J322" ca="1">IFERROR(_xlfn.IFS(OR(AL322&lt;&gt;"",AP322&lt;&gt;""),"STCOアサイン済",OR(AN322&lt;&gt;"",AO322&lt;&gt;""),"CHAT中"),"")</f>
        <v/>
      </c>
      <c r="K322" s="28"/>
      <c r="L322" s="28"/>
      <c r="M322" s="28"/>
      <c r="N322" s="28"/>
      <c r="O322" s="28"/>
      <c r="AK322" s="28">
        <f t="shared" si="29"/>
        <v>0</v>
      </c>
      <c r="AL322" s="28" t="str">
        <f t="shared" ca="1" si="30"/>
        <v/>
      </c>
      <c r="AM322" s="28" t="str">
        <f t="shared" si="31"/>
        <v/>
      </c>
      <c r="AN322" s="28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28" t="str">
        <f t="shared" si="28"/>
        <v/>
      </c>
      <c r="I323" s="28"/>
      <c r="J323" s="173" t="str" cm="1">
        <f t="array" aca="1" ref="J323" ca="1">IFERROR(_xlfn.IFS(OR(AL323&lt;&gt;"",AP323&lt;&gt;""),"STCOアサイン済",OR(AN323&lt;&gt;"",AO323&lt;&gt;""),"CHAT中"),"")</f>
        <v/>
      </c>
      <c r="K323" s="28"/>
      <c r="L323" s="28"/>
      <c r="M323" s="28"/>
      <c r="N323" s="28"/>
      <c r="O323" s="28"/>
      <c r="AK323" s="28">
        <f t="shared" si="29"/>
        <v>0</v>
      </c>
      <c r="AL323" s="28" t="str">
        <f t="shared" ca="1" si="30"/>
        <v/>
      </c>
      <c r="AM323" s="28" t="str">
        <f t="shared" si="31"/>
        <v/>
      </c>
      <c r="AN323" s="28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28" t="str">
        <f t="shared" si="28"/>
        <v/>
      </c>
      <c r="I324" s="28"/>
      <c r="J324" s="173" t="str" cm="1">
        <f t="array" aca="1" ref="J324" ca="1">IFERROR(_xlfn.IFS(OR(AL324&lt;&gt;"",AP324&lt;&gt;""),"STCOアサイン済",OR(AN324&lt;&gt;"",AO324&lt;&gt;""),"CHAT中"),"")</f>
        <v/>
      </c>
      <c r="K324" s="28"/>
      <c r="L324" s="28"/>
      <c r="M324" s="28"/>
      <c r="N324" s="28"/>
      <c r="O324" s="28"/>
      <c r="AK324" s="28">
        <f t="shared" si="29"/>
        <v>0</v>
      </c>
      <c r="AL324" s="28" t="str">
        <f t="shared" ca="1" si="30"/>
        <v/>
      </c>
      <c r="AM324" s="28" t="str">
        <f t="shared" si="31"/>
        <v/>
      </c>
      <c r="AN324" s="28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28" t="str">
        <f t="shared" si="28"/>
        <v/>
      </c>
      <c r="I325" s="28"/>
      <c r="J325" s="173" t="str" cm="1">
        <f t="array" aca="1" ref="J325" ca="1">IFERROR(_xlfn.IFS(OR(AL325&lt;&gt;"",AP325&lt;&gt;""),"STCOアサイン済",OR(AN325&lt;&gt;"",AO325&lt;&gt;""),"CHAT中"),"")</f>
        <v/>
      </c>
      <c r="K325" s="28"/>
      <c r="L325" s="28"/>
      <c r="M325" s="28"/>
      <c r="N325" s="28"/>
      <c r="O325" s="28"/>
      <c r="AK325" s="28">
        <f t="shared" si="29"/>
        <v>0</v>
      </c>
      <c r="AL325" s="28" t="str">
        <f t="shared" ca="1" si="30"/>
        <v/>
      </c>
      <c r="AM325" s="28" t="str">
        <f t="shared" si="31"/>
        <v/>
      </c>
      <c r="AN325" s="28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28" t="str">
        <f t="shared" si="28"/>
        <v/>
      </c>
      <c r="I326" s="28"/>
      <c r="J326" s="173" t="str" cm="1">
        <f t="array" aca="1" ref="J326" ca="1">IFERROR(_xlfn.IFS(OR(AL326&lt;&gt;"",AP326&lt;&gt;""),"STCOアサイン済",OR(AN326&lt;&gt;"",AO326&lt;&gt;""),"CHAT中"),"")</f>
        <v/>
      </c>
      <c r="K326" s="28"/>
      <c r="L326" s="28"/>
      <c r="M326" s="28"/>
      <c r="N326" s="28"/>
      <c r="O326" s="28"/>
      <c r="AK326" s="28">
        <f t="shared" si="29"/>
        <v>0</v>
      </c>
      <c r="AL326" s="28" t="str">
        <f t="shared" ca="1" si="30"/>
        <v/>
      </c>
      <c r="AM326" s="28" t="str">
        <f t="shared" si="31"/>
        <v/>
      </c>
      <c r="AN326" s="28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28" t="str">
        <f t="shared" si="28"/>
        <v/>
      </c>
      <c r="I327" s="28"/>
      <c r="J327" s="173" t="str" cm="1">
        <f t="array" aca="1" ref="J327" ca="1">IFERROR(_xlfn.IFS(OR(AL327&lt;&gt;"",AP327&lt;&gt;""),"STCOアサイン済",OR(AN327&lt;&gt;"",AO327&lt;&gt;""),"CHAT中"),"")</f>
        <v/>
      </c>
      <c r="K327" s="28"/>
      <c r="L327" s="28"/>
      <c r="M327" s="28"/>
      <c r="N327" s="28"/>
      <c r="O327" s="28"/>
      <c r="AK327" s="28">
        <f t="shared" si="29"/>
        <v>0</v>
      </c>
      <c r="AL327" s="28" t="str">
        <f t="shared" ca="1" si="30"/>
        <v/>
      </c>
      <c r="AM327" s="28" t="str">
        <f t="shared" si="31"/>
        <v/>
      </c>
      <c r="AN327" s="28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28" t="str">
        <f t="shared" ref="A328:A391" si="35">IF(ISBLANK($I328), "", _xlfn.IFS($I328&gt;10, "DS", $I328&lt;=10, "未定"))</f>
        <v/>
      </c>
      <c r="I328" s="28"/>
      <c r="J328" s="173" t="str" cm="1">
        <f t="array" aca="1" ref="J328" ca="1">IFERROR(_xlfn.IFS(OR(AL328&lt;&gt;"",AP328&lt;&gt;""),"STCOアサイン済",OR(AN328&lt;&gt;"",AO328&lt;&gt;""),"CHAT中"),"")</f>
        <v/>
      </c>
      <c r="K328" s="28"/>
      <c r="L328" s="28"/>
      <c r="M328" s="28"/>
      <c r="N328" s="28"/>
      <c r="O328" s="28"/>
      <c r="AK328" s="28">
        <f t="shared" si="29"/>
        <v>0</v>
      </c>
      <c r="AL328" s="28" t="str">
        <f t="shared" ca="1" si="30"/>
        <v/>
      </c>
      <c r="AM328" s="28" t="str">
        <f t="shared" si="31"/>
        <v/>
      </c>
      <c r="AN328" s="28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28" t="str">
        <f t="shared" si="35"/>
        <v/>
      </c>
      <c r="I329" s="28"/>
      <c r="J329" s="173" t="str" cm="1">
        <f t="array" aca="1" ref="J329" ca="1">IFERROR(_xlfn.IFS(OR(AL329&lt;&gt;"",AP329&lt;&gt;""),"STCOアサイン済",OR(AN329&lt;&gt;"",AO329&lt;&gt;""),"CHAT中"),"")</f>
        <v/>
      </c>
      <c r="K329" s="28"/>
      <c r="L329" s="28"/>
      <c r="M329" s="28"/>
      <c r="N329" s="28"/>
      <c r="O329" s="28"/>
      <c r="AK329" s="28">
        <f t="shared" ref="AK329:AK392" si="36">C329</f>
        <v>0</v>
      </c>
      <c r="AL329" s="28" t="str">
        <f t="shared" ref="AL329:AL392" ca="1" si="37">IF(SUMIF(INDIRECT($AL$7&amp;"!$AM$5:$AM$800"),C329&amp;$AL$6,INDIRECT($AL$7&amp;"!$AN$5:$AN$800"))&lt;=0,"")</f>
        <v/>
      </c>
      <c r="AM329" s="28" t="str">
        <f t="shared" ref="AM329:AM392" si="38">IF(A329="","",A329)</f>
        <v/>
      </c>
      <c r="AN329" s="28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28" t="str">
        <f t="shared" si="35"/>
        <v/>
      </c>
      <c r="I330" s="28"/>
      <c r="J330" s="173" t="str" cm="1">
        <f t="array" aca="1" ref="J330" ca="1">IFERROR(_xlfn.IFS(OR(AL330&lt;&gt;"",AP330&lt;&gt;""),"STCOアサイン済",OR(AN330&lt;&gt;"",AO330&lt;&gt;""),"CHAT中"),"")</f>
        <v/>
      </c>
      <c r="K330" s="28"/>
      <c r="L330" s="28"/>
      <c r="M330" s="28"/>
      <c r="N330" s="28"/>
      <c r="O330" s="28"/>
      <c r="AK330" s="28">
        <f t="shared" si="36"/>
        <v>0</v>
      </c>
      <c r="AL330" s="28" t="str">
        <f t="shared" ca="1" si="37"/>
        <v/>
      </c>
      <c r="AM330" s="28" t="str">
        <f t="shared" si="38"/>
        <v/>
      </c>
      <c r="AN330" s="28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28" t="str">
        <f t="shared" si="35"/>
        <v/>
      </c>
      <c r="I331" s="28"/>
      <c r="J331" s="173" t="str" cm="1">
        <f t="array" aca="1" ref="J331" ca="1">IFERROR(_xlfn.IFS(OR(AL331&lt;&gt;"",AP331&lt;&gt;""),"STCOアサイン済",OR(AN331&lt;&gt;"",AO331&lt;&gt;""),"CHAT中"),"")</f>
        <v/>
      </c>
      <c r="K331" s="28"/>
      <c r="L331" s="28"/>
      <c r="M331" s="28"/>
      <c r="N331" s="28"/>
      <c r="O331" s="28"/>
      <c r="AK331" s="28">
        <f t="shared" si="36"/>
        <v>0</v>
      </c>
      <c r="AL331" s="28" t="str">
        <f t="shared" ca="1" si="37"/>
        <v/>
      </c>
      <c r="AM331" s="28" t="str">
        <f t="shared" si="38"/>
        <v/>
      </c>
      <c r="AN331" s="28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28" t="str">
        <f t="shared" si="35"/>
        <v/>
      </c>
      <c r="I332" s="28"/>
      <c r="J332" s="173" t="str" cm="1">
        <f t="array" aca="1" ref="J332" ca="1">IFERROR(_xlfn.IFS(OR(AL332&lt;&gt;"",AP332&lt;&gt;""),"STCOアサイン済",OR(AN332&lt;&gt;"",AO332&lt;&gt;""),"CHAT中"),"")</f>
        <v/>
      </c>
      <c r="K332" s="28"/>
      <c r="L332" s="28"/>
      <c r="M332" s="28"/>
      <c r="N332" s="28"/>
      <c r="O332" s="28"/>
      <c r="AK332" s="28">
        <f t="shared" si="36"/>
        <v>0</v>
      </c>
      <c r="AL332" s="28" t="str">
        <f t="shared" ca="1" si="37"/>
        <v/>
      </c>
      <c r="AM332" s="28" t="str">
        <f t="shared" si="38"/>
        <v/>
      </c>
      <c r="AN332" s="28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28" t="str">
        <f t="shared" si="35"/>
        <v/>
      </c>
      <c r="I333" s="28"/>
      <c r="J333" s="173" t="str" cm="1">
        <f t="array" aca="1" ref="J333" ca="1">IFERROR(_xlfn.IFS(OR(AL333&lt;&gt;"",AP333&lt;&gt;""),"STCOアサイン済",OR(AN333&lt;&gt;"",AO333&lt;&gt;""),"CHAT中"),"")</f>
        <v/>
      </c>
      <c r="K333" s="28"/>
      <c r="L333" s="28"/>
      <c r="M333" s="28"/>
      <c r="N333" s="28"/>
      <c r="O333" s="28"/>
      <c r="AK333" s="28">
        <f t="shared" si="36"/>
        <v>0</v>
      </c>
      <c r="AL333" s="28" t="str">
        <f t="shared" ca="1" si="37"/>
        <v/>
      </c>
      <c r="AM333" s="28" t="str">
        <f t="shared" si="38"/>
        <v/>
      </c>
      <c r="AN333" s="28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28" t="str">
        <f t="shared" si="35"/>
        <v/>
      </c>
      <c r="I334" s="28"/>
      <c r="J334" s="173" t="str" cm="1">
        <f t="array" aca="1" ref="J334" ca="1">IFERROR(_xlfn.IFS(OR(AL334&lt;&gt;"",AP334&lt;&gt;""),"STCOアサイン済",OR(AN334&lt;&gt;"",AO334&lt;&gt;""),"CHAT中"),"")</f>
        <v/>
      </c>
      <c r="K334" s="28"/>
      <c r="L334" s="28"/>
      <c r="M334" s="28"/>
      <c r="N334" s="28"/>
      <c r="O334" s="28"/>
      <c r="AK334" s="28">
        <f t="shared" si="36"/>
        <v>0</v>
      </c>
      <c r="AL334" s="28" t="str">
        <f t="shared" ca="1" si="37"/>
        <v/>
      </c>
      <c r="AM334" s="28" t="str">
        <f t="shared" si="38"/>
        <v/>
      </c>
      <c r="AN334" s="28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28" t="str">
        <f t="shared" si="35"/>
        <v/>
      </c>
      <c r="I335" s="28"/>
      <c r="J335" s="173" t="str" cm="1">
        <f t="array" aca="1" ref="J335" ca="1">IFERROR(_xlfn.IFS(OR(AL335&lt;&gt;"",AP335&lt;&gt;""),"STCOアサイン済",OR(AN335&lt;&gt;"",AO335&lt;&gt;""),"CHAT中"),"")</f>
        <v/>
      </c>
      <c r="K335" s="28"/>
      <c r="L335" s="28"/>
      <c r="M335" s="28"/>
      <c r="N335" s="28"/>
      <c r="O335" s="28"/>
      <c r="AK335" s="28">
        <f t="shared" si="36"/>
        <v>0</v>
      </c>
      <c r="AL335" s="28" t="str">
        <f t="shared" ca="1" si="37"/>
        <v/>
      </c>
      <c r="AM335" s="28" t="str">
        <f t="shared" si="38"/>
        <v/>
      </c>
      <c r="AN335" s="28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28" t="str">
        <f t="shared" si="35"/>
        <v/>
      </c>
      <c r="I336" s="28"/>
      <c r="J336" s="173" t="str" cm="1">
        <f t="array" aca="1" ref="J336" ca="1">IFERROR(_xlfn.IFS(OR(AL336&lt;&gt;"",AP336&lt;&gt;""),"STCOアサイン済",OR(AN336&lt;&gt;"",AO336&lt;&gt;""),"CHAT中"),"")</f>
        <v/>
      </c>
      <c r="K336" s="28"/>
      <c r="L336" s="28"/>
      <c r="M336" s="28"/>
      <c r="N336" s="28"/>
      <c r="O336" s="28"/>
      <c r="AK336" s="28">
        <f t="shared" si="36"/>
        <v>0</v>
      </c>
      <c r="AL336" s="28" t="str">
        <f t="shared" ca="1" si="37"/>
        <v/>
      </c>
      <c r="AM336" s="28" t="str">
        <f t="shared" si="38"/>
        <v/>
      </c>
      <c r="AN336" s="28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28" t="str">
        <f t="shared" si="35"/>
        <v/>
      </c>
      <c r="I337" s="28"/>
      <c r="J337" s="173" t="str" cm="1">
        <f t="array" aca="1" ref="J337" ca="1">IFERROR(_xlfn.IFS(OR(AL337&lt;&gt;"",AP337&lt;&gt;""),"STCOアサイン済",OR(AN337&lt;&gt;"",AO337&lt;&gt;""),"CHAT中"),"")</f>
        <v/>
      </c>
      <c r="K337" s="28"/>
      <c r="L337" s="28"/>
      <c r="M337" s="28"/>
      <c r="N337" s="28"/>
      <c r="O337" s="28"/>
      <c r="AK337" s="28">
        <f t="shared" si="36"/>
        <v>0</v>
      </c>
      <c r="AL337" s="28" t="str">
        <f t="shared" ca="1" si="37"/>
        <v/>
      </c>
      <c r="AM337" s="28" t="str">
        <f t="shared" si="38"/>
        <v/>
      </c>
      <c r="AN337" s="28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28" t="str">
        <f t="shared" si="35"/>
        <v/>
      </c>
      <c r="I338" s="28"/>
      <c r="J338" s="173" t="str" cm="1">
        <f t="array" aca="1" ref="J338" ca="1">IFERROR(_xlfn.IFS(OR(AL338&lt;&gt;"",AP338&lt;&gt;""),"STCOアサイン済",OR(AN338&lt;&gt;"",AO338&lt;&gt;""),"CHAT中"),"")</f>
        <v/>
      </c>
      <c r="K338" s="28"/>
      <c r="L338" s="28"/>
      <c r="M338" s="28"/>
      <c r="N338" s="28"/>
      <c r="O338" s="28"/>
      <c r="AK338" s="28">
        <f t="shared" si="36"/>
        <v>0</v>
      </c>
      <c r="AL338" s="28" t="str">
        <f t="shared" ca="1" si="37"/>
        <v/>
      </c>
      <c r="AM338" s="28" t="str">
        <f t="shared" si="38"/>
        <v/>
      </c>
      <c r="AN338" s="28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28" t="str">
        <f t="shared" si="35"/>
        <v/>
      </c>
      <c r="I339" s="28"/>
      <c r="J339" s="173" t="str" cm="1">
        <f t="array" aca="1" ref="J339" ca="1">IFERROR(_xlfn.IFS(OR(AL339&lt;&gt;"",AP339&lt;&gt;""),"STCOアサイン済",OR(AN339&lt;&gt;"",AO339&lt;&gt;""),"CHAT中"),"")</f>
        <v/>
      </c>
      <c r="K339" s="28"/>
      <c r="L339" s="28"/>
      <c r="M339" s="28"/>
      <c r="N339" s="28"/>
      <c r="O339" s="28"/>
      <c r="AK339" s="28">
        <f t="shared" si="36"/>
        <v>0</v>
      </c>
      <c r="AL339" s="28" t="str">
        <f t="shared" ca="1" si="37"/>
        <v/>
      </c>
      <c r="AM339" s="28" t="str">
        <f t="shared" si="38"/>
        <v/>
      </c>
      <c r="AN339" s="28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28" t="str">
        <f t="shared" si="35"/>
        <v/>
      </c>
      <c r="I340" s="28"/>
      <c r="J340" s="173" t="str" cm="1">
        <f t="array" aca="1" ref="J340" ca="1">IFERROR(_xlfn.IFS(OR(AL340&lt;&gt;"",AP340&lt;&gt;""),"STCOアサイン済",OR(AN340&lt;&gt;"",AO340&lt;&gt;""),"CHAT中"),"")</f>
        <v/>
      </c>
      <c r="K340" s="28"/>
      <c r="L340" s="28"/>
      <c r="M340" s="28"/>
      <c r="N340" s="28"/>
      <c r="O340" s="28"/>
      <c r="AK340" s="28">
        <f t="shared" si="36"/>
        <v>0</v>
      </c>
      <c r="AL340" s="28" t="str">
        <f t="shared" ca="1" si="37"/>
        <v/>
      </c>
      <c r="AM340" s="28" t="str">
        <f t="shared" si="38"/>
        <v/>
      </c>
      <c r="AN340" s="28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28" t="str">
        <f t="shared" si="35"/>
        <v/>
      </c>
      <c r="I341" s="28"/>
      <c r="J341" s="173" t="str" cm="1">
        <f t="array" aca="1" ref="J341" ca="1">IFERROR(_xlfn.IFS(OR(AL341&lt;&gt;"",AP341&lt;&gt;""),"STCOアサイン済",OR(AN341&lt;&gt;"",AO341&lt;&gt;""),"CHAT中"),"")</f>
        <v/>
      </c>
      <c r="K341" s="28"/>
      <c r="L341" s="28"/>
      <c r="M341" s="28"/>
      <c r="N341" s="28"/>
      <c r="O341" s="28"/>
      <c r="AK341" s="28">
        <f t="shared" si="36"/>
        <v>0</v>
      </c>
      <c r="AL341" s="28" t="str">
        <f t="shared" ca="1" si="37"/>
        <v/>
      </c>
      <c r="AM341" s="28" t="str">
        <f t="shared" si="38"/>
        <v/>
      </c>
      <c r="AN341" s="28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28" t="str">
        <f t="shared" si="35"/>
        <v/>
      </c>
      <c r="I342" s="28"/>
      <c r="J342" s="173" t="str" cm="1">
        <f t="array" aca="1" ref="J342" ca="1">IFERROR(_xlfn.IFS(OR(AL342&lt;&gt;"",AP342&lt;&gt;""),"STCOアサイン済",OR(AN342&lt;&gt;"",AO342&lt;&gt;""),"CHAT中"),"")</f>
        <v/>
      </c>
      <c r="K342" s="28"/>
      <c r="L342" s="28"/>
      <c r="M342" s="28"/>
      <c r="N342" s="28"/>
      <c r="O342" s="28"/>
      <c r="AK342" s="28">
        <f t="shared" si="36"/>
        <v>0</v>
      </c>
      <c r="AL342" s="28" t="str">
        <f t="shared" ca="1" si="37"/>
        <v/>
      </c>
      <c r="AM342" s="28" t="str">
        <f t="shared" si="38"/>
        <v/>
      </c>
      <c r="AN342" s="28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28" t="str">
        <f t="shared" si="35"/>
        <v/>
      </c>
      <c r="I343" s="28"/>
      <c r="J343" s="173" t="str" cm="1">
        <f t="array" aca="1" ref="J343" ca="1">IFERROR(_xlfn.IFS(OR(AL343&lt;&gt;"",AP343&lt;&gt;""),"STCOアサイン済",OR(AN343&lt;&gt;"",AO343&lt;&gt;""),"CHAT中"),"")</f>
        <v/>
      </c>
      <c r="K343" s="28"/>
      <c r="L343" s="28"/>
      <c r="M343" s="28"/>
      <c r="N343" s="28"/>
      <c r="O343" s="28"/>
      <c r="AK343" s="28">
        <f t="shared" si="36"/>
        <v>0</v>
      </c>
      <c r="AL343" s="28" t="str">
        <f t="shared" ca="1" si="37"/>
        <v/>
      </c>
      <c r="AM343" s="28" t="str">
        <f t="shared" si="38"/>
        <v/>
      </c>
      <c r="AN343" s="28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28" t="str">
        <f t="shared" si="35"/>
        <v/>
      </c>
      <c r="I344" s="28"/>
      <c r="J344" s="173" t="str" cm="1">
        <f t="array" aca="1" ref="J344" ca="1">IFERROR(_xlfn.IFS(OR(AL344&lt;&gt;"",AP344&lt;&gt;""),"STCOアサイン済",OR(AN344&lt;&gt;"",AO344&lt;&gt;""),"CHAT中"),"")</f>
        <v/>
      </c>
      <c r="K344" s="28"/>
      <c r="L344" s="28"/>
      <c r="M344" s="28"/>
      <c r="N344" s="28"/>
      <c r="O344" s="28"/>
      <c r="AK344" s="28">
        <f t="shared" si="36"/>
        <v>0</v>
      </c>
      <c r="AL344" s="28" t="str">
        <f t="shared" ca="1" si="37"/>
        <v/>
      </c>
      <c r="AM344" s="28" t="str">
        <f t="shared" si="38"/>
        <v/>
      </c>
      <c r="AN344" s="28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28" t="str">
        <f t="shared" si="35"/>
        <v/>
      </c>
      <c r="I345" s="28"/>
      <c r="J345" s="173" t="str" cm="1">
        <f t="array" aca="1" ref="J345" ca="1">IFERROR(_xlfn.IFS(OR(AL345&lt;&gt;"",AP345&lt;&gt;""),"STCOアサイン済",OR(AN345&lt;&gt;"",AO345&lt;&gt;""),"CHAT中"),"")</f>
        <v/>
      </c>
      <c r="K345" s="28"/>
      <c r="L345" s="28"/>
      <c r="M345" s="28"/>
      <c r="N345" s="28"/>
      <c r="O345" s="28"/>
      <c r="AK345" s="28">
        <f t="shared" si="36"/>
        <v>0</v>
      </c>
      <c r="AL345" s="28" t="str">
        <f t="shared" ca="1" si="37"/>
        <v/>
      </c>
      <c r="AM345" s="28" t="str">
        <f t="shared" si="38"/>
        <v/>
      </c>
      <c r="AN345" s="28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28" t="str">
        <f t="shared" si="35"/>
        <v/>
      </c>
      <c r="I346" s="28"/>
      <c r="J346" s="173" t="str" cm="1">
        <f t="array" aca="1" ref="J346" ca="1">IFERROR(_xlfn.IFS(OR(AL346&lt;&gt;"",AP346&lt;&gt;""),"STCOアサイン済",OR(AN346&lt;&gt;"",AO346&lt;&gt;""),"CHAT中"),"")</f>
        <v/>
      </c>
      <c r="K346" s="28"/>
      <c r="L346" s="28"/>
      <c r="M346" s="28"/>
      <c r="N346" s="28"/>
      <c r="O346" s="28"/>
      <c r="AK346" s="28">
        <f t="shared" si="36"/>
        <v>0</v>
      </c>
      <c r="AL346" s="28" t="str">
        <f t="shared" ca="1" si="37"/>
        <v/>
      </c>
      <c r="AM346" s="28" t="str">
        <f t="shared" si="38"/>
        <v/>
      </c>
      <c r="AN346" s="28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28" t="str">
        <f t="shared" si="35"/>
        <v/>
      </c>
      <c r="I347" s="28"/>
      <c r="J347" s="173" t="str" cm="1">
        <f t="array" aca="1" ref="J347" ca="1">IFERROR(_xlfn.IFS(OR(AL347&lt;&gt;"",AP347&lt;&gt;""),"STCOアサイン済",OR(AN347&lt;&gt;"",AO347&lt;&gt;""),"CHAT中"),"")</f>
        <v/>
      </c>
      <c r="K347" s="28"/>
      <c r="L347" s="28"/>
      <c r="M347" s="28"/>
      <c r="N347" s="28"/>
      <c r="O347" s="28"/>
      <c r="AK347" s="28">
        <f t="shared" si="36"/>
        <v>0</v>
      </c>
      <c r="AL347" s="28" t="str">
        <f t="shared" ca="1" si="37"/>
        <v/>
      </c>
      <c r="AM347" s="28" t="str">
        <f t="shared" si="38"/>
        <v/>
      </c>
      <c r="AN347" s="28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28" t="str">
        <f t="shared" si="35"/>
        <v/>
      </c>
      <c r="I348" s="28"/>
      <c r="J348" s="173" t="str" cm="1">
        <f t="array" aca="1" ref="J348" ca="1">IFERROR(_xlfn.IFS(OR(AL348&lt;&gt;"",AP348&lt;&gt;""),"STCOアサイン済",OR(AN348&lt;&gt;"",AO348&lt;&gt;""),"CHAT中"),"")</f>
        <v/>
      </c>
      <c r="K348" s="28"/>
      <c r="L348" s="28"/>
      <c r="M348" s="28"/>
      <c r="N348" s="28"/>
      <c r="O348" s="28"/>
      <c r="AK348" s="28">
        <f t="shared" si="36"/>
        <v>0</v>
      </c>
      <c r="AL348" s="28" t="str">
        <f t="shared" ca="1" si="37"/>
        <v/>
      </c>
      <c r="AM348" s="28" t="str">
        <f t="shared" si="38"/>
        <v/>
      </c>
      <c r="AN348" s="28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28" t="str">
        <f t="shared" si="35"/>
        <v/>
      </c>
      <c r="I349" s="28"/>
      <c r="J349" s="173" t="str" cm="1">
        <f t="array" aca="1" ref="J349" ca="1">IFERROR(_xlfn.IFS(OR(AL349&lt;&gt;"",AP349&lt;&gt;""),"STCOアサイン済",OR(AN349&lt;&gt;"",AO349&lt;&gt;""),"CHAT中"),"")</f>
        <v/>
      </c>
      <c r="K349" s="28"/>
      <c r="L349" s="28"/>
      <c r="M349" s="28"/>
      <c r="N349" s="28"/>
      <c r="O349" s="28"/>
      <c r="AK349" s="28">
        <f t="shared" si="36"/>
        <v>0</v>
      </c>
      <c r="AL349" s="28" t="str">
        <f t="shared" ca="1" si="37"/>
        <v/>
      </c>
      <c r="AM349" s="28" t="str">
        <f t="shared" si="38"/>
        <v/>
      </c>
      <c r="AN349" s="28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28" t="str">
        <f t="shared" si="35"/>
        <v/>
      </c>
      <c r="I350" s="28"/>
      <c r="J350" s="173" t="str" cm="1">
        <f t="array" aca="1" ref="J350" ca="1">IFERROR(_xlfn.IFS(OR(AL350&lt;&gt;"",AP350&lt;&gt;""),"STCOアサイン済",OR(AN350&lt;&gt;"",AO350&lt;&gt;""),"CHAT中"),"")</f>
        <v/>
      </c>
      <c r="K350" s="28"/>
      <c r="L350" s="28"/>
      <c r="M350" s="28"/>
      <c r="N350" s="28"/>
      <c r="O350" s="28"/>
      <c r="AK350" s="28">
        <f t="shared" si="36"/>
        <v>0</v>
      </c>
      <c r="AL350" s="28" t="str">
        <f t="shared" ca="1" si="37"/>
        <v/>
      </c>
      <c r="AM350" s="28" t="str">
        <f t="shared" si="38"/>
        <v/>
      </c>
      <c r="AN350" s="28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28" t="str">
        <f t="shared" si="35"/>
        <v/>
      </c>
      <c r="I351" s="28"/>
      <c r="J351" s="173" t="str" cm="1">
        <f t="array" aca="1" ref="J351" ca="1">IFERROR(_xlfn.IFS(OR(AL351&lt;&gt;"",AP351&lt;&gt;""),"STCOアサイン済",OR(AN351&lt;&gt;"",AO351&lt;&gt;""),"CHAT中"),"")</f>
        <v/>
      </c>
      <c r="K351" s="28"/>
      <c r="L351" s="28"/>
      <c r="M351" s="28"/>
      <c r="N351" s="28"/>
      <c r="O351" s="28"/>
      <c r="AK351" s="28">
        <f t="shared" si="36"/>
        <v>0</v>
      </c>
      <c r="AL351" s="28" t="str">
        <f t="shared" ca="1" si="37"/>
        <v/>
      </c>
      <c r="AM351" s="28" t="str">
        <f t="shared" si="38"/>
        <v/>
      </c>
      <c r="AN351" s="28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28" t="str">
        <f t="shared" si="35"/>
        <v/>
      </c>
      <c r="I352" s="28"/>
      <c r="J352" s="173" t="str" cm="1">
        <f t="array" aca="1" ref="J352" ca="1">IFERROR(_xlfn.IFS(OR(AL352&lt;&gt;"",AP352&lt;&gt;""),"STCOアサイン済",OR(AN352&lt;&gt;"",AO352&lt;&gt;""),"CHAT中"),"")</f>
        <v/>
      </c>
      <c r="K352" s="28"/>
      <c r="L352" s="28"/>
      <c r="M352" s="28"/>
      <c r="N352" s="28"/>
      <c r="O352" s="28"/>
      <c r="AK352" s="28">
        <f t="shared" si="36"/>
        <v>0</v>
      </c>
      <c r="AL352" s="28" t="str">
        <f t="shared" ca="1" si="37"/>
        <v/>
      </c>
      <c r="AM352" s="28" t="str">
        <f t="shared" si="38"/>
        <v/>
      </c>
      <c r="AN352" s="28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28" t="str">
        <f t="shared" si="35"/>
        <v/>
      </c>
      <c r="I353" s="28"/>
      <c r="J353" s="173" t="str" cm="1">
        <f t="array" aca="1" ref="J353" ca="1">IFERROR(_xlfn.IFS(OR(AL353&lt;&gt;"",AP353&lt;&gt;""),"STCOアサイン済",OR(AN353&lt;&gt;"",AO353&lt;&gt;""),"CHAT中"),"")</f>
        <v/>
      </c>
      <c r="K353" s="28"/>
      <c r="L353" s="28"/>
      <c r="M353" s="28"/>
      <c r="N353" s="28"/>
      <c r="O353" s="28"/>
      <c r="AK353" s="28">
        <f t="shared" si="36"/>
        <v>0</v>
      </c>
      <c r="AL353" s="28" t="str">
        <f t="shared" ca="1" si="37"/>
        <v/>
      </c>
      <c r="AM353" s="28" t="str">
        <f t="shared" si="38"/>
        <v/>
      </c>
      <c r="AN353" s="28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28" t="str">
        <f t="shared" si="35"/>
        <v/>
      </c>
      <c r="I354" s="28"/>
      <c r="J354" s="173" t="str" cm="1">
        <f t="array" aca="1" ref="J354" ca="1">IFERROR(_xlfn.IFS(OR(AL354&lt;&gt;"",AP354&lt;&gt;""),"STCOアサイン済",OR(AN354&lt;&gt;"",AO354&lt;&gt;""),"CHAT中"),"")</f>
        <v/>
      </c>
      <c r="K354" s="28"/>
      <c r="L354" s="28"/>
      <c r="M354" s="28"/>
      <c r="N354" s="28"/>
      <c r="O354" s="28"/>
      <c r="AK354" s="28">
        <f t="shared" si="36"/>
        <v>0</v>
      </c>
      <c r="AL354" s="28" t="str">
        <f t="shared" ca="1" si="37"/>
        <v/>
      </c>
      <c r="AM354" s="28" t="str">
        <f t="shared" si="38"/>
        <v/>
      </c>
      <c r="AN354" s="28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28" t="str">
        <f t="shared" si="35"/>
        <v/>
      </c>
      <c r="I355" s="28"/>
      <c r="J355" s="173" t="str" cm="1">
        <f t="array" aca="1" ref="J355" ca="1">IFERROR(_xlfn.IFS(OR(AL355&lt;&gt;"",AP355&lt;&gt;""),"STCOアサイン済",OR(AN355&lt;&gt;"",AO355&lt;&gt;""),"CHAT中"),"")</f>
        <v/>
      </c>
      <c r="K355" s="28"/>
      <c r="L355" s="28"/>
      <c r="M355" s="28"/>
      <c r="N355" s="28"/>
      <c r="O355" s="28"/>
      <c r="AK355" s="28">
        <f t="shared" si="36"/>
        <v>0</v>
      </c>
      <c r="AL355" s="28" t="str">
        <f t="shared" ca="1" si="37"/>
        <v/>
      </c>
      <c r="AM355" s="28" t="str">
        <f t="shared" si="38"/>
        <v/>
      </c>
      <c r="AN355" s="28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28" t="str">
        <f t="shared" si="35"/>
        <v/>
      </c>
      <c r="I356" s="28"/>
      <c r="J356" s="173" t="str" cm="1">
        <f t="array" aca="1" ref="J356" ca="1">IFERROR(_xlfn.IFS(OR(AL356&lt;&gt;"",AP356&lt;&gt;""),"STCOアサイン済",OR(AN356&lt;&gt;"",AO356&lt;&gt;""),"CHAT中"),"")</f>
        <v/>
      </c>
      <c r="K356" s="28"/>
      <c r="L356" s="28"/>
      <c r="M356" s="28"/>
      <c r="N356" s="28"/>
      <c r="O356" s="28"/>
      <c r="AK356" s="28">
        <f t="shared" si="36"/>
        <v>0</v>
      </c>
      <c r="AL356" s="28" t="str">
        <f t="shared" ca="1" si="37"/>
        <v/>
      </c>
      <c r="AM356" s="28" t="str">
        <f t="shared" si="38"/>
        <v/>
      </c>
      <c r="AN356" s="28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28" t="str">
        <f t="shared" si="35"/>
        <v/>
      </c>
      <c r="I357" s="28"/>
      <c r="J357" s="173" t="str" cm="1">
        <f t="array" aca="1" ref="J357" ca="1">IFERROR(_xlfn.IFS(OR(AL357&lt;&gt;"",AP357&lt;&gt;""),"STCOアサイン済",OR(AN357&lt;&gt;"",AO357&lt;&gt;""),"CHAT中"),"")</f>
        <v/>
      </c>
      <c r="K357" s="28"/>
      <c r="L357" s="28"/>
      <c r="M357" s="28"/>
      <c r="N357" s="28"/>
      <c r="O357" s="28"/>
      <c r="AK357" s="28">
        <f t="shared" si="36"/>
        <v>0</v>
      </c>
      <c r="AL357" s="28" t="str">
        <f t="shared" ca="1" si="37"/>
        <v/>
      </c>
      <c r="AM357" s="28" t="str">
        <f t="shared" si="38"/>
        <v/>
      </c>
      <c r="AN357" s="28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28" t="str">
        <f t="shared" si="35"/>
        <v/>
      </c>
      <c r="I358" s="28"/>
      <c r="J358" s="173" t="str" cm="1">
        <f t="array" aca="1" ref="J358" ca="1">IFERROR(_xlfn.IFS(OR(AL358&lt;&gt;"",AP358&lt;&gt;""),"STCOアサイン済",OR(AN358&lt;&gt;"",AO358&lt;&gt;""),"CHAT中"),"")</f>
        <v/>
      </c>
      <c r="K358" s="28"/>
      <c r="L358" s="28"/>
      <c r="M358" s="28"/>
      <c r="N358" s="28"/>
      <c r="O358" s="28"/>
      <c r="AK358" s="28">
        <f t="shared" si="36"/>
        <v>0</v>
      </c>
      <c r="AL358" s="28" t="str">
        <f t="shared" ca="1" si="37"/>
        <v/>
      </c>
      <c r="AM358" s="28" t="str">
        <f t="shared" si="38"/>
        <v/>
      </c>
      <c r="AN358" s="28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28" t="str">
        <f t="shared" si="35"/>
        <v/>
      </c>
      <c r="I359" s="28"/>
      <c r="J359" s="173" t="str" cm="1">
        <f t="array" aca="1" ref="J359" ca="1">IFERROR(_xlfn.IFS(OR(AL359&lt;&gt;"",AP359&lt;&gt;""),"STCOアサイン済",OR(AN359&lt;&gt;"",AO359&lt;&gt;""),"CHAT中"),"")</f>
        <v/>
      </c>
      <c r="K359" s="28"/>
      <c r="L359" s="28"/>
      <c r="M359" s="28"/>
      <c r="N359" s="28"/>
      <c r="O359" s="28"/>
      <c r="AK359" s="28">
        <f t="shared" si="36"/>
        <v>0</v>
      </c>
      <c r="AL359" s="28" t="str">
        <f t="shared" ca="1" si="37"/>
        <v/>
      </c>
      <c r="AM359" s="28" t="str">
        <f t="shared" si="38"/>
        <v/>
      </c>
      <c r="AN359" s="28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28" t="str">
        <f t="shared" si="35"/>
        <v/>
      </c>
      <c r="I360" s="28"/>
      <c r="J360" s="173" t="str" cm="1">
        <f t="array" aca="1" ref="J360" ca="1">IFERROR(_xlfn.IFS(OR(AL360&lt;&gt;"",AP360&lt;&gt;""),"STCOアサイン済",OR(AN360&lt;&gt;"",AO360&lt;&gt;""),"CHAT中"),"")</f>
        <v/>
      </c>
      <c r="K360" s="28"/>
      <c r="L360" s="28"/>
      <c r="M360" s="28"/>
      <c r="N360" s="28"/>
      <c r="O360" s="28"/>
      <c r="AK360" s="28">
        <f t="shared" si="36"/>
        <v>0</v>
      </c>
      <c r="AL360" s="28" t="str">
        <f t="shared" ca="1" si="37"/>
        <v/>
      </c>
      <c r="AM360" s="28" t="str">
        <f t="shared" si="38"/>
        <v/>
      </c>
      <c r="AN360" s="28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28" t="str">
        <f t="shared" si="35"/>
        <v/>
      </c>
      <c r="I361" s="28"/>
      <c r="J361" s="173" t="str" cm="1">
        <f t="array" aca="1" ref="J361" ca="1">IFERROR(_xlfn.IFS(OR(AL361&lt;&gt;"",AP361&lt;&gt;""),"STCOアサイン済",OR(AN361&lt;&gt;"",AO361&lt;&gt;""),"CHAT中"),"")</f>
        <v/>
      </c>
      <c r="K361" s="28"/>
      <c r="L361" s="28"/>
      <c r="M361" s="28"/>
      <c r="N361" s="28"/>
      <c r="O361" s="28"/>
      <c r="AK361" s="28">
        <f t="shared" si="36"/>
        <v>0</v>
      </c>
      <c r="AL361" s="28" t="str">
        <f t="shared" ca="1" si="37"/>
        <v/>
      </c>
      <c r="AM361" s="28" t="str">
        <f t="shared" si="38"/>
        <v/>
      </c>
      <c r="AN361" s="28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28" t="str">
        <f t="shared" si="35"/>
        <v/>
      </c>
      <c r="I362" s="28"/>
      <c r="J362" s="173" t="str" cm="1">
        <f t="array" aca="1" ref="J362" ca="1">IFERROR(_xlfn.IFS(OR(AL362&lt;&gt;"",AP362&lt;&gt;""),"STCOアサイン済",OR(AN362&lt;&gt;"",AO362&lt;&gt;""),"CHAT中"),"")</f>
        <v/>
      </c>
      <c r="K362" s="28"/>
      <c r="L362" s="28"/>
      <c r="M362" s="28"/>
      <c r="N362" s="28"/>
      <c r="O362" s="28"/>
      <c r="AK362" s="28">
        <f t="shared" si="36"/>
        <v>0</v>
      </c>
      <c r="AL362" s="28" t="str">
        <f t="shared" ca="1" si="37"/>
        <v/>
      </c>
      <c r="AM362" s="28" t="str">
        <f t="shared" si="38"/>
        <v/>
      </c>
      <c r="AN362" s="28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28" t="str">
        <f t="shared" si="35"/>
        <v/>
      </c>
      <c r="I363" s="28"/>
      <c r="J363" s="173" t="str" cm="1">
        <f t="array" aca="1" ref="J363" ca="1">IFERROR(_xlfn.IFS(OR(AL363&lt;&gt;"",AP363&lt;&gt;""),"STCOアサイン済",OR(AN363&lt;&gt;"",AO363&lt;&gt;""),"CHAT中"),"")</f>
        <v/>
      </c>
      <c r="K363" s="28"/>
      <c r="L363" s="28"/>
      <c r="M363" s="28"/>
      <c r="N363" s="28"/>
      <c r="O363" s="28"/>
      <c r="AK363" s="28">
        <f t="shared" si="36"/>
        <v>0</v>
      </c>
      <c r="AL363" s="28" t="str">
        <f t="shared" ca="1" si="37"/>
        <v/>
      </c>
      <c r="AM363" s="28" t="str">
        <f t="shared" si="38"/>
        <v/>
      </c>
      <c r="AN363" s="28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28" t="str">
        <f t="shared" si="35"/>
        <v/>
      </c>
      <c r="I364" s="28"/>
      <c r="J364" s="173" t="str" cm="1">
        <f t="array" aca="1" ref="J364" ca="1">IFERROR(_xlfn.IFS(OR(AL364&lt;&gt;"",AP364&lt;&gt;""),"STCOアサイン済",OR(AN364&lt;&gt;"",AO364&lt;&gt;""),"CHAT中"),"")</f>
        <v/>
      </c>
      <c r="K364" s="28"/>
      <c r="L364" s="28"/>
      <c r="M364" s="28"/>
      <c r="N364" s="28"/>
      <c r="O364" s="28"/>
      <c r="AK364" s="28">
        <f t="shared" si="36"/>
        <v>0</v>
      </c>
      <c r="AL364" s="28" t="str">
        <f t="shared" ca="1" si="37"/>
        <v/>
      </c>
      <c r="AM364" s="28" t="str">
        <f t="shared" si="38"/>
        <v/>
      </c>
      <c r="AN364" s="28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28" t="str">
        <f t="shared" si="35"/>
        <v/>
      </c>
      <c r="I365" s="28"/>
      <c r="J365" s="173" t="str" cm="1">
        <f t="array" aca="1" ref="J365" ca="1">IFERROR(_xlfn.IFS(OR(AL365&lt;&gt;"",AP365&lt;&gt;""),"STCOアサイン済",OR(AN365&lt;&gt;"",AO365&lt;&gt;""),"CHAT中"),"")</f>
        <v/>
      </c>
      <c r="K365" s="28"/>
      <c r="L365" s="28"/>
      <c r="M365" s="28"/>
      <c r="N365" s="28"/>
      <c r="O365" s="28"/>
      <c r="AK365" s="28">
        <f t="shared" si="36"/>
        <v>0</v>
      </c>
      <c r="AL365" s="28" t="str">
        <f t="shared" ca="1" si="37"/>
        <v/>
      </c>
      <c r="AM365" s="28" t="str">
        <f t="shared" si="38"/>
        <v/>
      </c>
      <c r="AN365" s="28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28" t="str">
        <f t="shared" si="35"/>
        <v/>
      </c>
      <c r="I366" s="28"/>
      <c r="J366" s="173" t="str" cm="1">
        <f t="array" aca="1" ref="J366" ca="1">IFERROR(_xlfn.IFS(OR(AL366&lt;&gt;"",AP366&lt;&gt;""),"STCOアサイン済",OR(AN366&lt;&gt;"",AO366&lt;&gt;""),"CHAT中"),"")</f>
        <v/>
      </c>
      <c r="K366" s="28"/>
      <c r="L366" s="28"/>
      <c r="M366" s="28"/>
      <c r="N366" s="28"/>
      <c r="O366" s="28"/>
      <c r="AK366" s="28">
        <f t="shared" si="36"/>
        <v>0</v>
      </c>
      <c r="AL366" s="28" t="str">
        <f t="shared" ca="1" si="37"/>
        <v/>
      </c>
      <c r="AM366" s="28" t="str">
        <f t="shared" si="38"/>
        <v/>
      </c>
      <c r="AN366" s="28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28" t="str">
        <f t="shared" si="35"/>
        <v/>
      </c>
      <c r="I367" s="28"/>
      <c r="J367" s="173" t="str" cm="1">
        <f t="array" aca="1" ref="J367" ca="1">IFERROR(_xlfn.IFS(OR(AL367&lt;&gt;"",AP367&lt;&gt;""),"STCOアサイン済",OR(AN367&lt;&gt;"",AO367&lt;&gt;""),"CHAT中"),"")</f>
        <v/>
      </c>
      <c r="K367" s="28"/>
      <c r="L367" s="28"/>
      <c r="M367" s="28"/>
      <c r="N367" s="28"/>
      <c r="O367" s="28"/>
      <c r="AK367" s="28">
        <f t="shared" si="36"/>
        <v>0</v>
      </c>
      <c r="AL367" s="28" t="str">
        <f t="shared" ca="1" si="37"/>
        <v/>
      </c>
      <c r="AM367" s="28" t="str">
        <f t="shared" si="38"/>
        <v/>
      </c>
      <c r="AN367" s="28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28" t="str">
        <f t="shared" si="35"/>
        <v/>
      </c>
      <c r="I368" s="28"/>
      <c r="J368" s="173" t="str" cm="1">
        <f t="array" aca="1" ref="J368" ca="1">IFERROR(_xlfn.IFS(OR(AL368&lt;&gt;"",AP368&lt;&gt;""),"STCOアサイン済",OR(AN368&lt;&gt;"",AO368&lt;&gt;""),"CHAT中"),"")</f>
        <v/>
      </c>
      <c r="K368" s="28"/>
      <c r="L368" s="28"/>
      <c r="M368" s="28"/>
      <c r="N368" s="28"/>
      <c r="O368" s="28"/>
      <c r="AK368" s="28">
        <f t="shared" si="36"/>
        <v>0</v>
      </c>
      <c r="AL368" s="28" t="str">
        <f t="shared" ca="1" si="37"/>
        <v/>
      </c>
      <c r="AM368" s="28" t="str">
        <f t="shared" si="38"/>
        <v/>
      </c>
      <c r="AN368" s="28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28" t="str">
        <f t="shared" si="35"/>
        <v/>
      </c>
      <c r="I369" s="28"/>
      <c r="J369" s="173" t="str" cm="1">
        <f t="array" aca="1" ref="J369" ca="1">IFERROR(_xlfn.IFS(OR(AL369&lt;&gt;"",AP369&lt;&gt;""),"STCOアサイン済",OR(AN369&lt;&gt;"",AO369&lt;&gt;""),"CHAT中"),"")</f>
        <v/>
      </c>
      <c r="K369" s="28"/>
      <c r="L369" s="28"/>
      <c r="M369" s="28"/>
      <c r="N369" s="28"/>
      <c r="O369" s="28"/>
      <c r="AK369" s="28">
        <f t="shared" si="36"/>
        <v>0</v>
      </c>
      <c r="AL369" s="28" t="str">
        <f t="shared" ca="1" si="37"/>
        <v/>
      </c>
      <c r="AM369" s="28" t="str">
        <f t="shared" si="38"/>
        <v/>
      </c>
      <c r="AN369" s="28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28" t="str">
        <f t="shared" si="35"/>
        <v/>
      </c>
      <c r="I370" s="28"/>
      <c r="J370" s="173" t="str" cm="1">
        <f t="array" aca="1" ref="J370" ca="1">IFERROR(_xlfn.IFS(OR(AL370&lt;&gt;"",AP370&lt;&gt;""),"STCOアサイン済",OR(AN370&lt;&gt;"",AO370&lt;&gt;""),"CHAT中"),"")</f>
        <v/>
      </c>
      <c r="K370" s="28"/>
      <c r="L370" s="28"/>
      <c r="M370" s="28"/>
      <c r="N370" s="28"/>
      <c r="O370" s="28"/>
      <c r="AK370" s="28">
        <f t="shared" si="36"/>
        <v>0</v>
      </c>
      <c r="AL370" s="28" t="str">
        <f t="shared" ca="1" si="37"/>
        <v/>
      </c>
      <c r="AM370" s="28" t="str">
        <f t="shared" si="38"/>
        <v/>
      </c>
      <c r="AN370" s="28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28" t="str">
        <f t="shared" si="35"/>
        <v/>
      </c>
      <c r="I371" s="28"/>
      <c r="J371" s="173" t="str" cm="1">
        <f t="array" aca="1" ref="J371" ca="1">IFERROR(_xlfn.IFS(OR(AL371&lt;&gt;"",AP371&lt;&gt;""),"STCOアサイン済",OR(AN371&lt;&gt;"",AO371&lt;&gt;""),"CHAT中"),"")</f>
        <v/>
      </c>
      <c r="K371" s="28"/>
      <c r="L371" s="28"/>
      <c r="M371" s="28"/>
      <c r="N371" s="28"/>
      <c r="O371" s="28"/>
      <c r="AK371" s="28">
        <f t="shared" si="36"/>
        <v>0</v>
      </c>
      <c r="AL371" s="28" t="str">
        <f t="shared" ca="1" si="37"/>
        <v/>
      </c>
      <c r="AM371" s="28" t="str">
        <f t="shared" si="38"/>
        <v/>
      </c>
      <c r="AN371" s="28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28" t="str">
        <f t="shared" si="35"/>
        <v/>
      </c>
      <c r="I372" s="28"/>
      <c r="J372" s="173" t="str" cm="1">
        <f t="array" aca="1" ref="J372" ca="1">IFERROR(_xlfn.IFS(OR(AL372&lt;&gt;"",AP372&lt;&gt;""),"STCOアサイン済",OR(AN372&lt;&gt;"",AO372&lt;&gt;""),"CHAT中"),"")</f>
        <v/>
      </c>
      <c r="K372" s="28"/>
      <c r="L372" s="28"/>
      <c r="M372" s="28"/>
      <c r="N372" s="28"/>
      <c r="O372" s="28"/>
      <c r="AK372" s="28">
        <f t="shared" si="36"/>
        <v>0</v>
      </c>
      <c r="AL372" s="28" t="str">
        <f t="shared" ca="1" si="37"/>
        <v/>
      </c>
      <c r="AM372" s="28" t="str">
        <f t="shared" si="38"/>
        <v/>
      </c>
      <c r="AN372" s="28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28" t="str">
        <f t="shared" si="35"/>
        <v/>
      </c>
      <c r="I373" s="28"/>
      <c r="J373" s="173" t="str" cm="1">
        <f t="array" aca="1" ref="J373" ca="1">IFERROR(_xlfn.IFS(OR(AL373&lt;&gt;"",AP373&lt;&gt;""),"STCOアサイン済",OR(AN373&lt;&gt;"",AO373&lt;&gt;""),"CHAT中"),"")</f>
        <v/>
      </c>
      <c r="K373" s="28"/>
      <c r="L373" s="28"/>
      <c r="M373" s="28"/>
      <c r="N373" s="28"/>
      <c r="O373" s="28"/>
      <c r="AK373" s="28">
        <f t="shared" si="36"/>
        <v>0</v>
      </c>
      <c r="AL373" s="28" t="str">
        <f t="shared" ca="1" si="37"/>
        <v/>
      </c>
      <c r="AM373" s="28" t="str">
        <f t="shared" si="38"/>
        <v/>
      </c>
      <c r="AN373" s="28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28" t="str">
        <f t="shared" si="35"/>
        <v/>
      </c>
      <c r="I374" s="28"/>
      <c r="J374" s="173" t="str" cm="1">
        <f t="array" aca="1" ref="J374" ca="1">IFERROR(_xlfn.IFS(OR(AL374&lt;&gt;"",AP374&lt;&gt;""),"STCOアサイン済",OR(AN374&lt;&gt;"",AO374&lt;&gt;""),"CHAT中"),"")</f>
        <v/>
      </c>
      <c r="K374" s="28"/>
      <c r="L374" s="28"/>
      <c r="M374" s="28"/>
      <c r="N374" s="28"/>
      <c r="O374" s="28"/>
      <c r="AK374" s="28">
        <f t="shared" si="36"/>
        <v>0</v>
      </c>
      <c r="AL374" s="28" t="str">
        <f t="shared" ca="1" si="37"/>
        <v/>
      </c>
      <c r="AM374" s="28" t="str">
        <f t="shared" si="38"/>
        <v/>
      </c>
      <c r="AN374" s="28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28" t="str">
        <f t="shared" si="35"/>
        <v/>
      </c>
      <c r="I375" s="28"/>
      <c r="J375" s="173" t="str" cm="1">
        <f t="array" aca="1" ref="J375" ca="1">IFERROR(_xlfn.IFS(OR(AL375&lt;&gt;"",AP375&lt;&gt;""),"STCOアサイン済",OR(AN375&lt;&gt;"",AO375&lt;&gt;""),"CHAT中"),"")</f>
        <v/>
      </c>
      <c r="K375" s="28"/>
      <c r="L375" s="28"/>
      <c r="M375" s="28"/>
      <c r="N375" s="28"/>
      <c r="O375" s="28"/>
      <c r="AK375" s="28">
        <f t="shared" si="36"/>
        <v>0</v>
      </c>
      <c r="AL375" s="28" t="str">
        <f t="shared" ca="1" si="37"/>
        <v/>
      </c>
      <c r="AM375" s="28" t="str">
        <f t="shared" si="38"/>
        <v/>
      </c>
      <c r="AN375" s="28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28" t="str">
        <f t="shared" si="35"/>
        <v/>
      </c>
      <c r="I376" s="28"/>
      <c r="J376" s="173" t="str" cm="1">
        <f t="array" aca="1" ref="J376" ca="1">IFERROR(_xlfn.IFS(OR(AL376&lt;&gt;"",AP376&lt;&gt;""),"STCOアサイン済",OR(AN376&lt;&gt;"",AO376&lt;&gt;""),"CHAT中"),"")</f>
        <v/>
      </c>
      <c r="K376" s="28"/>
      <c r="L376" s="28"/>
      <c r="M376" s="28"/>
      <c r="N376" s="28"/>
      <c r="O376" s="28"/>
      <c r="AK376" s="28">
        <f t="shared" si="36"/>
        <v>0</v>
      </c>
      <c r="AL376" s="28" t="str">
        <f t="shared" ca="1" si="37"/>
        <v/>
      </c>
      <c r="AM376" s="28" t="str">
        <f t="shared" si="38"/>
        <v/>
      </c>
      <c r="AN376" s="28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28" t="str">
        <f t="shared" si="35"/>
        <v/>
      </c>
      <c r="I377" s="28"/>
      <c r="J377" s="173" t="str" cm="1">
        <f t="array" aca="1" ref="J377" ca="1">IFERROR(_xlfn.IFS(OR(AL377&lt;&gt;"",AP377&lt;&gt;""),"STCOアサイン済",OR(AN377&lt;&gt;"",AO377&lt;&gt;""),"CHAT中"),"")</f>
        <v/>
      </c>
      <c r="K377" s="28"/>
      <c r="L377" s="28"/>
      <c r="M377" s="28"/>
      <c r="N377" s="28"/>
      <c r="O377" s="28"/>
      <c r="AK377" s="28">
        <f t="shared" si="36"/>
        <v>0</v>
      </c>
      <c r="AL377" s="28" t="str">
        <f t="shared" ca="1" si="37"/>
        <v/>
      </c>
      <c r="AM377" s="28" t="str">
        <f t="shared" si="38"/>
        <v/>
      </c>
      <c r="AN377" s="28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28" t="str">
        <f t="shared" si="35"/>
        <v/>
      </c>
      <c r="I378" s="28"/>
      <c r="J378" s="173" t="str" cm="1">
        <f t="array" aca="1" ref="J378" ca="1">IFERROR(_xlfn.IFS(OR(AL378&lt;&gt;"",AP378&lt;&gt;""),"STCOアサイン済",OR(AN378&lt;&gt;"",AO378&lt;&gt;""),"CHAT中"),"")</f>
        <v/>
      </c>
      <c r="K378" s="28"/>
      <c r="L378" s="28"/>
      <c r="M378" s="28"/>
      <c r="N378" s="28"/>
      <c r="O378" s="28"/>
      <c r="AK378" s="28">
        <f t="shared" si="36"/>
        <v>0</v>
      </c>
      <c r="AL378" s="28" t="str">
        <f t="shared" ca="1" si="37"/>
        <v/>
      </c>
      <c r="AM378" s="28" t="str">
        <f t="shared" si="38"/>
        <v/>
      </c>
      <c r="AN378" s="28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28" t="str">
        <f t="shared" si="35"/>
        <v/>
      </c>
      <c r="I379" s="28"/>
      <c r="J379" s="173" t="str" cm="1">
        <f t="array" aca="1" ref="J379" ca="1">IFERROR(_xlfn.IFS(OR(AL379&lt;&gt;"",AP379&lt;&gt;""),"STCOアサイン済",OR(AN379&lt;&gt;"",AO379&lt;&gt;""),"CHAT中"),"")</f>
        <v/>
      </c>
      <c r="K379" s="28"/>
      <c r="L379" s="28"/>
      <c r="M379" s="28"/>
      <c r="N379" s="28"/>
      <c r="O379" s="28"/>
      <c r="AK379" s="28">
        <f t="shared" si="36"/>
        <v>0</v>
      </c>
      <c r="AL379" s="28" t="str">
        <f t="shared" ca="1" si="37"/>
        <v/>
      </c>
      <c r="AM379" s="28" t="str">
        <f t="shared" si="38"/>
        <v/>
      </c>
      <c r="AN379" s="28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28" t="str">
        <f t="shared" si="35"/>
        <v/>
      </c>
      <c r="I380" s="28"/>
      <c r="J380" s="173" t="str" cm="1">
        <f t="array" aca="1" ref="J380" ca="1">IFERROR(_xlfn.IFS(OR(AL380&lt;&gt;"",AP380&lt;&gt;""),"STCOアサイン済",OR(AN380&lt;&gt;"",AO380&lt;&gt;""),"CHAT中"),"")</f>
        <v/>
      </c>
      <c r="K380" s="28"/>
      <c r="L380" s="28"/>
      <c r="M380" s="28"/>
      <c r="N380" s="28"/>
      <c r="O380" s="28"/>
      <c r="AK380" s="28">
        <f t="shared" si="36"/>
        <v>0</v>
      </c>
      <c r="AL380" s="28" t="str">
        <f t="shared" ca="1" si="37"/>
        <v/>
      </c>
      <c r="AM380" s="28" t="str">
        <f t="shared" si="38"/>
        <v/>
      </c>
      <c r="AN380" s="28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28" t="str">
        <f t="shared" si="35"/>
        <v/>
      </c>
      <c r="I381" s="28"/>
      <c r="J381" s="173" t="str" cm="1">
        <f t="array" aca="1" ref="J381" ca="1">IFERROR(_xlfn.IFS(OR(AL381&lt;&gt;"",AP381&lt;&gt;""),"STCOアサイン済",OR(AN381&lt;&gt;"",AO381&lt;&gt;""),"CHAT中"),"")</f>
        <v/>
      </c>
      <c r="K381" s="28"/>
      <c r="L381" s="28"/>
      <c r="M381" s="28"/>
      <c r="N381" s="28"/>
      <c r="O381" s="28"/>
      <c r="AK381" s="28">
        <f t="shared" si="36"/>
        <v>0</v>
      </c>
      <c r="AL381" s="28" t="str">
        <f t="shared" ca="1" si="37"/>
        <v/>
      </c>
      <c r="AM381" s="28" t="str">
        <f t="shared" si="38"/>
        <v/>
      </c>
      <c r="AN381" s="28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28" t="str">
        <f t="shared" si="35"/>
        <v/>
      </c>
      <c r="I382" s="28"/>
      <c r="J382" s="173" t="str" cm="1">
        <f t="array" aca="1" ref="J382" ca="1">IFERROR(_xlfn.IFS(OR(AL382&lt;&gt;"",AP382&lt;&gt;""),"STCOアサイン済",OR(AN382&lt;&gt;"",AO382&lt;&gt;""),"CHAT中"),"")</f>
        <v/>
      </c>
      <c r="K382" s="28"/>
      <c r="L382" s="28"/>
      <c r="M382" s="28"/>
      <c r="N382" s="28"/>
      <c r="O382" s="28"/>
      <c r="AK382" s="28">
        <f t="shared" si="36"/>
        <v>0</v>
      </c>
      <c r="AL382" s="28" t="str">
        <f t="shared" ca="1" si="37"/>
        <v/>
      </c>
      <c r="AM382" s="28" t="str">
        <f t="shared" si="38"/>
        <v/>
      </c>
      <c r="AN382" s="28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28" t="str">
        <f t="shared" si="35"/>
        <v/>
      </c>
      <c r="I383" s="28"/>
      <c r="J383" s="173" t="str" cm="1">
        <f t="array" aca="1" ref="J383" ca="1">IFERROR(_xlfn.IFS(OR(AL383&lt;&gt;"",AP383&lt;&gt;""),"STCOアサイン済",OR(AN383&lt;&gt;"",AO383&lt;&gt;""),"CHAT中"),"")</f>
        <v/>
      </c>
      <c r="K383" s="28"/>
      <c r="L383" s="28"/>
      <c r="M383" s="28"/>
      <c r="N383" s="28"/>
      <c r="O383" s="28"/>
      <c r="AK383" s="28">
        <f t="shared" si="36"/>
        <v>0</v>
      </c>
      <c r="AL383" s="28" t="str">
        <f t="shared" ca="1" si="37"/>
        <v/>
      </c>
      <c r="AM383" s="28" t="str">
        <f t="shared" si="38"/>
        <v/>
      </c>
      <c r="AN383" s="28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28" t="str">
        <f t="shared" si="35"/>
        <v/>
      </c>
      <c r="I384" s="28"/>
      <c r="J384" s="173" t="str" cm="1">
        <f t="array" aca="1" ref="J384" ca="1">IFERROR(_xlfn.IFS(OR(AL384&lt;&gt;"",AP384&lt;&gt;""),"STCOアサイン済",OR(AN384&lt;&gt;"",AO384&lt;&gt;""),"CHAT中"),"")</f>
        <v/>
      </c>
      <c r="K384" s="28"/>
      <c r="L384" s="28"/>
      <c r="M384" s="28"/>
      <c r="N384" s="28"/>
      <c r="O384" s="28"/>
      <c r="AK384" s="28">
        <f t="shared" si="36"/>
        <v>0</v>
      </c>
      <c r="AL384" s="28" t="str">
        <f t="shared" ca="1" si="37"/>
        <v/>
      </c>
      <c r="AM384" s="28" t="str">
        <f t="shared" si="38"/>
        <v/>
      </c>
      <c r="AN384" s="28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28" t="str">
        <f t="shared" si="35"/>
        <v/>
      </c>
      <c r="I385" s="28"/>
      <c r="J385" s="173" t="str" cm="1">
        <f t="array" aca="1" ref="J385" ca="1">IFERROR(_xlfn.IFS(OR(AL385&lt;&gt;"",AP385&lt;&gt;""),"STCOアサイン済",OR(AN385&lt;&gt;"",AO385&lt;&gt;""),"CHAT中"),"")</f>
        <v/>
      </c>
      <c r="K385" s="28"/>
      <c r="L385" s="28"/>
      <c r="M385" s="28"/>
      <c r="N385" s="28"/>
      <c r="O385" s="28"/>
      <c r="AK385" s="28">
        <f t="shared" si="36"/>
        <v>0</v>
      </c>
      <c r="AL385" s="28" t="str">
        <f t="shared" ca="1" si="37"/>
        <v/>
      </c>
      <c r="AM385" s="28" t="str">
        <f t="shared" si="38"/>
        <v/>
      </c>
      <c r="AN385" s="28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28" t="str">
        <f t="shared" si="35"/>
        <v/>
      </c>
      <c r="I386" s="28"/>
      <c r="J386" s="173" t="str" cm="1">
        <f t="array" aca="1" ref="J386" ca="1">IFERROR(_xlfn.IFS(OR(AL386&lt;&gt;"",AP386&lt;&gt;""),"STCOアサイン済",OR(AN386&lt;&gt;"",AO386&lt;&gt;""),"CHAT中"),"")</f>
        <v/>
      </c>
      <c r="K386" s="28"/>
      <c r="L386" s="28"/>
      <c r="M386" s="28"/>
      <c r="N386" s="28"/>
      <c r="O386" s="28"/>
      <c r="AK386" s="28">
        <f t="shared" si="36"/>
        <v>0</v>
      </c>
      <c r="AL386" s="28" t="str">
        <f t="shared" ca="1" si="37"/>
        <v/>
      </c>
      <c r="AM386" s="28" t="str">
        <f t="shared" si="38"/>
        <v/>
      </c>
      <c r="AN386" s="28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28" t="str">
        <f t="shared" si="35"/>
        <v/>
      </c>
      <c r="I387" s="28"/>
      <c r="J387" s="173" t="str" cm="1">
        <f t="array" aca="1" ref="J387" ca="1">IFERROR(_xlfn.IFS(OR(AL387&lt;&gt;"",AP387&lt;&gt;""),"STCOアサイン済",OR(AN387&lt;&gt;"",AO387&lt;&gt;""),"CHAT中"),"")</f>
        <v/>
      </c>
      <c r="K387" s="28"/>
      <c r="L387" s="28"/>
      <c r="M387" s="28"/>
      <c r="N387" s="28"/>
      <c r="O387" s="28"/>
      <c r="AK387" s="28">
        <f t="shared" si="36"/>
        <v>0</v>
      </c>
      <c r="AL387" s="28" t="str">
        <f t="shared" ca="1" si="37"/>
        <v/>
      </c>
      <c r="AM387" s="28" t="str">
        <f t="shared" si="38"/>
        <v/>
      </c>
      <c r="AN387" s="28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28" t="str">
        <f t="shared" si="35"/>
        <v/>
      </c>
      <c r="I388" s="28"/>
      <c r="J388" s="173" t="str" cm="1">
        <f t="array" aca="1" ref="J388" ca="1">IFERROR(_xlfn.IFS(OR(AL388&lt;&gt;"",AP388&lt;&gt;""),"STCOアサイン済",OR(AN388&lt;&gt;"",AO388&lt;&gt;""),"CHAT中"),"")</f>
        <v/>
      </c>
      <c r="K388" s="28"/>
      <c r="L388" s="28"/>
      <c r="M388" s="28"/>
      <c r="N388" s="28"/>
      <c r="O388" s="28"/>
      <c r="AK388" s="28">
        <f t="shared" si="36"/>
        <v>0</v>
      </c>
      <c r="AL388" s="28" t="str">
        <f t="shared" ca="1" si="37"/>
        <v/>
      </c>
      <c r="AM388" s="28" t="str">
        <f t="shared" si="38"/>
        <v/>
      </c>
      <c r="AN388" s="28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28" t="str">
        <f t="shared" si="35"/>
        <v/>
      </c>
      <c r="I389" s="28"/>
      <c r="J389" s="173" t="str" cm="1">
        <f t="array" aca="1" ref="J389" ca="1">IFERROR(_xlfn.IFS(OR(AL389&lt;&gt;"",AP389&lt;&gt;""),"STCOアサイン済",OR(AN389&lt;&gt;"",AO389&lt;&gt;""),"CHAT中"),"")</f>
        <v/>
      </c>
      <c r="K389" s="28"/>
      <c r="L389" s="28"/>
      <c r="M389" s="28"/>
      <c r="N389" s="28"/>
      <c r="O389" s="28"/>
      <c r="AK389" s="28">
        <f t="shared" si="36"/>
        <v>0</v>
      </c>
      <c r="AL389" s="28" t="str">
        <f t="shared" ca="1" si="37"/>
        <v/>
      </c>
      <c r="AM389" s="28" t="str">
        <f t="shared" si="38"/>
        <v/>
      </c>
      <c r="AN389" s="28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28" t="str">
        <f t="shared" si="35"/>
        <v/>
      </c>
      <c r="I390" s="28"/>
      <c r="J390" s="173" t="str" cm="1">
        <f t="array" aca="1" ref="J390" ca="1">IFERROR(_xlfn.IFS(OR(AL390&lt;&gt;"",AP390&lt;&gt;""),"STCOアサイン済",OR(AN390&lt;&gt;"",AO390&lt;&gt;""),"CHAT中"),"")</f>
        <v/>
      </c>
      <c r="K390" s="28"/>
      <c r="L390" s="28"/>
      <c r="M390" s="28"/>
      <c r="N390" s="28"/>
      <c r="O390" s="28"/>
      <c r="AK390" s="28">
        <f t="shared" si="36"/>
        <v>0</v>
      </c>
      <c r="AL390" s="28" t="str">
        <f t="shared" ca="1" si="37"/>
        <v/>
      </c>
      <c r="AM390" s="28" t="str">
        <f t="shared" si="38"/>
        <v/>
      </c>
      <c r="AN390" s="28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28" t="str">
        <f t="shared" si="35"/>
        <v/>
      </c>
      <c r="I391" s="28"/>
      <c r="J391" s="173" t="str" cm="1">
        <f t="array" aca="1" ref="J391" ca="1">IFERROR(_xlfn.IFS(OR(AL391&lt;&gt;"",AP391&lt;&gt;""),"STCOアサイン済",OR(AN391&lt;&gt;"",AO391&lt;&gt;""),"CHAT中"),"")</f>
        <v/>
      </c>
      <c r="K391" s="28"/>
      <c r="L391" s="28"/>
      <c r="M391" s="28"/>
      <c r="N391" s="28"/>
      <c r="O391" s="28"/>
      <c r="AK391" s="28">
        <f t="shared" si="36"/>
        <v>0</v>
      </c>
      <c r="AL391" s="28" t="str">
        <f t="shared" ca="1" si="37"/>
        <v/>
      </c>
      <c r="AM391" s="28" t="str">
        <f t="shared" si="38"/>
        <v/>
      </c>
      <c r="AN391" s="28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28" t="str">
        <f t="shared" ref="A392:A400" si="42">IF(ISBLANK($I392), "", _xlfn.IFS($I392&gt;10, "DS", $I392&lt;=10, "未定"))</f>
        <v/>
      </c>
      <c r="I392" s="28"/>
      <c r="J392" s="173" t="str" cm="1">
        <f t="array" aca="1" ref="J392" ca="1">IFERROR(_xlfn.IFS(OR(AL392&lt;&gt;"",AP392&lt;&gt;""),"STCOアサイン済",OR(AN392&lt;&gt;"",AO392&lt;&gt;""),"CHAT中"),"")</f>
        <v/>
      </c>
      <c r="K392" s="28"/>
      <c r="L392" s="28"/>
      <c r="M392" s="28"/>
      <c r="N392" s="28"/>
      <c r="O392" s="28"/>
      <c r="AK392" s="28">
        <f t="shared" si="36"/>
        <v>0</v>
      </c>
      <c r="AL392" s="28" t="str">
        <f t="shared" ca="1" si="37"/>
        <v/>
      </c>
      <c r="AM392" s="28" t="str">
        <f t="shared" si="38"/>
        <v/>
      </c>
      <c r="AN392" s="28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28" t="str">
        <f t="shared" si="42"/>
        <v/>
      </c>
      <c r="I393" s="28"/>
      <c r="J393" s="173" t="str" cm="1">
        <f t="array" aca="1" ref="J393" ca="1">IFERROR(_xlfn.IFS(OR(AL393&lt;&gt;"",AP393&lt;&gt;""),"STCOアサイン済",OR(AN393&lt;&gt;"",AO393&lt;&gt;""),"CHAT中"),"")</f>
        <v/>
      </c>
      <c r="K393" s="28"/>
      <c r="L393" s="28"/>
      <c r="M393" s="28"/>
      <c r="N393" s="28"/>
      <c r="O393" s="28"/>
      <c r="AK393" s="28">
        <f t="shared" ref="AK393:AK400" si="43">C393</f>
        <v>0</v>
      </c>
      <c r="AL393" s="28" t="str">
        <f t="shared" ref="AL393:AL400" ca="1" si="44">IF(SUMIF(INDIRECT($AL$7&amp;"!$AM$5:$AM$800"),C393&amp;$AL$6,INDIRECT($AL$7&amp;"!$AN$5:$AN$800"))&lt;=0,"")</f>
        <v/>
      </c>
      <c r="AM393" s="28" t="str">
        <f t="shared" ref="AM393:AM400" si="45">IF(A393="","",A393)</f>
        <v/>
      </c>
      <c r="AN393" s="28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28" t="str">
        <f t="shared" si="42"/>
        <v/>
      </c>
      <c r="I394" s="28"/>
      <c r="J394" s="173" t="str" cm="1">
        <f t="array" aca="1" ref="J394" ca="1">IFERROR(_xlfn.IFS(OR(AL394&lt;&gt;"",AP394&lt;&gt;""),"STCOアサイン済",OR(AN394&lt;&gt;"",AO394&lt;&gt;""),"CHAT中"),"")</f>
        <v/>
      </c>
      <c r="K394" s="28"/>
      <c r="L394" s="28"/>
      <c r="M394" s="28"/>
      <c r="N394" s="28"/>
      <c r="O394" s="28"/>
      <c r="AK394" s="28">
        <f t="shared" si="43"/>
        <v>0</v>
      </c>
      <c r="AL394" s="28" t="str">
        <f t="shared" ca="1" si="44"/>
        <v/>
      </c>
      <c r="AM394" s="28" t="str">
        <f t="shared" si="45"/>
        <v/>
      </c>
      <c r="AN394" s="28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28" t="str">
        <f t="shared" si="42"/>
        <v/>
      </c>
      <c r="I395" s="28"/>
      <c r="J395" s="173" t="str" cm="1">
        <f t="array" aca="1" ref="J395" ca="1">IFERROR(_xlfn.IFS(OR(AL395&lt;&gt;"",AP395&lt;&gt;""),"STCOアサイン済",OR(AN395&lt;&gt;"",AO395&lt;&gt;""),"CHAT中"),"")</f>
        <v/>
      </c>
      <c r="K395" s="28"/>
      <c r="L395" s="28"/>
      <c r="M395" s="28"/>
      <c r="N395" s="28"/>
      <c r="O395" s="28"/>
      <c r="AK395" s="28">
        <f t="shared" si="43"/>
        <v>0</v>
      </c>
      <c r="AL395" s="28" t="str">
        <f t="shared" ca="1" si="44"/>
        <v/>
      </c>
      <c r="AM395" s="28" t="str">
        <f t="shared" si="45"/>
        <v/>
      </c>
      <c r="AN395" s="28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28" t="str">
        <f t="shared" si="42"/>
        <v/>
      </c>
      <c r="I396" s="28"/>
      <c r="J396" s="173" t="str" cm="1">
        <f t="array" aca="1" ref="J396" ca="1">IFERROR(_xlfn.IFS(OR(AL396&lt;&gt;"",AP396&lt;&gt;""),"STCOアサイン済",OR(AN396&lt;&gt;"",AO396&lt;&gt;""),"CHAT中"),"")</f>
        <v/>
      </c>
      <c r="K396" s="28"/>
      <c r="L396" s="28"/>
      <c r="M396" s="28"/>
      <c r="N396" s="28"/>
      <c r="O396" s="28"/>
      <c r="AK396" s="28">
        <f t="shared" si="43"/>
        <v>0</v>
      </c>
      <c r="AL396" s="28" t="str">
        <f t="shared" ca="1" si="44"/>
        <v/>
      </c>
      <c r="AM396" s="28" t="str">
        <f t="shared" si="45"/>
        <v/>
      </c>
      <c r="AN396" s="28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28" t="str">
        <f t="shared" si="42"/>
        <v/>
      </c>
      <c r="I397" s="28"/>
      <c r="J397" s="173" t="str" cm="1">
        <f t="array" aca="1" ref="J397" ca="1">IFERROR(_xlfn.IFS(OR(AL397&lt;&gt;"",AP397&lt;&gt;""),"STCOアサイン済",OR(AN397&lt;&gt;"",AO397&lt;&gt;""),"CHAT中"),"")</f>
        <v/>
      </c>
      <c r="K397" s="28"/>
      <c r="L397" s="28"/>
      <c r="M397" s="28"/>
      <c r="N397" s="28"/>
      <c r="O397" s="28"/>
      <c r="AK397" s="28">
        <f t="shared" si="43"/>
        <v>0</v>
      </c>
      <c r="AL397" s="28" t="str">
        <f t="shared" ca="1" si="44"/>
        <v/>
      </c>
      <c r="AM397" s="28" t="str">
        <f t="shared" si="45"/>
        <v/>
      </c>
      <c r="AN397" s="28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28" t="str">
        <f t="shared" si="42"/>
        <v/>
      </c>
      <c r="I398" s="28"/>
      <c r="J398" s="173" t="str" cm="1">
        <f t="array" aca="1" ref="J398" ca="1">IFERROR(_xlfn.IFS(OR(AL398&lt;&gt;"",AP398&lt;&gt;""),"STCOアサイン済",OR(AN398&lt;&gt;"",AO398&lt;&gt;""),"CHAT中"),"")</f>
        <v/>
      </c>
      <c r="K398" s="28"/>
      <c r="L398" s="28"/>
      <c r="M398" s="28"/>
      <c r="N398" s="28"/>
      <c r="O398" s="28"/>
      <c r="AK398" s="28">
        <f t="shared" si="43"/>
        <v>0</v>
      </c>
      <c r="AL398" s="28" t="str">
        <f t="shared" ca="1" si="44"/>
        <v/>
      </c>
      <c r="AM398" s="28" t="str">
        <f t="shared" si="45"/>
        <v/>
      </c>
      <c r="AN398" s="28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28" t="str">
        <f t="shared" si="42"/>
        <v/>
      </c>
      <c r="I399" s="28"/>
      <c r="J399" s="173" t="str" cm="1">
        <f t="array" aca="1" ref="J399" ca="1">IFERROR(_xlfn.IFS(OR(AL399&lt;&gt;"",AP399&lt;&gt;""),"STCOアサイン済",OR(AN399&lt;&gt;"",AO399&lt;&gt;""),"CHAT中"),"")</f>
        <v/>
      </c>
      <c r="K399" s="28"/>
      <c r="L399" s="28"/>
      <c r="M399" s="28"/>
      <c r="N399" s="28"/>
      <c r="O399" s="28"/>
      <c r="AK399" s="28">
        <f t="shared" si="43"/>
        <v>0</v>
      </c>
      <c r="AL399" s="28" t="str">
        <f t="shared" ca="1" si="44"/>
        <v/>
      </c>
      <c r="AM399" s="28" t="str">
        <f t="shared" si="45"/>
        <v/>
      </c>
      <c r="AN399" s="28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28" t="str">
        <f t="shared" si="42"/>
        <v/>
      </c>
      <c r="I400" s="28"/>
      <c r="J400" s="173" t="str" cm="1">
        <f t="array" aca="1" ref="J400" ca="1">IFERROR(_xlfn.IFS(OR(AL400&lt;&gt;"",AP400&lt;&gt;""),"STCOアサイン済",OR(AN400&lt;&gt;"",AO400&lt;&gt;""),"CHAT中"),"")</f>
        <v/>
      </c>
      <c r="K400" s="28"/>
      <c r="L400" s="28"/>
      <c r="M400" s="28"/>
      <c r="N400" s="28"/>
      <c r="O400" s="28"/>
      <c r="AK400" s="28">
        <f t="shared" si="43"/>
        <v>0</v>
      </c>
      <c r="AL400" s="28" t="str">
        <f t="shared" ca="1" si="44"/>
        <v/>
      </c>
      <c r="AM400" s="28" t="str">
        <f t="shared" si="45"/>
        <v/>
      </c>
      <c r="AN400" s="28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28" customFormat="1"/>
    <row r="402" s="28" customFormat="1"/>
    <row r="403" s="28" customFormat="1"/>
    <row r="404" s="28" customFormat="1"/>
    <row r="405" s="28" customFormat="1"/>
    <row r="406" s="28" customFormat="1"/>
    <row r="407" s="28" customFormat="1"/>
    <row r="408" s="28" customFormat="1"/>
    <row r="409" s="28" customFormat="1"/>
    <row r="410" s="28" customFormat="1"/>
    <row r="411" s="28" customFormat="1"/>
    <row r="412" s="28" customFormat="1"/>
    <row r="413" s="28" customFormat="1"/>
    <row r="414" s="28" customFormat="1"/>
    <row r="415" s="28" customFormat="1"/>
    <row r="416" s="28" customFormat="1"/>
    <row r="417" s="28" customFormat="1"/>
    <row r="418" s="28" customFormat="1"/>
    <row r="419" s="28" customFormat="1"/>
    <row r="420" s="28" customFormat="1"/>
    <row r="421" s="28" customFormat="1"/>
    <row r="422" s="28" customFormat="1"/>
    <row r="423" s="28" customFormat="1"/>
    <row r="424" s="28" customFormat="1"/>
    <row r="425" s="28" customFormat="1"/>
    <row r="426" s="28" customFormat="1"/>
    <row r="427" s="28" customFormat="1"/>
    <row r="428" s="28" customFormat="1"/>
    <row r="429" s="28" customFormat="1"/>
    <row r="430" s="28" customFormat="1"/>
    <row r="431" s="28" customFormat="1"/>
    <row r="432" s="28" customFormat="1"/>
    <row r="433" s="28" customFormat="1"/>
    <row r="434" s="28" customFormat="1"/>
    <row r="435" s="28" customFormat="1"/>
    <row r="436" s="28" customFormat="1"/>
    <row r="437" s="28" customFormat="1"/>
    <row r="438" s="28" customFormat="1"/>
    <row r="439" s="28" customFormat="1"/>
    <row r="440" s="28" customFormat="1"/>
    <row r="441" s="28" customFormat="1"/>
    <row r="442" s="28" customFormat="1"/>
    <row r="443" s="28" customFormat="1"/>
    <row r="444" s="28" customFormat="1"/>
    <row r="445" s="28" customFormat="1"/>
    <row r="446" s="28" customFormat="1"/>
    <row r="447" s="28" customFormat="1"/>
    <row r="448" s="28" customFormat="1"/>
    <row r="449" s="28" customFormat="1"/>
    <row r="450" s="28" customFormat="1"/>
    <row r="451" s="28" customFormat="1"/>
    <row r="452" s="28" customFormat="1"/>
    <row r="453" s="28" customFormat="1"/>
    <row r="454" s="28" customFormat="1"/>
    <row r="455" s="28" customFormat="1"/>
    <row r="456" s="28" customFormat="1"/>
    <row r="457" s="28" customFormat="1"/>
    <row r="458" s="28" customFormat="1"/>
    <row r="459" s="28" customFormat="1"/>
    <row r="460" s="28" customFormat="1"/>
    <row r="461" s="28" customFormat="1"/>
    <row r="462" s="28" customFormat="1"/>
    <row r="463" s="28" customFormat="1"/>
    <row r="464" s="28" customFormat="1"/>
    <row r="465" s="28" customFormat="1"/>
    <row r="466" s="28" customFormat="1"/>
    <row r="467" s="28" customFormat="1"/>
    <row r="468" s="28" customFormat="1"/>
    <row r="469" s="28" customFormat="1"/>
    <row r="470" s="28" customFormat="1"/>
    <row r="471" s="28" customFormat="1"/>
    <row r="472" s="28" customFormat="1"/>
    <row r="473" s="28" customFormat="1"/>
    <row r="474" s="28" customFormat="1"/>
    <row r="475" s="28" customFormat="1"/>
    <row r="476" s="28" customFormat="1"/>
    <row r="477" s="28" customFormat="1"/>
    <row r="478" s="28" customFormat="1"/>
    <row r="479" s="28" customFormat="1"/>
    <row r="480" s="28" customFormat="1"/>
    <row r="481" s="28" customFormat="1"/>
    <row r="482" s="28" customFormat="1"/>
    <row r="483" s="28" customFormat="1"/>
    <row r="484" s="28" customFormat="1"/>
    <row r="485" s="28" customFormat="1"/>
    <row r="486" s="28" customFormat="1"/>
    <row r="487" s="28" customFormat="1"/>
    <row r="488" s="28" customFormat="1"/>
    <row r="489" s="28" customFormat="1"/>
    <row r="490" s="28" customFormat="1"/>
    <row r="491" s="28" customFormat="1"/>
    <row r="492" s="28" customFormat="1"/>
    <row r="493" s="28" customFormat="1"/>
    <row r="494" s="28" customFormat="1"/>
    <row r="495" s="28" customFormat="1"/>
    <row r="496" s="28" customFormat="1"/>
    <row r="497" spans="37:42" s="28" customFormat="1"/>
    <row r="498" spans="37:42" s="28" customFormat="1"/>
    <row r="499" spans="37:42" s="28" customFormat="1"/>
    <row r="500" spans="37:42" s="28" customFormat="1"/>
    <row r="501" spans="37:42">
      <c r="AK501" s="28">
        <f t="shared" ref="AK501" si="49">C501</f>
        <v>0</v>
      </c>
      <c r="AL501" s="28" t="str">
        <f t="shared" ref="AL501" ca="1" si="50">IF(SUMIF(INDIRECT($AL$7&amp;"!$AM$5:$AM$800"),C501&amp;$AL$6,INDIRECT($AL$7&amp;"!$AN$5:$AN$800"))&lt;=0,"")</f>
        <v/>
      </c>
      <c r="AM501" s="28" t="str">
        <f t="shared" ref="AM501" si="51">IF(A501="","",A501)</f>
        <v/>
      </c>
      <c r="AN501" s="28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AB10FB19-3624-4829-B000-726CEDA63387}">
      <formula1>"リスト更新済み,対象無し"</formula1>
    </dataValidation>
    <dataValidation type="list" allowBlank="1" showInputMessage="1" sqref="A8:A400" xr:uid="{CD782DB1-AE6C-447E-AA14-16D269AA5E5B}">
      <formula1>"DS,使用可,UXへのみ可,DSレスキュー済"</formula1>
    </dataValidation>
  </dataValidations>
  <hyperlinks>
    <hyperlink ref="M16:M28" r:id="rId1" display="当日Data" xr:uid="{9993898F-DD53-4CBF-AB0C-96ABCF616875}"/>
    <hyperlink ref="M32:M46" r:id="rId2" location="/folder/08406eb8aa6e265c75e1ca46e2804498b2e99c3ffc18a6b737dea4aeddb9544b" display="過去Data" xr:uid="{75EE4734-D911-4BF2-A940-1EB95373E7DC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Marcelo, Nathaniel Bryan</DisplayName>
        <AccountId>248</AccountId>
        <AccountType/>
      </UserInfo>
      <UserInfo>
        <DisplayName>Yuuki, Kenji</DisplayName>
        <AccountId>249</AccountId>
        <AccountType/>
      </UserInfo>
      <UserInfo>
        <DisplayName>Yamazaki, Yuta</DisplayName>
        <AccountId>1035</AccountId>
        <AccountType/>
      </UserInfo>
      <UserInfo>
        <DisplayName>Oshitani, Namiki</DisplayName>
        <AccountId>564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2025-05-25T08:37:13Z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