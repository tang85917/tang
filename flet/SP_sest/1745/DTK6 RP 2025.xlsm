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1CA4FA21-B9E4-4531-85A3-99B8AC088A5B}" xr6:coauthVersionLast="36" xr6:coauthVersionMax="47" xr10:uidLastSave="{00000000-0000-0000-0000-000000000000}"/>
  <bookViews>
    <workbookView xWindow="33435" yWindow="6405" windowWidth="14445" windowHeight="8745" tabRatio="896" firstSheet="2" activeTab="2" xr2:uid="{46C7E05D-2187-4227-944F-2BBE767CD602}"/>
  </bookViews>
  <sheets>
    <sheet name="リスト" sheetId="165" state="hidden" r:id="rId1"/>
    <sheet name="0525" sheetId="166" r:id="rId2"/>
    <sheet name="DS使用中" sheetId="167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7" l="1"/>
  <c r="AK501" i="167"/>
  <c r="AK400" i="167"/>
  <c r="A400" i="167"/>
  <c r="AM400" i="167"/>
  <c r="AK399" i="167"/>
  <c r="A399" i="167"/>
  <c r="AM399" i="167"/>
  <c r="AK398" i="167"/>
  <c r="A398" i="167"/>
  <c r="AM398" i="167"/>
  <c r="AK397" i="167"/>
  <c r="A397" i="167"/>
  <c r="AM397" i="167"/>
  <c r="AK396" i="167"/>
  <c r="A396" i="167"/>
  <c r="AM396" i="167"/>
  <c r="AM395" i="167"/>
  <c r="AK395" i="167"/>
  <c r="A395" i="167"/>
  <c r="AM394" i="167"/>
  <c r="AK394" i="167"/>
  <c r="A394" i="167"/>
  <c r="AM393" i="167"/>
  <c r="AK393" i="167"/>
  <c r="A393" i="167"/>
  <c r="AK392" i="167"/>
  <c r="A392" i="167"/>
  <c r="AM392" i="167"/>
  <c r="AK391" i="167"/>
  <c r="A391" i="167"/>
  <c r="AM391" i="167"/>
  <c r="AK390" i="167"/>
  <c r="A390" i="167"/>
  <c r="AM390" i="167"/>
  <c r="AK389" i="167"/>
  <c r="A389" i="167"/>
  <c r="AM389" i="167"/>
  <c r="AK388" i="167"/>
  <c r="A388" i="167"/>
  <c r="AM388" i="167"/>
  <c r="AM387" i="167"/>
  <c r="AK387" i="167"/>
  <c r="A387" i="167"/>
  <c r="AM386" i="167"/>
  <c r="AK386" i="167"/>
  <c r="A386" i="167"/>
  <c r="AM385" i="167"/>
  <c r="AK385" i="167"/>
  <c r="A385" i="167"/>
  <c r="AK384" i="167"/>
  <c r="A384" i="167"/>
  <c r="AM384" i="167"/>
  <c r="AK383" i="167"/>
  <c r="A383" i="167"/>
  <c r="AM383" i="167"/>
  <c r="AK382" i="167"/>
  <c r="A382" i="167"/>
  <c r="AM382" i="167"/>
  <c r="AK381" i="167"/>
  <c r="A381" i="167"/>
  <c r="AM381" i="167"/>
  <c r="AK380" i="167"/>
  <c r="A380" i="167"/>
  <c r="AM380" i="167"/>
  <c r="AM379" i="167"/>
  <c r="AK379" i="167"/>
  <c r="A379" i="167"/>
  <c r="AM378" i="167"/>
  <c r="AK378" i="167"/>
  <c r="A378" i="167"/>
  <c r="AM377" i="167"/>
  <c r="AK377" i="167"/>
  <c r="A377" i="167"/>
  <c r="AK376" i="167"/>
  <c r="A376" i="167"/>
  <c r="AM376" i="167"/>
  <c r="AK375" i="167"/>
  <c r="A375" i="167"/>
  <c r="AM375" i="167"/>
  <c r="AK374" i="167"/>
  <c r="A374" i="167"/>
  <c r="AM374" i="167"/>
  <c r="AK373" i="167"/>
  <c r="A373" i="167"/>
  <c r="AM373" i="167"/>
  <c r="AK372" i="167"/>
  <c r="A372" i="167"/>
  <c r="AM372" i="167"/>
  <c r="AM371" i="167"/>
  <c r="AK371" i="167"/>
  <c r="A371" i="167"/>
  <c r="AM370" i="167"/>
  <c r="AK370" i="167"/>
  <c r="A370" i="167"/>
  <c r="AM369" i="167"/>
  <c r="AK369" i="167"/>
  <c r="A369" i="167"/>
  <c r="AK368" i="167"/>
  <c r="A368" i="167"/>
  <c r="AM368" i="167"/>
  <c r="AK367" i="167"/>
  <c r="A367" i="167"/>
  <c r="AM367" i="167"/>
  <c r="AK366" i="167"/>
  <c r="A366" i="167"/>
  <c r="AM366" i="167"/>
  <c r="AK365" i="167"/>
  <c r="A365" i="167"/>
  <c r="AM365" i="167"/>
  <c r="AK364" i="167"/>
  <c r="A364" i="167"/>
  <c r="AM364" i="167"/>
  <c r="AM363" i="167"/>
  <c r="AK363" i="167"/>
  <c r="A363" i="167"/>
  <c r="AM362" i="167"/>
  <c r="AK362" i="167"/>
  <c r="A362" i="167"/>
  <c r="AM361" i="167"/>
  <c r="AK361" i="167"/>
  <c r="A361" i="167"/>
  <c r="AK360" i="167"/>
  <c r="A360" i="167"/>
  <c r="AM360" i="167"/>
  <c r="AK359" i="167"/>
  <c r="A359" i="167"/>
  <c r="AM359" i="167"/>
  <c r="AK358" i="167"/>
  <c r="A358" i="167"/>
  <c r="AM358" i="167"/>
  <c r="AK357" i="167"/>
  <c r="A357" i="167"/>
  <c r="AM357" i="167"/>
  <c r="AK356" i="167"/>
  <c r="A356" i="167"/>
  <c r="AM356" i="167"/>
  <c r="AM355" i="167"/>
  <c r="AK355" i="167"/>
  <c r="A355" i="167"/>
  <c r="AM354" i="167"/>
  <c r="AK354" i="167"/>
  <c r="A354" i="167"/>
  <c r="AM353" i="167"/>
  <c r="AK353" i="167"/>
  <c r="A353" i="167"/>
  <c r="AK352" i="167"/>
  <c r="A352" i="167"/>
  <c r="AM352" i="167"/>
  <c r="AK351" i="167"/>
  <c r="A351" i="167"/>
  <c r="AM351" i="167"/>
  <c r="AK350" i="167"/>
  <c r="A350" i="167"/>
  <c r="AM350" i="167"/>
  <c r="AK349" i="167"/>
  <c r="A349" i="167"/>
  <c r="AM349" i="167"/>
  <c r="AK348" i="167"/>
  <c r="A348" i="167"/>
  <c r="AM348" i="167"/>
  <c r="AM347" i="167"/>
  <c r="AK347" i="167"/>
  <c r="A347" i="167"/>
  <c r="AM346" i="167"/>
  <c r="AK346" i="167"/>
  <c r="A346" i="167"/>
  <c r="AM345" i="167"/>
  <c r="AK345" i="167"/>
  <c r="A345" i="167"/>
  <c r="AK344" i="167"/>
  <c r="A344" i="167"/>
  <c r="AM344" i="167"/>
  <c r="AK343" i="167"/>
  <c r="A343" i="167"/>
  <c r="AM343" i="167"/>
  <c r="AK342" i="167"/>
  <c r="A342" i="167"/>
  <c r="AM342" i="167"/>
  <c r="AK341" i="167"/>
  <c r="A341" i="167"/>
  <c r="AM341" i="167"/>
  <c r="AK340" i="167"/>
  <c r="A340" i="167"/>
  <c r="AM340" i="167"/>
  <c r="AM339" i="167"/>
  <c r="AK339" i="167"/>
  <c r="A339" i="167"/>
  <c r="AM338" i="167"/>
  <c r="AK338" i="167"/>
  <c r="A338" i="167"/>
  <c r="AM337" i="167"/>
  <c r="AK337" i="167"/>
  <c r="A337" i="167"/>
  <c r="AK336" i="167"/>
  <c r="A336" i="167"/>
  <c r="AM336" i="167"/>
  <c r="AK335" i="167"/>
  <c r="A335" i="167"/>
  <c r="AM335" i="167"/>
  <c r="AK334" i="167"/>
  <c r="A334" i="167"/>
  <c r="AM334" i="167"/>
  <c r="AK333" i="167"/>
  <c r="A333" i="167"/>
  <c r="AM333" i="167"/>
  <c r="AK332" i="167"/>
  <c r="A332" i="167"/>
  <c r="AM332" i="167"/>
  <c r="AM331" i="167"/>
  <c r="AK331" i="167"/>
  <c r="A331" i="167"/>
  <c r="AM330" i="167"/>
  <c r="AK330" i="167"/>
  <c r="A330" i="167"/>
  <c r="AM329" i="167"/>
  <c r="AK329" i="167"/>
  <c r="A329" i="167"/>
  <c r="AK328" i="167"/>
  <c r="A328" i="167"/>
  <c r="AM328" i="167"/>
  <c r="AK327" i="167"/>
  <c r="A327" i="167"/>
  <c r="AM327" i="167"/>
  <c r="AK326" i="167"/>
  <c r="A326" i="167"/>
  <c r="AM326" i="167"/>
  <c r="AK325" i="167"/>
  <c r="A325" i="167"/>
  <c r="AM325" i="167"/>
  <c r="AK324" i="167"/>
  <c r="A324" i="167"/>
  <c r="AM324" i="167"/>
  <c r="AM323" i="167"/>
  <c r="AK323" i="167"/>
  <c r="A323" i="167"/>
  <c r="AM322" i="167"/>
  <c r="AK322" i="167"/>
  <c r="A322" i="167"/>
  <c r="AM321" i="167"/>
  <c r="AK321" i="167"/>
  <c r="A321" i="167"/>
  <c r="AK320" i="167"/>
  <c r="A320" i="167"/>
  <c r="AM320" i="167"/>
  <c r="AK319" i="167"/>
  <c r="A319" i="167"/>
  <c r="AM319" i="167"/>
  <c r="AK318" i="167"/>
  <c r="A318" i="167"/>
  <c r="AM318" i="167"/>
  <c r="AK317" i="167"/>
  <c r="A317" i="167"/>
  <c r="AM317" i="167"/>
  <c r="AK316" i="167"/>
  <c r="A316" i="167"/>
  <c r="AM316" i="167"/>
  <c r="AM315" i="167"/>
  <c r="AK315" i="167"/>
  <c r="A315" i="167"/>
  <c r="AM314" i="167"/>
  <c r="AK314" i="167"/>
  <c r="A314" i="167"/>
  <c r="AM313" i="167"/>
  <c r="AK313" i="167"/>
  <c r="A313" i="167"/>
  <c r="AK312" i="167"/>
  <c r="A312" i="167"/>
  <c r="AM312" i="167"/>
  <c r="AK311" i="167"/>
  <c r="A311" i="167"/>
  <c r="AM311" i="167"/>
  <c r="AK310" i="167"/>
  <c r="A310" i="167"/>
  <c r="AM310" i="167"/>
  <c r="AK309" i="167"/>
  <c r="A309" i="167"/>
  <c r="AM309" i="167"/>
  <c r="AK308" i="167"/>
  <c r="A308" i="167"/>
  <c r="AM308" i="167"/>
  <c r="AM307" i="167"/>
  <c r="AK307" i="167"/>
  <c r="A307" i="167"/>
  <c r="AM306" i="167"/>
  <c r="AK306" i="167"/>
  <c r="A306" i="167"/>
  <c r="AM305" i="167"/>
  <c r="AK305" i="167"/>
  <c r="A305" i="167"/>
  <c r="AK304" i="167"/>
  <c r="A304" i="167"/>
  <c r="AM304" i="167"/>
  <c r="AK303" i="167"/>
  <c r="A303" i="167"/>
  <c r="AM303" i="167"/>
  <c r="AK302" i="167"/>
  <c r="A302" i="167"/>
  <c r="AM302" i="167"/>
  <c r="AM301" i="167"/>
  <c r="AK301" i="167"/>
  <c r="A301" i="167"/>
  <c r="AK300" i="167"/>
  <c r="A300" i="167"/>
  <c r="AM300" i="167"/>
  <c r="AM299" i="167"/>
  <c r="AK299" i="167"/>
  <c r="A299" i="167"/>
  <c r="AM298" i="167"/>
  <c r="AK298" i="167"/>
  <c r="A298" i="167"/>
  <c r="AM297" i="167"/>
  <c r="AK297" i="167"/>
  <c r="A297" i="167"/>
  <c r="AK296" i="167"/>
  <c r="A296" i="167"/>
  <c r="AM296" i="167"/>
  <c r="AK295" i="167"/>
  <c r="A295" i="167"/>
  <c r="AM295" i="167"/>
  <c r="AK294" i="167"/>
  <c r="A294" i="167"/>
  <c r="AM294" i="167"/>
  <c r="AM293" i="167"/>
  <c r="AK293" i="167"/>
  <c r="A293" i="167"/>
  <c r="AK292" i="167"/>
  <c r="A292" i="167"/>
  <c r="AM292" i="167"/>
  <c r="AM291" i="167"/>
  <c r="AK291" i="167"/>
  <c r="A291" i="167"/>
  <c r="AM290" i="167"/>
  <c r="AK290" i="167"/>
  <c r="A290" i="167"/>
  <c r="AM289" i="167"/>
  <c r="AK289" i="167"/>
  <c r="A289" i="167"/>
  <c r="AK288" i="167"/>
  <c r="A288" i="167"/>
  <c r="AM288" i="167"/>
  <c r="AK287" i="167"/>
  <c r="A287" i="167"/>
  <c r="AM287" i="167"/>
  <c r="AK286" i="167"/>
  <c r="A286" i="167"/>
  <c r="AM286" i="167"/>
  <c r="AM285" i="167"/>
  <c r="AK285" i="167"/>
  <c r="A285" i="167"/>
  <c r="AK284" i="167"/>
  <c r="A284" i="167"/>
  <c r="AM284" i="167"/>
  <c r="AM283" i="167"/>
  <c r="AK283" i="167"/>
  <c r="A283" i="167"/>
  <c r="AM282" i="167"/>
  <c r="AK282" i="167"/>
  <c r="A282" i="167"/>
  <c r="AM281" i="167"/>
  <c r="AK281" i="167"/>
  <c r="A281" i="167"/>
  <c r="AK280" i="167"/>
  <c r="A280" i="167"/>
  <c r="AM280" i="167"/>
  <c r="AK279" i="167"/>
  <c r="A279" i="167"/>
  <c r="AM279" i="167"/>
  <c r="AK278" i="167"/>
  <c r="A278" i="167"/>
  <c r="AM278" i="167"/>
  <c r="AM277" i="167"/>
  <c r="AK277" i="167"/>
  <c r="A277" i="167"/>
  <c r="AK276" i="167"/>
  <c r="A276" i="167"/>
  <c r="AM276" i="167"/>
  <c r="AM275" i="167"/>
  <c r="AK275" i="167"/>
  <c r="A275" i="167"/>
  <c r="AM274" i="167"/>
  <c r="AK274" i="167"/>
  <c r="A274" i="167"/>
  <c r="AM273" i="167"/>
  <c r="AK273" i="167"/>
  <c r="A273" i="167"/>
  <c r="AK272" i="167"/>
  <c r="A272" i="167"/>
  <c r="AM272" i="167"/>
  <c r="AK271" i="167"/>
  <c r="A271" i="167"/>
  <c r="AM271" i="167"/>
  <c r="AK270" i="167"/>
  <c r="A270" i="167"/>
  <c r="AM270" i="167"/>
  <c r="AM269" i="167"/>
  <c r="AK269" i="167"/>
  <c r="A269" i="167"/>
  <c r="AK268" i="167"/>
  <c r="A268" i="167"/>
  <c r="AM268" i="167"/>
  <c r="AM267" i="167"/>
  <c r="AK267" i="167"/>
  <c r="A267" i="167"/>
  <c r="AM266" i="167"/>
  <c r="AK266" i="167"/>
  <c r="A266" i="167"/>
  <c r="AM265" i="167"/>
  <c r="AK265" i="167"/>
  <c r="A265" i="167"/>
  <c r="AK264" i="167"/>
  <c r="A264" i="167"/>
  <c r="AM264" i="167"/>
  <c r="AK263" i="167"/>
  <c r="A263" i="167"/>
  <c r="AM263" i="167"/>
  <c r="AK262" i="167"/>
  <c r="A262" i="167"/>
  <c r="AM262" i="167"/>
  <c r="AM261" i="167"/>
  <c r="AK261" i="167"/>
  <c r="A261" i="167"/>
  <c r="AK260" i="167"/>
  <c r="A260" i="167"/>
  <c r="AM260" i="167"/>
  <c r="AM259" i="167"/>
  <c r="AK259" i="167"/>
  <c r="A259" i="167"/>
  <c r="AM258" i="167"/>
  <c r="AK258" i="167"/>
  <c r="A258" i="167"/>
  <c r="AM257" i="167"/>
  <c r="AK257" i="167"/>
  <c r="A257" i="167"/>
  <c r="AK256" i="167"/>
  <c r="A256" i="167"/>
  <c r="AM256" i="167"/>
  <c r="AK255" i="167"/>
  <c r="A255" i="167"/>
  <c r="AM255" i="167"/>
  <c r="AK254" i="167"/>
  <c r="A254" i="167"/>
  <c r="AM254" i="167"/>
  <c r="AM253" i="167"/>
  <c r="AK253" i="167"/>
  <c r="A253" i="167"/>
  <c r="AK252" i="167"/>
  <c r="A252" i="167"/>
  <c r="AM252" i="167"/>
  <c r="AM251" i="167"/>
  <c r="AK251" i="167"/>
  <c r="A251" i="167"/>
  <c r="AM250" i="167"/>
  <c r="AK250" i="167"/>
  <c r="A250" i="167"/>
  <c r="AM249" i="167"/>
  <c r="AK249" i="167"/>
  <c r="A249" i="167"/>
  <c r="AK248" i="167"/>
  <c r="A248" i="167"/>
  <c r="AM248" i="167"/>
  <c r="AK247" i="167"/>
  <c r="A247" i="167"/>
  <c r="AM247" i="167"/>
  <c r="AK246" i="167"/>
  <c r="A246" i="167"/>
  <c r="AM246" i="167"/>
  <c r="AM245" i="167"/>
  <c r="AK245" i="167"/>
  <c r="A245" i="167"/>
  <c r="AK244" i="167"/>
  <c r="A244" i="167"/>
  <c r="AM244" i="167"/>
  <c r="AM243" i="167"/>
  <c r="AK243" i="167"/>
  <c r="A243" i="167"/>
  <c r="AM242" i="167"/>
  <c r="AK242" i="167"/>
  <c r="A242" i="167"/>
  <c r="AM241" i="167"/>
  <c r="AK241" i="167"/>
  <c r="A241" i="167"/>
  <c r="AK240" i="167"/>
  <c r="A240" i="167"/>
  <c r="AM240" i="167"/>
  <c r="AK239" i="167"/>
  <c r="A239" i="167"/>
  <c r="AM239" i="167"/>
  <c r="AK238" i="167"/>
  <c r="A238" i="167"/>
  <c r="AM238" i="167"/>
  <c r="AM237" i="167"/>
  <c r="AK237" i="167"/>
  <c r="A237" i="167"/>
  <c r="AK236" i="167"/>
  <c r="A236" i="167"/>
  <c r="AM236" i="167"/>
  <c r="AM235" i="167"/>
  <c r="AK235" i="167"/>
  <c r="A235" i="167"/>
  <c r="AM234" i="167"/>
  <c r="AK234" i="167"/>
  <c r="A234" i="167"/>
  <c r="AM233" i="167"/>
  <c r="AK233" i="167"/>
  <c r="A233" i="167"/>
  <c r="AK232" i="167"/>
  <c r="A232" i="167"/>
  <c r="AM232" i="167"/>
  <c r="AK231" i="167"/>
  <c r="A231" i="167"/>
  <c r="AM231" i="167"/>
  <c r="AK230" i="167"/>
  <c r="A230" i="167"/>
  <c r="AM230" i="167"/>
  <c r="AM229" i="167"/>
  <c r="AK229" i="167"/>
  <c r="A229" i="167"/>
  <c r="AK228" i="167"/>
  <c r="A228" i="167"/>
  <c r="AM228" i="167"/>
  <c r="AM227" i="167"/>
  <c r="AK227" i="167"/>
  <c r="A227" i="167"/>
  <c r="AM226" i="167"/>
  <c r="AK226" i="167"/>
  <c r="A226" i="167"/>
  <c r="AM225" i="167"/>
  <c r="AK225" i="167"/>
  <c r="A225" i="167"/>
  <c r="AK224" i="167"/>
  <c r="A224" i="167"/>
  <c r="AM224" i="167"/>
  <c r="AK223" i="167"/>
  <c r="A223" i="167"/>
  <c r="AM223" i="167"/>
  <c r="AK222" i="167"/>
  <c r="A222" i="167"/>
  <c r="AM222" i="167"/>
  <c r="AM221" i="167"/>
  <c r="AK221" i="167"/>
  <c r="A221" i="167"/>
  <c r="AM220" i="167"/>
  <c r="AK220" i="167"/>
  <c r="A220" i="167"/>
  <c r="AK219" i="167"/>
  <c r="A219" i="167"/>
  <c r="AM219" i="167"/>
  <c r="AK218" i="167"/>
  <c r="A218" i="167"/>
  <c r="AM218" i="167"/>
  <c r="AM217" i="167"/>
  <c r="AK217" i="167"/>
  <c r="A217" i="167"/>
  <c r="AM216" i="167"/>
  <c r="AK216" i="167"/>
  <c r="A216" i="167"/>
  <c r="AK215" i="167"/>
  <c r="A215" i="167"/>
  <c r="AM215" i="167"/>
  <c r="AK214" i="167"/>
  <c r="A214" i="167"/>
  <c r="AM214" i="167"/>
  <c r="AK213" i="167"/>
  <c r="A213" i="167"/>
  <c r="AM213" i="167"/>
  <c r="AM212" i="167"/>
  <c r="AK212" i="167"/>
  <c r="A212" i="167"/>
  <c r="AK211" i="167"/>
  <c r="A211" i="167"/>
  <c r="AM211" i="167"/>
  <c r="AK210" i="167"/>
  <c r="A210" i="167"/>
  <c r="AM210" i="167"/>
  <c r="AM209" i="167"/>
  <c r="AK209" i="167"/>
  <c r="A209" i="167"/>
  <c r="AM208" i="167"/>
  <c r="AK208" i="167"/>
  <c r="A208" i="167"/>
  <c r="AK207" i="167"/>
  <c r="A207" i="167"/>
  <c r="AM207" i="167"/>
  <c r="AK206" i="167"/>
  <c r="A206" i="167"/>
  <c r="AM206" i="167"/>
  <c r="AK205" i="167"/>
  <c r="A205" i="167"/>
  <c r="AM205" i="167"/>
  <c r="AM204" i="167"/>
  <c r="AK204" i="167"/>
  <c r="A204" i="167"/>
  <c r="AK203" i="167"/>
  <c r="A203" i="167"/>
  <c r="AM203" i="167"/>
  <c r="AK202" i="167"/>
  <c r="A202" i="167"/>
  <c r="AM202" i="167"/>
  <c r="AM201" i="167"/>
  <c r="AK201" i="167"/>
  <c r="A201" i="167"/>
  <c r="AM200" i="167"/>
  <c r="AK200" i="167"/>
  <c r="A200" i="167"/>
  <c r="AK199" i="167"/>
  <c r="A199" i="167"/>
  <c r="AM199" i="167"/>
  <c r="AK198" i="167"/>
  <c r="A198" i="167"/>
  <c r="AM198" i="167"/>
  <c r="AK197" i="167"/>
  <c r="A197" i="167"/>
  <c r="AM197" i="167"/>
  <c r="AM196" i="167"/>
  <c r="AK196" i="167"/>
  <c r="A196" i="167"/>
  <c r="AK195" i="167"/>
  <c r="A195" i="167"/>
  <c r="AM195" i="167"/>
  <c r="AK194" i="167"/>
  <c r="A194" i="167"/>
  <c r="AM194" i="167"/>
  <c r="AM193" i="167"/>
  <c r="AK193" i="167"/>
  <c r="A193" i="167"/>
  <c r="AM192" i="167"/>
  <c r="AK192" i="167"/>
  <c r="A192" i="167"/>
  <c r="AK191" i="167"/>
  <c r="A191" i="167"/>
  <c r="AM191" i="167"/>
  <c r="AK190" i="167"/>
  <c r="A190" i="167"/>
  <c r="AM190" i="167"/>
  <c r="AK189" i="167"/>
  <c r="A189" i="167"/>
  <c r="AM189" i="167"/>
  <c r="AM188" i="167"/>
  <c r="AK188" i="167"/>
  <c r="A188" i="167"/>
  <c r="AK187" i="167"/>
  <c r="A187" i="167"/>
  <c r="AM187" i="167"/>
  <c r="AK186" i="167"/>
  <c r="A186" i="167"/>
  <c r="AM186" i="167"/>
  <c r="AK185" i="167"/>
  <c r="A185" i="167"/>
  <c r="AM185" i="167"/>
  <c r="AM184" i="167"/>
  <c r="AK184" i="167"/>
  <c r="A184" i="167"/>
  <c r="AK183" i="167"/>
  <c r="A183" i="167"/>
  <c r="AM183" i="167"/>
  <c r="AK182" i="167"/>
  <c r="A182" i="167"/>
  <c r="AM182" i="167"/>
  <c r="AM181" i="167"/>
  <c r="AK181" i="167"/>
  <c r="A181" i="167"/>
  <c r="AM180" i="167"/>
  <c r="AK180" i="167"/>
  <c r="A180" i="167"/>
  <c r="AK179" i="167"/>
  <c r="A179" i="167"/>
  <c r="AM179" i="167"/>
  <c r="AK178" i="167"/>
  <c r="A178" i="167"/>
  <c r="AM178" i="167"/>
  <c r="AM177" i="167"/>
  <c r="AK177" i="167"/>
  <c r="A177" i="167"/>
  <c r="AM176" i="167"/>
  <c r="AK176" i="167"/>
  <c r="A176" i="167"/>
  <c r="AK175" i="167"/>
  <c r="A175" i="167"/>
  <c r="AM175" i="167"/>
  <c r="AK174" i="167"/>
  <c r="A174" i="167"/>
  <c r="AM174" i="167"/>
  <c r="AK173" i="167"/>
  <c r="A173" i="167"/>
  <c r="AM173" i="167"/>
  <c r="AM172" i="167"/>
  <c r="AK172" i="167"/>
  <c r="A172" i="167"/>
  <c r="AK171" i="167"/>
  <c r="A171" i="167"/>
  <c r="AM171" i="167"/>
  <c r="AK170" i="167"/>
  <c r="A170" i="167"/>
  <c r="AM170" i="167"/>
  <c r="AK169" i="167"/>
  <c r="A169" i="167"/>
  <c r="AM169" i="167"/>
  <c r="AM168" i="167"/>
  <c r="AK168" i="167"/>
  <c r="A168" i="167"/>
  <c r="AK167" i="167"/>
  <c r="A167" i="167"/>
  <c r="AM167" i="167"/>
  <c r="AK166" i="167"/>
  <c r="A166" i="167"/>
  <c r="AM166" i="167"/>
  <c r="AM165" i="167"/>
  <c r="AK165" i="167"/>
  <c r="A165" i="167"/>
  <c r="AM164" i="167"/>
  <c r="AK164" i="167"/>
  <c r="A164" i="167"/>
  <c r="AK163" i="167"/>
  <c r="A163" i="167"/>
  <c r="AM163" i="167"/>
  <c r="AK162" i="167"/>
  <c r="A162" i="167"/>
  <c r="AM162" i="167"/>
  <c r="AM161" i="167"/>
  <c r="AK161" i="167"/>
  <c r="A161" i="167"/>
  <c r="AM160" i="167"/>
  <c r="AK160" i="167"/>
  <c r="A160" i="167"/>
  <c r="AK159" i="167"/>
  <c r="A159" i="167"/>
  <c r="AM159" i="167"/>
  <c r="AK158" i="167"/>
  <c r="A158" i="167"/>
  <c r="AM158" i="167"/>
  <c r="AK157" i="167"/>
  <c r="A157" i="167"/>
  <c r="AM157" i="167"/>
  <c r="AM156" i="167"/>
  <c r="AK156" i="167"/>
  <c r="A156" i="167"/>
  <c r="AM155" i="167"/>
  <c r="AK155" i="167"/>
  <c r="A155" i="167"/>
  <c r="AK154" i="167"/>
  <c r="A154" i="167"/>
  <c r="AM154" i="167"/>
  <c r="AM153" i="167"/>
  <c r="AK153" i="167"/>
  <c r="A153" i="167"/>
  <c r="AM152" i="167"/>
  <c r="AK152" i="167"/>
  <c r="A152" i="167"/>
  <c r="AK151" i="167"/>
  <c r="A151" i="167"/>
  <c r="AM151" i="167"/>
  <c r="AK150" i="167"/>
  <c r="A150" i="167"/>
  <c r="AM150" i="167"/>
  <c r="AM149" i="167"/>
  <c r="AK149" i="167"/>
  <c r="A149" i="167"/>
  <c r="AM148" i="167"/>
  <c r="AK148" i="167"/>
  <c r="A148" i="167"/>
  <c r="AM147" i="167"/>
  <c r="AK147" i="167"/>
  <c r="A147" i="167"/>
  <c r="AK146" i="167"/>
  <c r="A146" i="167"/>
  <c r="AM146" i="167"/>
  <c r="AM145" i="167"/>
  <c r="AK145" i="167"/>
  <c r="A145" i="167"/>
  <c r="AM144" i="167"/>
  <c r="AK144" i="167"/>
  <c r="A144" i="167"/>
  <c r="AK143" i="167"/>
  <c r="A143" i="167"/>
  <c r="AM143" i="167"/>
  <c r="AK142" i="167"/>
  <c r="A142" i="167"/>
  <c r="AM142" i="167"/>
  <c r="AK141" i="167"/>
  <c r="A141" i="167"/>
  <c r="AM141" i="167"/>
  <c r="AM140" i="167"/>
  <c r="AK140" i="167"/>
  <c r="A140" i="167"/>
  <c r="AM139" i="167"/>
  <c r="AK139" i="167"/>
  <c r="A139" i="167"/>
  <c r="AK138" i="167"/>
  <c r="A138" i="167"/>
  <c r="AM138" i="167"/>
  <c r="AM137" i="167"/>
  <c r="AK137" i="167"/>
  <c r="A137" i="167"/>
  <c r="AM136" i="167"/>
  <c r="AK136" i="167"/>
  <c r="A136" i="167"/>
  <c r="AK135" i="167"/>
  <c r="A135" i="167"/>
  <c r="AM135" i="167"/>
  <c r="AK134" i="167"/>
  <c r="A134" i="167"/>
  <c r="AM134" i="167"/>
  <c r="AK133" i="167"/>
  <c r="A133" i="167"/>
  <c r="AM133" i="167"/>
  <c r="AM132" i="167"/>
  <c r="AK132" i="167"/>
  <c r="A132" i="167"/>
  <c r="AM131" i="167"/>
  <c r="AK131" i="167"/>
  <c r="A131" i="167"/>
  <c r="AK130" i="167"/>
  <c r="A130" i="167"/>
  <c r="AM130" i="167"/>
  <c r="AM129" i="167"/>
  <c r="AK129" i="167"/>
  <c r="A129" i="167"/>
  <c r="AM128" i="167"/>
  <c r="AK128" i="167"/>
  <c r="A128" i="167"/>
  <c r="AK127" i="167"/>
  <c r="A127" i="167"/>
  <c r="AM127" i="167"/>
  <c r="AK126" i="167"/>
  <c r="A126" i="167"/>
  <c r="AM126" i="167"/>
  <c r="AK125" i="167"/>
  <c r="A125" i="167"/>
  <c r="AM125" i="167"/>
  <c r="AM124" i="167"/>
  <c r="AK124" i="167"/>
  <c r="A124" i="167"/>
  <c r="AM123" i="167"/>
  <c r="AK123" i="167"/>
  <c r="A123" i="167"/>
  <c r="AK122" i="167"/>
  <c r="A122" i="167"/>
  <c r="AM122" i="167"/>
  <c r="AM121" i="167"/>
  <c r="AK121" i="167"/>
  <c r="A121" i="167"/>
  <c r="AM120" i="167"/>
  <c r="AK120" i="167"/>
  <c r="A120" i="167"/>
  <c r="AK119" i="167"/>
  <c r="A119" i="167"/>
  <c r="AM119" i="167"/>
  <c r="AK118" i="167"/>
  <c r="A118" i="167"/>
  <c r="AM118" i="167"/>
  <c r="AK117" i="167"/>
  <c r="A117" i="167"/>
  <c r="AM117" i="167"/>
  <c r="AM116" i="167"/>
  <c r="AK116" i="167"/>
  <c r="A116" i="167"/>
  <c r="AM115" i="167"/>
  <c r="AK115" i="167"/>
  <c r="A115" i="167"/>
  <c r="AK114" i="167"/>
  <c r="A114" i="167"/>
  <c r="AM114" i="167"/>
  <c r="AM113" i="167"/>
  <c r="AK113" i="167"/>
  <c r="A113" i="167"/>
  <c r="AM112" i="167"/>
  <c r="AK112" i="167"/>
  <c r="A112" i="167"/>
  <c r="AK111" i="167"/>
  <c r="A111" i="167"/>
  <c r="AM111" i="167"/>
  <c r="AK110" i="167"/>
  <c r="A110" i="167"/>
  <c r="AM110" i="167"/>
  <c r="AK109" i="167"/>
  <c r="A109" i="167"/>
  <c r="AM109" i="167"/>
  <c r="AM108" i="167"/>
  <c r="AK108" i="167"/>
  <c r="A108" i="167"/>
  <c r="AM107" i="167"/>
  <c r="AK107" i="167"/>
  <c r="A107" i="167"/>
  <c r="AK106" i="167"/>
  <c r="A106" i="167"/>
  <c r="AM106" i="167"/>
  <c r="AM105" i="167"/>
  <c r="AK105" i="167"/>
  <c r="A105" i="167"/>
  <c r="AM104" i="167"/>
  <c r="AK104" i="167"/>
  <c r="A104" i="167"/>
  <c r="AK103" i="167"/>
  <c r="A103" i="167"/>
  <c r="AM103" i="167"/>
  <c r="AK102" i="167"/>
  <c r="A102" i="167"/>
  <c r="AM102" i="167"/>
  <c r="AK101" i="167"/>
  <c r="A101" i="167"/>
  <c r="AM101" i="167"/>
  <c r="AM100" i="167"/>
  <c r="AK100" i="167"/>
  <c r="A100" i="167"/>
  <c r="AM99" i="167"/>
  <c r="AK99" i="167"/>
  <c r="A99" i="167"/>
  <c r="AM98" i="167"/>
  <c r="AK98" i="167"/>
  <c r="A98" i="167"/>
  <c r="AM97" i="167"/>
  <c r="AK97" i="167"/>
  <c r="A97" i="167"/>
  <c r="AM96" i="167"/>
  <c r="AK96" i="167"/>
  <c r="A96" i="167"/>
  <c r="AK95" i="167"/>
  <c r="A95" i="167"/>
  <c r="AM95" i="167"/>
  <c r="AK94" i="167"/>
  <c r="A94" i="167"/>
  <c r="AM94" i="167"/>
  <c r="AM93" i="167"/>
  <c r="AK93" i="167"/>
  <c r="A93" i="167"/>
  <c r="AM92" i="167"/>
  <c r="AK92" i="167"/>
  <c r="A92" i="167"/>
  <c r="AM91" i="167"/>
  <c r="AK91" i="167"/>
  <c r="A91" i="167"/>
  <c r="AM90" i="167"/>
  <c r="AK90" i="167"/>
  <c r="A90" i="167"/>
  <c r="AM89" i="167"/>
  <c r="AK89" i="167"/>
  <c r="A89" i="167"/>
  <c r="AM88" i="167"/>
  <c r="AK88" i="167"/>
  <c r="A88" i="167"/>
  <c r="AK87" i="167"/>
  <c r="A87" i="167"/>
  <c r="AM87" i="167"/>
  <c r="AK86" i="167"/>
  <c r="A86" i="167"/>
  <c r="AM86" i="167"/>
  <c r="AK85" i="167"/>
  <c r="A85" i="167"/>
  <c r="AM85" i="167"/>
  <c r="AK84" i="167"/>
  <c r="A84" i="167"/>
  <c r="AM84" i="167"/>
  <c r="AK83" i="167"/>
  <c r="A83" i="167"/>
  <c r="AM83" i="167"/>
  <c r="AM82" i="167"/>
  <c r="AK82" i="167"/>
  <c r="A82" i="167"/>
  <c r="AK81" i="167"/>
  <c r="A81" i="167"/>
  <c r="AM81" i="167"/>
  <c r="AM80" i="167"/>
  <c r="AK80" i="167"/>
  <c r="A80" i="167"/>
  <c r="AK79" i="167"/>
  <c r="A79" i="167"/>
  <c r="AM79" i="167"/>
  <c r="AM78" i="167"/>
  <c r="AK78" i="167"/>
  <c r="A78" i="167"/>
  <c r="AK77" i="167"/>
  <c r="A77" i="167"/>
  <c r="AM77" i="167"/>
  <c r="AK76" i="167"/>
  <c r="A76" i="167"/>
  <c r="AM76" i="167"/>
  <c r="AK75" i="167"/>
  <c r="A75" i="167"/>
  <c r="AM75" i="167"/>
  <c r="AM74" i="167"/>
  <c r="AK74" i="167"/>
  <c r="A74" i="167"/>
  <c r="AK73" i="167"/>
  <c r="A73" i="167"/>
  <c r="AM73" i="167"/>
  <c r="AM72" i="167"/>
  <c r="AK72" i="167"/>
  <c r="A72" i="167"/>
  <c r="AK71" i="167"/>
  <c r="A71" i="167"/>
  <c r="AM71" i="167"/>
  <c r="AM70" i="167"/>
  <c r="AK70" i="167"/>
  <c r="A70" i="167"/>
  <c r="AK69" i="167"/>
  <c r="A69" i="167"/>
  <c r="AM69" i="167"/>
  <c r="AK68" i="167"/>
  <c r="A68" i="167"/>
  <c r="AM68" i="167"/>
  <c r="AK67" i="167"/>
  <c r="A67" i="167"/>
  <c r="AM67" i="167"/>
  <c r="AM66" i="167"/>
  <c r="AK66" i="167"/>
  <c r="A66" i="167"/>
  <c r="AK65" i="167"/>
  <c r="A65" i="167"/>
  <c r="AM65" i="167"/>
  <c r="AM64" i="167"/>
  <c r="AK64" i="167"/>
  <c r="A64" i="167"/>
  <c r="AK63" i="167"/>
  <c r="A63" i="167"/>
  <c r="AM63" i="167"/>
  <c r="AM62" i="167"/>
  <c r="AK62" i="167"/>
  <c r="A62" i="167"/>
  <c r="AK61" i="167"/>
  <c r="A61" i="167"/>
  <c r="AM61" i="167"/>
  <c r="AK60" i="167"/>
  <c r="A60" i="167"/>
  <c r="AM60" i="167"/>
  <c r="AK59" i="167"/>
  <c r="A59" i="167"/>
  <c r="AM59" i="167"/>
  <c r="AM58" i="167"/>
  <c r="AK58" i="167"/>
  <c r="A58" i="167"/>
  <c r="AK57" i="167"/>
  <c r="A57" i="167"/>
  <c r="AM57" i="167"/>
  <c r="AM56" i="167"/>
  <c r="AK56" i="167"/>
  <c r="A56" i="167"/>
  <c r="AK55" i="167"/>
  <c r="A55" i="167"/>
  <c r="AM55" i="167"/>
  <c r="AM54" i="167"/>
  <c r="AK54" i="167"/>
  <c r="A54" i="167"/>
  <c r="AK53" i="167"/>
  <c r="A53" i="167"/>
  <c r="AM53" i="167"/>
  <c r="AK52" i="167"/>
  <c r="A52" i="167"/>
  <c r="AM52" i="167"/>
  <c r="AK51" i="167"/>
  <c r="A51" i="167"/>
  <c r="AM51" i="167"/>
  <c r="AM50" i="167"/>
  <c r="AK50" i="167"/>
  <c r="A50" i="167"/>
  <c r="AK49" i="167"/>
  <c r="A49" i="167"/>
  <c r="AM49" i="167"/>
  <c r="AM48" i="167"/>
  <c r="AK48" i="167"/>
  <c r="A48" i="167"/>
  <c r="AK47" i="167"/>
  <c r="A47" i="167"/>
  <c r="AM47" i="167"/>
  <c r="AM46" i="167"/>
  <c r="AK46" i="167"/>
  <c r="A46" i="167"/>
  <c r="AK45" i="167"/>
  <c r="A45" i="167"/>
  <c r="AM45" i="167"/>
  <c r="AK44" i="167"/>
  <c r="A44" i="167"/>
  <c r="AM44" i="167"/>
  <c r="AK43" i="167"/>
  <c r="A43" i="167"/>
  <c r="AM43" i="167"/>
  <c r="AM42" i="167"/>
  <c r="AK42" i="167"/>
  <c r="A42" i="167"/>
  <c r="AK41" i="167"/>
  <c r="A41" i="167"/>
  <c r="AM41" i="167"/>
  <c r="AM40" i="167"/>
  <c r="AK40" i="167"/>
  <c r="A40" i="167"/>
  <c r="AK39" i="167"/>
  <c r="A39" i="167"/>
  <c r="AM39" i="167"/>
  <c r="AM38" i="167"/>
  <c r="AK38" i="167"/>
  <c r="A38" i="167"/>
  <c r="AK37" i="167"/>
  <c r="A37" i="167"/>
  <c r="AM37" i="167"/>
  <c r="AK36" i="167"/>
  <c r="A36" i="167"/>
  <c r="AM36" i="167"/>
  <c r="AK35" i="167"/>
  <c r="A35" i="167"/>
  <c r="AM35" i="167"/>
  <c r="AM34" i="167"/>
  <c r="AK34" i="167"/>
  <c r="A34" i="167"/>
  <c r="AK33" i="167"/>
  <c r="A33" i="167"/>
  <c r="AM33" i="167"/>
  <c r="AM32" i="167"/>
  <c r="AK32" i="167"/>
  <c r="A32" i="167"/>
  <c r="AK31" i="167"/>
  <c r="A31" i="167"/>
  <c r="AM31" i="167"/>
  <c r="AM30" i="167"/>
  <c r="AK30" i="167"/>
  <c r="A30" i="167"/>
  <c r="AK29" i="167"/>
  <c r="A29" i="167"/>
  <c r="AM29" i="167"/>
  <c r="AK28" i="167"/>
  <c r="A28" i="167"/>
  <c r="AM28" i="167"/>
  <c r="AK27" i="167"/>
  <c r="A27" i="167"/>
  <c r="AM27" i="167"/>
  <c r="A26" i="167"/>
  <c r="AM26" i="167"/>
  <c r="AK26" i="167"/>
  <c r="AK25" i="167"/>
  <c r="A25" i="167"/>
  <c r="AM25" i="167"/>
  <c r="AK24" i="167"/>
  <c r="A24" i="167"/>
  <c r="AM24" i="167"/>
  <c r="AK23" i="167"/>
  <c r="A23" i="167"/>
  <c r="AM23" i="167"/>
  <c r="A22" i="167"/>
  <c r="AM22" i="167"/>
  <c r="AK22" i="167"/>
  <c r="A21" i="167"/>
  <c r="AM21" i="167"/>
  <c r="AK21" i="167"/>
  <c r="A20" i="167"/>
  <c r="AM20" i="167"/>
  <c r="AK20" i="167"/>
  <c r="AK19" i="167"/>
  <c r="A19" i="167"/>
  <c r="AM19" i="167"/>
  <c r="AK18" i="167"/>
  <c r="A18" i="167"/>
  <c r="AM18" i="167"/>
  <c r="AK17" i="167"/>
  <c r="A17" i="167"/>
  <c r="AM17" i="167"/>
  <c r="A16" i="167"/>
  <c r="AM16" i="167"/>
  <c r="AK16" i="167"/>
  <c r="AK15" i="167"/>
  <c r="A15" i="167"/>
  <c r="AM15" i="167"/>
  <c r="A14" i="167"/>
  <c r="AM14" i="167"/>
  <c r="AK14" i="167"/>
  <c r="AK13" i="167"/>
  <c r="A13" i="167"/>
  <c r="AM13" i="167"/>
  <c r="A12" i="167"/>
  <c r="AM12" i="167"/>
  <c r="AK12" i="167"/>
  <c r="A11" i="167"/>
  <c r="AM11" i="167"/>
  <c r="AK11" i="167"/>
  <c r="AK10" i="167"/>
  <c r="A10" i="167"/>
  <c r="A9" i="167"/>
  <c r="AM9" i="167"/>
  <c r="AK9" i="167"/>
  <c r="A8" i="167"/>
  <c r="AM8" i="167"/>
  <c r="AK8" i="167"/>
  <c r="AL6" i="167"/>
  <c r="AM7" i="167"/>
  <c r="AL7" i="167"/>
  <c r="M3" i="167"/>
  <c r="AO400" i="166"/>
  <c r="AN400" i="166"/>
  <c r="AM400" i="166"/>
  <c r="AG400" i="166"/>
  <c r="AE400" i="166"/>
  <c r="Z400" i="166"/>
  <c r="AO399" i="166"/>
  <c r="AN399" i="166"/>
  <c r="AM399" i="166"/>
  <c r="AG399" i="166"/>
  <c r="AE399" i="166"/>
  <c r="Z399" i="166"/>
  <c r="AO398" i="166"/>
  <c r="AN398" i="166"/>
  <c r="AM398" i="166"/>
  <c r="AG398" i="166"/>
  <c r="AE398" i="166"/>
  <c r="Z398" i="166"/>
  <c r="AO397" i="166"/>
  <c r="AN397" i="166"/>
  <c r="AM397" i="166"/>
  <c r="AG397" i="166"/>
  <c r="AE397" i="166"/>
  <c r="Z397" i="166"/>
  <c r="AO396" i="166"/>
  <c r="AN396" i="166"/>
  <c r="AM396" i="166"/>
  <c r="AG396" i="166"/>
  <c r="AE396" i="166"/>
  <c r="Z396" i="166"/>
  <c r="AO395" i="166"/>
  <c r="AN395" i="166"/>
  <c r="AM395" i="166"/>
  <c r="AG395" i="166"/>
  <c r="AE395" i="166"/>
  <c r="Z395" i="166"/>
  <c r="AO394" i="166"/>
  <c r="AN394" i="166"/>
  <c r="AM394" i="166"/>
  <c r="AG394" i="166"/>
  <c r="AE394" i="166"/>
  <c r="Z394" i="166"/>
  <c r="AO393" i="166"/>
  <c r="AN393" i="166"/>
  <c r="AM393" i="166"/>
  <c r="AG393" i="166"/>
  <c r="AE393" i="166"/>
  <c r="Z393" i="166"/>
  <c r="AO392" i="166"/>
  <c r="AN392" i="166"/>
  <c r="AM392" i="166"/>
  <c r="AG392" i="166"/>
  <c r="AE392" i="166"/>
  <c r="Z392" i="166"/>
  <c r="AO391" i="166"/>
  <c r="AN391" i="166"/>
  <c r="AM391" i="166"/>
  <c r="AG391" i="166"/>
  <c r="AE391" i="166"/>
  <c r="Z391" i="166"/>
  <c r="AO390" i="166"/>
  <c r="AN390" i="166"/>
  <c r="AM390" i="166"/>
  <c r="AG390" i="166"/>
  <c r="AE390" i="166"/>
  <c r="Z390" i="166"/>
  <c r="AO389" i="166"/>
  <c r="AN389" i="166"/>
  <c r="AM389" i="166"/>
  <c r="AG389" i="166"/>
  <c r="AE389" i="166"/>
  <c r="Z389" i="166"/>
  <c r="AO388" i="166"/>
  <c r="AN388" i="166"/>
  <c r="AM388" i="166"/>
  <c r="AG388" i="166"/>
  <c r="AE388" i="166"/>
  <c r="Z388" i="166"/>
  <c r="AO387" i="166"/>
  <c r="AN387" i="166"/>
  <c r="AM387" i="166"/>
  <c r="AG387" i="166"/>
  <c r="AE387" i="166"/>
  <c r="Z387" i="166"/>
  <c r="AO386" i="166"/>
  <c r="AN386" i="166"/>
  <c r="AM386" i="166"/>
  <c r="AG386" i="166"/>
  <c r="AE386" i="166"/>
  <c r="Z386" i="166"/>
  <c r="AO385" i="166"/>
  <c r="AN385" i="166"/>
  <c r="AM385" i="166"/>
  <c r="AG385" i="166"/>
  <c r="AE385" i="166"/>
  <c r="Z385" i="166"/>
  <c r="AO384" i="166"/>
  <c r="AN384" i="166"/>
  <c r="AM384" i="166"/>
  <c r="AG384" i="166"/>
  <c r="AE384" i="166"/>
  <c r="Z384" i="166"/>
  <c r="AO383" i="166"/>
  <c r="AN383" i="166"/>
  <c r="AM383" i="166"/>
  <c r="AG383" i="166"/>
  <c r="AE383" i="166"/>
  <c r="Z383" i="166"/>
  <c r="AO382" i="166"/>
  <c r="AN382" i="166"/>
  <c r="AM382" i="166"/>
  <c r="AG382" i="166"/>
  <c r="AE382" i="166"/>
  <c r="Z382" i="166"/>
  <c r="AO381" i="166"/>
  <c r="AN381" i="166"/>
  <c r="AM381" i="166"/>
  <c r="AG381" i="166"/>
  <c r="AE381" i="166"/>
  <c r="Z381" i="166"/>
  <c r="AO380" i="166"/>
  <c r="AN380" i="166"/>
  <c r="AM380" i="166"/>
  <c r="AG380" i="166"/>
  <c r="AE380" i="166"/>
  <c r="Z380" i="166"/>
  <c r="AO379" i="166"/>
  <c r="AN379" i="166"/>
  <c r="AM379" i="166"/>
  <c r="AG379" i="166"/>
  <c r="AE379" i="166"/>
  <c r="Z379" i="166"/>
  <c r="AO378" i="166"/>
  <c r="AN378" i="166"/>
  <c r="AM378" i="166"/>
  <c r="AG378" i="166"/>
  <c r="AE378" i="166"/>
  <c r="Z378" i="166"/>
  <c r="AO377" i="166"/>
  <c r="AN377" i="166"/>
  <c r="AM377" i="166"/>
  <c r="AG377" i="166"/>
  <c r="AE377" i="166"/>
  <c r="Z377" i="166"/>
  <c r="AO376" i="166"/>
  <c r="AN376" i="166"/>
  <c r="AM376" i="166"/>
  <c r="AG376" i="166"/>
  <c r="AE376" i="166"/>
  <c r="Z376" i="166"/>
  <c r="AO375" i="166"/>
  <c r="AN375" i="166"/>
  <c r="AM375" i="166"/>
  <c r="AG375" i="166"/>
  <c r="AE375" i="166"/>
  <c r="Z375" i="166"/>
  <c r="AO374" i="166"/>
  <c r="AN374" i="166"/>
  <c r="AM374" i="166"/>
  <c r="AG374" i="166"/>
  <c r="AE374" i="166"/>
  <c r="Z374" i="166"/>
  <c r="AO373" i="166"/>
  <c r="AN373" i="166"/>
  <c r="AM373" i="166"/>
  <c r="AG373" i="166"/>
  <c r="AE373" i="166"/>
  <c r="Z373" i="166"/>
  <c r="AO372" i="166"/>
  <c r="AN372" i="166"/>
  <c r="AM372" i="166"/>
  <c r="AG372" i="166"/>
  <c r="AE372" i="166"/>
  <c r="Z372" i="166"/>
  <c r="AO371" i="166"/>
  <c r="AN371" i="166"/>
  <c r="AM371" i="166"/>
  <c r="AG371" i="166"/>
  <c r="AE371" i="166"/>
  <c r="Z371" i="166"/>
  <c r="AO370" i="166"/>
  <c r="AN370" i="166"/>
  <c r="AM370" i="166"/>
  <c r="AG370" i="166"/>
  <c r="AE370" i="166"/>
  <c r="Z370" i="166"/>
  <c r="AO369" i="166"/>
  <c r="AN369" i="166"/>
  <c r="AM369" i="166"/>
  <c r="AG369" i="166"/>
  <c r="AE369" i="166"/>
  <c r="Z369" i="166"/>
  <c r="AO368" i="166"/>
  <c r="AN368" i="166"/>
  <c r="AM368" i="166"/>
  <c r="AG368" i="166"/>
  <c r="AE368" i="166"/>
  <c r="Z368" i="166"/>
  <c r="AO367" i="166"/>
  <c r="AN367" i="166"/>
  <c r="AM367" i="166"/>
  <c r="AG367" i="166"/>
  <c r="AE367" i="166"/>
  <c r="Z367" i="166"/>
  <c r="AO366" i="166"/>
  <c r="AN366" i="166"/>
  <c r="AM366" i="166"/>
  <c r="AG366" i="166"/>
  <c r="AE366" i="166"/>
  <c r="Z366" i="166"/>
  <c r="AO365" i="166"/>
  <c r="AN365" i="166"/>
  <c r="AM365" i="166"/>
  <c r="AG365" i="166"/>
  <c r="AE365" i="166"/>
  <c r="Z365" i="166"/>
  <c r="AO364" i="166"/>
  <c r="AN364" i="166"/>
  <c r="AM364" i="166"/>
  <c r="AG364" i="166"/>
  <c r="AE364" i="166"/>
  <c r="Z364" i="166"/>
  <c r="AO363" i="166"/>
  <c r="AN363" i="166"/>
  <c r="AM363" i="166"/>
  <c r="AG363" i="166"/>
  <c r="AE363" i="166"/>
  <c r="Z363" i="166"/>
  <c r="AO362" i="166"/>
  <c r="AN362" i="166"/>
  <c r="AM362" i="166"/>
  <c r="AG362" i="166"/>
  <c r="AE362" i="166"/>
  <c r="Z362" i="166"/>
  <c r="AO361" i="166"/>
  <c r="AN361" i="166"/>
  <c r="AM361" i="166"/>
  <c r="AG361" i="166"/>
  <c r="AE361" i="166"/>
  <c r="Z361" i="166"/>
  <c r="AO360" i="166"/>
  <c r="AN360" i="166"/>
  <c r="AM360" i="166"/>
  <c r="AG360" i="166"/>
  <c r="AE360" i="166"/>
  <c r="Z360" i="166"/>
  <c r="AO359" i="166"/>
  <c r="AN359" i="166"/>
  <c r="AM359" i="166"/>
  <c r="AG359" i="166"/>
  <c r="AE359" i="166"/>
  <c r="Z359" i="166"/>
  <c r="AO358" i="166"/>
  <c r="AN358" i="166"/>
  <c r="AM358" i="166"/>
  <c r="AG358" i="166"/>
  <c r="AE358" i="166"/>
  <c r="Z358" i="166"/>
  <c r="AO357" i="166"/>
  <c r="AN357" i="166"/>
  <c r="AM357" i="166"/>
  <c r="AG357" i="166"/>
  <c r="AE357" i="166"/>
  <c r="Z357" i="166"/>
  <c r="AO356" i="166"/>
  <c r="AN356" i="166"/>
  <c r="AM356" i="166"/>
  <c r="AG356" i="166"/>
  <c r="AE356" i="166"/>
  <c r="Z356" i="166"/>
  <c r="AO355" i="166"/>
  <c r="AN355" i="166"/>
  <c r="AM355" i="166"/>
  <c r="AG355" i="166"/>
  <c r="AE355" i="166"/>
  <c r="Z355" i="166"/>
  <c r="AO354" i="166"/>
  <c r="AN354" i="166"/>
  <c r="AM354" i="166"/>
  <c r="AG354" i="166"/>
  <c r="AE354" i="166"/>
  <c r="Z354" i="166"/>
  <c r="AO353" i="166"/>
  <c r="AN353" i="166"/>
  <c r="AM353" i="166"/>
  <c r="AG353" i="166"/>
  <c r="AE353" i="166"/>
  <c r="Z353" i="166"/>
  <c r="AO352" i="166"/>
  <c r="AN352" i="166"/>
  <c r="AM352" i="166"/>
  <c r="AG352" i="166"/>
  <c r="AE352" i="166"/>
  <c r="Z352" i="166"/>
  <c r="AO351" i="166"/>
  <c r="AN351" i="166"/>
  <c r="AM351" i="166"/>
  <c r="AG351" i="166"/>
  <c r="AE351" i="166"/>
  <c r="Z351" i="166"/>
  <c r="AO350" i="166"/>
  <c r="AN350" i="166"/>
  <c r="AM350" i="166"/>
  <c r="AG350" i="166"/>
  <c r="AE350" i="166"/>
  <c r="Z350" i="166"/>
  <c r="AO349" i="166"/>
  <c r="AN349" i="166"/>
  <c r="AM349" i="166"/>
  <c r="AG349" i="166"/>
  <c r="AE349" i="166"/>
  <c r="Z349" i="166"/>
  <c r="AO348" i="166"/>
  <c r="AN348" i="166"/>
  <c r="AM348" i="166"/>
  <c r="AG348" i="166"/>
  <c r="AE348" i="166"/>
  <c r="Z348" i="166"/>
  <c r="AO347" i="166"/>
  <c r="AN347" i="166"/>
  <c r="AM347" i="166"/>
  <c r="AG347" i="166"/>
  <c r="AE347" i="166"/>
  <c r="Z347" i="166"/>
  <c r="AO346" i="166"/>
  <c r="AN346" i="166"/>
  <c r="AM346" i="166"/>
  <c r="AG346" i="166"/>
  <c r="AE346" i="166"/>
  <c r="Z346" i="166"/>
  <c r="AO345" i="166"/>
  <c r="AN345" i="166"/>
  <c r="AM345" i="166"/>
  <c r="AG345" i="166"/>
  <c r="AE345" i="166"/>
  <c r="Z345" i="166"/>
  <c r="AO344" i="166"/>
  <c r="AN344" i="166"/>
  <c r="AM344" i="166"/>
  <c r="AG344" i="166"/>
  <c r="AE344" i="166"/>
  <c r="Z344" i="166"/>
  <c r="AO343" i="166"/>
  <c r="AN343" i="166"/>
  <c r="AM343" i="166"/>
  <c r="AG343" i="166"/>
  <c r="AE343" i="166"/>
  <c r="Z343" i="166"/>
  <c r="AO342" i="166"/>
  <c r="AN342" i="166"/>
  <c r="AM342" i="166"/>
  <c r="AG342" i="166"/>
  <c r="AE342" i="166"/>
  <c r="Z342" i="166"/>
  <c r="AO341" i="166"/>
  <c r="AN341" i="166"/>
  <c r="AM341" i="166"/>
  <c r="AG341" i="166"/>
  <c r="AE341" i="166"/>
  <c r="Z341" i="166"/>
  <c r="AO340" i="166"/>
  <c r="AN340" i="166"/>
  <c r="AM340" i="166"/>
  <c r="AG340" i="166"/>
  <c r="AE340" i="166"/>
  <c r="Z340" i="166"/>
  <c r="AO339" i="166"/>
  <c r="AN339" i="166"/>
  <c r="AM339" i="166"/>
  <c r="AG339" i="166"/>
  <c r="AE339" i="166"/>
  <c r="Z339" i="166"/>
  <c r="AO338" i="166"/>
  <c r="AN338" i="166"/>
  <c r="AM338" i="166"/>
  <c r="AG338" i="166"/>
  <c r="AE338" i="166"/>
  <c r="Z338" i="166"/>
  <c r="AO337" i="166"/>
  <c r="AN337" i="166"/>
  <c r="AM337" i="166"/>
  <c r="AG337" i="166"/>
  <c r="AE337" i="166"/>
  <c r="Z337" i="166"/>
  <c r="AO336" i="166"/>
  <c r="AN336" i="166"/>
  <c r="AM336" i="166"/>
  <c r="AG336" i="166"/>
  <c r="AE336" i="166"/>
  <c r="Z336" i="166"/>
  <c r="AO335" i="166"/>
  <c r="AN335" i="166"/>
  <c r="AM335" i="166"/>
  <c r="AG335" i="166"/>
  <c r="AE335" i="166"/>
  <c r="Z335" i="166"/>
  <c r="AO334" i="166"/>
  <c r="AN334" i="166"/>
  <c r="AM334" i="166"/>
  <c r="AG334" i="166"/>
  <c r="AE334" i="166"/>
  <c r="Z334" i="166"/>
  <c r="AO333" i="166"/>
  <c r="AN333" i="166"/>
  <c r="AM333" i="166"/>
  <c r="AG333" i="166"/>
  <c r="AE333" i="166"/>
  <c r="Z333" i="166"/>
  <c r="AO332" i="166"/>
  <c r="AN332" i="166"/>
  <c r="AM332" i="166"/>
  <c r="AG332" i="166"/>
  <c r="AE332" i="166"/>
  <c r="Z332" i="166"/>
  <c r="AO331" i="166"/>
  <c r="AN331" i="166"/>
  <c r="AM331" i="166"/>
  <c r="AG331" i="166"/>
  <c r="AE331" i="166"/>
  <c r="Z331" i="166"/>
  <c r="AO330" i="166"/>
  <c r="AN330" i="166"/>
  <c r="AM330" i="166"/>
  <c r="AG330" i="166"/>
  <c r="AE330" i="166"/>
  <c r="Z330" i="166"/>
  <c r="AO329" i="166"/>
  <c r="AN329" i="166"/>
  <c r="AM329" i="166"/>
  <c r="AG329" i="166"/>
  <c r="AE329" i="166"/>
  <c r="Z329" i="166"/>
  <c r="AO328" i="166"/>
  <c r="AN328" i="166"/>
  <c r="AM328" i="166"/>
  <c r="AG328" i="166"/>
  <c r="AE328" i="166"/>
  <c r="Z328" i="166"/>
  <c r="AO327" i="166"/>
  <c r="AN327" i="166"/>
  <c r="AM327" i="166"/>
  <c r="AG327" i="166"/>
  <c r="AE327" i="166"/>
  <c r="Z327" i="166"/>
  <c r="AO326" i="166"/>
  <c r="AN326" i="166"/>
  <c r="AM326" i="166"/>
  <c r="AG326" i="166"/>
  <c r="AE326" i="166"/>
  <c r="Z326" i="166"/>
  <c r="AO325" i="166"/>
  <c r="AN325" i="166"/>
  <c r="AM325" i="166"/>
  <c r="AG325" i="166"/>
  <c r="AE325" i="166"/>
  <c r="Z325" i="166"/>
  <c r="AO324" i="166"/>
  <c r="AN324" i="166"/>
  <c r="AM324" i="166"/>
  <c r="AG324" i="166"/>
  <c r="AE324" i="166"/>
  <c r="Z324" i="166"/>
  <c r="AO323" i="166"/>
  <c r="AN323" i="166"/>
  <c r="AM323" i="166"/>
  <c r="AG323" i="166"/>
  <c r="AE323" i="166"/>
  <c r="Z323" i="166"/>
  <c r="AO322" i="166"/>
  <c r="AN322" i="166"/>
  <c r="AM322" i="166"/>
  <c r="AG322" i="166"/>
  <c r="AE322" i="166"/>
  <c r="Z322" i="166"/>
  <c r="AO321" i="166"/>
  <c r="AN321" i="166"/>
  <c r="AM321" i="166"/>
  <c r="AG321" i="166"/>
  <c r="AE321" i="166"/>
  <c r="Z321" i="166"/>
  <c r="AO320" i="166"/>
  <c r="AN320" i="166"/>
  <c r="AM320" i="166"/>
  <c r="AG320" i="166"/>
  <c r="AE320" i="166"/>
  <c r="Z320" i="166"/>
  <c r="AO319" i="166"/>
  <c r="AN319" i="166"/>
  <c r="AM319" i="166"/>
  <c r="AG319" i="166"/>
  <c r="AE319" i="166"/>
  <c r="Z319" i="166"/>
  <c r="AO318" i="166"/>
  <c r="AN318" i="166"/>
  <c r="AM318" i="166"/>
  <c r="AG318" i="166"/>
  <c r="AE318" i="166"/>
  <c r="Z318" i="166"/>
  <c r="AO317" i="166"/>
  <c r="AN317" i="166"/>
  <c r="AM317" i="166"/>
  <c r="AG317" i="166"/>
  <c r="AE317" i="166"/>
  <c r="Z317" i="166"/>
  <c r="AO316" i="166"/>
  <c r="AN316" i="166"/>
  <c r="AM316" i="166"/>
  <c r="AG316" i="166"/>
  <c r="AE316" i="166"/>
  <c r="Z316" i="166"/>
  <c r="AO315" i="166"/>
  <c r="AN315" i="166"/>
  <c r="AM315" i="166"/>
  <c r="AG315" i="166"/>
  <c r="AE315" i="166"/>
  <c r="Z315" i="166"/>
  <c r="AO314" i="166"/>
  <c r="AN314" i="166"/>
  <c r="AM314" i="166"/>
  <c r="AG314" i="166"/>
  <c r="AE314" i="166"/>
  <c r="Z314" i="166"/>
  <c r="AO313" i="166"/>
  <c r="AN313" i="166"/>
  <c r="AM313" i="166"/>
  <c r="AG313" i="166"/>
  <c r="AE313" i="166"/>
  <c r="Z313" i="166"/>
  <c r="AO312" i="166"/>
  <c r="AN312" i="166"/>
  <c r="AM312" i="166"/>
  <c r="AG312" i="166"/>
  <c r="AE312" i="166"/>
  <c r="Z312" i="166"/>
  <c r="AO311" i="166"/>
  <c r="AN311" i="166"/>
  <c r="AM311" i="166"/>
  <c r="AG311" i="166"/>
  <c r="AE311" i="166"/>
  <c r="Z311" i="166"/>
  <c r="AO310" i="166"/>
  <c r="AN310" i="166"/>
  <c r="AM310" i="166"/>
  <c r="AG310" i="166"/>
  <c r="AE310" i="166"/>
  <c r="Z310" i="166"/>
  <c r="AO309" i="166"/>
  <c r="AN309" i="166"/>
  <c r="AM309" i="166"/>
  <c r="AG309" i="166"/>
  <c r="AE309" i="166"/>
  <c r="Z309" i="166"/>
  <c r="AO308" i="166"/>
  <c r="AN308" i="166"/>
  <c r="AM308" i="166"/>
  <c r="AG308" i="166"/>
  <c r="AE308" i="166"/>
  <c r="Z308" i="166"/>
  <c r="AO307" i="166"/>
  <c r="AN307" i="166"/>
  <c r="AM307" i="166"/>
  <c r="AG307" i="166"/>
  <c r="AE307" i="166"/>
  <c r="Z307" i="166"/>
  <c r="AO306" i="166"/>
  <c r="AN306" i="166"/>
  <c r="AM306" i="166"/>
  <c r="AG306" i="166"/>
  <c r="AE306" i="166"/>
  <c r="Z306" i="166"/>
  <c r="AO305" i="166"/>
  <c r="AN305" i="166"/>
  <c r="AM305" i="166"/>
  <c r="AG305" i="166"/>
  <c r="AE305" i="166"/>
  <c r="Z305" i="166"/>
  <c r="AO304" i="166"/>
  <c r="AN304" i="166"/>
  <c r="AM304" i="166"/>
  <c r="AG304" i="166"/>
  <c r="AE304" i="166"/>
  <c r="Z304" i="166"/>
  <c r="AO303" i="166"/>
  <c r="AN303" i="166"/>
  <c r="AM303" i="166"/>
  <c r="AG303" i="166"/>
  <c r="AE303" i="166"/>
  <c r="Z303" i="166"/>
  <c r="AO302" i="166"/>
  <c r="AN302" i="166"/>
  <c r="AM302" i="166"/>
  <c r="AG302" i="166"/>
  <c r="AE302" i="166"/>
  <c r="Z302" i="166"/>
  <c r="AO301" i="166"/>
  <c r="AN301" i="166"/>
  <c r="AM301" i="166"/>
  <c r="AG301" i="166"/>
  <c r="AE301" i="166"/>
  <c r="Z301" i="166"/>
  <c r="AO300" i="166"/>
  <c r="AN300" i="166"/>
  <c r="AM300" i="166"/>
  <c r="AG300" i="166"/>
  <c r="AE300" i="166"/>
  <c r="Z300" i="166"/>
  <c r="AO299" i="166"/>
  <c r="AN299" i="166"/>
  <c r="AM299" i="166"/>
  <c r="AG299" i="166"/>
  <c r="AE299" i="166"/>
  <c r="Z299" i="166"/>
  <c r="AO298" i="166"/>
  <c r="AN298" i="166"/>
  <c r="AM298" i="166"/>
  <c r="AG298" i="166"/>
  <c r="AE298" i="166"/>
  <c r="Z298" i="166"/>
  <c r="AO297" i="166"/>
  <c r="AN297" i="166"/>
  <c r="AM297" i="166"/>
  <c r="AG297" i="166"/>
  <c r="AE297" i="166"/>
  <c r="Z297" i="166"/>
  <c r="AO296" i="166"/>
  <c r="AN296" i="166"/>
  <c r="AM296" i="166"/>
  <c r="AG296" i="166"/>
  <c r="AE296" i="166"/>
  <c r="Z296" i="166"/>
  <c r="AO295" i="166"/>
  <c r="AN295" i="166"/>
  <c r="AM295" i="166"/>
  <c r="AG295" i="166"/>
  <c r="AE295" i="166"/>
  <c r="Z295" i="166"/>
  <c r="AO294" i="166"/>
  <c r="AN294" i="166"/>
  <c r="AM294" i="166"/>
  <c r="AG294" i="166"/>
  <c r="AE294" i="166"/>
  <c r="Z294" i="166"/>
  <c r="AO293" i="166"/>
  <c r="AN293" i="166"/>
  <c r="AM293" i="166"/>
  <c r="AG293" i="166"/>
  <c r="AE293" i="166"/>
  <c r="Z293" i="166"/>
  <c r="AO292" i="166"/>
  <c r="AN292" i="166"/>
  <c r="AM292" i="166"/>
  <c r="AG292" i="166"/>
  <c r="AE292" i="166"/>
  <c r="Z292" i="166"/>
  <c r="AO291" i="166"/>
  <c r="AN291" i="166"/>
  <c r="AM291" i="166"/>
  <c r="AG291" i="166"/>
  <c r="AE291" i="166"/>
  <c r="Z291" i="166"/>
  <c r="AO290" i="166"/>
  <c r="AN290" i="166"/>
  <c r="AM290" i="166"/>
  <c r="AG290" i="166"/>
  <c r="AE290" i="166"/>
  <c r="Z290" i="166"/>
  <c r="AO289" i="166"/>
  <c r="AN289" i="166"/>
  <c r="AM289" i="166"/>
  <c r="AG289" i="166"/>
  <c r="AE289" i="166"/>
  <c r="Z289" i="166"/>
  <c r="AO288" i="166"/>
  <c r="AN288" i="166"/>
  <c r="AM288" i="166"/>
  <c r="AG288" i="166"/>
  <c r="AE288" i="166"/>
  <c r="Z288" i="166"/>
  <c r="AO287" i="166"/>
  <c r="AN287" i="166"/>
  <c r="AM287" i="166"/>
  <c r="AG287" i="166"/>
  <c r="AE287" i="166"/>
  <c r="Z287" i="166"/>
  <c r="AO286" i="166"/>
  <c r="AN286" i="166"/>
  <c r="AM286" i="166"/>
  <c r="AG286" i="166"/>
  <c r="AE286" i="166"/>
  <c r="Z286" i="166"/>
  <c r="AO285" i="166"/>
  <c r="AN285" i="166"/>
  <c r="AM285" i="166"/>
  <c r="AG285" i="166"/>
  <c r="AE285" i="166"/>
  <c r="Z285" i="166"/>
  <c r="AO284" i="166"/>
  <c r="AN284" i="166"/>
  <c r="AM284" i="166"/>
  <c r="AG284" i="166"/>
  <c r="AE284" i="166"/>
  <c r="Z284" i="166"/>
  <c r="AO283" i="166"/>
  <c r="AN283" i="166"/>
  <c r="AM283" i="166"/>
  <c r="AG283" i="166"/>
  <c r="AE283" i="166"/>
  <c r="Z283" i="166"/>
  <c r="AO282" i="166"/>
  <c r="AN282" i="166"/>
  <c r="AM282" i="166"/>
  <c r="AG282" i="166"/>
  <c r="AE282" i="166"/>
  <c r="Z282" i="166"/>
  <c r="AO281" i="166"/>
  <c r="AN281" i="166"/>
  <c r="AM281" i="166"/>
  <c r="AG281" i="166"/>
  <c r="AE281" i="166"/>
  <c r="Z281" i="166"/>
  <c r="AO280" i="166"/>
  <c r="AN280" i="166"/>
  <c r="AM280" i="166"/>
  <c r="AG280" i="166"/>
  <c r="AE280" i="166"/>
  <c r="Z280" i="166"/>
  <c r="AO279" i="166"/>
  <c r="AN279" i="166"/>
  <c r="AM279" i="166"/>
  <c r="AG279" i="166"/>
  <c r="AE279" i="166"/>
  <c r="Z279" i="166"/>
  <c r="AO278" i="166"/>
  <c r="AN278" i="166"/>
  <c r="AM278" i="166"/>
  <c r="AG278" i="166"/>
  <c r="AE278" i="166"/>
  <c r="Z278" i="166"/>
  <c r="AO277" i="166"/>
  <c r="AN277" i="166"/>
  <c r="AM277" i="166"/>
  <c r="AG277" i="166"/>
  <c r="AE277" i="166"/>
  <c r="Z277" i="166"/>
  <c r="AO276" i="166"/>
  <c r="AN276" i="166"/>
  <c r="AM276" i="166"/>
  <c r="AG276" i="166"/>
  <c r="AE276" i="166"/>
  <c r="Z276" i="166"/>
  <c r="AO275" i="166"/>
  <c r="AN275" i="166"/>
  <c r="AM275" i="166"/>
  <c r="AG275" i="166"/>
  <c r="AE275" i="166"/>
  <c r="Z275" i="166"/>
  <c r="AO274" i="166"/>
  <c r="AN274" i="166"/>
  <c r="AM274" i="166"/>
  <c r="AG274" i="166"/>
  <c r="AE274" i="166"/>
  <c r="Z274" i="166"/>
  <c r="AO273" i="166"/>
  <c r="AN273" i="166"/>
  <c r="AM273" i="166"/>
  <c r="AG273" i="166"/>
  <c r="AE273" i="166"/>
  <c r="Z273" i="166"/>
  <c r="AO272" i="166"/>
  <c r="AN272" i="166"/>
  <c r="AM272" i="166"/>
  <c r="AG272" i="166"/>
  <c r="AE272" i="166"/>
  <c r="Z272" i="166"/>
  <c r="AO271" i="166"/>
  <c r="AN271" i="166"/>
  <c r="AM271" i="166"/>
  <c r="AG271" i="166"/>
  <c r="AE271" i="166"/>
  <c r="Z271" i="166"/>
  <c r="AO270" i="166"/>
  <c r="AN270" i="166"/>
  <c r="AM270" i="166"/>
  <c r="AG270" i="166"/>
  <c r="AE270" i="166"/>
  <c r="Z270" i="166"/>
  <c r="AO269" i="166"/>
  <c r="AN269" i="166"/>
  <c r="AM269" i="166"/>
  <c r="AG269" i="166"/>
  <c r="AE269" i="166"/>
  <c r="Z269" i="166"/>
  <c r="AO268" i="166"/>
  <c r="AN268" i="166"/>
  <c r="AM268" i="166"/>
  <c r="AG268" i="166"/>
  <c r="AE268" i="166"/>
  <c r="Z268" i="166"/>
  <c r="AO267" i="166"/>
  <c r="AN267" i="166"/>
  <c r="AM267" i="166"/>
  <c r="AG267" i="166"/>
  <c r="AE267" i="166"/>
  <c r="Z267" i="166"/>
  <c r="AO266" i="166"/>
  <c r="AN266" i="166"/>
  <c r="AM266" i="166"/>
  <c r="AG266" i="166"/>
  <c r="AE266" i="166"/>
  <c r="Z266" i="166"/>
  <c r="AO265" i="166"/>
  <c r="AN265" i="166"/>
  <c r="AM265" i="166"/>
  <c r="AG265" i="166"/>
  <c r="AE265" i="166"/>
  <c r="Z265" i="166"/>
  <c r="AO264" i="166"/>
  <c r="AN264" i="166"/>
  <c r="AM264" i="166"/>
  <c r="AG264" i="166"/>
  <c r="AE264" i="166"/>
  <c r="Z264" i="166"/>
  <c r="AO263" i="166"/>
  <c r="AN263" i="166"/>
  <c r="AM263" i="166"/>
  <c r="AG263" i="166"/>
  <c r="AE263" i="166"/>
  <c r="Z263" i="166"/>
  <c r="AO262" i="166"/>
  <c r="AN262" i="166"/>
  <c r="AM262" i="166"/>
  <c r="AG262" i="166"/>
  <c r="AE262" i="166"/>
  <c r="Z262" i="166"/>
  <c r="AO261" i="166"/>
  <c r="AN261" i="166"/>
  <c r="AM261" i="166"/>
  <c r="AG261" i="166"/>
  <c r="AE261" i="166"/>
  <c r="Z261" i="166"/>
  <c r="AO260" i="166"/>
  <c r="AN260" i="166"/>
  <c r="AM260" i="166"/>
  <c r="AG260" i="166"/>
  <c r="AE260" i="166"/>
  <c r="Z260" i="166"/>
  <c r="AO259" i="166"/>
  <c r="AN259" i="166"/>
  <c r="AM259" i="166"/>
  <c r="AG259" i="166"/>
  <c r="AE259" i="166"/>
  <c r="Z259" i="166"/>
  <c r="AO258" i="166"/>
  <c r="AN258" i="166"/>
  <c r="AM258" i="166"/>
  <c r="AG258" i="166"/>
  <c r="AE258" i="166"/>
  <c r="Z258" i="166"/>
  <c r="AO257" i="166"/>
  <c r="AN257" i="166"/>
  <c r="AM257" i="166"/>
  <c r="AG257" i="166"/>
  <c r="AE257" i="166"/>
  <c r="Z257" i="166"/>
  <c r="AO256" i="166"/>
  <c r="AN256" i="166"/>
  <c r="AM256" i="166"/>
  <c r="AG256" i="166"/>
  <c r="AE256" i="166"/>
  <c r="Z256" i="166"/>
  <c r="AO255" i="166"/>
  <c r="AN255" i="166"/>
  <c r="AM255" i="166"/>
  <c r="AG255" i="166"/>
  <c r="AE255" i="166"/>
  <c r="Z255" i="166"/>
  <c r="AO254" i="166"/>
  <c r="AN254" i="166"/>
  <c r="AM254" i="166"/>
  <c r="AG254" i="166"/>
  <c r="AE254" i="166"/>
  <c r="Z254" i="166"/>
  <c r="AO253" i="166"/>
  <c r="AN253" i="166"/>
  <c r="AM253" i="166"/>
  <c r="AG253" i="166"/>
  <c r="AE253" i="166"/>
  <c r="Z253" i="166"/>
  <c r="AO252" i="166"/>
  <c r="AN252" i="166"/>
  <c r="AM252" i="166"/>
  <c r="AG252" i="166"/>
  <c r="AE252" i="166"/>
  <c r="Z252" i="166"/>
  <c r="AO251" i="166"/>
  <c r="AN251" i="166"/>
  <c r="AM251" i="166"/>
  <c r="AG251" i="166"/>
  <c r="AE251" i="166"/>
  <c r="Z251" i="166"/>
  <c r="AO250" i="166"/>
  <c r="AN250" i="166"/>
  <c r="AM250" i="166"/>
  <c r="AG250" i="166"/>
  <c r="AE250" i="166"/>
  <c r="Z250" i="166"/>
  <c r="AO249" i="166"/>
  <c r="AN249" i="166"/>
  <c r="AM249" i="166"/>
  <c r="AG249" i="166"/>
  <c r="AE249" i="166"/>
  <c r="Z249" i="166"/>
  <c r="AO248" i="166"/>
  <c r="AN248" i="166"/>
  <c r="AM248" i="166"/>
  <c r="AG248" i="166"/>
  <c r="AE248" i="166"/>
  <c r="Z248" i="166"/>
  <c r="AO247" i="166"/>
  <c r="AN247" i="166"/>
  <c r="AM247" i="166"/>
  <c r="AG247" i="166"/>
  <c r="AE247" i="166"/>
  <c r="Z247" i="166"/>
  <c r="AO246" i="166"/>
  <c r="AN246" i="166"/>
  <c r="AM246" i="166"/>
  <c r="AG246" i="166"/>
  <c r="AE246" i="166"/>
  <c r="Z246" i="166"/>
  <c r="AO245" i="166"/>
  <c r="AN245" i="166"/>
  <c r="AM245" i="166"/>
  <c r="AG245" i="166"/>
  <c r="AE245" i="166"/>
  <c r="Z245" i="166"/>
  <c r="AO244" i="166"/>
  <c r="AN244" i="166"/>
  <c r="AM244" i="166"/>
  <c r="AG244" i="166"/>
  <c r="AE244" i="166"/>
  <c r="Z244" i="166"/>
  <c r="AO243" i="166"/>
  <c r="AN243" i="166"/>
  <c r="AM243" i="166"/>
  <c r="AG243" i="166"/>
  <c r="AE243" i="166"/>
  <c r="Z243" i="166"/>
  <c r="AO242" i="166"/>
  <c r="AN242" i="166"/>
  <c r="AM242" i="166"/>
  <c r="AG242" i="166"/>
  <c r="AE242" i="166"/>
  <c r="Z242" i="166"/>
  <c r="AO241" i="166"/>
  <c r="AN241" i="166"/>
  <c r="AM241" i="166"/>
  <c r="AG241" i="166"/>
  <c r="AE241" i="166"/>
  <c r="Z241" i="166"/>
  <c r="AO240" i="166"/>
  <c r="AN240" i="166"/>
  <c r="AM240" i="166"/>
  <c r="AG240" i="166"/>
  <c r="AE240" i="166"/>
  <c r="Z240" i="166"/>
  <c r="AO239" i="166"/>
  <c r="AN239" i="166"/>
  <c r="AM239" i="166"/>
  <c r="AG239" i="166"/>
  <c r="AE239" i="166"/>
  <c r="Z239" i="166"/>
  <c r="AO238" i="166"/>
  <c r="AN238" i="166"/>
  <c r="AM238" i="166"/>
  <c r="AG238" i="166"/>
  <c r="AE238" i="166"/>
  <c r="Z238" i="166"/>
  <c r="AO237" i="166"/>
  <c r="AN237" i="166"/>
  <c r="AM237" i="166"/>
  <c r="AG237" i="166"/>
  <c r="AE237" i="166"/>
  <c r="Z237" i="166"/>
  <c r="AO236" i="166"/>
  <c r="AN236" i="166"/>
  <c r="AM236" i="166"/>
  <c r="AG236" i="166"/>
  <c r="AE236" i="166"/>
  <c r="Z236" i="166"/>
  <c r="AO235" i="166"/>
  <c r="AN235" i="166"/>
  <c r="AM235" i="166"/>
  <c r="AG235" i="166"/>
  <c r="AE235" i="166"/>
  <c r="Z235" i="166"/>
  <c r="AO234" i="166"/>
  <c r="AN234" i="166"/>
  <c r="AM234" i="166"/>
  <c r="AG234" i="166"/>
  <c r="AE234" i="166"/>
  <c r="Z234" i="166"/>
  <c r="AO233" i="166"/>
  <c r="AN233" i="166"/>
  <c r="AM233" i="166"/>
  <c r="AG233" i="166"/>
  <c r="AE233" i="166"/>
  <c r="Z233" i="166"/>
  <c r="AO232" i="166"/>
  <c r="AN232" i="166"/>
  <c r="AM232" i="166"/>
  <c r="AG232" i="166"/>
  <c r="AE232" i="166"/>
  <c r="Z232" i="166"/>
  <c r="AO231" i="166"/>
  <c r="AN231" i="166"/>
  <c r="AM231" i="166"/>
  <c r="AG231" i="166"/>
  <c r="AE231" i="166"/>
  <c r="Z231" i="166"/>
  <c r="AO230" i="166"/>
  <c r="AN230" i="166"/>
  <c r="AM230" i="166"/>
  <c r="AG230" i="166"/>
  <c r="AE230" i="166"/>
  <c r="Z230" i="166"/>
  <c r="AO229" i="166"/>
  <c r="AN229" i="166"/>
  <c r="AM229" i="166"/>
  <c r="AG229" i="166"/>
  <c r="AE229" i="166"/>
  <c r="Z229" i="166"/>
  <c r="AO228" i="166"/>
  <c r="AN228" i="166"/>
  <c r="AM228" i="166"/>
  <c r="AG228" i="166"/>
  <c r="AE228" i="166"/>
  <c r="Z228" i="166"/>
  <c r="AO227" i="166"/>
  <c r="AN227" i="166"/>
  <c r="AM227" i="166"/>
  <c r="AG227" i="166"/>
  <c r="AE227" i="166"/>
  <c r="Z227" i="166"/>
  <c r="AO226" i="166"/>
  <c r="AN226" i="166"/>
  <c r="AM226" i="166"/>
  <c r="AG226" i="166"/>
  <c r="AE226" i="166"/>
  <c r="Z226" i="166"/>
  <c r="AO225" i="166"/>
  <c r="AN225" i="166"/>
  <c r="AM225" i="166"/>
  <c r="AG225" i="166"/>
  <c r="AE225" i="166"/>
  <c r="Z225" i="166"/>
  <c r="AO224" i="166"/>
  <c r="AN224" i="166"/>
  <c r="AM224" i="166"/>
  <c r="AG224" i="166"/>
  <c r="AE224" i="166"/>
  <c r="Z224" i="166"/>
  <c r="AO223" i="166"/>
  <c r="AN223" i="166"/>
  <c r="AM223" i="166"/>
  <c r="AG223" i="166"/>
  <c r="AE223" i="166"/>
  <c r="Z223" i="166"/>
  <c r="AO222" i="166"/>
  <c r="AN222" i="166"/>
  <c r="AM222" i="166"/>
  <c r="AG222" i="166"/>
  <c r="AE222" i="166"/>
  <c r="Z222" i="166"/>
  <c r="AO221" i="166"/>
  <c r="AN221" i="166"/>
  <c r="AM221" i="166"/>
  <c r="AG221" i="166"/>
  <c r="AE221" i="166"/>
  <c r="Z221" i="166"/>
  <c r="AO220" i="166"/>
  <c r="AN220" i="166"/>
  <c r="AM220" i="166"/>
  <c r="AG220" i="166"/>
  <c r="AE220" i="166"/>
  <c r="Z220" i="166"/>
  <c r="AO219" i="166"/>
  <c r="AN219" i="166"/>
  <c r="AM219" i="166"/>
  <c r="AG219" i="166"/>
  <c r="AE219" i="166"/>
  <c r="Z219" i="166"/>
  <c r="AO218" i="166"/>
  <c r="AN218" i="166"/>
  <c r="AM218" i="166"/>
  <c r="AG218" i="166"/>
  <c r="AE218" i="166"/>
  <c r="Z218" i="166"/>
  <c r="AO217" i="166"/>
  <c r="AN217" i="166"/>
  <c r="AM217" i="166"/>
  <c r="AG217" i="166"/>
  <c r="AE217" i="166"/>
  <c r="Z217" i="166"/>
  <c r="AO216" i="166"/>
  <c r="AN216" i="166"/>
  <c r="AM216" i="166"/>
  <c r="AG216" i="166"/>
  <c r="AE216" i="166"/>
  <c r="Z216" i="166"/>
  <c r="AO215" i="166"/>
  <c r="AN215" i="166"/>
  <c r="AM215" i="166"/>
  <c r="AG215" i="166"/>
  <c r="AE215" i="166"/>
  <c r="Z215" i="166"/>
  <c r="AO214" i="166"/>
  <c r="AN214" i="166"/>
  <c r="AM214" i="166"/>
  <c r="AG214" i="166"/>
  <c r="AE214" i="166"/>
  <c r="Z214" i="166"/>
  <c r="AO213" i="166"/>
  <c r="AN213" i="166"/>
  <c r="AM213" i="166"/>
  <c r="AG213" i="166"/>
  <c r="AE213" i="166"/>
  <c r="Z213" i="166"/>
  <c r="AO212" i="166"/>
  <c r="AN212" i="166"/>
  <c r="AM212" i="166"/>
  <c r="AG212" i="166"/>
  <c r="AE212" i="166"/>
  <c r="Z212" i="166"/>
  <c r="AO211" i="166"/>
  <c r="AN211" i="166"/>
  <c r="AM211" i="166"/>
  <c r="AG211" i="166"/>
  <c r="AE211" i="166"/>
  <c r="Z211" i="166"/>
  <c r="AO210" i="166"/>
  <c r="AN210" i="166"/>
  <c r="AM210" i="166"/>
  <c r="AG210" i="166"/>
  <c r="AE210" i="166"/>
  <c r="Z210" i="166"/>
  <c r="AO209" i="166"/>
  <c r="AN209" i="166"/>
  <c r="AM209" i="166"/>
  <c r="AG209" i="166"/>
  <c r="AE209" i="166"/>
  <c r="Z209" i="166"/>
  <c r="AO208" i="166"/>
  <c r="AN208" i="166"/>
  <c r="AM208" i="166"/>
  <c r="AG208" i="166"/>
  <c r="AE208" i="166"/>
  <c r="Z208" i="166"/>
  <c r="AO207" i="166"/>
  <c r="AN207" i="166"/>
  <c r="AM207" i="166"/>
  <c r="AG207" i="166"/>
  <c r="AE207" i="166"/>
  <c r="Z207" i="166"/>
  <c r="AO206" i="166"/>
  <c r="AN206" i="166"/>
  <c r="AM206" i="166"/>
  <c r="AG206" i="166"/>
  <c r="AE206" i="166"/>
  <c r="Z206" i="166"/>
  <c r="AO205" i="166"/>
  <c r="AN205" i="166"/>
  <c r="AM205" i="166"/>
  <c r="AG205" i="166"/>
  <c r="AE205" i="166"/>
  <c r="Z205" i="166"/>
  <c r="AO204" i="166"/>
  <c r="AN204" i="166"/>
  <c r="AM204" i="166"/>
  <c r="AG204" i="166"/>
  <c r="AE204" i="166"/>
  <c r="Z204" i="166"/>
  <c r="AO203" i="166"/>
  <c r="AN203" i="166"/>
  <c r="AM203" i="166"/>
  <c r="AG203" i="166"/>
  <c r="AE203" i="166"/>
  <c r="Z203" i="166"/>
  <c r="AO202" i="166"/>
  <c r="AN202" i="166"/>
  <c r="AM202" i="166"/>
  <c r="AG202" i="166"/>
  <c r="AE202" i="166"/>
  <c r="Z202" i="166"/>
  <c r="AO201" i="166"/>
  <c r="AN201" i="166"/>
  <c r="AM201" i="166"/>
  <c r="AG201" i="166"/>
  <c r="AE201" i="166"/>
  <c r="Z201" i="166"/>
  <c r="AO200" i="166"/>
  <c r="AN200" i="166"/>
  <c r="AM200" i="166"/>
  <c r="AG200" i="166"/>
  <c r="AE200" i="166"/>
  <c r="Z200" i="166"/>
  <c r="AO199" i="166"/>
  <c r="AN199" i="166"/>
  <c r="AM199" i="166"/>
  <c r="AG199" i="166"/>
  <c r="AE199" i="166"/>
  <c r="Z199" i="166"/>
  <c r="AO198" i="166"/>
  <c r="AN198" i="166"/>
  <c r="AM198" i="166"/>
  <c r="AG198" i="166"/>
  <c r="AE198" i="166"/>
  <c r="Z198" i="166"/>
  <c r="AO197" i="166"/>
  <c r="AN197" i="166"/>
  <c r="AM197" i="166"/>
  <c r="AG197" i="166"/>
  <c r="AE197" i="166"/>
  <c r="Z197" i="166"/>
  <c r="AO196" i="166"/>
  <c r="AN196" i="166"/>
  <c r="AM196" i="166"/>
  <c r="AG196" i="166"/>
  <c r="AE196" i="166"/>
  <c r="Z196" i="166"/>
  <c r="AO195" i="166"/>
  <c r="AN195" i="166"/>
  <c r="AM195" i="166"/>
  <c r="AG195" i="166"/>
  <c r="AE195" i="166"/>
  <c r="Z195" i="166"/>
  <c r="AO194" i="166"/>
  <c r="AN194" i="166"/>
  <c r="AM194" i="166"/>
  <c r="AG194" i="166"/>
  <c r="AE194" i="166"/>
  <c r="Z194" i="166"/>
  <c r="AO193" i="166"/>
  <c r="AN193" i="166"/>
  <c r="AM193" i="166"/>
  <c r="AG193" i="166"/>
  <c r="AE193" i="166"/>
  <c r="Z193" i="166"/>
  <c r="AO192" i="166"/>
  <c r="AN192" i="166"/>
  <c r="AM192" i="166"/>
  <c r="AG192" i="166"/>
  <c r="AE192" i="166"/>
  <c r="Z192" i="166"/>
  <c r="AO191" i="166"/>
  <c r="AN191" i="166"/>
  <c r="AM191" i="166"/>
  <c r="AG191" i="166"/>
  <c r="AE191" i="166"/>
  <c r="Z191" i="166"/>
  <c r="AO190" i="166"/>
  <c r="AN190" i="166"/>
  <c r="AM190" i="166"/>
  <c r="AG190" i="166"/>
  <c r="AE190" i="166"/>
  <c r="Z190" i="166"/>
  <c r="AO189" i="166"/>
  <c r="AN189" i="166"/>
  <c r="AM189" i="166"/>
  <c r="AG189" i="166"/>
  <c r="AE189" i="166"/>
  <c r="Z189" i="166"/>
  <c r="AO188" i="166"/>
  <c r="AN188" i="166"/>
  <c r="AM188" i="166"/>
  <c r="AG188" i="166"/>
  <c r="AE188" i="166"/>
  <c r="Z188" i="166"/>
  <c r="AO187" i="166"/>
  <c r="AN187" i="166"/>
  <c r="AM187" i="166"/>
  <c r="AG187" i="166"/>
  <c r="AE187" i="166"/>
  <c r="Z187" i="166"/>
  <c r="AO186" i="166"/>
  <c r="AN186" i="166"/>
  <c r="AM186" i="166"/>
  <c r="AG186" i="166"/>
  <c r="AE186" i="166"/>
  <c r="Z186" i="166"/>
  <c r="AO185" i="166"/>
  <c r="AN185" i="166"/>
  <c r="AM185" i="166"/>
  <c r="AG185" i="166"/>
  <c r="AE185" i="166"/>
  <c r="Z185" i="166"/>
  <c r="AO184" i="166"/>
  <c r="AN184" i="166"/>
  <c r="AM184" i="166"/>
  <c r="AG184" i="166"/>
  <c r="AE184" i="166"/>
  <c r="Z184" i="166"/>
  <c r="AO183" i="166"/>
  <c r="AN183" i="166"/>
  <c r="AM183" i="166"/>
  <c r="AG183" i="166"/>
  <c r="AE183" i="166"/>
  <c r="Z183" i="166"/>
  <c r="AO182" i="166"/>
  <c r="AN182" i="166"/>
  <c r="AM182" i="166"/>
  <c r="AG182" i="166"/>
  <c r="AE182" i="166"/>
  <c r="Z182" i="166"/>
  <c r="AO181" i="166"/>
  <c r="AN181" i="166"/>
  <c r="AM181" i="166"/>
  <c r="AG181" i="166"/>
  <c r="AE181" i="166"/>
  <c r="Z181" i="166"/>
  <c r="AO180" i="166"/>
  <c r="AN180" i="166"/>
  <c r="AM180" i="166"/>
  <c r="AG180" i="166"/>
  <c r="AE180" i="166"/>
  <c r="Z180" i="166"/>
  <c r="AO179" i="166"/>
  <c r="AN179" i="166"/>
  <c r="AM179" i="166"/>
  <c r="AG179" i="166"/>
  <c r="AE179" i="166"/>
  <c r="Z179" i="166"/>
  <c r="AO178" i="166"/>
  <c r="AN178" i="166"/>
  <c r="AM178" i="166"/>
  <c r="AG178" i="166"/>
  <c r="AE178" i="166"/>
  <c r="Z178" i="166"/>
  <c r="AO177" i="166"/>
  <c r="AN177" i="166"/>
  <c r="AM177" i="166"/>
  <c r="AG177" i="166"/>
  <c r="AE177" i="166"/>
  <c r="Z177" i="166"/>
  <c r="AO176" i="166"/>
  <c r="AN176" i="166"/>
  <c r="AM176" i="166"/>
  <c r="AG176" i="166"/>
  <c r="AE176" i="166"/>
  <c r="Z176" i="166"/>
  <c r="AO175" i="166"/>
  <c r="AN175" i="166"/>
  <c r="AM175" i="166"/>
  <c r="AG175" i="166"/>
  <c r="AE175" i="166"/>
  <c r="Z175" i="166"/>
  <c r="AO174" i="166"/>
  <c r="AN174" i="166"/>
  <c r="AM174" i="166"/>
  <c r="AG174" i="166"/>
  <c r="AE174" i="166"/>
  <c r="Z174" i="166"/>
  <c r="AO173" i="166"/>
  <c r="AN173" i="166"/>
  <c r="AM173" i="166"/>
  <c r="AG173" i="166"/>
  <c r="AE173" i="166"/>
  <c r="Z173" i="166"/>
  <c r="AO172" i="166"/>
  <c r="AN172" i="166"/>
  <c r="AM172" i="166"/>
  <c r="AG172" i="166"/>
  <c r="AE172" i="166"/>
  <c r="Z172" i="166"/>
  <c r="AO171" i="166"/>
  <c r="AN171" i="166"/>
  <c r="AM171" i="166"/>
  <c r="AG171" i="166"/>
  <c r="AE171" i="166"/>
  <c r="Z171" i="166"/>
  <c r="AO170" i="166"/>
  <c r="AN170" i="166"/>
  <c r="AM170" i="166"/>
  <c r="AG170" i="166"/>
  <c r="AE170" i="166"/>
  <c r="Z170" i="166"/>
  <c r="AO169" i="166"/>
  <c r="AN169" i="166"/>
  <c r="AM169" i="166"/>
  <c r="AG169" i="166"/>
  <c r="AE169" i="166"/>
  <c r="Z169" i="166"/>
  <c r="AO168" i="166"/>
  <c r="AN168" i="166"/>
  <c r="AM168" i="166"/>
  <c r="AG168" i="166"/>
  <c r="AE168" i="166"/>
  <c r="Z168" i="166"/>
  <c r="AO167" i="166"/>
  <c r="AN167" i="166"/>
  <c r="AM167" i="166"/>
  <c r="AG167" i="166"/>
  <c r="AE167" i="166"/>
  <c r="Z167" i="166"/>
  <c r="AO166" i="166"/>
  <c r="AN166" i="166"/>
  <c r="AM166" i="166"/>
  <c r="AG166" i="166"/>
  <c r="AE166" i="166"/>
  <c r="Z166" i="166"/>
  <c r="AO165" i="166"/>
  <c r="AN165" i="166"/>
  <c r="AM165" i="166"/>
  <c r="AG165" i="166"/>
  <c r="AE165" i="166"/>
  <c r="Z165" i="166"/>
  <c r="AO164" i="166"/>
  <c r="AN164" i="166"/>
  <c r="AM164" i="166"/>
  <c r="AG164" i="166"/>
  <c r="AE164" i="166"/>
  <c r="Z164" i="166"/>
  <c r="AO163" i="166"/>
  <c r="AN163" i="166"/>
  <c r="AM163" i="166"/>
  <c r="AG163" i="166"/>
  <c r="AE163" i="166"/>
  <c r="Z163" i="166"/>
  <c r="AO162" i="166"/>
  <c r="AN162" i="166"/>
  <c r="AM162" i="166"/>
  <c r="AG162" i="166"/>
  <c r="AE162" i="166"/>
  <c r="Z162" i="166"/>
  <c r="AO161" i="166"/>
  <c r="AN161" i="166"/>
  <c r="AM161" i="166"/>
  <c r="AG161" i="166"/>
  <c r="AE161" i="166"/>
  <c r="Z161" i="166"/>
  <c r="AO160" i="166"/>
  <c r="AN160" i="166"/>
  <c r="AM160" i="166"/>
  <c r="AG160" i="166"/>
  <c r="AE160" i="166"/>
  <c r="Z160" i="166"/>
  <c r="AO159" i="166"/>
  <c r="AN159" i="166"/>
  <c r="AM159" i="166"/>
  <c r="AG159" i="166"/>
  <c r="AE159" i="166"/>
  <c r="Z159" i="166"/>
  <c r="AO158" i="166"/>
  <c r="AN158" i="166"/>
  <c r="AM158" i="166"/>
  <c r="AG158" i="166"/>
  <c r="AE158" i="166"/>
  <c r="Z158" i="166"/>
  <c r="AO157" i="166"/>
  <c r="AN157" i="166"/>
  <c r="AM157" i="166"/>
  <c r="AG157" i="166"/>
  <c r="AE157" i="166"/>
  <c r="Z157" i="166"/>
  <c r="AO156" i="166"/>
  <c r="AN156" i="166"/>
  <c r="AM156" i="166"/>
  <c r="AG156" i="166"/>
  <c r="AE156" i="166"/>
  <c r="Z156" i="166"/>
  <c r="AO155" i="166"/>
  <c r="AN155" i="166"/>
  <c r="AM155" i="166"/>
  <c r="AG155" i="166"/>
  <c r="AE155" i="166"/>
  <c r="Z155" i="166"/>
  <c r="AO154" i="166"/>
  <c r="AN154" i="166"/>
  <c r="AM154" i="166"/>
  <c r="AG154" i="166"/>
  <c r="AE154" i="166"/>
  <c r="Z154" i="166"/>
  <c r="AO153" i="166"/>
  <c r="AN153" i="166"/>
  <c r="AM153" i="166"/>
  <c r="AG153" i="166"/>
  <c r="AE153" i="166"/>
  <c r="Z153" i="166"/>
  <c r="AO152" i="166"/>
  <c r="AN152" i="166"/>
  <c r="AM152" i="166"/>
  <c r="AG152" i="166"/>
  <c r="AE152" i="166"/>
  <c r="Z152" i="166"/>
  <c r="AO151" i="166"/>
  <c r="AN151" i="166"/>
  <c r="AM151" i="166"/>
  <c r="AG151" i="166"/>
  <c r="AE151" i="166"/>
  <c r="Z151" i="166"/>
  <c r="AO150" i="166"/>
  <c r="AN150" i="166"/>
  <c r="AM150" i="166"/>
  <c r="AG150" i="166"/>
  <c r="AE150" i="166"/>
  <c r="Z150" i="166"/>
  <c r="AO149" i="166"/>
  <c r="AN149" i="166"/>
  <c r="AM149" i="166"/>
  <c r="AG149" i="166"/>
  <c r="AE149" i="166"/>
  <c r="Z149" i="166"/>
  <c r="AO148" i="166"/>
  <c r="AN148" i="166"/>
  <c r="AM148" i="166"/>
  <c r="AG148" i="166"/>
  <c r="AE148" i="166"/>
  <c r="Z148" i="166"/>
  <c r="AO147" i="166"/>
  <c r="AN147" i="166"/>
  <c r="AM147" i="166"/>
  <c r="AG147" i="166"/>
  <c r="AE147" i="166"/>
  <c r="Z147" i="166"/>
  <c r="AO146" i="166"/>
  <c r="AN146" i="166"/>
  <c r="AM146" i="166"/>
  <c r="AG146" i="166"/>
  <c r="AE146" i="166"/>
  <c r="Z146" i="166"/>
  <c r="AO145" i="166"/>
  <c r="AN145" i="166"/>
  <c r="AM145" i="166"/>
  <c r="AG145" i="166"/>
  <c r="AE145" i="166"/>
  <c r="Z145" i="166"/>
  <c r="AO144" i="166"/>
  <c r="AN144" i="166"/>
  <c r="AM144" i="166"/>
  <c r="AG144" i="166"/>
  <c r="AE144" i="166"/>
  <c r="Z144" i="166"/>
  <c r="AO143" i="166"/>
  <c r="AN143" i="166"/>
  <c r="AM143" i="166"/>
  <c r="AG143" i="166"/>
  <c r="AE143" i="166"/>
  <c r="Z143" i="166"/>
  <c r="AO142" i="166"/>
  <c r="AN142" i="166"/>
  <c r="AM142" i="166"/>
  <c r="AG142" i="166"/>
  <c r="AE142" i="166"/>
  <c r="Z142" i="166"/>
  <c r="AO141" i="166"/>
  <c r="AN141" i="166"/>
  <c r="AM141" i="166"/>
  <c r="AG141" i="166"/>
  <c r="AE141" i="166"/>
  <c r="Z141" i="166"/>
  <c r="AO140" i="166"/>
  <c r="AN140" i="166"/>
  <c r="AM140" i="166"/>
  <c r="AG140" i="166"/>
  <c r="AE140" i="166"/>
  <c r="Z140" i="166"/>
  <c r="AO139" i="166"/>
  <c r="AN139" i="166"/>
  <c r="AM139" i="166"/>
  <c r="AG139" i="166"/>
  <c r="AE139" i="166"/>
  <c r="Z139" i="166"/>
  <c r="AO138" i="166"/>
  <c r="AN138" i="166"/>
  <c r="AM138" i="166"/>
  <c r="AG138" i="166"/>
  <c r="AE138" i="166"/>
  <c r="Z138" i="166"/>
  <c r="AO137" i="166"/>
  <c r="AN137" i="166"/>
  <c r="AM137" i="166"/>
  <c r="AG137" i="166"/>
  <c r="AE137" i="166"/>
  <c r="Z137" i="166"/>
  <c r="AO136" i="166"/>
  <c r="AN136" i="166"/>
  <c r="AM136" i="166"/>
  <c r="AG136" i="166"/>
  <c r="AE136" i="166"/>
  <c r="Z136" i="166"/>
  <c r="AO135" i="166"/>
  <c r="AN135" i="166"/>
  <c r="AM135" i="166"/>
  <c r="AG135" i="166"/>
  <c r="AE135" i="166"/>
  <c r="Z135" i="166"/>
  <c r="AO134" i="166"/>
  <c r="AN134" i="166"/>
  <c r="AM134" i="166"/>
  <c r="AG134" i="166"/>
  <c r="AE134" i="166"/>
  <c r="Z134" i="166"/>
  <c r="AO133" i="166"/>
  <c r="AN133" i="166"/>
  <c r="AM133" i="166"/>
  <c r="AG133" i="166"/>
  <c r="AE133" i="166"/>
  <c r="Z133" i="166"/>
  <c r="AO132" i="166"/>
  <c r="AN132" i="166"/>
  <c r="AM132" i="166"/>
  <c r="AG132" i="166"/>
  <c r="AE132" i="166"/>
  <c r="Z132" i="166"/>
  <c r="AO131" i="166"/>
  <c r="AN131" i="166"/>
  <c r="AM131" i="166"/>
  <c r="AG131" i="166"/>
  <c r="AE131" i="166"/>
  <c r="Z131" i="166"/>
  <c r="AO130" i="166"/>
  <c r="AN130" i="166"/>
  <c r="AM130" i="166"/>
  <c r="AG130" i="166"/>
  <c r="AE130" i="166"/>
  <c r="Z130" i="166"/>
  <c r="AO129" i="166"/>
  <c r="AN129" i="166"/>
  <c r="AM129" i="166"/>
  <c r="AG129" i="166"/>
  <c r="AE129" i="166"/>
  <c r="Z129" i="166"/>
  <c r="AO128" i="166"/>
  <c r="AN128" i="166"/>
  <c r="AM128" i="166"/>
  <c r="AG128" i="166"/>
  <c r="AE128" i="166"/>
  <c r="Z128" i="166"/>
  <c r="AO127" i="166"/>
  <c r="AN127" i="166"/>
  <c r="AM127" i="166"/>
  <c r="AG127" i="166"/>
  <c r="AE127" i="166"/>
  <c r="Z127" i="166"/>
  <c r="AO126" i="166"/>
  <c r="AN126" i="166"/>
  <c r="AM126" i="166"/>
  <c r="AG126" i="166"/>
  <c r="AE126" i="166"/>
  <c r="Z126" i="166"/>
  <c r="AO125" i="166"/>
  <c r="AN125" i="166"/>
  <c r="AM125" i="166"/>
  <c r="AG125" i="166"/>
  <c r="AE125" i="166"/>
  <c r="Z125" i="166"/>
  <c r="AO124" i="166"/>
  <c r="AN124" i="166"/>
  <c r="AM124" i="166"/>
  <c r="AG124" i="166"/>
  <c r="AE124" i="166"/>
  <c r="Z124" i="166"/>
  <c r="AO123" i="166"/>
  <c r="AN123" i="166"/>
  <c r="AM123" i="166"/>
  <c r="AG123" i="166"/>
  <c r="AE123" i="166"/>
  <c r="Z123" i="166"/>
  <c r="AO122" i="166"/>
  <c r="AN122" i="166"/>
  <c r="AM122" i="166"/>
  <c r="AG122" i="166"/>
  <c r="AE122" i="166"/>
  <c r="Z122" i="166"/>
  <c r="AO121" i="166"/>
  <c r="AN121" i="166"/>
  <c r="AM121" i="166"/>
  <c r="AG121" i="166"/>
  <c r="AE121" i="166"/>
  <c r="Z121" i="166"/>
  <c r="AO120" i="166"/>
  <c r="AN120" i="166"/>
  <c r="AM120" i="166"/>
  <c r="AG120" i="166"/>
  <c r="AE120" i="166"/>
  <c r="Z120" i="166"/>
  <c r="AO119" i="166"/>
  <c r="AN119" i="166"/>
  <c r="AM119" i="166"/>
  <c r="AG119" i="166"/>
  <c r="AE119" i="166"/>
  <c r="Z119" i="166"/>
  <c r="AO118" i="166"/>
  <c r="AN118" i="166"/>
  <c r="AM118" i="166"/>
  <c r="AG118" i="166"/>
  <c r="AE118" i="166"/>
  <c r="Z118" i="166"/>
  <c r="AO117" i="166"/>
  <c r="AN117" i="166"/>
  <c r="AM117" i="166"/>
  <c r="AG117" i="166"/>
  <c r="AE117" i="166"/>
  <c r="Z117" i="166"/>
  <c r="AO116" i="166"/>
  <c r="AN116" i="166"/>
  <c r="AM116" i="166"/>
  <c r="AG116" i="166"/>
  <c r="AE116" i="166"/>
  <c r="Z116" i="166"/>
  <c r="AO115" i="166"/>
  <c r="AN115" i="166"/>
  <c r="AM115" i="166"/>
  <c r="AG115" i="166"/>
  <c r="AE115" i="166"/>
  <c r="Z115" i="166"/>
  <c r="AO114" i="166"/>
  <c r="AN114" i="166"/>
  <c r="AM114" i="166"/>
  <c r="AG114" i="166"/>
  <c r="AE114" i="166"/>
  <c r="Z114" i="166"/>
  <c r="AO113" i="166"/>
  <c r="AN113" i="166"/>
  <c r="AM113" i="166"/>
  <c r="AG113" i="166"/>
  <c r="AE113" i="166"/>
  <c r="Z113" i="166"/>
  <c r="AO112" i="166"/>
  <c r="AN112" i="166"/>
  <c r="AM112" i="166"/>
  <c r="AG112" i="166"/>
  <c r="AE112" i="166"/>
  <c r="Z112" i="166"/>
  <c r="AO111" i="166"/>
  <c r="AN111" i="166"/>
  <c r="AM111" i="166"/>
  <c r="AG111" i="166"/>
  <c r="AE111" i="166"/>
  <c r="Z111" i="166"/>
  <c r="AO110" i="166"/>
  <c r="AN110" i="166"/>
  <c r="AM110" i="166"/>
  <c r="AG110" i="166"/>
  <c r="AE110" i="166"/>
  <c r="Z110" i="166"/>
  <c r="AO109" i="166"/>
  <c r="AN109" i="166"/>
  <c r="AM109" i="166"/>
  <c r="AG109" i="166"/>
  <c r="AE109" i="166"/>
  <c r="Z109" i="166"/>
  <c r="AO108" i="166"/>
  <c r="AN108" i="166"/>
  <c r="AM108" i="166"/>
  <c r="AG108" i="166"/>
  <c r="AE108" i="166"/>
  <c r="Z108" i="166"/>
  <c r="AO107" i="166"/>
  <c r="AN107" i="166"/>
  <c r="AM107" i="166"/>
  <c r="AG107" i="166"/>
  <c r="AE107" i="166"/>
  <c r="Z107" i="166"/>
  <c r="AO106" i="166"/>
  <c r="AN106" i="166"/>
  <c r="AM106" i="166"/>
  <c r="AG106" i="166"/>
  <c r="AE106" i="166"/>
  <c r="Z106" i="166"/>
  <c r="AO105" i="166"/>
  <c r="AN105" i="166"/>
  <c r="AM105" i="166"/>
  <c r="AG105" i="166"/>
  <c r="AE105" i="166"/>
  <c r="Z105" i="166"/>
  <c r="AO104" i="166"/>
  <c r="AN104" i="166"/>
  <c r="AM104" i="166"/>
  <c r="AG104" i="166"/>
  <c r="AE104" i="166"/>
  <c r="Z104" i="166"/>
  <c r="AO103" i="166"/>
  <c r="AN103" i="166"/>
  <c r="AM103" i="166"/>
  <c r="AG103" i="166"/>
  <c r="AE103" i="166"/>
  <c r="Z103" i="166"/>
  <c r="AO102" i="166"/>
  <c r="AN102" i="166"/>
  <c r="AM102" i="166"/>
  <c r="AG102" i="166"/>
  <c r="AE102" i="166"/>
  <c r="Z102" i="166"/>
  <c r="AO101" i="166"/>
  <c r="AN101" i="166"/>
  <c r="AM101" i="166"/>
  <c r="AG101" i="166"/>
  <c r="AE101" i="166"/>
  <c r="Z101" i="166"/>
  <c r="AO100" i="166"/>
  <c r="AN100" i="166"/>
  <c r="AM100" i="166"/>
  <c r="AG100" i="166"/>
  <c r="AE100" i="166"/>
  <c r="Z100" i="166"/>
  <c r="AO99" i="166"/>
  <c r="AN99" i="166"/>
  <c r="AM99" i="166"/>
  <c r="AG99" i="166"/>
  <c r="AE99" i="166"/>
  <c r="Z99" i="166"/>
  <c r="AO98" i="166"/>
  <c r="AN98" i="166"/>
  <c r="AM98" i="166"/>
  <c r="AG98" i="166"/>
  <c r="AE98" i="166"/>
  <c r="Z98" i="166"/>
  <c r="AO97" i="166"/>
  <c r="AN97" i="166"/>
  <c r="AM97" i="166"/>
  <c r="AG97" i="166"/>
  <c r="AE97" i="166"/>
  <c r="Z97" i="166"/>
  <c r="AO96" i="166"/>
  <c r="AN96" i="166"/>
  <c r="AM96" i="166"/>
  <c r="AG96" i="166"/>
  <c r="AE96" i="166"/>
  <c r="Z96" i="166"/>
  <c r="AO95" i="166"/>
  <c r="AN95" i="166"/>
  <c r="AM95" i="166"/>
  <c r="AG95" i="166"/>
  <c r="AE95" i="166"/>
  <c r="Z95" i="166"/>
  <c r="AO94" i="166"/>
  <c r="AN94" i="166"/>
  <c r="AM94" i="166"/>
  <c r="AG94" i="166"/>
  <c r="AE94" i="166"/>
  <c r="Z94" i="166"/>
  <c r="AO93" i="166"/>
  <c r="AN93" i="166"/>
  <c r="AM93" i="166"/>
  <c r="AG93" i="166"/>
  <c r="AE93" i="166"/>
  <c r="Z93" i="166"/>
  <c r="AO92" i="166"/>
  <c r="AN92" i="166"/>
  <c r="AM92" i="166"/>
  <c r="AG92" i="166"/>
  <c r="AE92" i="166"/>
  <c r="Z92" i="166"/>
  <c r="AO91" i="166"/>
  <c r="AN91" i="166"/>
  <c r="AM91" i="166"/>
  <c r="AG91" i="166"/>
  <c r="AE91" i="166"/>
  <c r="Z91" i="166"/>
  <c r="AO90" i="166"/>
  <c r="AN90" i="166"/>
  <c r="AM90" i="166"/>
  <c r="AG90" i="166"/>
  <c r="AE90" i="166"/>
  <c r="Z90" i="166"/>
  <c r="AO89" i="166"/>
  <c r="AN89" i="166"/>
  <c r="AM89" i="166"/>
  <c r="AG89" i="166"/>
  <c r="AE89" i="166"/>
  <c r="Z89" i="166"/>
  <c r="AO88" i="166"/>
  <c r="AN88" i="166"/>
  <c r="AM88" i="166"/>
  <c r="AG88" i="166"/>
  <c r="AE88" i="166"/>
  <c r="Z88" i="166"/>
  <c r="AO87" i="166"/>
  <c r="AN87" i="166"/>
  <c r="AM87" i="166"/>
  <c r="AG87" i="166"/>
  <c r="AE87" i="166"/>
  <c r="Z87" i="166"/>
  <c r="AO86" i="166"/>
  <c r="AN86" i="166"/>
  <c r="AM86" i="166"/>
  <c r="AG86" i="166"/>
  <c r="AE86" i="166"/>
  <c r="Z86" i="166"/>
  <c r="AO85" i="166"/>
  <c r="AN85" i="166"/>
  <c r="AM85" i="166"/>
  <c r="AG85" i="166"/>
  <c r="AE85" i="166"/>
  <c r="Z85" i="166"/>
  <c r="AO84" i="166"/>
  <c r="AN84" i="166"/>
  <c r="AM84" i="166"/>
  <c r="AG84" i="166"/>
  <c r="AE84" i="166"/>
  <c r="Z84" i="166"/>
  <c r="AO83" i="166"/>
  <c r="AN83" i="166"/>
  <c r="AM83" i="166"/>
  <c r="AG83" i="166"/>
  <c r="AE83" i="166"/>
  <c r="Z83" i="166"/>
  <c r="AO82" i="166"/>
  <c r="AN82" i="166"/>
  <c r="AM82" i="166"/>
  <c r="AG82" i="166"/>
  <c r="AE82" i="166"/>
  <c r="Z82" i="166"/>
  <c r="AO81" i="166"/>
  <c r="AN81" i="166"/>
  <c r="AM81" i="166"/>
  <c r="AG81" i="166"/>
  <c r="AE81" i="166"/>
  <c r="Z81" i="166"/>
  <c r="AO80" i="166"/>
  <c r="AN80" i="166"/>
  <c r="AM80" i="166"/>
  <c r="AG80" i="166"/>
  <c r="AE80" i="166"/>
  <c r="Z80" i="166"/>
  <c r="AO79" i="166"/>
  <c r="AN79" i="166"/>
  <c r="AM79" i="166"/>
  <c r="AG79" i="166"/>
  <c r="AE79" i="166"/>
  <c r="Z79" i="166"/>
  <c r="AO78" i="166"/>
  <c r="AN78" i="166"/>
  <c r="AM78" i="166"/>
  <c r="AG78" i="166"/>
  <c r="AE78" i="166"/>
  <c r="Z78" i="166"/>
  <c r="AO77" i="166"/>
  <c r="AN77" i="166"/>
  <c r="AM77" i="166"/>
  <c r="AG77" i="166"/>
  <c r="AE77" i="166"/>
  <c r="Z77" i="166"/>
  <c r="AO76" i="166"/>
  <c r="AN76" i="166"/>
  <c r="AM76" i="166"/>
  <c r="AG76" i="166"/>
  <c r="AE76" i="166"/>
  <c r="Z76" i="166"/>
  <c r="AO75" i="166"/>
  <c r="AN75" i="166"/>
  <c r="AM75" i="166"/>
  <c r="AG75" i="166"/>
  <c r="AE75" i="166"/>
  <c r="Z75" i="166"/>
  <c r="AO74" i="166"/>
  <c r="AN74" i="166"/>
  <c r="AM74" i="166"/>
  <c r="AG74" i="166"/>
  <c r="AE74" i="166"/>
  <c r="Z74" i="166"/>
  <c r="AO73" i="166"/>
  <c r="AN73" i="166"/>
  <c r="AM73" i="166"/>
  <c r="AG73" i="166"/>
  <c r="AE73" i="166"/>
  <c r="Z73" i="166"/>
  <c r="AO72" i="166"/>
  <c r="AN72" i="166"/>
  <c r="AM72" i="166"/>
  <c r="AG72" i="166"/>
  <c r="AE72" i="166"/>
  <c r="Z72" i="166"/>
  <c r="AO71" i="166"/>
  <c r="AN71" i="166"/>
  <c r="AM71" i="166"/>
  <c r="AG71" i="166"/>
  <c r="AE71" i="166"/>
  <c r="Z71" i="166"/>
  <c r="AO70" i="166"/>
  <c r="AN70" i="166"/>
  <c r="AM70" i="166"/>
  <c r="AG70" i="166"/>
  <c r="AE70" i="166"/>
  <c r="Z70" i="166"/>
  <c r="AO69" i="166"/>
  <c r="AN69" i="166"/>
  <c r="AM69" i="166"/>
  <c r="AG69" i="166"/>
  <c r="AE69" i="166"/>
  <c r="Z69" i="166"/>
  <c r="AO68" i="166"/>
  <c r="AN68" i="166"/>
  <c r="AM68" i="166"/>
  <c r="AG68" i="166"/>
  <c r="AE68" i="166"/>
  <c r="Z68" i="166"/>
  <c r="AO67" i="166"/>
  <c r="AN67" i="166"/>
  <c r="AM67" i="166"/>
  <c r="AG67" i="166"/>
  <c r="AE67" i="166"/>
  <c r="Z67" i="166"/>
  <c r="AO66" i="166"/>
  <c r="AN66" i="166"/>
  <c r="AM66" i="166"/>
  <c r="AG66" i="166"/>
  <c r="AE66" i="166"/>
  <c r="Z66" i="166"/>
  <c r="AO65" i="166"/>
  <c r="AN65" i="166"/>
  <c r="AM65" i="166"/>
  <c r="AG65" i="166"/>
  <c r="AE65" i="166"/>
  <c r="Z65" i="166"/>
  <c r="AO64" i="166"/>
  <c r="AN64" i="166"/>
  <c r="AM64" i="166"/>
  <c r="AG64" i="166"/>
  <c r="AE64" i="166"/>
  <c r="Z64" i="166"/>
  <c r="AO63" i="166"/>
  <c r="AN63" i="166"/>
  <c r="AM63" i="166"/>
  <c r="AG63" i="166"/>
  <c r="AE63" i="166"/>
  <c r="Z63" i="166"/>
  <c r="AO62" i="166"/>
  <c r="AN62" i="166"/>
  <c r="AM62" i="166"/>
  <c r="AG62" i="166"/>
  <c r="AE62" i="166"/>
  <c r="Z62" i="166"/>
  <c r="AO61" i="166"/>
  <c r="AN61" i="166"/>
  <c r="AM61" i="166"/>
  <c r="AG61" i="166"/>
  <c r="AE61" i="166"/>
  <c r="Z61" i="166"/>
  <c r="AO60" i="166"/>
  <c r="AN60" i="166"/>
  <c r="AM60" i="166"/>
  <c r="AG60" i="166"/>
  <c r="AE60" i="166"/>
  <c r="Z60" i="166"/>
  <c r="AO59" i="166"/>
  <c r="AN59" i="166"/>
  <c r="AM59" i="166"/>
  <c r="AG59" i="166"/>
  <c r="AE59" i="166"/>
  <c r="Z59" i="166"/>
  <c r="AO58" i="166"/>
  <c r="AN58" i="166"/>
  <c r="AM58" i="166"/>
  <c r="AG58" i="166"/>
  <c r="AE58" i="166"/>
  <c r="Z58" i="166"/>
  <c r="AO57" i="166"/>
  <c r="AN57" i="166"/>
  <c r="AM57" i="166"/>
  <c r="AG57" i="166"/>
  <c r="AE57" i="166"/>
  <c r="Z57" i="166"/>
  <c r="AO56" i="166"/>
  <c r="AN56" i="166"/>
  <c r="AM56" i="166"/>
  <c r="AG56" i="166"/>
  <c r="AE56" i="166"/>
  <c r="Z56" i="166"/>
  <c r="AO55" i="166"/>
  <c r="AN55" i="166"/>
  <c r="AM55" i="166"/>
  <c r="AG55" i="166"/>
  <c r="AE55" i="166"/>
  <c r="Z55" i="166"/>
  <c r="AO54" i="166"/>
  <c r="AN54" i="166"/>
  <c r="AM54" i="166"/>
  <c r="AG54" i="166"/>
  <c r="AE54" i="166"/>
  <c r="Z54" i="166"/>
  <c r="AO53" i="166"/>
  <c r="AN53" i="166"/>
  <c r="AM53" i="166"/>
  <c r="AG53" i="166"/>
  <c r="AE53" i="166"/>
  <c r="Z53" i="166"/>
  <c r="AO52" i="166"/>
  <c r="AN52" i="166"/>
  <c r="AM52" i="166"/>
  <c r="AG52" i="166"/>
  <c r="AE52" i="166"/>
  <c r="Z52" i="166"/>
  <c r="AO51" i="166"/>
  <c r="AN51" i="166"/>
  <c r="AM51" i="166"/>
  <c r="AG51" i="166"/>
  <c r="AE51" i="166"/>
  <c r="Z51" i="166"/>
  <c r="AO50" i="166"/>
  <c r="AN50" i="166"/>
  <c r="AM50" i="166"/>
  <c r="AG50" i="166"/>
  <c r="AE50" i="166"/>
  <c r="Z50" i="166"/>
  <c r="AO49" i="166"/>
  <c r="AN49" i="166"/>
  <c r="AM49" i="166"/>
  <c r="AG49" i="166"/>
  <c r="AE49" i="166"/>
  <c r="Z49" i="166"/>
  <c r="AO48" i="166"/>
  <c r="AN48" i="166"/>
  <c r="AM48" i="166"/>
  <c r="AG48" i="166"/>
  <c r="AE48" i="166"/>
  <c r="Z48" i="166"/>
  <c r="AO47" i="166"/>
  <c r="AN47" i="166"/>
  <c r="AM47" i="166"/>
  <c r="AG47" i="166"/>
  <c r="AE47" i="166"/>
  <c r="Z47" i="166"/>
  <c r="AO46" i="166"/>
  <c r="AN46" i="166"/>
  <c r="AM46" i="166"/>
  <c r="AG46" i="166"/>
  <c r="AE46" i="166"/>
  <c r="Z46" i="166"/>
  <c r="AO45" i="166"/>
  <c r="AN45" i="166"/>
  <c r="AM45" i="166"/>
  <c r="AG45" i="166"/>
  <c r="AE45" i="166"/>
  <c r="Z45" i="166"/>
  <c r="AO44" i="166"/>
  <c r="AN44" i="166"/>
  <c r="AM44" i="166"/>
  <c r="AG44" i="166"/>
  <c r="AE44" i="166"/>
  <c r="Z44" i="166"/>
  <c r="AO43" i="166"/>
  <c r="AN43" i="166"/>
  <c r="AM43" i="166"/>
  <c r="AG43" i="166"/>
  <c r="AE43" i="166"/>
  <c r="Z43" i="166"/>
  <c r="AO42" i="166"/>
  <c r="AN42" i="166"/>
  <c r="AM42" i="166"/>
  <c r="AG42" i="166"/>
  <c r="AE42" i="166"/>
  <c r="Z42" i="166"/>
  <c r="AO41" i="166"/>
  <c r="AN41" i="166"/>
  <c r="AM41" i="166"/>
  <c r="AG41" i="166"/>
  <c r="AE41" i="166"/>
  <c r="Z41" i="166"/>
  <c r="AO40" i="166"/>
  <c r="AN40" i="166"/>
  <c r="AM40" i="166"/>
  <c r="AG40" i="166"/>
  <c r="AE40" i="166"/>
  <c r="Z40" i="166"/>
  <c r="AO39" i="166"/>
  <c r="AN39" i="166"/>
  <c r="AM39" i="166"/>
  <c r="AG39" i="166"/>
  <c r="AE39" i="166"/>
  <c r="Z39" i="166"/>
  <c r="AO38" i="166"/>
  <c r="AN38" i="166"/>
  <c r="AM38" i="166"/>
  <c r="AG38" i="166"/>
  <c r="AE38" i="166"/>
  <c r="Z38" i="166"/>
  <c r="AO37" i="166"/>
  <c r="AN37" i="166"/>
  <c r="AM37" i="166"/>
  <c r="AG37" i="166"/>
  <c r="AE37" i="166"/>
  <c r="Z37" i="166"/>
  <c r="AO36" i="166"/>
  <c r="AN36" i="166"/>
  <c r="AM36" i="166"/>
  <c r="AG36" i="166"/>
  <c r="AE36" i="166"/>
  <c r="Z36" i="166"/>
  <c r="AO35" i="166"/>
  <c r="AN35" i="166"/>
  <c r="AM35" i="166"/>
  <c r="AG35" i="166"/>
  <c r="AE35" i="166"/>
  <c r="Z35" i="166"/>
  <c r="AO34" i="166"/>
  <c r="AN34" i="166"/>
  <c r="AM34" i="166"/>
  <c r="AG34" i="166"/>
  <c r="AE34" i="166"/>
  <c r="Z34" i="166"/>
  <c r="AO33" i="166"/>
  <c r="AN33" i="166"/>
  <c r="AM33" i="166"/>
  <c r="AG33" i="166"/>
  <c r="AE33" i="166"/>
  <c r="Z33" i="166"/>
  <c r="AO32" i="166"/>
  <c r="AN32" i="166"/>
  <c r="AM32" i="166"/>
  <c r="AG32" i="166"/>
  <c r="AE32" i="166"/>
  <c r="Z32" i="166"/>
  <c r="AO31" i="166"/>
  <c r="AN31" i="166"/>
  <c r="AM31" i="166"/>
  <c r="AG31" i="166"/>
  <c r="AE31" i="166"/>
  <c r="Z31" i="166"/>
  <c r="AO30" i="166"/>
  <c r="AN30" i="166"/>
  <c r="AM30" i="166"/>
  <c r="AG30" i="166"/>
  <c r="AE30" i="166"/>
  <c r="Z30" i="166"/>
  <c r="AO29" i="166"/>
  <c r="AN29" i="166"/>
  <c r="AM29" i="166"/>
  <c r="AG29" i="166"/>
  <c r="AE29" i="166"/>
  <c r="Z29" i="166"/>
  <c r="AO28" i="166"/>
  <c r="AN28" i="166"/>
  <c r="AM28" i="166"/>
  <c r="AG28" i="166"/>
  <c r="AE28" i="166"/>
  <c r="Z28" i="166"/>
  <c r="AO27" i="166"/>
  <c r="AN27" i="166"/>
  <c r="AM27" i="166"/>
  <c r="AG27" i="166"/>
  <c r="AE27" i="166"/>
  <c r="Z27" i="166"/>
  <c r="AO26" i="166"/>
  <c r="AN26" i="166"/>
  <c r="AM26" i="166"/>
  <c r="AG26" i="166"/>
  <c r="AE26" i="166"/>
  <c r="Z26" i="166"/>
  <c r="AO25" i="166"/>
  <c r="AN25" i="166"/>
  <c r="AM25" i="166"/>
  <c r="AG25" i="166"/>
  <c r="AE25" i="166"/>
  <c r="Z25" i="166"/>
  <c r="AO24" i="166"/>
  <c r="AN24" i="166"/>
  <c r="AM24" i="166"/>
  <c r="AG24" i="166"/>
  <c r="AE24" i="166"/>
  <c r="Z24" i="166"/>
  <c r="AO23" i="166"/>
  <c r="AN23" i="166"/>
  <c r="AM23" i="166"/>
  <c r="AG23" i="166"/>
  <c r="AE23" i="166"/>
  <c r="Z23" i="166"/>
  <c r="AO22" i="166"/>
  <c r="AN22" i="166"/>
  <c r="AM22" i="166"/>
  <c r="AG22" i="166"/>
  <c r="AE22" i="166"/>
  <c r="Z22" i="166"/>
  <c r="AO21" i="166"/>
  <c r="AN21" i="166"/>
  <c r="AM21" i="166"/>
  <c r="AG21" i="166"/>
  <c r="AE21" i="166"/>
  <c r="Z21" i="166"/>
  <c r="AO20" i="166"/>
  <c r="AN20" i="166"/>
  <c r="AM20" i="166"/>
  <c r="AG20" i="166"/>
  <c r="AE20" i="166"/>
  <c r="Z20" i="166"/>
  <c r="AO19" i="166"/>
  <c r="AN19" i="166"/>
  <c r="AM19" i="166"/>
  <c r="AG19" i="166"/>
  <c r="AE19" i="166"/>
  <c r="Z19" i="166"/>
  <c r="AO18" i="166"/>
  <c r="AN18" i="166"/>
  <c r="AM18" i="166"/>
  <c r="AG18" i="166"/>
  <c r="AE18" i="166"/>
  <c r="Z18" i="166"/>
  <c r="AO17" i="166"/>
  <c r="AN17" i="166"/>
  <c r="AM17" i="166"/>
  <c r="AG17" i="166"/>
  <c r="AE17" i="166"/>
  <c r="Z17" i="166"/>
  <c r="AO16" i="166"/>
  <c r="AN16" i="166"/>
  <c r="AM16" i="166"/>
  <c r="AG16" i="166"/>
  <c r="AE16" i="166"/>
  <c r="Z16" i="166"/>
  <c r="AO15" i="166"/>
  <c r="AN15" i="166"/>
  <c r="AM15" i="166"/>
  <c r="AG15" i="166"/>
  <c r="AE15" i="166"/>
  <c r="Z15" i="166"/>
  <c r="AO14" i="166"/>
  <c r="AN14" i="166"/>
  <c r="AM14" i="166"/>
  <c r="AG14" i="166"/>
  <c r="AE14" i="166"/>
  <c r="Z14" i="166"/>
  <c r="AO13" i="166"/>
  <c r="AN13" i="166"/>
  <c r="AM13" i="166"/>
  <c r="AG13" i="166"/>
  <c r="AE13" i="166"/>
  <c r="Z13" i="166"/>
  <c r="AO12" i="166"/>
  <c r="AN12" i="166"/>
  <c r="AM12" i="166"/>
  <c r="AG12" i="166"/>
  <c r="AE12" i="166"/>
  <c r="Z12" i="166"/>
  <c r="AO11" i="166"/>
  <c r="AN11" i="166"/>
  <c r="AM11" i="166"/>
  <c r="AG11" i="166"/>
  <c r="AE11" i="166"/>
  <c r="Z11" i="166"/>
  <c r="AO10" i="166"/>
  <c r="AN10" i="166"/>
  <c r="AM10" i="166"/>
  <c r="AG10" i="166"/>
  <c r="AE10" i="166"/>
  <c r="Z10" i="166"/>
  <c r="AO9" i="166"/>
  <c r="AN9" i="166"/>
  <c r="AM9" i="166"/>
  <c r="AG9" i="166"/>
  <c r="AE9" i="166"/>
  <c r="Z9" i="166"/>
  <c r="AO8" i="166"/>
  <c r="AN8" i="166"/>
  <c r="AM8" i="166"/>
  <c r="AG8" i="166"/>
  <c r="AE8" i="166"/>
  <c r="Z8" i="166"/>
  <c r="AO7" i="166"/>
  <c r="AN7" i="166"/>
  <c r="AM7" i="166"/>
  <c r="AG7" i="166"/>
  <c r="AE7" i="166"/>
  <c r="Z7" i="166"/>
  <c r="A6" i="166"/>
  <c r="AP6" i="166"/>
  <c r="AO6" i="166"/>
  <c r="AN6" i="166"/>
  <c r="AM6" i="166"/>
  <c r="AG6" i="166"/>
  <c r="AE6" i="166"/>
  <c r="Z6" i="166"/>
  <c r="A7" i="166"/>
  <c r="AQ5" i="166"/>
  <c r="AP5" i="166"/>
  <c r="AO5" i="166"/>
  <c r="AN5" i="166"/>
  <c r="AM5" i="166"/>
  <c r="AG5" i="166"/>
  <c r="AE5" i="166"/>
  <c r="Z5" i="166"/>
  <c r="AI2" i="166"/>
  <c r="H2" i="166"/>
  <c r="AB2" i="166"/>
  <c r="AA2" i="166"/>
  <c r="A2" i="166"/>
  <c r="Z2" i="166"/>
  <c r="V2" i="166"/>
  <c r="D2" i="166"/>
  <c r="U2" i="166"/>
  <c r="T2" i="166"/>
  <c r="O2" i="166"/>
  <c r="C2" i="166"/>
  <c r="B2" i="166"/>
  <c r="AK399" i="166"/>
  <c r="AK391" i="166"/>
  <c r="AK383" i="166"/>
  <c r="AK375" i="166"/>
  <c r="AK367" i="166"/>
  <c r="AK359" i="166"/>
  <c r="AK351" i="166"/>
  <c r="AK394" i="166"/>
  <c r="AK386" i="166"/>
  <c r="AK378" i="166"/>
  <c r="AK400" i="166"/>
  <c r="AK392" i="166"/>
  <c r="AK384" i="166"/>
  <c r="AK376" i="166"/>
  <c r="AK368" i="166"/>
  <c r="AK360" i="166"/>
  <c r="AK352" i="166"/>
  <c r="AK395" i="166"/>
  <c r="AK387" i="166"/>
  <c r="AK379" i="166"/>
  <c r="AK371" i="166"/>
  <c r="AK363" i="166"/>
  <c r="AK355" i="166"/>
  <c r="AK347" i="166"/>
  <c r="AK398" i="166"/>
  <c r="AK390" i="166"/>
  <c r="AK382" i="166"/>
  <c r="AK374" i="166"/>
  <c r="AK366" i="166"/>
  <c r="AK358" i="166"/>
  <c r="AK350" i="166"/>
  <c r="AK361" i="166"/>
  <c r="AK343" i="166"/>
  <c r="AK338" i="166"/>
  <c r="AK330" i="166"/>
  <c r="AK322" i="166"/>
  <c r="AK314" i="166"/>
  <c r="AK306" i="166"/>
  <c r="AK298" i="166"/>
  <c r="AK290" i="166"/>
  <c r="AK282" i="166"/>
  <c r="AK389" i="166"/>
  <c r="AK380" i="166"/>
  <c r="AK370" i="166"/>
  <c r="AK344" i="166"/>
  <c r="AK339" i="166"/>
  <c r="AK331" i="166"/>
  <c r="AK323" i="166"/>
  <c r="AK315" i="166"/>
  <c r="AK307" i="166"/>
  <c r="AK299" i="166"/>
  <c r="AK291" i="166"/>
  <c r="AK283" i="166"/>
  <c r="AK397" i="166"/>
  <c r="AK388" i="166"/>
  <c r="AK385" i="166"/>
  <c r="AK369" i="166"/>
  <c r="AK353" i="166"/>
  <c r="AK342" i="166"/>
  <c r="AK334" i="166"/>
  <c r="AK326" i="166"/>
  <c r="AK318" i="166"/>
  <c r="AK310" i="166"/>
  <c r="AK302" i="166"/>
  <c r="AK294" i="166"/>
  <c r="AK286" i="166"/>
  <c r="AK373" i="166"/>
  <c r="AK364" i="166"/>
  <c r="AK357" i="166"/>
  <c r="AK348" i="166"/>
  <c r="AK337" i="166"/>
  <c r="AK329" i="166"/>
  <c r="AK321" i="166"/>
  <c r="AK313" i="166"/>
  <c r="AK305" i="166"/>
  <c r="AK297" i="166"/>
  <c r="AK289" i="166"/>
  <c r="AK381" i="166"/>
  <c r="AK362" i="166"/>
  <c r="AK346" i="166"/>
  <c r="AK340" i="166"/>
  <c r="AK332" i="166"/>
  <c r="AK324" i="166"/>
  <c r="AK316" i="166"/>
  <c r="AK396" i="166"/>
  <c r="AK393" i="166"/>
  <c r="AK335" i="166"/>
  <c r="AK327" i="166"/>
  <c r="AK319" i="166"/>
  <c r="AK311" i="166"/>
  <c r="AK303" i="166"/>
  <c r="AK295" i="166"/>
  <c r="AK287" i="166"/>
  <c r="AK279" i="166"/>
  <c r="AK312" i="166"/>
  <c r="AK300" i="166"/>
  <c r="AK277" i="166"/>
  <c r="AK275" i="166"/>
  <c r="AK267" i="166"/>
  <c r="AK259" i="166"/>
  <c r="AK251" i="166"/>
  <c r="AK243" i="166"/>
  <c r="AK235" i="166"/>
  <c r="AK227" i="166"/>
  <c r="AK219" i="166"/>
  <c r="AK211" i="166"/>
  <c r="AK203" i="166"/>
  <c r="AK195" i="166"/>
  <c r="AK354" i="166"/>
  <c r="AK345" i="166"/>
  <c r="AK317" i="166"/>
  <c r="AK285" i="166"/>
  <c r="AK270" i="166"/>
  <c r="AK262" i="166"/>
  <c r="AK254" i="166"/>
  <c r="AK246" i="166"/>
  <c r="AK238" i="166"/>
  <c r="AK230" i="166"/>
  <c r="AK222" i="166"/>
  <c r="AK214" i="166"/>
  <c r="AK206" i="166"/>
  <c r="AK198" i="166"/>
  <c r="AK190" i="166"/>
  <c r="AK320" i="166"/>
  <c r="AK309" i="166"/>
  <c r="AK296" i="166"/>
  <c r="AK280" i="166"/>
  <c r="AK273" i="166"/>
  <c r="AK265" i="166"/>
  <c r="AK349" i="166"/>
  <c r="AK325" i="166"/>
  <c r="AK308" i="166"/>
  <c r="AK276" i="166"/>
  <c r="AK268" i="166"/>
  <c r="AK260" i="166"/>
  <c r="AK252" i="166"/>
  <c r="AK244" i="166"/>
  <c r="AK236" i="166"/>
  <c r="AK228" i="166"/>
  <c r="AK220" i="166"/>
  <c r="AK212" i="166"/>
  <c r="AK204" i="166"/>
  <c r="AK356" i="166"/>
  <c r="AK328" i="166"/>
  <c r="AK293" i="166"/>
  <c r="AK284" i="166"/>
  <c r="AK271" i="166"/>
  <c r="AK263" i="166"/>
  <c r="AK255" i="166"/>
  <c r="AK247" i="166"/>
  <c r="AK239" i="166"/>
  <c r="AK231" i="166"/>
  <c r="AK223" i="166"/>
  <c r="AK215" i="166"/>
  <c r="AK207" i="166"/>
  <c r="AK199" i="166"/>
  <c r="AK191" i="166"/>
  <c r="AK183" i="166"/>
  <c r="AK365" i="166"/>
  <c r="AK333" i="166"/>
  <c r="AK304" i="166"/>
  <c r="AK292" i="166"/>
  <c r="AK274" i="166"/>
  <c r="AK266" i="166"/>
  <c r="AK258" i="166"/>
  <c r="AK250" i="166"/>
  <c r="AK242" i="166"/>
  <c r="AK234" i="166"/>
  <c r="AK226" i="166"/>
  <c r="AK218" i="166"/>
  <c r="AK210" i="166"/>
  <c r="AK202" i="166"/>
  <c r="AK194" i="166"/>
  <c r="AK186" i="166"/>
  <c r="AK336" i="166"/>
  <c r="AK278" i="166"/>
  <c r="AK269" i="166"/>
  <c r="AK261" i="166"/>
  <c r="AK253" i="166"/>
  <c r="AK245" i="166"/>
  <c r="AK237" i="166"/>
  <c r="AK229" i="166"/>
  <c r="AK221" i="166"/>
  <c r="AK213" i="166"/>
  <c r="AK205" i="166"/>
  <c r="AK377" i="166"/>
  <c r="AK372" i="166"/>
  <c r="AK341" i="166"/>
  <c r="AK301" i="166"/>
  <c r="AK288" i="166"/>
  <c r="AK281" i="166"/>
  <c r="AK272" i="166"/>
  <c r="AK264" i="166"/>
  <c r="AK249" i="166"/>
  <c r="AK217" i="166"/>
  <c r="AK181" i="166"/>
  <c r="AK173" i="166"/>
  <c r="AK165" i="166"/>
  <c r="AK157" i="166"/>
  <c r="AK149" i="166"/>
  <c r="AK141" i="166"/>
  <c r="AK133" i="166"/>
  <c r="AK125" i="166"/>
  <c r="AK117" i="166"/>
  <c r="AK109" i="166"/>
  <c r="AK101" i="166"/>
  <c r="AK93" i="166"/>
  <c r="AK85" i="166"/>
  <c r="AK77" i="166"/>
  <c r="AK69" i="166"/>
  <c r="AK61" i="166"/>
  <c r="AK53" i="166"/>
  <c r="AK45" i="166"/>
  <c r="AK37" i="166"/>
  <c r="AK29" i="166"/>
  <c r="AK21" i="166"/>
  <c r="AK13" i="166"/>
  <c r="AK248" i="166"/>
  <c r="AK216" i="166"/>
  <c r="AK176" i="166"/>
  <c r="AK168" i="166"/>
  <c r="AK160" i="166"/>
  <c r="AK152" i="166"/>
  <c r="AK144" i="166"/>
  <c r="AK136" i="166"/>
  <c r="AK128" i="166"/>
  <c r="AK120" i="166"/>
  <c r="AK112" i="166"/>
  <c r="AK104" i="166"/>
  <c r="AK96" i="166"/>
  <c r="AK88" i="166"/>
  <c r="AK80" i="166"/>
  <c r="AK72" i="166"/>
  <c r="AK64" i="166"/>
  <c r="AK56" i="166"/>
  <c r="AK48" i="166"/>
  <c r="AK40" i="166"/>
  <c r="AK32" i="166"/>
  <c r="AK24" i="166"/>
  <c r="AK16" i="166"/>
  <c r="AK8" i="166"/>
  <c r="AK257" i="166"/>
  <c r="AK225" i="166"/>
  <c r="AK193" i="166"/>
  <c r="AK179" i="166"/>
  <c r="AK171" i="166"/>
  <c r="AK163" i="166"/>
  <c r="AK155" i="166"/>
  <c r="AK147" i="166"/>
  <c r="AK139" i="166"/>
  <c r="AK131" i="166"/>
  <c r="AK123" i="166"/>
  <c r="AK115" i="166"/>
  <c r="AK107" i="166"/>
  <c r="AK99" i="166"/>
  <c r="AK91" i="166"/>
  <c r="AK83" i="166"/>
  <c r="AK75" i="166"/>
  <c r="AK67" i="166"/>
  <c r="AK59" i="166"/>
  <c r="AK51" i="166"/>
  <c r="AK43" i="166"/>
  <c r="AK35" i="166"/>
  <c r="AK27" i="166"/>
  <c r="AK19" i="166"/>
  <c r="AK11" i="166"/>
  <c r="AK256" i="166"/>
  <c r="AK224" i="166"/>
  <c r="AK187" i="166"/>
  <c r="AK182" i="166"/>
  <c r="AK174" i="166"/>
  <c r="AK166" i="166"/>
  <c r="AK158" i="166"/>
  <c r="AK150" i="166"/>
  <c r="AK142" i="166"/>
  <c r="AK134" i="166"/>
  <c r="AK126" i="166"/>
  <c r="AK118" i="166"/>
  <c r="AK110" i="166"/>
  <c r="AK102" i="166"/>
  <c r="AK94" i="166"/>
  <c r="AK86" i="166"/>
  <c r="AK78" i="166"/>
  <c r="AK70" i="166"/>
  <c r="AK62" i="166"/>
  <c r="AK54" i="166"/>
  <c r="AK46" i="166"/>
  <c r="AK38" i="166"/>
  <c r="AK30" i="166"/>
  <c r="AK22" i="166"/>
  <c r="AK14" i="166"/>
  <c r="AK233" i="166"/>
  <c r="AK201" i="166"/>
  <c r="AK197" i="166"/>
  <c r="AK189" i="166"/>
  <c r="AK184" i="166"/>
  <c r="AK177" i="166"/>
  <c r="AK169" i="166"/>
  <c r="AK161" i="166"/>
  <c r="AK153" i="166"/>
  <c r="AK145" i="166"/>
  <c r="AK137" i="166"/>
  <c r="AK129" i="166"/>
  <c r="AK121" i="166"/>
  <c r="AK113" i="166"/>
  <c r="AK105" i="166"/>
  <c r="AK97" i="166"/>
  <c r="AK89" i="166"/>
  <c r="AK81" i="166"/>
  <c r="AK73" i="166"/>
  <c r="AK65" i="166"/>
  <c r="AK57" i="166"/>
  <c r="AK49" i="166"/>
  <c r="AK41" i="166"/>
  <c r="AK33" i="166"/>
  <c r="AK25" i="166"/>
  <c r="AK17" i="166"/>
  <c r="AK9" i="166"/>
  <c r="AK232" i="166"/>
  <c r="AK200" i="166"/>
  <c r="AK180" i="166"/>
  <c r="AK172" i="166"/>
  <c r="AK164" i="166"/>
  <c r="AK156" i="166"/>
  <c r="AK148" i="166"/>
  <c r="AK140" i="166"/>
  <c r="AK132" i="166"/>
  <c r="AK124" i="166"/>
  <c r="AK116" i="166"/>
  <c r="AK108" i="166"/>
  <c r="AK100" i="166"/>
  <c r="AK92" i="166"/>
  <c r="AK84" i="166"/>
  <c r="AK76" i="166"/>
  <c r="AK68" i="166"/>
  <c r="AK60" i="166"/>
  <c r="AK52" i="166"/>
  <c r="AK44" i="166"/>
  <c r="AK36" i="166"/>
  <c r="AK28" i="166"/>
  <c r="AK20" i="166"/>
  <c r="AK12" i="166"/>
  <c r="AK241" i="166"/>
  <c r="AK209" i="166"/>
  <c r="AK192" i="166"/>
  <c r="AK175" i="166"/>
  <c r="AK167" i="166"/>
  <c r="AK159" i="166"/>
  <c r="AK151" i="166"/>
  <c r="AK143" i="166"/>
  <c r="AK135" i="166"/>
  <c r="AK127" i="166"/>
  <c r="AK119" i="166"/>
  <c r="AK111" i="166"/>
  <c r="AK103" i="166"/>
  <c r="AK95" i="166"/>
  <c r="AK87" i="166"/>
  <c r="AK79" i="166"/>
  <c r="AK71" i="166"/>
  <c r="AK63" i="166"/>
  <c r="AK55" i="166"/>
  <c r="AK47" i="166"/>
  <c r="AK39" i="166"/>
  <c r="AK31" i="166"/>
  <c r="AK23" i="166"/>
  <c r="AK15" i="166"/>
  <c r="AK240" i="166"/>
  <c r="AK208" i="166"/>
  <c r="AK196" i="166"/>
  <c r="AK188" i="166"/>
  <c r="AK185" i="166"/>
  <c r="AK178" i="166"/>
  <c r="AK170" i="166"/>
  <c r="AK162" i="166"/>
  <c r="AK154" i="166"/>
  <c r="AK146" i="166"/>
  <c r="AK138" i="166"/>
  <c r="AK130" i="166"/>
  <c r="AK122" i="166"/>
  <c r="AK114" i="166"/>
  <c r="AK106" i="166"/>
  <c r="AK98" i="166"/>
  <c r="AK90" i="166"/>
  <c r="AK82" i="166"/>
  <c r="AK74" i="166"/>
  <c r="AK66" i="166"/>
  <c r="AK58" i="166"/>
  <c r="AK50" i="166"/>
  <c r="AK42" i="166"/>
  <c r="AK34" i="166"/>
  <c r="AK7" i="166"/>
  <c r="AR6" i="166" a="1"/>
  <c r="AK10" i="166"/>
  <c r="J1" i="166" a="1"/>
  <c r="AK18" i="166"/>
  <c r="AK5" i="166"/>
  <c r="P1" i="166" a="1"/>
  <c r="AK26" i="166"/>
  <c r="AR5" i="166" a="1"/>
  <c r="AK6" i="166"/>
  <c r="AL6" i="166"/>
  <c r="AR5" i="166"/>
  <c r="AL26" i="166"/>
  <c r="P1" i="166"/>
  <c r="AL5" i="166"/>
  <c r="AL18" i="166"/>
  <c r="J1" i="166"/>
  <c r="AL10" i="166"/>
  <c r="AR6" i="166"/>
  <c r="AL7" i="166"/>
  <c r="AL34" i="166"/>
  <c r="AL42" i="166"/>
  <c r="AL50" i="166"/>
  <c r="AL58" i="166"/>
  <c r="AL66" i="166"/>
  <c r="AL74" i="166"/>
  <c r="AL82" i="166"/>
  <c r="AL90" i="166"/>
  <c r="AL98" i="166"/>
  <c r="AL106" i="166"/>
  <c r="AL114" i="166"/>
  <c r="AL122" i="166"/>
  <c r="AL130" i="166"/>
  <c r="AL138" i="166"/>
  <c r="AL146" i="166"/>
  <c r="AL154" i="166"/>
  <c r="AL162" i="166"/>
  <c r="AL170" i="166"/>
  <c r="AL178" i="166"/>
  <c r="AL185" i="166"/>
  <c r="AL188" i="166"/>
  <c r="AL196" i="166"/>
  <c r="AL208" i="166"/>
  <c r="AL240" i="166"/>
  <c r="AL15" i="166"/>
  <c r="AL23" i="166"/>
  <c r="AL31" i="166"/>
  <c r="AL39" i="166"/>
  <c r="AL47" i="166"/>
  <c r="AL55" i="166"/>
  <c r="AL63" i="166"/>
  <c r="AL71" i="166"/>
  <c r="AL79" i="166"/>
  <c r="AL87" i="166"/>
  <c r="AL95" i="166"/>
  <c r="AL103" i="166"/>
  <c r="AL111" i="166"/>
  <c r="AL119" i="166"/>
  <c r="AL127" i="166"/>
  <c r="AL135" i="166"/>
  <c r="AL143" i="166"/>
  <c r="AL151" i="166"/>
  <c r="AL159" i="166"/>
  <c r="AL167" i="166"/>
  <c r="AL175" i="166"/>
  <c r="AL192" i="166"/>
  <c r="AL209" i="166"/>
  <c r="AL241" i="166"/>
  <c r="AL12" i="166"/>
  <c r="AL20" i="166"/>
  <c r="AL28" i="166"/>
  <c r="AL36" i="166"/>
  <c r="AL44" i="166"/>
  <c r="AL52" i="166"/>
  <c r="AL60" i="166"/>
  <c r="AL68" i="166"/>
  <c r="AL76" i="166"/>
  <c r="AL84" i="166"/>
  <c r="AL92" i="166"/>
  <c r="AL100" i="166"/>
  <c r="AL108" i="166"/>
  <c r="AL116" i="166"/>
  <c r="AL124" i="166"/>
  <c r="AL132" i="166"/>
  <c r="AL140" i="166"/>
  <c r="AL148" i="166"/>
  <c r="AL156" i="166"/>
  <c r="AL164" i="166"/>
  <c r="AL172" i="166"/>
  <c r="AL180" i="166"/>
  <c r="AL200" i="166"/>
  <c r="AL232" i="166"/>
  <c r="AL9" i="166"/>
  <c r="AL17" i="166"/>
  <c r="AL25" i="166"/>
  <c r="AL33" i="166"/>
  <c r="AL41" i="166"/>
  <c r="AL49" i="166"/>
  <c r="AL57" i="166"/>
  <c r="AL65" i="166"/>
  <c r="AL73" i="166"/>
  <c r="AL81" i="166"/>
  <c r="AL89" i="166"/>
  <c r="AL97" i="166"/>
  <c r="AL105" i="166"/>
  <c r="AL113" i="166"/>
  <c r="AL121" i="166"/>
  <c r="AL129" i="166"/>
  <c r="AL137" i="166"/>
  <c r="AL145" i="166"/>
  <c r="AL153" i="166"/>
  <c r="AL161" i="166"/>
  <c r="AL169" i="166"/>
  <c r="AL177" i="166"/>
  <c r="AL184" i="166"/>
  <c r="AL189" i="166"/>
  <c r="AL197" i="166"/>
  <c r="AL201" i="166"/>
  <c r="AL233" i="166"/>
  <c r="AL14" i="166"/>
  <c r="AL22" i="166"/>
  <c r="AL30" i="166"/>
  <c r="AL38" i="166"/>
  <c r="AL46" i="166"/>
  <c r="AL54" i="166"/>
  <c r="AL62" i="166"/>
  <c r="AL70" i="166"/>
  <c r="AL78" i="166"/>
  <c r="AL86" i="166"/>
  <c r="AL94" i="166"/>
  <c r="AL102" i="166"/>
  <c r="AL110" i="166"/>
  <c r="AL118" i="166"/>
  <c r="AL126" i="166"/>
  <c r="AL134" i="166"/>
  <c r="AL142" i="166"/>
  <c r="AL150" i="166"/>
  <c r="AL158" i="166"/>
  <c r="AL166" i="166"/>
  <c r="AL174" i="166"/>
  <c r="AL182" i="166"/>
  <c r="AL187" i="166"/>
  <c r="AL224" i="166"/>
  <c r="AL256" i="166"/>
  <c r="AL11" i="166"/>
  <c r="AL19" i="166"/>
  <c r="AL27" i="166"/>
  <c r="AL35" i="166"/>
  <c r="AL43" i="166"/>
  <c r="AL51" i="166"/>
  <c r="AL59" i="166"/>
  <c r="AL67" i="166"/>
  <c r="AL75" i="166"/>
  <c r="AL83" i="166"/>
  <c r="AL91" i="166"/>
  <c r="AL99" i="166"/>
  <c r="AL107" i="166"/>
  <c r="AL115" i="166"/>
  <c r="AL123" i="166"/>
  <c r="AL131" i="166"/>
  <c r="AL139" i="166"/>
  <c r="AL147" i="166"/>
  <c r="AL155" i="166"/>
  <c r="AL163" i="166"/>
  <c r="AL171" i="166"/>
  <c r="AL179" i="166"/>
  <c r="AL193" i="166"/>
  <c r="AL225" i="166"/>
  <c r="AL257" i="166"/>
  <c r="AL8" i="166"/>
  <c r="AL16" i="166"/>
  <c r="AL24" i="166"/>
  <c r="AL32" i="166"/>
  <c r="AL40" i="166"/>
  <c r="AL48" i="166"/>
  <c r="AL56" i="166"/>
  <c r="AL64" i="166"/>
  <c r="AL72" i="166"/>
  <c r="AL80" i="166"/>
  <c r="AL88" i="166"/>
  <c r="AL96" i="166"/>
  <c r="AL104" i="166"/>
  <c r="AL112" i="166"/>
  <c r="AL120" i="166"/>
  <c r="AL128" i="166"/>
  <c r="AL136" i="166"/>
  <c r="AL144" i="166"/>
  <c r="AL152" i="166"/>
  <c r="AL160" i="166"/>
  <c r="AL168" i="166"/>
  <c r="AL176" i="166"/>
  <c r="AL216" i="166"/>
  <c r="AL248" i="166"/>
  <c r="AL13" i="166"/>
  <c r="AL21" i="166"/>
  <c r="AL29" i="166"/>
  <c r="AL37" i="166"/>
  <c r="AL45" i="166"/>
  <c r="AL53" i="166"/>
  <c r="AL61" i="166"/>
  <c r="AL69" i="166"/>
  <c r="AL77" i="166"/>
  <c r="AL85" i="166"/>
  <c r="AL93" i="166"/>
  <c r="AL101" i="166"/>
  <c r="AL109" i="166"/>
  <c r="AL117" i="166"/>
  <c r="AL125" i="166"/>
  <c r="AL133" i="166"/>
  <c r="AL141" i="166"/>
  <c r="AL149" i="166"/>
  <c r="AL157" i="166"/>
  <c r="AL165" i="166"/>
  <c r="AL173" i="166"/>
  <c r="AL181" i="166"/>
  <c r="AL217" i="166"/>
  <c r="AL249" i="166"/>
  <c r="AL264" i="166"/>
  <c r="AL272" i="166"/>
  <c r="AL281" i="166"/>
  <c r="AL288" i="166"/>
  <c r="AL301" i="166"/>
  <c r="AL341" i="166"/>
  <c r="AL372" i="166"/>
  <c r="AL377" i="166"/>
  <c r="AL205" i="166"/>
  <c r="AL213" i="166"/>
  <c r="AL221" i="166"/>
  <c r="AL229" i="166"/>
  <c r="AL237" i="166"/>
  <c r="AL245" i="166"/>
  <c r="AL253" i="166"/>
  <c r="AL261" i="166"/>
  <c r="AL269" i="166"/>
  <c r="AL278" i="166"/>
  <c r="AL336" i="166"/>
  <c r="AL186" i="166"/>
  <c r="AL194" i="166"/>
  <c r="AL202" i="166"/>
  <c r="AL210" i="166"/>
  <c r="AL218" i="166"/>
  <c r="AL226" i="166"/>
  <c r="AL234" i="166"/>
  <c r="AL242" i="166"/>
  <c r="AL250" i="166"/>
  <c r="AL258" i="166"/>
  <c r="AL266" i="166"/>
  <c r="AL274" i="166"/>
  <c r="AL292" i="166"/>
  <c r="AL304" i="166"/>
  <c r="AL333" i="166"/>
  <c r="AL365" i="166"/>
  <c r="AL183" i="166"/>
  <c r="AL191" i="166"/>
  <c r="AL199" i="166"/>
  <c r="AL207" i="166"/>
  <c r="AL215" i="166"/>
  <c r="AL223" i="166"/>
  <c r="AL231" i="166"/>
  <c r="AL239" i="166"/>
  <c r="AL247" i="166"/>
  <c r="AL255" i="166"/>
  <c r="AL263" i="166"/>
  <c r="AL271" i="166"/>
  <c r="AL284" i="166"/>
  <c r="AL293" i="166"/>
  <c r="AL328" i="166"/>
  <c r="AL356" i="166"/>
  <c r="AL204" i="166"/>
  <c r="AL212" i="166"/>
  <c r="AL220" i="166"/>
  <c r="AL228" i="166"/>
  <c r="AL236" i="166"/>
  <c r="AL244" i="166"/>
  <c r="AL252" i="166"/>
  <c r="AL260" i="166"/>
  <c r="AL268" i="166"/>
  <c r="AL276" i="166"/>
  <c r="AL308" i="166"/>
  <c r="AL325" i="166"/>
  <c r="AL349" i="166"/>
  <c r="AL265" i="166"/>
  <c r="AL273" i="166"/>
  <c r="AL280" i="166"/>
  <c r="AL296" i="166"/>
  <c r="AL309" i="166"/>
  <c r="AL320" i="166"/>
  <c r="AL190" i="166"/>
  <c r="AL198" i="166"/>
  <c r="AL206" i="166"/>
  <c r="AL214" i="166"/>
  <c r="AL222" i="166"/>
  <c r="AL230" i="166"/>
  <c r="AL238" i="166"/>
  <c r="AL246" i="166"/>
  <c r="AL254" i="166"/>
  <c r="AL262" i="166"/>
  <c r="AL270" i="166"/>
  <c r="AL285" i="166"/>
  <c r="AL317" i="166"/>
  <c r="AL345" i="166"/>
  <c r="AL354" i="166"/>
  <c r="AL195" i="166"/>
  <c r="AL203" i="166"/>
  <c r="AL211" i="166"/>
  <c r="AL219" i="166"/>
  <c r="AL227" i="166"/>
  <c r="AL235" i="166"/>
  <c r="AL243" i="166"/>
  <c r="AL251" i="166"/>
  <c r="AL259" i="166"/>
  <c r="AL267" i="166"/>
  <c r="AL275" i="166"/>
  <c r="AL277" i="166"/>
  <c r="AL300" i="166"/>
  <c r="AL312" i="166"/>
  <c r="AL279" i="166"/>
  <c r="AL287" i="166"/>
  <c r="AL295" i="166"/>
  <c r="AL303" i="166"/>
  <c r="AL311" i="166"/>
  <c r="AL319" i="166"/>
  <c r="AL327" i="166"/>
  <c r="AL335" i="166"/>
  <c r="AL393" i="166"/>
  <c r="AL396" i="166"/>
  <c r="AL316" i="166"/>
  <c r="AL324" i="166"/>
  <c r="AL332" i="166"/>
  <c r="AL340" i="166"/>
  <c r="AL346" i="166"/>
  <c r="AL362" i="166"/>
  <c r="AL381" i="166"/>
  <c r="AL289" i="166"/>
  <c r="AL297" i="166"/>
  <c r="AL305" i="166"/>
  <c r="AL313" i="166"/>
  <c r="AL321" i="166"/>
  <c r="AL329" i="166"/>
  <c r="AL337" i="166"/>
  <c r="AL348" i="166"/>
  <c r="AL357" i="166"/>
  <c r="AL364" i="166"/>
  <c r="AL373" i="166"/>
  <c r="AL286" i="166"/>
  <c r="AL294" i="166"/>
  <c r="AL302" i="166"/>
  <c r="AL310" i="166"/>
  <c r="AL318" i="166"/>
  <c r="AL326" i="166"/>
  <c r="AL334" i="166"/>
  <c r="AL342" i="166"/>
  <c r="AL353" i="166"/>
  <c r="AL369" i="166"/>
  <c r="AL385" i="166"/>
  <c r="AL388" i="166"/>
  <c r="AL397" i="166"/>
  <c r="AL283" i="166"/>
  <c r="AL291" i="166"/>
  <c r="AL299" i="166"/>
  <c r="AL307" i="166"/>
  <c r="AL315" i="166"/>
  <c r="AL323" i="166"/>
  <c r="AL331" i="166"/>
  <c r="AL339" i="166"/>
  <c r="AL344" i="166"/>
  <c r="AL370" i="166"/>
  <c r="AL380" i="166"/>
  <c r="AL389" i="166"/>
  <c r="AL282" i="166"/>
  <c r="AL290" i="166"/>
  <c r="AL298" i="166"/>
  <c r="AL306" i="166"/>
  <c r="AL314" i="166"/>
  <c r="AL322" i="166"/>
  <c r="AL330" i="166"/>
  <c r="AL338" i="166"/>
  <c r="AL343" i="166"/>
  <c r="AL361" i="166"/>
  <c r="AL350" i="166"/>
  <c r="AL358" i="166"/>
  <c r="AL366" i="166"/>
  <c r="AL374" i="166"/>
  <c r="AL382" i="166"/>
  <c r="AL390" i="166"/>
  <c r="AL398" i="166"/>
  <c r="AL347" i="166"/>
  <c r="AL355" i="166"/>
  <c r="AL363" i="166"/>
  <c r="AL371" i="166"/>
  <c r="AL379" i="166"/>
  <c r="AL387" i="166"/>
  <c r="AL395" i="166"/>
  <c r="AL352" i="166"/>
  <c r="AL360" i="166"/>
  <c r="AL368" i="166"/>
  <c r="AL376" i="166"/>
  <c r="AL384" i="166"/>
  <c r="AL392" i="166"/>
  <c r="AL400" i="166"/>
  <c r="AL378" i="166"/>
  <c r="AL386" i="166"/>
  <c r="AL394" i="166"/>
  <c r="AL351" i="166"/>
  <c r="AL359" i="166"/>
  <c r="AL367" i="166"/>
  <c r="AL375" i="166"/>
  <c r="AL383" i="166"/>
  <c r="AL391" i="166"/>
  <c r="AL399" i="166"/>
  <c r="AQ7" i="166"/>
  <c r="AP7" i="166"/>
  <c r="A8" i="166"/>
  <c r="E2" i="166"/>
  <c r="AQ6" i="166"/>
  <c r="K3" i="167"/>
  <c r="L3" i="167"/>
  <c r="AM10" i="167"/>
  <c r="AL394" i="167"/>
  <c r="AL378" i="167"/>
  <c r="AL362" i="167"/>
  <c r="AL346" i="167"/>
  <c r="AL330" i="167"/>
  <c r="AL314" i="167"/>
  <c r="AL393" i="167"/>
  <c r="AL377" i="167"/>
  <c r="AL361" i="167"/>
  <c r="AL345" i="167"/>
  <c r="AL329" i="167"/>
  <c r="AL313" i="167"/>
  <c r="AN396" i="167"/>
  <c r="AN380" i="167"/>
  <c r="AN364" i="167"/>
  <c r="AN348" i="167"/>
  <c r="AN332" i="167"/>
  <c r="AN316" i="167"/>
  <c r="AN395" i="167"/>
  <c r="AN379" i="167"/>
  <c r="AN363" i="167"/>
  <c r="AN347" i="167"/>
  <c r="AN331" i="167"/>
  <c r="AN315" i="167"/>
  <c r="AL396" i="167"/>
  <c r="AL380" i="167"/>
  <c r="AL348" i="167"/>
  <c r="AL323" i="167"/>
  <c r="AN295" i="167"/>
  <c r="AN279" i="167"/>
  <c r="AN263" i="167"/>
  <c r="AN247" i="167"/>
  <c r="AN231" i="167"/>
  <c r="AL296" i="167"/>
  <c r="AL280" i="167"/>
  <c r="AL264" i="167"/>
  <c r="AL248" i="167"/>
  <c r="AL232" i="167"/>
  <c r="AL339" i="167"/>
  <c r="AL347" i="167"/>
  <c r="AN338" i="167"/>
  <c r="AN289" i="167"/>
  <c r="AN273" i="167"/>
  <c r="AN257" i="167"/>
  <c r="AN241" i="167"/>
  <c r="AN224" i="167"/>
  <c r="AL207" i="167"/>
  <c r="AL191" i="167"/>
  <c r="AL175" i="167"/>
  <c r="AL159" i="167"/>
  <c r="AN274" i="167"/>
  <c r="AL276" i="167"/>
  <c r="AL213" i="167"/>
  <c r="AL197" i="167"/>
  <c r="AL274" i="167"/>
  <c r="AL242" i="167"/>
  <c r="AL212" i="167"/>
  <c r="AL196" i="167"/>
  <c r="AL180" i="167"/>
  <c r="AL164" i="167"/>
  <c r="AL228" i="167"/>
  <c r="AN209" i="167"/>
  <c r="AN193" i="167"/>
  <c r="AN177" i="167"/>
  <c r="AN161" i="167"/>
  <c r="AL214" i="167"/>
  <c r="AL181" i="167"/>
  <c r="AN156" i="167"/>
  <c r="AN234" i="167"/>
  <c r="AN191" i="167"/>
  <c r="AN133" i="167"/>
  <c r="AN117" i="167"/>
  <c r="AN101" i="167"/>
  <c r="AN85" i="167"/>
  <c r="AN208" i="167"/>
  <c r="AN163" i="167"/>
  <c r="AL157" i="167"/>
  <c r="AL140" i="167"/>
  <c r="AL124" i="167"/>
  <c r="AL108" i="167"/>
  <c r="AL161" i="167"/>
  <c r="AN87" i="167"/>
  <c r="AL170" i="167"/>
  <c r="AL134" i="167"/>
  <c r="AN113" i="167"/>
  <c r="AL90" i="167"/>
  <c r="AN69" i="167"/>
  <c r="AN53" i="167"/>
  <c r="AN37" i="167"/>
  <c r="AN108" i="167"/>
  <c r="AL113" i="167"/>
  <c r="AN23" i="167"/>
  <c r="AN63" i="167"/>
  <c r="AN19" i="167"/>
  <c r="AN79" i="167"/>
  <c r="AL21" i="167"/>
  <c r="AN33" i="167"/>
  <c r="AL33" i="167"/>
  <c r="AN155" i="167"/>
  <c r="AN95" i="167"/>
  <c r="AL41" i="167"/>
  <c r="AN57" i="167"/>
  <c r="AL9" i="167"/>
  <c r="AN8" i="167"/>
  <c r="AN195" i="167"/>
  <c r="AN48" i="167"/>
  <c r="AL64" i="167"/>
  <c r="AL32" i="167"/>
  <c r="AN129" i="167"/>
  <c r="AN76" i="167"/>
  <c r="AN44" i="167"/>
  <c r="AN75" i="167"/>
  <c r="AN43" i="167"/>
  <c r="AN160" i="167"/>
  <c r="AL84" i="167"/>
  <c r="AL52" i="167"/>
  <c r="AL57" i="167"/>
  <c r="AL174" i="167"/>
  <c r="AN91" i="167"/>
  <c r="AN52" i="167"/>
  <c r="AN392" i="167"/>
  <c r="AN376" i="167"/>
  <c r="AN360" i="167"/>
  <c r="AN344" i="167"/>
  <c r="AN328" i="167"/>
  <c r="AN312" i="167"/>
  <c r="AN391" i="167"/>
  <c r="AN375" i="167"/>
  <c r="AN359" i="167"/>
  <c r="AN343" i="167"/>
  <c r="AN327" i="167"/>
  <c r="AN311" i="167"/>
  <c r="AN394" i="167"/>
  <c r="AN378" i="167"/>
  <c r="AN321" i="167"/>
  <c r="AL331" i="167"/>
  <c r="AN294" i="167"/>
  <c r="AN278" i="167"/>
  <c r="AN262" i="167"/>
  <c r="AN246" i="167"/>
  <c r="AN230" i="167"/>
  <c r="AN337" i="167"/>
  <c r="AN345" i="167"/>
  <c r="AN330" i="167"/>
  <c r="AL332" i="167"/>
  <c r="AN221" i="167"/>
  <c r="AN205" i="167"/>
  <c r="AN189" i="167"/>
  <c r="AN173" i="167"/>
  <c r="AN157" i="167"/>
  <c r="AN266" i="167"/>
  <c r="AL252" i="167"/>
  <c r="AN211" i="167"/>
  <c r="AN304" i="167"/>
  <c r="AN272" i="167"/>
  <c r="AN240" i="167"/>
  <c r="AN210" i="167"/>
  <c r="AN194" i="167"/>
  <c r="AN178" i="167"/>
  <c r="AN162" i="167"/>
  <c r="AN226" i="167"/>
  <c r="AN212" i="167"/>
  <c r="AL144" i="167"/>
  <c r="AL128" i="167"/>
  <c r="AL112" i="167"/>
  <c r="AL96" i="167"/>
  <c r="AL227" i="167"/>
  <c r="AN192" i="167"/>
  <c r="AL153" i="167"/>
  <c r="AN180" i="167"/>
  <c r="AN138" i="167"/>
  <c r="AN122" i="167"/>
  <c r="AN106" i="167"/>
  <c r="AN184" i="167"/>
  <c r="AL138" i="167"/>
  <c r="AL122" i="167"/>
  <c r="AL106" i="167"/>
  <c r="AN100" i="167"/>
  <c r="AL82" i="167"/>
  <c r="AL66" i="167"/>
  <c r="AL50" i="167"/>
  <c r="AL34" i="167"/>
  <c r="AL18" i="167"/>
  <c r="AL89" i="167"/>
  <c r="AN152" i="167"/>
  <c r="AL131" i="167"/>
  <c r="AL110" i="167"/>
  <c r="AL78" i="167"/>
  <c r="AL62" i="167"/>
  <c r="AL46" i="167"/>
  <c r="AL105" i="167"/>
  <c r="AL77" i="167"/>
  <c r="AL61" i="167"/>
  <c r="AL45" i="167"/>
  <c r="AL29" i="167"/>
  <c r="AL169" i="167"/>
  <c r="AL102" i="167"/>
  <c r="AL85" i="167"/>
  <c r="AL59" i="167"/>
  <c r="AN22" i="167"/>
  <c r="AN92" i="167"/>
  <c r="AN199" i="167"/>
  <c r="AL20" i="167"/>
  <c r="AN143" i="167"/>
  <c r="AN39" i="167"/>
  <c r="AN28" i="167"/>
  <c r="AN111" i="167"/>
  <c r="AN149" i="167"/>
  <c r="AN47" i="167"/>
  <c r="AL99" i="167"/>
  <c r="AN64" i="167"/>
  <c r="AN32" i="167"/>
  <c r="AL80" i="167"/>
  <c r="AL48" i="167"/>
  <c r="AL150" i="167"/>
  <c r="AN60" i="167"/>
  <c r="AN167" i="167"/>
  <c r="AN59" i="167"/>
  <c r="AN27" i="167"/>
  <c r="AL68" i="167"/>
  <c r="AL36" i="167"/>
  <c r="AL13" i="167"/>
  <c r="AL49" i="167"/>
  <c r="AN68" i="167"/>
  <c r="AL392" i="167"/>
  <c r="AL376" i="167"/>
  <c r="AL360" i="167"/>
  <c r="AL344" i="167"/>
  <c r="AL328" i="167"/>
  <c r="AL312" i="167"/>
  <c r="AL391" i="167"/>
  <c r="AL375" i="167"/>
  <c r="AL359" i="167"/>
  <c r="AL343" i="167"/>
  <c r="AL327" i="167"/>
  <c r="AL311" i="167"/>
  <c r="AL395" i="167"/>
  <c r="AL379" i="167"/>
  <c r="AL363" i="167"/>
  <c r="AN329" i="167"/>
  <c r="AL295" i="167"/>
  <c r="AL279" i="167"/>
  <c r="AL263" i="167"/>
  <c r="AL247" i="167"/>
  <c r="AL231" i="167"/>
  <c r="AL294" i="167"/>
  <c r="AL278" i="167"/>
  <c r="AL262" i="167"/>
  <c r="AL246" i="167"/>
  <c r="AL230" i="167"/>
  <c r="AL324" i="167"/>
  <c r="AL293" i="167"/>
  <c r="AL277" i="167"/>
  <c r="AL261" i="167"/>
  <c r="AL245" i="167"/>
  <c r="AL229" i="167"/>
  <c r="AL216" i="167"/>
  <c r="AL200" i="167"/>
  <c r="AL184" i="167"/>
  <c r="AL168" i="167"/>
  <c r="AL152" i="167"/>
  <c r="AN258" i="167"/>
  <c r="AL292" i="167"/>
  <c r="AN225" i="167"/>
  <c r="AL298" i="167"/>
  <c r="AL266" i="167"/>
  <c r="AL234" i="167"/>
  <c r="AN142" i="167"/>
  <c r="AN126" i="167"/>
  <c r="AN110" i="167"/>
  <c r="AN94" i="167"/>
  <c r="AL217" i="167"/>
  <c r="AL178" i="167"/>
  <c r="AN242" i="167"/>
  <c r="AL133" i="167"/>
  <c r="AL117" i="167"/>
  <c r="AL101" i="167"/>
  <c r="AN136" i="167"/>
  <c r="AN120" i="167"/>
  <c r="AN80" i="167"/>
  <c r="AN16" i="167"/>
  <c r="AL107" i="167"/>
  <c r="AL19" i="167"/>
  <c r="AN71" i="167"/>
  <c r="AR7" i="166" a="1"/>
  <c r="AN390" i="167"/>
  <c r="AN374" i="167"/>
  <c r="AN358" i="167"/>
  <c r="AN342" i="167"/>
  <c r="AN326" i="167"/>
  <c r="AN310" i="167"/>
  <c r="AN389" i="167"/>
  <c r="AN373" i="167"/>
  <c r="AN357" i="167"/>
  <c r="AN341" i="167"/>
  <c r="AN325" i="167"/>
  <c r="AN309" i="167"/>
  <c r="AL390" i="167"/>
  <c r="AL374" i="167"/>
  <c r="AL358" i="167"/>
  <c r="AL342" i="167"/>
  <c r="AL326" i="167"/>
  <c r="AL310" i="167"/>
  <c r="AL389" i="167"/>
  <c r="AL373" i="167"/>
  <c r="AL357" i="167"/>
  <c r="AL341" i="167"/>
  <c r="AL325" i="167"/>
  <c r="AL309" i="167"/>
  <c r="AN393" i="167"/>
  <c r="AN377" i="167"/>
  <c r="AN361" i="167"/>
  <c r="AN305" i="167"/>
  <c r="AL289" i="167"/>
  <c r="AL273" i="167"/>
  <c r="AL257" i="167"/>
  <c r="AL241" i="167"/>
  <c r="AL225" i="167"/>
  <c r="AN314" i="167"/>
  <c r="AN293" i="167"/>
  <c r="AN277" i="167"/>
  <c r="AN261" i="167"/>
  <c r="AN245" i="167"/>
  <c r="AN229" i="167"/>
  <c r="AN322" i="167"/>
  <c r="AN292" i="167"/>
  <c r="AN276" i="167"/>
  <c r="AN260" i="167"/>
  <c r="AN244" i="167"/>
  <c r="AN228" i="167"/>
  <c r="AN291" i="167"/>
  <c r="AN275" i="167"/>
  <c r="AN259" i="167"/>
  <c r="AN243" i="167"/>
  <c r="AN227" i="167"/>
  <c r="AL299" i="167"/>
  <c r="AL283" i="167"/>
  <c r="AL267" i="167"/>
  <c r="AL251" i="167"/>
  <c r="AL235" i="167"/>
  <c r="AN214" i="167"/>
  <c r="AN198" i="167"/>
  <c r="AN182" i="167"/>
  <c r="AN166" i="167"/>
  <c r="AN150" i="167"/>
  <c r="AN250" i="167"/>
  <c r="AL268" i="167"/>
  <c r="AL222" i="167"/>
  <c r="AN296" i="167"/>
  <c r="AN264" i="167"/>
  <c r="AN232" i="167"/>
  <c r="AL219" i="167"/>
  <c r="AL203" i="167"/>
  <c r="AL187" i="167"/>
  <c r="AL171" i="167"/>
  <c r="AL155" i="167"/>
  <c r="AN172" i="167"/>
  <c r="AN207" i="167"/>
  <c r="AN175" i="167"/>
  <c r="AL143" i="167"/>
  <c r="AL127" i="167"/>
  <c r="AL111" i="167"/>
  <c r="AL95" i="167"/>
  <c r="AL185" i="167"/>
  <c r="AN147" i="167"/>
  <c r="AN131" i="167"/>
  <c r="AN115" i="167"/>
  <c r="AN99" i="167"/>
  <c r="AL198" i="167"/>
  <c r="AL173" i="167"/>
  <c r="AL149" i="167"/>
  <c r="AL206" i="167"/>
  <c r="AL177" i="167"/>
  <c r="AL154" i="167"/>
  <c r="AN216" i="167"/>
  <c r="AN96" i="167"/>
  <c r="AN78" i="167"/>
  <c r="AN62" i="167"/>
  <c r="AN46" i="167"/>
  <c r="AN30" i="167"/>
  <c r="AL147" i="167"/>
  <c r="AL126" i="167"/>
  <c r="AN105" i="167"/>
  <c r="AL79" i="167"/>
  <c r="AL63" i="167"/>
  <c r="AL47" i="167"/>
  <c r="AL31" i="167"/>
  <c r="AN148" i="167"/>
  <c r="AL158" i="167"/>
  <c r="AL98" i="167"/>
  <c r="AN82" i="167"/>
  <c r="AN66" i="167"/>
  <c r="AN50" i="167"/>
  <c r="AN34" i="167"/>
  <c r="AN55" i="167"/>
  <c r="AL86" i="167"/>
  <c r="AL17" i="167"/>
  <c r="AN127" i="167"/>
  <c r="AL12" i="167"/>
  <c r="AL27" i="167"/>
  <c r="AN31" i="167"/>
  <c r="AN25" i="167"/>
  <c r="AL24" i="167"/>
  <c r="AL22" i="167"/>
  <c r="AL56" i="167"/>
  <c r="AL186" i="167"/>
  <c r="AL28" i="167"/>
  <c r="AN21" i="167"/>
  <c r="AL386" i="167"/>
  <c r="AL370" i="167"/>
  <c r="AL354" i="167"/>
  <c r="AL338" i="167"/>
  <c r="AL322" i="167"/>
  <c r="AL385" i="167"/>
  <c r="AL369" i="167"/>
  <c r="AL353" i="167"/>
  <c r="AL337" i="167"/>
  <c r="AL321" i="167"/>
  <c r="AL305" i="167"/>
  <c r="AN388" i="167"/>
  <c r="AN372" i="167"/>
  <c r="AN356" i="167"/>
  <c r="AN340" i="167"/>
  <c r="AN324" i="167"/>
  <c r="AN308" i="167"/>
  <c r="AN387" i="167"/>
  <c r="AN371" i="167"/>
  <c r="AN355" i="167"/>
  <c r="AN339" i="167"/>
  <c r="AN323" i="167"/>
  <c r="AN307" i="167"/>
  <c r="AL388" i="167"/>
  <c r="AL372" i="167"/>
  <c r="AL356" i="167"/>
  <c r="AN303" i="167"/>
  <c r="AN287" i="167"/>
  <c r="AN271" i="167"/>
  <c r="AN255" i="167"/>
  <c r="AN239" i="167"/>
  <c r="AN223" i="167"/>
  <c r="AL304" i="167"/>
  <c r="AL288" i="167"/>
  <c r="AL272" i="167"/>
  <c r="AL256" i="167"/>
  <c r="AL240" i="167"/>
  <c r="AL224" i="167"/>
  <c r="AL308" i="167"/>
  <c r="AL316" i="167"/>
  <c r="AN346" i="167"/>
  <c r="AN297" i="167"/>
  <c r="AN281" i="167"/>
  <c r="AN265" i="167"/>
  <c r="AN249" i="167"/>
  <c r="AN233" i="167"/>
  <c r="AL215" i="167"/>
  <c r="AL199" i="167"/>
  <c r="AL183" i="167"/>
  <c r="AL167" i="167"/>
  <c r="AL151" i="167"/>
  <c r="AL315" i="167"/>
  <c r="AL244" i="167"/>
  <c r="AL221" i="167"/>
  <c r="AL205" i="167"/>
  <c r="AL290" i="167"/>
  <c r="AL258" i="167"/>
  <c r="AL220" i="167"/>
  <c r="AL204" i="167"/>
  <c r="AL188" i="167"/>
  <c r="AL172" i="167"/>
  <c r="AL156" i="167"/>
  <c r="AN217" i="167"/>
  <c r="AN201" i="167"/>
  <c r="AN185" i="167"/>
  <c r="AN169" i="167"/>
  <c r="AN153" i="167"/>
  <c r="AN141" i="167"/>
  <c r="AN125" i="167"/>
  <c r="AN109" i="167"/>
  <c r="AN93" i="167"/>
  <c r="AN220" i="167"/>
  <c r="AL182" i="167"/>
  <c r="AN196" i="167"/>
  <c r="AL148" i="167"/>
  <c r="AL132" i="167"/>
  <c r="AL116" i="167"/>
  <c r="AL100" i="167"/>
  <c r="AN204" i="167"/>
  <c r="AN151" i="167"/>
  <c r="AL201" i="167"/>
  <c r="AL209" i="167"/>
  <c r="AN145" i="167"/>
  <c r="AL123" i="167"/>
  <c r="AL97" i="167"/>
  <c r="AN77" i="167"/>
  <c r="AN61" i="167"/>
  <c r="AN45" i="167"/>
  <c r="AN29" i="167"/>
  <c r="AN140" i="167"/>
  <c r="AL93" i="167"/>
  <c r="AL145" i="167"/>
  <c r="AL94" i="167"/>
  <c r="AL8" i="167"/>
  <c r="AN73" i="167"/>
  <c r="AN15" i="167"/>
  <c r="AL30" i="167"/>
  <c r="AL16" i="167"/>
  <c r="AN10" i="167"/>
  <c r="AL11" i="167"/>
  <c r="AL51" i="167"/>
  <c r="AL23" i="167"/>
  <c r="AN119" i="167"/>
  <c r="AL40" i="167"/>
  <c r="AN35" i="167"/>
  <c r="AL76" i="167"/>
  <c r="AL60" i="167"/>
  <c r="AL67" i="167"/>
  <c r="AL83" i="167"/>
  <c r="AL14" i="167"/>
  <c r="AN81" i="167"/>
  <c r="AN400" i="167"/>
  <c r="AN384" i="167"/>
  <c r="AN368" i="167"/>
  <c r="AN352" i="167"/>
  <c r="AN336" i="167"/>
  <c r="AN320" i="167"/>
  <c r="AN399" i="167"/>
  <c r="AN383" i="167"/>
  <c r="AN367" i="167"/>
  <c r="AN351" i="167"/>
  <c r="AN335" i="167"/>
  <c r="AN319" i="167"/>
  <c r="AN501" i="167"/>
  <c r="AN386" i="167"/>
  <c r="AN370" i="167"/>
  <c r="AN302" i="167"/>
  <c r="AN286" i="167"/>
  <c r="AN270" i="167"/>
  <c r="AN254" i="167"/>
  <c r="AN238" i="167"/>
  <c r="AN222" i="167"/>
  <c r="AN306" i="167"/>
  <c r="AL306" i="167"/>
  <c r="AL340" i="167"/>
  <c r="AN213" i="167"/>
  <c r="AN197" i="167"/>
  <c r="AN181" i="167"/>
  <c r="AN165" i="167"/>
  <c r="AN298" i="167"/>
  <c r="AL284" i="167"/>
  <c r="AN219" i="167"/>
  <c r="AN203" i="167"/>
  <c r="AN288" i="167"/>
  <c r="AN256" i="167"/>
  <c r="AN218" i="167"/>
  <c r="AN202" i="167"/>
  <c r="AN186" i="167"/>
  <c r="AN170" i="167"/>
  <c r="AN154" i="167"/>
  <c r="AL165" i="167"/>
  <c r="AL136" i="167"/>
  <c r="AL120" i="167"/>
  <c r="AL104" i="167"/>
  <c r="AL88" i="167"/>
  <c r="AL202" i="167"/>
  <c r="AL162" i="167"/>
  <c r="AN215" i="167"/>
  <c r="AN179" i="167"/>
  <c r="AN146" i="167"/>
  <c r="AN130" i="167"/>
  <c r="AN114" i="167"/>
  <c r="AN98" i="167"/>
  <c r="AL146" i="167"/>
  <c r="AL130" i="167"/>
  <c r="AL114" i="167"/>
  <c r="AN171" i="167"/>
  <c r="AL74" i="167"/>
  <c r="AL58" i="167"/>
  <c r="AL42" i="167"/>
  <c r="AL26" i="167"/>
  <c r="AL218" i="167"/>
  <c r="AL142" i="167"/>
  <c r="AN121" i="167"/>
  <c r="AN132" i="167"/>
  <c r="AL70" i="167"/>
  <c r="AL54" i="167"/>
  <c r="AL38" i="167"/>
  <c r="AL137" i="167"/>
  <c r="AL69" i="167"/>
  <c r="AL53" i="167"/>
  <c r="AL37" i="167"/>
  <c r="AN135" i="167"/>
  <c r="AN14" i="167"/>
  <c r="AL15" i="167"/>
  <c r="AN41" i="167"/>
  <c r="AN9" i="167"/>
  <c r="AN49" i="167"/>
  <c r="AN90" i="167"/>
  <c r="AN18" i="167"/>
  <c r="AN24" i="167"/>
  <c r="AN51" i="167"/>
  <c r="AL44" i="167"/>
  <c r="AN103" i="167"/>
  <c r="AN13" i="167"/>
  <c r="AL400" i="167"/>
  <c r="AL384" i="167"/>
  <c r="AL368" i="167"/>
  <c r="AL352" i="167"/>
  <c r="AL336" i="167"/>
  <c r="AL320" i="167"/>
  <c r="AL399" i="167"/>
  <c r="AL383" i="167"/>
  <c r="AL367" i="167"/>
  <c r="AL351" i="167"/>
  <c r="AL335" i="167"/>
  <c r="AL319" i="167"/>
  <c r="AL501" i="167"/>
  <c r="AL387" i="167"/>
  <c r="AL371" i="167"/>
  <c r="AL364" i="167"/>
  <c r="AL303" i="167"/>
  <c r="AL287" i="167"/>
  <c r="AL271" i="167"/>
  <c r="AL255" i="167"/>
  <c r="AL239" i="167"/>
  <c r="AL223" i="167"/>
  <c r="AL302" i="167"/>
  <c r="AL286" i="167"/>
  <c r="AL270" i="167"/>
  <c r="AL254" i="167"/>
  <c r="AL238" i="167"/>
  <c r="AL355" i="167"/>
  <c r="AL301" i="167"/>
  <c r="AL285" i="167"/>
  <c r="AL269" i="167"/>
  <c r="AL253" i="167"/>
  <c r="AL237" i="167"/>
  <c r="AN362" i="167"/>
  <c r="AL208" i="167"/>
  <c r="AL192" i="167"/>
  <c r="AL176" i="167"/>
  <c r="AL160" i="167"/>
  <c r="AN313" i="167"/>
  <c r="AN290" i="167"/>
  <c r="AL260" i="167"/>
  <c r="AL282" i="167"/>
  <c r="AL250" i="167"/>
  <c r="AN188" i="167"/>
  <c r="AN134" i="167"/>
  <c r="AN118" i="167"/>
  <c r="AN102" i="167"/>
  <c r="AN86" i="167"/>
  <c r="AN200" i="167"/>
  <c r="AN159" i="167"/>
  <c r="AL141" i="167"/>
  <c r="AL125" i="167"/>
  <c r="AL109" i="167"/>
  <c r="AL189" i="167"/>
  <c r="AN164" i="167"/>
  <c r="AL193" i="167"/>
  <c r="AN168" i="167"/>
  <c r="AN144" i="167"/>
  <c r="AN128" i="167"/>
  <c r="AN112" i="167"/>
  <c r="AN89" i="167"/>
  <c r="AN72" i="167"/>
  <c r="AN56" i="167"/>
  <c r="AN40" i="167"/>
  <c r="AN104" i="167"/>
  <c r="AL72" i="167"/>
  <c r="AL190" i="167"/>
  <c r="AL139" i="167"/>
  <c r="AL118" i="167"/>
  <c r="AL92" i="167"/>
  <c r="AL226" i="167"/>
  <c r="AN124" i="167"/>
  <c r="AN84" i="167"/>
  <c r="AN36" i="167"/>
  <c r="AN83" i="167"/>
  <c r="AN67" i="167"/>
  <c r="AN398" i="167"/>
  <c r="AN382" i="167"/>
  <c r="AN366" i="167"/>
  <c r="AN350" i="167"/>
  <c r="AN334" i="167"/>
  <c r="AN318" i="167"/>
  <c r="AN397" i="167"/>
  <c r="AN381" i="167"/>
  <c r="AN365" i="167"/>
  <c r="AN349" i="167"/>
  <c r="AN333" i="167"/>
  <c r="AN317" i="167"/>
  <c r="AL398" i="167"/>
  <c r="AL382" i="167"/>
  <c r="AL366" i="167"/>
  <c r="AL350" i="167"/>
  <c r="AL334" i="167"/>
  <c r="AL318" i="167"/>
  <c r="AL397" i="167"/>
  <c r="AL381" i="167"/>
  <c r="AL365" i="167"/>
  <c r="AL349" i="167"/>
  <c r="AL333" i="167"/>
  <c r="AL317" i="167"/>
  <c r="AN385" i="167"/>
  <c r="AN369" i="167"/>
  <c r="AN354" i="167"/>
  <c r="AL297" i="167"/>
  <c r="AL281" i="167"/>
  <c r="AL265" i="167"/>
  <c r="AL249" i="167"/>
  <c r="AL233" i="167"/>
  <c r="AN301" i="167"/>
  <c r="AN285" i="167"/>
  <c r="AN269" i="167"/>
  <c r="AN253" i="167"/>
  <c r="AN237" i="167"/>
  <c r="AN300" i="167"/>
  <c r="AN284" i="167"/>
  <c r="AN268" i="167"/>
  <c r="AN252" i="167"/>
  <c r="AN236" i="167"/>
  <c r="AN353" i="167"/>
  <c r="AN299" i="167"/>
  <c r="AN283" i="167"/>
  <c r="AN267" i="167"/>
  <c r="AN251" i="167"/>
  <c r="AN235" i="167"/>
  <c r="AL291" i="167"/>
  <c r="AL275" i="167"/>
  <c r="AL259" i="167"/>
  <c r="AL243" i="167"/>
  <c r="AN206" i="167"/>
  <c r="AN190" i="167"/>
  <c r="AN174" i="167"/>
  <c r="AN158" i="167"/>
  <c r="AL307" i="167"/>
  <c r="AN282" i="167"/>
  <c r="AL300" i="167"/>
  <c r="AL236" i="167"/>
  <c r="AN280" i="167"/>
  <c r="AN248" i="167"/>
  <c r="AL211" i="167"/>
  <c r="AL195" i="167"/>
  <c r="AL179" i="167"/>
  <c r="AL163" i="167"/>
  <c r="AL194" i="167"/>
  <c r="AL135" i="167"/>
  <c r="AL119" i="167"/>
  <c r="AL103" i="167"/>
  <c r="AL87" i="167"/>
  <c r="AL210" i="167"/>
  <c r="AL166" i="167"/>
  <c r="AN139" i="167"/>
  <c r="AN123" i="167"/>
  <c r="AN107" i="167"/>
  <c r="AN88" i="167"/>
  <c r="AN70" i="167"/>
  <c r="AN54" i="167"/>
  <c r="AN38" i="167"/>
  <c r="AN187" i="167"/>
  <c r="AN137" i="167"/>
  <c r="AL115" i="167"/>
  <c r="AL91" i="167"/>
  <c r="AL71" i="167"/>
  <c r="AL55" i="167"/>
  <c r="AL39" i="167"/>
  <c r="AN116" i="167"/>
  <c r="AL121" i="167"/>
  <c r="AN183" i="167"/>
  <c r="AN74" i="167"/>
  <c r="AN58" i="167"/>
  <c r="AN42" i="167"/>
  <c r="AN26" i="167"/>
  <c r="AN65" i="167"/>
  <c r="AL65" i="167"/>
  <c r="AN20" i="167"/>
  <c r="AL81" i="167"/>
  <c r="AL25" i="167"/>
  <c r="AN11" i="167"/>
  <c r="AL35" i="167"/>
  <c r="AN176" i="167"/>
  <c r="AN97" i="167"/>
  <c r="AL43" i="167"/>
  <c r="AN17" i="167"/>
  <c r="AN12" i="167"/>
  <c r="AL73" i="167"/>
  <c r="AL75" i="167"/>
  <c r="AL10" i="167"/>
  <c r="AL129" i="167"/>
  <c r="AR7" i="166"/>
  <c r="A9" i="166"/>
  <c r="AP8" i="166"/>
  <c r="AQ8" i="166"/>
  <c r="AR8" i="166" a="1"/>
  <c r="AR8" i="166"/>
  <c r="A10" i="166"/>
  <c r="AQ9" i="166"/>
  <c r="AP9" i="166"/>
  <c r="AR9" i="166" a="1"/>
  <c r="AR9" i="166"/>
  <c r="AQ10" i="166"/>
  <c r="AP10" i="166"/>
  <c r="A11" i="166"/>
  <c r="AR10" i="166" a="1"/>
  <c r="AR10" i="166"/>
  <c r="A12" i="166"/>
  <c r="AQ11" i="166"/>
  <c r="AP11" i="166"/>
  <c r="AR11" i="166" a="1"/>
  <c r="AR11" i="166"/>
  <c r="AP12" i="166"/>
  <c r="A13" i="166"/>
  <c r="AQ12" i="166"/>
  <c r="AR12" i="166" a="1"/>
  <c r="AR12" i="166"/>
  <c r="AQ13" i="166"/>
  <c r="AP13" i="166"/>
  <c r="A14" i="166"/>
  <c r="AR13" i="166" a="1"/>
  <c r="AR13" i="166"/>
  <c r="A15" i="166"/>
  <c r="AQ14" i="166"/>
  <c r="AP14" i="166"/>
  <c r="AR14" i="166" a="1"/>
  <c r="AR14" i="166"/>
  <c r="AQ15" i="166"/>
  <c r="AP15" i="166"/>
  <c r="A16" i="166"/>
  <c r="AR15" i="166" a="1"/>
  <c r="AR15" i="166"/>
  <c r="A17" i="166"/>
  <c r="AQ16" i="166"/>
  <c r="AP16" i="166"/>
  <c r="AR16" i="166" a="1"/>
  <c r="AR16" i="166"/>
  <c r="A18" i="166"/>
  <c r="AQ17" i="166"/>
  <c r="AP17" i="166"/>
  <c r="AR17" i="166" a="1"/>
  <c r="AR17" i="166"/>
  <c r="AQ18" i="166"/>
  <c r="AP18" i="166"/>
  <c r="A19" i="166"/>
  <c r="AR18" i="166" a="1"/>
  <c r="AR18" i="166"/>
  <c r="A20" i="166"/>
  <c r="AQ19" i="166"/>
  <c r="AP19" i="166"/>
  <c r="AR19" i="166" a="1"/>
  <c r="AR19" i="166"/>
  <c r="AP20" i="166"/>
  <c r="A21" i="166"/>
  <c r="AQ20" i="166"/>
  <c r="AR20" i="166" a="1"/>
  <c r="AR20" i="166"/>
  <c r="AQ21" i="166"/>
  <c r="AP21" i="166"/>
  <c r="A22" i="166"/>
  <c r="AR21" i="166" a="1"/>
  <c r="AR21" i="166"/>
  <c r="A23" i="166"/>
  <c r="AQ22" i="166"/>
  <c r="AP22" i="166"/>
  <c r="AR22" i="166" a="1"/>
  <c r="AR22" i="166"/>
  <c r="AQ23" i="166"/>
  <c r="AP23" i="166"/>
  <c r="A24" i="166"/>
  <c r="AR23" i="166" a="1"/>
  <c r="AR23" i="166"/>
  <c r="A25" i="166"/>
  <c r="AQ24" i="166"/>
  <c r="AP24" i="166"/>
  <c r="AR24" i="166" a="1"/>
  <c r="AR24" i="166"/>
  <c r="A26" i="166"/>
  <c r="AQ25" i="166"/>
  <c r="AP25" i="166"/>
  <c r="AR25" i="166" a="1"/>
  <c r="AR25" i="166"/>
  <c r="AQ26" i="166"/>
  <c r="AP26" i="166"/>
  <c r="A27" i="166"/>
  <c r="AR26" i="166" a="1"/>
  <c r="AR26" i="166"/>
  <c r="A28" i="166"/>
  <c r="AQ27" i="166"/>
  <c r="AP27" i="166"/>
  <c r="AR27" i="166" a="1"/>
  <c r="AR27" i="166"/>
  <c r="AP28" i="166"/>
  <c r="A29" i="166"/>
  <c r="AQ28" i="166"/>
  <c r="AR28" i="166" a="1"/>
  <c r="AR28" i="166"/>
  <c r="AQ29" i="166"/>
  <c r="AP29" i="166"/>
  <c r="A30" i="166"/>
  <c r="AR29" i="166" a="1"/>
  <c r="AR29" i="166"/>
  <c r="A31" i="166"/>
  <c r="AQ30" i="166"/>
  <c r="AP30" i="166"/>
  <c r="AR30" i="166" a="1"/>
  <c r="AR30" i="166"/>
  <c r="AQ31" i="166"/>
  <c r="AP31" i="166"/>
  <c r="A32" i="166"/>
  <c r="AR31" i="166" a="1"/>
  <c r="AR31" i="166"/>
  <c r="A33" i="166"/>
  <c r="AQ32" i="166"/>
  <c r="AP32" i="166"/>
  <c r="AR32" i="166" a="1"/>
  <c r="AR32" i="166"/>
  <c r="A34" i="166"/>
  <c r="AQ33" i="166"/>
  <c r="AP33" i="166"/>
  <c r="AR33" i="166" a="1"/>
  <c r="AR33" i="166"/>
  <c r="AQ34" i="166"/>
  <c r="AP34" i="166"/>
  <c r="A35" i="166"/>
  <c r="AR34" i="166" a="1"/>
  <c r="AR34" i="166"/>
  <c r="A36" i="166"/>
  <c r="AQ35" i="166"/>
  <c r="AP35" i="166"/>
  <c r="AR35" i="166" a="1"/>
  <c r="AR35" i="166"/>
  <c r="AP36" i="166"/>
  <c r="A37" i="166"/>
  <c r="AQ36" i="166"/>
  <c r="AR36" i="166" a="1"/>
  <c r="AR36" i="166"/>
  <c r="AQ37" i="166"/>
  <c r="AP37" i="166"/>
  <c r="A38" i="166"/>
  <c r="AR37" i="166" a="1"/>
  <c r="AR37" i="166"/>
  <c r="A39" i="166"/>
  <c r="AQ38" i="166"/>
  <c r="AP38" i="166"/>
  <c r="AR38" i="166" a="1"/>
  <c r="AR38" i="166"/>
  <c r="AQ39" i="166"/>
  <c r="AP39" i="166"/>
  <c r="A40" i="166"/>
  <c r="AR39" i="166" a="1"/>
  <c r="AR39" i="166"/>
  <c r="A41" i="166"/>
  <c r="AQ40" i="166"/>
  <c r="AP40" i="166"/>
  <c r="AR40" i="166" a="1"/>
  <c r="AR40" i="166"/>
  <c r="A42" i="166"/>
  <c r="AQ41" i="166"/>
  <c r="AP41" i="166"/>
  <c r="AR41" i="166" a="1"/>
  <c r="AR41" i="166"/>
  <c r="AQ42" i="166"/>
  <c r="AP42" i="166"/>
  <c r="A43" i="166"/>
  <c r="AR42" i="166" a="1"/>
  <c r="AR42" i="166"/>
  <c r="A44" i="166"/>
  <c r="AQ43" i="166"/>
  <c r="AP43" i="166"/>
  <c r="AR43" i="166" a="1"/>
  <c r="AR43" i="166"/>
  <c r="AP44" i="166"/>
  <c r="A45" i="166"/>
  <c r="AQ44" i="166"/>
  <c r="AR44" i="166" a="1"/>
  <c r="AR44" i="166"/>
  <c r="AQ45" i="166"/>
  <c r="AP45" i="166"/>
  <c r="A46" i="166"/>
  <c r="AR45" i="166" a="1"/>
  <c r="AR45" i="166"/>
  <c r="A47" i="166"/>
  <c r="AQ46" i="166"/>
  <c r="AP46" i="166"/>
  <c r="AR46" i="166" a="1"/>
  <c r="AR46" i="166"/>
  <c r="AQ47" i="166"/>
  <c r="AP47" i="166"/>
  <c r="A48" i="166"/>
  <c r="AR47" i="166" a="1"/>
  <c r="AR47" i="166"/>
  <c r="A49" i="166"/>
  <c r="AQ48" i="166"/>
  <c r="AP48" i="166"/>
  <c r="AR48" i="166" a="1"/>
  <c r="AR48" i="166"/>
  <c r="A50" i="166"/>
  <c r="AQ49" i="166"/>
  <c r="AP49" i="166"/>
  <c r="AR49" i="166" a="1"/>
  <c r="AR49" i="166"/>
  <c r="AQ50" i="166"/>
  <c r="AP50" i="166"/>
  <c r="A51" i="166"/>
  <c r="AR50" i="166" a="1"/>
  <c r="AR50" i="166"/>
  <c r="A52" i="166"/>
  <c r="AQ51" i="166"/>
  <c r="AP51" i="166"/>
  <c r="AR51" i="166" a="1"/>
  <c r="AR51" i="166"/>
  <c r="AP52" i="166"/>
  <c r="A53" i="166"/>
  <c r="AQ52" i="166"/>
  <c r="AR52" i="166" a="1"/>
  <c r="AR52" i="166"/>
  <c r="AQ53" i="166"/>
  <c r="AP53" i="166"/>
  <c r="A54" i="166"/>
  <c r="AR53" i="166" a="1"/>
  <c r="AR53" i="166"/>
  <c r="A55" i="166"/>
  <c r="AQ54" i="166"/>
  <c r="AP54" i="166"/>
  <c r="AR54" i="166" a="1"/>
  <c r="AR54" i="166"/>
  <c r="AQ55" i="166"/>
  <c r="AP55" i="166"/>
  <c r="A56" i="166"/>
  <c r="AR55" i="166" a="1"/>
  <c r="AR55" i="166"/>
  <c r="A57" i="166"/>
  <c r="AQ56" i="166"/>
  <c r="AP56" i="166"/>
  <c r="AR56" i="166" a="1"/>
  <c r="AR56" i="166"/>
  <c r="A58" i="166"/>
  <c r="AQ57" i="166"/>
  <c r="AP57" i="166"/>
  <c r="AR57" i="166" a="1"/>
  <c r="AR57" i="166"/>
  <c r="AQ58" i="166"/>
  <c r="AP58" i="166"/>
  <c r="A59" i="166"/>
  <c r="AR58" i="166" a="1"/>
  <c r="AR58" i="166"/>
  <c r="A60" i="166"/>
  <c r="AQ59" i="166"/>
  <c r="AP59" i="166"/>
  <c r="AR59" i="166" a="1"/>
  <c r="AR59" i="166"/>
  <c r="AP60" i="166"/>
  <c r="A61" i="166"/>
  <c r="AQ60" i="166"/>
  <c r="AR60" i="166" a="1"/>
  <c r="AR60" i="166"/>
  <c r="AQ61" i="166"/>
  <c r="AP61" i="166"/>
  <c r="A62" i="166"/>
  <c r="AR61" i="166" a="1"/>
  <c r="AR61" i="166"/>
  <c r="A63" i="166"/>
  <c r="AQ62" i="166"/>
  <c r="AP62" i="166"/>
  <c r="AR62" i="166" a="1"/>
  <c r="AR62" i="166"/>
  <c r="AQ63" i="166"/>
  <c r="AP63" i="166"/>
  <c r="A64" i="166"/>
  <c r="AR63" i="166" a="1"/>
  <c r="AR63" i="166"/>
  <c r="A65" i="166"/>
  <c r="AQ64" i="166"/>
  <c r="AP64" i="166"/>
  <c r="AR64" i="166" a="1"/>
  <c r="AR64" i="166"/>
  <c r="A66" i="166"/>
  <c r="AQ65" i="166"/>
  <c r="AP65" i="166"/>
  <c r="AR65" i="166" a="1"/>
  <c r="AR65" i="166"/>
  <c r="AQ66" i="166"/>
  <c r="AP66" i="166"/>
  <c r="A67" i="166"/>
  <c r="AR66" i="166" a="1"/>
  <c r="AR66" i="166"/>
  <c r="A68" i="166"/>
  <c r="AQ67" i="166"/>
  <c r="AP67" i="166"/>
  <c r="AR67" i="166" a="1"/>
  <c r="AR67" i="166"/>
  <c r="AP68" i="166"/>
  <c r="A69" i="166"/>
  <c r="AQ68" i="166"/>
  <c r="AR68" i="166" a="1"/>
  <c r="AR68" i="166"/>
  <c r="AQ69" i="166"/>
  <c r="AP69" i="166"/>
  <c r="A70" i="166"/>
  <c r="AR69" i="166" a="1"/>
  <c r="AR69" i="166"/>
  <c r="A71" i="166"/>
  <c r="AQ70" i="166"/>
  <c r="AP70" i="166"/>
  <c r="AR70" i="166" a="1"/>
  <c r="AR70" i="166"/>
  <c r="AQ71" i="166"/>
  <c r="AP71" i="166"/>
  <c r="A72" i="166"/>
  <c r="AR71" i="166" a="1"/>
  <c r="AR71" i="166"/>
  <c r="A73" i="166"/>
  <c r="AQ72" i="166"/>
  <c r="AP72" i="166"/>
  <c r="AR72" i="166" a="1"/>
  <c r="AR72" i="166"/>
  <c r="A74" i="166"/>
  <c r="AQ73" i="166"/>
  <c r="AP73" i="166"/>
  <c r="AR73" i="166" a="1"/>
  <c r="AR73" i="166"/>
  <c r="AQ74" i="166"/>
  <c r="AP74" i="166"/>
  <c r="A75" i="166"/>
  <c r="AR74" i="166" a="1"/>
  <c r="AR74" i="166"/>
  <c r="A76" i="166"/>
  <c r="AQ75" i="166"/>
  <c r="AP75" i="166"/>
  <c r="AR75" i="166" a="1"/>
  <c r="AR75" i="166"/>
  <c r="AP76" i="166"/>
  <c r="A77" i="166"/>
  <c r="AQ76" i="166"/>
  <c r="AR76" i="166" a="1"/>
  <c r="AR76" i="166"/>
  <c r="AQ77" i="166"/>
  <c r="AP77" i="166"/>
  <c r="A78" i="166"/>
  <c r="AR77" i="166" a="1"/>
  <c r="AR77" i="166"/>
  <c r="A79" i="166"/>
  <c r="AQ78" i="166"/>
  <c r="AP78" i="166"/>
  <c r="AR78" i="166" a="1"/>
  <c r="AR78" i="166"/>
  <c r="AQ79" i="166"/>
  <c r="AP79" i="166"/>
  <c r="A80" i="166"/>
  <c r="AR79" i="166" a="1"/>
  <c r="AR79" i="166"/>
  <c r="A81" i="166"/>
  <c r="AQ80" i="166"/>
  <c r="AP80" i="166"/>
  <c r="AR80" i="166" a="1"/>
  <c r="AR80" i="166"/>
  <c r="A82" i="166"/>
  <c r="AQ81" i="166"/>
  <c r="AP81" i="166"/>
  <c r="AR81" i="166" a="1"/>
  <c r="AR81" i="166"/>
  <c r="AQ82" i="166"/>
  <c r="AP82" i="166"/>
  <c r="A83" i="166"/>
  <c r="AR82" i="166" a="1"/>
  <c r="AR82" i="166"/>
  <c r="A84" i="166"/>
  <c r="AQ83" i="166"/>
  <c r="AP83" i="166"/>
  <c r="AR83" i="166" a="1"/>
  <c r="AR83" i="166"/>
  <c r="AP84" i="166"/>
  <c r="A85" i="166"/>
  <c r="AQ84" i="166"/>
  <c r="AR84" i="166" a="1"/>
  <c r="AR84" i="166"/>
  <c r="AQ85" i="166"/>
  <c r="AP85" i="166"/>
  <c r="A86" i="166"/>
  <c r="AR85" i="166" a="1"/>
  <c r="AR85" i="166"/>
  <c r="A87" i="166"/>
  <c r="AQ86" i="166"/>
  <c r="AP86" i="166"/>
  <c r="AR86" i="166" a="1"/>
  <c r="AR86" i="166"/>
  <c r="AQ87" i="166"/>
  <c r="AP87" i="166"/>
  <c r="A88" i="166"/>
  <c r="AR87" i="166" a="1"/>
  <c r="AR87" i="166"/>
  <c r="A89" i="166"/>
  <c r="AQ88" i="166"/>
  <c r="AP88" i="166"/>
  <c r="AR88" i="166" a="1"/>
  <c r="AR88" i="166"/>
  <c r="A90" i="166"/>
  <c r="AQ89" i="166"/>
  <c r="AP89" i="166"/>
  <c r="AR89" i="166" a="1"/>
  <c r="AR89" i="166"/>
  <c r="AQ90" i="166"/>
  <c r="AP90" i="166"/>
  <c r="A91" i="166"/>
  <c r="AR90" i="166" a="1"/>
  <c r="AR90" i="166"/>
  <c r="A92" i="166"/>
  <c r="AQ91" i="166"/>
  <c r="AP91" i="166"/>
  <c r="AR91" i="166" a="1"/>
  <c r="AR91" i="166"/>
  <c r="AP92" i="166"/>
  <c r="A93" i="166"/>
  <c r="AQ92" i="166"/>
  <c r="AR92" i="166" a="1"/>
  <c r="AR92" i="166"/>
  <c r="AQ93" i="166"/>
  <c r="AP93" i="166"/>
  <c r="A94" i="166"/>
  <c r="AR93" i="166" a="1"/>
  <c r="AR93" i="166"/>
  <c r="A95" i="166"/>
  <c r="AQ94" i="166"/>
  <c r="AP94" i="166"/>
  <c r="AR94" i="166" a="1"/>
  <c r="AR94" i="166"/>
  <c r="AQ95" i="166"/>
  <c r="AP95" i="166"/>
  <c r="A96" i="166"/>
  <c r="AR95" i="166" a="1"/>
  <c r="AR95" i="166"/>
  <c r="A97" i="166"/>
  <c r="AQ96" i="166"/>
  <c r="AP96" i="166"/>
  <c r="AR96" i="166" a="1"/>
  <c r="AR96" i="166"/>
  <c r="A98" i="166"/>
  <c r="AQ97" i="166"/>
  <c r="AP97" i="166"/>
  <c r="AR97" i="166" a="1"/>
  <c r="AR97" i="166"/>
  <c r="AQ98" i="166"/>
  <c r="AP98" i="166"/>
  <c r="A99" i="166"/>
  <c r="AR98" i="166" a="1"/>
  <c r="AR98" i="166"/>
  <c r="A100" i="166"/>
  <c r="AQ99" i="166"/>
  <c r="AP99" i="166"/>
  <c r="AR99" i="166" a="1"/>
  <c r="AR99" i="166"/>
  <c r="AP100" i="166"/>
  <c r="A101" i="166"/>
  <c r="AQ100" i="166"/>
  <c r="AR100" i="166" a="1"/>
  <c r="AR100" i="166"/>
  <c r="AQ101" i="166"/>
  <c r="AP101" i="166"/>
  <c r="A102" i="166"/>
  <c r="AR101" i="166" a="1"/>
  <c r="AR101" i="166"/>
  <c r="A103" i="166"/>
  <c r="AQ102" i="166"/>
  <c r="AP102" i="166"/>
  <c r="AR102" i="166" a="1"/>
  <c r="AR102" i="166"/>
  <c r="AQ103" i="166"/>
  <c r="AP103" i="166"/>
  <c r="A104" i="166"/>
  <c r="AR103" i="166" a="1"/>
  <c r="AR103" i="166"/>
  <c r="A105" i="166"/>
  <c r="AQ104" i="166"/>
  <c r="AP104" i="166"/>
  <c r="AR104" i="166" a="1"/>
  <c r="AR104" i="166"/>
  <c r="A106" i="166"/>
  <c r="AQ105" i="166"/>
  <c r="AP105" i="166"/>
  <c r="AR105" i="166" a="1"/>
  <c r="AR105" i="166"/>
  <c r="AQ106" i="166"/>
  <c r="AP106" i="166"/>
  <c r="A107" i="166"/>
  <c r="AR106" i="166" a="1"/>
  <c r="AR106" i="166"/>
  <c r="A108" i="166"/>
  <c r="AQ107" i="166"/>
  <c r="AP107" i="166"/>
  <c r="AR107" i="166" a="1"/>
  <c r="AR107" i="166"/>
  <c r="AP108" i="166"/>
  <c r="A109" i="166"/>
  <c r="AQ108" i="166"/>
  <c r="AR108" i="166" a="1"/>
  <c r="AR108" i="166"/>
  <c r="AQ109" i="166"/>
  <c r="AP109" i="166"/>
  <c r="A110" i="166"/>
  <c r="AR109" i="166" a="1"/>
  <c r="AR109" i="166"/>
  <c r="A111" i="166"/>
  <c r="AQ110" i="166"/>
  <c r="AP110" i="166"/>
  <c r="AR110" i="166" a="1"/>
  <c r="AR110" i="166"/>
  <c r="AQ111" i="166"/>
  <c r="AP111" i="166"/>
  <c r="A112" i="166"/>
  <c r="AR111" i="166" a="1"/>
  <c r="AR111" i="166"/>
  <c r="A113" i="166"/>
  <c r="AQ112" i="166"/>
  <c r="AP112" i="166"/>
  <c r="AR112" i="166" a="1"/>
  <c r="AR112" i="166"/>
  <c r="A114" i="166"/>
  <c r="AQ113" i="166"/>
  <c r="AP113" i="166"/>
  <c r="AR113" i="166" a="1"/>
  <c r="AR113" i="166"/>
  <c r="AQ114" i="166"/>
  <c r="AP114" i="166"/>
  <c r="A115" i="166"/>
  <c r="AR114" i="166" a="1"/>
  <c r="AR114" i="166"/>
  <c r="A116" i="166"/>
  <c r="AQ115" i="166"/>
  <c r="AP115" i="166"/>
  <c r="AR115" i="166" a="1"/>
  <c r="AR115" i="166"/>
  <c r="AP116" i="166"/>
  <c r="A117" i="166"/>
  <c r="AQ116" i="166"/>
  <c r="AR116" i="166" a="1"/>
  <c r="AR116" i="166"/>
  <c r="AQ117" i="166"/>
  <c r="AP117" i="166"/>
  <c r="A118" i="166"/>
  <c r="AR117" i="166" a="1"/>
  <c r="AR117" i="166"/>
  <c r="A119" i="166"/>
  <c r="AQ118" i="166"/>
  <c r="AP118" i="166"/>
  <c r="AR118" i="166" a="1"/>
  <c r="AR118" i="166"/>
  <c r="AQ119" i="166"/>
  <c r="AP119" i="166"/>
  <c r="A120" i="166"/>
  <c r="AR119" i="166" a="1"/>
  <c r="AR119" i="166"/>
  <c r="A121" i="166"/>
  <c r="AQ120" i="166"/>
  <c r="AP120" i="166"/>
  <c r="AR120" i="166" a="1"/>
  <c r="AR120" i="166"/>
  <c r="A122" i="166"/>
  <c r="AQ121" i="166"/>
  <c r="AP121" i="166"/>
  <c r="AR121" i="166" a="1"/>
  <c r="AR121" i="166"/>
  <c r="AQ122" i="166"/>
  <c r="AP122" i="166"/>
  <c r="A123" i="166"/>
  <c r="AR122" i="166" a="1"/>
  <c r="AR122" i="166"/>
  <c r="A124" i="166"/>
  <c r="AQ123" i="166"/>
  <c r="AP123" i="166"/>
  <c r="AR123" i="166" a="1"/>
  <c r="AR123" i="166"/>
  <c r="AP124" i="166"/>
  <c r="A125" i="166"/>
  <c r="AQ124" i="166"/>
  <c r="AR124" i="166" a="1"/>
  <c r="AR124" i="166"/>
  <c r="AQ125" i="166"/>
  <c r="AP125" i="166"/>
  <c r="A126" i="166"/>
  <c r="AR125" i="166" a="1"/>
  <c r="AR125" i="166"/>
  <c r="A127" i="166"/>
  <c r="AQ126" i="166"/>
  <c r="AP126" i="166"/>
  <c r="AR126" i="166" a="1"/>
  <c r="AR126" i="166"/>
  <c r="AQ127" i="166"/>
  <c r="AP127" i="166"/>
  <c r="A128" i="166"/>
  <c r="AR127" i="166" a="1"/>
  <c r="AR127" i="166"/>
  <c r="A129" i="166"/>
  <c r="AQ128" i="166"/>
  <c r="AP128" i="166"/>
  <c r="AR128" i="166" a="1"/>
  <c r="AR128" i="166"/>
  <c r="A130" i="166"/>
  <c r="AQ129" i="166"/>
  <c r="AP129" i="166"/>
  <c r="AR129" i="166" a="1"/>
  <c r="AR129" i="166"/>
  <c r="AQ130" i="166"/>
  <c r="AP130" i="166"/>
  <c r="A131" i="166"/>
  <c r="AR130" i="166" a="1"/>
  <c r="AR130" i="166"/>
  <c r="A132" i="166"/>
  <c r="AQ131" i="166"/>
  <c r="AP131" i="166"/>
  <c r="AR131" i="166" a="1"/>
  <c r="AR131" i="166"/>
  <c r="AP132" i="166"/>
  <c r="A133" i="166"/>
  <c r="AQ132" i="166"/>
  <c r="AR132" i="166" a="1"/>
  <c r="AR132" i="166"/>
  <c r="AQ133" i="166"/>
  <c r="AP133" i="166"/>
  <c r="A134" i="166"/>
  <c r="AR133" i="166" a="1"/>
  <c r="AR133" i="166"/>
  <c r="A135" i="166"/>
  <c r="AQ134" i="166"/>
  <c r="AP134" i="166"/>
  <c r="AR134" i="166" a="1"/>
  <c r="AR134" i="166"/>
  <c r="AQ135" i="166"/>
  <c r="AP135" i="166"/>
  <c r="A136" i="166"/>
  <c r="AR135" i="166" a="1"/>
  <c r="AR135" i="166"/>
  <c r="A137" i="166"/>
  <c r="AQ136" i="166"/>
  <c r="AP136" i="166"/>
  <c r="AR136" i="166" a="1"/>
  <c r="AR136" i="166"/>
  <c r="A138" i="166"/>
  <c r="AQ137" i="166"/>
  <c r="AP137" i="166"/>
  <c r="AR137" i="166" a="1"/>
  <c r="AR137" i="166"/>
  <c r="AQ138" i="166"/>
  <c r="AP138" i="166"/>
  <c r="A139" i="166"/>
  <c r="AR138" i="166" a="1"/>
  <c r="AR138" i="166"/>
  <c r="A140" i="166"/>
  <c r="AQ139" i="166"/>
  <c r="AP139" i="166"/>
  <c r="AR139" i="166" a="1"/>
  <c r="AR139" i="166"/>
  <c r="AP140" i="166"/>
  <c r="A141" i="166"/>
  <c r="AQ140" i="166"/>
  <c r="AR140" i="166" a="1"/>
  <c r="AR140" i="166"/>
  <c r="AQ141" i="166"/>
  <c r="AP141" i="166"/>
  <c r="A142" i="166"/>
  <c r="AR141" i="166" a="1"/>
  <c r="AR141" i="166"/>
  <c r="A143" i="166"/>
  <c r="AQ142" i="166"/>
  <c r="AP142" i="166"/>
  <c r="AR142" i="166" a="1"/>
  <c r="AR142" i="166"/>
  <c r="AQ143" i="166"/>
  <c r="AP143" i="166"/>
  <c r="A144" i="166"/>
  <c r="AR143" i="166" a="1"/>
  <c r="AR143" i="166"/>
  <c r="A145" i="166"/>
  <c r="AQ144" i="166"/>
  <c r="AP144" i="166"/>
  <c r="AR144" i="166" a="1"/>
  <c r="AR144" i="166"/>
  <c r="A146" i="166"/>
  <c r="AQ145" i="166"/>
  <c r="AP145" i="166"/>
  <c r="AR145" i="166" a="1"/>
  <c r="AR145" i="166"/>
  <c r="AQ146" i="166"/>
  <c r="AP146" i="166"/>
  <c r="A147" i="166"/>
  <c r="AR146" i="166" a="1"/>
  <c r="AR146" i="166"/>
  <c r="A148" i="166"/>
  <c r="AQ147" i="166"/>
  <c r="AP147" i="166"/>
  <c r="AR147" i="166" a="1"/>
  <c r="AR147" i="166"/>
  <c r="AP148" i="166"/>
  <c r="A149" i="166"/>
  <c r="AQ148" i="166"/>
  <c r="AR148" i="166" a="1"/>
  <c r="AR148" i="166"/>
  <c r="AQ149" i="166"/>
  <c r="AP149" i="166"/>
  <c r="A150" i="166"/>
  <c r="AR149" i="166" a="1"/>
  <c r="AR149" i="166"/>
  <c r="A151" i="166"/>
  <c r="AQ150" i="166"/>
  <c r="AP150" i="166"/>
  <c r="AR150" i="166" a="1"/>
  <c r="AR150" i="166"/>
  <c r="AQ151" i="166"/>
  <c r="AP151" i="166"/>
  <c r="A152" i="166"/>
  <c r="AR151" i="166" a="1"/>
  <c r="AR151" i="166"/>
  <c r="A153" i="166"/>
  <c r="AQ152" i="166"/>
  <c r="AP152" i="166"/>
  <c r="AR152" i="166" a="1"/>
  <c r="AR152" i="166"/>
  <c r="A154" i="166"/>
  <c r="AQ153" i="166"/>
  <c r="AP153" i="166"/>
  <c r="AR153" i="166" a="1"/>
  <c r="AR153" i="166"/>
  <c r="AQ154" i="166"/>
  <c r="AP154" i="166"/>
  <c r="A155" i="166"/>
  <c r="AR154" i="166" a="1"/>
  <c r="AR154" i="166"/>
  <c r="A156" i="166"/>
  <c r="AQ155" i="166"/>
  <c r="AP155" i="166"/>
  <c r="AR155" i="166" a="1"/>
  <c r="AR155" i="166"/>
  <c r="AP156" i="166"/>
  <c r="A157" i="166"/>
  <c r="AQ156" i="166"/>
  <c r="AR156" i="166" a="1"/>
  <c r="AR156" i="166"/>
  <c r="AQ157" i="166"/>
  <c r="AP157" i="166"/>
  <c r="A158" i="166"/>
  <c r="AR157" i="166" a="1"/>
  <c r="AR157" i="166"/>
  <c r="A159" i="166"/>
  <c r="AQ158" i="166"/>
  <c r="AP158" i="166"/>
  <c r="AR158" i="166" a="1"/>
  <c r="AR158" i="166"/>
  <c r="AQ159" i="166"/>
  <c r="AP159" i="166"/>
  <c r="A160" i="166"/>
  <c r="AR159" i="166" a="1"/>
  <c r="AR159" i="166"/>
  <c r="A161" i="166"/>
  <c r="AQ160" i="166"/>
  <c r="AP160" i="166"/>
  <c r="AR160" i="166" a="1"/>
  <c r="AR160" i="166"/>
  <c r="A162" i="166"/>
  <c r="AQ161" i="166"/>
  <c r="AP161" i="166"/>
  <c r="AR161" i="166" a="1"/>
  <c r="AR161" i="166"/>
  <c r="AQ162" i="166"/>
  <c r="AP162" i="166"/>
  <c r="A163" i="166"/>
  <c r="AR162" i="166" a="1"/>
  <c r="AR162" i="166"/>
  <c r="A164" i="166"/>
  <c r="AQ163" i="166"/>
  <c r="AP163" i="166"/>
  <c r="AR163" i="166" a="1"/>
  <c r="AR163" i="166"/>
  <c r="AP164" i="166"/>
  <c r="A165" i="166"/>
  <c r="AQ164" i="166"/>
  <c r="AR164" i="166" a="1"/>
  <c r="AR164" i="166"/>
  <c r="AQ165" i="166"/>
  <c r="AP165" i="166"/>
  <c r="A166" i="166"/>
  <c r="AR165" i="166" a="1"/>
  <c r="AR165" i="166"/>
  <c r="A167" i="166"/>
  <c r="AQ166" i="166"/>
  <c r="AP166" i="166"/>
  <c r="AR166" i="166" a="1"/>
  <c r="AR166" i="166"/>
  <c r="AQ167" i="166"/>
  <c r="AP167" i="166"/>
  <c r="A168" i="166"/>
  <c r="AR167" i="166" a="1"/>
  <c r="AR167" i="166"/>
  <c r="A169" i="166"/>
  <c r="AQ168" i="166"/>
  <c r="AP168" i="166"/>
  <c r="AR168" i="166" a="1"/>
  <c r="AR168" i="166"/>
  <c r="A170" i="166"/>
  <c r="AQ169" i="166"/>
  <c r="AP169" i="166"/>
  <c r="AR169" i="166" a="1"/>
  <c r="AR169" i="166"/>
  <c r="AQ170" i="166"/>
  <c r="AP170" i="166"/>
  <c r="A171" i="166"/>
  <c r="AR170" i="166" a="1"/>
  <c r="AR170" i="166"/>
  <c r="A172" i="166"/>
  <c r="AQ171" i="166"/>
  <c r="AP171" i="166"/>
  <c r="AR171" i="166" a="1"/>
  <c r="AR171" i="166"/>
  <c r="AP172" i="166"/>
  <c r="A173" i="166"/>
  <c r="AQ172" i="166"/>
  <c r="AR172" i="166" a="1"/>
  <c r="AR172" i="166"/>
  <c r="AQ173" i="166"/>
  <c r="AP173" i="166"/>
  <c r="A174" i="166"/>
  <c r="AR173" i="166" a="1"/>
  <c r="AR173" i="166"/>
  <c r="A175" i="166"/>
  <c r="AQ174" i="166"/>
  <c r="AP174" i="166"/>
  <c r="AR174" i="166" a="1"/>
  <c r="AR174" i="166"/>
  <c r="AQ175" i="166"/>
  <c r="AP175" i="166"/>
  <c r="A176" i="166"/>
  <c r="AR175" i="166" a="1"/>
  <c r="AR175" i="166"/>
  <c r="A177" i="166"/>
  <c r="AQ176" i="166"/>
  <c r="AP176" i="166"/>
  <c r="AR176" i="166" a="1"/>
  <c r="AR176" i="166"/>
  <c r="A178" i="166"/>
  <c r="AQ177" i="166"/>
  <c r="AP177" i="166"/>
  <c r="AR177" i="166" a="1"/>
  <c r="AR177" i="166"/>
  <c r="AQ178" i="166"/>
  <c r="AP178" i="166"/>
  <c r="A179" i="166"/>
  <c r="AR178" i="166" a="1"/>
  <c r="AR178" i="166"/>
  <c r="A180" i="166"/>
  <c r="AQ179" i="166"/>
  <c r="AP179" i="166"/>
  <c r="AR179" i="166" a="1"/>
  <c r="AR179" i="166"/>
  <c r="AP180" i="166"/>
  <c r="A181" i="166"/>
  <c r="AQ180" i="166"/>
  <c r="AR180" i="166" a="1"/>
  <c r="AR180" i="166"/>
  <c r="AQ181" i="166"/>
  <c r="AP181" i="166"/>
  <c r="A182" i="166"/>
  <c r="AR181" i="166" a="1"/>
  <c r="AR181" i="166"/>
  <c r="A183" i="166"/>
  <c r="AQ182" i="166"/>
  <c r="AP182" i="166"/>
  <c r="AR182" i="166" a="1"/>
  <c r="AR182" i="166"/>
  <c r="A184" i="166"/>
  <c r="AQ183" i="166"/>
  <c r="AP183" i="166"/>
  <c r="AR183" i="166" a="1"/>
  <c r="AR183" i="166"/>
  <c r="A185" i="166"/>
  <c r="AQ184" i="166"/>
  <c r="AP184" i="166"/>
  <c r="AR184" i="166" a="1"/>
  <c r="AR184" i="166"/>
  <c r="AQ185" i="166"/>
  <c r="AP185" i="166"/>
  <c r="A186" i="166"/>
  <c r="AR185" i="166" a="1"/>
  <c r="AR185" i="166"/>
  <c r="A187" i="166"/>
  <c r="AQ186" i="166"/>
  <c r="AP186" i="166"/>
  <c r="AR186" i="166" a="1"/>
  <c r="AR186" i="166"/>
  <c r="A188" i="166"/>
  <c r="AQ187" i="166"/>
  <c r="AP187" i="166"/>
  <c r="AR187" i="166" a="1"/>
  <c r="AR187" i="166"/>
  <c r="AQ188" i="166"/>
  <c r="A189" i="166"/>
  <c r="AP188" i="166"/>
  <c r="AR188" i="166" a="1"/>
  <c r="AR188" i="166"/>
  <c r="AP189" i="166"/>
  <c r="A190" i="166"/>
  <c r="AQ189" i="166"/>
  <c r="AR189" i="166" a="1"/>
  <c r="AR189" i="166"/>
  <c r="AP190" i="166"/>
  <c r="A191" i="166"/>
  <c r="AQ190" i="166"/>
  <c r="AR190" i="166" a="1"/>
  <c r="AR190" i="166"/>
  <c r="A192" i="166"/>
  <c r="AQ191" i="166"/>
  <c r="AP191" i="166"/>
  <c r="AR191" i="166" a="1"/>
  <c r="AR191" i="166"/>
  <c r="AQ192" i="166"/>
  <c r="AP192" i="166"/>
  <c r="A193" i="166"/>
  <c r="AR192" i="166" a="1"/>
  <c r="AR192" i="166"/>
  <c r="A194" i="166"/>
  <c r="AQ193" i="166"/>
  <c r="AP193" i="166"/>
  <c r="AR193" i="166" a="1"/>
  <c r="AR193" i="166"/>
  <c r="AP194" i="166"/>
  <c r="A195" i="166"/>
  <c r="AQ194" i="166"/>
  <c r="AR194" i="166" a="1"/>
  <c r="AR194" i="166"/>
  <c r="A196" i="166"/>
  <c r="AQ195" i="166"/>
  <c r="AP195" i="166"/>
  <c r="AR195" i="166" a="1"/>
  <c r="AR195" i="166"/>
  <c r="AQ196" i="166"/>
  <c r="A197" i="166"/>
  <c r="AP196" i="166"/>
  <c r="AR196" i="166" a="1"/>
  <c r="AR196" i="166"/>
  <c r="AQ197" i="166"/>
  <c r="AP197" i="166"/>
  <c r="A198" i="166"/>
  <c r="AR197" i="166" a="1"/>
  <c r="AR197" i="166"/>
  <c r="A199" i="166"/>
  <c r="AQ198" i="166"/>
  <c r="AP198" i="166"/>
  <c r="AR198" i="166" a="1"/>
  <c r="AR198" i="166"/>
  <c r="A200" i="166"/>
  <c r="AQ199" i="166"/>
  <c r="AP199" i="166"/>
  <c r="AR199" i="166" a="1"/>
  <c r="AR199" i="166"/>
  <c r="AQ200" i="166"/>
  <c r="A201" i="166"/>
  <c r="AP200" i="166"/>
  <c r="AR200" i="166" a="1"/>
  <c r="AR200" i="166"/>
  <c r="A202" i="166"/>
  <c r="AQ201" i="166"/>
  <c r="AP201" i="166"/>
  <c r="AR201" i="166" a="1"/>
  <c r="AR201" i="166"/>
  <c r="AP202" i="166"/>
  <c r="A203" i="166"/>
  <c r="AQ202" i="166"/>
  <c r="AR202" i="166" a="1"/>
  <c r="AR202" i="166"/>
  <c r="AP203" i="166"/>
  <c r="A204" i="166"/>
  <c r="AQ203" i="166"/>
  <c r="AR203" i="166" a="1"/>
  <c r="AR203" i="166"/>
  <c r="AQ204" i="166"/>
  <c r="AP204" i="166"/>
  <c r="A205" i="166"/>
  <c r="AR204" i="166" a="1"/>
  <c r="AR204" i="166"/>
  <c r="AQ205" i="166"/>
  <c r="AP205" i="166"/>
  <c r="A206" i="166"/>
  <c r="AR205" i="166" a="1"/>
  <c r="AR205" i="166"/>
  <c r="A207" i="166"/>
  <c r="AQ206" i="166"/>
  <c r="AP206" i="166"/>
  <c r="AR206" i="166" a="1"/>
  <c r="AR206" i="166"/>
  <c r="A208" i="166"/>
  <c r="AQ207" i="166"/>
  <c r="AP207" i="166"/>
  <c r="AR207" i="166" a="1"/>
  <c r="AR207" i="166"/>
  <c r="AQ208" i="166"/>
  <c r="A209" i="166"/>
  <c r="AP208" i="166"/>
  <c r="AR208" i="166" a="1"/>
  <c r="AR208" i="166"/>
  <c r="A210" i="166"/>
  <c r="AQ209" i="166"/>
  <c r="AP209" i="166"/>
  <c r="AR209" i="166" a="1"/>
  <c r="AR209" i="166"/>
  <c r="AP210" i="166"/>
  <c r="A211" i="166"/>
  <c r="AQ210" i="166"/>
  <c r="AR210" i="166" a="1"/>
  <c r="AR210" i="166"/>
  <c r="AP211" i="166"/>
  <c r="A212" i="166"/>
  <c r="AQ211" i="166"/>
  <c r="AR211" i="166" a="1"/>
  <c r="AR211" i="166"/>
  <c r="AQ212" i="166"/>
  <c r="AP212" i="166"/>
  <c r="A213" i="166"/>
  <c r="AR212" i="166" a="1"/>
  <c r="AR212" i="166"/>
  <c r="AQ213" i="166"/>
  <c r="AP213" i="166"/>
  <c r="A214" i="166"/>
  <c r="AR213" i="166" a="1"/>
  <c r="AR213" i="166"/>
  <c r="A215" i="166"/>
  <c r="AQ214" i="166"/>
  <c r="AP214" i="166"/>
  <c r="AR214" i="166" a="1"/>
  <c r="AR214" i="166"/>
  <c r="A216" i="166"/>
  <c r="AQ215" i="166"/>
  <c r="AP215" i="166"/>
  <c r="AR215" i="166" a="1"/>
  <c r="AR215" i="166"/>
  <c r="AQ216" i="166"/>
  <c r="A217" i="166"/>
  <c r="AP216" i="166"/>
  <c r="AR216" i="166" a="1"/>
  <c r="AR216" i="166"/>
  <c r="A218" i="166"/>
  <c r="AQ217" i="166"/>
  <c r="AP217" i="166"/>
  <c r="AR217" i="166" a="1"/>
  <c r="AR217" i="166"/>
  <c r="AP218" i="166"/>
  <c r="A219" i="166"/>
  <c r="AQ218" i="166"/>
  <c r="AR218" i="166" a="1"/>
  <c r="AR218" i="166"/>
  <c r="AP219" i="166"/>
  <c r="A220" i="166"/>
  <c r="AQ219" i="166"/>
  <c r="AR219" i="166" a="1"/>
  <c r="AR219" i="166"/>
  <c r="AQ220" i="166"/>
  <c r="AP220" i="166"/>
  <c r="A221" i="166"/>
  <c r="AR220" i="166" a="1"/>
  <c r="AR220" i="166"/>
  <c r="AQ221" i="166"/>
  <c r="AP221" i="166"/>
  <c r="A222" i="166"/>
  <c r="AR221" i="166" a="1"/>
  <c r="AR221" i="166"/>
  <c r="A223" i="166"/>
  <c r="AQ222" i="166"/>
  <c r="AP222" i="166"/>
  <c r="AR222" i="166" a="1"/>
  <c r="AR222" i="166"/>
  <c r="A224" i="166"/>
  <c r="AQ223" i="166"/>
  <c r="AP223" i="166"/>
  <c r="AR223" i="166" a="1"/>
  <c r="AR223" i="166"/>
  <c r="AQ224" i="166"/>
  <c r="A225" i="166"/>
  <c r="AP224" i="166"/>
  <c r="AR224" i="166" a="1"/>
  <c r="AR224" i="166"/>
  <c r="A226" i="166"/>
  <c r="AQ225" i="166"/>
  <c r="AP225" i="166"/>
  <c r="AR225" i="166" a="1"/>
  <c r="AR225" i="166"/>
  <c r="AP226" i="166"/>
  <c r="A227" i="166"/>
  <c r="AQ226" i="166"/>
  <c r="AR226" i="166" a="1"/>
  <c r="AR226" i="166"/>
  <c r="AP227" i="166"/>
  <c r="A228" i="166"/>
  <c r="AQ227" i="166"/>
  <c r="AR227" i="166" a="1"/>
  <c r="AR227" i="166"/>
  <c r="AQ228" i="166"/>
  <c r="AP228" i="166"/>
  <c r="A229" i="166"/>
  <c r="AR228" i="166" a="1"/>
  <c r="AR228" i="166"/>
  <c r="AQ229" i="166"/>
  <c r="AP229" i="166"/>
  <c r="A230" i="166"/>
  <c r="AR229" i="166" a="1"/>
  <c r="AR229" i="166"/>
  <c r="A231" i="166"/>
  <c r="AQ230" i="166"/>
  <c r="AP230" i="166"/>
  <c r="AR230" i="166" a="1"/>
  <c r="AR230" i="166"/>
  <c r="A232" i="166"/>
  <c r="AQ231" i="166"/>
  <c r="AP231" i="166"/>
  <c r="AR231" i="166" a="1"/>
  <c r="AR231" i="166"/>
  <c r="AQ232" i="166"/>
  <c r="A233" i="166"/>
  <c r="AP232" i="166"/>
  <c r="AR232" i="166" a="1"/>
  <c r="AR232" i="166"/>
  <c r="A234" i="166"/>
  <c r="AQ233" i="166"/>
  <c r="AP233" i="166"/>
  <c r="AR233" i="166" a="1"/>
  <c r="AR233" i="166"/>
  <c r="AP234" i="166"/>
  <c r="A235" i="166"/>
  <c r="AQ234" i="166"/>
  <c r="AR234" i="166" a="1"/>
  <c r="AR234" i="166"/>
  <c r="AP235" i="166"/>
  <c r="A236" i="166"/>
  <c r="AQ235" i="166"/>
  <c r="AR235" i="166" a="1"/>
  <c r="AR235" i="166"/>
  <c r="AQ236" i="166"/>
  <c r="AP236" i="166"/>
  <c r="A237" i="166"/>
  <c r="AR236" i="166" a="1"/>
  <c r="AR236" i="166"/>
  <c r="AQ237" i="166"/>
  <c r="AP237" i="166"/>
  <c r="A238" i="166"/>
  <c r="AR237" i="166" a="1"/>
  <c r="AR237" i="166"/>
  <c r="A239" i="166"/>
  <c r="AQ238" i="166"/>
  <c r="AP238" i="166"/>
  <c r="AR238" i="166" a="1"/>
  <c r="AR238" i="166"/>
  <c r="A240" i="166"/>
  <c r="AQ239" i="166"/>
  <c r="AP239" i="166"/>
  <c r="AR239" i="166" a="1"/>
  <c r="AR239" i="166"/>
  <c r="AQ240" i="166"/>
  <c r="A241" i="166"/>
  <c r="AP240" i="166"/>
  <c r="AR240" i="166" a="1"/>
  <c r="AR240" i="166"/>
  <c r="A242" i="166"/>
  <c r="AQ241" i="166"/>
  <c r="AP241" i="166"/>
  <c r="AR241" i="166" a="1"/>
  <c r="AR241" i="166"/>
  <c r="AP242" i="166"/>
  <c r="A243" i="166"/>
  <c r="AQ242" i="166"/>
  <c r="AR242" i="166" a="1"/>
  <c r="AR242" i="166"/>
  <c r="AP243" i="166"/>
  <c r="A244" i="166"/>
  <c r="AQ243" i="166"/>
  <c r="AR243" i="166" a="1"/>
  <c r="AR243" i="166"/>
  <c r="AQ244" i="166"/>
  <c r="AP244" i="166"/>
  <c r="A245" i="166"/>
  <c r="AR244" i="166" a="1"/>
  <c r="AR244" i="166"/>
  <c r="AQ245" i="166"/>
  <c r="AP245" i="166"/>
  <c r="A246" i="166"/>
  <c r="AR245" i="166" a="1"/>
  <c r="AR245" i="166"/>
  <c r="A247" i="166"/>
  <c r="AQ246" i="166"/>
  <c r="AP246" i="166"/>
  <c r="AR246" i="166" a="1"/>
  <c r="AR246" i="166"/>
  <c r="A248" i="166"/>
  <c r="AQ247" i="166"/>
  <c r="AP247" i="166"/>
  <c r="AR247" i="166" a="1"/>
  <c r="AR247" i="166"/>
  <c r="AQ248" i="166"/>
  <c r="A249" i="166"/>
  <c r="AP248" i="166"/>
  <c r="AR248" i="166" a="1"/>
  <c r="AR248" i="166"/>
  <c r="A250" i="166"/>
  <c r="AQ249" i="166"/>
  <c r="AP249" i="166"/>
  <c r="AR249" i="166" a="1"/>
  <c r="AR249" i="166"/>
  <c r="AP250" i="166"/>
  <c r="A251" i="166"/>
  <c r="AQ250" i="166"/>
  <c r="AR250" i="166" a="1"/>
  <c r="AR250" i="166"/>
  <c r="AP251" i="166"/>
  <c r="A252" i="166"/>
  <c r="AQ251" i="166"/>
  <c r="AR251" i="166" a="1"/>
  <c r="AR251" i="166"/>
  <c r="AQ252" i="166"/>
  <c r="AP252" i="166"/>
  <c r="A253" i="166"/>
  <c r="AR252" i="166" a="1"/>
  <c r="AR252" i="166"/>
  <c r="AQ253" i="166"/>
  <c r="AP253" i="166"/>
  <c r="A254" i="166"/>
  <c r="AR253" i="166" a="1"/>
  <c r="AR253" i="166"/>
  <c r="A255" i="166"/>
  <c r="AQ254" i="166"/>
  <c r="AP254" i="166"/>
  <c r="AR254" i="166" a="1"/>
  <c r="AR254" i="166"/>
  <c r="A256" i="166"/>
  <c r="AQ255" i="166"/>
  <c r="AP255" i="166"/>
  <c r="AR255" i="166" a="1"/>
  <c r="AR255" i="166"/>
  <c r="AQ256" i="166"/>
  <c r="A257" i="166"/>
  <c r="AP256" i="166"/>
  <c r="AR256" i="166" a="1"/>
  <c r="AR256" i="166"/>
  <c r="A258" i="166"/>
  <c r="AQ257" i="166"/>
  <c r="AP257" i="166"/>
  <c r="AR257" i="166" a="1"/>
  <c r="AR257" i="166"/>
  <c r="AP258" i="166"/>
  <c r="A259" i="166"/>
  <c r="AQ258" i="166"/>
  <c r="AR258" i="166" a="1"/>
  <c r="AR258" i="166"/>
  <c r="AP259" i="166"/>
  <c r="A260" i="166"/>
  <c r="AQ259" i="166"/>
  <c r="AR259" i="166" a="1"/>
  <c r="AR259" i="166"/>
  <c r="AQ260" i="166"/>
  <c r="AP260" i="166"/>
  <c r="A261" i="166"/>
  <c r="AR260" i="166" a="1"/>
  <c r="AR260" i="166"/>
  <c r="AQ261" i="166"/>
  <c r="AP261" i="166"/>
  <c r="A262" i="166"/>
  <c r="AR261" i="166" a="1"/>
  <c r="AR261" i="166"/>
  <c r="A263" i="166"/>
  <c r="AQ262" i="166"/>
  <c r="AP262" i="166"/>
  <c r="AR262" i="166" a="1"/>
  <c r="AR262" i="166"/>
  <c r="A264" i="166"/>
  <c r="AQ263" i="166"/>
  <c r="AP263" i="166"/>
  <c r="AR263" i="166" a="1"/>
  <c r="AR263" i="166"/>
  <c r="AQ264" i="166"/>
  <c r="A265" i="166"/>
  <c r="AP264" i="166"/>
  <c r="AR264" i="166" a="1"/>
  <c r="AR264" i="166"/>
  <c r="A266" i="166"/>
  <c r="AQ265" i="166"/>
  <c r="AP265" i="166"/>
  <c r="AR265" i="166" a="1"/>
  <c r="AR265" i="166"/>
  <c r="AP266" i="166"/>
  <c r="A267" i="166"/>
  <c r="AQ266" i="166"/>
  <c r="AR266" i="166" a="1"/>
  <c r="AR266" i="166"/>
  <c r="AQ267" i="166"/>
  <c r="AP267" i="166"/>
  <c r="A268" i="166"/>
  <c r="AR267" i="166" a="1"/>
  <c r="AR267" i="166"/>
  <c r="A269" i="166"/>
  <c r="AQ268" i="166"/>
  <c r="AP268" i="166"/>
  <c r="AR268" i="166" a="1"/>
  <c r="AR268" i="166"/>
  <c r="AQ269" i="166"/>
  <c r="AP269" i="166"/>
  <c r="A270" i="166"/>
  <c r="AR269" i="166" a="1"/>
  <c r="AR269" i="166"/>
  <c r="A271" i="166"/>
  <c r="AQ270" i="166"/>
  <c r="AP270" i="166"/>
  <c r="AR270" i="166" a="1"/>
  <c r="AR270" i="166"/>
  <c r="A272" i="166"/>
  <c r="AQ271" i="166"/>
  <c r="AP271" i="166"/>
  <c r="AR271" i="166" a="1"/>
  <c r="AR271" i="166"/>
  <c r="AQ272" i="166"/>
  <c r="AP272" i="166"/>
  <c r="A273" i="166"/>
  <c r="AR272" i="166" a="1"/>
  <c r="AR272" i="166"/>
  <c r="A274" i="166"/>
  <c r="AQ273" i="166"/>
  <c r="AP273" i="166"/>
  <c r="AR273" i="166" a="1"/>
  <c r="AR273" i="166"/>
  <c r="AP274" i="166"/>
  <c r="A275" i="166"/>
  <c r="AQ274" i="166"/>
  <c r="AR274" i="166" a="1"/>
  <c r="AR274" i="166"/>
  <c r="AQ275" i="166"/>
  <c r="AP275" i="166"/>
  <c r="A276" i="166"/>
  <c r="AR275" i="166" a="1"/>
  <c r="AR275" i="166"/>
  <c r="AQ276" i="166"/>
  <c r="A277" i="166"/>
  <c r="AP276" i="166"/>
  <c r="AR276" i="166" a="1"/>
  <c r="AR276" i="166"/>
  <c r="A278" i="166"/>
  <c r="AQ277" i="166"/>
  <c r="AP277" i="166"/>
  <c r="AR277" i="166" a="1"/>
  <c r="AR277" i="166"/>
  <c r="A279" i="166"/>
  <c r="AP278" i="166"/>
  <c r="AQ278" i="166"/>
  <c r="AR278" i="166" a="1"/>
  <c r="AR278" i="166"/>
  <c r="AP279" i="166"/>
  <c r="A280" i="166"/>
  <c r="AQ279" i="166"/>
  <c r="AR279" i="166" a="1"/>
  <c r="AR279" i="166"/>
  <c r="AQ280" i="166"/>
  <c r="A281" i="166"/>
  <c r="AP280" i="166"/>
  <c r="AR280" i="166" a="1"/>
  <c r="AR280" i="166"/>
  <c r="AP281" i="166"/>
  <c r="A282" i="166"/>
  <c r="AQ281" i="166"/>
  <c r="AR281" i="166" a="1"/>
  <c r="AR281" i="166"/>
  <c r="AP282" i="166"/>
  <c r="A283" i="166"/>
  <c r="AQ282" i="166"/>
  <c r="AR282" i="166" a="1"/>
  <c r="AR282" i="166"/>
  <c r="A284" i="166"/>
  <c r="AQ283" i="166"/>
  <c r="AP283" i="166"/>
  <c r="AR283" i="166" a="1"/>
  <c r="AR283" i="166"/>
  <c r="AQ284" i="166"/>
  <c r="A285" i="166"/>
  <c r="AP284" i="166"/>
  <c r="AR284" i="166" a="1"/>
  <c r="AR284" i="166"/>
  <c r="A286" i="166"/>
  <c r="AQ285" i="166"/>
  <c r="AP285" i="166"/>
  <c r="AR285" i="166" a="1"/>
  <c r="AR285" i="166"/>
  <c r="A287" i="166"/>
  <c r="AP286" i="166"/>
  <c r="AQ286" i="166"/>
  <c r="AR286" i="166" a="1"/>
  <c r="AR286" i="166"/>
  <c r="A288" i="166"/>
  <c r="AQ287" i="166"/>
  <c r="AP287" i="166"/>
  <c r="AR287" i="166" a="1"/>
  <c r="AR287" i="166"/>
  <c r="AQ288" i="166"/>
  <c r="AP288" i="166"/>
  <c r="A289" i="166"/>
  <c r="AR288" i="166" a="1"/>
  <c r="AR288" i="166"/>
  <c r="AP289" i="166"/>
  <c r="A290" i="166"/>
  <c r="AQ289" i="166"/>
  <c r="AR289" i="166" a="1"/>
  <c r="AR289" i="166"/>
  <c r="AP290" i="166"/>
  <c r="A291" i="166"/>
  <c r="AQ290" i="166"/>
  <c r="AR290" i="166" a="1"/>
  <c r="AR290" i="166"/>
  <c r="AQ291" i="166"/>
  <c r="A292" i="166"/>
  <c r="AP291" i="166"/>
  <c r="AR291" i="166" a="1"/>
  <c r="AR291" i="166"/>
  <c r="AQ292" i="166"/>
  <c r="A293" i="166"/>
  <c r="AP292" i="166"/>
  <c r="AR292" i="166" a="1"/>
  <c r="AR292" i="166"/>
  <c r="A294" i="166"/>
  <c r="AQ293" i="166"/>
  <c r="AP293" i="166"/>
  <c r="AR293" i="166" a="1"/>
  <c r="AR293" i="166"/>
  <c r="A295" i="166"/>
  <c r="AP294" i="166"/>
  <c r="AQ294" i="166"/>
  <c r="AR294" i="166" a="1"/>
  <c r="AR294" i="166"/>
  <c r="AP295" i="166"/>
  <c r="A296" i="166"/>
  <c r="AQ295" i="166"/>
  <c r="AR295" i="166" a="1"/>
  <c r="AR295" i="166"/>
  <c r="AQ296" i="166"/>
  <c r="AP296" i="166"/>
  <c r="A297" i="166"/>
  <c r="AR296" i="166" a="1"/>
  <c r="AR296" i="166"/>
  <c r="AP297" i="166"/>
  <c r="A298" i="166"/>
  <c r="AQ297" i="166"/>
  <c r="AR297" i="166" a="1"/>
  <c r="AR297" i="166"/>
  <c r="AP298" i="166"/>
  <c r="A299" i="166"/>
  <c r="AQ298" i="166"/>
  <c r="AR298" i="166" a="1"/>
  <c r="AR298" i="166"/>
  <c r="AQ299" i="166"/>
  <c r="A300" i="166"/>
  <c r="AP299" i="166"/>
  <c r="AR299" i="166" a="1"/>
  <c r="AR299" i="166"/>
  <c r="AQ300" i="166"/>
  <c r="A301" i="166"/>
  <c r="AP300" i="166"/>
  <c r="AR300" i="166" a="1"/>
  <c r="AR300" i="166"/>
  <c r="A302" i="166"/>
  <c r="AQ301" i="166"/>
  <c r="AP301" i="166"/>
  <c r="AR301" i="166" a="1"/>
  <c r="AR301" i="166"/>
  <c r="A303" i="166"/>
  <c r="AP302" i="166"/>
  <c r="AQ302" i="166"/>
  <c r="AR302" i="166" a="1"/>
  <c r="AR302" i="166"/>
  <c r="A304" i="166"/>
  <c r="AQ303" i="166"/>
  <c r="AP303" i="166"/>
  <c r="AR303" i="166" a="1"/>
  <c r="AR303" i="166"/>
  <c r="AQ304" i="166"/>
  <c r="AP304" i="166"/>
  <c r="A305" i="166"/>
  <c r="AR304" i="166" a="1"/>
  <c r="AR304" i="166"/>
  <c r="AP305" i="166"/>
  <c r="A306" i="166"/>
  <c r="AQ305" i="166"/>
  <c r="AR305" i="166" a="1"/>
  <c r="AR305" i="166"/>
  <c r="AP306" i="166"/>
  <c r="A307" i="166"/>
  <c r="AQ306" i="166"/>
  <c r="AR306" i="166" a="1"/>
  <c r="AR306" i="166"/>
  <c r="AQ307" i="166"/>
  <c r="AP307" i="166"/>
  <c r="A308" i="166"/>
  <c r="AR307" i="166" a="1"/>
  <c r="AR307" i="166"/>
  <c r="AQ308" i="166"/>
  <c r="A309" i="166"/>
  <c r="AP308" i="166"/>
  <c r="AR308" i="166" a="1"/>
  <c r="AR308" i="166"/>
  <c r="A310" i="166"/>
  <c r="AQ309" i="166"/>
  <c r="AP309" i="166"/>
  <c r="AR309" i="166" a="1"/>
  <c r="AR309" i="166"/>
  <c r="A311" i="166"/>
  <c r="AP310" i="166"/>
  <c r="AQ310" i="166"/>
  <c r="AR310" i="166" a="1"/>
  <c r="AR310" i="166"/>
  <c r="A312" i="166"/>
  <c r="AQ311" i="166"/>
  <c r="AP311" i="166"/>
  <c r="AR311" i="166" a="1"/>
  <c r="AR311" i="166"/>
  <c r="AQ312" i="166"/>
  <c r="AP312" i="166"/>
  <c r="A313" i="166"/>
  <c r="AR312" i="166" a="1"/>
  <c r="AR312" i="166"/>
  <c r="AP313" i="166"/>
  <c r="A314" i="166"/>
  <c r="AQ313" i="166"/>
  <c r="AR313" i="166" a="1"/>
  <c r="AR313" i="166"/>
  <c r="AP314" i="166"/>
  <c r="A315" i="166"/>
  <c r="AQ314" i="166"/>
  <c r="AR314" i="166" a="1"/>
  <c r="AR314" i="166"/>
  <c r="AQ315" i="166"/>
  <c r="AP315" i="166"/>
  <c r="A316" i="166"/>
  <c r="AR315" i="166" a="1"/>
  <c r="AR315" i="166"/>
  <c r="AQ316" i="166"/>
  <c r="A317" i="166"/>
  <c r="AP316" i="166"/>
  <c r="AR316" i="166" a="1"/>
  <c r="AR316" i="166"/>
  <c r="A318" i="166"/>
  <c r="AQ317" i="166"/>
  <c r="AP317" i="166"/>
  <c r="AR317" i="166" a="1"/>
  <c r="AR317" i="166"/>
  <c r="A319" i="166"/>
  <c r="AQ318" i="166"/>
  <c r="AP318" i="166"/>
  <c r="AR318" i="166" a="1"/>
  <c r="AR318" i="166"/>
  <c r="A320" i="166"/>
  <c r="AQ319" i="166"/>
  <c r="AP319" i="166"/>
  <c r="AR319" i="166" a="1"/>
  <c r="AR319" i="166"/>
  <c r="AQ320" i="166"/>
  <c r="AP320" i="166"/>
  <c r="A321" i="166"/>
  <c r="AR320" i="166" a="1"/>
  <c r="AR320" i="166"/>
  <c r="AP321" i="166"/>
  <c r="A322" i="166"/>
  <c r="AQ321" i="166"/>
  <c r="AR321" i="166" a="1"/>
  <c r="AR321" i="166"/>
  <c r="AP322" i="166"/>
  <c r="A323" i="166"/>
  <c r="AQ322" i="166"/>
  <c r="AR322" i="166" a="1"/>
  <c r="AR322" i="166"/>
  <c r="AQ323" i="166"/>
  <c r="AP323" i="166"/>
  <c r="A324" i="166"/>
  <c r="AR323" i="166" a="1"/>
  <c r="AR323" i="166"/>
  <c r="AQ324" i="166"/>
  <c r="A325" i="166"/>
  <c r="AP324" i="166"/>
  <c r="AR324" i="166" a="1"/>
  <c r="AR324" i="166"/>
  <c r="A326" i="166"/>
  <c r="AQ325" i="166"/>
  <c r="AP325" i="166"/>
  <c r="AR325" i="166" a="1"/>
  <c r="AR325" i="166"/>
  <c r="A327" i="166"/>
  <c r="AQ326" i="166"/>
  <c r="AP326" i="166"/>
  <c r="AR326" i="166" a="1"/>
  <c r="AR326" i="166"/>
  <c r="A328" i="166"/>
  <c r="AQ327" i="166"/>
  <c r="AP327" i="166"/>
  <c r="AR327" i="166" a="1"/>
  <c r="AR327" i="166"/>
  <c r="AQ328" i="166"/>
  <c r="AP328" i="166"/>
  <c r="A329" i="166"/>
  <c r="AR328" i="166" a="1"/>
  <c r="AR328" i="166"/>
  <c r="AP329" i="166"/>
  <c r="A330" i="166"/>
  <c r="AQ329" i="166"/>
  <c r="AR329" i="166" a="1"/>
  <c r="AR329" i="166"/>
  <c r="AP330" i="166"/>
  <c r="A331" i="166"/>
  <c r="AQ330" i="166"/>
  <c r="AR330" i="166" a="1"/>
  <c r="AR330" i="166"/>
  <c r="AQ331" i="166"/>
  <c r="AP331" i="166"/>
  <c r="A332" i="166"/>
  <c r="AR331" i="166" a="1"/>
  <c r="AR331" i="166"/>
  <c r="AQ332" i="166"/>
  <c r="A333" i="166"/>
  <c r="AP332" i="166"/>
  <c r="AR332" i="166" a="1"/>
  <c r="AR332" i="166"/>
  <c r="A334" i="166"/>
  <c r="AQ333" i="166"/>
  <c r="AP333" i="166"/>
  <c r="AR333" i="166" a="1"/>
  <c r="AR333" i="166"/>
  <c r="A335" i="166"/>
  <c r="AQ334" i="166"/>
  <c r="AP334" i="166"/>
  <c r="AR334" i="166" a="1"/>
  <c r="AR334" i="166"/>
  <c r="A336" i="166"/>
  <c r="AQ335" i="166"/>
  <c r="AP335" i="166"/>
  <c r="AR335" i="166" a="1"/>
  <c r="AR335" i="166"/>
  <c r="AQ336" i="166"/>
  <c r="AP336" i="166"/>
  <c r="A337" i="166"/>
  <c r="AR336" i="166" a="1"/>
  <c r="AR336" i="166"/>
  <c r="AP337" i="166"/>
  <c r="A338" i="166"/>
  <c r="AQ337" i="166"/>
  <c r="AR337" i="166" a="1"/>
  <c r="AR337" i="166"/>
  <c r="AP338" i="166"/>
  <c r="A339" i="166"/>
  <c r="AQ338" i="166"/>
  <c r="AR338" i="166" a="1"/>
  <c r="AR338" i="166"/>
  <c r="AQ339" i="166"/>
  <c r="AP339" i="166"/>
  <c r="A340" i="166"/>
  <c r="AR339" i="166" a="1"/>
  <c r="AR339" i="166"/>
  <c r="AQ340" i="166"/>
  <c r="A341" i="166"/>
  <c r="AP340" i="166"/>
  <c r="AR340" i="166" a="1"/>
  <c r="AR340" i="166"/>
  <c r="A342" i="166"/>
  <c r="AQ341" i="166"/>
  <c r="AP341" i="166"/>
  <c r="AR341" i="166" a="1"/>
  <c r="AR341" i="166"/>
  <c r="A343" i="166"/>
  <c r="AQ342" i="166"/>
  <c r="AP342" i="166"/>
  <c r="AR342" i="166" a="1"/>
  <c r="AR342" i="166"/>
  <c r="AP343" i="166"/>
  <c r="A344" i="166"/>
  <c r="AQ343" i="166"/>
  <c r="AR343" i="166" a="1"/>
  <c r="AR343" i="166"/>
  <c r="AQ344" i="166"/>
  <c r="A345" i="166"/>
  <c r="AP344" i="166"/>
  <c r="AR344" i="166" a="1"/>
  <c r="AR344" i="166"/>
  <c r="A346" i="166"/>
  <c r="AQ345" i="166"/>
  <c r="AP345" i="166"/>
  <c r="AR345" i="166" a="1"/>
  <c r="AR345" i="166"/>
  <c r="A347" i="166"/>
  <c r="AQ346" i="166"/>
  <c r="AP346" i="166"/>
  <c r="AR346" i="166" a="1"/>
  <c r="AR346" i="166"/>
  <c r="A348" i="166"/>
  <c r="AQ347" i="166"/>
  <c r="AP347" i="166"/>
  <c r="AR347" i="166" a="1"/>
  <c r="AR347" i="166"/>
  <c r="AP348" i="166"/>
  <c r="A349" i="166"/>
  <c r="AQ348" i="166"/>
  <c r="AR348" i="166" a="1"/>
  <c r="AR348" i="166"/>
  <c r="AQ349" i="166"/>
  <c r="AP349" i="166"/>
  <c r="A350" i="166"/>
  <c r="AR349" i="166" a="1"/>
  <c r="AR349" i="166"/>
  <c r="AP350" i="166"/>
  <c r="A351" i="166"/>
  <c r="AQ350" i="166"/>
  <c r="AR350" i="166" a="1"/>
  <c r="AR350" i="166"/>
  <c r="AP351" i="166"/>
  <c r="AQ351" i="166"/>
  <c r="A352" i="166"/>
  <c r="AR351" i="166" a="1"/>
  <c r="AR351" i="166"/>
  <c r="AQ352" i="166"/>
  <c r="A353" i="166"/>
  <c r="AP352" i="166"/>
  <c r="AR352" i="166" a="1"/>
  <c r="AR352" i="166"/>
  <c r="AQ353" i="166"/>
  <c r="A354" i="166"/>
  <c r="AP353" i="166"/>
  <c r="AR353" i="166" a="1"/>
  <c r="AR353" i="166"/>
  <c r="A355" i="166"/>
  <c r="AQ354" i="166"/>
  <c r="AP354" i="166"/>
  <c r="AR354" i="166" a="1"/>
  <c r="AR354" i="166"/>
  <c r="A356" i="166"/>
  <c r="AQ355" i="166"/>
  <c r="AP355" i="166"/>
  <c r="AR355" i="166" a="1"/>
  <c r="AR355" i="166"/>
  <c r="AQ356" i="166"/>
  <c r="AP356" i="166"/>
  <c r="A357" i="166"/>
  <c r="AR356" i="166" a="1"/>
  <c r="AR356" i="166"/>
  <c r="AQ357" i="166"/>
  <c r="AP357" i="166"/>
  <c r="A358" i="166"/>
  <c r="AR357" i="166" a="1"/>
  <c r="AR357" i="166"/>
  <c r="AP358" i="166"/>
  <c r="A359" i="166"/>
  <c r="AQ358" i="166"/>
  <c r="AR358" i="166" a="1"/>
  <c r="AR358" i="166"/>
  <c r="AP359" i="166"/>
  <c r="A360" i="166"/>
  <c r="AQ359" i="166"/>
  <c r="AR359" i="166" a="1"/>
  <c r="AR359" i="166"/>
  <c r="AQ360" i="166"/>
  <c r="A361" i="166"/>
  <c r="AP360" i="166"/>
  <c r="AR360" i="166" a="1"/>
  <c r="AR360" i="166"/>
  <c r="AQ361" i="166"/>
  <c r="A362" i="166"/>
  <c r="AP361" i="166"/>
  <c r="AR361" i="166" a="1"/>
  <c r="AR361" i="166"/>
  <c r="A363" i="166"/>
  <c r="AQ362" i="166"/>
  <c r="AP362" i="166"/>
  <c r="AR362" i="166" a="1"/>
  <c r="AR362" i="166"/>
  <c r="A364" i="166"/>
  <c r="AP363" i="166"/>
  <c r="AQ363" i="166"/>
  <c r="AR363" i="166" a="1"/>
  <c r="AR363" i="166"/>
  <c r="AP364" i="166"/>
  <c r="A365" i="166"/>
  <c r="AQ364" i="166"/>
  <c r="AR364" i="166" a="1"/>
  <c r="AR364" i="166"/>
  <c r="AQ365" i="166"/>
  <c r="AP365" i="166"/>
  <c r="A366" i="166"/>
  <c r="AR365" i="166" a="1"/>
  <c r="AR365" i="166"/>
  <c r="AP366" i="166"/>
  <c r="A367" i="166"/>
  <c r="AQ366" i="166"/>
  <c r="AR366" i="166" a="1"/>
  <c r="AR366" i="166"/>
  <c r="AP367" i="166"/>
  <c r="AQ367" i="166"/>
  <c r="A368" i="166"/>
  <c r="AR367" i="166" a="1"/>
  <c r="AR367" i="166"/>
  <c r="AQ368" i="166"/>
  <c r="A369" i="166"/>
  <c r="AP368" i="166"/>
  <c r="AR368" i="166" a="1"/>
  <c r="AR368" i="166"/>
  <c r="AQ369" i="166"/>
  <c r="A370" i="166"/>
  <c r="AP369" i="166"/>
  <c r="AR369" i="166" a="1"/>
  <c r="AR369" i="166"/>
  <c r="A371" i="166"/>
  <c r="AQ370" i="166"/>
  <c r="AP370" i="166"/>
  <c r="AR370" i="166" a="1"/>
  <c r="AR370" i="166"/>
  <c r="A372" i="166"/>
  <c r="AQ371" i="166"/>
  <c r="AP371" i="166"/>
  <c r="AR371" i="166" a="1"/>
  <c r="AR371" i="166"/>
  <c r="AQ372" i="166"/>
  <c r="AP372" i="166"/>
  <c r="A373" i="166"/>
  <c r="AR372" i="166" a="1"/>
  <c r="AR372" i="166"/>
  <c r="AQ373" i="166"/>
  <c r="AP373" i="166"/>
  <c r="A374" i="166"/>
  <c r="AR373" i="166" a="1"/>
  <c r="AR373" i="166"/>
  <c r="AP374" i="166"/>
  <c r="A375" i="166"/>
  <c r="AQ374" i="166"/>
  <c r="AR374" i="166" a="1"/>
  <c r="AR374" i="166"/>
  <c r="AP375" i="166"/>
  <c r="A376" i="166"/>
  <c r="AQ375" i="166"/>
  <c r="AR375" i="166" a="1"/>
  <c r="AR375" i="166"/>
  <c r="AQ376" i="166"/>
  <c r="A377" i="166"/>
  <c r="AP376" i="166"/>
  <c r="AR376" i="166" a="1"/>
  <c r="AR376" i="166"/>
  <c r="AQ377" i="166"/>
  <c r="AP377" i="166"/>
  <c r="A378" i="166"/>
  <c r="AR377" i="166" a="1"/>
  <c r="AR377" i="166"/>
  <c r="A379" i="166"/>
  <c r="AQ378" i="166"/>
  <c r="AP378" i="166"/>
  <c r="AR378" i="166" a="1"/>
  <c r="AR378" i="166"/>
  <c r="A380" i="166"/>
  <c r="AQ379" i="166"/>
  <c r="AP379" i="166"/>
  <c r="AR379" i="166" a="1"/>
  <c r="AR379" i="166"/>
  <c r="AQ380" i="166"/>
  <c r="A381" i="166"/>
  <c r="AP380" i="166"/>
  <c r="AR380" i="166" a="1"/>
  <c r="AR380" i="166"/>
  <c r="A382" i="166"/>
  <c r="AQ381" i="166"/>
  <c r="AP381" i="166"/>
  <c r="AR381" i="166" a="1"/>
  <c r="AR381" i="166"/>
  <c r="AP382" i="166"/>
  <c r="A383" i="166"/>
  <c r="AQ382" i="166"/>
  <c r="AR382" i="166" a="1"/>
  <c r="AR382" i="166"/>
  <c r="AP383" i="166"/>
  <c r="A384" i="166"/>
  <c r="AQ383" i="166"/>
  <c r="AR383" i="166" a="1"/>
  <c r="AR383" i="166"/>
  <c r="AQ384" i="166"/>
  <c r="A385" i="166"/>
  <c r="AP384" i="166"/>
  <c r="AR384" i="166" a="1"/>
  <c r="AR384" i="166"/>
  <c r="AQ385" i="166"/>
  <c r="AP385" i="166"/>
  <c r="A386" i="166"/>
  <c r="AR385" i="166" a="1"/>
  <c r="AR385" i="166"/>
  <c r="A387" i="166"/>
  <c r="AQ386" i="166"/>
  <c r="AP386" i="166"/>
  <c r="AR386" i="166" a="1"/>
  <c r="AR386" i="166"/>
  <c r="A388" i="166"/>
  <c r="AQ387" i="166"/>
  <c r="AP387" i="166"/>
  <c r="AR387" i="166" a="1"/>
  <c r="AR387" i="166"/>
  <c r="AQ388" i="166"/>
  <c r="A389" i="166"/>
  <c r="AP388" i="166"/>
  <c r="AR388" i="166" a="1"/>
  <c r="AR388" i="166"/>
  <c r="A390" i="166"/>
  <c r="AQ389" i="166"/>
  <c r="AP389" i="166"/>
  <c r="AR389" i="166" a="1"/>
  <c r="AR389" i="166"/>
  <c r="AP390" i="166"/>
  <c r="A391" i="166"/>
  <c r="AQ390" i="166"/>
  <c r="AR390" i="166" a="1"/>
  <c r="AR390" i="166"/>
  <c r="AP391" i="166"/>
  <c r="A392" i="166"/>
  <c r="AQ391" i="166"/>
  <c r="AR391" i="166" a="1"/>
  <c r="AR391" i="166"/>
  <c r="AQ392" i="166"/>
  <c r="A393" i="166"/>
  <c r="AP392" i="166"/>
  <c r="AR392" i="166" a="1"/>
  <c r="AR392" i="166"/>
  <c r="AQ393" i="166"/>
  <c r="AP393" i="166"/>
  <c r="A394" i="166"/>
  <c r="AR393" i="166" a="1"/>
  <c r="AR393" i="166"/>
  <c r="A395" i="166"/>
  <c r="AQ394" i="166"/>
  <c r="AP394" i="166"/>
  <c r="AR394" i="166" a="1"/>
  <c r="AR394" i="166"/>
  <c r="A396" i="166"/>
  <c r="AQ395" i="166"/>
  <c r="AP395" i="166"/>
  <c r="AR395" i="166" a="1"/>
  <c r="AR395" i="166"/>
  <c r="AQ396" i="166"/>
  <c r="A397" i="166"/>
  <c r="AP396" i="166"/>
  <c r="AR396" i="166" a="1"/>
  <c r="AR396" i="166"/>
  <c r="A398" i="166"/>
  <c r="AQ397" i="166"/>
  <c r="AP397" i="166"/>
  <c r="AR397" i="166" a="1"/>
  <c r="AR397" i="166"/>
  <c r="AP398" i="166"/>
  <c r="A399" i="166"/>
  <c r="AQ398" i="166"/>
  <c r="AR398" i="166" a="1"/>
  <c r="AR398" i="166"/>
  <c r="AP399" i="166"/>
  <c r="AQ399" i="166"/>
  <c r="A400" i="166"/>
  <c r="AR399" i="166" a="1"/>
  <c r="AR399" i="166"/>
  <c r="AQ400" i="166"/>
  <c r="AP400" i="166"/>
  <c r="AL3" i="166"/>
  <c r="AQ3" i="166"/>
  <c r="AN3" i="166"/>
  <c r="AO3" i="166"/>
  <c r="AM3" i="166"/>
  <c r="AP3" i="166"/>
  <c r="AR400" i="166" a="1"/>
  <c r="AR400" i="166"/>
  <c r="AO234" i="167"/>
  <c r="AO313" i="167"/>
  <c r="AP221" i="167"/>
  <c r="AO205" i="167"/>
  <c r="AO189" i="167"/>
  <c r="AO173" i="167"/>
  <c r="AO157" i="167"/>
  <c r="AP296" i="167"/>
  <c r="AP254" i="167"/>
  <c r="AP232" i="167"/>
  <c r="AO305" i="167"/>
  <c r="AO273" i="167"/>
  <c r="AP132" i="167"/>
  <c r="AP116" i="167"/>
  <c r="AP100" i="167"/>
  <c r="AP149" i="167"/>
  <c r="AO195" i="167"/>
  <c r="AO138" i="167"/>
  <c r="AO122" i="167"/>
  <c r="AO106" i="167"/>
  <c r="AP218" i="167"/>
  <c r="AO183" i="167"/>
  <c r="AO241" i="167"/>
  <c r="AO187" i="167"/>
  <c r="AP142" i="167"/>
  <c r="AP126" i="167"/>
  <c r="AP110" i="167"/>
  <c r="AO103" i="167"/>
  <c r="AP70" i="167"/>
  <c r="AP54" i="167"/>
  <c r="AP38" i="167"/>
  <c r="AP22" i="167"/>
  <c r="AP173" i="167"/>
  <c r="AP93" i="167"/>
  <c r="AO69" i="167"/>
  <c r="AO53" i="167"/>
  <c r="AO37" i="167"/>
  <c r="AP197" i="167"/>
  <c r="AP82" i="167"/>
  <c r="AP66" i="167"/>
  <c r="AP50" i="167"/>
  <c r="AP34" i="167"/>
  <c r="AP81" i="167"/>
  <c r="AP65" i="167"/>
  <c r="AP49" i="167"/>
  <c r="AP33" i="167"/>
  <c r="AP174" i="167"/>
  <c r="AP111" i="167"/>
  <c r="AO86" i="167"/>
  <c r="AO73" i="167"/>
  <c r="AO57" i="167"/>
  <c r="AO41" i="167"/>
  <c r="AO25" i="167"/>
  <c r="AP63" i="167"/>
  <c r="AP15" i="167"/>
  <c r="AO104" i="167"/>
  <c r="AP11" i="167"/>
  <c r="AO10" i="167"/>
  <c r="AO131" i="167"/>
  <c r="AO147" i="167"/>
  <c r="AO88" i="167"/>
  <c r="AP55" i="167"/>
  <c r="AP67" i="167"/>
  <c r="AP35" i="167"/>
  <c r="AP13" i="167"/>
  <c r="AO40" i="167"/>
  <c r="AP146" i="167"/>
  <c r="AP138" i="167"/>
  <c r="AP37" i="167"/>
  <c r="AO144" i="167"/>
  <c r="AP26" i="167"/>
  <c r="AP396" i="167"/>
  <c r="AP380" i="167"/>
  <c r="AP364" i="167"/>
  <c r="AP348" i="167"/>
  <c r="AP332" i="167"/>
  <c r="AP316" i="167"/>
  <c r="AP395" i="167"/>
  <c r="AP379" i="167"/>
  <c r="AP363" i="167"/>
  <c r="AP347" i="167"/>
  <c r="AP331" i="167"/>
  <c r="AP315" i="167"/>
  <c r="AO395" i="167"/>
  <c r="AO379" i="167"/>
  <c r="AO363" i="167"/>
  <c r="AO347" i="167"/>
  <c r="AO331" i="167"/>
  <c r="AO315" i="167"/>
  <c r="AO394" i="167"/>
  <c r="AO378" i="167"/>
  <c r="AO362" i="167"/>
  <c r="AO346" i="167"/>
  <c r="AO330" i="167"/>
  <c r="AO314" i="167"/>
  <c r="AP399" i="167"/>
  <c r="AP383" i="167"/>
  <c r="AP367" i="167"/>
  <c r="AP344" i="167"/>
  <c r="AO294" i="167"/>
  <c r="AO278" i="167"/>
  <c r="AO262" i="167"/>
  <c r="AO246" i="167"/>
  <c r="AO230" i="167"/>
  <c r="AP299" i="167"/>
  <c r="AP283" i="167"/>
  <c r="AP267" i="167"/>
  <c r="AP251" i="167"/>
  <c r="AP235" i="167"/>
  <c r="AP298" i="167"/>
  <c r="AP282" i="167"/>
  <c r="AP266" i="167"/>
  <c r="AP250" i="167"/>
  <c r="AP234" i="167"/>
  <c r="AP297" i="167"/>
  <c r="AP281" i="167"/>
  <c r="AP265" i="167"/>
  <c r="AP249" i="167"/>
  <c r="AP233" i="167"/>
  <c r="AO304" i="167"/>
  <c r="AO288" i="167"/>
  <c r="AO272" i="167"/>
  <c r="AO256" i="167"/>
  <c r="AO240" i="167"/>
  <c r="AP220" i="167"/>
  <c r="AP204" i="167"/>
  <c r="AP188" i="167"/>
  <c r="AP172" i="167"/>
  <c r="AP156" i="167"/>
  <c r="AP294" i="167"/>
  <c r="AP272" i="167"/>
  <c r="AP230" i="167"/>
  <c r="AO208" i="167"/>
  <c r="AO192" i="167"/>
  <c r="AO176" i="167"/>
  <c r="AO160" i="167"/>
  <c r="AO303" i="167"/>
  <c r="AO271" i="167"/>
  <c r="AO178" i="167"/>
  <c r="AP182" i="167"/>
  <c r="AO148" i="167"/>
  <c r="AO132" i="167"/>
  <c r="AO116" i="167"/>
  <c r="AO100" i="167"/>
  <c r="AO84" i="167"/>
  <c r="AO198" i="167"/>
  <c r="AP137" i="167"/>
  <c r="AP121" i="167"/>
  <c r="AP105" i="167"/>
  <c r="AP206" i="167"/>
  <c r="AP154" i="167"/>
  <c r="AP214" i="167"/>
  <c r="AO158" i="167"/>
  <c r="AO142" i="167"/>
  <c r="AP68" i="167"/>
  <c r="AP52" i="167"/>
  <c r="AP36" i="167"/>
  <c r="AP84" i="167"/>
  <c r="AO68" i="167"/>
  <c r="AO52" i="167"/>
  <c r="AO36" i="167"/>
  <c r="AO163" i="167"/>
  <c r="AP102" i="167"/>
  <c r="AO179" i="167"/>
  <c r="AP72" i="167"/>
  <c r="AP56" i="167"/>
  <c r="AP40" i="167"/>
  <c r="AP24" i="167"/>
  <c r="AO14" i="167"/>
  <c r="AP61" i="167"/>
  <c r="AO18" i="167"/>
  <c r="AP77" i="167"/>
  <c r="AP9" i="167"/>
  <c r="AO27" i="167"/>
  <c r="AP103" i="167"/>
  <c r="AP31" i="167"/>
  <c r="AO89" i="167"/>
  <c r="AP45" i="167"/>
  <c r="AP109" i="167"/>
  <c r="AP189" i="167"/>
  <c r="AO134" i="167"/>
  <c r="AP83" i="167"/>
  <c r="AP51" i="167"/>
  <c r="AO154" i="167"/>
  <c r="AO99" i="167"/>
  <c r="AO21" i="167"/>
  <c r="AP90" i="167"/>
  <c r="AO17" i="167"/>
  <c r="AO56" i="167"/>
  <c r="AP28" i="167"/>
  <c r="AO87" i="167"/>
  <c r="AO11" i="167"/>
  <c r="AP29" i="167"/>
  <c r="AO391" i="167"/>
  <c r="AO375" i="167"/>
  <c r="AO359" i="167"/>
  <c r="AO343" i="167"/>
  <c r="AO327" i="167"/>
  <c r="AO311" i="167"/>
  <c r="AO390" i="167"/>
  <c r="AO374" i="167"/>
  <c r="AO358" i="167"/>
  <c r="AO342" i="167"/>
  <c r="AO326" i="167"/>
  <c r="AO310" i="167"/>
  <c r="AP394" i="167"/>
  <c r="AP378" i="167"/>
  <c r="AP362" i="167"/>
  <c r="AP346" i="167"/>
  <c r="AP330" i="167"/>
  <c r="AP314" i="167"/>
  <c r="AP393" i="167"/>
  <c r="AP377" i="167"/>
  <c r="AP361" i="167"/>
  <c r="AP345" i="167"/>
  <c r="AP329" i="167"/>
  <c r="AP313" i="167"/>
  <c r="AO393" i="167"/>
  <c r="AO377" i="167"/>
  <c r="AO336" i="167"/>
  <c r="AP319" i="167"/>
  <c r="AP293" i="167"/>
  <c r="AP277" i="167"/>
  <c r="AP261" i="167"/>
  <c r="AP245" i="167"/>
  <c r="AP229" i="167"/>
  <c r="AO293" i="167"/>
  <c r="AO277" i="167"/>
  <c r="AO261" i="167"/>
  <c r="AO245" i="167"/>
  <c r="AO229" i="167"/>
  <c r="AP335" i="167"/>
  <c r="AP343" i="167"/>
  <c r="AP328" i="167"/>
  <c r="AP303" i="167"/>
  <c r="AP287" i="167"/>
  <c r="AP271" i="167"/>
  <c r="AP255" i="167"/>
  <c r="AP239" i="167"/>
  <c r="AO220" i="167"/>
  <c r="AO204" i="167"/>
  <c r="AO188" i="167"/>
  <c r="AO172" i="167"/>
  <c r="AO156" i="167"/>
  <c r="AP270" i="167"/>
  <c r="AP248" i="167"/>
  <c r="AO210" i="167"/>
  <c r="AO209" i="167"/>
  <c r="AO193" i="167"/>
  <c r="AO177" i="167"/>
  <c r="AO161" i="167"/>
  <c r="AP223" i="167"/>
  <c r="AP207" i="167"/>
  <c r="AP191" i="167"/>
  <c r="AP175" i="167"/>
  <c r="AP159" i="167"/>
  <c r="AO297" i="167"/>
  <c r="AO265" i="167"/>
  <c r="AO207" i="167"/>
  <c r="AO175" i="167"/>
  <c r="AP147" i="167"/>
  <c r="AP131" i="167"/>
  <c r="AP115" i="167"/>
  <c r="AP99" i="167"/>
  <c r="AP150" i="167"/>
  <c r="AO203" i="167"/>
  <c r="AP177" i="167"/>
  <c r="AO150" i="167"/>
  <c r="AO137" i="167"/>
  <c r="AO121" i="167"/>
  <c r="AO105" i="167"/>
  <c r="AO211" i="167"/>
  <c r="AP181" i="167"/>
  <c r="AO155" i="167"/>
  <c r="AO233" i="167"/>
  <c r="AO102" i="167"/>
  <c r="AP178" i="167"/>
  <c r="AP390" i="167"/>
  <c r="AP374" i="167"/>
  <c r="AP358" i="167"/>
  <c r="AP342" i="167"/>
  <c r="AP326" i="167"/>
  <c r="AP310" i="167"/>
  <c r="AP389" i="167"/>
  <c r="AP373" i="167"/>
  <c r="AP357" i="167"/>
  <c r="AP341" i="167"/>
  <c r="AP325" i="167"/>
  <c r="AP309" i="167"/>
  <c r="AP392" i="167"/>
  <c r="AP376" i="167"/>
  <c r="AO321" i="167"/>
  <c r="AP327" i="167"/>
  <c r="AP292" i="167"/>
  <c r="AP276" i="167"/>
  <c r="AP260" i="167"/>
  <c r="AP244" i="167"/>
  <c r="AP228" i="167"/>
  <c r="AP320" i="167"/>
  <c r="AO320" i="167"/>
  <c r="AP219" i="167"/>
  <c r="AP203" i="167"/>
  <c r="AP187" i="167"/>
  <c r="AP171" i="167"/>
  <c r="AP155" i="167"/>
  <c r="AP288" i="167"/>
  <c r="AP246" i="167"/>
  <c r="AP209" i="167"/>
  <c r="AP208" i="167"/>
  <c r="AP192" i="167"/>
  <c r="AP176" i="167"/>
  <c r="AP160" i="167"/>
  <c r="AO295" i="167"/>
  <c r="AO263" i="167"/>
  <c r="AP202" i="167"/>
  <c r="AO141" i="167"/>
  <c r="AO125" i="167"/>
  <c r="AO109" i="167"/>
  <c r="AO93" i="167"/>
  <c r="AP222" i="167"/>
  <c r="AP186" i="167"/>
  <c r="AP136" i="167"/>
  <c r="AP120" i="167"/>
  <c r="AP104" i="167"/>
  <c r="AO135" i="167"/>
  <c r="AO119" i="167"/>
  <c r="AO79" i="167"/>
  <c r="AO63" i="167"/>
  <c r="AO47" i="167"/>
  <c r="AO31" i="167"/>
  <c r="AO15" i="167"/>
  <c r="AO126" i="167"/>
  <c r="AO94" i="167"/>
  <c r="AO75" i="167"/>
  <c r="AO59" i="167"/>
  <c r="AO43" i="167"/>
  <c r="AP158" i="167"/>
  <c r="AP95" i="167"/>
  <c r="AO74" i="167"/>
  <c r="AO58" i="167"/>
  <c r="AO42" i="167"/>
  <c r="AO249" i="167"/>
  <c r="AO166" i="167"/>
  <c r="AO20" i="167"/>
  <c r="AP12" i="167"/>
  <c r="AO38" i="167"/>
  <c r="AO16" i="167"/>
  <c r="AP141" i="167"/>
  <c r="AO54" i="167"/>
  <c r="AO72" i="167"/>
  <c r="AP133" i="167"/>
  <c r="AO80" i="167"/>
  <c r="AP114" i="167"/>
  <c r="AO48" i="167"/>
  <c r="AO22" i="167"/>
  <c r="AO26" i="167"/>
  <c r="AO8" i="167"/>
  <c r="AP23" i="167"/>
  <c r="AP501" i="167"/>
  <c r="AO501" i="167"/>
  <c r="AO389" i="167"/>
  <c r="AO373" i="167"/>
  <c r="AO357" i="167"/>
  <c r="AO341" i="167"/>
  <c r="AO325" i="167"/>
  <c r="AO309" i="167"/>
  <c r="AO388" i="167"/>
  <c r="AO372" i="167"/>
  <c r="AO356" i="167"/>
  <c r="AO340" i="167"/>
  <c r="AO324" i="167"/>
  <c r="AO308" i="167"/>
  <c r="AO392" i="167"/>
  <c r="AO376" i="167"/>
  <c r="AO360" i="167"/>
  <c r="AO292" i="167"/>
  <c r="AO276" i="167"/>
  <c r="AO260" i="167"/>
  <c r="AO244" i="167"/>
  <c r="AO228" i="167"/>
  <c r="AO291" i="167"/>
  <c r="AO275" i="167"/>
  <c r="AO259" i="167"/>
  <c r="AO243" i="167"/>
  <c r="AO227" i="167"/>
  <c r="AO312" i="167"/>
  <c r="AO290" i="167"/>
  <c r="AO274" i="167"/>
  <c r="AO258" i="167"/>
  <c r="AO242" i="167"/>
  <c r="AO226" i="167"/>
  <c r="AO213" i="167"/>
  <c r="AO197" i="167"/>
  <c r="AO181" i="167"/>
  <c r="AO165" i="167"/>
  <c r="AO149" i="167"/>
  <c r="AP286" i="167"/>
  <c r="AP264" i="167"/>
  <c r="AO289" i="167"/>
  <c r="AO257" i="167"/>
  <c r="AO194" i="167"/>
  <c r="AP169" i="167"/>
  <c r="AP140" i="167"/>
  <c r="AP124" i="167"/>
  <c r="AP108" i="167"/>
  <c r="AP92" i="167"/>
  <c r="AP205" i="167"/>
  <c r="AP166" i="167"/>
  <c r="AO231" i="167"/>
  <c r="AO146" i="167"/>
  <c r="AO130" i="167"/>
  <c r="AO114" i="167"/>
  <c r="AO98" i="167"/>
  <c r="AO170" i="167"/>
  <c r="AO174" i="167"/>
  <c r="AP134" i="167"/>
  <c r="AP118" i="167"/>
  <c r="AO91" i="167"/>
  <c r="AP78" i="167"/>
  <c r="AP62" i="167"/>
  <c r="AP46" i="167"/>
  <c r="AP30" i="167"/>
  <c r="AP14" i="167"/>
  <c r="AO118" i="167"/>
  <c r="AO77" i="167"/>
  <c r="AO61" i="167"/>
  <c r="AO45" i="167"/>
  <c r="AP74" i="167"/>
  <c r="AP58" i="167"/>
  <c r="AP42" i="167"/>
  <c r="AP73" i="167"/>
  <c r="AP57" i="167"/>
  <c r="AP41" i="167"/>
  <c r="AO214" i="167"/>
  <c r="AP143" i="167"/>
  <c r="AO95" i="167"/>
  <c r="AO81" i="167"/>
  <c r="AO65" i="167"/>
  <c r="AO49" i="167"/>
  <c r="AO33" i="167"/>
  <c r="AP157" i="167"/>
  <c r="AP53" i="167"/>
  <c r="AO19" i="167"/>
  <c r="AO30" i="167"/>
  <c r="AO120" i="167"/>
  <c r="AP122" i="167"/>
  <c r="AO70" i="167"/>
  <c r="AO112" i="167"/>
  <c r="AO78" i="167"/>
  <c r="AO28" i="167"/>
  <c r="AP10" i="167"/>
  <c r="AP20" i="167"/>
  <c r="AO123" i="167"/>
  <c r="AP8" i="167"/>
  <c r="AP47" i="167"/>
  <c r="AP19" i="167"/>
  <c r="AP388" i="167"/>
  <c r="AP372" i="167"/>
  <c r="AP356" i="167"/>
  <c r="AP340" i="167"/>
  <c r="AP324" i="167"/>
  <c r="AP308" i="167"/>
  <c r="AP387" i="167"/>
  <c r="AP371" i="167"/>
  <c r="AP355" i="167"/>
  <c r="AP339" i="167"/>
  <c r="AP323" i="167"/>
  <c r="AP307" i="167"/>
  <c r="AO387" i="167"/>
  <c r="AO371" i="167"/>
  <c r="AO355" i="167"/>
  <c r="AO339" i="167"/>
  <c r="AO323" i="167"/>
  <c r="AO307" i="167"/>
  <c r="AO386" i="167"/>
  <c r="AO370" i="167"/>
  <c r="AO354" i="167"/>
  <c r="AO338" i="167"/>
  <c r="AO322" i="167"/>
  <c r="AO306" i="167"/>
  <c r="AP391" i="167"/>
  <c r="AP375" i="167"/>
  <c r="AP359" i="167"/>
  <c r="AP352" i="167"/>
  <c r="AO302" i="167"/>
  <c r="AO286" i="167"/>
  <c r="AO270" i="167"/>
  <c r="AO254" i="167"/>
  <c r="AO238" i="167"/>
  <c r="AO222" i="167"/>
  <c r="AP291" i="167"/>
  <c r="AP275" i="167"/>
  <c r="AP259" i="167"/>
  <c r="AP243" i="167"/>
  <c r="AP227" i="167"/>
  <c r="AP312" i="167"/>
  <c r="AP290" i="167"/>
  <c r="AP274" i="167"/>
  <c r="AP258" i="167"/>
  <c r="AP242" i="167"/>
  <c r="AP226" i="167"/>
  <c r="AP289" i="167"/>
  <c r="AP273" i="167"/>
  <c r="AP257" i="167"/>
  <c r="AP241" i="167"/>
  <c r="AP225" i="167"/>
  <c r="AO296" i="167"/>
  <c r="AO280" i="167"/>
  <c r="AO264" i="167"/>
  <c r="AO248" i="167"/>
  <c r="AO232" i="167"/>
  <c r="AP212" i="167"/>
  <c r="AP196" i="167"/>
  <c r="AP180" i="167"/>
  <c r="AP164" i="167"/>
  <c r="AP148" i="167"/>
  <c r="AP304" i="167"/>
  <c r="AP262" i="167"/>
  <c r="AP240" i="167"/>
  <c r="AO216" i="167"/>
  <c r="AO200" i="167"/>
  <c r="AO184" i="167"/>
  <c r="AO168" i="167"/>
  <c r="AO152" i="167"/>
  <c r="AO287" i="167"/>
  <c r="AO255" i="167"/>
  <c r="AO191" i="167"/>
  <c r="AO140" i="167"/>
  <c r="AO124" i="167"/>
  <c r="AO108" i="167"/>
  <c r="AO92" i="167"/>
  <c r="AO215" i="167"/>
  <c r="AP145" i="167"/>
  <c r="AP129" i="167"/>
  <c r="AP113" i="167"/>
  <c r="AP97" i="167"/>
  <c r="AP193" i="167"/>
  <c r="AO167" i="167"/>
  <c r="AO199" i="167"/>
  <c r="AO171" i="167"/>
  <c r="AO90" i="167"/>
  <c r="AO110" i="167"/>
  <c r="AP76" i="167"/>
  <c r="AP60" i="167"/>
  <c r="AP44" i="167"/>
  <c r="AO206" i="167"/>
  <c r="AP94" i="167"/>
  <c r="AO76" i="167"/>
  <c r="AO60" i="167"/>
  <c r="AO44" i="167"/>
  <c r="AO247" i="167"/>
  <c r="AP85" i="167"/>
  <c r="AP86" i="167"/>
  <c r="AP194" i="167"/>
  <c r="AP135" i="167"/>
  <c r="AP89" i="167"/>
  <c r="AP80" i="167"/>
  <c r="AP64" i="167"/>
  <c r="AP48" i="167"/>
  <c r="AP32" i="167"/>
  <c r="AO128" i="167"/>
  <c r="AO32" i="167"/>
  <c r="AP18" i="167"/>
  <c r="AP71" i="167"/>
  <c r="AP25" i="167"/>
  <c r="AO115" i="167"/>
  <c r="AP27" i="167"/>
  <c r="AP117" i="167"/>
  <c r="AO9" i="167"/>
  <c r="AO107" i="167"/>
  <c r="AO139" i="167"/>
  <c r="AO46" i="167"/>
  <c r="AP21" i="167"/>
  <c r="AO96" i="167"/>
  <c r="AP88" i="167"/>
  <c r="AO29" i="167"/>
  <c r="AP130" i="167"/>
  <c r="AO13" i="167"/>
  <c r="AO64" i="167"/>
  <c r="AP39" i="167"/>
  <c r="AP79" i="167"/>
  <c r="AO399" i="167"/>
  <c r="AO383" i="167"/>
  <c r="AO367" i="167"/>
  <c r="AO351" i="167"/>
  <c r="AO335" i="167"/>
  <c r="AO319" i="167"/>
  <c r="AO398" i="167"/>
  <c r="AO382" i="167"/>
  <c r="AO366" i="167"/>
  <c r="AO350" i="167"/>
  <c r="AO334" i="167"/>
  <c r="AO318" i="167"/>
  <c r="AP386" i="167"/>
  <c r="AP370" i="167"/>
  <c r="AP354" i="167"/>
  <c r="AP338" i="167"/>
  <c r="AP322" i="167"/>
  <c r="AP306" i="167"/>
  <c r="AP385" i="167"/>
  <c r="AP369" i="167"/>
  <c r="AP353" i="167"/>
  <c r="AP337" i="167"/>
  <c r="AP321" i="167"/>
  <c r="AP305" i="167"/>
  <c r="AO385" i="167"/>
  <c r="AO369" i="167"/>
  <c r="AO344" i="167"/>
  <c r="AP301" i="167"/>
  <c r="AP285" i="167"/>
  <c r="AP269" i="167"/>
  <c r="AP253" i="167"/>
  <c r="AP237" i="167"/>
  <c r="AO361" i="167"/>
  <c r="AO301" i="167"/>
  <c r="AO285" i="167"/>
  <c r="AO269" i="167"/>
  <c r="AO253" i="167"/>
  <c r="AO237" i="167"/>
  <c r="AO221" i="167"/>
  <c r="AP336" i="167"/>
  <c r="AP295" i="167"/>
  <c r="AP279" i="167"/>
  <c r="AP263" i="167"/>
  <c r="AP247" i="167"/>
  <c r="AP231" i="167"/>
  <c r="AO212" i="167"/>
  <c r="AO196" i="167"/>
  <c r="AO180" i="167"/>
  <c r="AO164" i="167"/>
  <c r="AP302" i="167"/>
  <c r="AP280" i="167"/>
  <c r="AP238" i="167"/>
  <c r="AO218" i="167"/>
  <c r="AO202" i="167"/>
  <c r="AO217" i="167"/>
  <c r="AO201" i="167"/>
  <c r="AO185" i="167"/>
  <c r="AO169" i="167"/>
  <c r="AO153" i="167"/>
  <c r="AP215" i="167"/>
  <c r="AP199" i="167"/>
  <c r="AP183" i="167"/>
  <c r="AP167" i="167"/>
  <c r="AP151" i="167"/>
  <c r="AO281" i="167"/>
  <c r="AO225" i="167"/>
  <c r="AO162" i="167"/>
  <c r="AP139" i="167"/>
  <c r="AP123" i="167"/>
  <c r="AP107" i="167"/>
  <c r="AP91" i="167"/>
  <c r="AP210" i="167"/>
  <c r="AP213" i="167"/>
  <c r="AP170" i="167"/>
  <c r="AO239" i="167"/>
  <c r="AO145" i="167"/>
  <c r="AO129" i="167"/>
  <c r="AO113" i="167"/>
  <c r="AO97" i="167"/>
  <c r="AP162" i="167"/>
  <c r="AP190" i="167"/>
  <c r="AP75" i="167"/>
  <c r="AP59" i="167"/>
  <c r="AP43" i="167"/>
  <c r="AP127" i="167"/>
  <c r="AP17" i="167"/>
  <c r="AP106" i="167"/>
  <c r="AP398" i="167"/>
  <c r="AP382" i="167"/>
  <c r="AP366" i="167"/>
  <c r="AP350" i="167"/>
  <c r="AP334" i="167"/>
  <c r="AP318" i="167"/>
  <c r="AP397" i="167"/>
  <c r="AP381" i="167"/>
  <c r="AP365" i="167"/>
  <c r="AP349" i="167"/>
  <c r="AP333" i="167"/>
  <c r="AP317" i="167"/>
  <c r="AP400" i="167"/>
  <c r="AP384" i="167"/>
  <c r="AP368" i="167"/>
  <c r="AO329" i="167"/>
  <c r="AO352" i="167"/>
  <c r="AP300" i="167"/>
  <c r="AP284" i="167"/>
  <c r="AP268" i="167"/>
  <c r="AP252" i="167"/>
  <c r="AP236" i="167"/>
  <c r="AO345" i="167"/>
  <c r="AO353" i="167"/>
  <c r="AP360" i="167"/>
  <c r="AO328" i="167"/>
  <c r="AO224" i="167"/>
  <c r="AP211" i="167"/>
  <c r="AP195" i="167"/>
  <c r="AP179" i="167"/>
  <c r="AP163" i="167"/>
  <c r="AP278" i="167"/>
  <c r="AP256" i="167"/>
  <c r="AP217" i="167"/>
  <c r="AP201" i="167"/>
  <c r="AP216" i="167"/>
  <c r="AP200" i="167"/>
  <c r="AP184" i="167"/>
  <c r="AP168" i="167"/>
  <c r="AP152" i="167"/>
  <c r="AP311" i="167"/>
  <c r="AO279" i="167"/>
  <c r="AO219" i="167"/>
  <c r="AP185" i="167"/>
  <c r="AO159" i="167"/>
  <c r="AO133" i="167"/>
  <c r="AO117" i="167"/>
  <c r="AO101" i="167"/>
  <c r="AO85" i="167"/>
  <c r="AP153" i="167"/>
  <c r="AP198" i="167"/>
  <c r="AP224" i="167"/>
  <c r="AO186" i="167"/>
  <c r="AP161" i="167"/>
  <c r="AP144" i="167"/>
  <c r="AP128" i="167"/>
  <c r="AP112" i="167"/>
  <c r="AP96" i="167"/>
  <c r="AO190" i="167"/>
  <c r="AP165" i="167"/>
  <c r="AO143" i="167"/>
  <c r="AO127" i="167"/>
  <c r="AO111" i="167"/>
  <c r="AO151" i="167"/>
  <c r="AO71" i="167"/>
  <c r="AO55" i="167"/>
  <c r="AO39" i="167"/>
  <c r="AO23" i="167"/>
  <c r="AO182" i="167"/>
  <c r="AP101" i="167"/>
  <c r="AO223" i="167"/>
  <c r="AO83" i="167"/>
  <c r="AO67" i="167"/>
  <c r="AO51" i="167"/>
  <c r="AO35" i="167"/>
  <c r="AO82" i="167"/>
  <c r="AO66" i="167"/>
  <c r="AO50" i="167"/>
  <c r="AO34" i="167"/>
  <c r="AP119" i="167"/>
  <c r="AP87" i="167"/>
  <c r="AO24" i="167"/>
  <c r="AP16" i="167"/>
  <c r="AP125" i="167"/>
  <c r="AO12" i="167"/>
  <c r="AO62" i="167"/>
  <c r="AO136" i="167"/>
  <c r="AP69" i="167"/>
  <c r="AP98" i="167"/>
  <c r="AO250" i="167"/>
  <c r="AO266" i="167"/>
  <c r="AO282" i="167"/>
  <c r="AO298" i="167"/>
  <c r="AP351" i="167"/>
  <c r="AO235" i="167"/>
  <c r="AO251" i="167"/>
  <c r="AO267" i="167"/>
  <c r="AO283" i="167"/>
  <c r="AO299" i="167"/>
  <c r="AO236" i="167"/>
  <c r="AO252" i="167"/>
  <c r="AO268" i="167"/>
  <c r="AO284" i="167"/>
  <c r="AO300" i="167"/>
  <c r="AO337" i="167"/>
  <c r="AO368" i="167"/>
  <c r="AO384" i="167"/>
  <c r="AO400" i="167"/>
  <c r="AO316" i="167"/>
  <c r="AO332" i="167"/>
  <c r="AO348" i="167"/>
  <c r="AO364" i="167"/>
  <c r="AO380" i="167"/>
  <c r="AO396" i="167"/>
  <c r="AO317" i="167"/>
  <c r="AO333" i="167"/>
  <c r="AO349" i="167"/>
  <c r="AO365" i="167"/>
  <c r="AO381" i="167"/>
  <c r="AO397" i="167"/>
  <c r="J351" i="167" a="1"/>
  <c r="J351" i="167"/>
  <c r="J98" i="167" a="1"/>
  <c r="J98" i="167"/>
  <c r="J69" i="167" a="1"/>
  <c r="J69" i="167"/>
  <c r="J125" i="167" a="1"/>
  <c r="J125" i="167"/>
  <c r="J16" i="167" a="1"/>
  <c r="J16" i="167"/>
  <c r="J87" i="167" a="1"/>
  <c r="J87" i="167"/>
  <c r="J119" i="167" a="1"/>
  <c r="J119" i="167"/>
  <c r="J101" i="167" a="1"/>
  <c r="J101" i="167"/>
  <c r="J165" i="167" a="1"/>
  <c r="J165" i="167"/>
  <c r="J96" i="167" a="1"/>
  <c r="J96" i="167"/>
  <c r="J112" i="167" a="1"/>
  <c r="J112" i="167"/>
  <c r="J128" i="167" a="1"/>
  <c r="J128" i="167"/>
  <c r="J144" i="167" a="1"/>
  <c r="J144" i="167"/>
  <c r="J161" i="167" a="1"/>
  <c r="J161" i="167"/>
  <c r="J224" i="167" a="1"/>
  <c r="J224" i="167"/>
  <c r="J198" i="167" a="1"/>
  <c r="J198" i="167"/>
  <c r="J153" i="167" a="1"/>
  <c r="J153" i="167"/>
  <c r="J185" i="167" a="1"/>
  <c r="J185" i="167"/>
  <c r="J311" i="167" a="1"/>
  <c r="J311" i="167"/>
  <c r="J152" i="167" a="1"/>
  <c r="J152" i="167"/>
  <c r="J168" i="167" a="1"/>
  <c r="J168" i="167"/>
  <c r="J184" i="167" a="1"/>
  <c r="J184" i="167"/>
  <c r="J200" i="167" a="1"/>
  <c r="J200" i="167"/>
  <c r="J216" i="167" a="1"/>
  <c r="J216" i="167"/>
  <c r="J201" i="167" a="1"/>
  <c r="J201" i="167"/>
  <c r="J217" i="167" a="1"/>
  <c r="J217" i="167"/>
  <c r="J256" i="167" a="1"/>
  <c r="J256" i="167"/>
  <c r="J278" i="167" a="1"/>
  <c r="J278" i="167"/>
  <c r="J163" i="167" a="1"/>
  <c r="J163" i="167"/>
  <c r="J179" i="167" a="1"/>
  <c r="J179" i="167"/>
  <c r="J195" i="167" a="1"/>
  <c r="J195" i="167"/>
  <c r="J211" i="167" a="1"/>
  <c r="J211" i="167"/>
  <c r="J360" i="167" a="1"/>
  <c r="J360" i="167"/>
  <c r="J236" i="167" a="1"/>
  <c r="J236" i="167"/>
  <c r="J252" i="167" a="1"/>
  <c r="J252" i="167"/>
  <c r="J268" i="167" a="1"/>
  <c r="J268" i="167"/>
  <c r="J284" i="167" a="1"/>
  <c r="J284" i="167"/>
  <c r="J300" i="167" a="1"/>
  <c r="J300" i="167"/>
  <c r="J368" i="167" a="1"/>
  <c r="J368" i="167"/>
  <c r="J384" i="167" a="1"/>
  <c r="J384" i="167"/>
  <c r="J400" i="167" a="1"/>
  <c r="J400" i="167"/>
  <c r="J317" i="167" a="1"/>
  <c r="J317" i="167"/>
  <c r="J333" i="167" a="1"/>
  <c r="J333" i="167"/>
  <c r="J349" i="167" a="1"/>
  <c r="J349" i="167"/>
  <c r="J365" i="167" a="1"/>
  <c r="J365" i="167"/>
  <c r="J381" i="167" a="1"/>
  <c r="J381" i="167"/>
  <c r="J397" i="167" a="1"/>
  <c r="J397" i="167"/>
  <c r="J318" i="167" a="1"/>
  <c r="J318" i="167"/>
  <c r="J334" i="167" a="1"/>
  <c r="J334" i="167"/>
  <c r="J350" i="167" a="1"/>
  <c r="J350" i="167"/>
  <c r="J366" i="167" a="1"/>
  <c r="J366" i="167"/>
  <c r="J382" i="167" a="1"/>
  <c r="J382" i="167"/>
  <c r="J398" i="167" a="1"/>
  <c r="J398" i="167"/>
  <c r="J106" i="167" a="1"/>
  <c r="J106" i="167"/>
  <c r="J17" i="167" a="1"/>
  <c r="J17" i="167"/>
  <c r="J127" i="167" a="1"/>
  <c r="J127" i="167"/>
  <c r="J43" i="167" a="1"/>
  <c r="J43" i="167"/>
  <c r="J59" i="167" a="1"/>
  <c r="J59" i="167"/>
  <c r="J75" i="167" a="1"/>
  <c r="J75" i="167"/>
  <c r="J190" i="167" a="1"/>
  <c r="J190" i="167"/>
  <c r="J162" i="167" a="1"/>
  <c r="J162" i="167"/>
  <c r="J170" i="167" a="1"/>
  <c r="J170" i="167"/>
  <c r="J213" i="167" a="1"/>
  <c r="J213" i="167"/>
  <c r="J210" i="167" a="1"/>
  <c r="J210" i="167"/>
  <c r="J91" i="167" a="1"/>
  <c r="J91" i="167"/>
  <c r="J107" i="167" a="1"/>
  <c r="J107" i="167"/>
  <c r="J123" i="167" a="1"/>
  <c r="J123" i="167"/>
  <c r="J139" i="167" a="1"/>
  <c r="J139" i="167"/>
  <c r="J151" i="167" a="1"/>
  <c r="J151" i="167"/>
  <c r="J167" i="167" a="1"/>
  <c r="J167" i="167"/>
  <c r="J183" i="167" a="1"/>
  <c r="J183" i="167"/>
  <c r="J199" i="167" a="1"/>
  <c r="J199" i="167"/>
  <c r="J215" i="167" a="1"/>
  <c r="J215" i="167"/>
  <c r="J238" i="167" a="1"/>
  <c r="J238" i="167"/>
  <c r="J280" i="167" a="1"/>
  <c r="J280" i="167"/>
  <c r="J302" i="167" a="1"/>
  <c r="J302" i="167"/>
  <c r="J231" i="167" a="1"/>
  <c r="J231" i="167"/>
  <c r="J247" i="167" a="1"/>
  <c r="J247" i="167"/>
  <c r="J263" i="167" a="1"/>
  <c r="J263" i="167"/>
  <c r="J279" i="167" a="1"/>
  <c r="J279" i="167"/>
  <c r="J295" i="167" a="1"/>
  <c r="J295" i="167"/>
  <c r="J336" i="167" a="1"/>
  <c r="J336" i="167"/>
  <c r="J237" i="167" a="1"/>
  <c r="J237" i="167"/>
  <c r="J253" i="167" a="1"/>
  <c r="J253" i="167"/>
  <c r="J269" i="167" a="1"/>
  <c r="J269" i="167"/>
  <c r="J285" i="167" a="1"/>
  <c r="J285" i="167"/>
  <c r="J301" i="167" a="1"/>
  <c r="J301" i="167"/>
  <c r="J305" i="167" a="1"/>
  <c r="J305" i="167"/>
  <c r="J321" i="167" a="1"/>
  <c r="J321" i="167"/>
  <c r="J337" i="167" a="1"/>
  <c r="J337" i="167"/>
  <c r="J353" i="167" a="1"/>
  <c r="J353" i="167"/>
  <c r="J369" i="167" a="1"/>
  <c r="J369" i="167"/>
  <c r="J385" i="167" a="1"/>
  <c r="J385" i="167"/>
  <c r="J306" i="167" a="1"/>
  <c r="J306" i="167"/>
  <c r="J322" i="167" a="1"/>
  <c r="J322" i="167"/>
  <c r="J338" i="167" a="1"/>
  <c r="J338" i="167"/>
  <c r="J354" i="167" a="1"/>
  <c r="J354" i="167"/>
  <c r="J370" i="167" a="1"/>
  <c r="J370" i="167"/>
  <c r="J386" i="167" a="1"/>
  <c r="J386" i="167"/>
  <c r="J79" i="167" a="1"/>
  <c r="J79" i="167"/>
  <c r="J39" i="167" a="1"/>
  <c r="J39" i="167"/>
  <c r="J130" i="167" a="1"/>
  <c r="J130" i="167"/>
  <c r="J88" i="167" a="1"/>
  <c r="J88" i="167"/>
  <c r="J21" i="167" a="1"/>
  <c r="J21" i="167"/>
  <c r="J117" i="167" a="1"/>
  <c r="J117" i="167"/>
  <c r="J27" i="167" a="1"/>
  <c r="J27" i="167"/>
  <c r="J25" i="167" a="1"/>
  <c r="J25" i="167"/>
  <c r="J71" i="167" a="1"/>
  <c r="J71" i="167"/>
  <c r="J18" i="167" a="1"/>
  <c r="J18" i="167"/>
  <c r="J32" i="167" a="1"/>
  <c r="J32" i="167"/>
  <c r="J48" i="167" a="1"/>
  <c r="J48" i="167"/>
  <c r="J64" i="167" a="1"/>
  <c r="J64" i="167"/>
  <c r="J80" i="167" a="1"/>
  <c r="J80" i="167"/>
  <c r="J89" i="167" a="1"/>
  <c r="J89" i="167"/>
  <c r="J135" i="167" a="1"/>
  <c r="J135" i="167"/>
  <c r="J194" i="167" a="1"/>
  <c r="J194" i="167"/>
  <c r="J86" i="167" a="1"/>
  <c r="J86" i="167"/>
  <c r="J85" i="167" a="1"/>
  <c r="J85" i="167"/>
  <c r="J94" i="167" a="1"/>
  <c r="J94" i="167"/>
  <c r="J44" i="167" a="1"/>
  <c r="J44" i="167"/>
  <c r="J60" i="167" a="1"/>
  <c r="J60" i="167"/>
  <c r="J76" i="167" a="1"/>
  <c r="J76" i="167"/>
  <c r="J193" i="167" a="1"/>
  <c r="J193" i="167"/>
  <c r="J97" i="167" a="1"/>
  <c r="J97" i="167"/>
  <c r="J113" i="167" a="1"/>
  <c r="J113" i="167"/>
  <c r="J129" i="167" a="1"/>
  <c r="J129" i="167"/>
  <c r="J145" i="167" a="1"/>
  <c r="J145" i="167"/>
  <c r="J240" i="167" a="1"/>
  <c r="J240" i="167"/>
  <c r="J262" i="167" a="1"/>
  <c r="J262" i="167"/>
  <c r="J304" i="167" a="1"/>
  <c r="J304" i="167"/>
  <c r="J148" i="167" a="1"/>
  <c r="J148" i="167"/>
  <c r="J164" i="167" a="1"/>
  <c r="J164" i="167"/>
  <c r="J180" i="167" a="1"/>
  <c r="J180" i="167"/>
  <c r="J196" i="167" a="1"/>
  <c r="J196" i="167"/>
  <c r="J212" i="167" a="1"/>
  <c r="J212" i="167"/>
  <c r="J225" i="167" a="1"/>
  <c r="J225" i="167"/>
  <c r="J241" i="167" a="1"/>
  <c r="J241" i="167"/>
  <c r="J257" i="167" a="1"/>
  <c r="J257" i="167"/>
  <c r="J273" i="167" a="1"/>
  <c r="J273" i="167"/>
  <c r="J289" i="167" a="1"/>
  <c r="J289" i="167"/>
  <c r="J226" i="167" a="1"/>
  <c r="J226" i="167"/>
  <c r="J242" i="167" a="1"/>
  <c r="J242" i="167"/>
  <c r="J258" i="167" a="1"/>
  <c r="J258" i="167"/>
  <c r="J274" i="167" a="1"/>
  <c r="J274" i="167"/>
  <c r="J290" i="167" a="1"/>
  <c r="J290" i="167"/>
  <c r="J312" i="167" a="1"/>
  <c r="J312" i="167"/>
  <c r="J227" i="167" a="1"/>
  <c r="J227" i="167"/>
  <c r="J243" i="167" a="1"/>
  <c r="J243" i="167"/>
  <c r="J259" i="167" a="1"/>
  <c r="J259" i="167"/>
  <c r="J275" i="167" a="1"/>
  <c r="J275" i="167"/>
  <c r="J291" i="167" a="1"/>
  <c r="J291" i="167"/>
  <c r="J352" i="167" a="1"/>
  <c r="J352" i="167"/>
  <c r="J359" i="167" a="1"/>
  <c r="J359" i="167"/>
  <c r="J375" i="167" a="1"/>
  <c r="J375" i="167"/>
  <c r="J391" i="167" a="1"/>
  <c r="J391" i="167"/>
  <c r="J307" i="167" a="1"/>
  <c r="J307" i="167"/>
  <c r="J323" i="167" a="1"/>
  <c r="J323" i="167"/>
  <c r="J339" i="167" a="1"/>
  <c r="J339" i="167"/>
  <c r="J355" i="167" a="1"/>
  <c r="J355" i="167"/>
  <c r="J371" i="167" a="1"/>
  <c r="J371" i="167"/>
  <c r="J387" i="167" a="1"/>
  <c r="J387" i="167"/>
  <c r="J308" i="167" a="1"/>
  <c r="J308" i="167"/>
  <c r="J324" i="167" a="1"/>
  <c r="J324" i="167"/>
  <c r="J340" i="167" a="1"/>
  <c r="J340" i="167"/>
  <c r="J356" i="167" a="1"/>
  <c r="J356" i="167"/>
  <c r="J372" i="167" a="1"/>
  <c r="J372" i="167"/>
  <c r="J388" i="167" a="1"/>
  <c r="J388" i="167"/>
  <c r="J19" i="167" a="1"/>
  <c r="J19" i="167"/>
  <c r="J47" i="167" a="1"/>
  <c r="J47" i="167"/>
  <c r="J8" i="167" a="1"/>
  <c r="J8" i="167"/>
  <c r="J20" i="167" a="1"/>
  <c r="J20" i="167"/>
  <c r="J10" i="167" a="1"/>
  <c r="J10" i="167"/>
  <c r="J122" i="167" a="1"/>
  <c r="J122" i="167"/>
  <c r="J53" i="167" a="1"/>
  <c r="J53" i="167"/>
  <c r="J157" i="167" a="1"/>
  <c r="J157" i="167"/>
  <c r="J143" i="167" a="1"/>
  <c r="J143" i="167"/>
  <c r="J41" i="167" a="1"/>
  <c r="J41" i="167"/>
  <c r="J57" i="167" a="1"/>
  <c r="J57" i="167"/>
  <c r="J73" i="167" a="1"/>
  <c r="J73" i="167"/>
  <c r="J42" i="167" a="1"/>
  <c r="J42" i="167"/>
  <c r="J58" i="167" a="1"/>
  <c r="J58" i="167"/>
  <c r="J74" i="167" a="1"/>
  <c r="J74" i="167"/>
  <c r="J14" i="167" a="1"/>
  <c r="J14" i="167"/>
  <c r="J30" i="167" a="1"/>
  <c r="J30" i="167"/>
  <c r="J46" i="167" a="1"/>
  <c r="J46" i="167"/>
  <c r="J62" i="167" a="1"/>
  <c r="J62" i="167"/>
  <c r="J78" i="167" a="1"/>
  <c r="J78" i="167"/>
  <c r="J118" i="167" a="1"/>
  <c r="J118" i="167"/>
  <c r="J134" i="167" a="1"/>
  <c r="J134" i="167"/>
  <c r="J166" i="167" a="1"/>
  <c r="J166" i="167"/>
  <c r="J205" i="167" a="1"/>
  <c r="J205" i="167"/>
  <c r="J92" i="167" a="1"/>
  <c r="J92" i="167"/>
  <c r="J108" i="167" a="1"/>
  <c r="J108" i="167"/>
  <c r="J124" i="167" a="1"/>
  <c r="J124" i="167"/>
  <c r="J140" i="167" a="1"/>
  <c r="J140" i="167"/>
  <c r="J169" i="167" a="1"/>
  <c r="J169" i="167"/>
  <c r="J264" i="167" a="1"/>
  <c r="J264" i="167"/>
  <c r="J286" i="167" a="1"/>
  <c r="J286" i="167"/>
  <c r="J23" i="167" a="1"/>
  <c r="J23" i="167"/>
  <c r="J114" i="167" a="1"/>
  <c r="J114" i="167"/>
  <c r="J133" i="167" a="1"/>
  <c r="J133" i="167"/>
  <c r="J141" i="167" a="1"/>
  <c r="J141" i="167"/>
  <c r="J12" i="167" a="1"/>
  <c r="J12" i="167"/>
  <c r="J95" i="167" a="1"/>
  <c r="J95" i="167"/>
  <c r="J158" i="167" a="1"/>
  <c r="J158" i="167"/>
  <c r="J104" i="167" a="1"/>
  <c r="J104" i="167"/>
  <c r="J120" i="167" a="1"/>
  <c r="J120" i="167"/>
  <c r="J136" i="167" a="1"/>
  <c r="J136" i="167"/>
  <c r="J186" i="167" a="1"/>
  <c r="J186" i="167"/>
  <c r="J222" i="167" a="1"/>
  <c r="J222" i="167"/>
  <c r="J202" i="167" a="1"/>
  <c r="J202" i="167"/>
  <c r="J160" i="167" a="1"/>
  <c r="J160" i="167"/>
  <c r="J176" i="167" a="1"/>
  <c r="J176" i="167"/>
  <c r="J192" i="167" a="1"/>
  <c r="J192" i="167"/>
  <c r="J208" i="167" a="1"/>
  <c r="J208" i="167"/>
  <c r="J209" i="167" a="1"/>
  <c r="J209" i="167"/>
  <c r="J246" i="167" a="1"/>
  <c r="J246" i="167"/>
  <c r="J288" i="167" a="1"/>
  <c r="J288" i="167"/>
  <c r="J155" i="167" a="1"/>
  <c r="J155" i="167"/>
  <c r="J171" i="167" a="1"/>
  <c r="J171" i="167"/>
  <c r="J187" i="167" a="1"/>
  <c r="J187" i="167"/>
  <c r="J203" i="167" a="1"/>
  <c r="J203" i="167"/>
  <c r="J219" i="167" a="1"/>
  <c r="J219" i="167"/>
  <c r="J320" i="167" a="1"/>
  <c r="J320" i="167"/>
  <c r="J228" i="167" a="1"/>
  <c r="J228" i="167"/>
  <c r="J244" i="167" a="1"/>
  <c r="J244" i="167"/>
  <c r="J260" i="167" a="1"/>
  <c r="J260" i="167"/>
  <c r="J276" i="167" a="1"/>
  <c r="J276" i="167"/>
  <c r="J292" i="167" a="1"/>
  <c r="J292" i="167"/>
  <c r="J327" i="167" a="1"/>
  <c r="J327" i="167"/>
  <c r="J376" i="167" a="1"/>
  <c r="J376" i="167"/>
  <c r="J392" i="167" a="1"/>
  <c r="J392" i="167"/>
  <c r="J309" i="167" a="1"/>
  <c r="J309" i="167"/>
  <c r="J325" i="167" a="1"/>
  <c r="J325" i="167"/>
  <c r="J341" i="167" a="1"/>
  <c r="J341" i="167"/>
  <c r="J357" i="167" a="1"/>
  <c r="J357" i="167"/>
  <c r="J373" i="167" a="1"/>
  <c r="J373" i="167"/>
  <c r="J389" i="167" a="1"/>
  <c r="J389" i="167"/>
  <c r="J310" i="167" a="1"/>
  <c r="J310" i="167"/>
  <c r="J326" i="167" a="1"/>
  <c r="J326" i="167"/>
  <c r="J342" i="167" a="1"/>
  <c r="J342" i="167"/>
  <c r="J358" i="167" a="1"/>
  <c r="J358" i="167"/>
  <c r="J374" i="167" a="1"/>
  <c r="J374" i="167"/>
  <c r="J390" i="167" a="1"/>
  <c r="J390" i="167"/>
  <c r="J178" i="167" a="1"/>
  <c r="J178" i="167"/>
  <c r="J181" i="167" a="1"/>
  <c r="J181" i="167"/>
  <c r="J177" i="167" a="1"/>
  <c r="J177" i="167"/>
  <c r="J150" i="167" a="1"/>
  <c r="J150" i="167"/>
  <c r="J99" i="167" a="1"/>
  <c r="J99" i="167"/>
  <c r="J115" i="167" a="1"/>
  <c r="J115" i="167"/>
  <c r="J131" i="167" a="1"/>
  <c r="J131" i="167"/>
  <c r="J147" i="167" a="1"/>
  <c r="J147" i="167"/>
  <c r="J159" i="167" a="1"/>
  <c r="J159" i="167"/>
  <c r="J175" i="167" a="1"/>
  <c r="J175" i="167"/>
  <c r="J191" i="167" a="1"/>
  <c r="J191" i="167"/>
  <c r="J207" i="167" a="1"/>
  <c r="J207" i="167"/>
  <c r="J223" i="167" a="1"/>
  <c r="J223" i="167"/>
  <c r="J248" i="167" a="1"/>
  <c r="J248" i="167"/>
  <c r="J270" i="167" a="1"/>
  <c r="J270" i="167"/>
  <c r="J239" i="167" a="1"/>
  <c r="J239" i="167"/>
  <c r="J255" i="167" a="1"/>
  <c r="J255" i="167"/>
  <c r="J271" i="167" a="1"/>
  <c r="J271" i="167"/>
  <c r="J287" i="167" a="1"/>
  <c r="J287" i="167"/>
  <c r="J303" i="167" a="1"/>
  <c r="J303" i="167"/>
  <c r="J328" i="167" a="1"/>
  <c r="J328" i="167"/>
  <c r="J343" i="167" a="1"/>
  <c r="J343" i="167"/>
  <c r="J335" i="167" a="1"/>
  <c r="J335" i="167"/>
  <c r="J229" i="167" a="1"/>
  <c r="J229" i="167"/>
  <c r="J245" i="167" a="1"/>
  <c r="J245" i="167"/>
  <c r="J261" i="167" a="1"/>
  <c r="J261" i="167"/>
  <c r="J277" i="167" a="1"/>
  <c r="J277" i="167"/>
  <c r="J293" i="167" a="1"/>
  <c r="J293" i="167"/>
  <c r="J319" i="167" a="1"/>
  <c r="J319" i="167"/>
  <c r="J313" i="167" a="1"/>
  <c r="J313" i="167"/>
  <c r="J329" i="167" a="1"/>
  <c r="J329" i="167"/>
  <c r="J345" i="167" a="1"/>
  <c r="J345" i="167"/>
  <c r="J361" i="167" a="1"/>
  <c r="J361" i="167"/>
  <c r="J377" i="167" a="1"/>
  <c r="J377" i="167"/>
  <c r="J393" i="167" a="1"/>
  <c r="J393" i="167"/>
  <c r="J314" i="167" a="1"/>
  <c r="J314" i="167"/>
  <c r="J330" i="167" a="1"/>
  <c r="J330" i="167"/>
  <c r="J346" i="167" a="1"/>
  <c r="J346" i="167"/>
  <c r="J362" i="167" a="1"/>
  <c r="J362" i="167"/>
  <c r="J378" i="167" a="1"/>
  <c r="J378" i="167"/>
  <c r="J394" i="167" a="1"/>
  <c r="J394" i="167"/>
  <c r="J29" i="167" a="1"/>
  <c r="J29" i="167"/>
  <c r="J28" i="167" a="1"/>
  <c r="J28" i="167"/>
  <c r="J90" i="167" a="1"/>
  <c r="J90" i="167"/>
  <c r="J51" i="167" a="1"/>
  <c r="J51" i="167"/>
  <c r="J83" i="167" a="1"/>
  <c r="J83" i="167"/>
  <c r="J189" i="167" a="1"/>
  <c r="J189" i="167"/>
  <c r="J109" i="167" a="1"/>
  <c r="J109" i="167"/>
  <c r="J45" i="167" a="1"/>
  <c r="J45" i="167"/>
  <c r="J31" i="167" a="1"/>
  <c r="J31" i="167"/>
  <c r="J103" i="167" a="1"/>
  <c r="J103" i="167"/>
  <c r="J9" i="167" a="1"/>
  <c r="J9" i="167"/>
  <c r="J77" i="167" a="1"/>
  <c r="J77" i="167"/>
  <c r="J61" i="167" a="1"/>
  <c r="J61" i="167"/>
  <c r="J24" i="167" a="1"/>
  <c r="J24" i="167"/>
  <c r="J40" i="167" a="1"/>
  <c r="J40" i="167"/>
  <c r="J56" i="167" a="1"/>
  <c r="J56" i="167"/>
  <c r="J72" i="167" a="1"/>
  <c r="J72" i="167"/>
  <c r="J102" i="167" a="1"/>
  <c r="J102" i="167"/>
  <c r="J84" i="167" a="1"/>
  <c r="J84" i="167"/>
  <c r="J36" i="167" a="1"/>
  <c r="J36" i="167"/>
  <c r="J52" i="167" a="1"/>
  <c r="J52" i="167"/>
  <c r="J68" i="167" a="1"/>
  <c r="J68" i="167"/>
  <c r="J214" i="167" a="1"/>
  <c r="J214" i="167"/>
  <c r="J154" i="167" a="1"/>
  <c r="J154" i="167"/>
  <c r="J206" i="167" a="1"/>
  <c r="J206" i="167"/>
  <c r="J105" i="167" a="1"/>
  <c r="J105" i="167"/>
  <c r="J121" i="167" a="1"/>
  <c r="J121" i="167"/>
  <c r="J137" i="167" a="1"/>
  <c r="J137" i="167"/>
  <c r="J182" i="167" a="1"/>
  <c r="J182" i="167"/>
  <c r="J230" i="167" a="1"/>
  <c r="J230" i="167"/>
  <c r="J272" i="167" a="1"/>
  <c r="J272" i="167"/>
  <c r="J294" i="167" a="1"/>
  <c r="J294" i="167"/>
  <c r="J156" i="167" a="1"/>
  <c r="J156" i="167"/>
  <c r="J172" i="167" a="1"/>
  <c r="J172" i="167"/>
  <c r="J188" i="167" a="1"/>
  <c r="J188" i="167"/>
  <c r="J204" i="167" a="1"/>
  <c r="J204" i="167"/>
  <c r="J220" i="167" a="1"/>
  <c r="J220" i="167"/>
  <c r="J233" i="167" a="1"/>
  <c r="J233" i="167"/>
  <c r="J249" i="167" a="1"/>
  <c r="J249" i="167"/>
  <c r="J265" i="167" a="1"/>
  <c r="J265" i="167"/>
  <c r="J281" i="167" a="1"/>
  <c r="J281" i="167"/>
  <c r="J297" i="167" a="1"/>
  <c r="J297" i="167"/>
  <c r="J234" i="167" a="1"/>
  <c r="J234" i="167"/>
  <c r="J250" i="167" a="1"/>
  <c r="J250" i="167"/>
  <c r="J266" i="167" a="1"/>
  <c r="J266" i="167"/>
  <c r="J282" i="167" a="1"/>
  <c r="J282" i="167"/>
  <c r="J298" i="167" a="1"/>
  <c r="J298" i="167"/>
  <c r="J235" i="167" a="1"/>
  <c r="J235" i="167"/>
  <c r="J251" i="167" a="1"/>
  <c r="J251" i="167"/>
  <c r="J267" i="167" a="1"/>
  <c r="J267" i="167"/>
  <c r="J283" i="167" a="1"/>
  <c r="J283" i="167"/>
  <c r="J299" i="167" a="1"/>
  <c r="J299" i="167"/>
  <c r="J344" i="167" a="1"/>
  <c r="J344" i="167"/>
  <c r="J367" i="167" a="1"/>
  <c r="J367" i="167"/>
  <c r="J383" i="167" a="1"/>
  <c r="J383" i="167"/>
  <c r="J399" i="167" a="1"/>
  <c r="J399" i="167"/>
  <c r="J315" i="167" a="1"/>
  <c r="J315" i="167"/>
  <c r="J331" i="167" a="1"/>
  <c r="J331" i="167"/>
  <c r="J347" i="167" a="1"/>
  <c r="J347" i="167"/>
  <c r="J363" i="167" a="1"/>
  <c r="J363" i="167"/>
  <c r="J379" i="167" a="1"/>
  <c r="J379" i="167"/>
  <c r="J395" i="167" a="1"/>
  <c r="J395" i="167"/>
  <c r="J316" i="167" a="1"/>
  <c r="J316" i="167"/>
  <c r="J332" i="167" a="1"/>
  <c r="J332" i="167"/>
  <c r="J348" i="167" a="1"/>
  <c r="J348" i="167"/>
  <c r="J364" i="167" a="1"/>
  <c r="J364" i="167"/>
  <c r="J380" i="167" a="1"/>
  <c r="J380" i="167"/>
  <c r="J396" i="167" a="1"/>
  <c r="J396" i="167"/>
  <c r="J26" i="167" a="1"/>
  <c r="J26" i="167"/>
  <c r="J37" i="167" a="1"/>
  <c r="J37" i="167"/>
  <c r="J138" i="167" a="1"/>
  <c r="J138" i="167"/>
  <c r="J146" i="167" a="1"/>
  <c r="J146" i="167"/>
  <c r="J13" i="167" a="1"/>
  <c r="J13" i="167"/>
  <c r="J35" i="167" a="1"/>
  <c r="J35" i="167"/>
  <c r="J67" i="167" a="1"/>
  <c r="J67" i="167"/>
  <c r="J55" i="167" a="1"/>
  <c r="J55" i="167"/>
  <c r="J11" i="167" a="1"/>
  <c r="J11" i="167"/>
  <c r="J15" i="167" a="1"/>
  <c r="J15" i="167"/>
  <c r="J63" i="167" a="1"/>
  <c r="J63" i="167"/>
  <c r="J111" i="167" a="1"/>
  <c r="J111" i="167"/>
  <c r="J174" i="167" a="1"/>
  <c r="J174" i="167"/>
  <c r="J33" i="167" a="1"/>
  <c r="J33" i="167"/>
  <c r="J49" i="167" a="1"/>
  <c r="J49" i="167"/>
  <c r="J65" i="167" a="1"/>
  <c r="J65" i="167"/>
  <c r="J81" i="167" a="1"/>
  <c r="J81" i="167"/>
  <c r="J34" i="167" a="1"/>
  <c r="J34" i="167"/>
  <c r="J50" i="167" a="1"/>
  <c r="J50" i="167"/>
  <c r="J66" i="167" a="1"/>
  <c r="J66" i="167"/>
  <c r="J82" i="167" a="1"/>
  <c r="J82" i="167"/>
  <c r="J197" i="167" a="1"/>
  <c r="J197" i="167"/>
  <c r="J93" i="167" a="1"/>
  <c r="J93" i="167"/>
  <c r="J173" i="167" a="1"/>
  <c r="J173" i="167"/>
  <c r="J22" i="167" a="1"/>
  <c r="J22" i="167"/>
  <c r="J38" i="167" a="1"/>
  <c r="J38" i="167"/>
  <c r="J54" i="167" a="1"/>
  <c r="J54" i="167"/>
  <c r="J70" i="167" a="1"/>
  <c r="J70" i="167"/>
  <c r="J110" i="167" a="1"/>
  <c r="J110" i="167"/>
  <c r="J126" i="167" a="1"/>
  <c r="J126" i="167"/>
  <c r="J142" i="167" a="1"/>
  <c r="J142" i="167"/>
  <c r="J218" i="167" a="1"/>
  <c r="J218" i="167"/>
  <c r="J149" i="167" a="1"/>
  <c r="J149" i="167"/>
  <c r="J100" i="167" a="1"/>
  <c r="J100" i="167"/>
  <c r="J116" i="167" a="1"/>
  <c r="J116" i="167"/>
  <c r="J132" i="167" a="1"/>
  <c r="J132" i="167"/>
  <c r="J232" i="167" a="1"/>
  <c r="J232" i="167"/>
  <c r="J254" i="167" a="1"/>
  <c r="J254" i="167"/>
  <c r="J296" i="167" a="1"/>
  <c r="J296" i="167"/>
  <c r="J221" i="167" a="1"/>
  <c r="J221" i="16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<sst xmlns="http://schemas.openxmlformats.org/spreadsheetml/2006/main" count="448" uniqueCount="320">
  <si>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</si>
  <si>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</si>
  <si>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</si>
  <si>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</si>
  <si>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</si>
  <si>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</si>
  <si>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</si>
  <si>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</si>
  <si>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</si>
  <si>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</si>
  <si>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</si>
  <si>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</si>
  <si>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</si>
  <si>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</si>
  <si>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</si>
  <si>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</si>
  <si>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</si>
  <si>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</si>
  <si>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</si>
  <si>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</si>
  <si>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</si>
  <si>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</si>
  <si>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</si>
  <si>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</si>
  <si>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</si>
  <si>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</si>
  <si>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</si>
  <si>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</si>
  <si>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</si>
  <si>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</si>
  <si>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</si>
  <si>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</si>
  <si>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</si>
  <si>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</si>
  <si>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</si>
  <si>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</si>
  <si>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</si>
  <si>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</si>
  <si>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</si>
  <si>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</si>
  <si>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</si>
  <si>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</si>
  <si>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</si>
  <si>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</si>
  <si>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</si>
  <si>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</si>
  <si>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</si>
  <si>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</si>
  <si>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</si>
  <si>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</si>
  <si>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</si>
  <si>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</si>
  <si>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</si>
  <si>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</si>
  <si>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</si>
  <si>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</si>
  <si>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</si>
  <si>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</si>
  <si>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</si>
  <si>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</si>
  <si>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</si>
  <si>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</si>
  <si>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</si>
  <si>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</si>
  <si>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</si>
  <si>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</si>
  <si>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</si>
  <si>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</si>
  <si>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</si>
  <si>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</si>
  <si>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</si>
  <si>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</si>
  <si>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</si>
  <si>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</si>
  <si>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</si>
  <si>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</si>
  <si>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</si>
  <si>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</si>
  <si>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</si>
  <si>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</si>
  <si>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</si>
  <si>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</si>
  <si>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</si>
  <si>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</si>
  <si>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</si>
  <si>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</si>
  <si>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</si>
  <si>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</si>
  <si>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</si>
  <si>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</si>
  <si>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</si>
  <si>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</si>
  <si>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</si>
  <si>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</si>
  <si>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</si>
  <si>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</si>
  <si>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</si>
  <si>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</si>
  <si>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</si>
  <si>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</si>
  <si>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</si>
  <si>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</si>
  <si>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</si>
  <si>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</si>
  <si>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</si>
  <si>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</si>
  <si>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</si>
  <si>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</si>
  <si>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</si>
  <si>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</si>
  <si>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</si>
  <si>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</si>
  <si>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</si>
  <si>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</si>
  <si>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</si>
  <si>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</si>
  <si>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</si>
  <si>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</si>
  <si>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</si>
  <si>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</si>
  <si>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</si>
  <si>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</si>
  <si>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</si>
  <si>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</si>
  <si>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</si>
  <si>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</si>
  <si>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</si>
  <si>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</si>
  <si>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</si>
  <si>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</si>
  <si>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</si>
  <si>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</si>
  <si>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</si>
  <si>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</si>
  <si>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</si>
  <si>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</si>
  <si>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</si>
  <si>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</si>
  <si>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</si>
  <si>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</si>
  <si>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</si>
  <si>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</si>
  <si>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</si>
  <si>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</si>
  <si>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</si>
  <si>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</si>
  <si>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</si>
  <si>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</si>
  <si>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</si>
  <si>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</si>
  <si>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</si>
  <si>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</si>
  <si>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</si>
  <si>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</si>
  <si>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</si>
  <si>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</si>
  <si>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</si>
  <si>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</si>
  <si>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</si>
  <si>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</si>
  <si>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</si>
  <si>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</si>
  <si>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</si>
  <si>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</si>
  <si>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</si>
  <si>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</si>
  <si>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</si>
  <si>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</si>
  <si>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</si>
  <si>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</si>
  <si>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</si>
  <si>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</si>
  <si>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</si>
  <si>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</si>
  <si>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</si>
  <si>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</si>
  <si>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</si>
  <si>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</si>
  <si>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</si>
  <si>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</si>
  <si>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</si>
  <si>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</si>
  <si>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</si>
  <si>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</si>
  <si>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</si>
  <si>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</si>
  <si>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</si>
  <si>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</si>
  <si>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</si>
  <si>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</si>
  <si>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</si>
  <si>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</si>
  <si>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</si>
  <si>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</si>
  <si>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</si>
  <si>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</si>
  <si>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</si>
  <si>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</si>
  <si>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</si>
  <si>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</si>
  <si>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</si>
  <si>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</si>
  <si>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</si>
  <si>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</si>
  <si>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</si>
  <si>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</si>
  <si>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</si>
  <si>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</si>
  <si>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</si>
  <si>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PTK4</t>
  </si>
  <si>
    <t>リスト更新済み</t>
  </si>
  <si>
    <t>新井</t>
  </si>
  <si>
    <t>DTK6</t>
  </si>
  <si>
    <t>×</t>
  </si>
  <si>
    <t>OTK7</t>
  </si>
  <si>
    <t>PTK9</t>
  </si>
  <si>
    <t>対象無し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</si>
  <si>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</si>
  <si>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OTKY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</si>
  <si>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</si>
  <si>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</si>
  <si>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</si>
  <si>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</si>
  <si>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</si>
  <si>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</si>
  <si>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</si>
  <si>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</si>
  <si>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</si>
  <si>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</si>
  <si>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PTKE</t>
  </si>
  <si>
    <t>巌 長田</t>
  </si>
  <si>
    <t>AMDYDRIMR3N0P</t>
  </si>
  <si>
    <t>実行中</t>
  </si>
  <si>
    <t>CYCLE_2</t>
  </si>
  <si>
    <t>~5/31まで DTK6+XPT Rescuerの名前を残す</t>
  </si>
  <si>
    <t>白鳥 仁</t>
  </si>
  <si>
    <t>AWCMG8EVAKQ44</t>
  </si>
  <si>
    <t>PTK2</t>
  </si>
  <si>
    <t>義仁 身浦</t>
  </si>
  <si>
    <t>A1N2L8ZNDQBC76</t>
  </si>
  <si>
    <t>PTK3</t>
  </si>
  <si>
    <t>清一 渡邉</t>
  </si>
  <si>
    <t>A11OESXGO6UO4</t>
  </si>
  <si>
    <t>未到着</t>
  </si>
  <si>
    <t>CYCLE_3</t>
  </si>
  <si>
    <t>PTK1</t>
  </si>
  <si>
    <t>一沙 真鍋</t>
  </si>
  <si>
    <t>A3AXH79583TRBN</t>
  </si>
  <si>
    <t>PTKX</t>
  </si>
  <si>
    <t>謙一 星野</t>
  </si>
  <si>
    <t>A1DF3XYZK5PIZS</t>
  </si>
  <si>
    <t>大久保 元貴</t>
  </si>
  <si>
    <t>A1HDNIPYMTBEVI</t>
  </si>
  <si>
    <t>淳史 相原</t>
  </si>
  <si>
    <t>A3OQL9Z2WVJL00</t>
  </si>
  <si>
    <t>望 武内</t>
  </si>
  <si>
    <t>AF4B8IS4R2S20</t>
  </si>
  <si>
    <t>Panorama</t>
    <phoneticPr fontId="2"/>
  </si>
  <si>
    <t>当日Data</t>
    <rPh sb="0" eb="2">
      <t>トウジツ</t>
    </rPh>
    <phoneticPr fontId="2"/>
  </si>
  <si>
    <t>雅之 原田</t>
  </si>
  <si>
    <t>A1VKRJYTDQEEGO</t>
  </si>
  <si>
    <t>蓮 熊谷</t>
  </si>
  <si>
    <t>A3B6B30DFNV5KS</t>
  </si>
  <si>
    <t>和之 奥山</t>
  </si>
  <si>
    <t>A35PF0VR4T7NYO</t>
  </si>
  <si>
    <t>隆平 宮田</t>
  </si>
  <si>
    <t>A3HY2LAFYS15HF</t>
  </si>
  <si>
    <t>RPタイムライン</t>
  </si>
  <si>
    <t>NORIHISA ARIMOTO</t>
  </si>
  <si>
    <t>A3UJBXBRN92QPR</t>
  </si>
  <si>
    <t>DS</t>
  </si>
  <si>
    <t>STCO</t>
  </si>
  <si>
    <t>加世子 阿部</t>
  </si>
  <si>
    <t>A1K8H7431NXOWU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</si>
  <si>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</si>
  <si>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達也 森下</t>
  </si>
  <si>
    <t>A2XZVBXI5FANON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</si>
  <si>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</si>
  <si>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</si>
  <si>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Rauf Abdulai Abdul</t>
  </si>
  <si>
    <t>A1P2JPVJAAWTOO</t>
  </si>
  <si>
    <t>❹A列にDSでアサイン、STCOでアサイン可能なDPを振り分ける</t>
  </si>
  <si>
    <t>勇治 内山</t>
  </si>
  <si>
    <t>A2GXFO8RGFSJCU</t>
  </si>
  <si>
    <t>・DSでアサインや、RP不可DP追加時 ➡【DS】に更新</t>
  </si>
  <si>
    <t>悠 荒井</t>
  </si>
  <si>
    <t>A3P83ZCOD3M1ZD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</si>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</sst>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b/>
      <sz val="11"/>
      <color theme="1"/>
      <name val="Segoe UI Symbol"/>
      <family val="3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0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1" fillId="0" borderId="13" xfId="0" applyFont="1" applyBorder="1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7" fillId="0" borderId="0" xfId="2" applyNumberFormat="1" applyFont="1" applyFill="1" applyAlignment="1" applyProtection="1">
      <alignment horizontal="center" vertical="center"/>
      <protection locked="0"/>
    </xf>
    <xf numFmtId="20" fontId="35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8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6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5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4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7" xfId="0" applyFont="1" applyFill="1" applyBorder="1" applyAlignment="1" applyProtection="1">
      <alignment horizontal="center" vertical="center"/>
      <protection locked="0"/>
    </xf>
    <xf numFmtId="0" fontId="37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7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5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39" fillId="0" borderId="1" xfId="0" applyFont="1" applyBorder="1" applyProtection="1">
      <alignment vertical="center"/>
      <protection locked="0"/>
    </xf>
    <xf numFmtId="0" fontId="39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5" fillId="0" borderId="18" xfId="0" applyFont="1" applyBorder="1" applyProtection="1">
      <alignment vertical="center"/>
      <protection locked="0"/>
    </xf>
    <xf numFmtId="0" fontId="26" fillId="0" borderId="24" xfId="0" applyFont="1" applyBorder="1" applyProtection="1">
      <alignment vertical="center"/>
      <protection locked="0"/>
    </xf>
    <xf numFmtId="0" fontId="29" fillId="0" borderId="24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28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42" xfId="0" applyFont="1" applyBorder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3" xfId="0" applyFont="1" applyBorder="1" applyAlignment="1" applyProtection="1">
      <alignment horizontal="center" vertical="center" wrapText="1"/>
      <protection locked="0"/>
    </xf>
    <xf numFmtId="0" fontId="42" fillId="4" borderId="3" xfId="0" applyFont="1" applyFill="1" applyBorder="1" applyAlignment="1" applyProtection="1">
      <alignment horizontal="center" vertical="center" wrapText="1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2" fillId="21" borderId="44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4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5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3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4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30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7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DB957A39-8C08-4270-AC32-875F08D1B196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7033-CEF1-4570-BC36-F34FA01F9A9E}">
  <sheetPr>
    <tabColor rgb="FFC6E0B4"/>
  </sheetPr>
  <dimension ref="A1:U23"/>
  <sheetViews>
    <sheetView zoomScale="85" zoomScaleNormal="85" workbookViewId="0" xr3:uid="{F3CD5E72-AA64-59A1-B654-D38CC2A920A6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4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5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6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7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7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7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6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6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6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6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6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7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7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6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8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7596D-93F1-4C59-A3D6-663108F313CA}">
  <sheetPr>
    <tabColor rgb="FF4472C4"/>
  </sheetPr>
  <dimension ref="A1:AY800"/>
  <sheetViews>
    <sheetView zoomScale="85" zoomScaleNormal="85" workbookViewId="0" xr3:uid="{D228D4D5-E7FE-50F8-B30A-F0FA0A8B519F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5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7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6" customWidth="1"/>
    <col min="15" max="15" width="16.625" style="157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6" customWidth="1"/>
    <col min="20" max="21" width="9.75" style="155" customWidth="1"/>
    <col min="22" max="22" width="25.625" style="34" customWidth="1"/>
    <col min="23" max="23" width="19.125" style="158" customWidth="1"/>
    <col min="24" max="24" width="16.125" style="34" customWidth="1"/>
    <col min="25" max="26" width="9.75" style="155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9" customWidth="1"/>
    <col min="33" max="33" width="7.125" style="34" customWidth="1"/>
    <col min="34" max="34" width="5.5" style="34" customWidth="1"/>
    <col min="35" max="35" width="19.5" style="34" customWidth="1"/>
    <col min="36" max="36" width="13.25" style="156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3" t="s">
        <v>129</v>
      </c>
      <c r="B1" s="134" t="s">
        <v>130</v>
      </c>
      <c r="C1" s="133" t="s">
        <v>131</v>
      </c>
      <c r="D1" s="133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~5/31まで DTK6+XPT Rescuerの名前を残す</v>
      </c>
      <c r="K1" s="189"/>
      <c r="L1" s="189"/>
      <c r="M1" s="189"/>
      <c r="N1" s="190"/>
      <c r="O1" s="133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NG</v>
      </c>
      <c r="Q1" s="194"/>
      <c r="R1" s="194"/>
      <c r="S1" s="194"/>
      <c r="T1" s="135" t="s">
        <v>135</v>
      </c>
      <c r="U1" s="136" t="s">
        <v>136</v>
      </c>
      <c r="V1" s="137" t="s">
        <v>137</v>
      </c>
      <c r="W1" s="197" t="s">
        <v>138</v>
      </c>
      <c r="X1" s="197"/>
      <c r="Y1" s="198"/>
      <c r="Z1" s="136" t="s">
        <v>139</v>
      </c>
      <c r="AA1" s="134" t="s">
        <v>140</v>
      </c>
      <c r="AB1" s="134" t="s">
        <v>141</v>
      </c>
      <c r="AC1" s="138"/>
      <c r="AD1" s="139"/>
      <c r="AE1" s="139"/>
      <c r="AF1" s="139"/>
      <c r="AG1" s="139"/>
      <c r="AH1" s="139"/>
      <c r="AI1" s="140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41">
        <f>COUNTIF(T5:T800,"&lt;&gt;")-COUNTIFS(T5:T800,"&lt;&gt;",V5:V800,"&lt;&gt;Chat中",V5:V800,"&lt;&gt;")-COUNTIFS(T5:T800,"&lt;&gt;",O5:O800,"DS完了",V5:V800,"")</f>
        <v>0</v>
      </c>
      <c r="V2" s="141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41">
        <f>COUNTIF(Y5:Y800,"&lt;&gt;")-COUNTIFS(Y5:Y800,"&lt;&gt;",AA5:AA800,"&lt;&gt;Chat中",AA5:AA800,"&lt;&gt;")-COUNTIFS(Y5:Y800,"&lt;&gt;",O5:O800,"DS完了",AA5:AA800,"")</f>
        <v>0</v>
      </c>
      <c r="AA2" s="141">
        <f>COUNTIF(AA5:AA800,"電話不通 x1")-COUNTIFS(O5:O800,"DS完了",AH5:AH800,"",AA5:AA800,"電話不通 x1")-COUNTIFS(AH5:AH800,"&lt;&gt;",AA5:AA800,"電話不通 x1")</f>
        <v>0</v>
      </c>
      <c r="AB2" s="141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8"/>
      <c r="AD2" s="139"/>
      <c r="AE2" s="139"/>
      <c r="AF2" s="139"/>
      <c r="AG2" s="139"/>
      <c r="AH2" s="139"/>
      <c r="AI2" s="142">
        <f>COUNTIFS(O5:O800,"DS完了",AH5:AH800,"")+COUNTIFS(AF5:AF800,"&lt;&gt;",AH5:AH800,"")-COUNTIFS(O5:O800,"DS完了",D5:D800,"トラブル報告")</f>
        <v>0</v>
      </c>
      <c r="AJ2" s="199"/>
      <c r="AK2" s="169" t="s">
        <v>145</v>
      </c>
      <c r="AS2" s="143" t="s">
        <v>146</v>
      </c>
      <c r="AT2" s="144" t="s">
        <v>147</v>
      </c>
      <c r="AU2" s="145" t="s">
        <v>148</v>
      </c>
      <c r="AV2" s="146" t="s">
        <v>149</v>
      </c>
      <c r="AW2" s="147" t="s">
        <v>150</v>
      </c>
      <c r="AY2" s="77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8"/>
      <c r="P3" s="149"/>
      <c r="Q3" s="149"/>
      <c r="R3" s="149"/>
      <c r="S3" s="150"/>
      <c r="T3" s="183" t="s">
        <v>152</v>
      </c>
      <c r="U3" s="183"/>
      <c r="V3" s="183"/>
      <c r="W3" s="151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2"/>
      <c r="AH3" s="152"/>
      <c r="AI3" s="153"/>
      <c r="AJ3" s="154"/>
      <c r="AK3" s="170" t="s">
        <v>154</v>
      </c>
      <c r="AL3" s="171" t="str">
        <f ca="1">"L"&amp;MATCH(TODAY(),A:A,0)&amp;":L1000"</f>
        <v>L5:L1000</v>
      </c>
      <c r="AM3" s="171" t="str">
        <f ca="1">"P"&amp;MATCH(TODAY(),A:A,0)&amp;":P1000"</f>
        <v>P5:P1000</v>
      </c>
      <c r="AN3" s="171" t="str">
        <f ca="1">"X"&amp;MATCH(TODAY(),A:A,0)&amp;":X1000"</f>
        <v>X5:X1000</v>
      </c>
      <c r="AO3" s="171" t="str">
        <f ca="1">"I"&amp;MATCH(TODAY(),A:A,0)&amp;":I1000"</f>
        <v>I5:I1000</v>
      </c>
      <c r="AP3" s="171" t="str">
        <f ca="1">"J"&amp;MATCH(TODAY(),A:A,0)&amp;":J1000"</f>
        <v>J5:J1000</v>
      </c>
      <c r="AQ3" s="171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9" t="s">
        <v>185</v>
      </c>
      <c r="AL4" s="20"/>
      <c r="AM4" s="172"/>
      <c r="AN4" s="172"/>
      <c r="AO4" s="20"/>
      <c r="AP4" s="172"/>
    </row>
    <row r="5" spans="1:51" ht="20.100000000000001" customHeight="1" thickTop="1">
      <c r="A5" s="11">
        <v>45802</v>
      </c>
      <c r="C5" s="40"/>
      <c r="L5" s="40"/>
      <c r="Z5" s="155" t="str">
        <f>IF(Y5="","",$Y5+TIME(0,5,0))</f>
        <v/>
      </c>
      <c r="AE5" s="12">
        <f t="shared" ref="AE5:AE68" si="0">TIME(0,$K5+5,0)</f>
        <v>3.472222222222222E-3</v>
      </c>
      <c r="AG5" s="155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5" t="str">
        <f t="shared" ref="Z6:Z69" si="2">IF(Y6="","",$Y6+TIME(0,5,0))</f>
        <v/>
      </c>
      <c r="AE6" s="12">
        <f t="shared" si="0"/>
        <v>3.472222222222222E-3</v>
      </c>
      <c r="AG6" s="155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5" t="str">
        <f t="shared" si="2"/>
        <v/>
      </c>
      <c r="AE7" s="12">
        <f t="shared" si="0"/>
        <v>3.472222222222222E-3</v>
      </c>
      <c r="AG7" s="155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5" t="str">
        <f t="shared" si="2"/>
        <v/>
      </c>
      <c r="AE8" s="12">
        <f t="shared" si="0"/>
        <v>3.472222222222222E-3</v>
      </c>
      <c r="AG8" s="155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5" t="str">
        <f t="shared" si="2"/>
        <v/>
      </c>
      <c r="AE9" s="12">
        <f t="shared" si="0"/>
        <v>3.472222222222222E-3</v>
      </c>
      <c r="AG9" s="155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5" t="str">
        <f t="shared" si="2"/>
        <v/>
      </c>
      <c r="AE10" s="12">
        <f t="shared" si="0"/>
        <v>3.472222222222222E-3</v>
      </c>
      <c r="AG10" s="155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5" t="str">
        <f t="shared" si="2"/>
        <v/>
      </c>
      <c r="AE11" s="12">
        <f t="shared" si="0"/>
        <v>3.472222222222222E-3</v>
      </c>
      <c r="AG11" s="155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5" t="str">
        <f t="shared" si="2"/>
        <v/>
      </c>
      <c r="AE12" s="12">
        <f t="shared" si="0"/>
        <v>3.472222222222222E-3</v>
      </c>
      <c r="AG12" s="155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5" t="str">
        <f t="shared" si="2"/>
        <v/>
      </c>
      <c r="AE13" s="12">
        <f t="shared" si="0"/>
        <v>3.472222222222222E-3</v>
      </c>
      <c r="AG13" s="155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5" t="str">
        <f t="shared" si="2"/>
        <v/>
      </c>
      <c r="AE14" s="12">
        <f t="shared" si="0"/>
        <v>3.472222222222222E-3</v>
      </c>
      <c r="AG14" s="155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5" t="str">
        <f t="shared" si="2"/>
        <v/>
      </c>
      <c r="AE15" s="12">
        <f t="shared" si="0"/>
        <v>3.472222222222222E-3</v>
      </c>
      <c r="AG15" s="155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5" t="str">
        <f t="shared" si="2"/>
        <v/>
      </c>
      <c r="AE16" s="12">
        <f t="shared" si="0"/>
        <v>3.472222222222222E-3</v>
      </c>
      <c r="AG16" s="155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5" t="str">
        <f t="shared" si="2"/>
        <v/>
      </c>
      <c r="AE17" s="12">
        <f t="shared" si="0"/>
        <v>3.472222222222222E-3</v>
      </c>
      <c r="AG17" s="155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5" t="str">
        <f t="shared" si="2"/>
        <v/>
      </c>
      <c r="AE18" s="12">
        <f t="shared" si="0"/>
        <v>3.472222222222222E-3</v>
      </c>
      <c r="AG18" s="155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5" t="str">
        <f t="shared" si="2"/>
        <v/>
      </c>
      <c r="AE19" s="12">
        <f t="shared" si="0"/>
        <v>3.472222222222222E-3</v>
      </c>
      <c r="AG19" s="155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5" t="str">
        <f t="shared" si="2"/>
        <v/>
      </c>
      <c r="AE20" s="12">
        <f t="shared" si="0"/>
        <v>3.472222222222222E-3</v>
      </c>
      <c r="AG20" s="155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5" t="str">
        <f t="shared" si="2"/>
        <v/>
      </c>
      <c r="AE21" s="12">
        <f t="shared" si="0"/>
        <v>3.472222222222222E-3</v>
      </c>
      <c r="AG21" s="155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5" t="str">
        <f t="shared" si="2"/>
        <v/>
      </c>
      <c r="AE22" s="12">
        <f t="shared" si="0"/>
        <v>3.472222222222222E-3</v>
      </c>
      <c r="AG22" s="155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5" t="str">
        <f t="shared" si="2"/>
        <v/>
      </c>
      <c r="AE23" s="12">
        <f t="shared" si="0"/>
        <v>3.472222222222222E-3</v>
      </c>
      <c r="AG23" s="155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5" t="str">
        <f t="shared" si="2"/>
        <v/>
      </c>
      <c r="AE24" s="12">
        <f t="shared" si="0"/>
        <v>3.472222222222222E-3</v>
      </c>
      <c r="AG24" s="155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5" t="str">
        <f t="shared" si="2"/>
        <v/>
      </c>
      <c r="AE25" s="12">
        <f t="shared" si="0"/>
        <v>3.472222222222222E-3</v>
      </c>
      <c r="AG25" s="155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5" t="str">
        <f t="shared" si="2"/>
        <v/>
      </c>
      <c r="AE26" s="12">
        <f t="shared" si="0"/>
        <v>3.472222222222222E-3</v>
      </c>
      <c r="AG26" s="155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5" t="str">
        <f t="shared" si="2"/>
        <v/>
      </c>
      <c r="AE27" s="12">
        <f t="shared" si="0"/>
        <v>3.472222222222222E-3</v>
      </c>
      <c r="AG27" s="155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5" t="str">
        <f t="shared" si="2"/>
        <v/>
      </c>
      <c r="AE28" s="12">
        <f t="shared" si="0"/>
        <v>3.472222222222222E-3</v>
      </c>
      <c r="AG28" s="155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5" t="str">
        <f t="shared" si="2"/>
        <v/>
      </c>
      <c r="AE29" s="12">
        <f t="shared" si="0"/>
        <v>3.472222222222222E-3</v>
      </c>
      <c r="AG29" s="155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5" t="str">
        <f t="shared" si="2"/>
        <v/>
      </c>
      <c r="AE30" s="12">
        <f t="shared" si="0"/>
        <v>3.472222222222222E-3</v>
      </c>
      <c r="AG30" s="155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5" t="str">
        <f t="shared" si="2"/>
        <v/>
      </c>
      <c r="AE31" s="12">
        <f t="shared" si="0"/>
        <v>3.472222222222222E-3</v>
      </c>
      <c r="AG31" s="155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5" t="str">
        <f t="shared" si="2"/>
        <v/>
      </c>
      <c r="AE32" s="12">
        <f t="shared" si="0"/>
        <v>3.472222222222222E-3</v>
      </c>
      <c r="AG32" s="155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5" t="str">
        <f t="shared" si="2"/>
        <v/>
      </c>
      <c r="AE33" s="12">
        <f t="shared" si="0"/>
        <v>3.472222222222222E-3</v>
      </c>
      <c r="AG33" s="155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5" t="str">
        <f t="shared" si="2"/>
        <v/>
      </c>
      <c r="AE34" s="12">
        <f t="shared" si="0"/>
        <v>3.472222222222222E-3</v>
      </c>
      <c r="AG34" s="155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5" t="str">
        <f t="shared" si="2"/>
        <v/>
      </c>
      <c r="AE35" s="12">
        <f t="shared" si="0"/>
        <v>3.472222222222222E-3</v>
      </c>
      <c r="AG35" s="155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5" t="str">
        <f t="shared" si="2"/>
        <v/>
      </c>
      <c r="AE36" s="12">
        <f t="shared" si="0"/>
        <v>3.472222222222222E-3</v>
      </c>
      <c r="AG36" s="155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5" t="str">
        <f t="shared" si="2"/>
        <v/>
      </c>
      <c r="AE37" s="12">
        <f t="shared" si="0"/>
        <v>3.472222222222222E-3</v>
      </c>
      <c r="AG37" s="155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5" t="str">
        <f t="shared" si="2"/>
        <v/>
      </c>
      <c r="AE38" s="12">
        <f t="shared" si="0"/>
        <v>3.472222222222222E-3</v>
      </c>
      <c r="AG38" s="155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5" t="str">
        <f t="shared" si="2"/>
        <v/>
      </c>
      <c r="AE39" s="12">
        <f t="shared" si="0"/>
        <v>3.472222222222222E-3</v>
      </c>
      <c r="AG39" s="155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5" t="str">
        <f t="shared" si="2"/>
        <v/>
      </c>
      <c r="AE40" s="12">
        <f t="shared" si="0"/>
        <v>3.472222222222222E-3</v>
      </c>
      <c r="AG40" s="155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5" t="str">
        <f t="shared" si="2"/>
        <v/>
      </c>
      <c r="AE41" s="12">
        <f t="shared" si="0"/>
        <v>3.472222222222222E-3</v>
      </c>
      <c r="AG41" s="155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5" t="str">
        <f t="shared" si="2"/>
        <v/>
      </c>
      <c r="AE42" s="12">
        <f t="shared" si="0"/>
        <v>3.472222222222222E-3</v>
      </c>
      <c r="AG42" s="155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5" t="str">
        <f t="shared" si="2"/>
        <v/>
      </c>
      <c r="AE43" s="12">
        <f t="shared" si="0"/>
        <v>3.472222222222222E-3</v>
      </c>
      <c r="AG43" s="155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5" t="str">
        <f t="shared" si="2"/>
        <v/>
      </c>
      <c r="AE44" s="12">
        <f t="shared" si="0"/>
        <v>3.472222222222222E-3</v>
      </c>
      <c r="AG44" s="155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5" t="str">
        <f t="shared" si="2"/>
        <v/>
      </c>
      <c r="AE45" s="12">
        <f t="shared" si="0"/>
        <v>3.472222222222222E-3</v>
      </c>
      <c r="AG45" s="155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5" t="str">
        <f t="shared" si="2"/>
        <v/>
      </c>
      <c r="AE46" s="12">
        <f t="shared" si="0"/>
        <v>3.472222222222222E-3</v>
      </c>
      <c r="AG46" s="155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5" t="str">
        <f t="shared" si="2"/>
        <v/>
      </c>
      <c r="AE47" s="12">
        <f t="shared" si="0"/>
        <v>3.472222222222222E-3</v>
      </c>
      <c r="AG47" s="155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5" t="str">
        <f t="shared" si="2"/>
        <v/>
      </c>
      <c r="AE48" s="12">
        <f t="shared" si="0"/>
        <v>3.472222222222222E-3</v>
      </c>
      <c r="AG48" s="155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5" t="str">
        <f t="shared" si="2"/>
        <v/>
      </c>
      <c r="AE49" s="12">
        <f t="shared" si="0"/>
        <v>3.472222222222222E-3</v>
      </c>
      <c r="AG49" s="155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5" t="str">
        <f t="shared" si="2"/>
        <v/>
      </c>
      <c r="AE50" s="12">
        <f t="shared" si="0"/>
        <v>3.472222222222222E-3</v>
      </c>
      <c r="AG50" s="155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5" t="str">
        <f t="shared" si="2"/>
        <v/>
      </c>
      <c r="AE51" s="12">
        <f t="shared" si="0"/>
        <v>3.472222222222222E-3</v>
      </c>
      <c r="AG51" s="155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5" t="str">
        <f t="shared" si="2"/>
        <v/>
      </c>
      <c r="AE52" s="12">
        <f t="shared" si="0"/>
        <v>3.472222222222222E-3</v>
      </c>
      <c r="AG52" s="155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5" t="str">
        <f t="shared" si="2"/>
        <v/>
      </c>
      <c r="AE53" s="12">
        <f t="shared" si="0"/>
        <v>3.472222222222222E-3</v>
      </c>
      <c r="AG53" s="155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5" t="str">
        <f t="shared" si="2"/>
        <v/>
      </c>
      <c r="AE54" s="12">
        <f t="shared" si="0"/>
        <v>3.472222222222222E-3</v>
      </c>
      <c r="AG54" s="155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5" t="str">
        <f t="shared" si="2"/>
        <v/>
      </c>
      <c r="AE55" s="12">
        <f t="shared" si="0"/>
        <v>3.472222222222222E-3</v>
      </c>
      <c r="AG55" s="155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5" t="str">
        <f t="shared" si="2"/>
        <v/>
      </c>
      <c r="AE56" s="12">
        <f t="shared" si="0"/>
        <v>3.472222222222222E-3</v>
      </c>
      <c r="AG56" s="155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5" t="str">
        <f t="shared" si="2"/>
        <v/>
      </c>
      <c r="AE57" s="12">
        <f t="shared" si="0"/>
        <v>3.472222222222222E-3</v>
      </c>
      <c r="AG57" s="155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5" t="str">
        <f t="shared" si="2"/>
        <v/>
      </c>
      <c r="AE58" s="12">
        <f t="shared" si="0"/>
        <v>3.472222222222222E-3</v>
      </c>
      <c r="AG58" s="155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5" t="str">
        <f t="shared" si="2"/>
        <v/>
      </c>
      <c r="AE59" s="12">
        <f t="shared" si="0"/>
        <v>3.472222222222222E-3</v>
      </c>
      <c r="AG59" s="155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5" t="str">
        <f t="shared" si="2"/>
        <v/>
      </c>
      <c r="AE60" s="12">
        <f t="shared" si="0"/>
        <v>3.472222222222222E-3</v>
      </c>
      <c r="AG60" s="155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5" t="str">
        <f t="shared" si="2"/>
        <v/>
      </c>
      <c r="AE61" s="12">
        <f t="shared" si="0"/>
        <v>3.472222222222222E-3</v>
      </c>
      <c r="AG61" s="155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5" t="str">
        <f t="shared" si="2"/>
        <v/>
      </c>
      <c r="AE62" s="12">
        <f t="shared" si="0"/>
        <v>3.472222222222222E-3</v>
      </c>
      <c r="AG62" s="155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5" t="str">
        <f t="shared" si="2"/>
        <v/>
      </c>
      <c r="AE63" s="12">
        <f t="shared" si="0"/>
        <v>3.472222222222222E-3</v>
      </c>
      <c r="AG63" s="155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5" t="str">
        <f t="shared" si="2"/>
        <v/>
      </c>
      <c r="AE64" s="12">
        <f t="shared" si="0"/>
        <v>3.472222222222222E-3</v>
      </c>
      <c r="AG64" s="155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5" t="str">
        <f t="shared" si="2"/>
        <v/>
      </c>
      <c r="AE65" s="12">
        <f t="shared" si="0"/>
        <v>3.472222222222222E-3</v>
      </c>
      <c r="AG65" s="155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5" t="str">
        <f t="shared" si="2"/>
        <v/>
      </c>
      <c r="AE66" s="12">
        <f t="shared" si="0"/>
        <v>3.472222222222222E-3</v>
      </c>
      <c r="AG66" s="155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5" t="str">
        <f t="shared" si="2"/>
        <v/>
      </c>
      <c r="AE67" s="12">
        <f t="shared" si="0"/>
        <v>3.472222222222222E-3</v>
      </c>
      <c r="AG67" s="155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5" t="str">
        <f t="shared" si="2"/>
        <v/>
      </c>
      <c r="AE68" s="12">
        <f t="shared" si="0"/>
        <v>3.472222222222222E-3</v>
      </c>
      <c r="AG68" s="155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5" t="str">
        <f t="shared" si="2"/>
        <v/>
      </c>
      <c r="AE69" s="12">
        <f t="shared" ref="AE69:AE132" si="11">TIME(0,$K69+5,0)</f>
        <v>3.472222222222222E-3</v>
      </c>
      <c r="AG69" s="155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5" t="str">
        <f t="shared" ref="Z70:Z133" si="13">IF(Y70="","",$Y70+TIME(0,5,0))</f>
        <v/>
      </c>
      <c r="AE70" s="12">
        <f t="shared" si="11"/>
        <v>3.472222222222222E-3</v>
      </c>
      <c r="AG70" s="155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5" t="str">
        <f t="shared" si="13"/>
        <v/>
      </c>
      <c r="AE71" s="12">
        <f t="shared" si="11"/>
        <v>3.472222222222222E-3</v>
      </c>
      <c r="AG71" s="155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5" t="str">
        <f t="shared" si="13"/>
        <v/>
      </c>
      <c r="AE72" s="12">
        <f t="shared" si="11"/>
        <v>3.472222222222222E-3</v>
      </c>
      <c r="AG72" s="155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5" t="str">
        <f t="shared" si="13"/>
        <v/>
      </c>
      <c r="AE73" s="12">
        <f t="shared" si="11"/>
        <v>3.472222222222222E-3</v>
      </c>
      <c r="AG73" s="155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5" t="str">
        <f t="shared" si="13"/>
        <v/>
      </c>
      <c r="AE74" s="12">
        <f t="shared" si="11"/>
        <v>3.472222222222222E-3</v>
      </c>
      <c r="AG74" s="155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5" t="str">
        <f t="shared" si="13"/>
        <v/>
      </c>
      <c r="AE75" s="12">
        <f t="shared" si="11"/>
        <v>3.472222222222222E-3</v>
      </c>
      <c r="AG75" s="155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5" t="str">
        <f t="shared" si="13"/>
        <v/>
      </c>
      <c r="AE76" s="12">
        <f t="shared" si="11"/>
        <v>3.472222222222222E-3</v>
      </c>
      <c r="AG76" s="155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5" t="str">
        <f t="shared" si="13"/>
        <v/>
      </c>
      <c r="AE77" s="12">
        <f t="shared" si="11"/>
        <v>3.472222222222222E-3</v>
      </c>
      <c r="AG77" s="155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5" t="str">
        <f t="shared" si="13"/>
        <v/>
      </c>
      <c r="AE78" s="12">
        <f t="shared" si="11"/>
        <v>3.472222222222222E-3</v>
      </c>
      <c r="AG78" s="155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5" t="str">
        <f t="shared" si="13"/>
        <v/>
      </c>
      <c r="AE79" s="12">
        <f t="shared" si="11"/>
        <v>3.472222222222222E-3</v>
      </c>
      <c r="AG79" s="155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5" t="str">
        <f t="shared" si="13"/>
        <v/>
      </c>
      <c r="AE80" s="12">
        <f t="shared" si="11"/>
        <v>3.472222222222222E-3</v>
      </c>
      <c r="AG80" s="155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5" t="str">
        <f t="shared" si="13"/>
        <v/>
      </c>
      <c r="AE81" s="12">
        <f t="shared" si="11"/>
        <v>3.472222222222222E-3</v>
      </c>
      <c r="AG81" s="155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5" t="str">
        <f t="shared" si="13"/>
        <v/>
      </c>
      <c r="AE82" s="12">
        <f t="shared" si="11"/>
        <v>3.472222222222222E-3</v>
      </c>
      <c r="AG82" s="155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5" t="str">
        <f t="shared" si="13"/>
        <v/>
      </c>
      <c r="AE83" s="12">
        <f t="shared" si="11"/>
        <v>3.472222222222222E-3</v>
      </c>
      <c r="AG83" s="155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5" t="str">
        <f t="shared" si="13"/>
        <v/>
      </c>
      <c r="AE84" s="12">
        <f t="shared" si="11"/>
        <v>3.472222222222222E-3</v>
      </c>
      <c r="AG84" s="155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5" t="str">
        <f t="shared" si="13"/>
        <v/>
      </c>
      <c r="AE85" s="12">
        <f t="shared" si="11"/>
        <v>3.472222222222222E-3</v>
      </c>
      <c r="AG85" s="155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5" t="str">
        <f t="shared" si="13"/>
        <v/>
      </c>
      <c r="AE86" s="12">
        <f t="shared" si="11"/>
        <v>3.472222222222222E-3</v>
      </c>
      <c r="AG86" s="155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5" t="str">
        <f t="shared" si="13"/>
        <v/>
      </c>
      <c r="AE87" s="12">
        <f t="shared" si="11"/>
        <v>3.472222222222222E-3</v>
      </c>
      <c r="AG87" s="155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5" t="str">
        <f t="shared" si="13"/>
        <v/>
      </c>
      <c r="AE88" s="12">
        <f t="shared" si="11"/>
        <v>3.472222222222222E-3</v>
      </c>
      <c r="AG88" s="155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5" t="str">
        <f t="shared" si="13"/>
        <v/>
      </c>
      <c r="AE89" s="12">
        <f t="shared" si="11"/>
        <v>3.472222222222222E-3</v>
      </c>
      <c r="AG89" s="155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5" t="str">
        <f t="shared" si="13"/>
        <v/>
      </c>
      <c r="AE90" s="12">
        <f t="shared" si="11"/>
        <v>3.472222222222222E-3</v>
      </c>
      <c r="AG90" s="155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5" t="str">
        <f t="shared" si="13"/>
        <v/>
      </c>
      <c r="AE91" s="12">
        <f t="shared" si="11"/>
        <v>3.472222222222222E-3</v>
      </c>
      <c r="AG91" s="155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5" t="str">
        <f t="shared" si="13"/>
        <v/>
      </c>
      <c r="AE92" s="12">
        <f t="shared" si="11"/>
        <v>3.472222222222222E-3</v>
      </c>
      <c r="AG92" s="155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5" t="str">
        <f t="shared" si="13"/>
        <v/>
      </c>
      <c r="AE93" s="12">
        <f t="shared" si="11"/>
        <v>3.472222222222222E-3</v>
      </c>
      <c r="AG93" s="155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5" t="str">
        <f t="shared" si="13"/>
        <v/>
      </c>
      <c r="AE94" s="12">
        <f t="shared" si="11"/>
        <v>3.472222222222222E-3</v>
      </c>
      <c r="AG94" s="155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5" t="str">
        <f t="shared" si="13"/>
        <v/>
      </c>
      <c r="AE95" s="12">
        <f t="shared" si="11"/>
        <v>3.472222222222222E-3</v>
      </c>
      <c r="AG95" s="155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5" t="str">
        <f t="shared" si="13"/>
        <v/>
      </c>
      <c r="AE96" s="12">
        <f t="shared" si="11"/>
        <v>3.472222222222222E-3</v>
      </c>
      <c r="AG96" s="155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5" t="str">
        <f t="shared" si="13"/>
        <v/>
      </c>
      <c r="AE97" s="12">
        <f t="shared" si="11"/>
        <v>3.472222222222222E-3</v>
      </c>
      <c r="AG97" s="155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5" t="str">
        <f t="shared" si="13"/>
        <v/>
      </c>
      <c r="AE98" s="12">
        <f t="shared" si="11"/>
        <v>3.472222222222222E-3</v>
      </c>
      <c r="AG98" s="155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5" t="str">
        <f t="shared" si="13"/>
        <v/>
      </c>
      <c r="AE99" s="12">
        <f t="shared" si="11"/>
        <v>3.472222222222222E-3</v>
      </c>
      <c r="AG99" s="155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5" t="str">
        <f t="shared" si="13"/>
        <v/>
      </c>
      <c r="AE100" s="12">
        <f t="shared" si="11"/>
        <v>3.472222222222222E-3</v>
      </c>
      <c r="AG100" s="155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5" t="str">
        <f t="shared" si="13"/>
        <v/>
      </c>
      <c r="AE101" s="12">
        <f t="shared" si="11"/>
        <v>3.472222222222222E-3</v>
      </c>
      <c r="AG101" s="155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5" t="str">
        <f t="shared" si="13"/>
        <v/>
      </c>
      <c r="AE102" s="12">
        <f t="shared" si="11"/>
        <v>3.472222222222222E-3</v>
      </c>
      <c r="AG102" s="155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5" t="str">
        <f t="shared" si="13"/>
        <v/>
      </c>
      <c r="AE103" s="12">
        <f t="shared" si="11"/>
        <v>3.472222222222222E-3</v>
      </c>
      <c r="AG103" s="155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5" t="str">
        <f t="shared" si="13"/>
        <v/>
      </c>
      <c r="AE104" s="12">
        <f t="shared" si="11"/>
        <v>3.472222222222222E-3</v>
      </c>
      <c r="AG104" s="155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5" t="str">
        <f t="shared" si="13"/>
        <v/>
      </c>
      <c r="AE105" s="12">
        <f t="shared" si="11"/>
        <v>3.472222222222222E-3</v>
      </c>
      <c r="AG105" s="155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5" t="str">
        <f t="shared" si="13"/>
        <v/>
      </c>
      <c r="AE106" s="12">
        <f t="shared" si="11"/>
        <v>3.472222222222222E-3</v>
      </c>
      <c r="AG106" s="155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5" t="str">
        <f t="shared" si="13"/>
        <v/>
      </c>
      <c r="AE107" s="12">
        <f t="shared" si="11"/>
        <v>3.472222222222222E-3</v>
      </c>
      <c r="AG107" s="155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5" t="str">
        <f t="shared" si="13"/>
        <v/>
      </c>
      <c r="AE108" s="12">
        <f t="shared" si="11"/>
        <v>3.472222222222222E-3</v>
      </c>
      <c r="AG108" s="155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5" t="str">
        <f t="shared" si="13"/>
        <v/>
      </c>
      <c r="AE109" s="12">
        <f t="shared" si="11"/>
        <v>3.472222222222222E-3</v>
      </c>
      <c r="AG109" s="155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5" t="str">
        <f t="shared" si="13"/>
        <v/>
      </c>
      <c r="AE110" s="12">
        <f t="shared" si="11"/>
        <v>3.472222222222222E-3</v>
      </c>
      <c r="AG110" s="155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5" t="str">
        <f t="shared" si="13"/>
        <v/>
      </c>
      <c r="AE111" s="12">
        <f t="shared" si="11"/>
        <v>3.472222222222222E-3</v>
      </c>
      <c r="AG111" s="155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5" t="str">
        <f t="shared" si="13"/>
        <v/>
      </c>
      <c r="AE112" s="12">
        <f t="shared" si="11"/>
        <v>3.472222222222222E-3</v>
      </c>
      <c r="AG112" s="155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5" t="str">
        <f t="shared" si="13"/>
        <v/>
      </c>
      <c r="AE113" s="12">
        <f t="shared" si="11"/>
        <v>3.472222222222222E-3</v>
      </c>
      <c r="AG113" s="155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5" t="str">
        <f t="shared" si="13"/>
        <v/>
      </c>
      <c r="AE114" s="12">
        <f t="shared" si="11"/>
        <v>3.472222222222222E-3</v>
      </c>
      <c r="AG114" s="155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5" t="str">
        <f t="shared" si="13"/>
        <v/>
      </c>
      <c r="AE115" s="12">
        <f t="shared" si="11"/>
        <v>3.472222222222222E-3</v>
      </c>
      <c r="AG115" s="155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5" t="str">
        <f t="shared" si="13"/>
        <v/>
      </c>
      <c r="AE116" s="12">
        <f t="shared" si="11"/>
        <v>3.472222222222222E-3</v>
      </c>
      <c r="AG116" s="155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5" t="str">
        <f t="shared" si="13"/>
        <v/>
      </c>
      <c r="AE117" s="12">
        <f t="shared" si="11"/>
        <v>3.472222222222222E-3</v>
      </c>
      <c r="AG117" s="155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5" t="str">
        <f t="shared" si="13"/>
        <v/>
      </c>
      <c r="AE118" s="12">
        <f t="shared" si="11"/>
        <v>3.472222222222222E-3</v>
      </c>
      <c r="AG118" s="155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5" t="str">
        <f t="shared" si="13"/>
        <v/>
      </c>
      <c r="AE119" s="12">
        <f t="shared" si="11"/>
        <v>3.472222222222222E-3</v>
      </c>
      <c r="AG119" s="155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5" t="str">
        <f t="shared" si="13"/>
        <v/>
      </c>
      <c r="AE120" s="12">
        <f t="shared" si="11"/>
        <v>3.472222222222222E-3</v>
      </c>
      <c r="AG120" s="155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5" t="str">
        <f t="shared" si="13"/>
        <v/>
      </c>
      <c r="AE121" s="12">
        <f t="shared" si="11"/>
        <v>3.472222222222222E-3</v>
      </c>
      <c r="AG121" s="155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5" t="str">
        <f t="shared" si="13"/>
        <v/>
      </c>
      <c r="AE122" s="12">
        <f t="shared" si="11"/>
        <v>3.472222222222222E-3</v>
      </c>
      <c r="AG122" s="155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5" t="str">
        <f t="shared" si="13"/>
        <v/>
      </c>
      <c r="AE123" s="12">
        <f t="shared" si="11"/>
        <v>3.472222222222222E-3</v>
      </c>
      <c r="AG123" s="155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5" t="str">
        <f t="shared" si="13"/>
        <v/>
      </c>
      <c r="AE124" s="12">
        <f t="shared" si="11"/>
        <v>3.472222222222222E-3</v>
      </c>
      <c r="AG124" s="155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5" t="str">
        <f t="shared" si="13"/>
        <v/>
      </c>
      <c r="AE125" s="12">
        <f t="shared" si="11"/>
        <v>3.472222222222222E-3</v>
      </c>
      <c r="AG125" s="155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5" t="str">
        <f t="shared" si="13"/>
        <v/>
      </c>
      <c r="AE126" s="12">
        <f t="shared" si="11"/>
        <v>3.472222222222222E-3</v>
      </c>
      <c r="AG126" s="155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5" t="str">
        <f t="shared" si="13"/>
        <v/>
      </c>
      <c r="AE127" s="12">
        <f t="shared" si="11"/>
        <v>3.472222222222222E-3</v>
      </c>
      <c r="AG127" s="155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5" t="str">
        <f t="shared" si="13"/>
        <v/>
      </c>
      <c r="AE128" s="12">
        <f t="shared" si="11"/>
        <v>3.472222222222222E-3</v>
      </c>
      <c r="AG128" s="155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5" t="str">
        <f t="shared" si="13"/>
        <v/>
      </c>
      <c r="AE129" s="12">
        <f t="shared" si="11"/>
        <v>3.472222222222222E-3</v>
      </c>
      <c r="AG129" s="155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5" t="str">
        <f t="shared" si="13"/>
        <v/>
      </c>
      <c r="AE130" s="12">
        <f t="shared" si="11"/>
        <v>3.472222222222222E-3</v>
      </c>
      <c r="AG130" s="155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5" t="str">
        <f t="shared" si="13"/>
        <v/>
      </c>
      <c r="AE131" s="12">
        <f t="shared" si="11"/>
        <v>3.472222222222222E-3</v>
      </c>
      <c r="AG131" s="155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5" t="str">
        <f t="shared" si="13"/>
        <v/>
      </c>
      <c r="AE132" s="12">
        <f t="shared" si="11"/>
        <v>3.472222222222222E-3</v>
      </c>
      <c r="AG132" s="155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5" t="str">
        <f t="shared" si="13"/>
        <v/>
      </c>
      <c r="AE133" s="12">
        <f t="shared" ref="AE133:AE196" si="22">TIME(0,$K133+5,0)</f>
        <v>3.472222222222222E-3</v>
      </c>
      <c r="AG133" s="155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5" t="str">
        <f t="shared" ref="Z134:Z197" si="24">IF(Y134="","",$Y134+TIME(0,5,0))</f>
        <v/>
      </c>
      <c r="AE134" s="12">
        <f t="shared" si="22"/>
        <v>3.472222222222222E-3</v>
      </c>
      <c r="AG134" s="155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5" t="str">
        <f t="shared" si="24"/>
        <v/>
      </c>
      <c r="AE135" s="12">
        <f t="shared" si="22"/>
        <v>3.472222222222222E-3</v>
      </c>
      <c r="AG135" s="155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5" t="str">
        <f t="shared" si="24"/>
        <v/>
      </c>
      <c r="AE136" s="12">
        <f t="shared" si="22"/>
        <v>3.472222222222222E-3</v>
      </c>
      <c r="AG136" s="155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5" t="str">
        <f t="shared" si="24"/>
        <v/>
      </c>
      <c r="AE137" s="12">
        <f t="shared" si="22"/>
        <v>3.472222222222222E-3</v>
      </c>
      <c r="AG137" s="155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5" t="str">
        <f t="shared" si="24"/>
        <v/>
      </c>
      <c r="AE138" s="12">
        <f t="shared" si="22"/>
        <v>3.472222222222222E-3</v>
      </c>
      <c r="AG138" s="155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5" t="str">
        <f t="shared" si="24"/>
        <v/>
      </c>
      <c r="AE139" s="12">
        <f t="shared" si="22"/>
        <v>3.472222222222222E-3</v>
      </c>
      <c r="AG139" s="155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5" t="str">
        <f t="shared" si="24"/>
        <v/>
      </c>
      <c r="AE140" s="12">
        <f t="shared" si="22"/>
        <v>3.472222222222222E-3</v>
      </c>
      <c r="AG140" s="155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5" t="str">
        <f t="shared" si="24"/>
        <v/>
      </c>
      <c r="AE141" s="12">
        <f t="shared" si="22"/>
        <v>3.472222222222222E-3</v>
      </c>
      <c r="AG141" s="155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5" t="str">
        <f t="shared" si="24"/>
        <v/>
      </c>
      <c r="AE142" s="12">
        <f t="shared" si="22"/>
        <v>3.472222222222222E-3</v>
      </c>
      <c r="AG142" s="155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5" t="str">
        <f t="shared" si="24"/>
        <v/>
      </c>
      <c r="AE143" s="12">
        <f t="shared" si="22"/>
        <v>3.472222222222222E-3</v>
      </c>
      <c r="AG143" s="155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5" t="str">
        <f t="shared" si="24"/>
        <v/>
      </c>
      <c r="AE144" s="12">
        <f t="shared" si="22"/>
        <v>3.472222222222222E-3</v>
      </c>
      <c r="AG144" s="155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5" t="str">
        <f t="shared" si="24"/>
        <v/>
      </c>
      <c r="AE145" s="12">
        <f t="shared" si="22"/>
        <v>3.472222222222222E-3</v>
      </c>
      <c r="AG145" s="155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5" t="str">
        <f t="shared" si="24"/>
        <v/>
      </c>
      <c r="AE146" s="12">
        <f t="shared" si="22"/>
        <v>3.472222222222222E-3</v>
      </c>
      <c r="AG146" s="155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5" t="str">
        <f t="shared" si="24"/>
        <v/>
      </c>
      <c r="AE147" s="12">
        <f t="shared" si="22"/>
        <v>3.472222222222222E-3</v>
      </c>
      <c r="AG147" s="155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5" t="str">
        <f t="shared" si="24"/>
        <v/>
      </c>
      <c r="AE148" s="12">
        <f t="shared" si="22"/>
        <v>3.472222222222222E-3</v>
      </c>
      <c r="AG148" s="155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5" t="str">
        <f t="shared" si="24"/>
        <v/>
      </c>
      <c r="AE149" s="12">
        <f t="shared" si="22"/>
        <v>3.472222222222222E-3</v>
      </c>
      <c r="AG149" s="155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5" t="str">
        <f t="shared" si="24"/>
        <v/>
      </c>
      <c r="AE150" s="12">
        <f t="shared" si="22"/>
        <v>3.472222222222222E-3</v>
      </c>
      <c r="AG150" s="155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5" t="str">
        <f t="shared" si="24"/>
        <v/>
      </c>
      <c r="AE151" s="12">
        <f t="shared" si="22"/>
        <v>3.472222222222222E-3</v>
      </c>
      <c r="AG151" s="155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5" t="str">
        <f t="shared" si="24"/>
        <v/>
      </c>
      <c r="AE152" s="12">
        <f t="shared" si="22"/>
        <v>3.472222222222222E-3</v>
      </c>
      <c r="AG152" s="155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5" t="str">
        <f t="shared" si="24"/>
        <v/>
      </c>
      <c r="AE153" s="12">
        <f t="shared" si="22"/>
        <v>3.472222222222222E-3</v>
      </c>
      <c r="AG153" s="155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5" t="str">
        <f t="shared" si="24"/>
        <v/>
      </c>
      <c r="AE154" s="12">
        <f t="shared" si="22"/>
        <v>3.472222222222222E-3</v>
      </c>
      <c r="AG154" s="155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5" t="str">
        <f t="shared" si="24"/>
        <v/>
      </c>
      <c r="AE155" s="12">
        <f t="shared" si="22"/>
        <v>3.472222222222222E-3</v>
      </c>
      <c r="AG155" s="155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5" t="str">
        <f t="shared" si="24"/>
        <v/>
      </c>
      <c r="AE156" s="12">
        <f t="shared" si="22"/>
        <v>3.472222222222222E-3</v>
      </c>
      <c r="AG156" s="155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5" t="str">
        <f t="shared" si="24"/>
        <v/>
      </c>
      <c r="AE157" s="12">
        <f t="shared" si="22"/>
        <v>3.472222222222222E-3</v>
      </c>
      <c r="AG157" s="155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5" t="str">
        <f t="shared" si="24"/>
        <v/>
      </c>
      <c r="AE158" s="12">
        <f t="shared" si="22"/>
        <v>3.472222222222222E-3</v>
      </c>
      <c r="AG158" s="155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5" t="str">
        <f t="shared" si="24"/>
        <v/>
      </c>
      <c r="AE159" s="12">
        <f t="shared" si="22"/>
        <v>3.472222222222222E-3</v>
      </c>
      <c r="AG159" s="155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5" t="str">
        <f t="shared" si="24"/>
        <v/>
      </c>
      <c r="AE160" s="12">
        <f t="shared" si="22"/>
        <v>3.472222222222222E-3</v>
      </c>
      <c r="AG160" s="155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5" t="str">
        <f t="shared" si="24"/>
        <v/>
      </c>
      <c r="AE161" s="12">
        <f t="shared" si="22"/>
        <v>3.472222222222222E-3</v>
      </c>
      <c r="AG161" s="155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5" t="str">
        <f t="shared" si="24"/>
        <v/>
      </c>
      <c r="AE162" s="12">
        <f t="shared" si="22"/>
        <v>3.472222222222222E-3</v>
      </c>
      <c r="AG162" s="155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5" t="str">
        <f t="shared" si="24"/>
        <v/>
      </c>
      <c r="AE163" s="12">
        <f t="shared" si="22"/>
        <v>3.472222222222222E-3</v>
      </c>
      <c r="AG163" s="155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5" t="str">
        <f t="shared" si="24"/>
        <v/>
      </c>
      <c r="AE164" s="12">
        <f t="shared" si="22"/>
        <v>3.472222222222222E-3</v>
      </c>
      <c r="AG164" s="155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5" t="str">
        <f t="shared" si="24"/>
        <v/>
      </c>
      <c r="AE165" s="12">
        <f t="shared" si="22"/>
        <v>3.472222222222222E-3</v>
      </c>
      <c r="AG165" s="155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5" t="str">
        <f t="shared" si="24"/>
        <v/>
      </c>
      <c r="AE166" s="12">
        <f t="shared" si="22"/>
        <v>3.472222222222222E-3</v>
      </c>
      <c r="AG166" s="155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5" t="str">
        <f t="shared" si="24"/>
        <v/>
      </c>
      <c r="AE167" s="12">
        <f t="shared" si="22"/>
        <v>3.472222222222222E-3</v>
      </c>
      <c r="AG167" s="155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5" t="str">
        <f t="shared" si="24"/>
        <v/>
      </c>
      <c r="AE168" s="12">
        <f t="shared" si="22"/>
        <v>3.472222222222222E-3</v>
      </c>
      <c r="AG168" s="155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5" t="str">
        <f t="shared" si="24"/>
        <v/>
      </c>
      <c r="AE169" s="12">
        <f t="shared" si="22"/>
        <v>3.472222222222222E-3</v>
      </c>
      <c r="AG169" s="155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5" t="str">
        <f t="shared" si="24"/>
        <v/>
      </c>
      <c r="AE170" s="12">
        <f t="shared" si="22"/>
        <v>3.472222222222222E-3</v>
      </c>
      <c r="AG170" s="155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5" t="str">
        <f t="shared" si="24"/>
        <v/>
      </c>
      <c r="AE171" s="12">
        <f t="shared" si="22"/>
        <v>3.472222222222222E-3</v>
      </c>
      <c r="AG171" s="155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5" t="str">
        <f t="shared" si="24"/>
        <v/>
      </c>
      <c r="AE172" s="12">
        <f t="shared" si="22"/>
        <v>3.472222222222222E-3</v>
      </c>
      <c r="AG172" s="155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5" t="str">
        <f t="shared" si="24"/>
        <v/>
      </c>
      <c r="AE173" s="12">
        <f t="shared" si="22"/>
        <v>3.472222222222222E-3</v>
      </c>
      <c r="AG173" s="155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5" t="str">
        <f t="shared" si="24"/>
        <v/>
      </c>
      <c r="AE174" s="12">
        <f t="shared" si="22"/>
        <v>3.472222222222222E-3</v>
      </c>
      <c r="AG174" s="155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5" t="str">
        <f t="shared" si="24"/>
        <v/>
      </c>
      <c r="AE175" s="12">
        <f t="shared" si="22"/>
        <v>3.472222222222222E-3</v>
      </c>
      <c r="AG175" s="155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5" t="str">
        <f t="shared" si="24"/>
        <v/>
      </c>
      <c r="AE176" s="12">
        <f t="shared" si="22"/>
        <v>3.472222222222222E-3</v>
      </c>
      <c r="AG176" s="155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5" t="str">
        <f t="shared" si="24"/>
        <v/>
      </c>
      <c r="AE177" s="12">
        <f t="shared" si="22"/>
        <v>3.472222222222222E-3</v>
      </c>
      <c r="AG177" s="155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5" t="str">
        <f t="shared" si="24"/>
        <v/>
      </c>
      <c r="AE178" s="12">
        <f t="shared" si="22"/>
        <v>3.472222222222222E-3</v>
      </c>
      <c r="AG178" s="155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5" t="str">
        <f t="shared" si="24"/>
        <v/>
      </c>
      <c r="AE179" s="12">
        <f t="shared" si="22"/>
        <v>3.472222222222222E-3</v>
      </c>
      <c r="AG179" s="155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5" t="str">
        <f t="shared" si="24"/>
        <v/>
      </c>
      <c r="AE180" s="12">
        <f t="shared" si="22"/>
        <v>3.472222222222222E-3</v>
      </c>
      <c r="AG180" s="155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5" t="str">
        <f t="shared" si="24"/>
        <v/>
      </c>
      <c r="AE181" s="12">
        <f t="shared" si="22"/>
        <v>3.472222222222222E-3</v>
      </c>
      <c r="AG181" s="155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5" t="str">
        <f t="shared" si="24"/>
        <v/>
      </c>
      <c r="AE182" s="12">
        <f t="shared" si="22"/>
        <v>3.472222222222222E-3</v>
      </c>
      <c r="AG182" s="155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5" t="str">
        <f t="shared" si="24"/>
        <v/>
      </c>
      <c r="AE183" s="12">
        <f t="shared" si="22"/>
        <v>3.472222222222222E-3</v>
      </c>
      <c r="AG183" s="155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5" t="str">
        <f t="shared" si="24"/>
        <v/>
      </c>
      <c r="AE184" s="12">
        <f t="shared" si="22"/>
        <v>3.472222222222222E-3</v>
      </c>
      <c r="AG184" s="155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5" t="str">
        <f t="shared" si="24"/>
        <v/>
      </c>
      <c r="AE185" s="12">
        <f t="shared" si="22"/>
        <v>3.472222222222222E-3</v>
      </c>
      <c r="AG185" s="155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5" t="str">
        <f t="shared" si="24"/>
        <v/>
      </c>
      <c r="AE186" s="12">
        <f t="shared" si="22"/>
        <v>3.472222222222222E-3</v>
      </c>
      <c r="AG186" s="155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5" t="str">
        <f t="shared" si="24"/>
        <v/>
      </c>
      <c r="AE187" s="12">
        <f t="shared" si="22"/>
        <v>3.472222222222222E-3</v>
      </c>
      <c r="AG187" s="155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5" t="str">
        <f t="shared" si="24"/>
        <v/>
      </c>
      <c r="AE188" s="12">
        <f t="shared" si="22"/>
        <v>3.472222222222222E-3</v>
      </c>
      <c r="AG188" s="155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5" t="str">
        <f t="shared" si="24"/>
        <v/>
      </c>
      <c r="AE189" s="12">
        <f t="shared" si="22"/>
        <v>3.472222222222222E-3</v>
      </c>
      <c r="AG189" s="155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5" t="str">
        <f t="shared" si="24"/>
        <v/>
      </c>
      <c r="AE190" s="12">
        <f t="shared" si="22"/>
        <v>3.472222222222222E-3</v>
      </c>
      <c r="AG190" s="155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5" t="str">
        <f t="shared" si="24"/>
        <v/>
      </c>
      <c r="AE191" s="12">
        <f t="shared" si="22"/>
        <v>3.472222222222222E-3</v>
      </c>
      <c r="AG191" s="155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5" t="str">
        <f t="shared" si="24"/>
        <v/>
      </c>
      <c r="AE192" s="12">
        <f t="shared" si="22"/>
        <v>3.472222222222222E-3</v>
      </c>
      <c r="AG192" s="155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5" t="str">
        <f t="shared" si="24"/>
        <v/>
      </c>
      <c r="AE193" s="12">
        <f t="shared" si="22"/>
        <v>3.472222222222222E-3</v>
      </c>
      <c r="AG193" s="155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5" t="str">
        <f t="shared" si="24"/>
        <v/>
      </c>
      <c r="AE194" s="12">
        <f t="shared" si="22"/>
        <v>3.472222222222222E-3</v>
      </c>
      <c r="AG194" s="155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5" t="str">
        <f t="shared" si="24"/>
        <v/>
      </c>
      <c r="AE195" s="12">
        <f t="shared" si="22"/>
        <v>3.472222222222222E-3</v>
      </c>
      <c r="AG195" s="155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5" t="str">
        <f t="shared" si="24"/>
        <v/>
      </c>
      <c r="AE196" s="12">
        <f t="shared" si="22"/>
        <v>3.472222222222222E-3</v>
      </c>
      <c r="AG196" s="155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5" t="str">
        <f t="shared" si="24"/>
        <v/>
      </c>
      <c r="AE197" s="12">
        <f t="shared" ref="AE197:AE260" si="33">TIME(0,$K197+5,0)</f>
        <v>3.472222222222222E-3</v>
      </c>
      <c r="AG197" s="155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5" t="str">
        <f t="shared" ref="Z198:Z261" si="35">IF(Y198="","",$Y198+TIME(0,5,0))</f>
        <v/>
      </c>
      <c r="AE198" s="12">
        <f t="shared" si="33"/>
        <v>3.472222222222222E-3</v>
      </c>
      <c r="AG198" s="155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5" t="str">
        <f t="shared" si="35"/>
        <v/>
      </c>
      <c r="AE199" s="12">
        <f t="shared" si="33"/>
        <v>3.472222222222222E-3</v>
      </c>
      <c r="AG199" s="155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5" t="str">
        <f t="shared" si="35"/>
        <v/>
      </c>
      <c r="AE200" s="12">
        <f t="shared" si="33"/>
        <v>3.472222222222222E-3</v>
      </c>
      <c r="AG200" s="155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5" t="str">
        <f t="shared" si="35"/>
        <v/>
      </c>
      <c r="AE201" s="12">
        <f t="shared" si="33"/>
        <v>3.472222222222222E-3</v>
      </c>
      <c r="AG201" s="155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5" t="str">
        <f t="shared" si="35"/>
        <v/>
      </c>
      <c r="AE202" s="12">
        <f t="shared" si="33"/>
        <v>3.472222222222222E-3</v>
      </c>
      <c r="AG202" s="155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5" t="str">
        <f t="shared" si="35"/>
        <v/>
      </c>
      <c r="AE203" s="12">
        <f t="shared" si="33"/>
        <v>3.472222222222222E-3</v>
      </c>
      <c r="AG203" s="155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5" t="str">
        <f t="shared" si="35"/>
        <v/>
      </c>
      <c r="AE204" s="12">
        <f t="shared" si="33"/>
        <v>3.472222222222222E-3</v>
      </c>
      <c r="AG204" s="155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5" t="str">
        <f t="shared" si="35"/>
        <v/>
      </c>
      <c r="AE205" s="12">
        <f t="shared" si="33"/>
        <v>3.472222222222222E-3</v>
      </c>
      <c r="AG205" s="155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5" t="str">
        <f t="shared" si="35"/>
        <v/>
      </c>
      <c r="AE206" s="12">
        <f t="shared" si="33"/>
        <v>3.472222222222222E-3</v>
      </c>
      <c r="AG206" s="155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5" t="str">
        <f t="shared" si="35"/>
        <v/>
      </c>
      <c r="AE207" s="12">
        <f t="shared" si="33"/>
        <v>3.472222222222222E-3</v>
      </c>
      <c r="AG207" s="155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5" t="str">
        <f t="shared" si="35"/>
        <v/>
      </c>
      <c r="AE208" s="12">
        <f t="shared" si="33"/>
        <v>3.472222222222222E-3</v>
      </c>
      <c r="AG208" s="155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5" t="str">
        <f t="shared" si="35"/>
        <v/>
      </c>
      <c r="AE209" s="12">
        <f t="shared" si="33"/>
        <v>3.472222222222222E-3</v>
      </c>
      <c r="AG209" s="155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5" t="str">
        <f t="shared" si="35"/>
        <v/>
      </c>
      <c r="AE210" s="12">
        <f t="shared" si="33"/>
        <v>3.472222222222222E-3</v>
      </c>
      <c r="AG210" s="155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5" t="str">
        <f t="shared" si="35"/>
        <v/>
      </c>
      <c r="AE211" s="12">
        <f t="shared" si="33"/>
        <v>3.472222222222222E-3</v>
      </c>
      <c r="AG211" s="155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5" t="str">
        <f t="shared" si="35"/>
        <v/>
      </c>
      <c r="AE212" s="12">
        <f t="shared" si="33"/>
        <v>3.472222222222222E-3</v>
      </c>
      <c r="AG212" s="155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5" t="str">
        <f t="shared" si="35"/>
        <v/>
      </c>
      <c r="AE213" s="12">
        <f t="shared" si="33"/>
        <v>3.472222222222222E-3</v>
      </c>
      <c r="AG213" s="155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5" t="str">
        <f t="shared" si="35"/>
        <v/>
      </c>
      <c r="AE214" s="12">
        <f t="shared" si="33"/>
        <v>3.472222222222222E-3</v>
      </c>
      <c r="AG214" s="155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5" t="str">
        <f t="shared" si="35"/>
        <v/>
      </c>
      <c r="AE215" s="12">
        <f t="shared" si="33"/>
        <v>3.472222222222222E-3</v>
      </c>
      <c r="AG215" s="155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5" t="str">
        <f t="shared" si="35"/>
        <v/>
      </c>
      <c r="AE216" s="12">
        <f t="shared" si="33"/>
        <v>3.472222222222222E-3</v>
      </c>
      <c r="AG216" s="155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5" t="str">
        <f t="shared" si="35"/>
        <v/>
      </c>
      <c r="AE217" s="12">
        <f t="shared" si="33"/>
        <v>3.472222222222222E-3</v>
      </c>
      <c r="AG217" s="155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5" t="str">
        <f t="shared" si="35"/>
        <v/>
      </c>
      <c r="AE218" s="12">
        <f t="shared" si="33"/>
        <v>3.472222222222222E-3</v>
      </c>
      <c r="AG218" s="155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5" t="str">
        <f t="shared" si="35"/>
        <v/>
      </c>
      <c r="AE219" s="12">
        <f t="shared" si="33"/>
        <v>3.472222222222222E-3</v>
      </c>
      <c r="AG219" s="155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5" t="str">
        <f t="shared" si="35"/>
        <v/>
      </c>
      <c r="AE220" s="12">
        <f t="shared" si="33"/>
        <v>3.472222222222222E-3</v>
      </c>
      <c r="AG220" s="155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5" t="str">
        <f t="shared" si="35"/>
        <v/>
      </c>
      <c r="AE221" s="12">
        <f t="shared" si="33"/>
        <v>3.472222222222222E-3</v>
      </c>
      <c r="AG221" s="155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5" t="str">
        <f t="shared" si="35"/>
        <v/>
      </c>
      <c r="AE222" s="12">
        <f t="shared" si="33"/>
        <v>3.472222222222222E-3</v>
      </c>
      <c r="AG222" s="155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5" t="str">
        <f t="shared" si="35"/>
        <v/>
      </c>
      <c r="AE223" s="12">
        <f t="shared" si="33"/>
        <v>3.472222222222222E-3</v>
      </c>
      <c r="AG223" s="155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5" t="str">
        <f t="shared" si="35"/>
        <v/>
      </c>
      <c r="AE224" s="12">
        <f t="shared" si="33"/>
        <v>3.472222222222222E-3</v>
      </c>
      <c r="AG224" s="155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5" t="str">
        <f t="shared" si="35"/>
        <v/>
      </c>
      <c r="AE225" s="12">
        <f t="shared" si="33"/>
        <v>3.472222222222222E-3</v>
      </c>
      <c r="AG225" s="155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60"/>
      <c r="C226" s="40"/>
      <c r="Z226" s="155" t="str">
        <f t="shared" si="35"/>
        <v/>
      </c>
      <c r="AE226" s="12">
        <f t="shared" si="33"/>
        <v>3.472222222222222E-3</v>
      </c>
      <c r="AG226" s="155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5" t="str">
        <f t="shared" si="35"/>
        <v/>
      </c>
      <c r="AE227" s="12">
        <f t="shared" si="33"/>
        <v>3.472222222222222E-3</v>
      </c>
      <c r="AG227" s="155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5" t="str">
        <f t="shared" si="35"/>
        <v/>
      </c>
      <c r="AE228" s="12">
        <f t="shared" si="33"/>
        <v>3.472222222222222E-3</v>
      </c>
      <c r="AG228" s="155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5" t="str">
        <f t="shared" si="35"/>
        <v/>
      </c>
      <c r="AE229" s="12">
        <f t="shared" si="33"/>
        <v>3.472222222222222E-3</v>
      </c>
      <c r="AG229" s="155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5" t="str">
        <f t="shared" si="35"/>
        <v/>
      </c>
      <c r="AE230" s="12">
        <f t="shared" si="33"/>
        <v>3.472222222222222E-3</v>
      </c>
      <c r="AG230" s="155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5" t="str">
        <f t="shared" si="35"/>
        <v/>
      </c>
      <c r="AE231" s="12">
        <f t="shared" si="33"/>
        <v>3.472222222222222E-3</v>
      </c>
      <c r="AG231" s="155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5" t="str">
        <f t="shared" si="35"/>
        <v/>
      </c>
      <c r="AE232" s="12">
        <f t="shared" si="33"/>
        <v>3.472222222222222E-3</v>
      </c>
      <c r="AG232" s="155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5" t="str">
        <f t="shared" si="35"/>
        <v/>
      </c>
      <c r="AE233" s="12">
        <f t="shared" si="33"/>
        <v>3.472222222222222E-3</v>
      </c>
      <c r="AG233" s="155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5" t="str">
        <f t="shared" si="35"/>
        <v/>
      </c>
      <c r="AE234" s="12">
        <f t="shared" si="33"/>
        <v>3.472222222222222E-3</v>
      </c>
      <c r="AG234" s="155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5" t="str">
        <f t="shared" si="35"/>
        <v/>
      </c>
      <c r="AE235" s="12">
        <f t="shared" si="33"/>
        <v>3.472222222222222E-3</v>
      </c>
      <c r="AG235" s="155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5" t="str">
        <f t="shared" si="35"/>
        <v/>
      </c>
      <c r="AE236" s="12">
        <f t="shared" si="33"/>
        <v>3.472222222222222E-3</v>
      </c>
      <c r="AG236" s="155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5" t="str">
        <f t="shared" si="35"/>
        <v/>
      </c>
      <c r="AE237" s="12">
        <f t="shared" si="33"/>
        <v>3.472222222222222E-3</v>
      </c>
      <c r="AG237" s="155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5" t="str">
        <f t="shared" si="35"/>
        <v/>
      </c>
      <c r="AE238" s="12">
        <f t="shared" si="33"/>
        <v>3.472222222222222E-3</v>
      </c>
      <c r="AG238" s="155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5" t="str">
        <f t="shared" si="35"/>
        <v/>
      </c>
      <c r="AE239" s="12">
        <f t="shared" si="33"/>
        <v>3.472222222222222E-3</v>
      </c>
      <c r="AG239" s="155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5" t="str">
        <f t="shared" si="35"/>
        <v/>
      </c>
      <c r="AE240" s="12">
        <f t="shared" si="33"/>
        <v>3.472222222222222E-3</v>
      </c>
      <c r="AG240" s="155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5" t="str">
        <f t="shared" si="35"/>
        <v/>
      </c>
      <c r="AE241" s="12">
        <f t="shared" si="33"/>
        <v>3.472222222222222E-3</v>
      </c>
      <c r="AG241" s="155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5" t="str">
        <f t="shared" si="35"/>
        <v/>
      </c>
      <c r="AE242" s="12">
        <f t="shared" si="33"/>
        <v>3.472222222222222E-3</v>
      </c>
      <c r="AG242" s="155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5" t="str">
        <f t="shared" si="35"/>
        <v/>
      </c>
      <c r="AE243" s="12">
        <f t="shared" si="33"/>
        <v>3.472222222222222E-3</v>
      </c>
      <c r="AG243" s="155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5" t="str">
        <f t="shared" si="35"/>
        <v/>
      </c>
      <c r="AE244" s="12">
        <f t="shared" si="33"/>
        <v>3.472222222222222E-3</v>
      </c>
      <c r="AG244" s="155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5" t="str">
        <f t="shared" si="35"/>
        <v/>
      </c>
      <c r="AE245" s="12">
        <f t="shared" si="33"/>
        <v>3.472222222222222E-3</v>
      </c>
      <c r="AG245" s="155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5" t="str">
        <f t="shared" si="35"/>
        <v/>
      </c>
      <c r="AE246" s="12">
        <f t="shared" si="33"/>
        <v>3.472222222222222E-3</v>
      </c>
      <c r="AG246" s="155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5" t="str">
        <f t="shared" si="35"/>
        <v/>
      </c>
      <c r="AE247" s="12">
        <f t="shared" si="33"/>
        <v>3.472222222222222E-3</v>
      </c>
      <c r="AG247" s="155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5" t="str">
        <f t="shared" si="35"/>
        <v/>
      </c>
      <c r="AE248" s="12">
        <f t="shared" si="33"/>
        <v>3.472222222222222E-3</v>
      </c>
      <c r="AG248" s="155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5" t="str">
        <f t="shared" si="35"/>
        <v/>
      </c>
      <c r="AE249" s="12">
        <f t="shared" si="33"/>
        <v>3.472222222222222E-3</v>
      </c>
      <c r="AG249" s="155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5" t="str">
        <f t="shared" si="35"/>
        <v/>
      </c>
      <c r="AE250" s="12">
        <f t="shared" si="33"/>
        <v>3.472222222222222E-3</v>
      </c>
      <c r="AG250" s="155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5" t="str">
        <f t="shared" si="35"/>
        <v/>
      </c>
      <c r="AE251" s="12">
        <f t="shared" si="33"/>
        <v>3.472222222222222E-3</v>
      </c>
      <c r="AG251" s="155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5" t="str">
        <f t="shared" si="35"/>
        <v/>
      </c>
      <c r="AE252" s="12">
        <f t="shared" si="33"/>
        <v>3.472222222222222E-3</v>
      </c>
      <c r="AG252" s="155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5" t="str">
        <f t="shared" si="35"/>
        <v/>
      </c>
      <c r="AE253" s="12">
        <f t="shared" si="33"/>
        <v>3.472222222222222E-3</v>
      </c>
      <c r="AG253" s="155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5" t="str">
        <f t="shared" si="35"/>
        <v/>
      </c>
      <c r="AE254" s="12">
        <f t="shared" si="33"/>
        <v>3.472222222222222E-3</v>
      </c>
      <c r="AG254" s="155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5" t="str">
        <f t="shared" si="35"/>
        <v/>
      </c>
      <c r="AE255" s="12">
        <f t="shared" si="33"/>
        <v>3.472222222222222E-3</v>
      </c>
      <c r="AG255" s="155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5" t="str">
        <f t="shared" si="35"/>
        <v/>
      </c>
      <c r="AE256" s="12">
        <f t="shared" si="33"/>
        <v>3.472222222222222E-3</v>
      </c>
      <c r="AG256" s="155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5" t="str">
        <f t="shared" si="35"/>
        <v/>
      </c>
      <c r="AE257" s="12">
        <f t="shared" si="33"/>
        <v>3.472222222222222E-3</v>
      </c>
      <c r="AG257" s="155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5" t="str">
        <f t="shared" si="35"/>
        <v/>
      </c>
      <c r="AE258" s="12">
        <f t="shared" si="33"/>
        <v>3.472222222222222E-3</v>
      </c>
      <c r="AG258" s="155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5" t="str">
        <f t="shared" si="35"/>
        <v/>
      </c>
      <c r="AE259" s="12">
        <f t="shared" si="33"/>
        <v>3.472222222222222E-3</v>
      </c>
      <c r="AG259" s="155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5" t="str">
        <f t="shared" si="35"/>
        <v/>
      </c>
      <c r="AE260" s="12">
        <f t="shared" si="33"/>
        <v>3.472222222222222E-3</v>
      </c>
      <c r="AG260" s="155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5" t="str">
        <f t="shared" si="35"/>
        <v/>
      </c>
      <c r="AE261" s="12">
        <f t="shared" ref="AE261:AE324" si="44">TIME(0,$K261+5,0)</f>
        <v>3.472222222222222E-3</v>
      </c>
      <c r="AG261" s="155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5" t="str">
        <f t="shared" ref="Z262:Z325" si="46">IF(Y262="","",$Y262+TIME(0,5,0))</f>
        <v/>
      </c>
      <c r="AE262" s="12">
        <f t="shared" si="44"/>
        <v>3.472222222222222E-3</v>
      </c>
      <c r="AG262" s="155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5" t="str">
        <f t="shared" si="46"/>
        <v/>
      </c>
      <c r="AE263" s="12">
        <f t="shared" si="44"/>
        <v>3.472222222222222E-3</v>
      </c>
      <c r="AG263" s="155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5" t="str">
        <f t="shared" si="46"/>
        <v/>
      </c>
      <c r="AE264" s="12">
        <f t="shared" si="44"/>
        <v>3.472222222222222E-3</v>
      </c>
      <c r="AG264" s="155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5" t="str">
        <f t="shared" si="46"/>
        <v/>
      </c>
      <c r="AE265" s="12">
        <f t="shared" si="44"/>
        <v>3.472222222222222E-3</v>
      </c>
      <c r="AG265" s="155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5" t="str">
        <f t="shared" si="46"/>
        <v/>
      </c>
      <c r="AE266" s="12">
        <f t="shared" si="44"/>
        <v>3.472222222222222E-3</v>
      </c>
      <c r="AG266" s="155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5" t="str">
        <f t="shared" si="46"/>
        <v/>
      </c>
      <c r="AE267" s="12">
        <f t="shared" si="44"/>
        <v>3.472222222222222E-3</v>
      </c>
      <c r="AG267" s="155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5" t="str">
        <f t="shared" si="46"/>
        <v/>
      </c>
      <c r="AE268" s="12">
        <f t="shared" si="44"/>
        <v>3.472222222222222E-3</v>
      </c>
      <c r="AG268" s="155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5" t="str">
        <f t="shared" si="46"/>
        <v/>
      </c>
      <c r="AE269" s="12">
        <f t="shared" si="44"/>
        <v>3.472222222222222E-3</v>
      </c>
      <c r="AG269" s="155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5" t="str">
        <f t="shared" si="46"/>
        <v/>
      </c>
      <c r="AE270" s="12">
        <f t="shared" si="44"/>
        <v>3.472222222222222E-3</v>
      </c>
      <c r="AG270" s="155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5" t="str">
        <f t="shared" si="46"/>
        <v/>
      </c>
      <c r="AE271" s="12">
        <f t="shared" si="44"/>
        <v>3.472222222222222E-3</v>
      </c>
      <c r="AG271" s="155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5" t="str">
        <f t="shared" si="46"/>
        <v/>
      </c>
      <c r="AE272" s="12">
        <f t="shared" si="44"/>
        <v>3.472222222222222E-3</v>
      </c>
      <c r="AG272" s="155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5" t="str">
        <f t="shared" si="46"/>
        <v/>
      </c>
      <c r="AE273" s="12">
        <f t="shared" si="44"/>
        <v>3.472222222222222E-3</v>
      </c>
      <c r="AG273" s="155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5" t="str">
        <f t="shared" si="46"/>
        <v/>
      </c>
      <c r="AE274" s="12">
        <f t="shared" si="44"/>
        <v>3.472222222222222E-3</v>
      </c>
      <c r="AG274" s="155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5" t="str">
        <f t="shared" si="46"/>
        <v/>
      </c>
      <c r="AE275" s="12">
        <f t="shared" si="44"/>
        <v>3.472222222222222E-3</v>
      </c>
      <c r="AG275" s="155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5" t="str">
        <f t="shared" si="46"/>
        <v/>
      </c>
      <c r="AE276" s="12">
        <f t="shared" si="44"/>
        <v>3.472222222222222E-3</v>
      </c>
      <c r="AG276" s="155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5" t="str">
        <f t="shared" si="46"/>
        <v/>
      </c>
      <c r="AE277" s="12">
        <f t="shared" si="44"/>
        <v>3.472222222222222E-3</v>
      </c>
      <c r="AG277" s="155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5" t="str">
        <f t="shared" si="46"/>
        <v/>
      </c>
      <c r="AE278" s="12">
        <f t="shared" si="44"/>
        <v>3.472222222222222E-3</v>
      </c>
      <c r="AG278" s="155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5" t="str">
        <f t="shared" si="46"/>
        <v/>
      </c>
      <c r="AE279" s="12">
        <f t="shared" si="44"/>
        <v>3.472222222222222E-3</v>
      </c>
      <c r="AG279" s="155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5" t="str">
        <f t="shared" si="46"/>
        <v/>
      </c>
      <c r="AE280" s="12">
        <f t="shared" si="44"/>
        <v>3.472222222222222E-3</v>
      </c>
      <c r="AG280" s="155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5" t="str">
        <f t="shared" si="46"/>
        <v/>
      </c>
      <c r="AE281" s="12">
        <f t="shared" si="44"/>
        <v>3.472222222222222E-3</v>
      </c>
      <c r="AG281" s="155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5" t="str">
        <f t="shared" si="46"/>
        <v/>
      </c>
      <c r="AE282" s="12">
        <f t="shared" si="44"/>
        <v>3.472222222222222E-3</v>
      </c>
      <c r="AG282" s="155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5" t="str">
        <f t="shared" si="46"/>
        <v/>
      </c>
      <c r="AE283" s="12">
        <f t="shared" si="44"/>
        <v>3.472222222222222E-3</v>
      </c>
      <c r="AG283" s="155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5" t="str">
        <f t="shared" si="46"/>
        <v/>
      </c>
      <c r="AE284" s="12">
        <f t="shared" si="44"/>
        <v>3.472222222222222E-3</v>
      </c>
      <c r="AG284" s="155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5" t="str">
        <f t="shared" si="46"/>
        <v/>
      </c>
      <c r="AE285" s="12">
        <f t="shared" si="44"/>
        <v>3.472222222222222E-3</v>
      </c>
      <c r="AG285" s="155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5" t="str">
        <f t="shared" si="46"/>
        <v/>
      </c>
      <c r="AE286" s="12">
        <f t="shared" si="44"/>
        <v>3.472222222222222E-3</v>
      </c>
      <c r="AG286" s="155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5" t="str">
        <f t="shared" si="46"/>
        <v/>
      </c>
      <c r="AE287" s="12">
        <f t="shared" si="44"/>
        <v>3.472222222222222E-3</v>
      </c>
      <c r="AG287" s="155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5" t="str">
        <f t="shared" si="46"/>
        <v/>
      </c>
      <c r="AE288" s="12">
        <f t="shared" si="44"/>
        <v>3.472222222222222E-3</v>
      </c>
      <c r="AG288" s="155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5" t="str">
        <f t="shared" si="46"/>
        <v/>
      </c>
      <c r="AE289" s="12">
        <f t="shared" si="44"/>
        <v>3.472222222222222E-3</v>
      </c>
      <c r="AG289" s="155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5" t="str">
        <f t="shared" si="46"/>
        <v/>
      </c>
      <c r="AE290" s="12">
        <f t="shared" si="44"/>
        <v>3.472222222222222E-3</v>
      </c>
      <c r="AG290" s="155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5" t="str">
        <f t="shared" si="46"/>
        <v/>
      </c>
      <c r="AE291" s="12">
        <f t="shared" si="44"/>
        <v>3.472222222222222E-3</v>
      </c>
      <c r="AG291" s="155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5" t="str">
        <f t="shared" si="46"/>
        <v/>
      </c>
      <c r="AE292" s="12">
        <f t="shared" si="44"/>
        <v>3.472222222222222E-3</v>
      </c>
      <c r="AG292" s="155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5" t="str">
        <f t="shared" si="46"/>
        <v/>
      </c>
      <c r="AE293" s="12">
        <f t="shared" si="44"/>
        <v>3.472222222222222E-3</v>
      </c>
      <c r="AG293" s="155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5" t="str">
        <f t="shared" si="46"/>
        <v/>
      </c>
      <c r="AE294" s="12">
        <f t="shared" si="44"/>
        <v>3.472222222222222E-3</v>
      </c>
      <c r="AG294" s="155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5" t="str">
        <f t="shared" si="46"/>
        <v/>
      </c>
      <c r="AE295" s="12">
        <f t="shared" si="44"/>
        <v>3.472222222222222E-3</v>
      </c>
      <c r="AG295" s="155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5" t="str">
        <f t="shared" si="46"/>
        <v/>
      </c>
      <c r="AE296" s="12">
        <f t="shared" si="44"/>
        <v>3.472222222222222E-3</v>
      </c>
      <c r="AG296" s="155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5" t="str">
        <f t="shared" si="46"/>
        <v/>
      </c>
      <c r="AE297" s="12">
        <f t="shared" si="44"/>
        <v>3.472222222222222E-3</v>
      </c>
      <c r="AG297" s="155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5" t="str">
        <f t="shared" si="46"/>
        <v/>
      </c>
      <c r="AE298" s="12">
        <f t="shared" si="44"/>
        <v>3.472222222222222E-3</v>
      </c>
      <c r="AG298" s="155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5" t="str">
        <f t="shared" si="46"/>
        <v/>
      </c>
      <c r="AE299" s="12">
        <f t="shared" si="44"/>
        <v>3.472222222222222E-3</v>
      </c>
      <c r="AG299" s="155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5" t="str">
        <f t="shared" si="46"/>
        <v/>
      </c>
      <c r="AE300" s="12">
        <f t="shared" si="44"/>
        <v>3.472222222222222E-3</v>
      </c>
      <c r="AG300" s="155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5" t="str">
        <f t="shared" si="46"/>
        <v/>
      </c>
      <c r="AE301" s="12">
        <f t="shared" si="44"/>
        <v>3.472222222222222E-3</v>
      </c>
      <c r="AG301" s="155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5" t="str">
        <f t="shared" si="46"/>
        <v/>
      </c>
      <c r="AE302" s="12">
        <f t="shared" si="44"/>
        <v>3.472222222222222E-3</v>
      </c>
      <c r="AG302" s="155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5" t="str">
        <f t="shared" si="46"/>
        <v/>
      </c>
      <c r="AE303" s="12">
        <f t="shared" si="44"/>
        <v>3.472222222222222E-3</v>
      </c>
      <c r="AG303" s="155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5" t="str">
        <f t="shared" si="46"/>
        <v/>
      </c>
      <c r="AE304" s="12">
        <f t="shared" si="44"/>
        <v>3.472222222222222E-3</v>
      </c>
      <c r="AG304" s="155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5" t="str">
        <f t="shared" si="46"/>
        <v/>
      </c>
      <c r="AE305" s="12">
        <f t="shared" si="44"/>
        <v>3.472222222222222E-3</v>
      </c>
      <c r="AG305" s="155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5" t="str">
        <f t="shared" si="46"/>
        <v/>
      </c>
      <c r="AE306" s="12">
        <f t="shared" si="44"/>
        <v>3.472222222222222E-3</v>
      </c>
      <c r="AG306" s="155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5" t="str">
        <f t="shared" si="46"/>
        <v/>
      </c>
      <c r="AE307" s="12">
        <f t="shared" si="44"/>
        <v>3.472222222222222E-3</v>
      </c>
      <c r="AG307" s="155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5" t="str">
        <f t="shared" si="46"/>
        <v/>
      </c>
      <c r="AE308" s="12">
        <f t="shared" si="44"/>
        <v>3.472222222222222E-3</v>
      </c>
      <c r="AG308" s="155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5" t="str">
        <f t="shared" si="46"/>
        <v/>
      </c>
      <c r="AE309" s="12">
        <f t="shared" si="44"/>
        <v>3.472222222222222E-3</v>
      </c>
      <c r="AG309" s="155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5" t="str">
        <f t="shared" si="46"/>
        <v/>
      </c>
      <c r="AE310" s="12">
        <f t="shared" si="44"/>
        <v>3.472222222222222E-3</v>
      </c>
      <c r="AG310" s="155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5" t="str">
        <f t="shared" si="46"/>
        <v/>
      </c>
      <c r="AE311" s="12">
        <f t="shared" si="44"/>
        <v>3.472222222222222E-3</v>
      </c>
      <c r="AG311" s="155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5" t="str">
        <f t="shared" si="46"/>
        <v/>
      </c>
      <c r="AE312" s="12">
        <f t="shared" si="44"/>
        <v>3.472222222222222E-3</v>
      </c>
      <c r="AG312" s="155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5" t="str">
        <f t="shared" si="46"/>
        <v/>
      </c>
      <c r="AE313" s="12">
        <f t="shared" si="44"/>
        <v>3.472222222222222E-3</v>
      </c>
      <c r="AG313" s="155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5" t="str">
        <f t="shared" si="46"/>
        <v/>
      </c>
      <c r="AE314" s="12">
        <f t="shared" si="44"/>
        <v>3.472222222222222E-3</v>
      </c>
      <c r="AG314" s="155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5" t="str">
        <f t="shared" si="46"/>
        <v/>
      </c>
      <c r="AE315" s="12">
        <f t="shared" si="44"/>
        <v>3.472222222222222E-3</v>
      </c>
      <c r="AG315" s="155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5" t="str">
        <f t="shared" si="46"/>
        <v/>
      </c>
      <c r="AE316" s="12">
        <f t="shared" si="44"/>
        <v>3.472222222222222E-3</v>
      </c>
      <c r="AG316" s="155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5" t="str">
        <f t="shared" si="46"/>
        <v/>
      </c>
      <c r="AE317" s="12">
        <f t="shared" si="44"/>
        <v>3.472222222222222E-3</v>
      </c>
      <c r="AG317" s="155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5" t="str">
        <f t="shared" si="46"/>
        <v/>
      </c>
      <c r="AE318" s="12">
        <f t="shared" si="44"/>
        <v>3.472222222222222E-3</v>
      </c>
      <c r="AG318" s="155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5" t="str">
        <f t="shared" si="46"/>
        <v/>
      </c>
      <c r="AE319" s="12">
        <f t="shared" si="44"/>
        <v>3.472222222222222E-3</v>
      </c>
      <c r="AG319" s="155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5" t="str">
        <f t="shared" si="46"/>
        <v/>
      </c>
      <c r="AE320" s="12">
        <f t="shared" si="44"/>
        <v>3.472222222222222E-3</v>
      </c>
      <c r="AG320" s="155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5" t="str">
        <f t="shared" si="46"/>
        <v/>
      </c>
      <c r="AE321" s="12">
        <f t="shared" si="44"/>
        <v>3.472222222222222E-3</v>
      </c>
      <c r="AG321" s="155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5" t="str">
        <f t="shared" si="46"/>
        <v/>
      </c>
      <c r="AE322" s="12">
        <f t="shared" si="44"/>
        <v>3.472222222222222E-3</v>
      </c>
      <c r="AG322" s="155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5" t="str">
        <f t="shared" si="46"/>
        <v/>
      </c>
      <c r="AE323" s="12">
        <f t="shared" si="44"/>
        <v>3.472222222222222E-3</v>
      </c>
      <c r="AG323" s="155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5" t="str">
        <f t="shared" si="46"/>
        <v/>
      </c>
      <c r="AE324" s="12">
        <f t="shared" si="44"/>
        <v>3.472222222222222E-3</v>
      </c>
      <c r="AG324" s="155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5" t="str">
        <f t="shared" si="46"/>
        <v/>
      </c>
      <c r="AE325" s="12">
        <f t="shared" ref="AE325:AE388" si="55">TIME(0,$K325+5,0)</f>
        <v>3.472222222222222E-3</v>
      </c>
      <c r="AG325" s="155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5" t="str">
        <f t="shared" ref="Z326:Z389" si="57">IF(Y326="","",$Y326+TIME(0,5,0))</f>
        <v/>
      </c>
      <c r="AE326" s="12">
        <f t="shared" si="55"/>
        <v>3.472222222222222E-3</v>
      </c>
      <c r="AG326" s="155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5" t="str">
        <f t="shared" si="57"/>
        <v/>
      </c>
      <c r="AE327" s="12">
        <f t="shared" si="55"/>
        <v>3.472222222222222E-3</v>
      </c>
      <c r="AG327" s="155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5" t="str">
        <f t="shared" si="57"/>
        <v/>
      </c>
      <c r="AE328" s="12">
        <f t="shared" si="55"/>
        <v>3.472222222222222E-3</v>
      </c>
      <c r="AG328" s="155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5" t="str">
        <f t="shared" si="57"/>
        <v/>
      </c>
      <c r="AE329" s="12">
        <f t="shared" si="55"/>
        <v>3.472222222222222E-3</v>
      </c>
      <c r="AG329" s="155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5" t="str">
        <f t="shared" si="57"/>
        <v/>
      </c>
      <c r="AE330" s="12">
        <f t="shared" si="55"/>
        <v>3.472222222222222E-3</v>
      </c>
      <c r="AG330" s="155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5" t="str">
        <f t="shared" si="57"/>
        <v/>
      </c>
      <c r="AE331" s="12">
        <f t="shared" si="55"/>
        <v>3.472222222222222E-3</v>
      </c>
      <c r="AG331" s="155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5" t="str">
        <f t="shared" si="57"/>
        <v/>
      </c>
      <c r="AE332" s="12">
        <f t="shared" si="55"/>
        <v>3.472222222222222E-3</v>
      </c>
      <c r="AG332" s="155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5" t="str">
        <f t="shared" si="57"/>
        <v/>
      </c>
      <c r="AE333" s="12">
        <f t="shared" si="55"/>
        <v>3.472222222222222E-3</v>
      </c>
      <c r="AG333" s="155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5" t="str">
        <f t="shared" si="57"/>
        <v/>
      </c>
      <c r="AE334" s="12">
        <f t="shared" si="55"/>
        <v>3.472222222222222E-3</v>
      </c>
      <c r="AG334" s="155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5" t="str">
        <f t="shared" si="57"/>
        <v/>
      </c>
      <c r="AE335" s="12">
        <f t="shared" si="55"/>
        <v>3.472222222222222E-3</v>
      </c>
      <c r="AG335" s="155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5" t="str">
        <f t="shared" si="57"/>
        <v/>
      </c>
      <c r="AE336" s="12">
        <f t="shared" si="55"/>
        <v>3.472222222222222E-3</v>
      </c>
      <c r="AG336" s="155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5" t="str">
        <f t="shared" si="57"/>
        <v/>
      </c>
      <c r="AE337" s="12">
        <f t="shared" si="55"/>
        <v>3.472222222222222E-3</v>
      </c>
      <c r="AG337" s="155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5" t="str">
        <f t="shared" si="57"/>
        <v/>
      </c>
      <c r="AE338" s="12">
        <f t="shared" si="55"/>
        <v>3.472222222222222E-3</v>
      </c>
      <c r="AG338" s="155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5" t="str">
        <f t="shared" si="57"/>
        <v/>
      </c>
      <c r="AE339" s="12">
        <f t="shared" si="55"/>
        <v>3.472222222222222E-3</v>
      </c>
      <c r="AG339" s="155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5" t="str">
        <f t="shared" si="57"/>
        <v/>
      </c>
      <c r="AE340" s="12">
        <f t="shared" si="55"/>
        <v>3.472222222222222E-3</v>
      </c>
      <c r="AG340" s="155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5" t="str">
        <f t="shared" si="57"/>
        <v/>
      </c>
      <c r="AE341" s="12">
        <f t="shared" si="55"/>
        <v>3.472222222222222E-3</v>
      </c>
      <c r="AG341" s="155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5" t="str">
        <f t="shared" si="57"/>
        <v/>
      </c>
      <c r="AE342" s="12">
        <f t="shared" si="55"/>
        <v>3.472222222222222E-3</v>
      </c>
      <c r="AG342" s="155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5" t="str">
        <f t="shared" si="57"/>
        <v/>
      </c>
      <c r="AE343" s="12">
        <f t="shared" si="55"/>
        <v>3.472222222222222E-3</v>
      </c>
      <c r="AG343" s="155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5" t="str">
        <f t="shared" si="57"/>
        <v/>
      </c>
      <c r="AE344" s="12">
        <f t="shared" si="55"/>
        <v>3.472222222222222E-3</v>
      </c>
      <c r="AG344" s="155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5" t="str">
        <f t="shared" si="57"/>
        <v/>
      </c>
      <c r="AE345" s="12">
        <f t="shared" si="55"/>
        <v>3.472222222222222E-3</v>
      </c>
      <c r="AG345" s="155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5" t="str">
        <f t="shared" si="57"/>
        <v/>
      </c>
      <c r="AE346" s="12">
        <f t="shared" si="55"/>
        <v>3.472222222222222E-3</v>
      </c>
      <c r="AG346" s="155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5" t="str">
        <f t="shared" si="57"/>
        <v/>
      </c>
      <c r="AE347" s="12">
        <f t="shared" si="55"/>
        <v>3.472222222222222E-3</v>
      </c>
      <c r="AG347" s="155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5" t="str">
        <f t="shared" si="57"/>
        <v/>
      </c>
      <c r="AE348" s="12">
        <f t="shared" si="55"/>
        <v>3.472222222222222E-3</v>
      </c>
      <c r="AG348" s="155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5" t="str">
        <f t="shared" si="57"/>
        <v/>
      </c>
      <c r="AE349" s="12">
        <f t="shared" si="55"/>
        <v>3.472222222222222E-3</v>
      </c>
      <c r="AG349" s="155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5" t="str">
        <f t="shared" si="57"/>
        <v/>
      </c>
      <c r="AE350" s="12">
        <f t="shared" si="55"/>
        <v>3.472222222222222E-3</v>
      </c>
      <c r="AG350" s="155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5" t="str">
        <f t="shared" si="57"/>
        <v/>
      </c>
      <c r="AE351" s="12">
        <f t="shared" si="55"/>
        <v>3.472222222222222E-3</v>
      </c>
      <c r="AG351" s="155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5" t="str">
        <f t="shared" si="57"/>
        <v/>
      </c>
      <c r="AE352" s="12">
        <f t="shared" si="55"/>
        <v>3.472222222222222E-3</v>
      </c>
      <c r="AG352" s="155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5" t="str">
        <f t="shared" si="57"/>
        <v/>
      </c>
      <c r="AE353" s="12">
        <f t="shared" si="55"/>
        <v>3.472222222222222E-3</v>
      </c>
      <c r="AG353" s="155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5" t="str">
        <f t="shared" si="57"/>
        <v/>
      </c>
      <c r="AE354" s="12">
        <f t="shared" si="55"/>
        <v>3.472222222222222E-3</v>
      </c>
      <c r="AG354" s="155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5" t="str">
        <f t="shared" si="57"/>
        <v/>
      </c>
      <c r="AE355" s="12">
        <f t="shared" si="55"/>
        <v>3.472222222222222E-3</v>
      </c>
      <c r="AG355" s="155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5" t="str">
        <f t="shared" si="57"/>
        <v/>
      </c>
      <c r="AE356" s="12">
        <f t="shared" si="55"/>
        <v>3.472222222222222E-3</v>
      </c>
      <c r="AG356" s="155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5" t="str">
        <f t="shared" si="57"/>
        <v/>
      </c>
      <c r="AE357" s="12">
        <f t="shared" si="55"/>
        <v>3.472222222222222E-3</v>
      </c>
      <c r="AG357" s="155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5" t="str">
        <f t="shared" si="57"/>
        <v/>
      </c>
      <c r="AE358" s="12">
        <f t="shared" si="55"/>
        <v>3.472222222222222E-3</v>
      </c>
      <c r="AG358" s="155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5" t="str">
        <f t="shared" si="57"/>
        <v/>
      </c>
      <c r="AE359" s="12">
        <f t="shared" si="55"/>
        <v>3.472222222222222E-3</v>
      </c>
      <c r="AG359" s="155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5" t="str">
        <f t="shared" si="57"/>
        <v/>
      </c>
      <c r="AE360" s="12">
        <f t="shared" si="55"/>
        <v>3.472222222222222E-3</v>
      </c>
      <c r="AG360" s="155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5" t="str">
        <f t="shared" si="57"/>
        <v/>
      </c>
      <c r="AE361" s="12">
        <f t="shared" si="55"/>
        <v>3.472222222222222E-3</v>
      </c>
      <c r="AG361" s="155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5" t="str">
        <f t="shared" si="57"/>
        <v/>
      </c>
      <c r="AE362" s="12">
        <f t="shared" si="55"/>
        <v>3.472222222222222E-3</v>
      </c>
      <c r="AG362" s="155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5" t="str">
        <f t="shared" si="57"/>
        <v/>
      </c>
      <c r="AE363" s="12">
        <f t="shared" si="55"/>
        <v>3.472222222222222E-3</v>
      </c>
      <c r="AG363" s="155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5" t="str">
        <f t="shared" si="57"/>
        <v/>
      </c>
      <c r="AE364" s="12">
        <f t="shared" si="55"/>
        <v>3.472222222222222E-3</v>
      </c>
      <c r="AG364" s="155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5" t="str">
        <f t="shared" si="57"/>
        <v/>
      </c>
      <c r="AE365" s="12">
        <f t="shared" si="55"/>
        <v>3.472222222222222E-3</v>
      </c>
      <c r="AG365" s="155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5" t="str">
        <f t="shared" si="57"/>
        <v/>
      </c>
      <c r="AE366" s="12">
        <f t="shared" si="55"/>
        <v>3.472222222222222E-3</v>
      </c>
      <c r="AG366" s="155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5" t="str">
        <f t="shared" si="57"/>
        <v/>
      </c>
      <c r="AE367" s="12">
        <f t="shared" si="55"/>
        <v>3.472222222222222E-3</v>
      </c>
      <c r="AG367" s="155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5" t="str">
        <f t="shared" si="57"/>
        <v/>
      </c>
      <c r="AE368" s="12">
        <f t="shared" si="55"/>
        <v>3.472222222222222E-3</v>
      </c>
      <c r="AG368" s="155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5" t="str">
        <f t="shared" si="57"/>
        <v/>
      </c>
      <c r="AE369" s="12">
        <f t="shared" si="55"/>
        <v>3.472222222222222E-3</v>
      </c>
      <c r="AG369" s="155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5" t="str">
        <f t="shared" si="57"/>
        <v/>
      </c>
      <c r="AE370" s="12">
        <f t="shared" si="55"/>
        <v>3.472222222222222E-3</v>
      </c>
      <c r="AG370" s="155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5" t="str">
        <f t="shared" si="57"/>
        <v/>
      </c>
      <c r="AE371" s="12">
        <f t="shared" si="55"/>
        <v>3.472222222222222E-3</v>
      </c>
      <c r="AG371" s="155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5" t="str">
        <f t="shared" si="57"/>
        <v/>
      </c>
      <c r="AE372" s="12">
        <f t="shared" si="55"/>
        <v>3.472222222222222E-3</v>
      </c>
      <c r="AG372" s="155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5" t="str">
        <f t="shared" si="57"/>
        <v/>
      </c>
      <c r="AE373" s="12">
        <f t="shared" si="55"/>
        <v>3.472222222222222E-3</v>
      </c>
      <c r="AG373" s="155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5" t="str">
        <f t="shared" si="57"/>
        <v/>
      </c>
      <c r="AE374" s="12">
        <f t="shared" si="55"/>
        <v>3.472222222222222E-3</v>
      </c>
      <c r="AG374" s="155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5" t="str">
        <f t="shared" si="57"/>
        <v/>
      </c>
      <c r="AE375" s="12">
        <f t="shared" si="55"/>
        <v>3.472222222222222E-3</v>
      </c>
      <c r="AG375" s="155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5" t="str">
        <f t="shared" si="57"/>
        <v/>
      </c>
      <c r="AE376" s="12">
        <f t="shared" si="55"/>
        <v>3.472222222222222E-3</v>
      </c>
      <c r="AG376" s="155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5" t="str">
        <f t="shared" si="57"/>
        <v/>
      </c>
      <c r="AE377" s="12">
        <f t="shared" si="55"/>
        <v>3.472222222222222E-3</v>
      </c>
      <c r="AG377" s="155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5" t="str">
        <f t="shared" si="57"/>
        <v/>
      </c>
      <c r="AE378" s="12">
        <f t="shared" si="55"/>
        <v>3.472222222222222E-3</v>
      </c>
      <c r="AG378" s="155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5" t="str">
        <f t="shared" si="57"/>
        <v/>
      </c>
      <c r="AE379" s="12">
        <f t="shared" si="55"/>
        <v>3.472222222222222E-3</v>
      </c>
      <c r="AG379" s="155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5" t="str">
        <f t="shared" si="57"/>
        <v/>
      </c>
      <c r="AE380" s="12">
        <f t="shared" si="55"/>
        <v>3.472222222222222E-3</v>
      </c>
      <c r="AG380" s="155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5" t="str">
        <f t="shared" si="57"/>
        <v/>
      </c>
      <c r="AE381" s="12">
        <f t="shared" si="55"/>
        <v>3.472222222222222E-3</v>
      </c>
      <c r="AG381" s="155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5" t="str">
        <f t="shared" si="57"/>
        <v/>
      </c>
      <c r="AE382" s="12">
        <f t="shared" si="55"/>
        <v>3.472222222222222E-3</v>
      </c>
      <c r="AG382" s="155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5" t="str">
        <f t="shared" si="57"/>
        <v/>
      </c>
      <c r="AE383" s="12">
        <f t="shared" si="55"/>
        <v>3.472222222222222E-3</v>
      </c>
      <c r="AG383" s="155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5" t="str">
        <f t="shared" si="57"/>
        <v/>
      </c>
      <c r="AE384" s="12">
        <f t="shared" si="55"/>
        <v>3.472222222222222E-3</v>
      </c>
      <c r="AG384" s="155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5" t="str">
        <f t="shared" si="57"/>
        <v/>
      </c>
      <c r="AE385" s="12">
        <f t="shared" si="55"/>
        <v>3.472222222222222E-3</v>
      </c>
      <c r="AG385" s="155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5" t="str">
        <f t="shared" si="57"/>
        <v/>
      </c>
      <c r="AE386" s="12">
        <f t="shared" si="55"/>
        <v>3.472222222222222E-3</v>
      </c>
      <c r="AG386" s="155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5" t="str">
        <f t="shared" si="57"/>
        <v/>
      </c>
      <c r="AE387" s="12">
        <f t="shared" si="55"/>
        <v>3.472222222222222E-3</v>
      </c>
      <c r="AG387" s="155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5" t="str">
        <f t="shared" si="57"/>
        <v/>
      </c>
      <c r="AE388" s="12">
        <f t="shared" si="55"/>
        <v>3.472222222222222E-3</v>
      </c>
      <c r="AG388" s="155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5" t="str">
        <f t="shared" si="57"/>
        <v/>
      </c>
      <c r="AE389" s="12">
        <f t="shared" ref="AE389:AE452" si="66">TIME(0,$K389+5,0)</f>
        <v>3.472222222222222E-3</v>
      </c>
      <c r="AG389" s="155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5" t="str">
        <f t="shared" ref="Z390:Z400" si="68">IF(Y390="","",$Y390+TIME(0,5,0))</f>
        <v/>
      </c>
      <c r="AE390" s="12">
        <f t="shared" si="66"/>
        <v>3.472222222222222E-3</v>
      </c>
      <c r="AG390" s="155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5" t="str">
        <f t="shared" si="68"/>
        <v/>
      </c>
      <c r="AE391" s="12">
        <f t="shared" si="66"/>
        <v>3.472222222222222E-3</v>
      </c>
      <c r="AG391" s="155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5" t="str">
        <f t="shared" si="68"/>
        <v/>
      </c>
      <c r="AE392" s="12">
        <f t="shared" si="66"/>
        <v>3.472222222222222E-3</v>
      </c>
      <c r="AG392" s="155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5" t="str">
        <f t="shared" si="68"/>
        <v/>
      </c>
      <c r="AE393" s="12">
        <f t="shared" si="66"/>
        <v>3.472222222222222E-3</v>
      </c>
      <c r="AG393" s="155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5" t="str">
        <f t="shared" si="68"/>
        <v/>
      </c>
      <c r="AE394" s="12">
        <f t="shared" si="66"/>
        <v>3.472222222222222E-3</v>
      </c>
      <c r="AG394" s="155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5" t="str">
        <f t="shared" si="68"/>
        <v/>
      </c>
      <c r="AE395" s="12">
        <f t="shared" si="66"/>
        <v>3.472222222222222E-3</v>
      </c>
      <c r="AG395" s="155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5" t="str">
        <f t="shared" si="68"/>
        <v/>
      </c>
      <c r="AE396" s="12">
        <f t="shared" si="66"/>
        <v>3.472222222222222E-3</v>
      </c>
      <c r="AG396" s="155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5" t="str">
        <f t="shared" si="68"/>
        <v/>
      </c>
      <c r="AE397" s="12">
        <f t="shared" si="66"/>
        <v>3.472222222222222E-3</v>
      </c>
      <c r="AG397" s="155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5" t="str">
        <f t="shared" si="68"/>
        <v/>
      </c>
      <c r="AE398" s="12">
        <f t="shared" si="66"/>
        <v>3.472222222222222E-3</v>
      </c>
      <c r="AG398" s="155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5" t="str">
        <f t="shared" si="68"/>
        <v/>
      </c>
      <c r="AE399" s="12">
        <f t="shared" si="66"/>
        <v>3.472222222222222E-3</v>
      </c>
      <c r="AG399" s="155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5" t="str">
        <f t="shared" si="68"/>
        <v/>
      </c>
      <c r="AE400" s="12">
        <f t="shared" si="66"/>
        <v>3.472222222222222E-3</v>
      </c>
      <c r="AG400" s="155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30D50513-20C7-4080-B72B-C3B405107D80}">
      <formula1>INDIRECT($AK$3&amp;"!$I$3:$I$14")</formula1>
    </dataValidation>
    <dataValidation type="list" allowBlank="1" showInputMessage="1" showErrorMessage="1" sqref="AA5:AA400" xr:uid="{83BFEA0D-F534-4B97-BED5-2601A01C012C}">
      <formula1>INDIRECT($AK$3&amp;"!$G$2:$G$15")</formula1>
    </dataValidation>
    <dataValidation type="list" allowBlank="1" showInputMessage="1" showErrorMessage="1" sqref="O5:O400" xr:uid="{AE0BF864-CDCB-4B4B-AC6A-54931E87664D}">
      <formula1>INDIRECT($AK$3&amp;"!$Q$3:$Q$16")</formula1>
    </dataValidation>
    <dataValidation type="list" allowBlank="1" showInputMessage="1" sqref="AC5:AC400" xr:uid="{F8974239-4F90-4729-A132-AFAAC17D513B}">
      <formula1>INDIRECT($AK$3&amp;"!$O$3")</formula1>
    </dataValidation>
    <dataValidation type="list" allowBlank="1" showInputMessage="1" sqref="W5:W400" xr:uid="{0E916F6A-7880-4D69-8002-57219F17BDB9}">
      <formula1>INDIRECT($AK$3&amp;"!$M$3")</formula1>
    </dataValidation>
    <dataValidation type="list" allowBlank="1" showInputMessage="1" showErrorMessage="1" sqref="V5:V400" xr:uid="{2312344A-E7C2-4C28-BB6C-39C1036F72FA}">
      <formula1>INDIRECT($AK$3&amp;"!$E$2:$E$15")</formula1>
    </dataValidation>
    <dataValidation type="list" allowBlank="1" showInputMessage="1" showErrorMessage="1" sqref="O801:O1048576" xr:uid="{FDD604E8-3AD3-42EC-B681-17D1DFEE173C}">
      <formula1>INDIRECT($AK$3&amp;"!$C$3:$C$11")</formula1>
    </dataValidation>
    <dataValidation type="list" allowBlank="1" showInputMessage="1" sqref="AI5:AI400" xr:uid="{84B0B7F9-1431-4E54-9272-68D86D511F82}">
      <formula1>INDIRECT($AK$3&amp;"!$K$3:$K$4")</formula1>
    </dataValidation>
    <dataValidation type="list" allowBlank="1" showDropDown="1" showInputMessage="1" sqref="AA4 V4:W4" xr:uid="{63F945E9-AC4B-4DE8-A08B-85414A8ACD64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736F2-773A-4262-85EC-DD93CA547366}">
  <dimension ref="A1:AP501"/>
  <sheetViews>
    <sheetView tabSelected="1" zoomScale="70" zoomScaleNormal="70" workbookViewId="0" xr3:uid="{ABB436D7-6D9F-5BED-B2D2-15D7AECE374F}">
      <selection activeCell="M8" sqref="M8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5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4" t="s">
        <v>188</v>
      </c>
      <c r="L1" s="105"/>
      <c r="M1" s="218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31" t="s">
        <v>193</v>
      </c>
      <c r="AL1" s="132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5" t="s">
        <v>195</v>
      </c>
      <c r="L2" s="53" t="s">
        <v>196</v>
      </c>
      <c r="M2" s="219"/>
      <c r="N2" s="52" t="s">
        <v>8</v>
      </c>
      <c r="O2" s="79" t="s">
        <v>197</v>
      </c>
      <c r="P2" s="72"/>
      <c r="Q2" s="100" t="s">
        <v>198</v>
      </c>
      <c r="Y2" s="161" t="s">
        <v>199</v>
      </c>
      <c r="Z2" s="119" t="s">
        <v>156</v>
      </c>
      <c r="AA2" s="119" t="s">
        <v>200</v>
      </c>
      <c r="AB2" s="119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1">
        <f>COUNTIFS(A8:A500,"未定",B8:B500,"&lt;&gt;")</f>
        <v>14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11"/>
      <c r="Y3" s="162">
        <v>0.70833333333333337</v>
      </c>
      <c r="Z3" s="120" t="s">
        <v>209</v>
      </c>
      <c r="AA3" s="122" t="s">
        <v>210</v>
      </c>
      <c r="AB3" s="232">
        <v>0.78125</v>
      </c>
      <c r="AD3" s="92" t="s">
        <v>211</v>
      </c>
      <c r="AE3" s="84" t="s">
        <v>212</v>
      </c>
      <c r="AF3" s="95" t="s">
        <v>209</v>
      </c>
      <c r="AG3" s="95" t="s">
        <v>213</v>
      </c>
      <c r="AH3" s="233">
        <v>45429</v>
      </c>
      <c r="AI3" s="96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8"/>
      <c r="L4" s="49"/>
      <c r="M4" s="49"/>
      <c r="N4" s="49"/>
      <c r="O4" s="49"/>
      <c r="Q4" s="82"/>
      <c r="Y4" s="168">
        <v>0.72916666666666663</v>
      </c>
      <c r="Z4" s="121" t="s">
        <v>214</v>
      </c>
      <c r="AA4" s="122" t="s">
        <v>210</v>
      </c>
      <c r="AB4" s="230">
        <v>0.78125</v>
      </c>
      <c r="AD4" s="83" t="s">
        <v>211</v>
      </c>
      <c r="AE4" s="84" t="s">
        <v>212</v>
      </c>
      <c r="AF4" s="84" t="s">
        <v>214</v>
      </c>
      <c r="AG4" s="84" t="s">
        <v>213</v>
      </c>
      <c r="AH4" s="231">
        <v>45429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3">
        <v>0.72916666666666663</v>
      </c>
      <c r="Z5" s="121" t="s">
        <v>215</v>
      </c>
      <c r="AA5" s="122" t="s">
        <v>216</v>
      </c>
      <c r="AB5" s="230">
        <v>0.78125</v>
      </c>
      <c r="AC5" s="37"/>
      <c r="AD5" s="83" t="s">
        <v>211</v>
      </c>
      <c r="AE5" s="84" t="s">
        <v>212</v>
      </c>
      <c r="AF5" s="84" t="s">
        <v>215</v>
      </c>
      <c r="AG5" s="84" t="s">
        <v>213</v>
      </c>
      <c r="AH5" s="231">
        <v>45429</v>
      </c>
      <c r="AI5" s="89"/>
    </row>
    <row r="6" spans="1:42" ht="23.65" customHeight="1">
      <c r="A6" s="203" t="s">
        <v>217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9"/>
      <c r="M6" s="49"/>
      <c r="N6" s="49"/>
      <c r="O6" s="49"/>
      <c r="Q6" s="82"/>
      <c r="Y6" s="163">
        <v>0.73958333333333337</v>
      </c>
      <c r="Z6" s="121" t="s">
        <v>218</v>
      </c>
      <c r="AA6" s="122" t="s">
        <v>210</v>
      </c>
      <c r="AB6" s="230">
        <v>0.78125</v>
      </c>
      <c r="AC6" s="37"/>
      <c r="AD6" s="83" t="s">
        <v>211</v>
      </c>
      <c r="AE6" s="84" t="s">
        <v>212</v>
      </c>
      <c r="AF6" s="84" t="s">
        <v>218</v>
      </c>
      <c r="AG6" s="84" t="s">
        <v>213</v>
      </c>
      <c r="AH6" s="231">
        <v>45429</v>
      </c>
      <c r="AI6" s="89"/>
      <c r="AL6" s="112">
        <f>A3</f>
        <v>45802</v>
      </c>
    </row>
    <row r="7" spans="1:42" s="33" customFormat="1">
      <c r="A7" s="44" t="s">
        <v>219</v>
      </c>
      <c r="B7" s="44" t="s">
        <v>204</v>
      </c>
      <c r="C7" s="44" t="s">
        <v>220</v>
      </c>
      <c r="D7" s="44" t="s">
        <v>221</v>
      </c>
      <c r="E7" s="44" t="s">
        <v>222</v>
      </c>
      <c r="F7" s="44" t="s">
        <v>223</v>
      </c>
      <c r="G7" s="44" t="s">
        <v>224</v>
      </c>
      <c r="H7" s="44" t="s">
        <v>225</v>
      </c>
      <c r="I7" s="45" t="s">
        <v>226</v>
      </c>
      <c r="J7" s="38" t="s">
        <v>227</v>
      </c>
      <c r="K7" s="38" t="s">
        <v>228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3">
        <v>0.73958333333333337</v>
      </c>
      <c r="Z7" s="121" t="s">
        <v>229</v>
      </c>
      <c r="AA7" s="122" t="s">
        <v>210</v>
      </c>
      <c r="AB7" s="230">
        <v>0.78125</v>
      </c>
      <c r="AC7" s="34"/>
      <c r="AD7" s="85" t="s">
        <v>211</v>
      </c>
      <c r="AE7" s="84" t="s">
        <v>212</v>
      </c>
      <c r="AF7" s="84" t="s">
        <v>229</v>
      </c>
      <c r="AG7" s="84" t="s">
        <v>213</v>
      </c>
      <c r="AH7" s="231">
        <v>45429</v>
      </c>
      <c r="AI7" s="89"/>
      <c r="AL7" s="33" t="str">
        <f>TEXT(AM7,"mmdd")</f>
        <v>0525</v>
      </c>
      <c r="AM7" s="113">
        <f>AL6-(WEEKDAY(AL6,1)-1)</f>
        <v>45802</v>
      </c>
    </row>
    <row r="8" spans="1:42" ht="37.5">
      <c r="A8" s="34" t="str">
        <f t="shared" ref="A8:A71" si="0">IF(ISBLANK($I8), "", _xlfn.IFS($I8&gt;10, "DS", $I8&lt;=10, "未定"))</f>
        <v>DS</v>
      </c>
      <c r="B8" s="34" t="s">
        <v>209</v>
      </c>
      <c r="C8" s="34" t="s">
        <v>230</v>
      </c>
      <c r="D8" s="34" t="s">
        <v>231</v>
      </c>
      <c r="E8" s="39" t="s">
        <v>232</v>
      </c>
      <c r="F8" s="39">
        <v>0.69791666666666663</v>
      </c>
      <c r="G8" s="39">
        <v>0.90625</v>
      </c>
      <c r="H8" s="39" t="s">
        <v>233</v>
      </c>
      <c r="I8" s="34">
        <v>62</v>
      </c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3">
        <v>0.75</v>
      </c>
      <c r="Z8" s="121" t="s">
        <v>212</v>
      </c>
      <c r="AA8" s="122"/>
      <c r="AB8" s="230">
        <v>0.78125</v>
      </c>
      <c r="AD8" s="83" t="s">
        <v>211</v>
      </c>
      <c r="AE8" s="84" t="s">
        <v>212</v>
      </c>
      <c r="AF8" s="84" t="s">
        <v>212</v>
      </c>
      <c r="AG8" s="84" t="s">
        <v>213</v>
      </c>
      <c r="AH8" s="231">
        <v>45429</v>
      </c>
      <c r="AI8" s="89" t="s">
        <v>234</v>
      </c>
      <c r="AK8" s="34" t="str">
        <f>C8</f>
        <v>巌 長田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>DS</v>
      </c>
      <c r="B9" s="34" t="s">
        <v>209</v>
      </c>
      <c r="C9" s="34" t="s">
        <v>235</v>
      </c>
      <c r="D9" s="34" t="s">
        <v>236</v>
      </c>
      <c r="E9" s="39" t="s">
        <v>232</v>
      </c>
      <c r="F9" s="39">
        <v>0.69791666666666663</v>
      </c>
      <c r="G9" s="39">
        <v>0.90625</v>
      </c>
      <c r="H9" s="39" t="s">
        <v>233</v>
      </c>
      <c r="I9" s="34">
        <v>74</v>
      </c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3">
        <v>0.76041666666666663</v>
      </c>
      <c r="Z9" s="121" t="s">
        <v>237</v>
      </c>
      <c r="AA9" s="122"/>
      <c r="AB9" s="230">
        <v>0.78125</v>
      </c>
      <c r="AD9" s="83" t="s">
        <v>211</v>
      </c>
      <c r="AE9" s="84" t="s">
        <v>212</v>
      </c>
      <c r="AF9" s="84" t="s">
        <v>237</v>
      </c>
      <c r="AG9" s="84" t="s">
        <v>213</v>
      </c>
      <c r="AH9" s="231">
        <v>45429</v>
      </c>
      <c r="AI9" s="89"/>
      <c r="AK9" s="34" t="str">
        <f t="shared" ref="AK9:AK72" si="1">C9</f>
        <v>白鳥 仁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DS</v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DS</v>
      </c>
      <c r="B10" s="34" t="s">
        <v>209</v>
      </c>
      <c r="C10" s="34" t="s">
        <v>238</v>
      </c>
      <c r="D10" s="34" t="s">
        <v>239</v>
      </c>
      <c r="E10" s="39" t="s">
        <v>232</v>
      </c>
      <c r="F10" s="39">
        <v>0.69791666666666663</v>
      </c>
      <c r="G10" s="39">
        <v>0.90625</v>
      </c>
      <c r="H10" s="39" t="s">
        <v>233</v>
      </c>
      <c r="I10" s="34">
        <v>62</v>
      </c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3">
        <v>0.76041666666666663</v>
      </c>
      <c r="Z10" s="121" t="s">
        <v>240</v>
      </c>
      <c r="AA10" s="122"/>
      <c r="AB10" s="230">
        <v>0.78125</v>
      </c>
      <c r="AD10" s="83" t="s">
        <v>211</v>
      </c>
      <c r="AE10" s="84" t="s">
        <v>212</v>
      </c>
      <c r="AF10" s="84" t="s">
        <v>240</v>
      </c>
      <c r="AG10" s="84" t="s">
        <v>213</v>
      </c>
      <c r="AH10" s="231">
        <v>45429</v>
      </c>
      <c r="AI10" s="89"/>
      <c r="AK10" s="34" t="str">
        <f t="shared" si="1"/>
        <v>義仁 身浦</v>
      </c>
      <c r="AL10" s="34" t="str">
        <f t="shared" ca="1" si="2"/>
        <v/>
      </c>
      <c r="AM10" s="34" t="str">
        <f t="shared" si="3"/>
        <v>DS</v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>未定</v>
      </c>
      <c r="B11" s="34" t="s">
        <v>209</v>
      </c>
      <c r="C11" s="34" t="s">
        <v>241</v>
      </c>
      <c r="D11" s="34" t="s">
        <v>242</v>
      </c>
      <c r="E11" s="39" t="s">
        <v>243</v>
      </c>
      <c r="F11" s="39">
        <v>0.75</v>
      </c>
      <c r="G11" s="39">
        <v>0.91666666666666663</v>
      </c>
      <c r="H11" s="39" t="s">
        <v>244</v>
      </c>
      <c r="I11" s="34">
        <v>0</v>
      </c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3">
        <v>0.77083333333333337</v>
      </c>
      <c r="Z11" s="121" t="s">
        <v>245</v>
      </c>
      <c r="AA11" s="122"/>
      <c r="AB11" s="230">
        <v>0.78125</v>
      </c>
      <c r="AC11" s="123"/>
      <c r="AD11" s="83" t="s">
        <v>211</v>
      </c>
      <c r="AE11" s="84" t="s">
        <v>212</v>
      </c>
      <c r="AF11" s="84" t="s">
        <v>245</v>
      </c>
      <c r="AG11" s="84" t="s">
        <v>213</v>
      </c>
      <c r="AH11" s="231">
        <v>45429</v>
      </c>
      <c r="AI11" s="89"/>
      <c r="AK11" s="34" t="str">
        <f t="shared" si="1"/>
        <v>清一 渡邉</v>
      </c>
      <c r="AL11" s="34" t="str">
        <f t="shared" ca="1" si="2"/>
        <v/>
      </c>
      <c r="AM11" s="34" t="str">
        <f t="shared" si="3"/>
        <v>未定</v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>未定</v>
      </c>
      <c r="B12" s="34" t="s">
        <v>214</v>
      </c>
      <c r="C12" s="34" t="s">
        <v>246</v>
      </c>
      <c r="D12" s="34" t="s">
        <v>247</v>
      </c>
      <c r="E12" s="39" t="s">
        <v>232</v>
      </c>
      <c r="F12" s="39">
        <v>0.69791666666666663</v>
      </c>
      <c r="G12" s="39">
        <v>0.90625</v>
      </c>
      <c r="H12" s="39" t="s">
        <v>233</v>
      </c>
      <c r="I12" s="34">
        <v>0</v>
      </c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3">
        <v>0.77083333333333337</v>
      </c>
      <c r="Z12" s="121" t="s">
        <v>248</v>
      </c>
      <c r="AA12" s="122"/>
      <c r="AB12" s="230">
        <v>0.78125</v>
      </c>
      <c r="AD12" s="83" t="s">
        <v>211</v>
      </c>
      <c r="AE12" s="84" t="s">
        <v>212</v>
      </c>
      <c r="AF12" s="84" t="s">
        <v>248</v>
      </c>
      <c r="AG12" s="84" t="s">
        <v>213</v>
      </c>
      <c r="AH12" s="231">
        <v>45755</v>
      </c>
      <c r="AI12" s="89"/>
      <c r="AK12" s="34" t="str">
        <f t="shared" si="1"/>
        <v>一沙 真鍋</v>
      </c>
      <c r="AL12" s="34" t="str">
        <f t="shared" ca="1" si="2"/>
        <v/>
      </c>
      <c r="AM12" s="34" t="str">
        <f t="shared" si="3"/>
        <v>未定</v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>未定</v>
      </c>
      <c r="B13" s="34" t="s">
        <v>214</v>
      </c>
      <c r="C13" s="34" t="s">
        <v>249</v>
      </c>
      <c r="D13" s="34" t="s">
        <v>250</v>
      </c>
      <c r="E13" s="39" t="s">
        <v>232</v>
      </c>
      <c r="F13" s="39">
        <v>0.70833333333333337</v>
      </c>
      <c r="G13" s="39">
        <v>0.91666666666666663</v>
      </c>
      <c r="H13" s="39" t="s">
        <v>233</v>
      </c>
      <c r="I13" s="34">
        <v>0</v>
      </c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3"/>
      <c r="Z13" s="121"/>
      <c r="AA13" s="122"/>
      <c r="AB13" s="75"/>
      <c r="AD13" s="83"/>
      <c r="AE13" s="84"/>
      <c r="AF13" s="84"/>
      <c r="AG13" s="84"/>
      <c r="AH13" s="88"/>
      <c r="AI13" s="89"/>
      <c r="AK13" s="34" t="str">
        <f t="shared" si="1"/>
        <v>謙一 星野</v>
      </c>
      <c r="AL13" s="34" t="str">
        <f t="shared" ca="1" si="2"/>
        <v/>
      </c>
      <c r="AM13" s="34" t="str">
        <f t="shared" si="3"/>
        <v>未定</v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>未定</v>
      </c>
      <c r="B14" s="34" t="s">
        <v>214</v>
      </c>
      <c r="C14" s="34" t="s">
        <v>251</v>
      </c>
      <c r="D14" s="34" t="s">
        <v>252</v>
      </c>
      <c r="E14" s="39" t="s">
        <v>232</v>
      </c>
      <c r="F14" s="39">
        <v>0.70833333333333337</v>
      </c>
      <c r="G14" s="39">
        <v>0.91666666666666663</v>
      </c>
      <c r="H14" s="39" t="s">
        <v>233</v>
      </c>
      <c r="I14" s="34">
        <v>0</v>
      </c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3"/>
      <c r="Z14" s="121"/>
      <c r="AA14" s="122"/>
      <c r="AB14" s="75"/>
      <c r="AD14" s="83"/>
      <c r="AE14" s="84"/>
      <c r="AF14" s="84"/>
      <c r="AG14" s="84"/>
      <c r="AH14" s="88"/>
      <c r="AI14" s="89"/>
      <c r="AK14" s="34" t="str">
        <f t="shared" si="1"/>
        <v>大久保 元貴</v>
      </c>
      <c r="AL14" s="34" t="str">
        <f t="shared" ca="1" si="2"/>
        <v/>
      </c>
      <c r="AM14" s="34" t="str">
        <f t="shared" si="3"/>
        <v>未定</v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>未定</v>
      </c>
      <c r="B15" s="34" t="s">
        <v>214</v>
      </c>
      <c r="C15" s="34" t="s">
        <v>253</v>
      </c>
      <c r="D15" s="34" t="s">
        <v>254</v>
      </c>
      <c r="E15" s="39" t="s">
        <v>232</v>
      </c>
      <c r="F15" s="39">
        <v>0.70833333333333337</v>
      </c>
      <c r="G15" s="39">
        <v>0.91666666666666663</v>
      </c>
      <c r="H15" s="39" t="s">
        <v>233</v>
      </c>
      <c r="I15" s="34">
        <v>0</v>
      </c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3"/>
      <c r="Z15" s="121"/>
      <c r="AA15" s="122"/>
      <c r="AB15" s="75"/>
      <c r="AD15" s="86"/>
      <c r="AE15" s="87"/>
      <c r="AF15" s="87"/>
      <c r="AG15" s="87"/>
      <c r="AH15" s="90"/>
      <c r="AI15" s="91"/>
      <c r="AK15" s="34" t="str">
        <f t="shared" si="1"/>
        <v>淳史 相原</v>
      </c>
      <c r="AL15" s="34" t="str">
        <f t="shared" ca="1" si="2"/>
        <v/>
      </c>
      <c r="AM15" s="34" t="str">
        <f t="shared" si="3"/>
        <v>未定</v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>未定</v>
      </c>
      <c r="B16" s="34" t="s">
        <v>214</v>
      </c>
      <c r="C16" s="34" t="s">
        <v>255</v>
      </c>
      <c r="D16" s="34" t="s">
        <v>256</v>
      </c>
      <c r="E16" s="39" t="s">
        <v>232</v>
      </c>
      <c r="F16" s="39">
        <v>0.70833333333333337</v>
      </c>
      <c r="G16" s="39">
        <v>0.91666666666666663</v>
      </c>
      <c r="H16" s="39" t="s">
        <v>233</v>
      </c>
      <c r="I16" s="34">
        <v>0</v>
      </c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257</v>
      </c>
      <c r="M16" s="205" t="s">
        <v>258</v>
      </c>
      <c r="N16" s="34"/>
      <c r="O16" s="34"/>
      <c r="Q16" s="82"/>
      <c r="Y16" s="163"/>
      <c r="Z16" s="121"/>
      <c r="AA16" s="122"/>
      <c r="AB16" s="75"/>
      <c r="AD16" s="86"/>
      <c r="AE16" s="87"/>
      <c r="AF16" s="87"/>
      <c r="AG16" s="87"/>
      <c r="AH16" s="90"/>
      <c r="AI16" s="91"/>
      <c r="AK16" s="34" t="str">
        <f t="shared" si="1"/>
        <v>望 武内</v>
      </c>
      <c r="AL16" s="34" t="str">
        <f t="shared" ca="1" si="2"/>
        <v/>
      </c>
      <c r="AM16" s="34" t="str">
        <f t="shared" si="3"/>
        <v>未定</v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9.5" thickBot="1">
      <c r="A17" s="34" t="str">
        <f t="shared" si="0"/>
        <v>未定</v>
      </c>
      <c r="B17" s="34" t="s">
        <v>214</v>
      </c>
      <c r="C17" s="34" t="s">
        <v>259</v>
      </c>
      <c r="D17" s="34" t="s">
        <v>260</v>
      </c>
      <c r="E17" s="39" t="s">
        <v>243</v>
      </c>
      <c r="F17" s="39">
        <v>0.75</v>
      </c>
      <c r="G17" s="39">
        <v>0.91666666666666663</v>
      </c>
      <c r="H17" s="39" t="s">
        <v>244</v>
      </c>
      <c r="I17" s="34">
        <v>0</v>
      </c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4"/>
      <c r="Z17" s="124"/>
      <c r="AA17" s="124"/>
      <c r="AB17" s="76"/>
      <c r="AD17" s="98"/>
      <c r="AE17" s="99"/>
      <c r="AF17" s="99"/>
      <c r="AG17" s="99"/>
      <c r="AH17" s="99"/>
      <c r="AI17" s="76"/>
      <c r="AK17" s="34" t="str">
        <f t="shared" si="1"/>
        <v>雅之 原田</v>
      </c>
      <c r="AL17" s="34" t="str">
        <f t="shared" ca="1" si="2"/>
        <v/>
      </c>
      <c r="AM17" s="34" t="str">
        <f t="shared" si="3"/>
        <v>未定</v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tr">
        <f t="shared" si="0"/>
        <v>DS</v>
      </c>
      <c r="B18" s="34" t="s">
        <v>218</v>
      </c>
      <c r="C18" s="34" t="s">
        <v>261</v>
      </c>
      <c r="D18" s="34" t="s">
        <v>262</v>
      </c>
      <c r="E18" s="39" t="s">
        <v>232</v>
      </c>
      <c r="F18" s="39">
        <v>0.70833333333333337</v>
      </c>
      <c r="G18" s="39">
        <v>0.91666666666666663</v>
      </c>
      <c r="H18" s="39" t="s">
        <v>233</v>
      </c>
      <c r="I18" s="34">
        <v>88</v>
      </c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 t="str">
        <f t="shared" si="1"/>
        <v>蓮 熊谷</v>
      </c>
      <c r="AL18" s="34" t="str">
        <f t="shared" ca="1" si="2"/>
        <v/>
      </c>
      <c r="AM18" s="34" t="str">
        <f t="shared" si="3"/>
        <v>DS</v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tr">
        <f t="shared" si="0"/>
        <v>未定</v>
      </c>
      <c r="B19" s="41" t="s">
        <v>218</v>
      </c>
      <c r="C19" s="34" t="s">
        <v>263</v>
      </c>
      <c r="D19" s="34" t="s">
        <v>264</v>
      </c>
      <c r="E19" s="39" t="s">
        <v>232</v>
      </c>
      <c r="F19" s="39">
        <v>0.70833333333333337</v>
      </c>
      <c r="G19" s="39">
        <v>0.91666666666666663</v>
      </c>
      <c r="H19" s="39" t="s">
        <v>233</v>
      </c>
      <c r="I19" s="34">
        <v>0</v>
      </c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 t="str">
        <f t="shared" si="1"/>
        <v>和之 奥山</v>
      </c>
      <c r="AL19" s="34" t="str">
        <f t="shared" ca="1" si="2"/>
        <v/>
      </c>
      <c r="AM19" s="34" t="str">
        <f t="shared" si="3"/>
        <v>未定</v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tr">
        <f t="shared" si="0"/>
        <v>未定</v>
      </c>
      <c r="B20" s="41" t="s">
        <v>218</v>
      </c>
      <c r="C20" s="34" t="s">
        <v>265</v>
      </c>
      <c r="D20" s="34" t="s">
        <v>266</v>
      </c>
      <c r="E20" s="39" t="s">
        <v>232</v>
      </c>
      <c r="F20" s="39">
        <v>0.71875</v>
      </c>
      <c r="G20" s="39">
        <v>0.90625</v>
      </c>
      <c r="H20" s="39" t="s">
        <v>233</v>
      </c>
      <c r="I20" s="34">
        <v>0</v>
      </c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267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 t="str">
        <f t="shared" si="1"/>
        <v>隆平 宮田</v>
      </c>
      <c r="AL20" s="34" t="str">
        <f t="shared" ca="1" si="2"/>
        <v/>
      </c>
      <c r="AM20" s="34" t="str">
        <f t="shared" si="3"/>
        <v>未定</v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19.5">
      <c r="A21" s="34" t="str">
        <f t="shared" si="0"/>
        <v>未定</v>
      </c>
      <c r="B21" s="41" t="s">
        <v>229</v>
      </c>
      <c r="C21" s="34" t="s">
        <v>268</v>
      </c>
      <c r="D21" s="34" t="s">
        <v>269</v>
      </c>
      <c r="E21" s="39" t="s">
        <v>232</v>
      </c>
      <c r="F21" s="39">
        <v>0.71875</v>
      </c>
      <c r="G21" s="39">
        <v>0.92708333333333337</v>
      </c>
      <c r="H21" s="39" t="s">
        <v>233</v>
      </c>
      <c r="I21" s="34">
        <v>0</v>
      </c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270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271</v>
      </c>
      <c r="AE21" s="208"/>
      <c r="AF21" s="208"/>
      <c r="AG21" s="208"/>
      <c r="AH21" s="208"/>
      <c r="AI21" s="208"/>
      <c r="AK21" s="34" t="str">
        <f t="shared" si="1"/>
        <v>NORIHISA ARIMOTO</v>
      </c>
      <c r="AL21" s="34" t="str">
        <f t="shared" ca="1" si="2"/>
        <v/>
      </c>
      <c r="AM21" s="34" t="str">
        <f t="shared" si="3"/>
        <v>未定</v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19.899999999999999" customHeight="1">
      <c r="A22" s="34" t="str">
        <f t="shared" si="0"/>
        <v>DS</v>
      </c>
      <c r="B22" s="34" t="s">
        <v>229</v>
      </c>
      <c r="C22" s="34" t="s">
        <v>272</v>
      </c>
      <c r="D22" s="34" t="s">
        <v>273</v>
      </c>
      <c r="E22" s="39" t="s">
        <v>232</v>
      </c>
      <c r="F22" s="39">
        <v>0.71875</v>
      </c>
      <c r="G22" s="39">
        <v>0.92708333333333337</v>
      </c>
      <c r="H22" s="39" t="s">
        <v>233</v>
      </c>
      <c r="I22" s="34">
        <v>98</v>
      </c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5"/>
      <c r="R22" s="101"/>
      <c r="S22" s="101"/>
      <c r="T22" s="101"/>
      <c r="U22" s="101"/>
      <c r="V22" s="101"/>
      <c r="W22" s="101"/>
      <c r="X22" s="101"/>
      <c r="Y22" s="165"/>
      <c r="Z22" s="101"/>
      <c r="AA22" s="101"/>
      <c r="AB22" s="101"/>
      <c r="AC22" s="101"/>
      <c r="AD22" s="126" t="s">
        <v>274</v>
      </c>
      <c r="AE22" s="110"/>
      <c r="AF22" s="110"/>
      <c r="AG22" s="110"/>
      <c r="AH22" s="110"/>
      <c r="AI22" s="110"/>
      <c r="AK22" s="34" t="str">
        <f t="shared" si="1"/>
        <v>加世子 阿部</v>
      </c>
      <c r="AL22" s="34" t="str">
        <f t="shared" ca="1" si="2"/>
        <v/>
      </c>
      <c r="AM22" s="34" t="str">
        <f t="shared" si="3"/>
        <v>DS</v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tr">
        <f t="shared" si="0"/>
        <v>未定</v>
      </c>
      <c r="B23" s="34" t="s">
        <v>229</v>
      </c>
      <c r="C23" s="34" t="s">
        <v>275</v>
      </c>
      <c r="D23" s="34" t="s">
        <v>276</v>
      </c>
      <c r="E23" s="39" t="s">
        <v>232</v>
      </c>
      <c r="F23" s="39">
        <v>0.71875</v>
      </c>
      <c r="G23" s="39">
        <v>0.92708333333333337</v>
      </c>
      <c r="H23" s="39" t="s">
        <v>233</v>
      </c>
      <c r="I23" s="34">
        <v>0</v>
      </c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5" t="s">
        <v>277</v>
      </c>
      <c r="R23" s="101"/>
      <c r="S23" s="101"/>
      <c r="T23" s="101"/>
      <c r="U23" s="101"/>
      <c r="V23" s="101"/>
      <c r="W23" s="101"/>
      <c r="X23" s="101"/>
      <c r="Y23" s="165"/>
      <c r="Z23" s="101"/>
      <c r="AA23" s="101"/>
      <c r="AB23" s="101"/>
      <c r="AC23" s="101"/>
      <c r="AD23" s="126" t="s">
        <v>278</v>
      </c>
      <c r="AE23" s="110"/>
      <c r="AF23" s="110"/>
      <c r="AG23" s="110"/>
      <c r="AH23" s="110"/>
      <c r="AI23" s="110"/>
      <c r="AK23" s="34" t="str">
        <f t="shared" si="1"/>
        <v>達也 森下</v>
      </c>
      <c r="AL23" s="34" t="str">
        <f t="shared" ca="1" si="2"/>
        <v/>
      </c>
      <c r="AM23" s="34" t="str">
        <f t="shared" si="3"/>
        <v>未定</v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>未定</v>
      </c>
      <c r="B24" s="34" t="s">
        <v>229</v>
      </c>
      <c r="C24" s="34" t="s">
        <v>279</v>
      </c>
      <c r="D24" s="34" t="s">
        <v>280</v>
      </c>
      <c r="E24" s="39" t="s">
        <v>232</v>
      </c>
      <c r="F24" s="39">
        <v>0.71875</v>
      </c>
      <c r="G24" s="39">
        <v>0.92708333333333337</v>
      </c>
      <c r="H24" s="39" t="s">
        <v>233</v>
      </c>
      <c r="I24" s="34">
        <v>0</v>
      </c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7" t="s">
        <v>281</v>
      </c>
      <c r="R24" s="101"/>
      <c r="S24" s="101"/>
      <c r="T24" s="101"/>
      <c r="U24" s="101"/>
      <c r="V24" s="101"/>
      <c r="W24" s="101"/>
      <c r="X24" s="101"/>
      <c r="Y24" s="165"/>
      <c r="Z24" s="101"/>
      <c r="AA24" s="101"/>
      <c r="AB24" s="101"/>
      <c r="AC24" s="101"/>
      <c r="AD24" s="128"/>
      <c r="AE24" s="110"/>
      <c r="AF24" s="110"/>
      <c r="AG24" s="110"/>
      <c r="AH24" s="110"/>
      <c r="AI24" s="110"/>
      <c r="AK24" s="34" t="str">
        <f t="shared" si="1"/>
        <v>Rauf Abdulai Abdul</v>
      </c>
      <c r="AL24" s="34" t="str">
        <f t="shared" ca="1" si="2"/>
        <v/>
      </c>
      <c r="AM24" s="34" t="str">
        <f t="shared" si="3"/>
        <v>未定</v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>未定</v>
      </c>
      <c r="B25" s="34" t="s">
        <v>229</v>
      </c>
      <c r="C25" s="34" t="s">
        <v>282</v>
      </c>
      <c r="D25" s="34" t="s">
        <v>283</v>
      </c>
      <c r="E25" s="39" t="s">
        <v>243</v>
      </c>
      <c r="F25" s="39">
        <v>0.75</v>
      </c>
      <c r="G25" s="39">
        <v>0.9375</v>
      </c>
      <c r="H25" s="39" t="s">
        <v>244</v>
      </c>
      <c r="I25" s="34">
        <v>0</v>
      </c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7" t="s">
        <v>284</v>
      </c>
      <c r="R25" s="101"/>
      <c r="S25" s="101"/>
      <c r="T25" s="101"/>
      <c r="U25" s="101"/>
      <c r="V25" s="101"/>
      <c r="W25" s="101"/>
      <c r="X25" s="101"/>
      <c r="Y25" s="165"/>
      <c r="Z25" s="101"/>
      <c r="AA25" s="101"/>
      <c r="AB25" s="101"/>
      <c r="AC25" s="101"/>
      <c r="AD25" s="128"/>
      <c r="AE25" s="110"/>
      <c r="AF25" s="110"/>
      <c r="AG25" s="110"/>
      <c r="AH25" s="110"/>
      <c r="AI25" s="110"/>
      <c r="AK25" s="34" t="str">
        <f t="shared" si="1"/>
        <v>勇治 内山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>未定</v>
      </c>
      <c r="B26" s="34" t="s">
        <v>229</v>
      </c>
      <c r="C26" s="34" t="s">
        <v>285</v>
      </c>
      <c r="D26" s="34" t="s">
        <v>286</v>
      </c>
      <c r="E26" s="39" t="s">
        <v>243</v>
      </c>
      <c r="F26" s="39">
        <v>0.75</v>
      </c>
      <c r="G26" s="39">
        <v>0.9375</v>
      </c>
      <c r="H26" s="39" t="s">
        <v>244</v>
      </c>
      <c r="I26" s="34">
        <v>0</v>
      </c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7" t="s">
        <v>287</v>
      </c>
      <c r="R26" s="101"/>
      <c r="S26" s="101"/>
      <c r="T26" s="101"/>
      <c r="U26" s="101"/>
      <c r="V26" s="101"/>
      <c r="W26" s="101"/>
      <c r="X26" s="101"/>
      <c r="Y26" s="165"/>
      <c r="Z26" s="101"/>
      <c r="AA26" s="101"/>
      <c r="AB26" s="101"/>
      <c r="AC26" s="101"/>
      <c r="AD26" s="128"/>
      <c r="AE26" s="110"/>
      <c r="AF26" s="110"/>
      <c r="AG26" s="110"/>
      <c r="AH26" s="110"/>
      <c r="AI26" s="110"/>
      <c r="AK26" s="34" t="str">
        <f t="shared" si="1"/>
        <v>悠 荒井</v>
      </c>
      <c r="AL26" s="34" t="str">
        <f t="shared" ca="1" si="2"/>
        <v/>
      </c>
      <c r="AM26" s="34" t="str">
        <f t="shared" si="3"/>
        <v>未定</v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7" t="s">
        <v>288</v>
      </c>
      <c r="R27" s="101"/>
      <c r="S27" s="101"/>
      <c r="T27" s="101"/>
      <c r="U27" s="101"/>
      <c r="V27" s="101"/>
      <c r="W27" s="101"/>
      <c r="X27" s="101"/>
      <c r="Y27" s="165"/>
      <c r="Z27" s="101"/>
      <c r="AA27" s="101"/>
      <c r="AB27" s="101"/>
      <c r="AC27" s="101"/>
      <c r="AD27" s="128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7" t="s">
        <v>289</v>
      </c>
      <c r="R28" s="101"/>
      <c r="S28" s="101"/>
      <c r="T28" s="101"/>
      <c r="U28" s="101"/>
      <c r="V28" s="101"/>
      <c r="W28" s="101"/>
      <c r="X28" s="101"/>
      <c r="Y28" s="165"/>
      <c r="Z28" s="101"/>
      <c r="AA28" s="101"/>
      <c r="AB28" s="101"/>
      <c r="AC28" s="101"/>
      <c r="AD28" s="128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290</v>
      </c>
      <c r="N29" s="34"/>
      <c r="O29" s="34"/>
      <c r="Q29" s="127" t="s">
        <v>291</v>
      </c>
      <c r="R29" s="101"/>
      <c r="S29" s="101"/>
      <c r="T29" s="101"/>
      <c r="U29" s="101"/>
      <c r="V29" s="101"/>
      <c r="W29" s="101"/>
      <c r="X29" s="101"/>
      <c r="Y29" s="165"/>
      <c r="Z29" s="101"/>
      <c r="AA29" s="101"/>
      <c r="AB29" s="101"/>
      <c r="AC29" s="101"/>
      <c r="AD29" s="128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7" t="s">
        <v>292</v>
      </c>
      <c r="R30" s="101"/>
      <c r="S30" s="101"/>
      <c r="T30" s="101"/>
      <c r="U30" s="101"/>
      <c r="V30" s="101"/>
      <c r="W30" s="101"/>
      <c r="X30" s="101"/>
      <c r="Y30" s="165"/>
      <c r="Z30" s="101"/>
      <c r="AA30" s="101"/>
      <c r="AB30" s="101"/>
      <c r="AC30" s="101"/>
      <c r="AD30" s="128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293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294</v>
      </c>
      <c r="N32" s="34"/>
      <c r="O32" s="34"/>
      <c r="Q32" s="212" t="s">
        <v>295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5" t="s">
        <v>296</v>
      </c>
      <c r="R33" s="101"/>
      <c r="S33" s="101"/>
      <c r="T33" s="101"/>
      <c r="U33" s="101"/>
      <c r="V33" s="101"/>
      <c r="W33" s="101"/>
      <c r="X33" s="101"/>
      <c r="Y33" s="165"/>
      <c r="Z33" s="101"/>
      <c r="AA33" s="101"/>
      <c r="AB33" s="101"/>
      <c r="AC33" s="101"/>
      <c r="AD33" s="128" t="s">
        <v>297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5" t="s">
        <v>298</v>
      </c>
      <c r="R34" s="101"/>
      <c r="S34" s="101"/>
      <c r="T34" s="101"/>
      <c r="U34" s="101"/>
      <c r="V34" s="101"/>
      <c r="W34" s="101"/>
      <c r="X34" s="101"/>
      <c r="Y34" s="165"/>
      <c r="Z34" s="101"/>
      <c r="AA34" s="101"/>
      <c r="AB34" s="101"/>
      <c r="AC34" s="101"/>
      <c r="AD34" s="126" t="s">
        <v>299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5" t="s">
        <v>300</v>
      </c>
      <c r="R35" s="101"/>
      <c r="S35" s="101"/>
      <c r="T35" s="101"/>
      <c r="U35" s="101"/>
      <c r="V35" s="101"/>
      <c r="W35" s="101"/>
      <c r="X35" s="101"/>
      <c r="Y35" s="165"/>
      <c r="Z35" s="101"/>
      <c r="AA35" s="101"/>
      <c r="AB35" s="101"/>
      <c r="AC35" s="101"/>
      <c r="AD35" s="126" t="s">
        <v>301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7" t="s">
        <v>302</v>
      </c>
      <c r="R36" s="101"/>
      <c r="S36" s="101"/>
      <c r="T36" s="101"/>
      <c r="U36" s="101"/>
      <c r="V36" s="101"/>
      <c r="W36" s="101"/>
      <c r="X36" s="101"/>
      <c r="Y36" s="165"/>
      <c r="Z36" s="101"/>
      <c r="AA36" s="101"/>
      <c r="AB36" s="101"/>
      <c r="AC36" s="101"/>
      <c r="AD36" s="126" t="s">
        <v>303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9" t="s">
        <v>304</v>
      </c>
      <c r="R37" s="101"/>
      <c r="S37" s="101"/>
      <c r="T37" s="101"/>
      <c r="U37" s="101"/>
      <c r="V37" s="101"/>
      <c r="W37" s="101"/>
      <c r="X37" s="101"/>
      <c r="Y37" s="165"/>
      <c r="Z37" s="101"/>
      <c r="AA37" s="101"/>
      <c r="AB37" s="101"/>
      <c r="AC37" s="101"/>
      <c r="AD37" s="126" t="s">
        <v>305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9"/>
      <c r="R38" s="101"/>
      <c r="S38" s="101"/>
      <c r="T38" s="101"/>
      <c r="U38" s="101"/>
      <c r="V38" s="101"/>
      <c r="W38" s="101"/>
      <c r="X38" s="101"/>
      <c r="Y38" s="165"/>
      <c r="Z38" s="101"/>
      <c r="AA38" s="101"/>
      <c r="AB38" s="101"/>
      <c r="AC38" s="101"/>
      <c r="AD38" s="130" t="s">
        <v>306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9"/>
      <c r="R39" s="101"/>
      <c r="S39" s="101"/>
      <c r="T39" s="101"/>
      <c r="U39" s="101"/>
      <c r="V39" s="101"/>
      <c r="W39" s="101"/>
      <c r="X39" s="101"/>
      <c r="Y39" s="165"/>
      <c r="Z39" s="101"/>
      <c r="AA39" s="101"/>
      <c r="AB39" s="101"/>
      <c r="AC39" s="101"/>
      <c r="AD39" s="130" t="s">
        <v>307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308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8" t="s">
        <v>309</v>
      </c>
      <c r="R44" s="201" t="s">
        <v>310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6" t="s">
        <v>195</v>
      </c>
      <c r="R45" s="109" t="s">
        <v>311</v>
      </c>
      <c r="S45" s="110"/>
      <c r="T45" s="110"/>
      <c r="U45" s="110"/>
      <c r="V45" s="110"/>
      <c r="W45" s="110"/>
      <c r="X45" s="110"/>
      <c r="Y45" s="166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6" t="s">
        <v>29</v>
      </c>
      <c r="R46" s="109" t="s">
        <v>312</v>
      </c>
      <c r="S46" s="110"/>
      <c r="T46" s="110"/>
      <c r="U46" s="110"/>
      <c r="V46" s="110"/>
      <c r="W46" s="110"/>
      <c r="X46" s="110"/>
      <c r="Y46" s="166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313</v>
      </c>
      <c r="N47" s="34"/>
      <c r="O47" s="34"/>
      <c r="Q47" s="106" t="s">
        <v>314</v>
      </c>
      <c r="R47" s="109" t="s">
        <v>315</v>
      </c>
      <c r="S47" s="110"/>
      <c r="T47" s="110"/>
      <c r="U47" s="110"/>
      <c r="V47" s="110"/>
      <c r="W47" s="110"/>
      <c r="X47" s="110"/>
      <c r="Y47" s="166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6" t="s">
        <v>316</v>
      </c>
      <c r="R48" s="109" t="s">
        <v>317</v>
      </c>
      <c r="S48" s="110"/>
      <c r="T48" s="110"/>
      <c r="U48" s="110"/>
      <c r="V48" s="110"/>
      <c r="W48" s="110"/>
      <c r="X48" s="110"/>
      <c r="Y48" s="166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7" t="s">
        <v>318</v>
      </c>
      <c r="R49" s="109" t="s">
        <v>319</v>
      </c>
      <c r="S49" s="110"/>
      <c r="T49" s="110"/>
      <c r="U49" s="110"/>
      <c r="V49" s="110"/>
      <c r="W49" s="110"/>
      <c r="X49" s="110"/>
      <c r="Y49" s="166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7EF2DA40-C16E-4E23-A7C5-41DD29ED633C}">
      <formula1>"リスト更新済み,対象無し"</formula1>
    </dataValidation>
    <dataValidation type="list" allowBlank="1" showInputMessage="1" sqref="A8:A400" xr:uid="{070AAF2F-F2DA-46A4-B439-2A90B058BCDF}">
      <formula1>"DS,使用可,UXへのみ可,DSレスキュー済"</formula1>
    </dataValidation>
  </dataValidations>
  <hyperlinks>
    <hyperlink ref="M16:M28" r:id="rId1" display="当日Data" xr:uid="{342479E2-A860-411B-96E4-86B9249B2937}"/>
    <hyperlink ref="M32:M46" r:id="rId2" location="/folder/08406eb8aa6e265c75e1ca46e2804498b2e99c3ffc18a6b737dea4aeddb9544b" display="過去Data" xr:uid="{D58A11C4-7018-48F5-8DDF-1BB368F8AF8A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Sakata, Kouichi</DisplayName>
        <AccountId>871</AccountId>
        <AccountType/>
      </UserInfo>
      <UserInfo>
        <DisplayName>Maruyama, Ryunosuke</DisplayName>
        <AccountId>870</AccountId>
        <AccountType/>
      </UserInfo>
      <UserInfo>
        <DisplayName>Yao, Kazuki</DisplayName>
        <AccountId>869</AccountId>
        <AccountType/>
      </UserInfo>
      <UserInfo>
        <DisplayName>Kuang, Yi</DisplayName>
        <AccountId>868</AccountId>
        <AccountType/>
      </UserInfo>
      <UserInfo>
        <DisplayName>Nakashima, Zaisei</DisplayName>
        <AccountId>867</AccountId>
        <AccountType/>
      </UserInfo>
      <UserInfo>
        <DisplayName>Kim, YongMin</DisplayName>
        <AccountId>866</AccountId>
        <AccountType/>
      </UserInfo>
      <UserInfo>
        <DisplayName>MATSUI, KEISUKE</DisplayName>
        <AccountId>865</AccountId>
        <AccountType/>
      </UserInfo>
      <UserInfo>
        <DisplayName>Kamimura, Daisuke</DisplayName>
        <AccountId>130</AccountId>
        <AccountType/>
      </UserInfo>
      <UserInfo>
        <DisplayName>Shimizu, Hiroki</DisplayName>
        <AccountId>538</AccountId>
        <AccountType/>
      </UserInfo>
      <UserInfo>
        <DisplayName>Hayano, Toshio</DisplayName>
        <AccountId>580</AccountId>
        <AccountType/>
      </UserInfo>
      <UserInfo>
        <DisplayName>Hoshiyama, Daisuke</DisplayName>
        <AccountId>675</AccountId>
        <AccountType/>
      </UserInfo>
      <UserInfo>
        <DisplayName>Hashi, Hiroki</DisplayName>
        <AccountId>863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Okano, Yurika [C]</cp:lastModifiedBy>
  <cp:revision/>
  <dcterms:created xsi:type="dcterms:W3CDTF">2023-07-23T11:41:36Z</dcterms:created>
  <dcterms:modified xsi:type="dcterms:W3CDTF">2025-05-25T08:45:31Z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